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Usuario\Downloads\"/>
    </mc:Choice>
  </mc:AlternateContent>
  <xr:revisionPtr revIDLastSave="0" documentId="8_{5A9E08EE-3EBC-4E55-9543-AADB0BC9FAAA}" xr6:coauthVersionLast="47" xr6:coauthVersionMax="47" xr10:uidLastSave="{00000000-0000-0000-0000-000000000000}"/>
  <bookViews>
    <workbookView xWindow="-120" yWindow="-120" windowWidth="20730" windowHeight="11160" tabRatio="877" firstSheet="3" activeTab="3" xr2:uid="{00000000-000D-0000-FFFF-FFFF00000000}"/>
  </bookViews>
  <sheets>
    <sheet name="Recuperado_Hoja1" sheetId="25" state="hidden" r:id="rId1"/>
    <sheet name="Ene-2" sheetId="17" state="hidden" r:id="rId2"/>
    <sheet name="cuadre" sheetId="28" state="hidden" r:id="rId3"/>
    <sheet name="Ene" sheetId="27" r:id="rId4"/>
    <sheet name="Ene(2)" sheetId="26" state="hidden" r:id="rId5"/>
    <sheet name="Feb" sheetId="2" r:id="rId6"/>
    <sheet name="Mar" sheetId="3" r:id="rId7"/>
    <sheet name="Abr" sheetId="19" r:id="rId8"/>
    <sheet name="May" sheetId="5" state="hidden" r:id="rId9"/>
    <sheet name="Jun" sheetId="6" state="hidden" r:id="rId10"/>
    <sheet name="Jul" sheetId="7" state="hidden" r:id="rId11"/>
    <sheet name="Ago" sheetId="8" state="hidden" r:id="rId12"/>
    <sheet name="Sep" sheetId="18" state="hidden" r:id="rId13"/>
    <sheet name="Oct" sheetId="29" state="hidden" r:id="rId14"/>
    <sheet name="Nov-original" sheetId="30" state="hidden" r:id="rId15"/>
    <sheet name="Nov" sheetId="20" state="hidden" r:id="rId16"/>
    <sheet name="Dic" sheetId="12" state="hidden" r:id="rId17"/>
    <sheet name="Dic (4)" sheetId="35" state="hidden" r:id="rId18"/>
    <sheet name="Tot.26" sheetId="13" state="hidden" r:id="rId19"/>
    <sheet name="Nomenclatura" sheetId="14" state="hidden" r:id="rId20"/>
    <sheet name="Formulas" sheetId="15" state="hidden" r:id="rId21"/>
  </sheets>
  <definedNames>
    <definedName name="_xlnm._FilterDatabase" localSheetId="0" hidden="1">Recuperado_Hoja1!$A$82:$P$135</definedName>
    <definedName name="_Order1" hidden="1">255</definedName>
    <definedName name="_Order2" hidden="1">255</definedName>
    <definedName name="_xlnm.Print_Area" localSheetId="7">Abr!$A$2:$T$70</definedName>
    <definedName name="_xlnm.Print_Area" localSheetId="11">Ago!$A$2:$T$70</definedName>
    <definedName name="_xlnm.Print_Area" localSheetId="2">cuadre!$A$2:$U$74</definedName>
    <definedName name="_xlnm.Print_Area" localSheetId="16">Dic!$A$2:$T$70</definedName>
    <definedName name="_xlnm.Print_Area" localSheetId="17">'Dic (4)'!$A$2:$T$70</definedName>
    <definedName name="_xlnm.Print_Area" localSheetId="3">Ene!$A$2:$T$70</definedName>
    <definedName name="_xlnm.Print_Area" localSheetId="4">'Ene(2)'!$A$2:$T$81</definedName>
    <definedName name="_xlnm.Print_Area" localSheetId="1">'Ene-2'!$A$2:$T$81</definedName>
    <definedName name="_xlnm.Print_Area" localSheetId="5">Feb!$A$2:$T$70</definedName>
    <definedName name="_xlnm.Print_Area" localSheetId="10">Jul!$A$2:$T$70</definedName>
    <definedName name="_xlnm.Print_Area" localSheetId="9">Jun!$A$2:$T$70</definedName>
    <definedName name="_xlnm.Print_Area" localSheetId="6">Mar!$A$2:$T$71</definedName>
    <definedName name="_xlnm.Print_Area" localSheetId="8">May!$A$2:$T$70</definedName>
    <definedName name="_xlnm.Print_Area" localSheetId="19">Nomenclatura!$A$5:$C$46</definedName>
    <definedName name="_xlnm.Print_Area" localSheetId="15">Nov!$A$2:$V$70</definedName>
    <definedName name="_xlnm.Print_Area" localSheetId="14">'Nov-original'!$A$2:$V$70</definedName>
    <definedName name="_xlnm.Print_Area" localSheetId="13">Oct!$A$2:$T$70</definedName>
    <definedName name="_xlnm.Print_Area" localSheetId="12">Sep!$A$2:$T$70</definedName>
    <definedName name="tc" localSheetId="12">Sep!$N$1</definedName>
    <definedName name="tc">Ago!$N$1</definedName>
    <definedName name="_xlnm.Print_Titles" localSheetId="19">Nomenclatura!$1:$4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2" i="12" l="1"/>
  <c r="Q52" i="12" s="1"/>
  <c r="O52" i="12"/>
  <c r="O31" i="12"/>
  <c r="S31" i="12" s="1"/>
  <c r="O27" i="12"/>
  <c r="S27" i="12" s="1"/>
  <c r="P31" i="12" l="1"/>
  <c r="Q31" i="12"/>
  <c r="Q27" i="12"/>
  <c r="P27" i="12"/>
  <c r="P56" i="6" l="1"/>
  <c r="P117" i="6"/>
  <c r="N52" i="13" l="1"/>
  <c r="N53" i="13"/>
  <c r="N54" i="13"/>
  <c r="N55" i="13"/>
  <c r="N56" i="13"/>
  <c r="N57" i="13"/>
  <c r="N51" i="13"/>
  <c r="G53" i="13"/>
  <c r="H53" i="13"/>
  <c r="I53" i="13"/>
  <c r="J53" i="13"/>
  <c r="G54" i="13"/>
  <c r="H54" i="13"/>
  <c r="I54" i="13"/>
  <c r="J54" i="13"/>
  <c r="G55" i="13"/>
  <c r="H55" i="13"/>
  <c r="I55" i="13"/>
  <c r="J55" i="13"/>
  <c r="G56" i="13"/>
  <c r="H56" i="13"/>
  <c r="I56" i="13"/>
  <c r="J56" i="13"/>
  <c r="J51" i="13"/>
  <c r="I51" i="13"/>
  <c r="H51" i="13"/>
  <c r="G51" i="13"/>
  <c r="N43" i="13"/>
  <c r="N44" i="13"/>
  <c r="N45" i="13"/>
  <c r="N46" i="13"/>
  <c r="N47" i="13"/>
  <c r="G43" i="13"/>
  <c r="H43" i="13"/>
  <c r="I43" i="13"/>
  <c r="J43" i="13"/>
  <c r="G44" i="13"/>
  <c r="H44" i="13"/>
  <c r="I44" i="13"/>
  <c r="J44" i="13"/>
  <c r="G45" i="13"/>
  <c r="H45" i="13"/>
  <c r="I45" i="13"/>
  <c r="J45" i="13"/>
  <c r="G46" i="13"/>
  <c r="H46" i="13"/>
  <c r="I46" i="13"/>
  <c r="J46" i="13"/>
  <c r="N37" i="13"/>
  <c r="M37" i="13"/>
  <c r="J37" i="13"/>
  <c r="I37" i="13"/>
  <c r="H37" i="13"/>
  <c r="G37" i="13"/>
  <c r="N32" i="13"/>
  <c r="N30" i="13"/>
  <c r="N29" i="13"/>
  <c r="N28" i="13"/>
  <c r="N26" i="13"/>
  <c r="N25" i="13"/>
  <c r="N24" i="13"/>
  <c r="N23" i="13"/>
  <c r="N22" i="13"/>
  <c r="N21" i="13"/>
  <c r="N20" i="13"/>
  <c r="N19" i="13"/>
  <c r="N18" i="13"/>
  <c r="N17" i="13"/>
  <c r="N16" i="13"/>
  <c r="N15" i="13"/>
  <c r="N14" i="13"/>
  <c r="N13" i="13"/>
  <c r="N12" i="13"/>
  <c r="N11" i="13"/>
  <c r="G30" i="13"/>
  <c r="H30" i="13"/>
  <c r="I30" i="13"/>
  <c r="J30" i="13"/>
  <c r="G32" i="13"/>
  <c r="H32" i="13"/>
  <c r="I32" i="13"/>
  <c r="J32" i="13"/>
  <c r="G17" i="13"/>
  <c r="H17" i="13"/>
  <c r="I17" i="13"/>
  <c r="J17" i="13"/>
  <c r="G18" i="13"/>
  <c r="H18" i="13"/>
  <c r="I18" i="13"/>
  <c r="J18" i="13"/>
  <c r="G19" i="13"/>
  <c r="H19" i="13"/>
  <c r="I19" i="13"/>
  <c r="J19" i="13"/>
  <c r="G20" i="13"/>
  <c r="H20" i="13"/>
  <c r="I20" i="13"/>
  <c r="J20" i="13"/>
  <c r="G21" i="13"/>
  <c r="H21" i="13"/>
  <c r="I21" i="13"/>
  <c r="J21" i="13"/>
  <c r="G22" i="13"/>
  <c r="H22" i="13"/>
  <c r="I22" i="13"/>
  <c r="J22" i="13"/>
  <c r="G23" i="13"/>
  <c r="I23" i="13"/>
  <c r="J23" i="13"/>
  <c r="G24" i="13"/>
  <c r="I24" i="13"/>
  <c r="J24" i="13"/>
  <c r="G25" i="13"/>
  <c r="H25" i="13"/>
  <c r="I25" i="13"/>
  <c r="J25" i="13"/>
  <c r="G26" i="13"/>
  <c r="H26" i="13"/>
  <c r="I26" i="13"/>
  <c r="J26" i="13"/>
  <c r="G28" i="13"/>
  <c r="H28" i="13"/>
  <c r="I28" i="13"/>
  <c r="J28" i="13"/>
  <c r="G29" i="13"/>
  <c r="H29" i="13"/>
  <c r="I29" i="13"/>
  <c r="J29" i="13"/>
  <c r="G11" i="13"/>
  <c r="I11" i="13"/>
  <c r="G12" i="13"/>
  <c r="H12" i="13"/>
  <c r="I12" i="13"/>
  <c r="J12" i="13"/>
  <c r="G13" i="13"/>
  <c r="H13" i="13"/>
  <c r="I13" i="13"/>
  <c r="J13" i="13"/>
  <c r="G16" i="13"/>
  <c r="H16" i="13"/>
  <c r="I16" i="13"/>
  <c r="J16" i="13"/>
  <c r="N10" i="13"/>
  <c r="M10" i="13"/>
  <c r="I10" i="13"/>
  <c r="G10" i="13"/>
  <c r="N48" i="13"/>
  <c r="Q38" i="13"/>
  <c r="P38" i="13"/>
  <c r="O38" i="13"/>
  <c r="N38" i="13"/>
  <c r="N33" i="13"/>
  <c r="N34" i="13"/>
  <c r="M11" i="13"/>
  <c r="M12" i="13"/>
  <c r="M13" i="13"/>
  <c r="M14" i="13"/>
  <c r="M15" i="13"/>
  <c r="M16" i="13"/>
  <c r="M17" i="13"/>
  <c r="M18" i="13"/>
  <c r="M19" i="13"/>
  <c r="M20" i="13"/>
  <c r="M21" i="13"/>
  <c r="M22" i="13"/>
  <c r="M23" i="13"/>
  <c r="M24" i="13"/>
  <c r="M25" i="13"/>
  <c r="M26" i="13"/>
  <c r="M27" i="13"/>
  <c r="M28" i="13"/>
  <c r="M29" i="13"/>
  <c r="M30" i="13"/>
  <c r="M31" i="13"/>
  <c r="M32" i="13"/>
  <c r="M33" i="13"/>
  <c r="A73" i="12"/>
  <c r="AK72" i="12"/>
  <c r="AK71" i="12"/>
  <c r="AK70" i="12"/>
  <c r="H69" i="12"/>
  <c r="H68" i="12"/>
  <c r="M67" i="12"/>
  <c r="M66" i="12"/>
  <c r="M65" i="12"/>
  <c r="H65" i="12"/>
  <c r="H64" i="12"/>
  <c r="AK62" i="12"/>
  <c r="M60" i="12"/>
  <c r="H59" i="12"/>
  <c r="G59" i="12"/>
  <c r="C59" i="12"/>
  <c r="H58" i="12"/>
  <c r="G58" i="12"/>
  <c r="C58" i="12"/>
  <c r="AC57" i="12"/>
  <c r="AA57" i="12"/>
  <c r="AE57" i="12" s="1"/>
  <c r="W57" i="12"/>
  <c r="U57" i="12"/>
  <c r="Z57" i="12" s="1"/>
  <c r="AA56" i="12"/>
  <c r="W56" i="12"/>
  <c r="U56" i="12"/>
  <c r="Y56" i="12" s="1"/>
  <c r="P56" i="12"/>
  <c r="Q56" i="12" s="1"/>
  <c r="O56" i="12"/>
  <c r="AC55" i="12"/>
  <c r="AA55" i="12"/>
  <c r="AE55" i="12" s="1"/>
  <c r="U55" i="12"/>
  <c r="P55" i="12"/>
  <c r="O55" i="12"/>
  <c r="AA54" i="12"/>
  <c r="W54" i="12"/>
  <c r="U54" i="12"/>
  <c r="V54" i="12" s="1"/>
  <c r="P54" i="12"/>
  <c r="Q54" i="12" s="1"/>
  <c r="O54" i="12"/>
  <c r="J60" i="12" s="1"/>
  <c r="AC53" i="12"/>
  <c r="AA53" i="12"/>
  <c r="AD53" i="12" s="1"/>
  <c r="U53" i="12"/>
  <c r="P53" i="12"/>
  <c r="Q53" i="12" s="1"/>
  <c r="O53" i="12"/>
  <c r="W52" i="12"/>
  <c r="U52" i="12"/>
  <c r="Z52" i="12" s="1"/>
  <c r="AC51" i="12"/>
  <c r="AA51" i="12"/>
  <c r="AF51" i="12" s="1"/>
  <c r="U51" i="12"/>
  <c r="P51" i="12"/>
  <c r="O51" i="12"/>
  <c r="C49" i="12"/>
  <c r="C48" i="12"/>
  <c r="AC47" i="12"/>
  <c r="AA47" i="12"/>
  <c r="AB47" i="12" s="1"/>
  <c r="W47" i="12"/>
  <c r="U47" i="12"/>
  <c r="X47" i="12" s="1"/>
  <c r="AC46" i="12"/>
  <c r="AA46" i="12"/>
  <c r="AB46" i="12" s="1"/>
  <c r="U46" i="12"/>
  <c r="X46" i="12" s="1"/>
  <c r="O46" i="12"/>
  <c r="AC45" i="12"/>
  <c r="AA45" i="12"/>
  <c r="AB45" i="12" s="1"/>
  <c r="U45" i="12"/>
  <c r="O45" i="12"/>
  <c r="S45" i="12" s="1"/>
  <c r="AC44" i="12"/>
  <c r="AA44" i="12"/>
  <c r="AF44" i="12" s="1"/>
  <c r="U44" i="12"/>
  <c r="Y44" i="12" s="1"/>
  <c r="O44" i="12"/>
  <c r="S44" i="12" s="1"/>
  <c r="AA43" i="12"/>
  <c r="W43" i="12"/>
  <c r="U43" i="12"/>
  <c r="X43" i="12" s="1"/>
  <c r="O43" i="12"/>
  <c r="AC42" i="12"/>
  <c r="AA42" i="12"/>
  <c r="AB42" i="12" s="1"/>
  <c r="C40" i="12"/>
  <c r="S39" i="12"/>
  <c r="S40" i="12" s="1"/>
  <c r="C39" i="12"/>
  <c r="AC38" i="12"/>
  <c r="AA38" i="12"/>
  <c r="AF38" i="12" s="1"/>
  <c r="W38" i="12"/>
  <c r="U38" i="12"/>
  <c r="V38" i="12" s="1"/>
  <c r="AC37" i="12"/>
  <c r="AA37" i="12"/>
  <c r="U37" i="12"/>
  <c r="O39" i="12"/>
  <c r="C35" i="12"/>
  <c r="C34" i="12"/>
  <c r="AC33" i="12"/>
  <c r="AA33" i="12"/>
  <c r="AB33" i="12" s="1"/>
  <c r="W33" i="12"/>
  <c r="U33" i="12"/>
  <c r="Z33" i="12" s="1"/>
  <c r="O32" i="12"/>
  <c r="S32" i="12" s="1"/>
  <c r="O30" i="12"/>
  <c r="Q30" i="12" s="1"/>
  <c r="O29" i="12"/>
  <c r="P29" i="12" s="1"/>
  <c r="AC28" i="12"/>
  <c r="AA28" i="12"/>
  <c r="AF28" i="12" s="1"/>
  <c r="U28" i="12"/>
  <c r="O28" i="12"/>
  <c r="S28" i="12" s="1"/>
  <c r="W27" i="12"/>
  <c r="U27" i="12"/>
  <c r="Z27" i="12" s="1"/>
  <c r="AC26" i="12"/>
  <c r="AA26" i="12"/>
  <c r="AB26" i="12" s="1"/>
  <c r="U26" i="12"/>
  <c r="O26" i="12"/>
  <c r="AC25" i="12"/>
  <c r="AA25" i="12"/>
  <c r="AF25" i="12" s="1"/>
  <c r="U25" i="12"/>
  <c r="O25" i="12"/>
  <c r="S25" i="12" s="1"/>
  <c r="W24" i="12"/>
  <c r="U24" i="12"/>
  <c r="X24" i="12" s="1"/>
  <c r="O24" i="12"/>
  <c r="AC23" i="12"/>
  <c r="AA23" i="12"/>
  <c r="AB23" i="12" s="1"/>
  <c r="O23" i="12"/>
  <c r="AC22" i="12"/>
  <c r="AA22" i="12"/>
  <c r="AE22" i="12" s="1"/>
  <c r="U22" i="12"/>
  <c r="O22" i="12"/>
  <c r="AC21" i="12"/>
  <c r="AA21" i="12"/>
  <c r="AF21" i="12" s="1"/>
  <c r="U21" i="12"/>
  <c r="O21" i="12"/>
  <c r="Q21" i="12" s="1"/>
  <c r="AA20" i="12"/>
  <c r="AD20" i="12" s="1"/>
  <c r="W20" i="12"/>
  <c r="U20" i="12"/>
  <c r="Y20" i="12" s="1"/>
  <c r="O20" i="12"/>
  <c r="P20" i="12" s="1"/>
  <c r="AC19" i="12"/>
  <c r="AA19" i="12"/>
  <c r="AF19" i="12" s="1"/>
  <c r="U19" i="12"/>
  <c r="O19" i="12"/>
  <c r="S19" i="12" s="1"/>
  <c r="AC18" i="12"/>
  <c r="AA18" i="12"/>
  <c r="AF18" i="12" s="1"/>
  <c r="U18" i="12"/>
  <c r="O18" i="12"/>
  <c r="S18" i="12" s="1"/>
  <c r="AC17" i="12"/>
  <c r="AA17" i="12"/>
  <c r="AD17" i="12" s="1"/>
  <c r="U17" i="12"/>
  <c r="O17" i="12"/>
  <c r="P17" i="12" s="1"/>
  <c r="AC16" i="12"/>
  <c r="AA16" i="12"/>
  <c r="AF16" i="12" s="1"/>
  <c r="U16" i="12"/>
  <c r="O16" i="12"/>
  <c r="S16" i="12" s="1"/>
  <c r="AA15" i="12"/>
  <c r="W15" i="12"/>
  <c r="U15" i="12"/>
  <c r="Z15" i="12" s="1"/>
  <c r="O15" i="12"/>
  <c r="Q15" i="12" s="1"/>
  <c r="AC14" i="12"/>
  <c r="AA14" i="12"/>
  <c r="AD14" i="12" s="1"/>
  <c r="U14" i="12"/>
  <c r="O14" i="12"/>
  <c r="P14" i="12" s="1"/>
  <c r="AA13" i="12"/>
  <c r="AE13" i="12" s="1"/>
  <c r="W13" i="12"/>
  <c r="U13" i="12"/>
  <c r="V13" i="12" s="1"/>
  <c r="O13" i="12"/>
  <c r="AC12" i="12"/>
  <c r="AA12" i="12"/>
  <c r="AF12" i="12" s="1"/>
  <c r="U12" i="12"/>
  <c r="Y12" i="12" s="1"/>
  <c r="O12" i="12"/>
  <c r="S12" i="12" s="1"/>
  <c r="AA11" i="12"/>
  <c r="W11" i="12"/>
  <c r="U11" i="12"/>
  <c r="Y11" i="12" s="1"/>
  <c r="O11" i="12"/>
  <c r="P11" i="12" s="1"/>
  <c r="AC10" i="12"/>
  <c r="AA10" i="12"/>
  <c r="AF10" i="12" s="1"/>
  <c r="U10" i="12"/>
  <c r="O10" i="12"/>
  <c r="S10" i="12" s="1"/>
  <c r="A5" i="12"/>
  <c r="A4" i="12"/>
  <c r="W1" i="12"/>
  <c r="W1" i="35"/>
  <c r="A4" i="35"/>
  <c r="A5" i="35"/>
  <c r="O10" i="35"/>
  <c r="P10" i="35" s="1"/>
  <c r="U10" i="35"/>
  <c r="Z10" i="35" s="1"/>
  <c r="Y10" i="35"/>
  <c r="AA10" i="35"/>
  <c r="AC10" i="35"/>
  <c r="O11" i="35"/>
  <c r="P11" i="35" s="1"/>
  <c r="AF11" i="35" s="1"/>
  <c r="AE11" i="35" s="1"/>
  <c r="S11" i="35"/>
  <c r="U11" i="35"/>
  <c r="W11" i="35"/>
  <c r="AA11" i="35"/>
  <c r="AB11" i="35" s="1"/>
  <c r="AC11" i="35"/>
  <c r="O12" i="35"/>
  <c r="U12" i="35"/>
  <c r="V12" i="35" s="1"/>
  <c r="Y12" i="35"/>
  <c r="AA12" i="35"/>
  <c r="AD12" i="35" s="1"/>
  <c r="AB12" i="35"/>
  <c r="AC12" i="35"/>
  <c r="AE12" i="35"/>
  <c r="AF12" i="35"/>
  <c r="O13" i="35"/>
  <c r="P13" i="35" s="1"/>
  <c r="U13" i="35"/>
  <c r="Z13" i="35" s="1"/>
  <c r="W13" i="35"/>
  <c r="X13" i="35"/>
  <c r="Y13" i="35"/>
  <c r="AA13" i="35"/>
  <c r="AB13" i="35" s="1"/>
  <c r="O14" i="35"/>
  <c r="P14" i="35" s="1"/>
  <c r="S14" i="35"/>
  <c r="U14" i="35"/>
  <c r="AA14" i="35"/>
  <c r="AB14" i="35" s="1"/>
  <c r="AC14" i="35"/>
  <c r="AE14" i="35"/>
  <c r="AF14" i="35"/>
  <c r="O15" i="35"/>
  <c r="AB15" i="35" s="1"/>
  <c r="U15" i="35"/>
  <c r="V15" i="35" s="1"/>
  <c r="W15" i="35"/>
  <c r="Y15" i="35"/>
  <c r="AA15" i="35"/>
  <c r="AC15" i="35"/>
  <c r="O16" i="35"/>
  <c r="P16" i="35" s="1"/>
  <c r="U16" i="35"/>
  <c r="AA16" i="35"/>
  <c r="AB16" i="35" s="1"/>
  <c r="AC16" i="35"/>
  <c r="O17" i="35"/>
  <c r="P17" i="35" s="1"/>
  <c r="S17" i="35"/>
  <c r="U17" i="35"/>
  <c r="AA17" i="35"/>
  <c r="AB17" i="35" s="1"/>
  <c r="AC17" i="35"/>
  <c r="AE17" i="35"/>
  <c r="AF17" i="35"/>
  <c r="O18" i="35"/>
  <c r="U18" i="35"/>
  <c r="AA18" i="35"/>
  <c r="AD18" i="35" s="1"/>
  <c r="AB18" i="35"/>
  <c r="AC18" i="35"/>
  <c r="AE18" i="35"/>
  <c r="AF18" i="35"/>
  <c r="O19" i="35"/>
  <c r="P19" i="35" s="1"/>
  <c r="U19" i="35"/>
  <c r="X19" i="35"/>
  <c r="Y19" i="35"/>
  <c r="AA19" i="35"/>
  <c r="AB19" i="35" s="1"/>
  <c r="AC19" i="35"/>
  <c r="O20" i="35"/>
  <c r="P20" i="35" s="1"/>
  <c r="AF20" i="35" s="1"/>
  <c r="S20" i="35"/>
  <c r="U20" i="35"/>
  <c r="W20" i="35"/>
  <c r="AA20" i="35"/>
  <c r="AB20" i="35" s="1"/>
  <c r="AC20" i="35"/>
  <c r="AE20" i="35"/>
  <c r="O21" i="35"/>
  <c r="U21" i="35"/>
  <c r="V21" i="35" s="1"/>
  <c r="AA21" i="35"/>
  <c r="AD21" i="35" s="1"/>
  <c r="AB21" i="35"/>
  <c r="AC21" i="35"/>
  <c r="AE21" i="35"/>
  <c r="AF21" i="35"/>
  <c r="O22" i="35"/>
  <c r="P22" i="35" s="1"/>
  <c r="U22" i="35"/>
  <c r="AA22" i="35"/>
  <c r="AB22" i="35" s="1"/>
  <c r="AC22" i="35"/>
  <c r="H23" i="35"/>
  <c r="U23" i="35" s="1"/>
  <c r="AA23" i="35"/>
  <c r="AB23" i="35"/>
  <c r="AC23" i="35"/>
  <c r="AD23" i="35"/>
  <c r="AE23" i="35"/>
  <c r="AF23" i="35"/>
  <c r="H24" i="35"/>
  <c r="O24" i="35"/>
  <c r="P24" i="35" s="1"/>
  <c r="U24" i="35"/>
  <c r="V24" i="35" s="1"/>
  <c r="W24" i="35"/>
  <c r="Y24" i="35"/>
  <c r="Z24" i="35"/>
  <c r="AA24" i="35"/>
  <c r="O25" i="35"/>
  <c r="P25" i="35" s="1"/>
  <c r="Z25" i="35" s="1"/>
  <c r="Q25" i="35"/>
  <c r="U25" i="35"/>
  <c r="X25" i="35" s="1"/>
  <c r="V25" i="35"/>
  <c r="W25" i="35"/>
  <c r="Y25" i="35"/>
  <c r="AA25" i="35"/>
  <c r="AB25" i="35" s="1"/>
  <c r="AC25" i="35"/>
  <c r="AE25" i="35"/>
  <c r="O26" i="35"/>
  <c r="S26" i="35" s="1"/>
  <c r="P26" i="35"/>
  <c r="Q26" i="35"/>
  <c r="U26" i="35"/>
  <c r="V26" i="35" s="1"/>
  <c r="AA26" i="35"/>
  <c r="AF26" i="35" s="1"/>
  <c r="AC26" i="35"/>
  <c r="AD26" i="35"/>
  <c r="AE26" i="35"/>
  <c r="U27" i="35"/>
  <c r="V27" i="35" s="1"/>
  <c r="W27" i="35"/>
  <c r="O28" i="35"/>
  <c r="P28" i="35"/>
  <c r="Z28" i="35" s="1"/>
  <c r="U28" i="35"/>
  <c r="AA28" i="35"/>
  <c r="AE28" i="35" s="1"/>
  <c r="AB28" i="35"/>
  <c r="AC28" i="35"/>
  <c r="AD28" i="35"/>
  <c r="AF28" i="35"/>
  <c r="O29" i="35"/>
  <c r="P29" i="35" s="1"/>
  <c r="O30" i="35"/>
  <c r="Q30" i="35" s="1"/>
  <c r="P30" i="35"/>
  <c r="S30" i="35"/>
  <c r="O32" i="35"/>
  <c r="P32" i="35" s="1"/>
  <c r="Q32" i="35"/>
  <c r="U33" i="35"/>
  <c r="V33" i="35" s="1"/>
  <c r="W33" i="35"/>
  <c r="AA33" i="35"/>
  <c r="AF33" i="35" s="1"/>
  <c r="AC33" i="35"/>
  <c r="AD33" i="35"/>
  <c r="AE33" i="35"/>
  <c r="C34" i="35"/>
  <c r="C35" i="35"/>
  <c r="O37" i="35"/>
  <c r="U37" i="35"/>
  <c r="V37" i="35" s="1"/>
  <c r="V39" i="35" s="1"/>
  <c r="X39" i="35" s="1"/>
  <c r="AA37" i="35"/>
  <c r="AE37" i="35" s="1"/>
  <c r="AB37" i="35"/>
  <c r="AC37" i="35"/>
  <c r="AC39" i="35" s="1"/>
  <c r="AD37" i="35"/>
  <c r="AF37" i="35"/>
  <c r="AF39" i="35" s="1"/>
  <c r="U38" i="35"/>
  <c r="V38" i="35" s="1"/>
  <c r="W38" i="35"/>
  <c r="Z38" i="35"/>
  <c r="AA38" i="35"/>
  <c r="AE38" i="35" s="1"/>
  <c r="AB38" i="35"/>
  <c r="AC38" i="35"/>
  <c r="AD38" i="35"/>
  <c r="AF38" i="35"/>
  <c r="C39" i="35"/>
  <c r="S39" i="35"/>
  <c r="U39" i="35"/>
  <c r="AA39" i="35"/>
  <c r="AD39" i="35" s="1"/>
  <c r="AB39" i="35"/>
  <c r="C40" i="35"/>
  <c r="S40" i="35"/>
  <c r="AA42" i="35"/>
  <c r="AB42" i="35" s="1"/>
  <c r="AC42" i="35"/>
  <c r="AF42" i="35"/>
  <c r="O43" i="35"/>
  <c r="P43" i="35"/>
  <c r="Q43" i="35"/>
  <c r="S43" i="35"/>
  <c r="U43" i="35"/>
  <c r="V43" i="35"/>
  <c r="W43" i="35"/>
  <c r="X43" i="35"/>
  <c r="Y43" i="35"/>
  <c r="Z43" i="35"/>
  <c r="AA43" i="35"/>
  <c r="AB43" i="35"/>
  <c r="AD43" i="35" s="1"/>
  <c r="AC43" i="35"/>
  <c r="AF43" i="35"/>
  <c r="AE43" i="35" s="1"/>
  <c r="O44" i="35"/>
  <c r="P44" i="35"/>
  <c r="Z44" i="35" s="1"/>
  <c r="Q44" i="35"/>
  <c r="S44" i="35"/>
  <c r="U44" i="35"/>
  <c r="W44" i="35" s="1"/>
  <c r="V44" i="35"/>
  <c r="X44" i="35"/>
  <c r="Y44" i="35"/>
  <c r="AA44" i="35"/>
  <c r="AB44" i="35" s="1"/>
  <c r="AC44" i="35"/>
  <c r="O45" i="35"/>
  <c r="P45" i="35"/>
  <c r="Q45" i="35" s="1"/>
  <c r="S45" i="35"/>
  <c r="U45" i="35"/>
  <c r="Y45" i="35" s="1"/>
  <c r="V45" i="35"/>
  <c r="W45" i="35"/>
  <c r="X45" i="35"/>
  <c r="Z45" i="35"/>
  <c r="AA45" i="35"/>
  <c r="AB45" i="35" s="1"/>
  <c r="AC45" i="35"/>
  <c r="AF45" i="35"/>
  <c r="O46" i="35"/>
  <c r="P46" i="35"/>
  <c r="Z46" i="35" s="1"/>
  <c r="S46" i="35"/>
  <c r="Q46" i="35" s="1"/>
  <c r="U46" i="35"/>
  <c r="V46" i="35"/>
  <c r="W46" i="35"/>
  <c r="X46" i="35"/>
  <c r="Y46" i="35"/>
  <c r="AA46" i="35"/>
  <c r="AB46" i="35" s="1"/>
  <c r="AC46" i="35"/>
  <c r="AE46" i="35"/>
  <c r="AF46" i="35"/>
  <c r="U47" i="35"/>
  <c r="V47" i="35"/>
  <c r="W47" i="35"/>
  <c r="X47" i="35"/>
  <c r="Y47" i="35"/>
  <c r="Z47" i="35"/>
  <c r="AA47" i="35"/>
  <c r="AC47" i="35"/>
  <c r="AE47" i="35"/>
  <c r="AF47" i="35"/>
  <c r="C48" i="35"/>
  <c r="AA48" i="35"/>
  <c r="AC48" i="35"/>
  <c r="C49" i="35"/>
  <c r="O51" i="35"/>
  <c r="P51" i="35"/>
  <c r="U51" i="35"/>
  <c r="V51" i="35" s="1"/>
  <c r="AA51" i="35"/>
  <c r="AF51" i="35" s="1"/>
  <c r="AC51" i="35"/>
  <c r="AD51" i="35"/>
  <c r="AE51" i="35"/>
  <c r="U52" i="35"/>
  <c r="Y52" i="35" s="1"/>
  <c r="W52" i="35"/>
  <c r="X52" i="35"/>
  <c r="Z52" i="35"/>
  <c r="O53" i="35"/>
  <c r="P53" i="35"/>
  <c r="Q53" i="35"/>
  <c r="U53" i="35"/>
  <c r="W53" i="35"/>
  <c r="AA53" i="35"/>
  <c r="AB53" i="35"/>
  <c r="AC53" i="35"/>
  <c r="AD53" i="35"/>
  <c r="AE53" i="35"/>
  <c r="AF53" i="35"/>
  <c r="O54" i="35"/>
  <c r="P54" i="35"/>
  <c r="Q54" i="35"/>
  <c r="AF54" i="35" s="1"/>
  <c r="U54" i="35"/>
  <c r="V54" i="35" s="1"/>
  <c r="W54" i="35"/>
  <c r="Y54" i="35"/>
  <c r="Z54" i="35"/>
  <c r="AA54" i="35"/>
  <c r="AC54" i="35"/>
  <c r="O55" i="35"/>
  <c r="O62" i="35" s="1"/>
  <c r="P55" i="35"/>
  <c r="Q55" i="35" s="1"/>
  <c r="U55" i="35"/>
  <c r="V55" i="35"/>
  <c r="X55" i="35" s="1"/>
  <c r="W55" i="35"/>
  <c r="Z55" i="35"/>
  <c r="Y55" i="35" s="1"/>
  <c r="AA55" i="35"/>
  <c r="AC55" i="35"/>
  <c r="O56" i="35"/>
  <c r="P56" i="35"/>
  <c r="Q56" i="35" s="1"/>
  <c r="AF56" i="35" s="1"/>
  <c r="AE56" i="35" s="1"/>
  <c r="U56" i="35"/>
  <c r="Y56" i="35" s="1"/>
  <c r="W56" i="35"/>
  <c r="X56" i="35"/>
  <c r="Z56" i="35"/>
  <c r="AA56" i="35"/>
  <c r="AB56" i="35" s="1"/>
  <c r="U57" i="35"/>
  <c r="W57" i="35"/>
  <c r="AA57" i="35"/>
  <c r="AB57" i="35"/>
  <c r="AC57" i="35"/>
  <c r="AD57" i="35"/>
  <c r="AE57" i="35"/>
  <c r="AF57" i="35"/>
  <c r="C58" i="35"/>
  <c r="G58" i="35"/>
  <c r="H58" i="35"/>
  <c r="H60" i="35" s="1"/>
  <c r="I60" i="35" s="1"/>
  <c r="C59" i="35"/>
  <c r="G59" i="35"/>
  <c r="H59" i="35"/>
  <c r="G60" i="35"/>
  <c r="M60" i="35"/>
  <c r="AK62" i="35"/>
  <c r="O63" i="35"/>
  <c r="H64" i="35"/>
  <c r="O64" i="35"/>
  <c r="H65" i="35"/>
  <c r="M65" i="35"/>
  <c r="M66" i="35"/>
  <c r="O66" i="35"/>
  <c r="M67" i="35"/>
  <c r="O67" i="35"/>
  <c r="H68" i="35"/>
  <c r="H69" i="35"/>
  <c r="AK70" i="35"/>
  <c r="AK71" i="35"/>
  <c r="AK73" i="35" s="1"/>
  <c r="AK72" i="35"/>
  <c r="A73" i="35"/>
  <c r="O77" i="35"/>
  <c r="P77" i="35"/>
  <c r="Q77" i="35" s="1"/>
  <c r="B78" i="35"/>
  <c r="F78" i="35"/>
  <c r="G78" i="35"/>
  <c r="H78" i="35"/>
  <c r="O78" i="35"/>
  <c r="O79" i="35" s="1"/>
  <c r="P78" i="35"/>
  <c r="Q78" i="35" s="1"/>
  <c r="G79" i="35"/>
  <c r="H79" i="35"/>
  <c r="I79" i="35"/>
  <c r="J79" i="35"/>
  <c r="K79" i="35"/>
  <c r="L79" i="35"/>
  <c r="M79" i="35"/>
  <c r="N79" i="35"/>
  <c r="P79" i="35"/>
  <c r="P186" i="35" s="1"/>
  <c r="Q79" i="35"/>
  <c r="Q186" i="35" s="1"/>
  <c r="O83" i="35"/>
  <c r="P83" i="35"/>
  <c r="Q83" i="35" s="1"/>
  <c r="B84" i="35"/>
  <c r="F84" i="35"/>
  <c r="G84" i="35"/>
  <c r="H84" i="35"/>
  <c r="G85" i="35"/>
  <c r="H85" i="35"/>
  <c r="I85" i="35"/>
  <c r="J85" i="35"/>
  <c r="K85" i="35"/>
  <c r="L85" i="35"/>
  <c r="M85" i="35"/>
  <c r="N85" i="35"/>
  <c r="O89" i="35"/>
  <c r="P89" i="35"/>
  <c r="Q89" i="35" s="1"/>
  <c r="B90" i="35"/>
  <c r="F90" i="35"/>
  <c r="G90" i="35"/>
  <c r="H90" i="35"/>
  <c r="H91" i="35" s="1"/>
  <c r="O90" i="35"/>
  <c r="O91" i="35" s="1"/>
  <c r="O188" i="35" s="1"/>
  <c r="G91" i="35"/>
  <c r="I91" i="35"/>
  <c r="J91" i="35"/>
  <c r="K91" i="35"/>
  <c r="L91" i="35"/>
  <c r="M91" i="35"/>
  <c r="N91" i="35"/>
  <c r="O95" i="35"/>
  <c r="P95" i="35" s="1"/>
  <c r="Q95" i="35" s="1"/>
  <c r="B96" i="35"/>
  <c r="F96" i="35"/>
  <c r="G96" i="35"/>
  <c r="O96" i="35" s="1"/>
  <c r="H96" i="35"/>
  <c r="H97" i="35" s="1"/>
  <c r="I97" i="35"/>
  <c r="J97" i="35"/>
  <c r="K97" i="35"/>
  <c r="L97" i="35"/>
  <c r="M97" i="35"/>
  <c r="N97" i="35"/>
  <c r="O101" i="35"/>
  <c r="P101" i="35" s="1"/>
  <c r="Q101" i="35" s="1"/>
  <c r="B102" i="35"/>
  <c r="F102" i="35"/>
  <c r="G102" i="35"/>
  <c r="H102" i="35"/>
  <c r="O102" i="35"/>
  <c r="P102" i="35" s="1"/>
  <c r="G103" i="35"/>
  <c r="H103" i="35"/>
  <c r="I103" i="35"/>
  <c r="J103" i="35"/>
  <c r="K103" i="35"/>
  <c r="L103" i="35"/>
  <c r="M103" i="35"/>
  <c r="N103" i="35"/>
  <c r="O107" i="35"/>
  <c r="P107" i="35"/>
  <c r="Q107" i="35" s="1"/>
  <c r="B108" i="35"/>
  <c r="F108" i="35"/>
  <c r="G108" i="35"/>
  <c r="H108" i="35"/>
  <c r="O108" i="35" s="1"/>
  <c r="P108" i="35" s="1"/>
  <c r="G109" i="35"/>
  <c r="H109" i="35"/>
  <c r="I109" i="35"/>
  <c r="J109" i="35"/>
  <c r="K109" i="35"/>
  <c r="L109" i="35"/>
  <c r="M109" i="35"/>
  <c r="N109" i="35"/>
  <c r="O109" i="35"/>
  <c r="O190" i="35" s="1"/>
  <c r="O113" i="35"/>
  <c r="P113" i="35"/>
  <c r="P115" i="35" s="1"/>
  <c r="Q113" i="35"/>
  <c r="B114" i="35"/>
  <c r="F114" i="35"/>
  <c r="G114" i="35"/>
  <c r="P114" i="35" s="1"/>
  <c r="H114" i="35"/>
  <c r="H115" i="35" s="1"/>
  <c r="O114" i="35"/>
  <c r="Q114" i="35"/>
  <c r="G115" i="35"/>
  <c r="I115" i="35"/>
  <c r="J115" i="35"/>
  <c r="K115" i="35"/>
  <c r="L115" i="35"/>
  <c r="M115" i="35"/>
  <c r="N115" i="35"/>
  <c r="O115" i="35"/>
  <c r="O119" i="35"/>
  <c r="P119" i="35" s="1"/>
  <c r="Q119" i="35" s="1"/>
  <c r="B120" i="35"/>
  <c r="F120" i="35"/>
  <c r="G120" i="35"/>
  <c r="H120" i="35"/>
  <c r="H121" i="35" s="1"/>
  <c r="O120" i="35"/>
  <c r="P120" i="35" s="1"/>
  <c r="P121" i="35" s="1"/>
  <c r="Q120" i="35"/>
  <c r="Q121" i="35" s="1"/>
  <c r="G121" i="35"/>
  <c r="I121" i="35"/>
  <c r="J121" i="35"/>
  <c r="K121" i="35"/>
  <c r="L121" i="35"/>
  <c r="M121" i="35"/>
  <c r="N121" i="35"/>
  <c r="O125" i="35"/>
  <c r="P125" i="35"/>
  <c r="Q125" i="35" s="1"/>
  <c r="B126" i="35"/>
  <c r="F126" i="35"/>
  <c r="G126" i="35"/>
  <c r="H126" i="35"/>
  <c r="O126" i="35"/>
  <c r="O127" i="35" s="1"/>
  <c r="G127" i="35"/>
  <c r="H127" i="35"/>
  <c r="I127" i="35"/>
  <c r="J127" i="35"/>
  <c r="K127" i="35"/>
  <c r="L127" i="35"/>
  <c r="M127" i="35"/>
  <c r="N127" i="35"/>
  <c r="O131" i="35"/>
  <c r="P131" i="35" s="1"/>
  <c r="Q131" i="35" s="1"/>
  <c r="B132" i="35"/>
  <c r="F132" i="35"/>
  <c r="G132" i="35"/>
  <c r="H132" i="35"/>
  <c r="O132" i="35" s="1"/>
  <c r="P132" i="35" s="1"/>
  <c r="G133" i="35"/>
  <c r="H133" i="35"/>
  <c r="I133" i="35"/>
  <c r="J133" i="35"/>
  <c r="K133" i="35"/>
  <c r="L133" i="35"/>
  <c r="M133" i="35"/>
  <c r="N133" i="35"/>
  <c r="O137" i="35"/>
  <c r="P137" i="35"/>
  <c r="Q137" i="35"/>
  <c r="S137" i="35"/>
  <c r="B138" i="35"/>
  <c r="F138" i="35"/>
  <c r="G138" i="35"/>
  <c r="H138" i="35"/>
  <c r="H139" i="35"/>
  <c r="I139" i="35"/>
  <c r="J139" i="35"/>
  <c r="K139" i="35"/>
  <c r="L139" i="35"/>
  <c r="M139" i="35"/>
  <c r="N139" i="35"/>
  <c r="O143" i="35"/>
  <c r="P143" i="35"/>
  <c r="Q143" i="35"/>
  <c r="S143" i="35"/>
  <c r="B144" i="35"/>
  <c r="F144" i="35"/>
  <c r="G144" i="35"/>
  <c r="H144" i="35"/>
  <c r="H145" i="35"/>
  <c r="I145" i="35"/>
  <c r="J145" i="35"/>
  <c r="K145" i="35"/>
  <c r="L145" i="35"/>
  <c r="M145" i="35"/>
  <c r="N145" i="35"/>
  <c r="O150" i="35"/>
  <c r="P150" i="35"/>
  <c r="Q150" i="35"/>
  <c r="S150" i="35"/>
  <c r="B151" i="35"/>
  <c r="F151" i="35"/>
  <c r="G151" i="35"/>
  <c r="H151" i="35"/>
  <c r="H152" i="35" s="1"/>
  <c r="I152" i="35"/>
  <c r="J152" i="35"/>
  <c r="K152" i="35"/>
  <c r="L152" i="35"/>
  <c r="M152" i="35"/>
  <c r="N152" i="35"/>
  <c r="O156" i="35"/>
  <c r="P156" i="35"/>
  <c r="Q156" i="35"/>
  <c r="S156" i="35"/>
  <c r="B157" i="35"/>
  <c r="F157" i="35"/>
  <c r="G157" i="35"/>
  <c r="H157" i="35"/>
  <c r="H158" i="35"/>
  <c r="I158" i="35"/>
  <c r="J158" i="35"/>
  <c r="K158" i="35"/>
  <c r="L158" i="35"/>
  <c r="M158" i="35"/>
  <c r="N158" i="35"/>
  <c r="O162" i="35"/>
  <c r="P162" i="35"/>
  <c r="Q162" i="35"/>
  <c r="S162" i="35"/>
  <c r="B163" i="35"/>
  <c r="F163" i="35"/>
  <c r="G163" i="35"/>
  <c r="H163" i="35"/>
  <c r="H164" i="35" s="1"/>
  <c r="I164" i="35"/>
  <c r="J164" i="35"/>
  <c r="K164" i="35"/>
  <c r="L164" i="35"/>
  <c r="M164" i="35"/>
  <c r="N164" i="35"/>
  <c r="O168" i="35"/>
  <c r="P168" i="35"/>
  <c r="Q168" i="35"/>
  <c r="S168" i="35"/>
  <c r="B169" i="35"/>
  <c r="F169" i="35"/>
  <c r="G169" i="35"/>
  <c r="H169" i="35"/>
  <c r="H170" i="35" s="1"/>
  <c r="I170" i="35"/>
  <c r="J170" i="35"/>
  <c r="K170" i="35"/>
  <c r="L170" i="35"/>
  <c r="M170" i="35"/>
  <c r="N170" i="35"/>
  <c r="O174" i="35"/>
  <c r="P174" i="35"/>
  <c r="Q174" i="35"/>
  <c r="S174" i="35"/>
  <c r="B175" i="35"/>
  <c r="F175" i="35"/>
  <c r="G175" i="35"/>
  <c r="H175" i="35"/>
  <c r="H176" i="35"/>
  <c r="I176" i="35"/>
  <c r="J176" i="35"/>
  <c r="K176" i="35"/>
  <c r="L176" i="35"/>
  <c r="M176" i="35"/>
  <c r="N176" i="35"/>
  <c r="R176" i="35"/>
  <c r="T176" i="35"/>
  <c r="O180" i="35"/>
  <c r="S180" i="35" s="1"/>
  <c r="P180" i="35"/>
  <c r="Q180" i="35"/>
  <c r="B181" i="35"/>
  <c r="F181" i="35"/>
  <c r="G181" i="35"/>
  <c r="H181" i="35"/>
  <c r="O181" i="35" s="1"/>
  <c r="S181" i="35"/>
  <c r="S182" i="35" s="1"/>
  <c r="G182" i="35"/>
  <c r="H182" i="35"/>
  <c r="I182" i="35"/>
  <c r="J182" i="35"/>
  <c r="K182" i="35"/>
  <c r="L182" i="35"/>
  <c r="M182" i="35"/>
  <c r="N182" i="35"/>
  <c r="N186" i="35"/>
  <c r="O186" i="35"/>
  <c r="S187" i="35"/>
  <c r="S193" i="35" s="1"/>
  <c r="N195" i="35"/>
  <c r="R195" i="35"/>
  <c r="R199" i="35" s="1"/>
  <c r="T195" i="35"/>
  <c r="N196" i="35"/>
  <c r="N197" i="35"/>
  <c r="N198" i="35"/>
  <c r="R198" i="35"/>
  <c r="O207" i="35"/>
  <c r="P207" i="35"/>
  <c r="Q207" i="35" s="1"/>
  <c r="B208" i="35"/>
  <c r="F208" i="35"/>
  <c r="G208" i="35"/>
  <c r="G209" i="35" s="1"/>
  <c r="H208" i="35"/>
  <c r="H209" i="35" s="1"/>
  <c r="O208" i="35"/>
  <c r="O209" i="35" s="1"/>
  <c r="I209" i="35"/>
  <c r="J209" i="35"/>
  <c r="K209" i="35"/>
  <c r="L209" i="35"/>
  <c r="M209" i="35"/>
  <c r="N209" i="35"/>
  <c r="O213" i="35"/>
  <c r="Q213" i="35" s="1"/>
  <c r="P213" i="35"/>
  <c r="B214" i="35"/>
  <c r="F214" i="35"/>
  <c r="O214" i="35"/>
  <c r="P214" i="35" s="1"/>
  <c r="P215" i="35" s="1"/>
  <c r="G215" i="35"/>
  <c r="H215" i="35"/>
  <c r="I215" i="35"/>
  <c r="J215" i="35"/>
  <c r="K215" i="35"/>
  <c r="L215" i="35"/>
  <c r="M215" i="35"/>
  <c r="N215" i="35"/>
  <c r="O215" i="35"/>
  <c r="O219" i="35"/>
  <c r="P219" i="35" s="1"/>
  <c r="S219" i="35"/>
  <c r="B220" i="35"/>
  <c r="F220" i="35"/>
  <c r="G220" i="35"/>
  <c r="O220" i="35" s="1"/>
  <c r="P220" i="35"/>
  <c r="P221" i="35" s="1"/>
  <c r="S220" i="35"/>
  <c r="S221" i="35" s="1"/>
  <c r="G221" i="35"/>
  <c r="H221" i="35"/>
  <c r="I221" i="35"/>
  <c r="J221" i="35"/>
  <c r="K221" i="35"/>
  <c r="L221" i="35"/>
  <c r="M221" i="35"/>
  <c r="N221" i="35"/>
  <c r="O225" i="35"/>
  <c r="Q225" i="35" s="1"/>
  <c r="B226" i="35"/>
  <c r="F226" i="35"/>
  <c r="O226" i="35"/>
  <c r="Q226" i="35" s="1"/>
  <c r="P226" i="35"/>
  <c r="S226" i="35"/>
  <c r="G227" i="35"/>
  <c r="H227" i="35"/>
  <c r="I227" i="35"/>
  <c r="J227" i="35"/>
  <c r="K227" i="35"/>
  <c r="L227" i="35"/>
  <c r="M227" i="35"/>
  <c r="N227" i="35"/>
  <c r="O231" i="35"/>
  <c r="Q231" i="35" s="1"/>
  <c r="P231" i="35"/>
  <c r="B232" i="35"/>
  <c r="F232" i="35"/>
  <c r="O232" i="35"/>
  <c r="P232" i="35" s="1"/>
  <c r="G233" i="35"/>
  <c r="H233" i="35"/>
  <c r="I233" i="35"/>
  <c r="J233" i="35"/>
  <c r="K233" i="35"/>
  <c r="L233" i="35"/>
  <c r="M233" i="35"/>
  <c r="N233" i="35"/>
  <c r="O233" i="35"/>
  <c r="O237" i="35"/>
  <c r="P237" i="35"/>
  <c r="Q237" i="35"/>
  <c r="S237" i="35"/>
  <c r="B238" i="35"/>
  <c r="F238" i="35"/>
  <c r="O238" i="35"/>
  <c r="S238" i="35" s="1"/>
  <c r="P238" i="35"/>
  <c r="P239" i="35" s="1"/>
  <c r="G239" i="35"/>
  <c r="H239" i="35"/>
  <c r="I239" i="35"/>
  <c r="J239" i="35"/>
  <c r="K239" i="35"/>
  <c r="L239" i="35"/>
  <c r="M239" i="35"/>
  <c r="N239" i="35"/>
  <c r="O239" i="35"/>
  <c r="O243" i="35"/>
  <c r="Q243" i="35" s="1"/>
  <c r="P243" i="35"/>
  <c r="S243" i="35"/>
  <c r="B244" i="35"/>
  <c r="F244" i="35"/>
  <c r="O244" i="35"/>
  <c r="P244" i="35" s="1"/>
  <c r="P245" i="35" s="1"/>
  <c r="Q244" i="35"/>
  <c r="S244" i="35"/>
  <c r="G245" i="35"/>
  <c r="H245" i="35"/>
  <c r="I245" i="35"/>
  <c r="J245" i="35"/>
  <c r="K245" i="35"/>
  <c r="L245" i="35"/>
  <c r="M245" i="35"/>
  <c r="N245" i="35"/>
  <c r="O245" i="35"/>
  <c r="Q245" i="35"/>
  <c r="S245" i="35"/>
  <c r="O249" i="35"/>
  <c r="P249" i="35" s="1"/>
  <c r="B250" i="35"/>
  <c r="F250" i="35"/>
  <c r="O250" i="35"/>
  <c r="P250" i="35" s="1"/>
  <c r="P251" i="35" s="1"/>
  <c r="G251" i="35"/>
  <c r="H251" i="35"/>
  <c r="I251" i="35"/>
  <c r="J251" i="35"/>
  <c r="K251" i="35"/>
  <c r="L251" i="35"/>
  <c r="M251" i="35"/>
  <c r="N251" i="35"/>
  <c r="O255" i="35"/>
  <c r="S255" i="35" s="1"/>
  <c r="P255" i="35"/>
  <c r="Q255" i="35"/>
  <c r="B256" i="35"/>
  <c r="F256" i="35"/>
  <c r="G256" i="35"/>
  <c r="O256" i="35" s="1"/>
  <c r="H257" i="35"/>
  <c r="I257" i="35"/>
  <c r="J257" i="35"/>
  <c r="K257" i="35"/>
  <c r="L257" i="35"/>
  <c r="M257" i="35"/>
  <c r="N257" i="35"/>
  <c r="R257" i="35"/>
  <c r="T257" i="35"/>
  <c r="O261" i="35"/>
  <c r="P261" i="35"/>
  <c r="Q261" i="35"/>
  <c r="S261" i="35"/>
  <c r="B262" i="35"/>
  <c r="F262" i="35"/>
  <c r="G262" i="35"/>
  <c r="O262" i="35"/>
  <c r="O263" i="35" s="1"/>
  <c r="O325" i="35" s="1"/>
  <c r="G263" i="35"/>
  <c r="H263" i="35"/>
  <c r="I263" i="35"/>
  <c r="J263" i="35"/>
  <c r="K263" i="35"/>
  <c r="L263" i="35"/>
  <c r="M263" i="35"/>
  <c r="N263" i="35"/>
  <c r="O267" i="35"/>
  <c r="P267" i="35" s="1"/>
  <c r="Q267" i="35"/>
  <c r="S267" i="35"/>
  <c r="B268" i="35"/>
  <c r="F268" i="35"/>
  <c r="G268" i="35"/>
  <c r="O268" i="35" s="1"/>
  <c r="H269" i="35"/>
  <c r="I269" i="35"/>
  <c r="J269" i="35"/>
  <c r="K269" i="35"/>
  <c r="L269" i="35"/>
  <c r="M269" i="35"/>
  <c r="N269" i="35"/>
  <c r="O273" i="35"/>
  <c r="P273" i="35"/>
  <c r="Q273" i="35"/>
  <c r="S273" i="35"/>
  <c r="B274" i="35"/>
  <c r="F274" i="35"/>
  <c r="G274" i="35"/>
  <c r="G275" i="35" s="1"/>
  <c r="O274" i="35"/>
  <c r="P274" i="35" s="1"/>
  <c r="P275" i="35" s="1"/>
  <c r="P322" i="35" s="1"/>
  <c r="Q274" i="35"/>
  <c r="Q275" i="35" s="1"/>
  <c r="Q322" i="35" s="1"/>
  <c r="H275" i="35"/>
  <c r="I275" i="35"/>
  <c r="J275" i="35"/>
  <c r="K275" i="35"/>
  <c r="L275" i="35"/>
  <c r="M275" i="35"/>
  <c r="N275" i="35"/>
  <c r="O275" i="35"/>
  <c r="O279" i="35"/>
  <c r="P279" i="35"/>
  <c r="Q279" i="35"/>
  <c r="S279" i="35"/>
  <c r="B280" i="35"/>
  <c r="F280" i="35"/>
  <c r="G280" i="35"/>
  <c r="G281" i="35" s="1"/>
  <c r="H280" i="35"/>
  <c r="H281" i="35" s="1"/>
  <c r="I281" i="35"/>
  <c r="J281" i="35"/>
  <c r="K281" i="35"/>
  <c r="L281" i="35"/>
  <c r="M281" i="35"/>
  <c r="N281" i="35"/>
  <c r="O285" i="35"/>
  <c r="P285" i="35"/>
  <c r="Q285" i="35"/>
  <c r="S285" i="35"/>
  <c r="B286" i="35"/>
  <c r="F286" i="35"/>
  <c r="H286" i="35"/>
  <c r="H287" i="35" s="1"/>
  <c r="G287" i="35"/>
  <c r="I287" i="35"/>
  <c r="J287" i="35"/>
  <c r="K287" i="35"/>
  <c r="L287" i="35"/>
  <c r="M287" i="35"/>
  <c r="N287" i="35"/>
  <c r="O291" i="35"/>
  <c r="P291" i="35" s="1"/>
  <c r="S291" i="35"/>
  <c r="B292" i="35"/>
  <c r="F292" i="35"/>
  <c r="H292" i="35"/>
  <c r="H293" i="35" s="1"/>
  <c r="O292" i="35"/>
  <c r="S292" i="35" s="1"/>
  <c r="S293" i="35" s="1"/>
  <c r="G293" i="35"/>
  <c r="I293" i="35"/>
  <c r="J293" i="35"/>
  <c r="K293" i="35"/>
  <c r="L293" i="35"/>
  <c r="M293" i="35"/>
  <c r="N293" i="35"/>
  <c r="O297" i="35"/>
  <c r="P297" i="35" s="1"/>
  <c r="P299" i="35" s="1"/>
  <c r="B298" i="35"/>
  <c r="F298" i="35"/>
  <c r="H298" i="35"/>
  <c r="O298" i="35"/>
  <c r="Q298" i="35" s="1"/>
  <c r="P298" i="35"/>
  <c r="G299" i="35"/>
  <c r="H299" i="35"/>
  <c r="I299" i="35"/>
  <c r="J299" i="35"/>
  <c r="K299" i="35"/>
  <c r="L299" i="35"/>
  <c r="M299" i="35"/>
  <c r="N299" i="35"/>
  <c r="O299" i="35"/>
  <c r="O303" i="35"/>
  <c r="P303" i="35"/>
  <c r="Q303" i="35"/>
  <c r="S303" i="35"/>
  <c r="B304" i="35"/>
  <c r="F304" i="35"/>
  <c r="H304" i="35"/>
  <c r="H305" i="35" s="1"/>
  <c r="O304" i="35"/>
  <c r="S304" i="35" s="1"/>
  <c r="S305" i="35" s="1"/>
  <c r="P304" i="35"/>
  <c r="P305" i="35" s="1"/>
  <c r="Q304" i="35"/>
  <c r="Q305" i="35" s="1"/>
  <c r="G305" i="35"/>
  <c r="I305" i="35"/>
  <c r="J305" i="35"/>
  <c r="K305" i="35"/>
  <c r="L305" i="35"/>
  <c r="M305" i="35"/>
  <c r="N305" i="35"/>
  <c r="O305" i="35"/>
  <c r="O309" i="35"/>
  <c r="P309" i="35" s="1"/>
  <c r="Q309" i="35"/>
  <c r="B310" i="35"/>
  <c r="F310" i="35"/>
  <c r="H310" i="35"/>
  <c r="O310" i="35" s="1"/>
  <c r="G311" i="35"/>
  <c r="H311" i="35"/>
  <c r="I311" i="35"/>
  <c r="J311" i="35"/>
  <c r="K311" i="35"/>
  <c r="L311" i="35"/>
  <c r="M311" i="35"/>
  <c r="N311" i="35"/>
  <c r="O315" i="35"/>
  <c r="Q315" i="35" s="1"/>
  <c r="Q317" i="35" s="1"/>
  <c r="P315" i="35"/>
  <c r="S315" i="35"/>
  <c r="B316" i="35"/>
  <c r="F316" i="35"/>
  <c r="H316" i="35"/>
  <c r="O316" i="35"/>
  <c r="P316" i="35" s="1"/>
  <c r="P317" i="35" s="1"/>
  <c r="Q316" i="35"/>
  <c r="S316" i="35"/>
  <c r="S317" i="35" s="1"/>
  <c r="G317" i="35"/>
  <c r="H317" i="35"/>
  <c r="I317" i="35"/>
  <c r="J317" i="35"/>
  <c r="K317" i="35"/>
  <c r="L317" i="35"/>
  <c r="M317" i="35"/>
  <c r="N317" i="35"/>
  <c r="O317" i="35"/>
  <c r="N321" i="35"/>
  <c r="R321" i="35"/>
  <c r="R327" i="35" s="1"/>
  <c r="R329" i="35" s="1"/>
  <c r="N322" i="35"/>
  <c r="O322" i="35"/>
  <c r="R322" i="35"/>
  <c r="N323" i="35"/>
  <c r="N324" i="35"/>
  <c r="N325" i="35"/>
  <c r="R326" i="35"/>
  <c r="O335" i="35"/>
  <c r="O337" i="35" s="1"/>
  <c r="P335" i="35"/>
  <c r="Q335" i="35"/>
  <c r="Q337" i="35" s="1"/>
  <c r="O336" i="35"/>
  <c r="P336" i="35" s="1"/>
  <c r="Q336" i="35"/>
  <c r="G337" i="35"/>
  <c r="H337" i="35"/>
  <c r="N337" i="35"/>
  <c r="B340" i="35"/>
  <c r="G340" i="35"/>
  <c r="G342" i="35" s="1"/>
  <c r="G42" i="35" s="1"/>
  <c r="I340" i="35"/>
  <c r="O340" i="35"/>
  <c r="P340" i="35" s="1"/>
  <c r="P342" i="35" s="1"/>
  <c r="B341" i="35"/>
  <c r="G341" i="35"/>
  <c r="I341" i="35"/>
  <c r="O341" i="35"/>
  <c r="Q341" i="35" s="1"/>
  <c r="P341" i="35"/>
  <c r="N342" i="35"/>
  <c r="B346" i="35"/>
  <c r="H346" i="35"/>
  <c r="O346" i="35" s="1"/>
  <c r="J346" i="35"/>
  <c r="N346" i="35"/>
  <c r="B347" i="35"/>
  <c r="H347" i="35"/>
  <c r="J347" i="35"/>
  <c r="N347" i="35"/>
  <c r="O347" i="35"/>
  <c r="S347" i="35" s="1"/>
  <c r="P347" i="35"/>
  <c r="Q347" i="35"/>
  <c r="N348" i="35"/>
  <c r="O352" i="35"/>
  <c r="P352" i="35"/>
  <c r="Q352" i="35"/>
  <c r="O353" i="35"/>
  <c r="O356" i="35" s="1"/>
  <c r="O52" i="35" s="1"/>
  <c r="O354" i="35"/>
  <c r="P354" i="35"/>
  <c r="Q354" i="35" s="1"/>
  <c r="O355" i="35"/>
  <c r="P355" i="35"/>
  <c r="Q355" i="35"/>
  <c r="G356" i="35"/>
  <c r="H356" i="35"/>
  <c r="G360" i="35"/>
  <c r="I360" i="35"/>
  <c r="O360" i="35" s="1"/>
  <c r="G361" i="35"/>
  <c r="I361" i="35"/>
  <c r="O361" i="35"/>
  <c r="P361" i="35"/>
  <c r="Q361" i="35"/>
  <c r="G362" i="35"/>
  <c r="O362" i="35" s="1"/>
  <c r="P362" i="35" s="1"/>
  <c r="Q362" i="35" s="1"/>
  <c r="I362" i="35"/>
  <c r="G363" i="35"/>
  <c r="I363" i="35"/>
  <c r="O363" i="35"/>
  <c r="P363" i="35"/>
  <c r="Q363" i="35"/>
  <c r="G364" i="35"/>
  <c r="G52" i="35" s="1"/>
  <c r="AA52" i="35" s="1"/>
  <c r="H368" i="35"/>
  <c r="O368" i="35" s="1"/>
  <c r="J368" i="35"/>
  <c r="H369" i="35"/>
  <c r="J369" i="35"/>
  <c r="O369" i="35"/>
  <c r="P369" i="35"/>
  <c r="Q369" i="35" s="1"/>
  <c r="H370" i="35"/>
  <c r="J370" i="35"/>
  <c r="O370" i="35"/>
  <c r="P370" i="35" s="1"/>
  <c r="Q370" i="35" s="1"/>
  <c r="H371" i="35"/>
  <c r="J371" i="35"/>
  <c r="O371" i="35" s="1"/>
  <c r="P371" i="35"/>
  <c r="Q371" i="35"/>
  <c r="H372" i="35"/>
  <c r="H52" i="35" s="1"/>
  <c r="O380" i="35"/>
  <c r="S380" i="35" s="1"/>
  <c r="O381" i="35"/>
  <c r="P381" i="35" s="1"/>
  <c r="O382" i="35"/>
  <c r="P382" i="35" s="1"/>
  <c r="Q382" i="35"/>
  <c r="S382" i="35"/>
  <c r="O383" i="35"/>
  <c r="S383" i="35" s="1"/>
  <c r="O384" i="35"/>
  <c r="P384" i="35" s="1"/>
  <c r="O385" i="35"/>
  <c r="P385" i="35" s="1"/>
  <c r="Q385" i="35"/>
  <c r="S385" i="35"/>
  <c r="O386" i="35"/>
  <c r="S386" i="35" s="1"/>
  <c r="O387" i="35"/>
  <c r="P387" i="35" s="1"/>
  <c r="G388" i="35"/>
  <c r="H388" i="35"/>
  <c r="N388" i="35"/>
  <c r="N27" i="35" s="1"/>
  <c r="N60" i="35" s="1"/>
  <c r="G391" i="35"/>
  <c r="G399" i="35" s="1"/>
  <c r="G27" i="35" s="1"/>
  <c r="AA27" i="35" s="1"/>
  <c r="I391" i="35"/>
  <c r="N391" i="35"/>
  <c r="O391" i="35"/>
  <c r="P391" i="35" s="1"/>
  <c r="Q391" i="35"/>
  <c r="S391" i="35"/>
  <c r="G392" i="35"/>
  <c r="O392" i="35" s="1"/>
  <c r="I392" i="35"/>
  <c r="G393" i="35"/>
  <c r="I393" i="35"/>
  <c r="O393" i="35"/>
  <c r="P393" i="35" s="1"/>
  <c r="Q393" i="35"/>
  <c r="S393" i="35"/>
  <c r="G394" i="35"/>
  <c r="O394" i="35" s="1"/>
  <c r="I394" i="35"/>
  <c r="G395" i="35"/>
  <c r="I395" i="35"/>
  <c r="O395" i="35"/>
  <c r="P395" i="35" s="1"/>
  <c r="Q395" i="35"/>
  <c r="S395" i="35"/>
  <c r="G396" i="35"/>
  <c r="O396" i="35" s="1"/>
  <c r="I396" i="35"/>
  <c r="G397" i="35"/>
  <c r="I397" i="35"/>
  <c r="O397" i="35"/>
  <c r="P397" i="35" s="1"/>
  <c r="Q397" i="35"/>
  <c r="S397" i="35"/>
  <c r="G398" i="35"/>
  <c r="O398" i="35" s="1"/>
  <c r="I398" i="35"/>
  <c r="N399" i="35"/>
  <c r="H403" i="35"/>
  <c r="J403" i="35"/>
  <c r="O403" i="35" s="1"/>
  <c r="H404" i="35"/>
  <c r="O404" i="35" s="1"/>
  <c r="J404" i="35"/>
  <c r="O405" i="35"/>
  <c r="P405" i="35"/>
  <c r="Q405" i="35"/>
  <c r="S405" i="35"/>
  <c r="O406" i="35"/>
  <c r="Q406" i="35" s="1"/>
  <c r="P406" i="35"/>
  <c r="O407" i="35"/>
  <c r="P407" i="35"/>
  <c r="Q407" i="35"/>
  <c r="S407" i="35"/>
  <c r="H408" i="35"/>
  <c r="J408" i="35"/>
  <c r="O408" i="35" s="1"/>
  <c r="O409" i="35"/>
  <c r="Q409" i="35" s="1"/>
  <c r="P409" i="35"/>
  <c r="S409" i="35"/>
  <c r="H410" i="35"/>
  <c r="O410" i="35" s="1"/>
  <c r="J410" i="35"/>
  <c r="H411" i="35"/>
  <c r="H27" i="35" s="1"/>
  <c r="O415" i="35"/>
  <c r="P415" i="35" s="1"/>
  <c r="S415" i="35"/>
  <c r="S420" i="35" s="1"/>
  <c r="O416" i="35"/>
  <c r="P416" i="35"/>
  <c r="Q416" i="35"/>
  <c r="S416" i="35"/>
  <c r="O417" i="35"/>
  <c r="Q417" i="35" s="1"/>
  <c r="P417" i="35"/>
  <c r="S417" i="35"/>
  <c r="O418" i="35"/>
  <c r="P418" i="35" s="1"/>
  <c r="S418" i="35"/>
  <c r="O419" i="35"/>
  <c r="P419" i="35"/>
  <c r="Q419" i="35"/>
  <c r="S419" i="35"/>
  <c r="G420" i="35"/>
  <c r="H420" i="35"/>
  <c r="N420" i="35"/>
  <c r="N31" i="35" s="1"/>
  <c r="O420" i="35"/>
  <c r="O31" i="35" s="1"/>
  <c r="G423" i="35"/>
  <c r="G428" i="35" s="1"/>
  <c r="I423" i="35"/>
  <c r="N423" i="35"/>
  <c r="O423" i="35"/>
  <c r="P423" i="35"/>
  <c r="G424" i="35"/>
  <c r="I424" i="35"/>
  <c r="O424" i="35" s="1"/>
  <c r="G425" i="35"/>
  <c r="I425" i="35"/>
  <c r="O425" i="35"/>
  <c r="Q425" i="35" s="1"/>
  <c r="P425" i="35"/>
  <c r="G426" i="35"/>
  <c r="I426" i="35"/>
  <c r="O426" i="35" s="1"/>
  <c r="G427" i="35"/>
  <c r="I427" i="35"/>
  <c r="O427" i="35"/>
  <c r="Q427" i="35" s="1"/>
  <c r="P427" i="35"/>
  <c r="H432" i="35"/>
  <c r="J432" i="35"/>
  <c r="O432" i="35"/>
  <c r="S432" i="35" s="1"/>
  <c r="P432" i="35"/>
  <c r="Q432" i="35"/>
  <c r="H433" i="35"/>
  <c r="J433" i="35"/>
  <c r="O433" i="35"/>
  <c r="O437" i="35" s="1"/>
  <c r="J437" i="35" s="1"/>
  <c r="J31" i="35" s="1"/>
  <c r="H434" i="35"/>
  <c r="J434" i="35"/>
  <c r="O434" i="35"/>
  <c r="S434" i="35" s="1"/>
  <c r="P434" i="35"/>
  <c r="Q434" i="35"/>
  <c r="H435" i="35"/>
  <c r="J435" i="35"/>
  <c r="O435" i="35"/>
  <c r="P435" i="35" s="1"/>
  <c r="H436" i="35"/>
  <c r="J436" i="35"/>
  <c r="O436" i="35"/>
  <c r="S436" i="35" s="1"/>
  <c r="P436" i="35"/>
  <c r="Q436" i="35"/>
  <c r="H437" i="35"/>
  <c r="H31" i="35" s="1"/>
  <c r="V26" i="12" l="1"/>
  <c r="X26" i="12" s="1"/>
  <c r="N60" i="12"/>
  <c r="AC39" i="12"/>
  <c r="AB54" i="12"/>
  <c r="AD54" i="12" s="1"/>
  <c r="AF22" i="12"/>
  <c r="X11" i="12"/>
  <c r="V45" i="12"/>
  <c r="X45" i="12" s="1"/>
  <c r="V22" i="12"/>
  <c r="X22" i="12" s="1"/>
  <c r="V37" i="12"/>
  <c r="V39" i="12" s="1"/>
  <c r="Z43" i="12"/>
  <c r="AE45" i="12"/>
  <c r="S13" i="12"/>
  <c r="Y33" i="12"/>
  <c r="Q44" i="12"/>
  <c r="Y54" i="12"/>
  <c r="Q16" i="12"/>
  <c r="V44" i="12"/>
  <c r="V16" i="12"/>
  <c r="X16" i="12" s="1"/>
  <c r="P22" i="12"/>
  <c r="Z14" i="12"/>
  <c r="Y14" i="12" s="1"/>
  <c r="Q14" i="12"/>
  <c r="AD25" i="12"/>
  <c r="W51" i="12"/>
  <c r="AB22" i="12"/>
  <c r="V33" i="12"/>
  <c r="Q13" i="12"/>
  <c r="AD22" i="12"/>
  <c r="X33" i="12"/>
  <c r="AE44" i="12"/>
  <c r="V51" i="12"/>
  <c r="X51" i="12" s="1"/>
  <c r="W21" i="12"/>
  <c r="AE25" i="12"/>
  <c r="AE28" i="12"/>
  <c r="Y43" i="12"/>
  <c r="P45" i="12"/>
  <c r="Z45" i="12" s="1"/>
  <c r="Y45" i="12" s="1"/>
  <c r="AD46" i="12"/>
  <c r="Q19" i="12"/>
  <c r="V19" i="12"/>
  <c r="S29" i="12"/>
  <c r="Z47" i="12"/>
  <c r="X52" i="12"/>
  <c r="AK73" i="12"/>
  <c r="AE38" i="12"/>
  <c r="Q29" i="12"/>
  <c r="S22" i="12"/>
  <c r="AD45" i="12"/>
  <c r="Q55" i="12"/>
  <c r="V10" i="12"/>
  <c r="X10" i="12" s="1"/>
  <c r="Q10" i="12"/>
  <c r="AA39" i="12"/>
  <c r="AD39" i="12" s="1"/>
  <c r="AE42" i="12"/>
  <c r="AB44" i="12"/>
  <c r="P13" i="12"/>
  <c r="AF13" i="12" s="1"/>
  <c r="X20" i="12"/>
  <c r="AB25" i="12"/>
  <c r="Y46" i="12"/>
  <c r="AB10" i="12"/>
  <c r="S15" i="12"/>
  <c r="W16" i="12"/>
  <c r="W19" i="12"/>
  <c r="Z20" i="12"/>
  <c r="Q22" i="12"/>
  <c r="P28" i="12"/>
  <c r="AD37" i="12"/>
  <c r="P43" i="12"/>
  <c r="AF45" i="12"/>
  <c r="Y47" i="12"/>
  <c r="AD23" i="12"/>
  <c r="V28" i="12"/>
  <c r="X28" i="12" s="1"/>
  <c r="AE37" i="12"/>
  <c r="Q43" i="12"/>
  <c r="AD10" i="12"/>
  <c r="V12" i="12"/>
  <c r="V15" i="12"/>
  <c r="AB16" i="12"/>
  <c r="V18" i="12"/>
  <c r="X18" i="12" s="1"/>
  <c r="AB19" i="12"/>
  <c r="W28" i="12"/>
  <c r="S30" i="12"/>
  <c r="U39" i="12"/>
  <c r="S43" i="12"/>
  <c r="P46" i="12"/>
  <c r="Z46" i="12" s="1"/>
  <c r="AB57" i="12"/>
  <c r="AE10" i="12"/>
  <c r="W12" i="12"/>
  <c r="AB13" i="12"/>
  <c r="W18" i="12"/>
  <c r="S21" i="12"/>
  <c r="W22" i="12"/>
  <c r="S46" i="12"/>
  <c r="X12" i="12"/>
  <c r="AD13" i="12"/>
  <c r="X15" i="12"/>
  <c r="AD16" i="12"/>
  <c r="AD19" i="12"/>
  <c r="X38" i="12"/>
  <c r="AD47" i="12"/>
  <c r="Y15" i="12"/>
  <c r="AE16" i="12"/>
  <c r="AE19" i="12"/>
  <c r="V21" i="12"/>
  <c r="X21" i="12" s="1"/>
  <c r="AA24" i="12"/>
  <c r="AC24" i="12" s="1"/>
  <c r="Y38" i="12"/>
  <c r="V52" i="12"/>
  <c r="H24" i="13"/>
  <c r="P10" i="12"/>
  <c r="Q11" i="12"/>
  <c r="AB28" i="12"/>
  <c r="Z38" i="12"/>
  <c r="X54" i="12"/>
  <c r="AF56" i="12"/>
  <c r="AE56" i="12" s="1"/>
  <c r="H60" i="12"/>
  <c r="AC43" i="12"/>
  <c r="AC48" i="12" s="1"/>
  <c r="Z17" i="12"/>
  <c r="Y17" i="12" s="1"/>
  <c r="P16" i="12"/>
  <c r="Q17" i="12"/>
  <c r="P19" i="12"/>
  <c r="Q20" i="12"/>
  <c r="V27" i="12"/>
  <c r="AD28" i="12"/>
  <c r="W37" i="12"/>
  <c r="W39" i="12" s="1"/>
  <c r="AB38" i="12"/>
  <c r="AD42" i="12"/>
  <c r="Y52" i="12"/>
  <c r="Z54" i="12"/>
  <c r="G60" i="12"/>
  <c r="H23" i="13"/>
  <c r="W10" i="12"/>
  <c r="Z11" i="12"/>
  <c r="Y27" i="12"/>
  <c r="AB37" i="12"/>
  <c r="AD38" i="12"/>
  <c r="AF42" i="12"/>
  <c r="Z53" i="12"/>
  <c r="Y53" i="12" s="1"/>
  <c r="AF54" i="12"/>
  <c r="AE54" i="12" s="1"/>
  <c r="P23" i="12"/>
  <c r="S23" i="12"/>
  <c r="Q23" i="12"/>
  <c r="S24" i="12"/>
  <c r="Q24" i="12"/>
  <c r="P24" i="12"/>
  <c r="S11" i="12"/>
  <c r="AF11" i="12"/>
  <c r="AE11" i="12" s="1"/>
  <c r="AB12" i="12"/>
  <c r="X13" i="12"/>
  <c r="S14" i="12"/>
  <c r="AF14" i="12"/>
  <c r="AB15" i="12"/>
  <c r="AD15" i="12" s="1"/>
  <c r="S17" i="12"/>
  <c r="AF17" i="12"/>
  <c r="AB18" i="12"/>
  <c r="X19" i="12"/>
  <c r="S20" i="12"/>
  <c r="AF20" i="12"/>
  <c r="AB21" i="12"/>
  <c r="AE23" i="12"/>
  <c r="Z24" i="12"/>
  <c r="V25" i="12"/>
  <c r="P26" i="12"/>
  <c r="AD26" i="12"/>
  <c r="AD33" i="12"/>
  <c r="W45" i="12"/>
  <c r="AE46" i="12"/>
  <c r="AE47" i="12"/>
  <c r="AD51" i="12"/>
  <c r="AF53" i="12"/>
  <c r="AC54" i="12"/>
  <c r="X56" i="12"/>
  <c r="AC15" i="12"/>
  <c r="Y19" i="12"/>
  <c r="AF23" i="12"/>
  <c r="W25" i="12"/>
  <c r="Q26" i="12"/>
  <c r="AE26" i="12"/>
  <c r="AE33" i="12"/>
  <c r="AF46" i="12"/>
  <c r="AF47" i="12"/>
  <c r="AA48" i="12"/>
  <c r="AE51" i="12"/>
  <c r="Z56" i="12"/>
  <c r="AE17" i="12"/>
  <c r="Y24" i="12"/>
  <c r="AE53" i="12"/>
  <c r="Y13" i="12"/>
  <c r="V11" i="12"/>
  <c r="P12" i="12"/>
  <c r="AD12" i="12"/>
  <c r="Z13" i="12"/>
  <c r="V14" i="12"/>
  <c r="X14" i="12" s="1"/>
  <c r="P15" i="12"/>
  <c r="V17" i="12"/>
  <c r="X17" i="12" s="1"/>
  <c r="P18" i="12"/>
  <c r="AD18" i="12"/>
  <c r="V20" i="12"/>
  <c r="P21" i="12"/>
  <c r="AD21" i="12"/>
  <c r="U23" i="12"/>
  <c r="U34" i="12" s="1"/>
  <c r="X25" i="12"/>
  <c r="S26" i="12"/>
  <c r="AF26" i="12"/>
  <c r="Q28" i="12"/>
  <c r="AF33" i="12"/>
  <c r="P37" i="12"/>
  <c r="Q51" i="12"/>
  <c r="V53" i="12"/>
  <c r="AB55" i="12"/>
  <c r="AB56" i="12"/>
  <c r="AD56" i="12" s="1"/>
  <c r="Q12" i="12"/>
  <c r="AE12" i="12"/>
  <c r="W14" i="12"/>
  <c r="W17" i="12"/>
  <c r="Q18" i="12"/>
  <c r="AE18" i="12"/>
  <c r="AE21" i="12"/>
  <c r="Y25" i="12"/>
  <c r="X27" i="12"/>
  <c r="Q37" i="12"/>
  <c r="AF37" i="12"/>
  <c r="AF39" i="12" s="1"/>
  <c r="V43" i="12"/>
  <c r="P44" i="12"/>
  <c r="AD44" i="12"/>
  <c r="V46" i="12"/>
  <c r="V47" i="12"/>
  <c r="W53" i="12"/>
  <c r="AC56" i="12"/>
  <c r="AD57" i="12"/>
  <c r="AE14" i="12"/>
  <c r="W46" i="12"/>
  <c r="AD55" i="12"/>
  <c r="AF57" i="12"/>
  <c r="AE20" i="12"/>
  <c r="AC13" i="12"/>
  <c r="W26" i="12"/>
  <c r="AF55" i="12"/>
  <c r="AB14" i="12"/>
  <c r="AB17" i="12"/>
  <c r="AB20" i="12"/>
  <c r="V24" i="12"/>
  <c r="P25" i="12"/>
  <c r="P32" i="12"/>
  <c r="W44" i="12"/>
  <c r="AB53" i="12"/>
  <c r="V55" i="12"/>
  <c r="X55" i="12" s="1"/>
  <c r="AB11" i="12"/>
  <c r="AD11" i="12" s="1"/>
  <c r="AC11" i="12"/>
  <c r="Q25" i="12"/>
  <c r="AB43" i="12"/>
  <c r="AD43" i="12" s="1"/>
  <c r="X44" i="12"/>
  <c r="W55" i="12"/>
  <c r="Y57" i="12"/>
  <c r="X57" i="12"/>
  <c r="V57" i="12"/>
  <c r="U58" i="12"/>
  <c r="AC20" i="12"/>
  <c r="P30" i="12"/>
  <c r="Q32" i="12"/>
  <c r="AB51" i="12"/>
  <c r="V56" i="12"/>
  <c r="P403" i="35"/>
  <c r="Q403" i="35"/>
  <c r="Q411" i="35" s="1"/>
  <c r="S403" i="35"/>
  <c r="O411" i="35"/>
  <c r="J411" i="35" s="1"/>
  <c r="J27" i="35" s="1"/>
  <c r="P420" i="35"/>
  <c r="P31" i="35" s="1"/>
  <c r="O269" i="35"/>
  <c r="O321" i="35" s="1"/>
  <c r="P268" i="35"/>
  <c r="P269" i="35" s="1"/>
  <c r="P321" i="35" s="1"/>
  <c r="Q268" i="35"/>
  <c r="Q269" i="35" s="1"/>
  <c r="Q321" i="35" s="1"/>
  <c r="S268" i="35"/>
  <c r="S269" i="35" s="1"/>
  <c r="S321" i="35" s="1"/>
  <c r="P227" i="35"/>
  <c r="P410" i="35"/>
  <c r="S410" i="35"/>
  <c r="Q410" i="35"/>
  <c r="P398" i="35"/>
  <c r="S398" i="35"/>
  <c r="Q398" i="35"/>
  <c r="P399" i="35"/>
  <c r="P368" i="35"/>
  <c r="O372" i="35"/>
  <c r="O428" i="35"/>
  <c r="I428" i="35" s="1"/>
  <c r="AC27" i="35"/>
  <c r="P337" i="35"/>
  <c r="S310" i="35"/>
  <c r="O311" i="35"/>
  <c r="P310" i="35"/>
  <c r="P311" i="35" s="1"/>
  <c r="Q310" i="35"/>
  <c r="Q311" i="35" s="1"/>
  <c r="P191" i="35"/>
  <c r="P408" i="35"/>
  <c r="Q408" i="35"/>
  <c r="S408" i="35"/>
  <c r="P256" i="35"/>
  <c r="P257" i="35" s="1"/>
  <c r="P324" i="35" s="1"/>
  <c r="Q256" i="35"/>
  <c r="Q257" i="35" s="1"/>
  <c r="Q324" i="35" s="1"/>
  <c r="S256" i="35"/>
  <c r="S257" i="35" s="1"/>
  <c r="S324" i="35" s="1"/>
  <c r="P103" i="35"/>
  <c r="Q102" i="35"/>
  <c r="Q103" i="35" s="1"/>
  <c r="P394" i="35"/>
  <c r="Q394" i="35"/>
  <c r="S394" i="35"/>
  <c r="S426" i="35"/>
  <c r="P426" i="35"/>
  <c r="Q426" i="35"/>
  <c r="P404" i="35"/>
  <c r="Q404" i="35"/>
  <c r="S404" i="35"/>
  <c r="P396" i="35"/>
  <c r="Q396" i="35"/>
  <c r="S396" i="35"/>
  <c r="P96" i="35"/>
  <c r="O97" i="35"/>
  <c r="P392" i="35"/>
  <c r="S392" i="35"/>
  <c r="S399" i="35" s="1"/>
  <c r="Q392" i="35"/>
  <c r="AB52" i="35"/>
  <c r="AC52" i="35"/>
  <c r="AD52" i="35"/>
  <c r="AA58" i="35"/>
  <c r="P346" i="35"/>
  <c r="P348" i="35" s="1"/>
  <c r="S346" i="35"/>
  <c r="S348" i="35" s="1"/>
  <c r="O348" i="35"/>
  <c r="Q346" i="35"/>
  <c r="Q348" i="35" s="1"/>
  <c r="P424" i="35"/>
  <c r="S424" i="35"/>
  <c r="Q424" i="35"/>
  <c r="P360" i="35"/>
  <c r="O364" i="35"/>
  <c r="I364" i="35" s="1"/>
  <c r="I52" i="35" s="1"/>
  <c r="S425" i="35"/>
  <c r="Q380" i="35"/>
  <c r="S298" i="35"/>
  <c r="S299" i="35" s="1"/>
  <c r="Q292" i="35"/>
  <c r="O280" i="35"/>
  <c r="S249" i="35"/>
  <c r="S231" i="35"/>
  <c r="O138" i="35"/>
  <c r="G139" i="35"/>
  <c r="P109" i="35"/>
  <c r="P190" i="35" s="1"/>
  <c r="Q108" i="35"/>
  <c r="Q109" i="35" s="1"/>
  <c r="Q190" i="35" s="1"/>
  <c r="V11" i="35"/>
  <c r="X11" i="35"/>
  <c r="Y11" i="35"/>
  <c r="Z11" i="35"/>
  <c r="U34" i="35"/>
  <c r="S427" i="35"/>
  <c r="S423" i="35"/>
  <c r="S406" i="35"/>
  <c r="Q386" i="35"/>
  <c r="Q389" i="35" s="1"/>
  <c r="Q383" i="35"/>
  <c r="H348" i="35"/>
  <c r="H42" i="35" s="1"/>
  <c r="U42" i="35" s="1"/>
  <c r="S341" i="35"/>
  <c r="Q423" i="35"/>
  <c r="Q428" i="35" s="1"/>
  <c r="P386" i="35"/>
  <c r="P383" i="35"/>
  <c r="P380" i="35"/>
  <c r="P353" i="35"/>
  <c r="S335" i="35"/>
  <c r="P292" i="35"/>
  <c r="P293" i="35" s="1"/>
  <c r="O286" i="35"/>
  <c r="Q249" i="35"/>
  <c r="S239" i="35"/>
  <c r="O221" i="35"/>
  <c r="S213" i="35"/>
  <c r="AB24" i="35"/>
  <c r="AC24" i="35"/>
  <c r="AD24" i="35"/>
  <c r="AE24" i="35"/>
  <c r="AF24" i="35"/>
  <c r="V18" i="35"/>
  <c r="O151" i="35"/>
  <c r="G152" i="35"/>
  <c r="AE54" i="35"/>
  <c r="V28" i="35"/>
  <c r="X28" i="35" s="1"/>
  <c r="P18" i="35"/>
  <c r="Q18" i="35"/>
  <c r="S18" i="35"/>
  <c r="Z16" i="35"/>
  <c r="Y16" i="35" s="1"/>
  <c r="O388" i="35"/>
  <c r="O27" i="35" s="1"/>
  <c r="S27" i="35" s="1"/>
  <c r="V14" i="35"/>
  <c r="W14" i="35"/>
  <c r="X14" i="35"/>
  <c r="Y14" i="35"/>
  <c r="Z14" i="35"/>
  <c r="P208" i="35"/>
  <c r="O163" i="35"/>
  <c r="G164" i="35"/>
  <c r="P133" i="35"/>
  <c r="Q132" i="35"/>
  <c r="Q133" i="35" s="1"/>
  <c r="AB55" i="35"/>
  <c r="AD55" i="35"/>
  <c r="AE55" i="35"/>
  <c r="AF55" i="35"/>
  <c r="Q28" i="35"/>
  <c r="S28" i="35"/>
  <c r="W23" i="35"/>
  <c r="AA34" i="35"/>
  <c r="AA60" i="35" s="1"/>
  <c r="O399" i="35"/>
  <c r="Q227" i="35"/>
  <c r="Q219" i="35"/>
  <c r="P90" i="35"/>
  <c r="V57" i="35"/>
  <c r="X57" i="35"/>
  <c r="Y57" i="35"/>
  <c r="Z57" i="35"/>
  <c r="V53" i="35"/>
  <c r="X53" i="35"/>
  <c r="Y53" i="35"/>
  <c r="Z53" i="35"/>
  <c r="P21" i="35"/>
  <c r="Z21" i="35" s="1"/>
  <c r="Y21" i="35" s="1"/>
  <c r="Q21" i="35"/>
  <c r="S21" i="35"/>
  <c r="S250" i="35"/>
  <c r="S251" i="35" s="1"/>
  <c r="O227" i="35"/>
  <c r="O175" i="35"/>
  <c r="G176" i="35"/>
  <c r="O121" i="35"/>
  <c r="O191" i="35" s="1"/>
  <c r="Q115" i="35"/>
  <c r="Q191" i="35" s="1"/>
  <c r="O103" i="35"/>
  <c r="AD44" i="35"/>
  <c r="AE44" i="35"/>
  <c r="AF44" i="35"/>
  <c r="AF48" i="35" s="1"/>
  <c r="AE48" i="35" s="1"/>
  <c r="Z19" i="35"/>
  <c r="AD15" i="35"/>
  <c r="O293" i="35"/>
  <c r="S435" i="35"/>
  <c r="S433" i="35"/>
  <c r="S437" i="35" s="1"/>
  <c r="Q418" i="35"/>
  <c r="Q415" i="35"/>
  <c r="S387" i="35"/>
  <c r="S389" i="35" s="1"/>
  <c r="S384" i="35"/>
  <c r="S381" i="35"/>
  <c r="S388" i="35" s="1"/>
  <c r="S340" i="35"/>
  <c r="S342" i="35" s="1"/>
  <c r="S297" i="35"/>
  <c r="Q291" i="35"/>
  <c r="G269" i="35"/>
  <c r="S262" i="35"/>
  <c r="S263" i="35" s="1"/>
  <c r="S325" i="35" s="1"/>
  <c r="G257" i="35"/>
  <c r="Q250" i="35"/>
  <c r="Q251" i="35" s="1"/>
  <c r="S232" i="35"/>
  <c r="S233" i="35" s="1"/>
  <c r="S214" i="35"/>
  <c r="S215" i="35" s="1"/>
  <c r="O144" i="35"/>
  <c r="G145" i="35"/>
  <c r="O133" i="35"/>
  <c r="O192" i="35" s="1"/>
  <c r="X27" i="35"/>
  <c r="Y27" i="35"/>
  <c r="Z27" i="35"/>
  <c r="V17" i="35"/>
  <c r="W17" i="35"/>
  <c r="X17" i="35"/>
  <c r="Y17" i="35"/>
  <c r="Z17" i="35"/>
  <c r="P12" i="35"/>
  <c r="Q12" i="35"/>
  <c r="S12" i="35"/>
  <c r="Q435" i="35"/>
  <c r="Q433" i="35"/>
  <c r="Q437" i="35" s="1"/>
  <c r="Q387" i="35"/>
  <c r="Q384" i="35"/>
  <c r="Q381" i="35"/>
  <c r="O342" i="35"/>
  <c r="I342" i="35" s="1"/>
  <c r="I42" i="35" s="1"/>
  <c r="Q340" i="35"/>
  <c r="Q342" i="35" s="1"/>
  <c r="Q297" i="35"/>
  <c r="Q299" i="35" s="1"/>
  <c r="Q262" i="35"/>
  <c r="Q263" i="35" s="1"/>
  <c r="Q325" i="35" s="1"/>
  <c r="Q232" i="35"/>
  <c r="Q233" i="35" s="1"/>
  <c r="S225" i="35"/>
  <c r="S227" i="35" s="1"/>
  <c r="Q214" i="35"/>
  <c r="Q215" i="35" s="1"/>
  <c r="O84" i="35"/>
  <c r="O85" i="35" s="1"/>
  <c r="P84" i="35"/>
  <c r="P433" i="35"/>
  <c r="S336" i="35"/>
  <c r="S309" i="35"/>
  <c r="S274" i="35"/>
  <c r="S275" i="35" s="1"/>
  <c r="S322" i="35" s="1"/>
  <c r="P262" i="35"/>
  <c r="P263" i="35" s="1"/>
  <c r="P325" i="35" s="1"/>
  <c r="O251" i="35"/>
  <c r="O323" i="35" s="1"/>
  <c r="P233" i="35"/>
  <c r="P323" i="35" s="1"/>
  <c r="P225" i="35"/>
  <c r="O157" i="35"/>
  <c r="G158" i="35"/>
  <c r="P126" i="35"/>
  <c r="G97" i="35"/>
  <c r="J60" i="35"/>
  <c r="K60" i="35" s="1"/>
  <c r="AB54" i="35"/>
  <c r="AD54" i="35" s="1"/>
  <c r="AB47" i="35"/>
  <c r="AB48" i="35" s="1"/>
  <c r="AD48" i="35" s="1"/>
  <c r="AD47" i="35"/>
  <c r="Z22" i="35"/>
  <c r="Y22" i="35" s="1"/>
  <c r="Q51" i="35"/>
  <c r="P15" i="35"/>
  <c r="AF15" i="35" s="1"/>
  <c r="AE15" i="35" s="1"/>
  <c r="Q15" i="35"/>
  <c r="S15" i="35"/>
  <c r="Q31" i="35"/>
  <c r="S31" i="35"/>
  <c r="O257" i="35"/>
  <c r="O324" i="35" s="1"/>
  <c r="Q238" i="35"/>
  <c r="Q239" i="35" s="1"/>
  <c r="Q220" i="35"/>
  <c r="Q221" i="35" s="1"/>
  <c r="O182" i="35"/>
  <c r="P181" i="35"/>
  <c r="P182" i="35" s="1"/>
  <c r="Q181" i="35"/>
  <c r="Q182" i="35" s="1"/>
  <c r="O169" i="35"/>
  <c r="G170" i="35"/>
  <c r="P37" i="35"/>
  <c r="Q37" i="35"/>
  <c r="Q39" i="35" s="1"/>
  <c r="Q40" i="35" s="1"/>
  <c r="O39" i="35"/>
  <c r="V20" i="35"/>
  <c r="X20" i="35"/>
  <c r="Y20" i="35"/>
  <c r="Z20" i="35"/>
  <c r="V56" i="35"/>
  <c r="V52" i="35"/>
  <c r="AD46" i="35"/>
  <c r="W22" i="35"/>
  <c r="Q20" i="35"/>
  <c r="W19" i="35"/>
  <c r="Q17" i="35"/>
  <c r="W16" i="35"/>
  <c r="Q14" i="35"/>
  <c r="Q11" i="35"/>
  <c r="W10" i="35"/>
  <c r="AB51" i="35"/>
  <c r="AB33" i="35"/>
  <c r="S32" i="35"/>
  <c r="AB26" i="35"/>
  <c r="AF25" i="35"/>
  <c r="S25" i="35"/>
  <c r="X24" i="35"/>
  <c r="O23" i="35"/>
  <c r="V22" i="35"/>
  <c r="X22" i="35" s="1"/>
  <c r="AD20" i="35"/>
  <c r="V19" i="35"/>
  <c r="Z18" i="35"/>
  <c r="Y18" i="35" s="1"/>
  <c r="AD17" i="35"/>
  <c r="V16" i="35"/>
  <c r="X16" i="35" s="1"/>
  <c r="Z15" i="35"/>
  <c r="AD14" i="35"/>
  <c r="V13" i="35"/>
  <c r="Z12" i="35"/>
  <c r="AD11" i="35"/>
  <c r="V10" i="35"/>
  <c r="AE45" i="35"/>
  <c r="AE42" i="35"/>
  <c r="Y38" i="35"/>
  <c r="Z33" i="35"/>
  <c r="Y28" i="35"/>
  <c r="Z26" i="35"/>
  <c r="AD25" i="35"/>
  <c r="AF22" i="35"/>
  <c r="S22" i="35"/>
  <c r="X21" i="35"/>
  <c r="AF19" i="35"/>
  <c r="S19" i="35"/>
  <c r="X18" i="35"/>
  <c r="AF16" i="35"/>
  <c r="S16" i="35"/>
  <c r="X15" i="35"/>
  <c r="AF13" i="35"/>
  <c r="S13" i="35"/>
  <c r="X12" i="35"/>
  <c r="AF10" i="35"/>
  <c r="S10" i="35"/>
  <c r="U58" i="35"/>
  <c r="AD56" i="35"/>
  <c r="X54" i="35"/>
  <c r="AD45" i="35"/>
  <c r="AD42" i="35"/>
  <c r="AE39" i="35"/>
  <c r="X38" i="35"/>
  <c r="X37" i="35"/>
  <c r="Y33" i="35"/>
  <c r="S29" i="35"/>
  <c r="Y26" i="35"/>
  <c r="AE22" i="35"/>
  <c r="Q22" i="35"/>
  <c r="W21" i="35"/>
  <c r="AE19" i="35"/>
  <c r="Q19" i="35"/>
  <c r="W18" i="35"/>
  <c r="AE16" i="35"/>
  <c r="Q16" i="35"/>
  <c r="AE13" i="35"/>
  <c r="Q13" i="35"/>
  <c r="W12" i="35"/>
  <c r="AE10" i="35"/>
  <c r="Q10" i="35"/>
  <c r="AC56" i="35"/>
  <c r="X51" i="35"/>
  <c r="W37" i="35"/>
  <c r="W39" i="35" s="1"/>
  <c r="X33" i="35"/>
  <c r="Q29" i="35"/>
  <c r="W28" i="35"/>
  <c r="X26" i="35"/>
  <c r="S24" i="35"/>
  <c r="AD22" i="35"/>
  <c r="AD19" i="35"/>
  <c r="AD16" i="35"/>
  <c r="AD13" i="35"/>
  <c r="AD10" i="35"/>
  <c r="W51" i="35"/>
  <c r="W58" i="35" s="1"/>
  <c r="W26" i="35"/>
  <c r="Q24" i="35"/>
  <c r="AC13" i="35"/>
  <c r="AC34" i="35" s="1"/>
  <c r="AB10" i="35"/>
  <c r="Z22" i="12" l="1"/>
  <c r="Y22" i="12" s="1"/>
  <c r="Z10" i="12"/>
  <c r="Y10" i="12" s="1"/>
  <c r="X37" i="12"/>
  <c r="AE39" i="12"/>
  <c r="AB39" i="12"/>
  <c r="Z28" i="12"/>
  <c r="Y28" i="12" s="1"/>
  <c r="Z16" i="12"/>
  <c r="Y16" i="12" s="1"/>
  <c r="AB24" i="12"/>
  <c r="AD24" i="12" s="1"/>
  <c r="Z55" i="12"/>
  <c r="Y55" i="12" s="1"/>
  <c r="Z19" i="12"/>
  <c r="Q45" i="12"/>
  <c r="AA52" i="12"/>
  <c r="AA58" i="12" s="1"/>
  <c r="V58" i="12"/>
  <c r="X58" i="12" s="1"/>
  <c r="Z21" i="12"/>
  <c r="Y21" i="12" s="1"/>
  <c r="AA27" i="12"/>
  <c r="AA34" i="12" s="1"/>
  <c r="I60" i="12"/>
  <c r="K60" i="12" s="1"/>
  <c r="W58" i="12"/>
  <c r="U42" i="12"/>
  <c r="W42" i="12" s="1"/>
  <c r="W48" i="12" s="1"/>
  <c r="AF43" i="12"/>
  <c r="AE43" i="12" s="1"/>
  <c r="AF24" i="12"/>
  <c r="AE24" i="12" s="1"/>
  <c r="Z26" i="12"/>
  <c r="Y26" i="12" s="1"/>
  <c r="Z44" i="12"/>
  <c r="X39" i="12"/>
  <c r="Q39" i="12"/>
  <c r="Q40" i="12" s="1"/>
  <c r="AF15" i="12"/>
  <c r="AE15" i="12" s="1"/>
  <c r="Z18" i="12"/>
  <c r="Y18" i="12" s="1"/>
  <c r="Q46" i="12"/>
  <c r="Z25" i="12"/>
  <c r="Z51" i="12"/>
  <c r="Z37" i="12"/>
  <c r="P39" i="12"/>
  <c r="X53" i="12"/>
  <c r="Z12" i="12"/>
  <c r="AB48" i="12"/>
  <c r="AD48" i="12" s="1"/>
  <c r="Z23" i="12"/>
  <c r="Y23" i="12" s="1"/>
  <c r="W23" i="12"/>
  <c r="W34" i="12" s="1"/>
  <c r="V23" i="12"/>
  <c r="V34" i="12" s="1"/>
  <c r="U48" i="35"/>
  <c r="W42" i="35"/>
  <c r="W48" i="35" s="1"/>
  <c r="AC60" i="35"/>
  <c r="W34" i="35"/>
  <c r="S311" i="35"/>
  <c r="O374" i="35"/>
  <c r="O376" i="35" s="1"/>
  <c r="J372" i="35"/>
  <c r="J52" i="35" s="1"/>
  <c r="I399" i="35"/>
  <c r="I27" i="35" s="1"/>
  <c r="O400" i="35"/>
  <c r="O401" i="35" s="1"/>
  <c r="O145" i="35"/>
  <c r="O197" i="35" s="1"/>
  <c r="Q144" i="35"/>
  <c r="Q145" i="35" s="1"/>
  <c r="Q197" i="35" s="1"/>
  <c r="S144" i="35"/>
  <c r="S145" i="35" s="1"/>
  <c r="S197" i="35" s="1"/>
  <c r="P144" i="35"/>
  <c r="P145" i="35" s="1"/>
  <c r="P197" i="35" s="1"/>
  <c r="O189" i="35"/>
  <c r="P372" i="35"/>
  <c r="Q368" i="35"/>
  <c r="Q372" i="35" s="1"/>
  <c r="Q420" i="35"/>
  <c r="O164" i="35"/>
  <c r="Q163" i="35"/>
  <c r="Q164" i="35" s="1"/>
  <c r="S163" i="35"/>
  <c r="S164" i="35" s="1"/>
  <c r="P163" i="35"/>
  <c r="P164" i="35" s="1"/>
  <c r="Q96" i="35"/>
  <c r="Q97" i="35" s="1"/>
  <c r="Q189" i="35" s="1"/>
  <c r="P97" i="35"/>
  <c r="P189" i="35" s="1"/>
  <c r="P400" i="35"/>
  <c r="P401" i="35" s="1"/>
  <c r="Z51" i="35"/>
  <c r="P23" i="35"/>
  <c r="Z23" i="35" s="1"/>
  <c r="Y23" i="35" s="1"/>
  <c r="Q23" i="35"/>
  <c r="S23" i="35"/>
  <c r="Q323" i="35"/>
  <c r="V23" i="35"/>
  <c r="X23" i="35" s="1"/>
  <c r="P39" i="35"/>
  <c r="Z37" i="35"/>
  <c r="O176" i="35"/>
  <c r="Q175" i="35"/>
  <c r="Q176" i="35" s="1"/>
  <c r="S175" i="35"/>
  <c r="S176" i="35" s="1"/>
  <c r="P175" i="35"/>
  <c r="P176" i="35" s="1"/>
  <c r="Q286" i="35"/>
  <c r="Q287" i="35" s="1"/>
  <c r="S286" i="35"/>
  <c r="S287" i="35" s="1"/>
  <c r="O287" i="35"/>
  <c r="O326" i="35" s="1"/>
  <c r="O327" i="35" s="1"/>
  <c r="O329" i="35" s="1"/>
  <c r="P286" i="35"/>
  <c r="P287" i="35" s="1"/>
  <c r="P326" i="35" s="1"/>
  <c r="P327" i="35" s="1"/>
  <c r="P329" i="35" s="1"/>
  <c r="O139" i="35"/>
  <c r="O196" i="35" s="1"/>
  <c r="Q138" i="35"/>
  <c r="Q139" i="35" s="1"/>
  <c r="Q196" i="35" s="1"/>
  <c r="S138" i="35"/>
  <c r="S139" i="35" s="1"/>
  <c r="P138" i="35"/>
  <c r="P139" i="35" s="1"/>
  <c r="P196" i="35" s="1"/>
  <c r="P127" i="35"/>
  <c r="P192" i="35" s="1"/>
  <c r="Q126" i="35"/>
  <c r="Q127" i="35" s="1"/>
  <c r="Q192" i="35" s="1"/>
  <c r="O152" i="35"/>
  <c r="O198" i="35" s="1"/>
  <c r="Q151" i="35"/>
  <c r="Q152" i="35" s="1"/>
  <c r="Q198" i="35" s="1"/>
  <c r="S151" i="35"/>
  <c r="S152" i="35" s="1"/>
  <c r="S198" i="35" s="1"/>
  <c r="P151" i="35"/>
  <c r="P152" i="35" s="1"/>
  <c r="P198" i="35" s="1"/>
  <c r="S428" i="35"/>
  <c r="AC58" i="35"/>
  <c r="Q360" i="35"/>
  <c r="Q364" i="35" s="1"/>
  <c r="P364" i="35"/>
  <c r="P85" i="35"/>
  <c r="Q84" i="35"/>
  <c r="Q85" i="35" s="1"/>
  <c r="S323" i="35"/>
  <c r="P91" i="35"/>
  <c r="P188" i="35" s="1"/>
  <c r="Q90" i="35"/>
  <c r="Q91" i="35" s="1"/>
  <c r="Q188" i="35" s="1"/>
  <c r="S337" i="35"/>
  <c r="AB27" i="35"/>
  <c r="AD27" i="35" s="1"/>
  <c r="V34" i="35"/>
  <c r="X10" i="35"/>
  <c r="P209" i="35"/>
  <c r="Q208" i="35"/>
  <c r="Q209" i="35" s="1"/>
  <c r="O170" i="35"/>
  <c r="O195" i="35" s="1"/>
  <c r="O199" i="35" s="1"/>
  <c r="Q169" i="35"/>
  <c r="Q170" i="35" s="1"/>
  <c r="S169" i="35"/>
  <c r="S170" i="35" s="1"/>
  <c r="P169" i="35"/>
  <c r="P170" i="35" s="1"/>
  <c r="O158" i="35"/>
  <c r="Q157" i="35"/>
  <c r="Q158" i="35" s="1"/>
  <c r="S157" i="35"/>
  <c r="S158" i="35" s="1"/>
  <c r="P157" i="35"/>
  <c r="P158" i="35" s="1"/>
  <c r="O187" i="35"/>
  <c r="O193" i="35" s="1"/>
  <c r="O57" i="35" s="1"/>
  <c r="O58" i="35" s="1"/>
  <c r="Q353" i="35"/>
  <c r="Q356" i="35" s="1"/>
  <c r="Q52" i="35" s="1"/>
  <c r="AF52" i="35" s="1"/>
  <c r="P356" i="35"/>
  <c r="U60" i="35"/>
  <c r="P280" i="35"/>
  <c r="P281" i="35" s="1"/>
  <c r="Q280" i="35"/>
  <c r="Q281" i="35" s="1"/>
  <c r="S280" i="35"/>
  <c r="S281" i="35" s="1"/>
  <c r="O281" i="35"/>
  <c r="AB34" i="35"/>
  <c r="V58" i="35"/>
  <c r="X58" i="35" s="1"/>
  <c r="P388" i="35"/>
  <c r="Z34" i="35"/>
  <c r="Q293" i="35"/>
  <c r="Q319" i="35" s="1"/>
  <c r="Q399" i="35"/>
  <c r="Q400" i="35" s="1"/>
  <c r="Q401" i="35" s="1"/>
  <c r="P319" i="35"/>
  <c r="S411" i="35"/>
  <c r="AB58" i="35"/>
  <c r="AD58" i="35" s="1"/>
  <c r="Q388" i="35"/>
  <c r="Q27" i="35" s="1"/>
  <c r="J348" i="35"/>
  <c r="J42" i="35" s="1"/>
  <c r="O42" i="35" s="1"/>
  <c r="O319" i="35"/>
  <c r="P411" i="35"/>
  <c r="AB27" i="12" l="1"/>
  <c r="AD27" i="12" s="1"/>
  <c r="AF48" i="12"/>
  <c r="AE48" i="12" s="1"/>
  <c r="U48" i="12"/>
  <c r="U60" i="12" s="1"/>
  <c r="AC52" i="12"/>
  <c r="AC58" i="12" s="1"/>
  <c r="AA60" i="12"/>
  <c r="W60" i="12"/>
  <c r="AC27" i="12"/>
  <c r="AC34" i="12" s="1"/>
  <c r="AB52" i="12"/>
  <c r="AB58" i="12" s="1"/>
  <c r="AD58" i="12" s="1"/>
  <c r="O42" i="12"/>
  <c r="AF52" i="12"/>
  <c r="AF58" i="12" s="1"/>
  <c r="AE58" i="12" s="1"/>
  <c r="X34" i="12"/>
  <c r="AL61" i="12"/>
  <c r="P40" i="12"/>
  <c r="Y37" i="12"/>
  <c r="Z39" i="12"/>
  <c r="Y39" i="12" s="1"/>
  <c r="Y51" i="12"/>
  <c r="Z58" i="12"/>
  <c r="Y58" i="12" s="1"/>
  <c r="X23" i="12"/>
  <c r="Z34" i="12"/>
  <c r="O48" i="35"/>
  <c r="P42" i="35"/>
  <c r="Q42" i="35"/>
  <c r="Q48" i="35" s="1"/>
  <c r="Q49" i="35" s="1"/>
  <c r="S42" i="35"/>
  <c r="S48" i="35" s="1"/>
  <c r="S49" i="35" s="1"/>
  <c r="V42" i="35"/>
  <c r="P52" i="35"/>
  <c r="P357" i="35"/>
  <c r="AG39" i="35"/>
  <c r="P40" i="35"/>
  <c r="AL61" i="35"/>
  <c r="AE52" i="35"/>
  <c r="AF58" i="35"/>
  <c r="AE58" i="35" s="1"/>
  <c r="Y34" i="35"/>
  <c r="X34" i="35"/>
  <c r="O33" i="35"/>
  <c r="O34" i="35" s="1"/>
  <c r="O60" i="35" s="1"/>
  <c r="O201" i="35"/>
  <c r="O203" i="35" s="1"/>
  <c r="O184" i="35"/>
  <c r="P27" i="35"/>
  <c r="AF27" i="35" s="1"/>
  <c r="Q378" i="35"/>
  <c r="AD34" i="35"/>
  <c r="AB60" i="35"/>
  <c r="AD60" i="35" s="1"/>
  <c r="Z39" i="35"/>
  <c r="Y39" i="35" s="1"/>
  <c r="Y37" i="35"/>
  <c r="P195" i="35"/>
  <c r="P199" i="35" s="1"/>
  <c r="Z58" i="35"/>
  <c r="Y58" i="35" s="1"/>
  <c r="Y51" i="35"/>
  <c r="Q374" i="35"/>
  <c r="Q376" i="35" s="1"/>
  <c r="S319" i="35"/>
  <c r="S326" i="35"/>
  <c r="S327" i="35" s="1"/>
  <c r="S329" i="35" s="1"/>
  <c r="Q326" i="35"/>
  <c r="Q327" i="35" s="1"/>
  <c r="Q329" i="35" s="1"/>
  <c r="S195" i="35"/>
  <c r="S199" i="35" s="1"/>
  <c r="Q187" i="35"/>
  <c r="Q193" i="35" s="1"/>
  <c r="Q57" i="35" s="1"/>
  <c r="Q58" i="35" s="1"/>
  <c r="Q184" i="35"/>
  <c r="P374" i="35"/>
  <c r="P376" i="35" s="1"/>
  <c r="W60" i="35"/>
  <c r="S196" i="35"/>
  <c r="S184" i="35"/>
  <c r="Q195" i="35"/>
  <c r="Q199" i="35" s="1"/>
  <c r="P187" i="35"/>
  <c r="P193" i="35" s="1"/>
  <c r="P57" i="35" s="1"/>
  <c r="P184" i="35"/>
  <c r="AB34" i="12" l="1"/>
  <c r="AD34" i="12" s="1"/>
  <c r="AC60" i="12"/>
  <c r="AD52" i="12"/>
  <c r="V42" i="12"/>
  <c r="V48" i="12" s="1"/>
  <c r="Q42" i="12"/>
  <c r="S42" i="12"/>
  <c r="S48" i="12" s="1"/>
  <c r="S49" i="12" s="1"/>
  <c r="AE52" i="12"/>
  <c r="AG39" i="12"/>
  <c r="O48" i="12"/>
  <c r="P42" i="12"/>
  <c r="AF27" i="12"/>
  <c r="Y34" i="12"/>
  <c r="AL70" i="35"/>
  <c r="AM70" i="35" s="1"/>
  <c r="AG58" i="35"/>
  <c r="Q59" i="35"/>
  <c r="AE27" i="35"/>
  <c r="AF34" i="35"/>
  <c r="P58" i="35"/>
  <c r="S33" i="35"/>
  <c r="S34" i="35" s="1"/>
  <c r="S35" i="35" s="1"/>
  <c r="S201" i="35"/>
  <c r="S203" i="35" s="1"/>
  <c r="Q33" i="35"/>
  <c r="Q34" i="35" s="1"/>
  <c r="Q35" i="35" s="1"/>
  <c r="Q60" i="35" s="1"/>
  <c r="Q201" i="35"/>
  <c r="Q203" i="35" s="1"/>
  <c r="V48" i="35"/>
  <c r="X42" i="35"/>
  <c r="P201" i="35"/>
  <c r="P203" i="35" s="1"/>
  <c r="P33" i="35"/>
  <c r="P34" i="35" s="1"/>
  <c r="P48" i="35"/>
  <c r="P60" i="35" s="1"/>
  <c r="Z42" i="35"/>
  <c r="S34" i="12" l="1"/>
  <c r="AB60" i="12"/>
  <c r="AD60" i="12" s="1"/>
  <c r="X42" i="12"/>
  <c r="Q48" i="12"/>
  <c r="Q49" i="12" s="1"/>
  <c r="Q58" i="12"/>
  <c r="AG58" i="12" s="1"/>
  <c r="P34" i="12"/>
  <c r="O58" i="12"/>
  <c r="Z42" i="12"/>
  <c r="Z48" i="12" s="1"/>
  <c r="O34" i="12"/>
  <c r="Q34" i="12"/>
  <c r="P48" i="12"/>
  <c r="AE27" i="12"/>
  <c r="AF34" i="12"/>
  <c r="X48" i="12"/>
  <c r="V60" i="12"/>
  <c r="X60" i="12" s="1"/>
  <c r="X48" i="35"/>
  <c r="V60" i="35"/>
  <c r="X60" i="35" s="1"/>
  <c r="AE34" i="35"/>
  <c r="AF60" i="35"/>
  <c r="AE60" i="35" s="1"/>
  <c r="AG34" i="35"/>
  <c r="P35" i="35"/>
  <c r="AL59" i="35"/>
  <c r="AL62" i="35" s="1"/>
  <c r="AM62" i="35" s="1"/>
  <c r="Z48" i="35"/>
  <c r="Y42" i="35"/>
  <c r="AG48" i="35"/>
  <c r="P49" i="35"/>
  <c r="AL60" i="35"/>
  <c r="P35" i="12" l="1"/>
  <c r="AG34" i="12"/>
  <c r="AL59" i="12"/>
  <c r="AG48" i="12"/>
  <c r="AL60" i="12"/>
  <c r="P49" i="12"/>
  <c r="Y42" i="12"/>
  <c r="AL70" i="12"/>
  <c r="AM70" i="12" s="1"/>
  <c r="Q59" i="12"/>
  <c r="P60" i="12"/>
  <c r="S35" i="12"/>
  <c r="O60" i="12"/>
  <c r="Q35" i="12"/>
  <c r="P58" i="12"/>
  <c r="AF60" i="12"/>
  <c r="AE60" i="12" s="1"/>
  <c r="AE34" i="12"/>
  <c r="Y48" i="12"/>
  <c r="Z60" i="12"/>
  <c r="Y60" i="12" s="1"/>
  <c r="Y48" i="35"/>
  <c r="Z60" i="35"/>
  <c r="AL62" i="12" l="1"/>
  <c r="AM62" i="12" s="1"/>
  <c r="Q60" i="12"/>
  <c r="AG60" i="12"/>
  <c r="Y60" i="35"/>
  <c r="AG60" i="35"/>
  <c r="P89" i="30" l="1"/>
  <c r="I75" i="30"/>
  <c r="P78" i="30"/>
  <c r="O74" i="30"/>
  <c r="L74" i="30"/>
  <c r="I74" i="30"/>
  <c r="K74" i="30"/>
  <c r="P77" i="30"/>
  <c r="O75" i="30"/>
  <c r="L75" i="30"/>
  <c r="K75" i="30"/>
  <c r="O77" i="30"/>
  <c r="P54" i="8" l="1"/>
  <c r="M66" i="18"/>
  <c r="P53" i="18"/>
  <c r="P56" i="18"/>
  <c r="O64" i="18"/>
  <c r="P55" i="18" l="1"/>
  <c r="N64" i="18"/>
  <c r="H64" i="29"/>
  <c r="P55" i="29"/>
  <c r="O65" i="30"/>
  <c r="P55" i="20"/>
  <c r="P51" i="20"/>
  <c r="P54" i="20"/>
  <c r="J15" i="13"/>
  <c r="J14" i="13"/>
  <c r="I15" i="13"/>
  <c r="I14" i="13"/>
  <c r="H15" i="13"/>
  <c r="H14" i="13"/>
  <c r="G15" i="13"/>
  <c r="G14" i="13"/>
  <c r="A73" i="20" l="1"/>
  <c r="AK72" i="20"/>
  <c r="AK71" i="20"/>
  <c r="AK70" i="20"/>
  <c r="H69" i="20"/>
  <c r="H68" i="20"/>
  <c r="M67" i="20"/>
  <c r="N66" i="20"/>
  <c r="M66" i="20"/>
  <c r="N65" i="20"/>
  <c r="M65" i="20"/>
  <c r="H65" i="20"/>
  <c r="N64" i="20"/>
  <c r="H64" i="20"/>
  <c r="AK62" i="20"/>
  <c r="N60" i="20"/>
  <c r="M60" i="20"/>
  <c r="H59" i="20"/>
  <c r="H60" i="20" s="1"/>
  <c r="G59" i="20"/>
  <c r="G60" i="20" s="1"/>
  <c r="C59" i="20"/>
  <c r="C58" i="20"/>
  <c r="AC57" i="20"/>
  <c r="AA57" i="20"/>
  <c r="AF57" i="20" s="1"/>
  <c r="W57" i="20"/>
  <c r="U57" i="20"/>
  <c r="X57" i="20" s="1"/>
  <c r="AA56" i="20"/>
  <c r="W56" i="20"/>
  <c r="U56" i="20"/>
  <c r="Y56" i="20" s="1"/>
  <c r="P56" i="20"/>
  <c r="Q56" i="20" s="1"/>
  <c r="O56" i="20"/>
  <c r="AC55" i="20"/>
  <c r="AA55" i="20"/>
  <c r="AD55" i="20" s="1"/>
  <c r="U55" i="20"/>
  <c r="Q55" i="20"/>
  <c r="O55" i="20"/>
  <c r="AA54" i="20"/>
  <c r="W54" i="20"/>
  <c r="U54" i="20"/>
  <c r="V54" i="20" s="1"/>
  <c r="Q54" i="20"/>
  <c r="O54" i="20"/>
  <c r="J60" i="20" s="1"/>
  <c r="AC53" i="20"/>
  <c r="AA53" i="20"/>
  <c r="AB53" i="20" s="1"/>
  <c r="U53" i="20"/>
  <c r="P53" i="20"/>
  <c r="Q53" i="20" s="1"/>
  <c r="O53" i="20"/>
  <c r="W52" i="20"/>
  <c r="U52" i="20"/>
  <c r="AC51" i="20"/>
  <c r="AA51" i="20"/>
  <c r="AD51" i="20" s="1"/>
  <c r="U51" i="20"/>
  <c r="Q51" i="20"/>
  <c r="O51" i="20"/>
  <c r="C49" i="20"/>
  <c r="C48" i="20"/>
  <c r="AC47" i="20"/>
  <c r="AA47" i="20"/>
  <c r="AF47" i="20" s="1"/>
  <c r="W47" i="20"/>
  <c r="U47" i="20"/>
  <c r="AC46" i="20"/>
  <c r="AA46" i="20"/>
  <c r="AF46" i="20" s="1"/>
  <c r="U46" i="20"/>
  <c r="Y46" i="20" s="1"/>
  <c r="O46" i="20"/>
  <c r="AC45" i="20"/>
  <c r="AA45" i="20"/>
  <c r="AF45" i="20" s="1"/>
  <c r="U45" i="20"/>
  <c r="O45" i="20"/>
  <c r="AC44" i="20"/>
  <c r="AA44" i="20"/>
  <c r="AF44" i="20" s="1"/>
  <c r="U44" i="20"/>
  <c r="Y44" i="20" s="1"/>
  <c r="O44" i="20"/>
  <c r="AA43" i="20"/>
  <c r="W43" i="20"/>
  <c r="U43" i="20"/>
  <c r="Y43" i="20" s="1"/>
  <c r="O43" i="20"/>
  <c r="P43" i="20" s="1"/>
  <c r="AC42" i="20"/>
  <c r="AA42" i="20"/>
  <c r="C40" i="20"/>
  <c r="S39" i="20"/>
  <c r="S40" i="20" s="1"/>
  <c r="C39" i="20"/>
  <c r="AC38" i="20"/>
  <c r="AA38" i="20"/>
  <c r="AF38" i="20" s="1"/>
  <c r="W38" i="20"/>
  <c r="U38" i="20"/>
  <c r="X38" i="20" s="1"/>
  <c r="AC37" i="20"/>
  <c r="AA37" i="20"/>
  <c r="U37" i="20"/>
  <c r="O37" i="20"/>
  <c r="P37" i="20" s="1"/>
  <c r="P39" i="20" s="1"/>
  <c r="C35" i="20"/>
  <c r="C34" i="20"/>
  <c r="AC33" i="20"/>
  <c r="AA33" i="20"/>
  <c r="W33" i="20"/>
  <c r="U33" i="20"/>
  <c r="Z33" i="20" s="1"/>
  <c r="O32" i="20"/>
  <c r="P32" i="20" s="1"/>
  <c r="O30" i="20"/>
  <c r="S30" i="20" s="1"/>
  <c r="O29" i="20"/>
  <c r="S29" i="20" s="1"/>
  <c r="AC28" i="20"/>
  <c r="AA28" i="20"/>
  <c r="AB28" i="20" s="1"/>
  <c r="U28" i="20"/>
  <c r="O28" i="20"/>
  <c r="Q28" i="20" s="1"/>
  <c r="W27" i="20"/>
  <c r="U27" i="20"/>
  <c r="Z27" i="20" s="1"/>
  <c r="AC26" i="20"/>
  <c r="AA26" i="20"/>
  <c r="U26" i="20"/>
  <c r="O26" i="20"/>
  <c r="AC25" i="20"/>
  <c r="AA25" i="20"/>
  <c r="U25" i="20"/>
  <c r="Y25" i="20" s="1"/>
  <c r="O25" i="20"/>
  <c r="Q25" i="20" s="1"/>
  <c r="AA24" i="20"/>
  <c r="W24" i="20"/>
  <c r="U24" i="20"/>
  <c r="X24" i="20" s="1"/>
  <c r="O24" i="20"/>
  <c r="S24" i="20" s="1"/>
  <c r="AC23" i="20"/>
  <c r="AA23" i="20"/>
  <c r="U23" i="20"/>
  <c r="O23" i="20"/>
  <c r="AC22" i="20"/>
  <c r="AA22" i="20"/>
  <c r="U22" i="20"/>
  <c r="O22" i="20"/>
  <c r="AC21" i="20"/>
  <c r="AA21" i="20"/>
  <c r="AB21" i="20" s="1"/>
  <c r="U21" i="20"/>
  <c r="O21" i="20"/>
  <c r="AA20" i="20"/>
  <c r="W20" i="20"/>
  <c r="U20" i="20"/>
  <c r="Z20" i="20" s="1"/>
  <c r="O20" i="20"/>
  <c r="S20" i="20" s="1"/>
  <c r="AC19" i="20"/>
  <c r="AA19" i="20"/>
  <c r="AB19" i="20" s="1"/>
  <c r="U19" i="20"/>
  <c r="Y19" i="20" s="1"/>
  <c r="O19" i="20"/>
  <c r="AC18" i="20"/>
  <c r="AA18" i="20"/>
  <c r="U18" i="20"/>
  <c r="O18" i="20"/>
  <c r="S18" i="20" s="1"/>
  <c r="AC17" i="20"/>
  <c r="AA17" i="20"/>
  <c r="U17" i="20"/>
  <c r="O17" i="20"/>
  <c r="AC16" i="20"/>
  <c r="AA16" i="20"/>
  <c r="U16" i="20"/>
  <c r="O16" i="20"/>
  <c r="S16" i="20" s="1"/>
  <c r="AA15" i="20"/>
  <c r="W15" i="20"/>
  <c r="U15" i="20"/>
  <c r="Y15" i="20" s="1"/>
  <c r="O15" i="20"/>
  <c r="S15" i="20" s="1"/>
  <c r="AC14" i="20"/>
  <c r="AA14" i="20"/>
  <c r="U14" i="20"/>
  <c r="O14" i="20"/>
  <c r="AA13" i="20"/>
  <c r="W13" i="20"/>
  <c r="U13" i="20"/>
  <c r="Y13" i="20" s="1"/>
  <c r="O13" i="20"/>
  <c r="Q13" i="20" s="1"/>
  <c r="AC12" i="20"/>
  <c r="AA12" i="20"/>
  <c r="U12" i="20"/>
  <c r="O12" i="20"/>
  <c r="P12" i="20" s="1"/>
  <c r="W11" i="20"/>
  <c r="U11" i="20"/>
  <c r="Z11" i="20" s="1"/>
  <c r="AC10" i="20"/>
  <c r="AA10" i="20"/>
  <c r="AD10" i="20" s="1"/>
  <c r="A5" i="20"/>
  <c r="A4" i="20"/>
  <c r="W1" i="20"/>
  <c r="N399" i="30"/>
  <c r="J399" i="30"/>
  <c r="I399" i="30"/>
  <c r="H399" i="30"/>
  <c r="G399" i="30"/>
  <c r="O399" i="30" s="1"/>
  <c r="B399" i="30"/>
  <c r="N398" i="30"/>
  <c r="J398" i="30"/>
  <c r="I398" i="30"/>
  <c r="H398" i="30"/>
  <c r="H400" i="30" s="1"/>
  <c r="G398" i="30"/>
  <c r="G400" i="30" s="1"/>
  <c r="B398" i="30"/>
  <c r="N395" i="30"/>
  <c r="H395" i="30"/>
  <c r="G395" i="30"/>
  <c r="Q394" i="30"/>
  <c r="O394" i="30"/>
  <c r="S394" i="30" s="1"/>
  <c r="S393" i="30"/>
  <c r="Q393" i="30"/>
  <c r="Q395" i="30" s="1"/>
  <c r="P393" i="30"/>
  <c r="O393" i="30"/>
  <c r="O395" i="30" s="1"/>
  <c r="N387" i="30"/>
  <c r="J387" i="30"/>
  <c r="H387" i="30"/>
  <c r="O387" i="30" s="1"/>
  <c r="B387" i="30"/>
  <c r="N386" i="30"/>
  <c r="N388" i="30" s="1"/>
  <c r="J386" i="30"/>
  <c r="H386" i="30"/>
  <c r="H388" i="30" s="1"/>
  <c r="B386" i="30"/>
  <c r="N383" i="30"/>
  <c r="H383" i="30"/>
  <c r="O382" i="30"/>
  <c r="Q382" i="30" s="1"/>
  <c r="N382" i="30"/>
  <c r="J382" i="30"/>
  <c r="H382" i="30"/>
  <c r="B382" i="30"/>
  <c r="O381" i="30"/>
  <c r="N381" i="30"/>
  <c r="J381" i="30"/>
  <c r="H381" i="30"/>
  <c r="B381" i="30"/>
  <c r="N377" i="30"/>
  <c r="I376" i="30"/>
  <c r="O376" i="30" s="1"/>
  <c r="G376" i="30"/>
  <c r="B376" i="30"/>
  <c r="I375" i="30"/>
  <c r="G375" i="30"/>
  <c r="B375" i="30"/>
  <c r="N372" i="30"/>
  <c r="H372" i="30"/>
  <c r="G372" i="30"/>
  <c r="S371" i="30"/>
  <c r="Q371" i="30"/>
  <c r="P371" i="30"/>
  <c r="S370" i="30"/>
  <c r="S372" i="30" s="1"/>
  <c r="O370" i="30"/>
  <c r="P370" i="30" s="1"/>
  <c r="P372" i="30" s="1"/>
  <c r="S366" i="30"/>
  <c r="N366" i="30"/>
  <c r="H366" i="30"/>
  <c r="G366" i="30"/>
  <c r="S365" i="30"/>
  <c r="Q365" i="30"/>
  <c r="P365" i="30"/>
  <c r="S364" i="30"/>
  <c r="Q364" i="30"/>
  <c r="Q366" i="30" s="1"/>
  <c r="P364" i="30"/>
  <c r="P366" i="30" s="1"/>
  <c r="O364" i="30"/>
  <c r="O366" i="30" s="1"/>
  <c r="Q358" i="30"/>
  <c r="J358" i="30"/>
  <c r="H358" i="30"/>
  <c r="O358" i="30" s="1"/>
  <c r="O357" i="30"/>
  <c r="S357" i="30" s="1"/>
  <c r="J357" i="30"/>
  <c r="H357" i="30"/>
  <c r="Q356" i="30"/>
  <c r="J356" i="30"/>
  <c r="H356" i="30"/>
  <c r="O356" i="30" s="1"/>
  <c r="O355" i="30"/>
  <c r="S355" i="30" s="1"/>
  <c r="J355" i="30"/>
  <c r="H355" i="30"/>
  <c r="Q354" i="30"/>
  <c r="J354" i="30"/>
  <c r="H354" i="30"/>
  <c r="O354" i="30" s="1"/>
  <c r="I349" i="30"/>
  <c r="G349" i="30"/>
  <c r="O349" i="30" s="1"/>
  <c r="I348" i="30"/>
  <c r="G348" i="30"/>
  <c r="O348" i="30" s="1"/>
  <c r="I347" i="30"/>
  <c r="G347" i="30"/>
  <c r="O347" i="30" s="1"/>
  <c r="I346" i="30"/>
  <c r="G346" i="30"/>
  <c r="O346" i="30" s="1"/>
  <c r="N345" i="30"/>
  <c r="I345" i="30"/>
  <c r="G345" i="30"/>
  <c r="G350" i="30" s="1"/>
  <c r="G31" i="30" s="1"/>
  <c r="O342" i="30"/>
  <c r="N342" i="30"/>
  <c r="H342" i="30"/>
  <c r="G342" i="30"/>
  <c r="S341" i="30"/>
  <c r="O341" i="30"/>
  <c r="P341" i="30" s="1"/>
  <c r="S340" i="30"/>
  <c r="Q340" i="30"/>
  <c r="P340" i="30"/>
  <c r="O340" i="30"/>
  <c r="S339" i="30"/>
  <c r="Q339" i="30"/>
  <c r="P339" i="30"/>
  <c r="O339" i="30"/>
  <c r="S338" i="30"/>
  <c r="O338" i="30"/>
  <c r="P338" i="30" s="1"/>
  <c r="S337" i="30"/>
  <c r="S342" i="30" s="1"/>
  <c r="Q337" i="30"/>
  <c r="P337" i="30"/>
  <c r="P342" i="30" s="1"/>
  <c r="O337" i="30"/>
  <c r="J330" i="30"/>
  <c r="O330" i="30" s="1"/>
  <c r="H330" i="30"/>
  <c r="S329" i="30"/>
  <c r="Q329" i="30"/>
  <c r="P329" i="30"/>
  <c r="O329" i="30"/>
  <c r="J328" i="30"/>
  <c r="O328" i="30" s="1"/>
  <c r="H328" i="30"/>
  <c r="P327" i="30"/>
  <c r="O327" i="30"/>
  <c r="S327" i="30" s="1"/>
  <c r="S326" i="30"/>
  <c r="Q326" i="30"/>
  <c r="P326" i="30"/>
  <c r="O326" i="30"/>
  <c r="S325" i="30"/>
  <c r="Q325" i="30"/>
  <c r="P325" i="30"/>
  <c r="O325" i="30"/>
  <c r="P324" i="30"/>
  <c r="O324" i="30"/>
  <c r="S324" i="30" s="1"/>
  <c r="J324" i="30"/>
  <c r="H324" i="30"/>
  <c r="S323" i="30"/>
  <c r="J323" i="30"/>
  <c r="O323" i="30" s="1"/>
  <c r="H323" i="30"/>
  <c r="H331" i="30" s="1"/>
  <c r="N319" i="30"/>
  <c r="I318" i="30"/>
  <c r="G318" i="30"/>
  <c r="O318" i="30" s="1"/>
  <c r="O317" i="30"/>
  <c r="I317" i="30"/>
  <c r="G317" i="30"/>
  <c r="I316" i="30"/>
  <c r="G316" i="30"/>
  <c r="O316" i="30" s="1"/>
  <c r="O315" i="30"/>
  <c r="I315" i="30"/>
  <c r="G315" i="30"/>
  <c r="I314" i="30"/>
  <c r="G314" i="30"/>
  <c r="O314" i="30" s="1"/>
  <c r="O313" i="30"/>
  <c r="I313" i="30"/>
  <c r="G313" i="30"/>
  <c r="I312" i="30"/>
  <c r="G312" i="30"/>
  <c r="O312" i="30" s="1"/>
  <c r="O311" i="30"/>
  <c r="N311" i="30"/>
  <c r="I311" i="30"/>
  <c r="G311" i="30"/>
  <c r="G319" i="30" s="1"/>
  <c r="G27" i="30" s="1"/>
  <c r="AA27" i="30" s="1"/>
  <c r="N308" i="30"/>
  <c r="H308" i="30"/>
  <c r="G308" i="30"/>
  <c r="O307" i="30"/>
  <c r="Q307" i="30" s="1"/>
  <c r="O306" i="30"/>
  <c r="S306" i="30" s="1"/>
  <c r="O305" i="30"/>
  <c r="O304" i="30"/>
  <c r="Q304" i="30" s="1"/>
  <c r="O303" i="30"/>
  <c r="S303" i="30" s="1"/>
  <c r="O302" i="30"/>
  <c r="O301" i="30"/>
  <c r="Q301" i="30" s="1"/>
  <c r="O300" i="30"/>
  <c r="S300" i="30" s="1"/>
  <c r="J291" i="30"/>
  <c r="H291" i="30"/>
  <c r="O290" i="30"/>
  <c r="P290" i="30" s="1"/>
  <c r="Q290" i="30" s="1"/>
  <c r="J290" i="30"/>
  <c r="H290" i="30"/>
  <c r="P289" i="30"/>
  <c r="Q289" i="30" s="1"/>
  <c r="O289" i="30"/>
  <c r="J289" i="30"/>
  <c r="H289" i="30"/>
  <c r="J288" i="30"/>
  <c r="H288" i="30"/>
  <c r="O288" i="30" s="1"/>
  <c r="O283" i="30"/>
  <c r="I283" i="30"/>
  <c r="G283" i="30"/>
  <c r="P283" i="30" s="1"/>
  <c r="Q283" i="30" s="1"/>
  <c r="I282" i="30"/>
  <c r="O282" i="30" s="1"/>
  <c r="P282" i="30" s="1"/>
  <c r="Q282" i="30" s="1"/>
  <c r="G282" i="30"/>
  <c r="I281" i="30"/>
  <c r="G281" i="30"/>
  <c r="I280" i="30"/>
  <c r="O280" i="30" s="1"/>
  <c r="G280" i="30"/>
  <c r="H276" i="30"/>
  <c r="G276" i="30"/>
  <c r="Q275" i="30"/>
  <c r="P275" i="30"/>
  <c r="O275" i="30"/>
  <c r="P274" i="30"/>
  <c r="Q274" i="30" s="1"/>
  <c r="O274" i="30"/>
  <c r="O273" i="30"/>
  <c r="P273" i="30" s="1"/>
  <c r="Q272" i="30"/>
  <c r="P272" i="30"/>
  <c r="O272" i="30"/>
  <c r="N262" i="30"/>
  <c r="N261" i="30"/>
  <c r="N260" i="30"/>
  <c r="N259" i="30"/>
  <c r="N258" i="30"/>
  <c r="N257" i="30"/>
  <c r="N256" i="30"/>
  <c r="N255" i="30"/>
  <c r="N254" i="30"/>
  <c r="N253" i="30"/>
  <c r="N250" i="30"/>
  <c r="N249" i="30"/>
  <c r="N248" i="30"/>
  <c r="N247" i="30"/>
  <c r="N246" i="30"/>
  <c r="O241" i="30"/>
  <c r="N241" i="30"/>
  <c r="M241" i="30"/>
  <c r="L241" i="30"/>
  <c r="K241" i="30"/>
  <c r="J241" i="30"/>
  <c r="I241" i="30"/>
  <c r="H241" i="30"/>
  <c r="G241" i="30"/>
  <c r="O240" i="30"/>
  <c r="G240" i="30"/>
  <c r="F240" i="30"/>
  <c r="B240" i="30"/>
  <c r="S239" i="30"/>
  <c r="O239" i="30"/>
  <c r="P239" i="30" s="1"/>
  <c r="N235" i="30"/>
  <c r="M235" i="30"/>
  <c r="L235" i="30"/>
  <c r="K235" i="30"/>
  <c r="J235" i="30"/>
  <c r="I235" i="30"/>
  <c r="H235" i="30"/>
  <c r="G234" i="30"/>
  <c r="F234" i="30"/>
  <c r="B234" i="30"/>
  <c r="Q233" i="30"/>
  <c r="O233" i="30"/>
  <c r="S233" i="30" s="1"/>
  <c r="N229" i="30"/>
  <c r="M229" i="30"/>
  <c r="L229" i="30"/>
  <c r="K229" i="30"/>
  <c r="J229" i="30"/>
  <c r="I229" i="30"/>
  <c r="H229" i="30"/>
  <c r="G229" i="30"/>
  <c r="S228" i="30"/>
  <c r="S229" i="30" s="1"/>
  <c r="Q228" i="30"/>
  <c r="Q229" i="30" s="1"/>
  <c r="O228" i="30"/>
  <c r="P228" i="30" s="1"/>
  <c r="P229" i="30" s="1"/>
  <c r="G228" i="30"/>
  <c r="F228" i="30"/>
  <c r="B228" i="30"/>
  <c r="S227" i="30"/>
  <c r="Q227" i="30"/>
  <c r="P227" i="30"/>
  <c r="O227" i="30"/>
  <c r="N223" i="30"/>
  <c r="M223" i="30"/>
  <c r="L223" i="30"/>
  <c r="K223" i="30"/>
  <c r="J223" i="30"/>
  <c r="I223" i="30"/>
  <c r="H223" i="30"/>
  <c r="G222" i="30"/>
  <c r="O222" i="30" s="1"/>
  <c r="F222" i="30"/>
  <c r="B222" i="30"/>
  <c r="O221" i="30"/>
  <c r="N217" i="30"/>
  <c r="M217" i="30"/>
  <c r="L217" i="30"/>
  <c r="K217" i="30"/>
  <c r="J217" i="30"/>
  <c r="I217" i="30"/>
  <c r="H217" i="30"/>
  <c r="G217" i="30"/>
  <c r="O216" i="30"/>
  <c r="O217" i="30" s="1"/>
  <c r="G216" i="30"/>
  <c r="F216" i="30"/>
  <c r="B216" i="30"/>
  <c r="S215" i="30"/>
  <c r="Q215" i="30"/>
  <c r="P215" i="30"/>
  <c r="O215" i="30"/>
  <c r="N211" i="30"/>
  <c r="M211" i="30"/>
  <c r="L211" i="30"/>
  <c r="K211" i="30"/>
  <c r="J211" i="30"/>
  <c r="I211" i="30"/>
  <c r="H211" i="30"/>
  <c r="G210" i="30"/>
  <c r="F210" i="30"/>
  <c r="B210" i="30"/>
  <c r="Q209" i="30"/>
  <c r="P209" i="30"/>
  <c r="O209" i="30"/>
  <c r="S209" i="30" s="1"/>
  <c r="N205" i="30"/>
  <c r="M205" i="30"/>
  <c r="L205" i="30"/>
  <c r="K205" i="30"/>
  <c r="J205" i="30"/>
  <c r="I205" i="30"/>
  <c r="H205" i="30"/>
  <c r="G204" i="30"/>
  <c r="O204" i="30" s="1"/>
  <c r="F204" i="30"/>
  <c r="B204" i="30"/>
  <c r="P203" i="30"/>
  <c r="O203" i="30"/>
  <c r="S203" i="30" s="1"/>
  <c r="N199" i="30"/>
  <c r="M199" i="30"/>
  <c r="L199" i="30"/>
  <c r="K199" i="30"/>
  <c r="J199" i="30"/>
  <c r="I199" i="30"/>
  <c r="H199" i="30"/>
  <c r="G199" i="30"/>
  <c r="G198" i="30"/>
  <c r="O198" i="30" s="1"/>
  <c r="F198" i="30"/>
  <c r="B198" i="30"/>
  <c r="O197" i="30"/>
  <c r="N193" i="30"/>
  <c r="M193" i="30"/>
  <c r="L193" i="30"/>
  <c r="K193" i="30"/>
  <c r="J193" i="30"/>
  <c r="I193" i="30"/>
  <c r="H193" i="30"/>
  <c r="G193" i="30"/>
  <c r="O192" i="30"/>
  <c r="O193" i="30" s="1"/>
  <c r="G192" i="30"/>
  <c r="F192" i="30"/>
  <c r="B192" i="30"/>
  <c r="S191" i="30"/>
  <c r="Q191" i="30"/>
  <c r="P191" i="30"/>
  <c r="O191" i="30"/>
  <c r="N187" i="30"/>
  <c r="M187" i="30"/>
  <c r="L187" i="30"/>
  <c r="K187" i="30"/>
  <c r="J187" i="30"/>
  <c r="I187" i="30"/>
  <c r="H187" i="30"/>
  <c r="G186" i="30"/>
  <c r="F186" i="30"/>
  <c r="B186" i="30"/>
  <c r="S185" i="30"/>
  <c r="Q185" i="30"/>
  <c r="O185" i="30"/>
  <c r="P185" i="30" s="1"/>
  <c r="N181" i="30"/>
  <c r="M181" i="30"/>
  <c r="L181" i="30"/>
  <c r="K181" i="30"/>
  <c r="J181" i="30"/>
  <c r="I181" i="30"/>
  <c r="H181" i="30"/>
  <c r="G181" i="30"/>
  <c r="Q180" i="30"/>
  <c r="Q181" i="30" s="1"/>
  <c r="P180" i="30"/>
  <c r="P181" i="30" s="1"/>
  <c r="O180" i="30"/>
  <c r="S180" i="30" s="1"/>
  <c r="S181" i="30" s="1"/>
  <c r="G180" i="30"/>
  <c r="F180" i="30"/>
  <c r="B180" i="30"/>
  <c r="S179" i="30"/>
  <c r="Q179" i="30"/>
  <c r="P179" i="30"/>
  <c r="O179" i="30"/>
  <c r="O175" i="30"/>
  <c r="O262" i="30" s="1"/>
  <c r="N175" i="30"/>
  <c r="M175" i="30"/>
  <c r="L175" i="30"/>
  <c r="K175" i="30"/>
  <c r="J175" i="30"/>
  <c r="I175" i="30"/>
  <c r="H175" i="30"/>
  <c r="G175" i="30"/>
  <c r="P174" i="30"/>
  <c r="P175" i="30" s="1"/>
  <c r="P262" i="30" s="1"/>
  <c r="O174" i="30"/>
  <c r="H174" i="30"/>
  <c r="G174" i="30"/>
  <c r="F174" i="30"/>
  <c r="B174" i="30"/>
  <c r="S173" i="30"/>
  <c r="Q173" i="30"/>
  <c r="P173" i="30"/>
  <c r="O173" i="30"/>
  <c r="O169" i="30"/>
  <c r="O258" i="30" s="1"/>
  <c r="N169" i="30"/>
  <c r="M169" i="30"/>
  <c r="L169" i="30"/>
  <c r="K169" i="30"/>
  <c r="J169" i="30"/>
  <c r="I169" i="30"/>
  <c r="H169" i="30"/>
  <c r="G169" i="30"/>
  <c r="P168" i="30"/>
  <c r="P169" i="30" s="1"/>
  <c r="P258" i="30" s="1"/>
  <c r="O168" i="30"/>
  <c r="H168" i="30"/>
  <c r="G168" i="30"/>
  <c r="F168" i="30"/>
  <c r="B168" i="30"/>
  <c r="S167" i="30"/>
  <c r="Q167" i="30"/>
  <c r="P167" i="30"/>
  <c r="O167" i="30"/>
  <c r="N163" i="30"/>
  <c r="M163" i="30"/>
  <c r="L163" i="30"/>
  <c r="K163" i="30"/>
  <c r="J163" i="30"/>
  <c r="I163" i="30"/>
  <c r="H163" i="30"/>
  <c r="G163" i="30"/>
  <c r="O162" i="30"/>
  <c r="O163" i="30" s="1"/>
  <c r="H162" i="30"/>
  <c r="G162" i="30"/>
  <c r="F162" i="30"/>
  <c r="B162" i="30"/>
  <c r="S161" i="30"/>
  <c r="Q161" i="30"/>
  <c r="P161" i="30"/>
  <c r="O161" i="30"/>
  <c r="N157" i="30"/>
  <c r="M157" i="30"/>
  <c r="L157" i="30"/>
  <c r="K157" i="30"/>
  <c r="J157" i="30"/>
  <c r="I157" i="30"/>
  <c r="H157" i="30"/>
  <c r="G157" i="30"/>
  <c r="H156" i="30"/>
  <c r="O156" i="30" s="1"/>
  <c r="G156" i="30"/>
  <c r="F156" i="30"/>
  <c r="B156" i="30"/>
  <c r="S155" i="30"/>
  <c r="Q155" i="30"/>
  <c r="P155" i="30"/>
  <c r="O155" i="30"/>
  <c r="O151" i="30"/>
  <c r="O257" i="30" s="1"/>
  <c r="N151" i="30"/>
  <c r="M151" i="30"/>
  <c r="L151" i="30"/>
  <c r="K151" i="30"/>
  <c r="J151" i="30"/>
  <c r="I151" i="30"/>
  <c r="G151" i="30"/>
  <c r="P150" i="30"/>
  <c r="P151" i="30" s="1"/>
  <c r="P257" i="30" s="1"/>
  <c r="O150" i="30"/>
  <c r="H150" i="30"/>
  <c r="H151" i="30" s="1"/>
  <c r="G150" i="30"/>
  <c r="F150" i="30"/>
  <c r="B150" i="30"/>
  <c r="S149" i="30"/>
  <c r="Q149" i="30"/>
  <c r="P149" i="30"/>
  <c r="O149" i="30"/>
  <c r="N145" i="30"/>
  <c r="M145" i="30"/>
  <c r="L145" i="30"/>
  <c r="K145" i="30"/>
  <c r="J145" i="30"/>
  <c r="I145" i="30"/>
  <c r="H145" i="30"/>
  <c r="G145" i="30"/>
  <c r="O144" i="30"/>
  <c r="O145" i="30" s="1"/>
  <c r="O256" i="30" s="1"/>
  <c r="H144" i="30"/>
  <c r="G144" i="30"/>
  <c r="F144" i="30"/>
  <c r="B144" i="30"/>
  <c r="S143" i="30"/>
  <c r="Q143" i="30"/>
  <c r="P143" i="30"/>
  <c r="O143" i="30"/>
  <c r="N139" i="30"/>
  <c r="M139" i="30"/>
  <c r="L139" i="30"/>
  <c r="K139" i="30"/>
  <c r="J139" i="30"/>
  <c r="I139" i="30"/>
  <c r="H139" i="30"/>
  <c r="G139" i="30"/>
  <c r="H138" i="30"/>
  <c r="O138" i="30" s="1"/>
  <c r="P138" i="30" s="1"/>
  <c r="P139" i="30" s="1"/>
  <c r="P255" i="30" s="1"/>
  <c r="G138" i="30"/>
  <c r="F138" i="30"/>
  <c r="B138" i="30"/>
  <c r="S137" i="30"/>
  <c r="Q137" i="30"/>
  <c r="P137" i="30"/>
  <c r="O137" i="30"/>
  <c r="O133" i="30"/>
  <c r="O254" i="30" s="1"/>
  <c r="N133" i="30"/>
  <c r="M133" i="30"/>
  <c r="L133" i="30"/>
  <c r="K133" i="30"/>
  <c r="J133" i="30"/>
  <c r="I133" i="30"/>
  <c r="G133" i="30"/>
  <c r="P132" i="30"/>
  <c r="P133" i="30" s="1"/>
  <c r="P254" i="30" s="1"/>
  <c r="O132" i="30"/>
  <c r="H132" i="30"/>
  <c r="H133" i="30" s="1"/>
  <c r="G132" i="30"/>
  <c r="F132" i="30"/>
  <c r="B132" i="30"/>
  <c r="S131" i="30"/>
  <c r="Q131" i="30"/>
  <c r="P131" i="30"/>
  <c r="O131" i="30"/>
  <c r="N127" i="30"/>
  <c r="M127" i="30"/>
  <c r="L127" i="30"/>
  <c r="K127" i="30"/>
  <c r="J127" i="30"/>
  <c r="I127" i="30"/>
  <c r="H127" i="30"/>
  <c r="G127" i="30"/>
  <c r="O126" i="30"/>
  <c r="O127" i="30" s="1"/>
  <c r="O253" i="30" s="1"/>
  <c r="H126" i="30"/>
  <c r="G126" i="30"/>
  <c r="F126" i="30"/>
  <c r="B126" i="30"/>
  <c r="S125" i="30"/>
  <c r="Q125" i="30"/>
  <c r="P125" i="30"/>
  <c r="O125" i="30"/>
  <c r="N121" i="30"/>
  <c r="M121" i="30"/>
  <c r="L121" i="30"/>
  <c r="K121" i="30"/>
  <c r="J121" i="30"/>
  <c r="I121" i="30"/>
  <c r="H120" i="30"/>
  <c r="H121" i="30" s="1"/>
  <c r="G120" i="30"/>
  <c r="F120" i="30"/>
  <c r="B120" i="30"/>
  <c r="Q119" i="30"/>
  <c r="O119" i="30"/>
  <c r="P119" i="30" s="1"/>
  <c r="N115" i="30"/>
  <c r="M115" i="30"/>
  <c r="L115" i="30"/>
  <c r="K115" i="30"/>
  <c r="J115" i="30"/>
  <c r="I115" i="30"/>
  <c r="H115" i="30"/>
  <c r="P114" i="30"/>
  <c r="Q114" i="30" s="1"/>
  <c r="Q115" i="30" s="1"/>
  <c r="O114" i="30"/>
  <c r="O115" i="30" s="1"/>
  <c r="H114" i="30"/>
  <c r="G114" i="30"/>
  <c r="G115" i="30" s="1"/>
  <c r="F114" i="30"/>
  <c r="B114" i="30"/>
  <c r="Q113" i="30"/>
  <c r="P113" i="30"/>
  <c r="O113" i="30"/>
  <c r="N109" i="30"/>
  <c r="M109" i="30"/>
  <c r="L109" i="30"/>
  <c r="K109" i="30"/>
  <c r="J109" i="30"/>
  <c r="I109" i="30"/>
  <c r="H108" i="30"/>
  <c r="H109" i="30" s="1"/>
  <c r="G108" i="30"/>
  <c r="F108" i="30"/>
  <c r="B108" i="30"/>
  <c r="Q107" i="30"/>
  <c r="O107" i="30"/>
  <c r="P107" i="30" s="1"/>
  <c r="N103" i="30"/>
  <c r="M103" i="30"/>
  <c r="L103" i="30"/>
  <c r="K103" i="30"/>
  <c r="J103" i="30"/>
  <c r="I103" i="30"/>
  <c r="H103" i="30"/>
  <c r="P102" i="30"/>
  <c r="Q102" i="30" s="1"/>
  <c r="Q103" i="30" s="1"/>
  <c r="O102" i="30"/>
  <c r="O103" i="30" s="1"/>
  <c r="H102" i="30"/>
  <c r="G102" i="30"/>
  <c r="G103" i="30" s="1"/>
  <c r="F102" i="30"/>
  <c r="B102" i="30"/>
  <c r="Q101" i="30"/>
  <c r="P101" i="30"/>
  <c r="O101" i="30"/>
  <c r="N97" i="30"/>
  <c r="M97" i="30"/>
  <c r="L97" i="30"/>
  <c r="K97" i="30"/>
  <c r="J97" i="30"/>
  <c r="I97" i="30"/>
  <c r="H96" i="30"/>
  <c r="H97" i="30" s="1"/>
  <c r="G96" i="30"/>
  <c r="F96" i="30"/>
  <c r="B96" i="30"/>
  <c r="Q95" i="30"/>
  <c r="O95" i="30"/>
  <c r="P95" i="30" s="1"/>
  <c r="N91" i="30"/>
  <c r="M91" i="30"/>
  <c r="L91" i="30"/>
  <c r="K91" i="30"/>
  <c r="J91" i="30"/>
  <c r="I91" i="30"/>
  <c r="H91" i="30"/>
  <c r="P90" i="30"/>
  <c r="Q90" i="30" s="1"/>
  <c r="O90" i="30"/>
  <c r="O91" i="30" s="1"/>
  <c r="H90" i="30"/>
  <c r="G90" i="30"/>
  <c r="G91" i="30" s="1"/>
  <c r="F90" i="30"/>
  <c r="B90" i="30"/>
  <c r="Q89" i="30"/>
  <c r="O89" i="30"/>
  <c r="N85" i="30"/>
  <c r="M85" i="30"/>
  <c r="L85" i="30"/>
  <c r="K85" i="30"/>
  <c r="J85" i="30"/>
  <c r="I85" i="30"/>
  <c r="H84" i="30"/>
  <c r="H85" i="30" s="1"/>
  <c r="G84" i="30"/>
  <c r="F84" i="30"/>
  <c r="B84" i="30"/>
  <c r="Q83" i="30"/>
  <c r="P83" i="30"/>
  <c r="O83" i="30"/>
  <c r="N79" i="30"/>
  <c r="M79" i="30"/>
  <c r="L79" i="30"/>
  <c r="K79" i="30"/>
  <c r="J79" i="30"/>
  <c r="I79" i="30"/>
  <c r="H79" i="30"/>
  <c r="Q78" i="30"/>
  <c r="P79" i="30"/>
  <c r="P246" i="30" s="1"/>
  <c r="O78" i="30"/>
  <c r="O79" i="30" s="1"/>
  <c r="O246" i="30" s="1"/>
  <c r="H78" i="30"/>
  <c r="G78" i="30"/>
  <c r="G79" i="30" s="1"/>
  <c r="F78" i="30"/>
  <c r="B78" i="30"/>
  <c r="Q77" i="30"/>
  <c r="A73" i="30"/>
  <c r="AK72" i="30"/>
  <c r="AK71" i="30"/>
  <c r="AK73" i="30" s="1"/>
  <c r="AK70" i="30"/>
  <c r="H69" i="30"/>
  <c r="H68" i="30"/>
  <c r="M67" i="30"/>
  <c r="N66" i="30"/>
  <c r="M66" i="30"/>
  <c r="N65" i="30"/>
  <c r="M65" i="30"/>
  <c r="H65" i="30"/>
  <c r="N64" i="30"/>
  <c r="H64" i="30"/>
  <c r="AK62" i="30"/>
  <c r="N60" i="30"/>
  <c r="M60" i="30"/>
  <c r="J60" i="30"/>
  <c r="G60" i="30"/>
  <c r="H59" i="30"/>
  <c r="H60" i="30" s="1"/>
  <c r="I60" i="30" s="1"/>
  <c r="G59" i="30"/>
  <c r="C59" i="30"/>
  <c r="C58" i="30"/>
  <c r="AF57" i="30"/>
  <c r="AE57" i="30"/>
  <c r="AD57" i="30"/>
  <c r="AC57" i="30"/>
  <c r="AB57" i="30"/>
  <c r="AA57" i="30"/>
  <c r="Z57" i="30"/>
  <c r="Y57" i="30"/>
  <c r="X57" i="30"/>
  <c r="W57" i="30"/>
  <c r="V57" i="30"/>
  <c r="U57" i="30"/>
  <c r="AA56" i="30"/>
  <c r="AB56" i="30" s="1"/>
  <c r="W56" i="30"/>
  <c r="U56" i="30"/>
  <c r="X56" i="30" s="1"/>
  <c r="P56" i="30"/>
  <c r="Q56" i="30" s="1"/>
  <c r="O56" i="30"/>
  <c r="AF55" i="30"/>
  <c r="AE55" i="30"/>
  <c r="AD55" i="30"/>
  <c r="AC55" i="30"/>
  <c r="AB55" i="30"/>
  <c r="AA55" i="30"/>
  <c r="U55" i="30"/>
  <c r="P55" i="30"/>
  <c r="Q55" i="30" s="1"/>
  <c r="Z55" i="30" s="1"/>
  <c r="Y55" i="30" s="1"/>
  <c r="O55" i="30"/>
  <c r="V55" i="30" s="1"/>
  <c r="X55" i="30" s="1"/>
  <c r="AA54" i="30"/>
  <c r="W54" i="30"/>
  <c r="U54" i="30"/>
  <c r="P54" i="30"/>
  <c r="Q54" i="30" s="1"/>
  <c r="O54" i="30"/>
  <c r="AF53" i="30"/>
  <c r="AE53" i="30"/>
  <c r="AD53" i="30"/>
  <c r="AC53" i="30"/>
  <c r="AB53" i="30"/>
  <c r="AA53" i="30"/>
  <c r="V53" i="30"/>
  <c r="X53" i="30" s="1"/>
  <c r="U53" i="30"/>
  <c r="P53" i="30"/>
  <c r="Q53" i="30" s="1"/>
  <c r="Z53" i="30" s="1"/>
  <c r="Y53" i="30" s="1"/>
  <c r="O53" i="30"/>
  <c r="W52" i="30"/>
  <c r="V52" i="30"/>
  <c r="U52" i="30"/>
  <c r="AF51" i="30"/>
  <c r="AD51" i="30"/>
  <c r="AC51" i="30"/>
  <c r="AB51" i="30"/>
  <c r="AA51" i="30"/>
  <c r="AE51" i="30" s="1"/>
  <c r="Z51" i="30"/>
  <c r="X51" i="30"/>
  <c r="U51" i="30"/>
  <c r="V51" i="30" s="1"/>
  <c r="Q51" i="30"/>
  <c r="P51" i="30"/>
  <c r="O51" i="30"/>
  <c r="C49" i="30"/>
  <c r="C48" i="30"/>
  <c r="AE47" i="30"/>
  <c r="AC47" i="30"/>
  <c r="AA47" i="30"/>
  <c r="W47" i="30"/>
  <c r="U47" i="30"/>
  <c r="Z47" i="30" s="1"/>
  <c r="AC46" i="30"/>
  <c r="AA46" i="30"/>
  <c r="AE46" i="30" s="1"/>
  <c r="U46" i="30"/>
  <c r="O46" i="30"/>
  <c r="S46" i="30" s="1"/>
  <c r="AC45" i="30"/>
  <c r="AA45" i="30"/>
  <c r="U45" i="30"/>
  <c r="O45" i="30"/>
  <c r="AE44" i="30"/>
  <c r="AC44" i="30"/>
  <c r="AA44" i="30"/>
  <c r="Y44" i="30"/>
  <c r="U44" i="30"/>
  <c r="O44" i="30"/>
  <c r="S44" i="30" s="1"/>
  <c r="AC43" i="30"/>
  <c r="AA43" i="30"/>
  <c r="W43" i="30"/>
  <c r="U43" i="30"/>
  <c r="Z43" i="30" s="1"/>
  <c r="O43" i="30"/>
  <c r="S43" i="30" s="1"/>
  <c r="AE42" i="30"/>
  <c r="AC42" i="30"/>
  <c r="AA42" i="30"/>
  <c r="AB42" i="30" s="1"/>
  <c r="H42" i="30"/>
  <c r="U42" i="30" s="1"/>
  <c r="S40" i="30"/>
  <c r="C40" i="30"/>
  <c r="S39" i="30"/>
  <c r="C39" i="30"/>
  <c r="AC38" i="30"/>
  <c r="AC39" i="30" s="1"/>
  <c r="AA38" i="30"/>
  <c r="Z38" i="30"/>
  <c r="Y38" i="30"/>
  <c r="W38" i="30"/>
  <c r="U38" i="30"/>
  <c r="X38" i="30" s="1"/>
  <c r="AF37" i="30"/>
  <c r="AE37" i="30"/>
  <c r="AD37" i="30"/>
  <c r="AC37" i="30"/>
  <c r="AA37" i="30"/>
  <c r="AB37" i="30" s="1"/>
  <c r="U37" i="30"/>
  <c r="U39" i="30" s="1"/>
  <c r="O37" i="30"/>
  <c r="Q37" i="30" s="1"/>
  <c r="Q39" i="30" s="1"/>
  <c r="Q40" i="30" s="1"/>
  <c r="C35" i="30"/>
  <c r="C34" i="30"/>
  <c r="AF33" i="30"/>
  <c r="AE33" i="30"/>
  <c r="AD33" i="30"/>
  <c r="AC33" i="30"/>
  <c r="AA33" i="30"/>
  <c r="AB33" i="30" s="1"/>
  <c r="W33" i="30"/>
  <c r="U33" i="30"/>
  <c r="Y33" i="30" s="1"/>
  <c r="S32" i="30"/>
  <c r="Q32" i="30"/>
  <c r="P32" i="30"/>
  <c r="O32" i="30"/>
  <c r="S30" i="30"/>
  <c r="Q30" i="30"/>
  <c r="O30" i="30"/>
  <c r="P30" i="30" s="1"/>
  <c r="S29" i="30"/>
  <c r="P29" i="30"/>
  <c r="O29" i="30"/>
  <c r="Q29" i="30" s="1"/>
  <c r="AC28" i="30"/>
  <c r="AA28" i="30"/>
  <c r="AB28" i="30" s="1"/>
  <c r="X28" i="30"/>
  <c r="V28" i="30"/>
  <c r="U28" i="30"/>
  <c r="Z28" i="30" s="1"/>
  <c r="Y28" i="30" s="1"/>
  <c r="S28" i="30"/>
  <c r="Q28" i="30"/>
  <c r="P28" i="30"/>
  <c r="O28" i="30"/>
  <c r="Z27" i="30"/>
  <c r="Y27" i="30"/>
  <c r="X27" i="30"/>
  <c r="W27" i="30"/>
  <c r="V27" i="30"/>
  <c r="U27" i="30"/>
  <c r="H27" i="30"/>
  <c r="AD26" i="30"/>
  <c r="AC26" i="30"/>
  <c r="AB26" i="30"/>
  <c r="AA26" i="30"/>
  <c r="X26" i="30"/>
  <c r="V26" i="30"/>
  <c r="U26" i="30"/>
  <c r="Z26" i="30" s="1"/>
  <c r="Y26" i="30" s="1"/>
  <c r="S26" i="30"/>
  <c r="Q26" i="30"/>
  <c r="P26" i="30"/>
  <c r="O26" i="30"/>
  <c r="AF25" i="30"/>
  <c r="AE25" i="30"/>
  <c r="AC25" i="30"/>
  <c r="AB25" i="30"/>
  <c r="AA25" i="30"/>
  <c r="AD25" i="30" s="1"/>
  <c r="Y25" i="30"/>
  <c r="X25" i="30"/>
  <c r="V25" i="30"/>
  <c r="U25" i="30"/>
  <c r="S25" i="30"/>
  <c r="Q25" i="30"/>
  <c r="O25" i="30"/>
  <c r="P25" i="30" s="1"/>
  <c r="Z25" i="30" s="1"/>
  <c r="AA24" i="30"/>
  <c r="Z24" i="30"/>
  <c r="X24" i="30"/>
  <c r="W24" i="30"/>
  <c r="V24" i="30"/>
  <c r="U24" i="30"/>
  <c r="Y24" i="30" s="1"/>
  <c r="Q24" i="30"/>
  <c r="O24" i="30"/>
  <c r="S24" i="30" s="1"/>
  <c r="AC23" i="30"/>
  <c r="AA23" i="30"/>
  <c r="U23" i="30"/>
  <c r="O23" i="30"/>
  <c r="AF22" i="30"/>
  <c r="AE22" i="30"/>
  <c r="AD22" i="30"/>
  <c r="AC22" i="30"/>
  <c r="AA22" i="30"/>
  <c r="AB22" i="30" s="1"/>
  <c r="U22" i="30"/>
  <c r="S22" i="30"/>
  <c r="Q22" i="30"/>
  <c r="P22" i="30"/>
  <c r="O22" i="30"/>
  <c r="AF21" i="30"/>
  <c r="AE21" i="30"/>
  <c r="AD21" i="30"/>
  <c r="AC21" i="30"/>
  <c r="AB21" i="30"/>
  <c r="AA21" i="30"/>
  <c r="W21" i="30"/>
  <c r="V21" i="30"/>
  <c r="X21" i="30" s="1"/>
  <c r="U21" i="30"/>
  <c r="Q21" i="30"/>
  <c r="O21" i="30"/>
  <c r="S21" i="30" s="1"/>
  <c r="AC20" i="30"/>
  <c r="AB20" i="30"/>
  <c r="AA20" i="30"/>
  <c r="Z20" i="30"/>
  <c r="W20" i="30"/>
  <c r="U20" i="30"/>
  <c r="Y20" i="30" s="1"/>
  <c r="O20" i="30"/>
  <c r="AF19" i="30"/>
  <c r="AE19" i="30"/>
  <c r="AD19" i="30"/>
  <c r="AC19" i="30"/>
  <c r="AA19" i="30"/>
  <c r="AB19" i="30" s="1"/>
  <c r="U19" i="30"/>
  <c r="S19" i="30"/>
  <c r="Q19" i="30"/>
  <c r="P19" i="30"/>
  <c r="O19" i="30"/>
  <c r="AF18" i="30"/>
  <c r="AE18" i="30"/>
  <c r="AD18" i="30"/>
  <c r="AC18" i="30"/>
  <c r="AB18" i="30"/>
  <c r="AA18" i="30"/>
  <c r="X18" i="30"/>
  <c r="W18" i="30"/>
  <c r="V18" i="30"/>
  <c r="U18" i="30"/>
  <c r="Q18" i="30"/>
  <c r="O18" i="30"/>
  <c r="S18" i="30" s="1"/>
  <c r="AC17" i="30"/>
  <c r="AA17" i="30"/>
  <c r="AB17" i="30" s="1"/>
  <c r="U17" i="30"/>
  <c r="O17" i="30"/>
  <c r="AF16" i="30"/>
  <c r="AE16" i="30"/>
  <c r="AD16" i="30"/>
  <c r="AC16" i="30"/>
  <c r="AA16" i="30"/>
  <c r="AB16" i="30" s="1"/>
  <c r="U16" i="30"/>
  <c r="S16" i="30"/>
  <c r="Q16" i="30"/>
  <c r="P16" i="30"/>
  <c r="O16" i="30"/>
  <c r="AA15" i="30"/>
  <c r="Z15" i="30"/>
  <c r="Y15" i="30"/>
  <c r="X15" i="30"/>
  <c r="W15" i="30"/>
  <c r="V15" i="30"/>
  <c r="U15" i="30"/>
  <c r="Q15" i="30"/>
  <c r="O15" i="30"/>
  <c r="S15" i="30" s="1"/>
  <c r="AC14" i="30"/>
  <c r="AA14" i="30"/>
  <c r="U14" i="30"/>
  <c r="O14" i="30"/>
  <c r="AA13" i="30"/>
  <c r="W13" i="30"/>
  <c r="U13" i="30"/>
  <c r="S13" i="30"/>
  <c r="Q13" i="30"/>
  <c r="P13" i="30"/>
  <c r="AF13" i="30" s="1"/>
  <c r="O13" i="30"/>
  <c r="AF12" i="30"/>
  <c r="AE12" i="30"/>
  <c r="AD12" i="30"/>
  <c r="AC12" i="30"/>
  <c r="AB12" i="30"/>
  <c r="AA12" i="30"/>
  <c r="W12" i="30"/>
  <c r="V12" i="30"/>
  <c r="X12" i="30" s="1"/>
  <c r="U12" i="30"/>
  <c r="Q12" i="30"/>
  <c r="O12" i="30"/>
  <c r="S12" i="30" s="1"/>
  <c r="Z11" i="30"/>
  <c r="W11" i="30"/>
  <c r="U11" i="30"/>
  <c r="Y11" i="30" s="1"/>
  <c r="H11" i="30"/>
  <c r="AA11" i="30" s="1"/>
  <c r="AF10" i="30"/>
  <c r="AC10" i="30"/>
  <c r="AA10" i="30"/>
  <c r="AE10" i="30" s="1"/>
  <c r="H10" i="30"/>
  <c r="U10" i="30" s="1"/>
  <c r="A5" i="30"/>
  <c r="A4" i="30"/>
  <c r="W1" i="30"/>
  <c r="AC54" i="30" s="1"/>
  <c r="I60" i="20" l="1"/>
  <c r="Z12" i="20"/>
  <c r="Z51" i="20"/>
  <c r="Q91" i="30"/>
  <c r="V22" i="20"/>
  <c r="X22" i="20" s="1"/>
  <c r="Y57" i="20"/>
  <c r="V14" i="20"/>
  <c r="X14" i="20" s="1"/>
  <c r="X27" i="20"/>
  <c r="Y54" i="20"/>
  <c r="Q15" i="20"/>
  <c r="Z13" i="20"/>
  <c r="AF51" i="20"/>
  <c r="AD53" i="20"/>
  <c r="Q12" i="20"/>
  <c r="AF53" i="20"/>
  <c r="P13" i="20"/>
  <c r="AF13" i="20" s="1"/>
  <c r="AE13" i="20" s="1"/>
  <c r="S12" i="20"/>
  <c r="Z43" i="20"/>
  <c r="X54" i="20"/>
  <c r="Z57" i="20"/>
  <c r="AB13" i="20"/>
  <c r="V37" i="20"/>
  <c r="X37" i="20" s="1"/>
  <c r="AE51" i="20"/>
  <c r="V16" i="20"/>
  <c r="X16" i="20" s="1"/>
  <c r="Q16" i="20"/>
  <c r="X25" i="20"/>
  <c r="Q37" i="20"/>
  <c r="Q39" i="20" s="1"/>
  <c r="Q40" i="20" s="1"/>
  <c r="AC39" i="20"/>
  <c r="X15" i="20"/>
  <c r="X20" i="20"/>
  <c r="Z56" i="20"/>
  <c r="Z15" i="20"/>
  <c r="V17" i="20"/>
  <c r="X17" i="20" s="1"/>
  <c r="AB15" i="20"/>
  <c r="AD15" i="20" s="1"/>
  <c r="V20" i="20"/>
  <c r="V23" i="20"/>
  <c r="X23" i="20" s="1"/>
  <c r="Y24" i="20"/>
  <c r="Q32" i="20"/>
  <c r="Z53" i="20"/>
  <c r="Y53" i="20" s="1"/>
  <c r="V55" i="20"/>
  <c r="X55" i="20" s="1"/>
  <c r="V56" i="20"/>
  <c r="Y12" i="20"/>
  <c r="X13" i="20"/>
  <c r="P15" i="20"/>
  <c r="AF15" i="20" s="1"/>
  <c r="AE15" i="20" s="1"/>
  <c r="V19" i="20"/>
  <c r="S23" i="20"/>
  <c r="S28" i="20"/>
  <c r="S32" i="20"/>
  <c r="Y38" i="20"/>
  <c r="X19" i="20"/>
  <c r="Y20" i="20"/>
  <c r="Q22" i="20"/>
  <c r="P25" i="20"/>
  <c r="Z25" i="20" s="1"/>
  <c r="X44" i="20"/>
  <c r="AF56" i="20"/>
  <c r="AE56" i="20" s="1"/>
  <c r="Q18" i="20"/>
  <c r="S22" i="20"/>
  <c r="X33" i="20"/>
  <c r="AA39" i="20"/>
  <c r="AE39" i="20" s="1"/>
  <c r="AE53" i="20"/>
  <c r="Z54" i="20"/>
  <c r="AF55" i="20"/>
  <c r="AB37" i="20"/>
  <c r="O39" i="20"/>
  <c r="V43" i="20"/>
  <c r="AF54" i="20"/>
  <c r="AE54" i="20" s="1"/>
  <c r="P24" i="20"/>
  <c r="AF24" i="20" s="1"/>
  <c r="AE24" i="20" s="1"/>
  <c r="Z24" i="20"/>
  <c r="AD28" i="20"/>
  <c r="P30" i="20"/>
  <c r="Z38" i="20"/>
  <c r="AB47" i="20"/>
  <c r="V53" i="20"/>
  <c r="X53" i="20" s="1"/>
  <c r="AB54" i="20"/>
  <c r="AD54" i="20" s="1"/>
  <c r="S13" i="20"/>
  <c r="P23" i="20"/>
  <c r="Z23" i="20" s="1"/>
  <c r="Y23" i="20" s="1"/>
  <c r="Q24" i="20"/>
  <c r="P28" i="20"/>
  <c r="Z28" i="20" s="1"/>
  <c r="Y28" i="20" s="1"/>
  <c r="AE28" i="20"/>
  <c r="Q30" i="20"/>
  <c r="V33" i="20"/>
  <c r="AD37" i="20"/>
  <c r="X43" i="20"/>
  <c r="X46" i="20"/>
  <c r="V51" i="20"/>
  <c r="X51" i="20" s="1"/>
  <c r="X56" i="20"/>
  <c r="V11" i="20"/>
  <c r="X11" i="20"/>
  <c r="V13" i="20"/>
  <c r="V15" i="20"/>
  <c r="P16" i="20"/>
  <c r="Z16" i="20" s="1"/>
  <c r="Y16" i="20" s="1"/>
  <c r="Q23" i="20"/>
  <c r="V25" i="20"/>
  <c r="AF28" i="20"/>
  <c r="AE37" i="20"/>
  <c r="AA48" i="20"/>
  <c r="AD47" i="20"/>
  <c r="Y51" i="20"/>
  <c r="AE55" i="20"/>
  <c r="O27" i="20"/>
  <c r="Y11" i="20"/>
  <c r="V26" i="20"/>
  <c r="X26" i="20" s="1"/>
  <c r="AE47" i="20"/>
  <c r="AB10" i="20"/>
  <c r="V18" i="20"/>
  <c r="X18" i="20" s="1"/>
  <c r="P19" i="20"/>
  <c r="Z19" i="20" s="1"/>
  <c r="V21" i="20"/>
  <c r="X21" i="20" s="1"/>
  <c r="V24" i="20"/>
  <c r="P26" i="20"/>
  <c r="Z26" i="20" s="1"/>
  <c r="Y26" i="20" s="1"/>
  <c r="P29" i="20"/>
  <c r="Y33" i="20"/>
  <c r="V38" i="20"/>
  <c r="V12" i="20"/>
  <c r="X12" i="20" s="1"/>
  <c r="P18" i="20"/>
  <c r="Z18" i="20" s="1"/>
  <c r="Y18" i="20" s="1"/>
  <c r="S19" i="20"/>
  <c r="Q21" i="20"/>
  <c r="S25" i="20"/>
  <c r="Q26" i="20"/>
  <c r="V27" i="20"/>
  <c r="V28" i="20"/>
  <c r="X28" i="20" s="1"/>
  <c r="Q29" i="20"/>
  <c r="AB51" i="20"/>
  <c r="Z55" i="20"/>
  <c r="Y55" i="20" s="1"/>
  <c r="S26" i="20"/>
  <c r="K60" i="20"/>
  <c r="AK73" i="20"/>
  <c r="AF14" i="20"/>
  <c r="AE14" i="20"/>
  <c r="AD14" i="20"/>
  <c r="AF17" i="20"/>
  <c r="AE17" i="20"/>
  <c r="AD17" i="20"/>
  <c r="AB14" i="20"/>
  <c r="AB17" i="20"/>
  <c r="P20" i="20"/>
  <c r="AF20" i="20" s="1"/>
  <c r="V46" i="20"/>
  <c r="S46" i="20"/>
  <c r="P46" i="20"/>
  <c r="Z52" i="20"/>
  <c r="Y52" i="20"/>
  <c r="X52" i="20"/>
  <c r="V52" i="20"/>
  <c r="AF12" i="20"/>
  <c r="AE12" i="20"/>
  <c r="AD12" i="20"/>
  <c r="P14" i="20"/>
  <c r="P17" i="20"/>
  <c r="Z17" i="20" s="1"/>
  <c r="Y17" i="20" s="1"/>
  <c r="AF18" i="20"/>
  <c r="AE18" i="20"/>
  <c r="AD18" i="20"/>
  <c r="Q20" i="20"/>
  <c r="AE20" i="20"/>
  <c r="AD20" i="20"/>
  <c r="AC20" i="20"/>
  <c r="AB24" i="20"/>
  <c r="AD24" i="20" s="1"/>
  <c r="AC24" i="20"/>
  <c r="AF33" i="20"/>
  <c r="AE33" i="20"/>
  <c r="AD33" i="20"/>
  <c r="AB33" i="20"/>
  <c r="W55" i="20"/>
  <c r="W51" i="20"/>
  <c r="W46" i="20"/>
  <c r="W26" i="20"/>
  <c r="W25" i="20"/>
  <c r="W23" i="20"/>
  <c r="W22" i="20"/>
  <c r="W21" i="20"/>
  <c r="W19" i="20"/>
  <c r="W18" i="20"/>
  <c r="W17" i="20"/>
  <c r="W16" i="20"/>
  <c r="W14" i="20"/>
  <c r="W12" i="20"/>
  <c r="W53" i="20"/>
  <c r="AF10" i="20"/>
  <c r="AE10" i="20"/>
  <c r="AB12" i="20"/>
  <c r="Q14" i="20"/>
  <c r="Q17" i="20"/>
  <c r="AB18" i="20"/>
  <c r="AB20" i="20"/>
  <c r="AF21" i="20"/>
  <c r="AE21" i="20"/>
  <c r="AD21" i="20"/>
  <c r="AF25" i="20"/>
  <c r="AE25" i="20"/>
  <c r="AD25" i="20"/>
  <c r="AB25" i="20"/>
  <c r="AF26" i="20"/>
  <c r="AB26" i="20"/>
  <c r="AE26" i="20"/>
  <c r="AD26" i="20"/>
  <c r="AL61" i="20"/>
  <c r="P40" i="20"/>
  <c r="S14" i="20"/>
  <c r="S17" i="20"/>
  <c r="AF22" i="20"/>
  <c r="AE22" i="20"/>
  <c r="AD22" i="20"/>
  <c r="V45" i="20"/>
  <c r="X45" i="20" s="1"/>
  <c r="S45" i="20"/>
  <c r="P45" i="20"/>
  <c r="AC15" i="20"/>
  <c r="AF19" i="20"/>
  <c r="AE19" i="20"/>
  <c r="AD19" i="20"/>
  <c r="P21" i="20"/>
  <c r="Z21" i="20" s="1"/>
  <c r="Y21" i="20" s="1"/>
  <c r="AB22" i="20"/>
  <c r="AF23" i="20"/>
  <c r="AE23" i="20"/>
  <c r="AD23" i="20"/>
  <c r="W28" i="20"/>
  <c r="U39" i="20"/>
  <c r="Z37" i="20"/>
  <c r="W37" i="20"/>
  <c r="W39" i="20" s="1"/>
  <c r="S43" i="20"/>
  <c r="Q43" i="20"/>
  <c r="AF43" i="20"/>
  <c r="AE43" i="20" s="1"/>
  <c r="W45" i="20"/>
  <c r="AF16" i="20"/>
  <c r="AE16" i="20"/>
  <c r="AD16" i="20"/>
  <c r="AB23" i="20"/>
  <c r="V44" i="20"/>
  <c r="S44" i="20"/>
  <c r="Q44" i="20"/>
  <c r="P44" i="20"/>
  <c r="Z44" i="20" s="1"/>
  <c r="AC54" i="20"/>
  <c r="AD13" i="20"/>
  <c r="AC13" i="20"/>
  <c r="AB16" i="20"/>
  <c r="Q19" i="20"/>
  <c r="S21" i="20"/>
  <c r="P22" i="20"/>
  <c r="Z22" i="20" s="1"/>
  <c r="Y22" i="20" s="1"/>
  <c r="W44" i="20"/>
  <c r="Z47" i="20"/>
  <c r="Y47" i="20"/>
  <c r="X47" i="20"/>
  <c r="V47" i="20"/>
  <c r="AB57" i="20"/>
  <c r="Y27" i="20"/>
  <c r="AF37" i="20"/>
  <c r="AF39" i="20" s="1"/>
  <c r="AB38" i="20"/>
  <c r="AB42" i="20"/>
  <c r="AB43" i="20"/>
  <c r="AD43" i="20" s="1"/>
  <c r="AB44" i="20"/>
  <c r="AB45" i="20"/>
  <c r="AB46" i="20"/>
  <c r="AB56" i="20"/>
  <c r="AD56" i="20" s="1"/>
  <c r="U58" i="20"/>
  <c r="AC43" i="20"/>
  <c r="AC48" i="20" s="1"/>
  <c r="AB55" i="20"/>
  <c r="AC56" i="20"/>
  <c r="V57" i="20"/>
  <c r="AD57" i="20"/>
  <c r="AD38" i="20"/>
  <c r="AD42" i="20"/>
  <c r="AD44" i="20"/>
  <c r="AD45" i="20"/>
  <c r="AD46" i="20"/>
  <c r="AE57" i="20"/>
  <c r="AE38" i="20"/>
  <c r="AE42" i="20"/>
  <c r="AE44" i="20"/>
  <c r="AE45" i="20"/>
  <c r="AE46" i="20"/>
  <c r="AF42" i="20"/>
  <c r="H11" i="13"/>
  <c r="S27" i="20"/>
  <c r="U34" i="30"/>
  <c r="W10" i="30"/>
  <c r="AA34" i="30"/>
  <c r="AC11" i="30"/>
  <c r="AC34" i="30" s="1"/>
  <c r="S14" i="30"/>
  <c r="Q14" i="30"/>
  <c r="P14" i="30"/>
  <c r="Z14" i="30" s="1"/>
  <c r="Z19" i="30"/>
  <c r="Y19" i="30"/>
  <c r="X19" i="30"/>
  <c r="W19" i="30"/>
  <c r="V19" i="30"/>
  <c r="S23" i="30"/>
  <c r="Q23" i="30"/>
  <c r="P23" i="30"/>
  <c r="Z23" i="30" s="1"/>
  <c r="Y23" i="30" s="1"/>
  <c r="Y14" i="30"/>
  <c r="V37" i="30"/>
  <c r="X37" i="30" s="1"/>
  <c r="AC48" i="30"/>
  <c r="AF14" i="30"/>
  <c r="AE14" i="30"/>
  <c r="AD14" i="30"/>
  <c r="S156" i="30"/>
  <c r="S157" i="30" s="1"/>
  <c r="S259" i="30" s="1"/>
  <c r="Q156" i="30"/>
  <c r="Q157" i="30" s="1"/>
  <c r="Q259" i="30" s="1"/>
  <c r="O157" i="30"/>
  <c r="O259" i="30" s="1"/>
  <c r="Z22" i="30"/>
  <c r="Y22" i="30" s="1"/>
  <c r="W22" i="30"/>
  <c r="V22" i="30"/>
  <c r="X22" i="30" s="1"/>
  <c r="O108" i="30"/>
  <c r="G109" i="30"/>
  <c r="P156" i="30"/>
  <c r="P157" i="30" s="1"/>
  <c r="P259" i="30" s="1"/>
  <c r="AF45" i="30"/>
  <c r="AD45" i="30"/>
  <c r="Z16" i="30"/>
  <c r="Y16" i="30" s="1"/>
  <c r="X16" i="30"/>
  <c r="W16" i="30"/>
  <c r="V16" i="30"/>
  <c r="AF39" i="30"/>
  <c r="AB43" i="30"/>
  <c r="AB48" i="30" s="1"/>
  <c r="AD48" i="30" s="1"/>
  <c r="AB45" i="30"/>
  <c r="Q79" i="30"/>
  <c r="Q246" i="30" s="1"/>
  <c r="AF17" i="30"/>
  <c r="AE17" i="30"/>
  <c r="AD17" i="30"/>
  <c r="Z13" i="30"/>
  <c r="Y13" i="30"/>
  <c r="X13" i="30"/>
  <c r="V13" i="30"/>
  <c r="S20" i="30"/>
  <c r="Q20" i="30"/>
  <c r="P20" i="30"/>
  <c r="AF28" i="30"/>
  <c r="AE28" i="30"/>
  <c r="AC13" i="30"/>
  <c r="AB13" i="30"/>
  <c r="AD13" i="30" s="1"/>
  <c r="AF26" i="30"/>
  <c r="AE26" i="30"/>
  <c r="O84" i="30"/>
  <c r="O85" i="30" s="1"/>
  <c r="O247" i="30" s="1"/>
  <c r="G85" i="30"/>
  <c r="P84" i="30"/>
  <c r="AC27" i="30"/>
  <c r="G187" i="30"/>
  <c r="O186" i="30"/>
  <c r="O292" i="30"/>
  <c r="P288" i="30"/>
  <c r="AF23" i="30"/>
  <c r="AE23" i="30"/>
  <c r="AD23" i="30"/>
  <c r="AB23" i="30"/>
  <c r="AB14" i="30"/>
  <c r="AD28" i="30"/>
  <c r="AE45" i="30"/>
  <c r="AE13" i="30"/>
  <c r="AF20" i="30"/>
  <c r="AD20" i="30"/>
  <c r="AE20" i="30"/>
  <c r="U48" i="30"/>
  <c r="W42" i="30"/>
  <c r="O120" i="30"/>
  <c r="G121" i="30"/>
  <c r="O260" i="30"/>
  <c r="W37" i="30"/>
  <c r="W39" i="30" s="1"/>
  <c r="AB38" i="30"/>
  <c r="AB39" i="30" s="1"/>
  <c r="AF38" i="30"/>
  <c r="AE38" i="30"/>
  <c r="AD38" i="30"/>
  <c r="AF42" i="30"/>
  <c r="AD42" i="30"/>
  <c r="AA48" i="30"/>
  <c r="AB46" i="30"/>
  <c r="AF46" i="30"/>
  <c r="AD46" i="30"/>
  <c r="X52" i="30"/>
  <c r="Z52" i="30"/>
  <c r="Z58" i="30" s="1"/>
  <c r="Y58" i="30" s="1"/>
  <c r="Y52" i="30"/>
  <c r="S17" i="30"/>
  <c r="Q17" i="30"/>
  <c r="P17" i="30"/>
  <c r="Z17" i="30" s="1"/>
  <c r="Y17" i="30" s="1"/>
  <c r="AB44" i="30"/>
  <c r="AF44" i="30"/>
  <c r="AD44" i="30"/>
  <c r="K60" i="30"/>
  <c r="O96" i="30"/>
  <c r="G97" i="30"/>
  <c r="S138" i="30"/>
  <c r="S139" i="30" s="1"/>
  <c r="S255" i="30" s="1"/>
  <c r="Q138" i="30"/>
  <c r="Q139" i="30" s="1"/>
  <c r="Q255" i="30" s="1"/>
  <c r="O139" i="30"/>
  <c r="O255" i="30" s="1"/>
  <c r="O205" i="30"/>
  <c r="S204" i="30"/>
  <c r="S205" i="30" s="1"/>
  <c r="P204" i="30"/>
  <c r="P205" i="30" s="1"/>
  <c r="S315" i="30"/>
  <c r="Q315" i="30"/>
  <c r="P315" i="30"/>
  <c r="S346" i="30"/>
  <c r="Q346" i="30"/>
  <c r="P346" i="30"/>
  <c r="W53" i="30"/>
  <c r="Q204" i="30"/>
  <c r="S316" i="30"/>
  <c r="Q316" i="30"/>
  <c r="P316" i="30"/>
  <c r="P376" i="30"/>
  <c r="Q376" i="30"/>
  <c r="Z54" i="30"/>
  <c r="X54" i="30"/>
  <c r="W55" i="30"/>
  <c r="S132" i="30"/>
  <c r="S133" i="30" s="1"/>
  <c r="S254" i="30" s="1"/>
  <c r="Q132" i="30"/>
  <c r="Q133" i="30" s="1"/>
  <c r="Q254" i="30" s="1"/>
  <c r="S150" i="30"/>
  <c r="S151" i="30" s="1"/>
  <c r="S257" i="30" s="1"/>
  <c r="Q150" i="30"/>
  <c r="Q151" i="30" s="1"/>
  <c r="Q257" i="30" s="1"/>
  <c r="S168" i="30"/>
  <c r="S169" i="30" s="1"/>
  <c r="S258" i="30" s="1"/>
  <c r="Q168" i="30"/>
  <c r="Q169" i="30" s="1"/>
  <c r="Q258" i="30" s="1"/>
  <c r="S302" i="30"/>
  <c r="Q302" i="30"/>
  <c r="P302" i="30"/>
  <c r="S311" i="30"/>
  <c r="Q311" i="30"/>
  <c r="O319" i="30"/>
  <c r="P311" i="30"/>
  <c r="S347" i="30"/>
  <c r="Q347" i="30"/>
  <c r="S376" i="30"/>
  <c r="O210" i="30"/>
  <c r="G211" i="30"/>
  <c r="P280" i="30"/>
  <c r="O284" i="30"/>
  <c r="S312" i="30"/>
  <c r="Q312" i="30"/>
  <c r="P312" i="30"/>
  <c r="P328" i="30"/>
  <c r="Q328" i="30"/>
  <c r="W25" i="30"/>
  <c r="V54" i="30"/>
  <c r="V58" i="30" s="1"/>
  <c r="X58" i="30" s="1"/>
  <c r="AB24" i="30"/>
  <c r="V33" i="30"/>
  <c r="AA39" i="30"/>
  <c r="P43" i="30"/>
  <c r="AF43" i="30" s="1"/>
  <c r="AE43" i="30" s="1"/>
  <c r="P44" i="30"/>
  <c r="S45" i="30"/>
  <c r="P45" i="30"/>
  <c r="Q45" i="30" s="1"/>
  <c r="P46" i="30"/>
  <c r="Q46" i="30" s="1"/>
  <c r="V47" i="30"/>
  <c r="V56" i="30"/>
  <c r="G284" i="30"/>
  <c r="G52" i="30" s="1"/>
  <c r="O281" i="30"/>
  <c r="P281" i="30" s="1"/>
  <c r="Q281" i="30" s="1"/>
  <c r="S328" i="30"/>
  <c r="S331" i="30" s="1"/>
  <c r="P347" i="30"/>
  <c r="S356" i="30"/>
  <c r="P356" i="30"/>
  <c r="AB15" i="30"/>
  <c r="AD15" i="30" s="1"/>
  <c r="AC24" i="30"/>
  <c r="Q43" i="30"/>
  <c r="Q44" i="30"/>
  <c r="Y54" i="30"/>
  <c r="P91" i="30"/>
  <c r="P103" i="30"/>
  <c r="P115" i="30"/>
  <c r="S305" i="30"/>
  <c r="S309" i="30" s="1"/>
  <c r="Q305" i="30"/>
  <c r="P305" i="30"/>
  <c r="S317" i="30"/>
  <c r="Q317" i="30"/>
  <c r="P317" i="30"/>
  <c r="S348" i="30"/>
  <c r="Q348" i="30"/>
  <c r="P348" i="30"/>
  <c r="S395" i="30"/>
  <c r="S126" i="30"/>
  <c r="S127" i="30" s="1"/>
  <c r="S253" i="30" s="1"/>
  <c r="Q126" i="30"/>
  <c r="Q127" i="30" s="1"/>
  <c r="Q253" i="30" s="1"/>
  <c r="S144" i="30"/>
  <c r="S145" i="30" s="1"/>
  <c r="S256" i="30" s="1"/>
  <c r="Q144" i="30"/>
  <c r="Q145" i="30" s="1"/>
  <c r="Q256" i="30" s="1"/>
  <c r="S162" i="30"/>
  <c r="S163" i="30" s="1"/>
  <c r="S260" i="30" s="1"/>
  <c r="Q162" i="30"/>
  <c r="Q163" i="30" s="1"/>
  <c r="Q192" i="30"/>
  <c r="Q193" i="30" s="1"/>
  <c r="P192" i="30"/>
  <c r="P193" i="30" s="1"/>
  <c r="S197" i="30"/>
  <c r="Q197" i="30"/>
  <c r="P197" i="30"/>
  <c r="S221" i="30"/>
  <c r="Q221" i="30"/>
  <c r="P221" i="30"/>
  <c r="G235" i="30"/>
  <c r="O234" i="30"/>
  <c r="Q273" i="30"/>
  <c r="Q276" i="30" s="1"/>
  <c r="P276" i="30"/>
  <c r="P277" i="30" s="1"/>
  <c r="S318" i="30"/>
  <c r="Q318" i="30"/>
  <c r="P318" i="30"/>
  <c r="S399" i="30"/>
  <c r="Q399" i="30"/>
  <c r="P399" i="30"/>
  <c r="AC15" i="30"/>
  <c r="AD24" i="30"/>
  <c r="X33" i="30"/>
  <c r="X45" i="30"/>
  <c r="Z46" i="30"/>
  <c r="X47" i="30"/>
  <c r="Y56" i="30"/>
  <c r="AB10" i="30"/>
  <c r="V11" i="30"/>
  <c r="P12" i="30"/>
  <c r="Z12" i="30" s="1"/>
  <c r="Y12" i="30" s="1"/>
  <c r="V14" i="30"/>
  <c r="X14" i="30" s="1"/>
  <c r="P15" i="30"/>
  <c r="AF15" i="30" s="1"/>
  <c r="AE15" i="30" s="1"/>
  <c r="V17" i="30"/>
  <c r="X17" i="30" s="1"/>
  <c r="P18" i="30"/>
  <c r="Z18" i="30" s="1"/>
  <c r="Y18" i="30" s="1"/>
  <c r="V20" i="30"/>
  <c r="P21" i="30"/>
  <c r="Z21" i="30" s="1"/>
  <c r="Y21" i="30" s="1"/>
  <c r="V23" i="30"/>
  <c r="P24" i="30"/>
  <c r="AF24" i="30" s="1"/>
  <c r="AE24" i="30" s="1"/>
  <c r="W26" i="30"/>
  <c r="W28" i="30"/>
  <c r="Z33" i="30"/>
  <c r="V43" i="30"/>
  <c r="X44" i="30"/>
  <c r="V44" i="30"/>
  <c r="V45" i="30"/>
  <c r="V46" i="30"/>
  <c r="Y47" i="30"/>
  <c r="AB54" i="30"/>
  <c r="AD54" i="30" s="1"/>
  <c r="Z56" i="30"/>
  <c r="U58" i="30"/>
  <c r="P126" i="30"/>
  <c r="P127" i="30" s="1"/>
  <c r="P253" i="30" s="1"/>
  <c r="P144" i="30"/>
  <c r="P145" i="30" s="1"/>
  <c r="P256" i="30" s="1"/>
  <c r="P162" i="30"/>
  <c r="P163" i="30" s="1"/>
  <c r="S192" i="30"/>
  <c r="S193" i="30" s="1"/>
  <c r="S313" i="30"/>
  <c r="Q313" i="30"/>
  <c r="P313" i="30"/>
  <c r="S349" i="30"/>
  <c r="Q349" i="30"/>
  <c r="Q216" i="30"/>
  <c r="Q217" i="30" s="1"/>
  <c r="P216" i="30"/>
  <c r="P217" i="30" s="1"/>
  <c r="S216" i="30"/>
  <c r="S217" i="30" s="1"/>
  <c r="S314" i="30"/>
  <c r="Q314" i="30"/>
  <c r="P314" i="30"/>
  <c r="O383" i="30"/>
  <c r="J383" i="30" s="1"/>
  <c r="J11" i="30" s="1"/>
  <c r="O11" i="30" s="1"/>
  <c r="S381" i="30"/>
  <c r="S383" i="30" s="1"/>
  <c r="Q381" i="30"/>
  <c r="Q383" i="30" s="1"/>
  <c r="P381" i="30"/>
  <c r="P383" i="30" s="1"/>
  <c r="W46" i="30"/>
  <c r="P37" i="30"/>
  <c r="P39" i="30" s="1"/>
  <c r="S198" i="30"/>
  <c r="S199" i="30" s="1"/>
  <c r="Q198" i="30"/>
  <c r="Q199" i="30" s="1"/>
  <c r="O199" i="30"/>
  <c r="S222" i="30"/>
  <c r="S223" i="30" s="1"/>
  <c r="Q222" i="30"/>
  <c r="Q223" i="30" s="1"/>
  <c r="O223" i="30"/>
  <c r="S240" i="30"/>
  <c r="S241" i="30" s="1"/>
  <c r="Q240" i="30"/>
  <c r="P240" i="30"/>
  <c r="P241" i="30" s="1"/>
  <c r="P349" i="30"/>
  <c r="O375" i="30"/>
  <c r="G377" i="30"/>
  <c r="W14" i="30"/>
  <c r="W17" i="30"/>
  <c r="W23" i="30"/>
  <c r="O39" i="30"/>
  <c r="W44" i="30"/>
  <c r="W45" i="30"/>
  <c r="AB47" i="30"/>
  <c r="AF47" i="30"/>
  <c r="Y51" i="30"/>
  <c r="AF56" i="30"/>
  <c r="AE56" i="30" s="1"/>
  <c r="AD56" i="30"/>
  <c r="AD10" i="30"/>
  <c r="X11" i="30"/>
  <c r="X20" i="30"/>
  <c r="X23" i="30"/>
  <c r="X43" i="30"/>
  <c r="X46" i="30"/>
  <c r="V38" i="30"/>
  <c r="Y43" i="30"/>
  <c r="Z44" i="30"/>
  <c r="Y46" i="30"/>
  <c r="AD47" i="30"/>
  <c r="W51" i="30"/>
  <c r="W58" i="30" s="1"/>
  <c r="AF54" i="30"/>
  <c r="AE54" i="30" s="1"/>
  <c r="AC56" i="30"/>
  <c r="S174" i="30"/>
  <c r="S175" i="30" s="1"/>
  <c r="Q174" i="30"/>
  <c r="Q175" i="30" s="1"/>
  <c r="Q262" i="30" s="1"/>
  <c r="P198" i="30"/>
  <c r="P199" i="30" s="1"/>
  <c r="P222" i="30"/>
  <c r="P291" i="30"/>
  <c r="Q291" i="30" s="1"/>
  <c r="O291" i="30"/>
  <c r="P323" i="30"/>
  <c r="O331" i="30"/>
  <c r="J331" i="30" s="1"/>
  <c r="J27" i="30" s="1"/>
  <c r="Q323" i="30"/>
  <c r="S330" i="30"/>
  <c r="Q330" i="30"/>
  <c r="P330" i="30"/>
  <c r="O359" i="30"/>
  <c r="S354" i="30"/>
  <c r="P354" i="30"/>
  <c r="S358" i="30"/>
  <c r="P358" i="30"/>
  <c r="S387" i="30"/>
  <c r="Q387" i="30"/>
  <c r="P387" i="30"/>
  <c r="G223" i="30"/>
  <c r="P233" i="30"/>
  <c r="Q239" i="30"/>
  <c r="S301" i="30"/>
  <c r="S308" i="30" s="1"/>
  <c r="S27" i="30" s="1"/>
  <c r="S304" i="30"/>
  <c r="S307" i="30"/>
  <c r="Q338" i="30"/>
  <c r="Q341" i="30"/>
  <c r="O345" i="30"/>
  <c r="Q370" i="30"/>
  <c r="Q372" i="30" s="1"/>
  <c r="S382" i="30"/>
  <c r="O386" i="30"/>
  <c r="P394" i="30"/>
  <c r="P395" i="30" s="1"/>
  <c r="O181" i="30"/>
  <c r="G205" i="30"/>
  <c r="H359" i="30"/>
  <c r="H31" i="30" s="1"/>
  <c r="O276" i="30"/>
  <c r="O308" i="30"/>
  <c r="O27" i="30" s="1"/>
  <c r="AB27" i="30" s="1"/>
  <c r="AD27" i="30" s="1"/>
  <c r="O398" i="30"/>
  <c r="H292" i="30"/>
  <c r="H52" i="30" s="1"/>
  <c r="Q203" i="30"/>
  <c r="P300" i="30"/>
  <c r="P303" i="30"/>
  <c r="P306" i="30"/>
  <c r="Q324" i="30"/>
  <c r="Q327" i="30"/>
  <c r="P355" i="30"/>
  <c r="P357" i="30"/>
  <c r="O229" i="30"/>
  <c r="Q300" i="30"/>
  <c r="Q303" i="30"/>
  <c r="Q306" i="30"/>
  <c r="Q355" i="30"/>
  <c r="Q359" i="30" s="1"/>
  <c r="Q357" i="30"/>
  <c r="O372" i="30"/>
  <c r="P301" i="30"/>
  <c r="P304" i="30"/>
  <c r="P307" i="30"/>
  <c r="P382" i="30"/>
  <c r="V39" i="20" l="1"/>
  <c r="AB39" i="20"/>
  <c r="Z14" i="20"/>
  <c r="Y14" i="20" s="1"/>
  <c r="AO62" i="20"/>
  <c r="U42" i="20"/>
  <c r="W42" i="20" s="1"/>
  <c r="W48" i="20" s="1"/>
  <c r="H42" i="13"/>
  <c r="U10" i="20"/>
  <c r="U34" i="20" s="1"/>
  <c r="H10" i="13"/>
  <c r="Z39" i="20"/>
  <c r="AG39" i="20" s="1"/>
  <c r="Z58" i="20"/>
  <c r="Y58" i="20" s="1"/>
  <c r="AA27" i="20"/>
  <c r="AC27" i="20" s="1"/>
  <c r="AD39" i="20"/>
  <c r="V58" i="20"/>
  <c r="X58" i="20" s="1"/>
  <c r="AF48" i="20"/>
  <c r="AE48" i="20" s="1"/>
  <c r="AA52" i="20"/>
  <c r="X39" i="20"/>
  <c r="Q27" i="20"/>
  <c r="Q45" i="20"/>
  <c r="Z45" i="20"/>
  <c r="Y45" i="20" s="1"/>
  <c r="AA11" i="20"/>
  <c r="AB48" i="20"/>
  <c r="AD48" i="20" s="1"/>
  <c r="W58" i="20"/>
  <c r="Q46" i="20"/>
  <c r="Z46" i="20"/>
  <c r="Y37" i="20"/>
  <c r="S11" i="30"/>
  <c r="Q11" i="30"/>
  <c r="P11" i="30"/>
  <c r="AF11" i="30" s="1"/>
  <c r="AB11" i="30"/>
  <c r="AD11" i="30" s="1"/>
  <c r="P223" i="30"/>
  <c r="O400" i="30"/>
  <c r="J400" i="30" s="1"/>
  <c r="J42" i="30" s="1"/>
  <c r="O42" i="30" s="1"/>
  <c r="S398" i="30"/>
  <c r="S400" i="30" s="1"/>
  <c r="Q398" i="30"/>
  <c r="Q400" i="30" s="1"/>
  <c r="P398" i="30"/>
  <c r="Q308" i="30"/>
  <c r="Q27" i="30" s="1"/>
  <c r="Q234" i="30"/>
  <c r="Q235" i="30" s="1"/>
  <c r="P234" i="30"/>
  <c r="P235" i="30" s="1"/>
  <c r="O235" i="30"/>
  <c r="S234" i="30"/>
  <c r="S235" i="30" s="1"/>
  <c r="J359" i="30"/>
  <c r="J31" i="30" s="1"/>
  <c r="S262" i="30"/>
  <c r="Q309" i="30"/>
  <c r="S319" i="30"/>
  <c r="P292" i="30"/>
  <c r="P294" i="30" s="1"/>
  <c r="P296" i="30" s="1"/>
  <c r="Q288" i="30"/>
  <c r="Q292" i="30" s="1"/>
  <c r="Q294" i="30" s="1"/>
  <c r="Q296" i="30" s="1"/>
  <c r="P284" i="30"/>
  <c r="P52" i="30" s="1"/>
  <c r="Q280" i="30"/>
  <c r="Q284" i="30" s="1"/>
  <c r="Q52" i="30" s="1"/>
  <c r="P186" i="30"/>
  <c r="P187" i="30" s="1"/>
  <c r="O187" i="30"/>
  <c r="S186" i="30"/>
  <c r="S187" i="30" s="1"/>
  <c r="Q186" i="30"/>
  <c r="Q187" i="30" s="1"/>
  <c r="AE39" i="30"/>
  <c r="AD39" i="30"/>
  <c r="O261" i="30"/>
  <c r="O263" i="30" s="1"/>
  <c r="P210" i="30"/>
  <c r="P211" i="30" s="1"/>
  <c r="O211" i="30"/>
  <c r="Q210" i="30"/>
  <c r="Q211" i="30" s="1"/>
  <c r="S210" i="30"/>
  <c r="S211" i="30" s="1"/>
  <c r="S243" i="30" s="1"/>
  <c r="AA52" i="30"/>
  <c r="AF48" i="30"/>
  <c r="AE48" i="30" s="1"/>
  <c r="P260" i="30"/>
  <c r="Q331" i="30"/>
  <c r="P120" i="30"/>
  <c r="O121" i="30"/>
  <c r="O388" i="30"/>
  <c r="J388" i="30" s="1"/>
  <c r="J10" i="30" s="1"/>
  <c r="O10" i="30" s="1"/>
  <c r="S386" i="30"/>
  <c r="S388" i="30" s="1"/>
  <c r="Q386" i="30"/>
  <c r="Q388" i="30" s="1"/>
  <c r="P386" i="30"/>
  <c r="P388" i="30" s="1"/>
  <c r="P331" i="30"/>
  <c r="Z45" i="30"/>
  <c r="Y45" i="30" s="1"/>
  <c r="AB34" i="30"/>
  <c r="Q205" i="30"/>
  <c r="W34" i="30"/>
  <c r="AD43" i="30"/>
  <c r="V39" i="30"/>
  <c r="X39" i="30" s="1"/>
  <c r="O52" i="30"/>
  <c r="I284" i="30"/>
  <c r="I52" i="30" s="1"/>
  <c r="O294" i="30"/>
  <c r="O296" i="30" s="1"/>
  <c r="J292" i="30"/>
  <c r="J52" i="30" s="1"/>
  <c r="P308" i="30"/>
  <c r="S375" i="30"/>
  <c r="S377" i="30" s="1"/>
  <c r="O377" i="30"/>
  <c r="I377" i="30" s="1"/>
  <c r="Q375" i="30"/>
  <c r="Q377" i="30" s="1"/>
  <c r="P375" i="30"/>
  <c r="P377" i="30" s="1"/>
  <c r="P40" i="30"/>
  <c r="AL61" i="30"/>
  <c r="W48" i="30"/>
  <c r="O350" i="30"/>
  <c r="I350" i="30" s="1"/>
  <c r="I31" i="30" s="1"/>
  <c r="S345" i="30"/>
  <c r="S350" i="30" s="1"/>
  <c r="Q345" i="30"/>
  <c r="Q350" i="30" s="1"/>
  <c r="P345" i="30"/>
  <c r="Q84" i="30"/>
  <c r="Q85" i="30" s="1"/>
  <c r="Q247" i="30" s="1"/>
  <c r="P85" i="30"/>
  <c r="P247" i="30" s="1"/>
  <c r="Q260" i="30"/>
  <c r="P319" i="30"/>
  <c r="O320" i="30"/>
  <c r="O321" i="30" s="1"/>
  <c r="I319" i="30"/>
  <c r="I27" i="30" s="1"/>
  <c r="U60" i="30"/>
  <c r="Q342" i="30"/>
  <c r="Q241" i="30"/>
  <c r="S359" i="30"/>
  <c r="Q319" i="30"/>
  <c r="O97" i="30"/>
  <c r="O248" i="30" s="1"/>
  <c r="P96" i="30"/>
  <c r="Z37" i="30"/>
  <c r="O109" i="30"/>
  <c r="O249" i="30" s="1"/>
  <c r="P108" i="30"/>
  <c r="W10" i="20" l="1"/>
  <c r="W34" i="20" s="1"/>
  <c r="W60" i="20" s="1"/>
  <c r="O42" i="20"/>
  <c r="V42" i="20" s="1"/>
  <c r="V48" i="20" s="1"/>
  <c r="J42" i="13"/>
  <c r="O10" i="20"/>
  <c r="Q10" i="20" s="1"/>
  <c r="J10" i="13"/>
  <c r="Y39" i="20"/>
  <c r="O11" i="20"/>
  <c r="P11" i="20" s="1"/>
  <c r="AF11" i="20" s="1"/>
  <c r="AE11" i="20" s="1"/>
  <c r="J11" i="13"/>
  <c r="U48" i="20"/>
  <c r="U60" i="20" s="1"/>
  <c r="AB27" i="20"/>
  <c r="AD27" i="20" s="1"/>
  <c r="AA58" i="20"/>
  <c r="AC52" i="20"/>
  <c r="AC58" i="20" s="1"/>
  <c r="O31" i="20"/>
  <c r="S31" i="20" s="1"/>
  <c r="AC11" i="20"/>
  <c r="AC34" i="20" s="1"/>
  <c r="AA34" i="20"/>
  <c r="O33" i="30"/>
  <c r="Q120" i="30"/>
  <c r="Q121" i="30" s="1"/>
  <c r="P121" i="30"/>
  <c r="Q108" i="30"/>
  <c r="Q109" i="30" s="1"/>
  <c r="Q249" i="30" s="1"/>
  <c r="P109" i="30"/>
  <c r="P249" i="30" s="1"/>
  <c r="W60" i="30"/>
  <c r="Q96" i="30"/>
  <c r="Q97" i="30" s="1"/>
  <c r="Q248" i="30" s="1"/>
  <c r="P97" i="30"/>
  <c r="P248" i="30" s="1"/>
  <c r="S42" i="30"/>
  <c r="S48" i="30" s="1"/>
  <c r="S49" i="30" s="1"/>
  <c r="Q42" i="30"/>
  <c r="Q48" i="30" s="1"/>
  <c r="Q49" i="30" s="1"/>
  <c r="P42" i="30"/>
  <c r="O48" i="30"/>
  <c r="V42" i="30"/>
  <c r="Q298" i="30"/>
  <c r="P27" i="30"/>
  <c r="AF27" i="30" s="1"/>
  <c r="AE27" i="30" s="1"/>
  <c r="Q261" i="30"/>
  <c r="Q263" i="30" s="1"/>
  <c r="Z39" i="30"/>
  <c r="Y37" i="30"/>
  <c r="AD34" i="30"/>
  <c r="AF52" i="30"/>
  <c r="AF58" i="30" s="1"/>
  <c r="AE52" i="30"/>
  <c r="AC52" i="30"/>
  <c r="AC58" i="30" s="1"/>
  <c r="AC60" i="30" s="1"/>
  <c r="AB52" i="30"/>
  <c r="AB58" i="30" s="1"/>
  <c r="AB60" i="30" s="1"/>
  <c r="AD60" i="30" s="1"/>
  <c r="AA58" i="30"/>
  <c r="AA60" i="30" s="1"/>
  <c r="S261" i="30"/>
  <c r="S263" i="30" s="1"/>
  <c r="O31" i="30"/>
  <c r="O34" i="30" s="1"/>
  <c r="P261" i="30"/>
  <c r="P263" i="30" s="1"/>
  <c r="AE11" i="30"/>
  <c r="Q10" i="30"/>
  <c r="P10" i="30"/>
  <c r="S10" i="30"/>
  <c r="V10" i="30"/>
  <c r="O250" i="30"/>
  <c r="O251" i="30" s="1"/>
  <c r="O243" i="30"/>
  <c r="P27" i="20" l="1"/>
  <c r="AF27" i="20" s="1"/>
  <c r="AE27" i="20" s="1"/>
  <c r="S11" i="20"/>
  <c r="X48" i="20"/>
  <c r="X42" i="20"/>
  <c r="AB11" i="20"/>
  <c r="AB34" i="20" s="1"/>
  <c r="AD34" i="20" s="1"/>
  <c r="Q11" i="20"/>
  <c r="V10" i="20"/>
  <c r="S10" i="20"/>
  <c r="P10" i="20"/>
  <c r="Z10" i="20" s="1"/>
  <c r="Z34" i="20" s="1"/>
  <c r="P42" i="20"/>
  <c r="S42" i="20"/>
  <c r="S48" i="20" s="1"/>
  <c r="S49" i="20" s="1"/>
  <c r="Q42" i="20"/>
  <c r="Q48" i="20" s="1"/>
  <c r="Q49" i="20" s="1"/>
  <c r="O48" i="20"/>
  <c r="AA60" i="20"/>
  <c r="AC60" i="20"/>
  <c r="P31" i="20"/>
  <c r="Q31" i="20"/>
  <c r="AD11" i="20"/>
  <c r="S34" i="20"/>
  <c r="S35" i="20" s="1"/>
  <c r="O34" i="20"/>
  <c r="O52" i="20"/>
  <c r="P52" i="20"/>
  <c r="Q52" i="20"/>
  <c r="AF34" i="20"/>
  <c r="O57" i="30"/>
  <c r="O58" i="30" s="1"/>
  <c r="O265" i="30"/>
  <c r="O267" i="30" s="1"/>
  <c r="Q33" i="30"/>
  <c r="P33" i="30"/>
  <c r="O60" i="30"/>
  <c r="S265" i="30"/>
  <c r="S267" i="30" s="1"/>
  <c r="S33" i="30"/>
  <c r="Y39" i="30"/>
  <c r="AG39" i="30"/>
  <c r="AD58" i="30"/>
  <c r="P243" i="30"/>
  <c r="P250" i="30"/>
  <c r="P251" i="30" s="1"/>
  <c r="V34" i="30"/>
  <c r="X10" i="30"/>
  <c r="Q250" i="30"/>
  <c r="Q251" i="30" s="1"/>
  <c r="Q243" i="30"/>
  <c r="V48" i="30"/>
  <c r="X48" i="30" s="1"/>
  <c r="X42" i="30"/>
  <c r="S31" i="30"/>
  <c r="S34" i="30" s="1"/>
  <c r="S35" i="30" s="1"/>
  <c r="Q31" i="30"/>
  <c r="Q34" i="30" s="1"/>
  <c r="Q35" i="30" s="1"/>
  <c r="P31" i="30"/>
  <c r="P34" i="30" s="1"/>
  <c r="Z10" i="30"/>
  <c r="AD52" i="30"/>
  <c r="AE58" i="30"/>
  <c r="P48" i="30"/>
  <c r="Z42" i="30"/>
  <c r="AF34" i="30"/>
  <c r="Y10" i="20" l="1"/>
  <c r="P48" i="20"/>
  <c r="Z42" i="20"/>
  <c r="V34" i="20"/>
  <c r="X10" i="20"/>
  <c r="P58" i="20"/>
  <c r="P34" i="20"/>
  <c r="AG34" i="20" s="1"/>
  <c r="Q34" i="20"/>
  <c r="Q35" i="20" s="1"/>
  <c r="AE34" i="20"/>
  <c r="O58" i="20"/>
  <c r="O60" i="20" s="1"/>
  <c r="AB52" i="20"/>
  <c r="Q58" i="20"/>
  <c r="AF52" i="20"/>
  <c r="Y34" i="20"/>
  <c r="P57" i="30"/>
  <c r="P58" i="30" s="1"/>
  <c r="P265" i="30"/>
  <c r="P267" i="30" s="1"/>
  <c r="AL59" i="30"/>
  <c r="P35" i="30"/>
  <c r="AG34" i="30"/>
  <c r="Q57" i="30"/>
  <c r="Q58" i="30" s="1"/>
  <c r="Q265" i="30"/>
  <c r="Q267" i="30" s="1"/>
  <c r="P49" i="30"/>
  <c r="AG48" i="30"/>
  <c r="AL60" i="30"/>
  <c r="X34" i="30"/>
  <c r="V60" i="30"/>
  <c r="X60" i="30" s="1"/>
  <c r="AE34" i="30"/>
  <c r="AF60" i="30"/>
  <c r="AE60" i="30" s="1"/>
  <c r="Z34" i="30"/>
  <c r="Y10" i="30"/>
  <c r="Z48" i="30"/>
  <c r="Y48" i="30" s="1"/>
  <c r="Y42" i="30"/>
  <c r="O10" i="29"/>
  <c r="P10" i="29" s="1"/>
  <c r="X34" i="20" l="1"/>
  <c r="V60" i="20"/>
  <c r="X60" i="20" s="1"/>
  <c r="Y42" i="20"/>
  <c r="Z48" i="20"/>
  <c r="AL60" i="20"/>
  <c r="P49" i="20"/>
  <c r="P35" i="20"/>
  <c r="AL59" i="20"/>
  <c r="AL62" i="20" s="1"/>
  <c r="AM62" i="20" s="1"/>
  <c r="AP62" i="20" s="1"/>
  <c r="AF58" i="20"/>
  <c r="AG58" i="20" s="1"/>
  <c r="AE52" i="20"/>
  <c r="AB58" i="20"/>
  <c r="AD52" i="20"/>
  <c r="AL70" i="20"/>
  <c r="AM70" i="20" s="1"/>
  <c r="P60" i="20"/>
  <c r="Q59" i="20"/>
  <c r="Q60" i="20" s="1"/>
  <c r="Q59" i="30"/>
  <c r="Q60" i="30" s="1"/>
  <c r="P60" i="30"/>
  <c r="AG60" i="30" s="1"/>
  <c r="AL70" i="30"/>
  <c r="AM70" i="30" s="1"/>
  <c r="AG58" i="30"/>
  <c r="Y34" i="30"/>
  <c r="Z60" i="30"/>
  <c r="Y60" i="30" s="1"/>
  <c r="AL62" i="30"/>
  <c r="AM62" i="30" s="1"/>
  <c r="Y48" i="20" l="1"/>
  <c r="AG48" i="20"/>
  <c r="Z60" i="20"/>
  <c r="Y60" i="20" s="1"/>
  <c r="AD58" i="20"/>
  <c r="AB60" i="20"/>
  <c r="AD60" i="20" s="1"/>
  <c r="AE58" i="20"/>
  <c r="AF60" i="20"/>
  <c r="AE60" i="20" s="1"/>
  <c r="AG60" i="20" l="1"/>
  <c r="P56" i="29" l="1"/>
  <c r="O11" i="29" l="1"/>
  <c r="S11" i="29"/>
  <c r="Q55" i="29"/>
  <c r="A73" i="29"/>
  <c r="AK72" i="29"/>
  <c r="AK71" i="29"/>
  <c r="AK70" i="29"/>
  <c r="H69" i="29"/>
  <c r="H68" i="29"/>
  <c r="H65" i="29"/>
  <c r="AK62" i="29"/>
  <c r="N60" i="29"/>
  <c r="M60" i="29"/>
  <c r="H59" i="29"/>
  <c r="G59" i="29"/>
  <c r="C59" i="29"/>
  <c r="H58" i="29"/>
  <c r="G58" i="29"/>
  <c r="C58" i="29"/>
  <c r="AC57" i="29"/>
  <c r="AA57" i="29"/>
  <c r="W57" i="29"/>
  <c r="U57" i="29"/>
  <c r="Y57" i="29" s="1"/>
  <c r="AA56" i="29"/>
  <c r="W56" i="29"/>
  <c r="U56" i="29"/>
  <c r="Y56" i="29" s="1"/>
  <c r="Q56" i="29"/>
  <c r="O56" i="29"/>
  <c r="AC55" i="29"/>
  <c r="AA55" i="29"/>
  <c r="AE55" i="29" s="1"/>
  <c r="U55" i="29"/>
  <c r="O55" i="29"/>
  <c r="AA54" i="29"/>
  <c r="W54" i="29"/>
  <c r="U54" i="29"/>
  <c r="V54" i="29" s="1"/>
  <c r="P54" i="29"/>
  <c r="Q54" i="29" s="1"/>
  <c r="O54" i="29"/>
  <c r="J60" i="29" s="1"/>
  <c r="AC53" i="29"/>
  <c r="AA53" i="29"/>
  <c r="AE53" i="29" s="1"/>
  <c r="U53" i="29"/>
  <c r="P53" i="29"/>
  <c r="Q53" i="29" s="1"/>
  <c r="O53" i="29"/>
  <c r="W52" i="29"/>
  <c r="U52" i="29"/>
  <c r="Z52" i="29" s="1"/>
  <c r="AC51" i="29"/>
  <c r="AA51" i="29"/>
  <c r="AD51" i="29" s="1"/>
  <c r="U51" i="29"/>
  <c r="P51" i="29"/>
  <c r="Q51" i="29" s="1"/>
  <c r="O51" i="29"/>
  <c r="C49" i="29"/>
  <c r="C48" i="29"/>
  <c r="AC47" i="29"/>
  <c r="AA47" i="29"/>
  <c r="W47" i="29"/>
  <c r="U47" i="29"/>
  <c r="Y47" i="29" s="1"/>
  <c r="AC46" i="29"/>
  <c r="AA46" i="29"/>
  <c r="AB46" i="29" s="1"/>
  <c r="U46" i="29"/>
  <c r="Y46" i="29" s="1"/>
  <c r="O46" i="29"/>
  <c r="S46" i="29" s="1"/>
  <c r="AC45" i="29"/>
  <c r="AA45" i="29"/>
  <c r="AF45" i="29" s="1"/>
  <c r="U45" i="29"/>
  <c r="O45" i="29"/>
  <c r="S45" i="29" s="1"/>
  <c r="AC44" i="29"/>
  <c r="AA44" i="29"/>
  <c r="AF44" i="29" s="1"/>
  <c r="U44" i="29"/>
  <c r="Y44" i="29" s="1"/>
  <c r="O44" i="29"/>
  <c r="Q44" i="29" s="1"/>
  <c r="AA43" i="29"/>
  <c r="W43" i="29"/>
  <c r="U43" i="29"/>
  <c r="Y43" i="29" s="1"/>
  <c r="O43" i="29"/>
  <c r="Q43" i="29" s="1"/>
  <c r="AC42" i="29"/>
  <c r="AA42" i="29"/>
  <c r="AF42" i="29" s="1"/>
  <c r="U42" i="29"/>
  <c r="O42" i="29"/>
  <c r="C40" i="29"/>
  <c r="S39" i="29"/>
  <c r="S40" i="29" s="1"/>
  <c r="C39" i="29"/>
  <c r="AC38" i="29"/>
  <c r="AA38" i="29"/>
  <c r="AD38" i="29" s="1"/>
  <c r="W38" i="29"/>
  <c r="U38" i="29"/>
  <c r="AC37" i="29"/>
  <c r="AA37" i="29"/>
  <c r="AE37" i="29" s="1"/>
  <c r="U37" i="29"/>
  <c r="O37" i="29"/>
  <c r="P37" i="29" s="1"/>
  <c r="P39" i="29" s="1"/>
  <c r="C35" i="29"/>
  <c r="C34" i="29"/>
  <c r="AC33" i="29"/>
  <c r="AA33" i="29"/>
  <c r="W33" i="29"/>
  <c r="U33" i="29"/>
  <c r="V33" i="29" s="1"/>
  <c r="O32" i="29"/>
  <c r="O30" i="29"/>
  <c r="P30" i="29" s="1"/>
  <c r="O29" i="29"/>
  <c r="S29" i="29" s="1"/>
  <c r="AC28" i="29"/>
  <c r="AA28" i="29"/>
  <c r="AB28" i="29" s="1"/>
  <c r="U28" i="29"/>
  <c r="O28" i="29"/>
  <c r="S28" i="29" s="1"/>
  <c r="W27" i="29"/>
  <c r="U27" i="29"/>
  <c r="X27" i="29" s="1"/>
  <c r="AC26" i="29"/>
  <c r="AA26" i="29"/>
  <c r="AD26" i="29" s="1"/>
  <c r="U26" i="29"/>
  <c r="O26" i="29"/>
  <c r="P26" i="29" s="1"/>
  <c r="AC25" i="29"/>
  <c r="AA25" i="29"/>
  <c r="AD25" i="29" s="1"/>
  <c r="U25" i="29"/>
  <c r="Y25" i="29" s="1"/>
  <c r="O25" i="29"/>
  <c r="AA24" i="29"/>
  <c r="W24" i="29"/>
  <c r="U24" i="29"/>
  <c r="V24" i="29" s="1"/>
  <c r="O24" i="29"/>
  <c r="P24" i="29" s="1"/>
  <c r="AC23" i="29"/>
  <c r="AA23" i="29"/>
  <c r="AD23" i="29" s="1"/>
  <c r="U23" i="29"/>
  <c r="O23" i="29"/>
  <c r="P23" i="29" s="1"/>
  <c r="AC22" i="29"/>
  <c r="AA22" i="29"/>
  <c r="AD22" i="29" s="1"/>
  <c r="U22" i="29"/>
  <c r="O22" i="29"/>
  <c r="AC21" i="29"/>
  <c r="AA21" i="29"/>
  <c r="AD21" i="29" s="1"/>
  <c r="U21" i="29"/>
  <c r="O21" i="29"/>
  <c r="P21" i="29" s="1"/>
  <c r="AA20" i="29"/>
  <c r="W20" i="29"/>
  <c r="U20" i="29"/>
  <c r="V20" i="29" s="1"/>
  <c r="O20" i="29"/>
  <c r="P20" i="29" s="1"/>
  <c r="AC19" i="29"/>
  <c r="AA19" i="29"/>
  <c r="AD19" i="29" s="1"/>
  <c r="U19" i="29"/>
  <c r="O19" i="29"/>
  <c r="P19" i="29" s="1"/>
  <c r="AC18" i="29"/>
  <c r="AA18" i="29"/>
  <c r="AD18" i="29" s="1"/>
  <c r="U18" i="29"/>
  <c r="O18" i="29"/>
  <c r="P18" i="29" s="1"/>
  <c r="AA17" i="29"/>
  <c r="W17" i="29"/>
  <c r="U17" i="29"/>
  <c r="V17" i="29" s="1"/>
  <c r="O17" i="29"/>
  <c r="P17" i="29" s="1"/>
  <c r="AC16" i="29"/>
  <c r="AA16" i="29"/>
  <c r="AD16" i="29" s="1"/>
  <c r="U16" i="29"/>
  <c r="O16" i="29"/>
  <c r="AA15" i="29"/>
  <c r="W15" i="29"/>
  <c r="U15" i="29"/>
  <c r="Z15" i="29" s="1"/>
  <c r="O15" i="29"/>
  <c r="AC14" i="29"/>
  <c r="AA14" i="29"/>
  <c r="AD14" i="29" s="1"/>
  <c r="U14" i="29"/>
  <c r="O14" i="29"/>
  <c r="P14" i="29" s="1"/>
  <c r="AA13" i="29"/>
  <c r="W13" i="29"/>
  <c r="U13" i="29"/>
  <c r="Y13" i="29" s="1"/>
  <c r="O13" i="29"/>
  <c r="P13" i="29" s="1"/>
  <c r="AC12" i="29"/>
  <c r="AA12" i="29"/>
  <c r="AD12" i="29" s="1"/>
  <c r="U12" i="29"/>
  <c r="O12" i="29"/>
  <c r="AA11" i="29"/>
  <c r="W11" i="29"/>
  <c r="U11" i="29"/>
  <c r="Z11" i="29" s="1"/>
  <c r="AC10" i="29"/>
  <c r="AA10" i="29"/>
  <c r="AD10" i="29" s="1"/>
  <c r="U10" i="29"/>
  <c r="S10" i="29"/>
  <c r="A5" i="29"/>
  <c r="A4" i="29"/>
  <c r="W1" i="29"/>
  <c r="Q42" i="29" l="1"/>
  <c r="O48" i="29"/>
  <c r="P40" i="29"/>
  <c r="AL61" i="29"/>
  <c r="Q11" i="29"/>
  <c r="P11" i="29"/>
  <c r="V52" i="29"/>
  <c r="AD44" i="29"/>
  <c r="X52" i="29"/>
  <c r="AD46" i="29"/>
  <c r="Y52" i="29"/>
  <c r="AA52" i="29"/>
  <c r="AA58" i="29" s="1"/>
  <c r="Z23" i="29"/>
  <c r="Y23" i="29" s="1"/>
  <c r="AE38" i="29"/>
  <c r="AB44" i="29"/>
  <c r="P46" i="29"/>
  <c r="Q46" i="29" s="1"/>
  <c r="AF38" i="29"/>
  <c r="AK73" i="29"/>
  <c r="AE25" i="29"/>
  <c r="Z47" i="29"/>
  <c r="AE44" i="29"/>
  <c r="P44" i="29"/>
  <c r="Z44" i="29" s="1"/>
  <c r="S44" i="29"/>
  <c r="V44" i="29"/>
  <c r="AB51" i="29"/>
  <c r="W44" i="29"/>
  <c r="W22" i="29"/>
  <c r="AE46" i="29"/>
  <c r="X44" i="29"/>
  <c r="V46" i="29"/>
  <c r="AF46" i="29"/>
  <c r="X46" i="29"/>
  <c r="W21" i="29"/>
  <c r="Q29" i="29"/>
  <c r="AB38" i="29"/>
  <c r="V47" i="29"/>
  <c r="G60" i="29"/>
  <c r="AA27" i="29"/>
  <c r="AC27" i="29" s="1"/>
  <c r="AC15" i="29"/>
  <c r="U39" i="29"/>
  <c r="X47" i="29"/>
  <c r="X54" i="29"/>
  <c r="AF54" i="29"/>
  <c r="AE54" i="29" s="1"/>
  <c r="Y54" i="29"/>
  <c r="Z54" i="29"/>
  <c r="AB54" i="29"/>
  <c r="AD54" i="29" s="1"/>
  <c r="H60" i="29"/>
  <c r="AB56" i="29"/>
  <c r="AD56" i="29" s="1"/>
  <c r="V56" i="29"/>
  <c r="Z56" i="29"/>
  <c r="X56" i="29"/>
  <c r="X43" i="29"/>
  <c r="Z43" i="29"/>
  <c r="P43" i="29"/>
  <c r="AF43" i="29" s="1"/>
  <c r="AE43" i="29" s="1"/>
  <c r="S43" i="29"/>
  <c r="AB43" i="29"/>
  <c r="AD43" i="29" s="1"/>
  <c r="V43" i="29"/>
  <c r="Y24" i="29"/>
  <c r="Z24" i="29"/>
  <c r="Y20" i="29"/>
  <c r="Z20" i="29"/>
  <c r="Y11" i="29"/>
  <c r="V16" i="29"/>
  <c r="X16" i="29" s="1"/>
  <c r="W16" i="29"/>
  <c r="AE16" i="29"/>
  <c r="Y15" i="29"/>
  <c r="O27" i="29"/>
  <c r="AF53" i="29"/>
  <c r="AE51" i="29"/>
  <c r="AF51" i="29"/>
  <c r="S30" i="29"/>
  <c r="V42" i="29"/>
  <c r="X42" i="29" s="1"/>
  <c r="AB42" i="29"/>
  <c r="AD42" i="29"/>
  <c r="P42" i="29"/>
  <c r="AE42" i="29"/>
  <c r="S42" i="29"/>
  <c r="V45" i="29"/>
  <c r="X45" i="29" s="1"/>
  <c r="AB45" i="29"/>
  <c r="AD45" i="29"/>
  <c r="W45" i="29"/>
  <c r="P45" i="29"/>
  <c r="Z45" i="29" s="1"/>
  <c r="Y45" i="29" s="1"/>
  <c r="AE45" i="29"/>
  <c r="U48" i="29"/>
  <c r="Q37" i="29"/>
  <c r="Q39" i="29" s="1"/>
  <c r="Q40" i="29" s="1"/>
  <c r="AF37" i="29"/>
  <c r="O39" i="29"/>
  <c r="V37" i="29"/>
  <c r="X37" i="29" s="1"/>
  <c r="AB37" i="29"/>
  <c r="AA39" i="29"/>
  <c r="AE39" i="29" s="1"/>
  <c r="AD37" i="29"/>
  <c r="V23" i="29"/>
  <c r="X23" i="29" s="1"/>
  <c r="AE23" i="29"/>
  <c r="Z21" i="29"/>
  <c r="Y21" i="29" s="1"/>
  <c r="AE21" i="29"/>
  <c r="V19" i="29"/>
  <c r="X19" i="29" s="1"/>
  <c r="Z19" i="29"/>
  <c r="Y19" i="29" s="1"/>
  <c r="AE19" i="29"/>
  <c r="AE12" i="29"/>
  <c r="V18" i="29"/>
  <c r="X18" i="29" s="1"/>
  <c r="Z18" i="29"/>
  <c r="Y18" i="29" s="1"/>
  <c r="AE18" i="29"/>
  <c r="V22" i="29"/>
  <c r="X22" i="29" s="1"/>
  <c r="AE22" i="29"/>
  <c r="Y17" i="29"/>
  <c r="Z17" i="29"/>
  <c r="AE14" i="29"/>
  <c r="Z14" i="29"/>
  <c r="Y14" i="29" s="1"/>
  <c r="AE28" i="29"/>
  <c r="AF28" i="29"/>
  <c r="Q28" i="29"/>
  <c r="AE26" i="29"/>
  <c r="Z26" i="29"/>
  <c r="Y26" i="29" s="1"/>
  <c r="AE10" i="29"/>
  <c r="AF33" i="29"/>
  <c r="AE33" i="29"/>
  <c r="AB33" i="29"/>
  <c r="S15" i="29"/>
  <c r="Q15" i="29"/>
  <c r="V10" i="29"/>
  <c r="X10" i="29" s="1"/>
  <c r="S12" i="29"/>
  <c r="Q12" i="29"/>
  <c r="AC13" i="29"/>
  <c r="W18" i="29"/>
  <c r="S22" i="29"/>
  <c r="Q22" i="29"/>
  <c r="W28" i="29"/>
  <c r="U34" i="29"/>
  <c r="AC39" i="29"/>
  <c r="V55" i="29"/>
  <c r="X55" i="29" s="1"/>
  <c r="Z55" i="29"/>
  <c r="Y55" i="29" s="1"/>
  <c r="W55" i="29"/>
  <c r="V12" i="29"/>
  <c r="X12" i="29" s="1"/>
  <c r="S25" i="29"/>
  <c r="Q25" i="29"/>
  <c r="AC56" i="29"/>
  <c r="AF56" i="29"/>
  <c r="AE56" i="29" s="1"/>
  <c r="AC24" i="29"/>
  <c r="AC20" i="29"/>
  <c r="AC17" i="29"/>
  <c r="W53" i="29"/>
  <c r="W10" i="29"/>
  <c r="V11" i="29"/>
  <c r="X11" i="29"/>
  <c r="P12" i="29"/>
  <c r="Z12" i="29" s="1"/>
  <c r="Y12" i="29" s="1"/>
  <c r="S13" i="29"/>
  <c r="Q13" i="29"/>
  <c r="W19" i="29"/>
  <c r="V21" i="29"/>
  <c r="X21" i="29" s="1"/>
  <c r="P22" i="29"/>
  <c r="Z22" i="29" s="1"/>
  <c r="Y22" i="29" s="1"/>
  <c r="S23" i="29"/>
  <c r="Q23" i="29"/>
  <c r="Q30" i="29"/>
  <c r="W42" i="29"/>
  <c r="AC43" i="29"/>
  <c r="AC48" i="29" s="1"/>
  <c r="V14" i="29"/>
  <c r="X14" i="29" s="1"/>
  <c r="P15" i="29"/>
  <c r="AF15" i="29" s="1"/>
  <c r="AE15" i="29" s="1"/>
  <c r="S16" i="29"/>
  <c r="Q16" i="29"/>
  <c r="W23" i="29"/>
  <c r="V25" i="29"/>
  <c r="S32" i="29"/>
  <c r="Q32" i="29"/>
  <c r="AD33" i="29"/>
  <c r="W46" i="29"/>
  <c r="O52" i="29"/>
  <c r="S24" i="29"/>
  <c r="Q24" i="29"/>
  <c r="AA48" i="29"/>
  <c r="W14" i="29"/>
  <c r="V15" i="29"/>
  <c r="X15" i="29"/>
  <c r="P16" i="29"/>
  <c r="Z16" i="29" s="1"/>
  <c r="Y16" i="29" s="1"/>
  <c r="S17" i="29"/>
  <c r="Q17" i="29"/>
  <c r="S18" i="29"/>
  <c r="Q18" i="29"/>
  <c r="W25" i="29"/>
  <c r="V26" i="29"/>
  <c r="X26" i="29" s="1"/>
  <c r="P32" i="29"/>
  <c r="V13" i="29"/>
  <c r="X13" i="29"/>
  <c r="S26" i="29"/>
  <c r="Q26" i="29"/>
  <c r="Y38" i="29"/>
  <c r="X38" i="29"/>
  <c r="V38" i="29"/>
  <c r="Z38" i="29"/>
  <c r="Q10" i="29"/>
  <c r="AC11" i="29"/>
  <c r="Z13" i="29"/>
  <c r="S19" i="29"/>
  <c r="Q19" i="29"/>
  <c r="W26" i="29"/>
  <c r="V51" i="29"/>
  <c r="X51" i="29" s="1"/>
  <c r="Z51" i="29"/>
  <c r="Y51" i="29" s="1"/>
  <c r="U58" i="29"/>
  <c r="S14" i="29"/>
  <c r="Q14" i="29"/>
  <c r="AE47" i="29"/>
  <c r="AD47" i="29"/>
  <c r="AB47" i="29"/>
  <c r="AF47" i="29"/>
  <c r="W12" i="29"/>
  <c r="P25" i="29"/>
  <c r="Z25" i="29" s="1"/>
  <c r="S20" i="29"/>
  <c r="Q20" i="29"/>
  <c r="S21" i="29"/>
  <c r="Q21" i="29"/>
  <c r="Z27" i="29"/>
  <c r="Y27" i="29"/>
  <c r="V27" i="29"/>
  <c r="V28" i="29"/>
  <c r="X28" i="29" s="1"/>
  <c r="Z33" i="29"/>
  <c r="Y33" i="29"/>
  <c r="X33" i="29"/>
  <c r="W51" i="29"/>
  <c r="AF57" i="29"/>
  <c r="AD57" i="29"/>
  <c r="AE57" i="29"/>
  <c r="AB57" i="29"/>
  <c r="AD53" i="29"/>
  <c r="AB53" i="29"/>
  <c r="Z57" i="29"/>
  <c r="X57" i="29"/>
  <c r="V57" i="29"/>
  <c r="AF10" i="29"/>
  <c r="AF12" i="29"/>
  <c r="AF13" i="29"/>
  <c r="AE13" i="29" s="1"/>
  <c r="AF14" i="29"/>
  <c r="AF16" i="29"/>
  <c r="X17" i="29"/>
  <c r="AF17" i="29"/>
  <c r="AE17" i="29" s="1"/>
  <c r="AF18" i="29"/>
  <c r="AF19" i="29"/>
  <c r="X20" i="29"/>
  <c r="AF20" i="29"/>
  <c r="AE20" i="29" s="1"/>
  <c r="AF21" i="29"/>
  <c r="AF22" i="29"/>
  <c r="AF23" i="29"/>
  <c r="X24" i="29"/>
  <c r="AF24" i="29"/>
  <c r="AE24" i="29" s="1"/>
  <c r="X25" i="29"/>
  <c r="AF25" i="29"/>
  <c r="AF26" i="29"/>
  <c r="AD28" i="29"/>
  <c r="W37" i="29"/>
  <c r="W39" i="29" s="1"/>
  <c r="Z37" i="29"/>
  <c r="V53" i="29"/>
  <c r="X53" i="29" s="1"/>
  <c r="Z53" i="29"/>
  <c r="Y53" i="29" s="1"/>
  <c r="AB10" i="29"/>
  <c r="AB12" i="29"/>
  <c r="AB13" i="29"/>
  <c r="AD13" i="29" s="1"/>
  <c r="AB14" i="29"/>
  <c r="AB15" i="29"/>
  <c r="AD15" i="29" s="1"/>
  <c r="AB16" i="29"/>
  <c r="AB17" i="29"/>
  <c r="AD17" i="29" s="1"/>
  <c r="AB18" i="29"/>
  <c r="AB19" i="29"/>
  <c r="AB20" i="29"/>
  <c r="AD20" i="29" s="1"/>
  <c r="AB21" i="29"/>
  <c r="AB22" i="29"/>
  <c r="AB23" i="29"/>
  <c r="AB24" i="29"/>
  <c r="AD24" i="29" s="1"/>
  <c r="AB25" i="29"/>
  <c r="AB26" i="29"/>
  <c r="P28" i="29"/>
  <c r="Z28" i="29" s="1"/>
  <c r="Y28" i="29" s="1"/>
  <c r="P29" i="29"/>
  <c r="AF55" i="29"/>
  <c r="AD55" i="29"/>
  <c r="AB55" i="29"/>
  <c r="AC54" i="29"/>
  <c r="O31" i="29"/>
  <c r="S48" i="29" l="1"/>
  <c r="Z42" i="29"/>
  <c r="Y42" i="29" s="1"/>
  <c r="P48" i="29"/>
  <c r="Z46" i="29"/>
  <c r="AC52" i="29"/>
  <c r="AC58" i="29" s="1"/>
  <c r="AF39" i="29"/>
  <c r="AB39" i="29"/>
  <c r="AD39" i="29"/>
  <c r="AB27" i="29"/>
  <c r="AD27" i="29" s="1"/>
  <c r="AA34" i="29"/>
  <c r="AA60" i="29" s="1"/>
  <c r="I60" i="29"/>
  <c r="K60" i="29" s="1"/>
  <c r="S27" i="29"/>
  <c r="V39" i="29"/>
  <c r="X39" i="29" s="1"/>
  <c r="W48" i="29"/>
  <c r="P31" i="29"/>
  <c r="Q31" i="29"/>
  <c r="P27" i="29"/>
  <c r="AF27" i="29" s="1"/>
  <c r="AE27" i="29" s="1"/>
  <c r="AF48" i="29"/>
  <c r="AE48" i="29" s="1"/>
  <c r="Q27" i="29"/>
  <c r="AB48" i="29"/>
  <c r="AD48" i="29" s="1"/>
  <c r="U60" i="29"/>
  <c r="V48" i="29"/>
  <c r="X48" i="29" s="1"/>
  <c r="Z48" i="29"/>
  <c r="Y48" i="29" s="1"/>
  <c r="Q45" i="29"/>
  <c r="Q48" i="29" s="1"/>
  <c r="W58" i="29"/>
  <c r="Q52" i="29"/>
  <c r="V34" i="29"/>
  <c r="S31" i="29"/>
  <c r="AB52" i="29"/>
  <c r="Z39" i="29"/>
  <c r="Y37" i="29"/>
  <c r="Z58" i="29"/>
  <c r="Y58" i="29" s="1"/>
  <c r="V58" i="29"/>
  <c r="X58" i="29" s="1"/>
  <c r="AC34" i="29"/>
  <c r="Z10" i="29"/>
  <c r="W34" i="29"/>
  <c r="Q49" i="29" l="1"/>
  <c r="S49" i="29"/>
  <c r="AG48" i="29"/>
  <c r="AF11" i="29"/>
  <c r="AE11" i="29" s="1"/>
  <c r="AB11" i="29"/>
  <c r="AD11" i="29" s="1"/>
  <c r="W60" i="29"/>
  <c r="AC60" i="29"/>
  <c r="AB58" i="29"/>
  <c r="AD58" i="29" s="1"/>
  <c r="AD52" i="29"/>
  <c r="Y39" i="29"/>
  <c r="AG39" i="29"/>
  <c r="X34" i="29"/>
  <c r="V60" i="29"/>
  <c r="X60" i="29" s="1"/>
  <c r="AF52" i="29"/>
  <c r="O34" i="29"/>
  <c r="P52" i="29"/>
  <c r="Y10" i="29"/>
  <c r="Z34" i="29"/>
  <c r="P49" i="29" l="1"/>
  <c r="AL60" i="29"/>
  <c r="Q34" i="29"/>
  <c r="Q35" i="29" s="1"/>
  <c r="AF34" i="29"/>
  <c r="AE34" i="29" s="1"/>
  <c r="P34" i="29"/>
  <c r="P35" i="29" s="1"/>
  <c r="AB34" i="29"/>
  <c r="AD34" i="29" s="1"/>
  <c r="O58" i="29"/>
  <c r="O60" i="29" s="1"/>
  <c r="S34" i="29"/>
  <c r="S35" i="29" s="1"/>
  <c r="Z60" i="29"/>
  <c r="Y60" i="29" s="1"/>
  <c r="Y34" i="29"/>
  <c r="AF58" i="29"/>
  <c r="AE52" i="29"/>
  <c r="AG34" i="29" l="1"/>
  <c r="AL59" i="29"/>
  <c r="AL62" i="29" s="1"/>
  <c r="AM62" i="29" s="1"/>
  <c r="AB60" i="29"/>
  <c r="AD60" i="29" s="1"/>
  <c r="Q58" i="29"/>
  <c r="AL70" i="29" s="1"/>
  <c r="AM70" i="29" s="1"/>
  <c r="P58" i="29"/>
  <c r="AE58" i="29"/>
  <c r="AF60" i="29"/>
  <c r="AE60" i="29" s="1"/>
  <c r="Q59" i="29" l="1"/>
  <c r="Q60" i="29" s="1"/>
  <c r="AG58" i="29"/>
  <c r="P60" i="29"/>
  <c r="AG60" i="29" s="1"/>
  <c r="O67" i="18" l="1"/>
  <c r="O66" i="18"/>
  <c r="P54" i="18" l="1"/>
  <c r="O65" i="18" l="1"/>
  <c r="Q54" i="18"/>
  <c r="Q52" i="18" l="1"/>
  <c r="O27" i="18"/>
  <c r="P52" i="18"/>
  <c r="O52" i="18"/>
  <c r="O31" i="18"/>
  <c r="O30" i="8"/>
  <c r="P219" i="8"/>
  <c r="N289" i="8"/>
  <c r="N286" i="8"/>
  <c r="O281" i="8"/>
  <c r="P281" i="8" s="1"/>
  <c r="Q54" i="8"/>
  <c r="S281" i="8" l="1"/>
  <c r="Q281" i="8"/>
  <c r="S31" i="18"/>
  <c r="Q31" i="18"/>
  <c r="P27" i="18"/>
  <c r="S27" i="18"/>
  <c r="P31" i="18"/>
  <c r="Q27" i="18"/>
  <c r="P56" i="8"/>
  <c r="Q56" i="8" s="1"/>
  <c r="P55" i="8"/>
  <c r="Q55" i="8" s="1"/>
  <c r="P269" i="7"/>
  <c r="H232" i="8"/>
  <c r="H233" i="8"/>
  <c r="O26" i="8"/>
  <c r="G271" i="7" l="1"/>
  <c r="J302" i="8"/>
  <c r="H302" i="8"/>
  <c r="J301" i="8"/>
  <c r="H301" i="8"/>
  <c r="J300" i="8"/>
  <c r="H300" i="8"/>
  <c r="J299" i="8"/>
  <c r="H299" i="8"/>
  <c r="J298" i="8"/>
  <c r="H298" i="8"/>
  <c r="I293" i="8"/>
  <c r="G293" i="8"/>
  <c r="I292" i="8"/>
  <c r="G292" i="8"/>
  <c r="I291" i="8"/>
  <c r="G291" i="8"/>
  <c r="I290" i="8"/>
  <c r="G290" i="8"/>
  <c r="I289" i="8"/>
  <c r="G289" i="8"/>
  <c r="H286" i="8"/>
  <c r="G286" i="8"/>
  <c r="O285" i="8"/>
  <c r="S285" i="8" s="1"/>
  <c r="O284" i="8"/>
  <c r="S284" i="8" s="1"/>
  <c r="O283" i="8"/>
  <c r="S283" i="8" s="1"/>
  <c r="O282" i="8"/>
  <c r="J274" i="8"/>
  <c r="H274" i="8"/>
  <c r="O273" i="8"/>
  <c r="S273" i="8" s="1"/>
  <c r="J272" i="8"/>
  <c r="H272" i="8"/>
  <c r="O271" i="8"/>
  <c r="P271" i="8" s="1"/>
  <c r="O270" i="8"/>
  <c r="S270" i="8" s="1"/>
  <c r="O269" i="8"/>
  <c r="P269" i="8" s="1"/>
  <c r="J268" i="8"/>
  <c r="H268" i="8"/>
  <c r="J267" i="8"/>
  <c r="H267" i="8"/>
  <c r="T263" i="8"/>
  <c r="R263" i="8"/>
  <c r="I262" i="8"/>
  <c r="G262" i="8"/>
  <c r="I261" i="8"/>
  <c r="G261" i="8"/>
  <c r="I260" i="8"/>
  <c r="G260" i="8"/>
  <c r="I259" i="8"/>
  <c r="G259" i="8"/>
  <c r="I258" i="8"/>
  <c r="G258" i="8"/>
  <c r="I257" i="8"/>
  <c r="G257" i="8"/>
  <c r="I256" i="8"/>
  <c r="G256" i="8"/>
  <c r="N255" i="8"/>
  <c r="N263" i="8" s="1"/>
  <c r="I255" i="8"/>
  <c r="G255" i="8"/>
  <c r="N252" i="8"/>
  <c r="H252" i="8"/>
  <c r="G252" i="8"/>
  <c r="O251" i="8"/>
  <c r="S251" i="8" s="1"/>
  <c r="O250" i="8"/>
  <c r="S250" i="8" s="1"/>
  <c r="O249" i="8"/>
  <c r="S249" i="8" s="1"/>
  <c r="O248" i="8"/>
  <c r="S248" i="8" s="1"/>
  <c r="O247" i="8"/>
  <c r="S247" i="8" s="1"/>
  <c r="O246" i="8"/>
  <c r="S246" i="8" s="1"/>
  <c r="O245" i="8"/>
  <c r="S245" i="8" s="1"/>
  <c r="O244" i="8"/>
  <c r="J235" i="8"/>
  <c r="H235" i="8"/>
  <c r="P235" i="8" s="1"/>
  <c r="J234" i="8"/>
  <c r="H234" i="8"/>
  <c r="P234" i="8" s="1"/>
  <c r="J233" i="8"/>
  <c r="J232" i="8"/>
  <c r="I227" i="8"/>
  <c r="G227" i="8"/>
  <c r="P227" i="8" s="1"/>
  <c r="I226" i="8"/>
  <c r="G226" i="8"/>
  <c r="I225" i="8"/>
  <c r="G225" i="8"/>
  <c r="I224" i="8"/>
  <c r="G224" i="8"/>
  <c r="H220" i="8"/>
  <c r="G220" i="8"/>
  <c r="O219" i="8"/>
  <c r="O218" i="8"/>
  <c r="O217" i="8"/>
  <c r="P217" i="8" s="1"/>
  <c r="O216" i="8"/>
  <c r="P216" i="8" s="1"/>
  <c r="P53" i="8"/>
  <c r="Q53" i="8" s="1"/>
  <c r="O54" i="8"/>
  <c r="P244" i="8" l="1"/>
  <c r="O252" i="8"/>
  <c r="S253" i="8"/>
  <c r="S282" i="8"/>
  <c r="S286" i="8" s="1"/>
  <c r="S31" i="8" s="1"/>
  <c r="O286" i="8"/>
  <c r="O31" i="8" s="1"/>
  <c r="P218" i="8"/>
  <c r="Q218" i="8" s="1"/>
  <c r="O301" i="8"/>
  <c r="Q301" i="8" s="1"/>
  <c r="O220" i="8"/>
  <c r="O52" i="8" s="1"/>
  <c r="O233" i="8"/>
  <c r="P233" i="8" s="1"/>
  <c r="Q233" i="8" s="1"/>
  <c r="Q234" i="8"/>
  <c r="O298" i="8"/>
  <c r="S298" i="8" s="1"/>
  <c r="O302" i="8"/>
  <c r="S302" i="8" s="1"/>
  <c r="O232" i="8"/>
  <c r="P232" i="8" s="1"/>
  <c r="O260" i="8"/>
  <c r="P260" i="8" s="1"/>
  <c r="O272" i="8"/>
  <c r="S272" i="8" s="1"/>
  <c r="P282" i="8"/>
  <c r="P251" i="8"/>
  <c r="O268" i="8"/>
  <c r="S268" i="8" s="1"/>
  <c r="O274" i="8"/>
  <c r="P274" i="8" s="1"/>
  <c r="O293" i="8"/>
  <c r="Q293" i="8" s="1"/>
  <c r="O234" i="8"/>
  <c r="O261" i="8"/>
  <c r="S261" i="8" s="1"/>
  <c r="O291" i="8"/>
  <c r="S291" i="8" s="1"/>
  <c r="O292" i="8"/>
  <c r="Q292" i="8" s="1"/>
  <c r="O300" i="8"/>
  <c r="P245" i="8"/>
  <c r="O289" i="8"/>
  <c r="Q289" i="8" s="1"/>
  <c r="Q269" i="8"/>
  <c r="P249" i="8"/>
  <c r="Q270" i="8"/>
  <c r="O299" i="8"/>
  <c r="S299" i="8" s="1"/>
  <c r="O257" i="8"/>
  <c r="S257" i="8" s="1"/>
  <c r="Q271" i="8"/>
  <c r="O258" i="8"/>
  <c r="Q258" i="8" s="1"/>
  <c r="O259" i="8"/>
  <c r="S259" i="8" s="1"/>
  <c r="Q219" i="8"/>
  <c r="O226" i="8"/>
  <c r="G228" i="8"/>
  <c r="O227" i="8"/>
  <c r="O225" i="8"/>
  <c r="O256" i="8"/>
  <c r="P256" i="8" s="1"/>
  <c r="O290" i="8"/>
  <c r="S290" i="8" s="1"/>
  <c r="O235" i="8"/>
  <c r="H236" i="8"/>
  <c r="O224" i="8"/>
  <c r="P224" i="8" s="1"/>
  <c r="G263" i="8"/>
  <c r="O267" i="8"/>
  <c r="S267" i="8" s="1"/>
  <c r="O255" i="8"/>
  <c r="S255" i="8" s="1"/>
  <c r="O262" i="8"/>
  <c r="P262" i="8" s="1"/>
  <c r="Q217" i="8"/>
  <c r="P247" i="8"/>
  <c r="S269" i="8"/>
  <c r="S271" i="8"/>
  <c r="P273" i="8"/>
  <c r="P283" i="8"/>
  <c r="P285" i="8"/>
  <c r="Q245" i="8"/>
  <c r="Q247" i="8"/>
  <c r="Q249" i="8"/>
  <c r="Q251" i="8"/>
  <c r="Q273" i="8"/>
  <c r="H275" i="8"/>
  <c r="Q283" i="8"/>
  <c r="Q285" i="8"/>
  <c r="P270" i="8"/>
  <c r="H303" i="8"/>
  <c r="P246" i="8"/>
  <c r="P248" i="8"/>
  <c r="P250" i="8"/>
  <c r="P284" i="8"/>
  <c r="G294" i="8"/>
  <c r="Q244" i="8"/>
  <c r="Q246" i="8"/>
  <c r="Q248" i="8"/>
  <c r="Q250" i="8"/>
  <c r="Q282" i="8"/>
  <c r="Q284" i="8"/>
  <c r="S244" i="8"/>
  <c r="P56" i="7"/>
  <c r="P55" i="7"/>
  <c r="J325" i="7"/>
  <c r="J323" i="7"/>
  <c r="J319" i="7"/>
  <c r="J318" i="7"/>
  <c r="H325" i="7"/>
  <c r="H323" i="7"/>
  <c r="H319" i="7"/>
  <c r="H318" i="7"/>
  <c r="S252" i="8" l="1"/>
  <c r="S27" i="8" s="1"/>
  <c r="Q252" i="8"/>
  <c r="Q27" i="8" s="1"/>
  <c r="Q253" i="8"/>
  <c r="P220" i="8"/>
  <c r="P226" i="8"/>
  <c r="Q226" i="8" s="1"/>
  <c r="O27" i="8"/>
  <c r="P252" i="8"/>
  <c r="P27" i="8" s="1"/>
  <c r="Q302" i="8"/>
  <c r="P286" i="8"/>
  <c r="P31" i="8" s="1"/>
  <c r="Q298" i="8"/>
  <c r="S301" i="8"/>
  <c r="Q216" i="8"/>
  <c r="Q220" i="8" s="1"/>
  <c r="Q52" i="8" s="1"/>
  <c r="Q235" i="8"/>
  <c r="Q299" i="8"/>
  <c r="P272" i="8"/>
  <c r="S260" i="8"/>
  <c r="Q272" i="8"/>
  <c r="Q260" i="8"/>
  <c r="Q257" i="8"/>
  <c r="P258" i="8"/>
  <c r="O236" i="8"/>
  <c r="S274" i="8"/>
  <c r="S275" i="8" s="1"/>
  <c r="Q274" i="8"/>
  <c r="P261" i="8"/>
  <c r="Q291" i="8"/>
  <c r="O303" i="8"/>
  <c r="J303" i="8" s="1"/>
  <c r="Q261" i="8"/>
  <c r="S258" i="8"/>
  <c r="S300" i="8"/>
  <c r="P268" i="8"/>
  <c r="Q300" i="8"/>
  <c r="Q268" i="8"/>
  <c r="S293" i="8"/>
  <c r="S292" i="8"/>
  <c r="S289" i="8"/>
  <c r="P267" i="8"/>
  <c r="O275" i="8"/>
  <c r="J275" i="8" s="1"/>
  <c r="S256" i="8"/>
  <c r="Q256" i="8"/>
  <c r="Q259" i="8"/>
  <c r="O294" i="8"/>
  <c r="I294" i="8" s="1"/>
  <c r="Q227" i="8"/>
  <c r="P257" i="8"/>
  <c r="Q290" i="8"/>
  <c r="P225" i="8"/>
  <c r="P259" i="8"/>
  <c r="O228" i="8"/>
  <c r="I228" i="8" s="1"/>
  <c r="Q262" i="8"/>
  <c r="S262" i="8"/>
  <c r="Q255" i="8"/>
  <c r="P255" i="8"/>
  <c r="O263" i="8"/>
  <c r="Q232" i="8"/>
  <c r="Q286" i="8"/>
  <c r="Q31" i="8" s="1"/>
  <c r="Q224" i="8"/>
  <c r="O318" i="7"/>
  <c r="G303" i="7"/>
  <c r="P54" i="7"/>
  <c r="O54" i="7"/>
  <c r="O270" i="7"/>
  <c r="P270" i="7" s="1"/>
  <c r="O269" i="7"/>
  <c r="I263" i="8" l="1"/>
  <c r="O264" i="8"/>
  <c r="O265" i="8" s="1"/>
  <c r="Q236" i="8"/>
  <c r="J236" i="8"/>
  <c r="O238" i="8"/>
  <c r="P221" i="8"/>
  <c r="P52" i="8"/>
  <c r="S303" i="8"/>
  <c r="Q242" i="8"/>
  <c r="P236" i="8"/>
  <c r="P275" i="8"/>
  <c r="Q303" i="8"/>
  <c r="S263" i="8"/>
  <c r="Q263" i="8"/>
  <c r="Q294" i="8"/>
  <c r="O240" i="8"/>
  <c r="S294" i="8"/>
  <c r="P263" i="8"/>
  <c r="P228" i="8"/>
  <c r="Q225" i="8"/>
  <c r="Q228" i="8" s="1"/>
  <c r="Q238" i="8" s="1"/>
  <c r="P238" i="8" l="1"/>
  <c r="P240" i="8" s="1"/>
  <c r="Q240" i="8"/>
  <c r="G337" i="7" l="1"/>
  <c r="H337" i="7"/>
  <c r="N337" i="7"/>
  <c r="O336" i="7"/>
  <c r="Q336" i="7" s="1"/>
  <c r="O335" i="7"/>
  <c r="P335" i="7" s="1"/>
  <c r="O334" i="7"/>
  <c r="S334" i="7" s="1"/>
  <c r="O333" i="7"/>
  <c r="Q333" i="7" s="1"/>
  <c r="O332" i="7"/>
  <c r="N340" i="7"/>
  <c r="J349" i="7"/>
  <c r="J353" i="7"/>
  <c r="J352" i="7"/>
  <c r="J351" i="7"/>
  <c r="J350" i="7"/>
  <c r="H353" i="7"/>
  <c r="H352" i="7"/>
  <c r="H351" i="7"/>
  <c r="H350" i="7"/>
  <c r="H349" i="7"/>
  <c r="I344" i="7"/>
  <c r="I343" i="7"/>
  <c r="I342" i="7"/>
  <c r="I341" i="7"/>
  <c r="I340" i="7"/>
  <c r="G344" i="7"/>
  <c r="G343" i="7"/>
  <c r="G342" i="7"/>
  <c r="G341" i="7"/>
  <c r="G340" i="7"/>
  <c r="H271" i="7"/>
  <c r="O267" i="7"/>
  <c r="P267" i="7" s="1"/>
  <c r="Q267" i="7" s="1"/>
  <c r="Q270" i="7"/>
  <c r="Q269" i="7"/>
  <c r="O268" i="7"/>
  <c r="J286" i="7"/>
  <c r="J285" i="7"/>
  <c r="J284" i="7"/>
  <c r="J283" i="7"/>
  <c r="H286" i="7"/>
  <c r="H285" i="7"/>
  <c r="H284" i="7"/>
  <c r="H283" i="7"/>
  <c r="I275" i="7"/>
  <c r="I278" i="7"/>
  <c r="I277" i="7"/>
  <c r="I276" i="7"/>
  <c r="G278" i="7"/>
  <c r="G277" i="7"/>
  <c r="G276" i="7"/>
  <c r="G275" i="7"/>
  <c r="N306" i="7"/>
  <c r="N314" i="7" s="1"/>
  <c r="N303" i="7"/>
  <c r="H303" i="7"/>
  <c r="H326" i="7"/>
  <c r="I308" i="7"/>
  <c r="I309" i="7"/>
  <c r="I310" i="7"/>
  <c r="I311" i="7"/>
  <c r="I312" i="7"/>
  <c r="I313" i="7"/>
  <c r="I307" i="7"/>
  <c r="G308" i="7"/>
  <c r="G309" i="7"/>
  <c r="G310" i="7"/>
  <c r="G311" i="7"/>
  <c r="G312" i="7"/>
  <c r="G313" i="7"/>
  <c r="G307" i="7"/>
  <c r="I306" i="7"/>
  <c r="G306" i="7"/>
  <c r="O325" i="7"/>
  <c r="P325" i="7" s="1"/>
  <c r="O324" i="7"/>
  <c r="P324" i="7" s="1"/>
  <c r="O323" i="7"/>
  <c r="P323" i="7" s="1"/>
  <c r="O322" i="7"/>
  <c r="P322" i="7" s="1"/>
  <c r="O321" i="7"/>
  <c r="P321" i="7" s="1"/>
  <c r="O320" i="7"/>
  <c r="P320" i="7" s="1"/>
  <c r="O319" i="7"/>
  <c r="P319" i="7" s="1"/>
  <c r="O302" i="7"/>
  <c r="S302" i="7" s="1"/>
  <c r="O301" i="7"/>
  <c r="P301" i="7" s="1"/>
  <c r="O300" i="7"/>
  <c r="P300" i="7" s="1"/>
  <c r="O299" i="7"/>
  <c r="S299" i="7" s="1"/>
  <c r="O298" i="7"/>
  <c r="P298" i="7" s="1"/>
  <c r="O297" i="7"/>
  <c r="P297" i="7" s="1"/>
  <c r="O296" i="7"/>
  <c r="S296" i="7" s="1"/>
  <c r="O295" i="7"/>
  <c r="P295" i="7" s="1"/>
  <c r="O143" i="6"/>
  <c r="T314" i="7"/>
  <c r="R314" i="7"/>
  <c r="P54" i="6"/>
  <c r="O54" i="6"/>
  <c r="Q54" i="7"/>
  <c r="O53" i="7"/>
  <c r="P268" i="7" l="1"/>
  <c r="Q268" i="7" s="1"/>
  <c r="Q301" i="7"/>
  <c r="O310" i="7"/>
  <c r="P310" i="7" s="1"/>
  <c r="O352" i="7"/>
  <c r="S352" i="7" s="1"/>
  <c r="Q332" i="7"/>
  <c r="O337" i="7"/>
  <c r="O31" i="7" s="1"/>
  <c r="O283" i="7"/>
  <c r="P283" i="7" s="1"/>
  <c r="S301" i="7"/>
  <c r="O284" i="7"/>
  <c r="P284" i="7" s="1"/>
  <c r="Q284" i="7" s="1"/>
  <c r="O308" i="7"/>
  <c r="S308" i="7" s="1"/>
  <c r="O349" i="7"/>
  <c r="S349" i="7" s="1"/>
  <c r="S297" i="7"/>
  <c r="O309" i="7"/>
  <c r="P309" i="7" s="1"/>
  <c r="O351" i="7"/>
  <c r="S351" i="7" s="1"/>
  <c r="O353" i="7"/>
  <c r="Q353" i="7" s="1"/>
  <c r="O312" i="7"/>
  <c r="S312" i="7" s="1"/>
  <c r="O342" i="7"/>
  <c r="S342" i="7" s="1"/>
  <c r="G345" i="7"/>
  <c r="Q334" i="7"/>
  <c r="P334" i="7"/>
  <c r="P332" i="7"/>
  <c r="Q299" i="7"/>
  <c r="P299" i="7"/>
  <c r="O286" i="7"/>
  <c r="P286" i="7" s="1"/>
  <c r="Q286" i="7" s="1"/>
  <c r="O350" i="7"/>
  <c r="S350" i="7" s="1"/>
  <c r="P333" i="7"/>
  <c r="S300" i="7"/>
  <c r="O340" i="7"/>
  <c r="S340" i="7" s="1"/>
  <c r="O326" i="7"/>
  <c r="J326" i="7" s="1"/>
  <c r="P318" i="7"/>
  <c r="P326" i="7" s="1"/>
  <c r="H354" i="7"/>
  <c r="S336" i="7"/>
  <c r="P336" i="7"/>
  <c r="S335" i="7"/>
  <c r="O341" i="7"/>
  <c r="S341" i="7" s="1"/>
  <c r="Q335" i="7"/>
  <c r="S332" i="7"/>
  <c r="O344" i="7"/>
  <c r="Q344" i="7" s="1"/>
  <c r="O343" i="7"/>
  <c r="S343" i="7" s="1"/>
  <c r="P277" i="7"/>
  <c r="Q277" i="7" s="1"/>
  <c r="O277" i="7"/>
  <c r="O271" i="7"/>
  <c r="O52" i="7" s="1"/>
  <c r="O275" i="7"/>
  <c r="H287" i="7"/>
  <c r="G279" i="7"/>
  <c r="O285" i="7"/>
  <c r="P285" i="7"/>
  <c r="Q285" i="7" s="1"/>
  <c r="O276" i="7"/>
  <c r="P276" i="7" s="1"/>
  <c r="Q276" i="7" s="1"/>
  <c r="O278" i="7"/>
  <c r="P278" i="7" s="1"/>
  <c r="Q278" i="7" s="1"/>
  <c r="O313" i="7"/>
  <c r="P313" i="7" s="1"/>
  <c r="P302" i="7"/>
  <c r="O311" i="7"/>
  <c r="P311" i="7" s="1"/>
  <c r="O307" i="7"/>
  <c r="P307" i="7" s="1"/>
  <c r="G314" i="7"/>
  <c r="P296" i="7"/>
  <c r="O303" i="7"/>
  <c r="O27" i="7" s="1"/>
  <c r="O306" i="7"/>
  <c r="Q306" i="7" s="1"/>
  <c r="S333" i="7"/>
  <c r="S298" i="7"/>
  <c r="Q295" i="7"/>
  <c r="S320" i="7"/>
  <c r="Q320" i="7"/>
  <c r="S324" i="7"/>
  <c r="Q324" i="7"/>
  <c r="S321" i="7"/>
  <c r="Q321" i="7"/>
  <c r="S325" i="7"/>
  <c r="Q325" i="7"/>
  <c r="S322" i="7"/>
  <c r="Q322" i="7"/>
  <c r="Q349" i="7"/>
  <c r="S318" i="7"/>
  <c r="Q319" i="7"/>
  <c r="S319" i="7"/>
  <c r="Q323" i="7"/>
  <c r="S323" i="7"/>
  <c r="Q297" i="7"/>
  <c r="S295" i="7"/>
  <c r="Q296" i="7"/>
  <c r="Q298" i="7"/>
  <c r="Q300" i="7"/>
  <c r="Q302" i="7"/>
  <c r="S304" i="7" l="1"/>
  <c r="S309" i="7"/>
  <c r="S310" i="7"/>
  <c r="Q342" i="7"/>
  <c r="Q310" i="7"/>
  <c r="Q308" i="7"/>
  <c r="Q352" i="7"/>
  <c r="Q313" i="7"/>
  <c r="S313" i="7"/>
  <c r="S353" i="7"/>
  <c r="S354" i="7" s="1"/>
  <c r="Q351" i="7"/>
  <c r="Q337" i="7"/>
  <c r="Q31" i="7" s="1"/>
  <c r="O354" i="7"/>
  <c r="J354" i="7" s="1"/>
  <c r="O287" i="7"/>
  <c r="J287" i="7" s="1"/>
  <c r="P337" i="7"/>
  <c r="P31" i="7" s="1"/>
  <c r="Q350" i="7"/>
  <c r="P312" i="7"/>
  <c r="Q309" i="7"/>
  <c r="Q312" i="7"/>
  <c r="P308" i="7"/>
  <c r="Q341" i="7"/>
  <c r="Q340" i="7"/>
  <c r="S337" i="7"/>
  <c r="S31" i="7" s="1"/>
  <c r="P303" i="7"/>
  <c r="Q293" i="7" s="1"/>
  <c r="Q343" i="7"/>
  <c r="S344" i="7"/>
  <c r="S345" i="7" s="1"/>
  <c r="O345" i="7"/>
  <c r="I345" i="7" s="1"/>
  <c r="O279" i="7"/>
  <c r="P271" i="7"/>
  <c r="P52" i="7" s="1"/>
  <c r="Q271" i="7"/>
  <c r="Q52" i="7" s="1"/>
  <c r="S311" i="7"/>
  <c r="Q311" i="7"/>
  <c r="Q307" i="7"/>
  <c r="S307" i="7"/>
  <c r="P306" i="7"/>
  <c r="S306" i="7"/>
  <c r="O314" i="7"/>
  <c r="I314" i="7" s="1"/>
  <c r="S303" i="7"/>
  <c r="S27" i="7" s="1"/>
  <c r="Q303" i="7"/>
  <c r="Q27" i="7" s="1"/>
  <c r="P275" i="7"/>
  <c r="S326" i="7"/>
  <c r="P287" i="7"/>
  <c r="Q283" i="7"/>
  <c r="Q287" i="7" s="1"/>
  <c r="Q304" i="7"/>
  <c r="Q354" i="7" l="1"/>
  <c r="I279" i="7"/>
  <c r="P314" i="7"/>
  <c r="P272" i="7"/>
  <c r="P27" i="7"/>
  <c r="Q345" i="7"/>
  <c r="O289" i="7"/>
  <c r="O291" i="7" s="1"/>
  <c r="Q314" i="7"/>
  <c r="S314" i="7"/>
  <c r="O315" i="7"/>
  <c r="O316" i="7" s="1"/>
  <c r="P279" i="7"/>
  <c r="Q275" i="7"/>
  <c r="Q279" i="7" s="1"/>
  <c r="Q289" i="7" s="1"/>
  <c r="Q291" i="7" s="1"/>
  <c r="P289" i="7" l="1"/>
  <c r="P291" i="7" s="1"/>
  <c r="O115" i="6"/>
  <c r="P115" i="6" s="1"/>
  <c r="O118" i="6"/>
  <c r="P118" i="6" s="1"/>
  <c r="O117" i="6"/>
  <c r="O116" i="6"/>
  <c r="P116" i="6" s="1"/>
  <c r="P55" i="6"/>
  <c r="O65" i="6"/>
  <c r="O64" i="6"/>
  <c r="N64" i="6"/>
  <c r="O51" i="6"/>
  <c r="Q54" i="6"/>
  <c r="P53" i="6"/>
  <c r="N65" i="6"/>
  <c r="O119" i="6" l="1"/>
  <c r="Q115" i="6"/>
  <c r="N202" i="6" l="1"/>
  <c r="J201" i="6"/>
  <c r="H201" i="6"/>
  <c r="J200" i="6"/>
  <c r="H200" i="6"/>
  <c r="J199" i="6"/>
  <c r="H199" i="6"/>
  <c r="J198" i="6"/>
  <c r="H198" i="6"/>
  <c r="J197" i="6"/>
  <c r="H197" i="6"/>
  <c r="I192" i="6"/>
  <c r="G192" i="6"/>
  <c r="I191" i="6"/>
  <c r="G191" i="6"/>
  <c r="I190" i="6"/>
  <c r="G190" i="6"/>
  <c r="I189" i="6"/>
  <c r="G189" i="6"/>
  <c r="N188" i="6"/>
  <c r="N193" i="6" s="1"/>
  <c r="I188" i="6"/>
  <c r="G188" i="6"/>
  <c r="N185" i="6"/>
  <c r="O184" i="6"/>
  <c r="Q184" i="6" s="1"/>
  <c r="O183" i="6"/>
  <c r="S183" i="6" s="1"/>
  <c r="O182" i="6"/>
  <c r="Q182" i="6" s="1"/>
  <c r="O181" i="6"/>
  <c r="S181" i="6" s="1"/>
  <c r="O180" i="6"/>
  <c r="Q180" i="6" s="1"/>
  <c r="N174" i="6"/>
  <c r="J173" i="6"/>
  <c r="H173" i="6"/>
  <c r="J172" i="6"/>
  <c r="H172" i="6"/>
  <c r="J171" i="6"/>
  <c r="H171" i="6"/>
  <c r="J170" i="6"/>
  <c r="H170" i="6"/>
  <c r="J169" i="6"/>
  <c r="H169" i="6"/>
  <c r="J168" i="6"/>
  <c r="H168" i="6"/>
  <c r="J167" i="6"/>
  <c r="H167" i="6"/>
  <c r="J166" i="6"/>
  <c r="H166" i="6"/>
  <c r="T162" i="6"/>
  <c r="R162" i="6"/>
  <c r="I161" i="6"/>
  <c r="G161" i="6"/>
  <c r="I160" i="6"/>
  <c r="G160" i="6"/>
  <c r="I159" i="6"/>
  <c r="G159" i="6"/>
  <c r="I158" i="6"/>
  <c r="G158" i="6"/>
  <c r="I157" i="6"/>
  <c r="G157" i="6"/>
  <c r="I156" i="6"/>
  <c r="G156" i="6"/>
  <c r="I155" i="6"/>
  <c r="G155" i="6"/>
  <c r="N154" i="6"/>
  <c r="N162" i="6" s="1"/>
  <c r="I154" i="6"/>
  <c r="G154" i="6"/>
  <c r="N151" i="6"/>
  <c r="H151" i="6"/>
  <c r="G151" i="6"/>
  <c r="O150" i="6"/>
  <c r="Q150" i="6" s="1"/>
  <c r="O149" i="6"/>
  <c r="S149" i="6" s="1"/>
  <c r="O148" i="6"/>
  <c r="Q148" i="6" s="1"/>
  <c r="O147" i="6"/>
  <c r="S147" i="6" s="1"/>
  <c r="O146" i="6"/>
  <c r="Q146" i="6" s="1"/>
  <c r="O145" i="6"/>
  <c r="S145" i="6" s="1"/>
  <c r="O144" i="6"/>
  <c r="Q144" i="6" s="1"/>
  <c r="J134" i="6"/>
  <c r="H134" i="6"/>
  <c r="J133" i="6"/>
  <c r="H133" i="6"/>
  <c r="J132" i="6"/>
  <c r="H132" i="6"/>
  <c r="J131" i="6"/>
  <c r="H131" i="6"/>
  <c r="I126" i="6"/>
  <c r="G126" i="6"/>
  <c r="I125" i="6"/>
  <c r="G125" i="6"/>
  <c r="I124" i="6"/>
  <c r="G124" i="6"/>
  <c r="I123" i="6"/>
  <c r="G123" i="6"/>
  <c r="H119" i="6"/>
  <c r="G119" i="6"/>
  <c r="Q118" i="6"/>
  <c r="Q117" i="6"/>
  <c r="O53" i="6"/>
  <c r="O157" i="6" l="1"/>
  <c r="O161" i="6"/>
  <c r="S161" i="6" s="1"/>
  <c r="O169" i="6"/>
  <c r="S169" i="6" s="1"/>
  <c r="O173" i="6"/>
  <c r="Q173" i="6" s="1"/>
  <c r="O133" i="6"/>
  <c r="P133" i="6"/>
  <c r="Q133" i="6" s="1"/>
  <c r="O124" i="6"/>
  <c r="P124" i="6" s="1"/>
  <c r="Q124" i="6" s="1"/>
  <c r="O132" i="6"/>
  <c r="P125" i="6"/>
  <c r="O154" i="6"/>
  <c r="P154" i="6" s="1"/>
  <c r="O168" i="6"/>
  <c r="S168" i="6" s="1"/>
  <c r="O198" i="6"/>
  <c r="S198" i="6" s="1"/>
  <c r="O197" i="6"/>
  <c r="P197" i="6" s="1"/>
  <c r="O201" i="6"/>
  <c r="Q201" i="6" s="1"/>
  <c r="O155" i="6"/>
  <c r="S155" i="6" s="1"/>
  <c r="O170" i="6"/>
  <c r="P170" i="6" s="1"/>
  <c r="O172" i="6"/>
  <c r="S172" i="6" s="1"/>
  <c r="O160" i="6"/>
  <c r="S160" i="6" s="1"/>
  <c r="O156" i="6"/>
  <c r="S156" i="6" s="1"/>
  <c r="O158" i="6"/>
  <c r="S158" i="6" s="1"/>
  <c r="O199" i="6"/>
  <c r="S199" i="6" s="1"/>
  <c r="O166" i="6"/>
  <c r="S166" i="6" s="1"/>
  <c r="O125" i="6"/>
  <c r="O191" i="6"/>
  <c r="S191" i="6" s="1"/>
  <c r="O189" i="6"/>
  <c r="P189" i="6" s="1"/>
  <c r="G193" i="6"/>
  <c r="O192" i="6"/>
  <c r="Q192" i="6" s="1"/>
  <c r="O190" i="6"/>
  <c r="Q190" i="6" s="1"/>
  <c r="O200" i="6"/>
  <c r="S200" i="6" s="1"/>
  <c r="S182" i="6"/>
  <c r="S184" i="6"/>
  <c r="S180" i="6"/>
  <c r="O159" i="6"/>
  <c r="P159" i="6" s="1"/>
  <c r="S144" i="6"/>
  <c r="O167" i="6"/>
  <c r="S167" i="6" s="1"/>
  <c r="O171" i="6"/>
  <c r="Q171" i="6" s="1"/>
  <c r="O151" i="6"/>
  <c r="O27" i="6" s="1"/>
  <c r="S148" i="6"/>
  <c r="H174" i="6"/>
  <c r="S150" i="6"/>
  <c r="S146" i="6"/>
  <c r="G127" i="6"/>
  <c r="O126" i="6"/>
  <c r="P126" i="6" s="1"/>
  <c r="Q126" i="6" s="1"/>
  <c r="H135" i="6"/>
  <c r="P157" i="6"/>
  <c r="S157" i="6"/>
  <c r="Q157" i="6"/>
  <c r="Q161" i="6"/>
  <c r="H202" i="6"/>
  <c r="O123" i="6"/>
  <c r="O134" i="6"/>
  <c r="P134" i="6" s="1"/>
  <c r="Q134" i="6" s="1"/>
  <c r="P143" i="6"/>
  <c r="P145" i="6"/>
  <c r="P147" i="6"/>
  <c r="P149" i="6"/>
  <c r="P181" i="6"/>
  <c r="P183" i="6"/>
  <c r="O185" i="6"/>
  <c r="O31" i="6" s="1"/>
  <c r="O131" i="6"/>
  <c r="Q143" i="6"/>
  <c r="Q145" i="6"/>
  <c r="Q147" i="6"/>
  <c r="Q149" i="6"/>
  <c r="Q152" i="6" s="1"/>
  <c r="G162" i="6"/>
  <c r="Q181" i="6"/>
  <c r="Q183" i="6"/>
  <c r="O188" i="6"/>
  <c r="S143" i="6"/>
  <c r="P144" i="6"/>
  <c r="P146" i="6"/>
  <c r="P148" i="6"/>
  <c r="P150" i="6"/>
  <c r="P180" i="6"/>
  <c r="P182" i="6"/>
  <c r="P184" i="6"/>
  <c r="O32" i="5"/>
  <c r="S173" i="6" l="1"/>
  <c r="P155" i="6"/>
  <c r="Q158" i="6"/>
  <c r="P169" i="6"/>
  <c r="P161" i="6"/>
  <c r="Q169" i="6"/>
  <c r="Q155" i="6"/>
  <c r="P158" i="6"/>
  <c r="P167" i="6"/>
  <c r="Q156" i="6"/>
  <c r="P156" i="6"/>
  <c r="P173" i="6"/>
  <c r="Q125" i="6"/>
  <c r="P132" i="6"/>
  <c r="Q132" i="6" s="1"/>
  <c r="Q151" i="6"/>
  <c r="Q27" i="6" s="1"/>
  <c r="P172" i="6"/>
  <c r="Q172" i="6"/>
  <c r="Q167" i="6"/>
  <c r="O52" i="6"/>
  <c r="S154" i="6"/>
  <c r="Q154" i="6"/>
  <c r="S201" i="6"/>
  <c r="P201" i="6"/>
  <c r="Q166" i="6"/>
  <c r="P166" i="6"/>
  <c r="P198" i="6"/>
  <c r="Q198" i="6"/>
  <c r="P168" i="6"/>
  <c r="S197" i="6"/>
  <c r="Q197" i="6"/>
  <c r="Q168" i="6"/>
  <c r="Q170" i="6"/>
  <c r="O174" i="6"/>
  <c r="J174" i="6" s="1"/>
  <c r="S171" i="6"/>
  <c r="S170" i="6"/>
  <c r="P171" i="6"/>
  <c r="P160" i="6"/>
  <c r="Q160" i="6"/>
  <c r="P191" i="6"/>
  <c r="Q191" i="6"/>
  <c r="P199" i="6"/>
  <c r="Q199" i="6"/>
  <c r="S192" i="6"/>
  <c r="Q189" i="6"/>
  <c r="S189" i="6"/>
  <c r="P192" i="6"/>
  <c r="S190" i="6"/>
  <c r="P190" i="6"/>
  <c r="O202" i="6"/>
  <c r="J202" i="6" s="1"/>
  <c r="Q200" i="6"/>
  <c r="P200" i="6"/>
  <c r="Q185" i="6"/>
  <c r="Q31" i="6" s="1"/>
  <c r="S185" i="6"/>
  <c r="S31" i="6" s="1"/>
  <c r="O162" i="6"/>
  <c r="I162" i="6" s="1"/>
  <c r="Q159" i="6"/>
  <c r="S159" i="6"/>
  <c r="S151" i="6"/>
  <c r="S27" i="6" s="1"/>
  <c r="S152" i="6"/>
  <c r="S188" i="6"/>
  <c r="O193" i="6"/>
  <c r="I193" i="6" s="1"/>
  <c r="Q188" i="6"/>
  <c r="P188" i="6"/>
  <c r="P185" i="6"/>
  <c r="P31" i="6" s="1"/>
  <c r="P151" i="6"/>
  <c r="Q141" i="6" s="1"/>
  <c r="O127" i="6"/>
  <c r="P123" i="6"/>
  <c r="P119" i="6"/>
  <c r="Q116" i="6"/>
  <c r="Q119" i="6" s="1"/>
  <c r="O135" i="6"/>
  <c r="O137" i="6" s="1"/>
  <c r="O139" i="6" s="1"/>
  <c r="P131" i="6"/>
  <c r="P56" i="5"/>
  <c r="P55" i="5"/>
  <c r="O26" i="5"/>
  <c r="AK62" i="5"/>
  <c r="AK70" i="5"/>
  <c r="AK71" i="5"/>
  <c r="P162" i="6" l="1"/>
  <c r="S202" i="6"/>
  <c r="S162" i="6"/>
  <c r="Q174" i="6"/>
  <c r="Q52" i="6"/>
  <c r="I127" i="6"/>
  <c r="P52" i="6"/>
  <c r="Q202" i="6"/>
  <c r="P174" i="6"/>
  <c r="S174" i="6"/>
  <c r="O163" i="6"/>
  <c r="O164" i="6" s="1"/>
  <c r="P202" i="6"/>
  <c r="Q162" i="6"/>
  <c r="Q193" i="6"/>
  <c r="P27" i="6"/>
  <c r="P120" i="6"/>
  <c r="P193" i="6"/>
  <c r="S193" i="6"/>
  <c r="P135" i="6"/>
  <c r="Q131" i="6"/>
  <c r="Q135" i="6" s="1"/>
  <c r="P127" i="6"/>
  <c r="Q123" i="6"/>
  <c r="Q127" i="6" s="1"/>
  <c r="J135" i="6"/>
  <c r="P51" i="5"/>
  <c r="Q51" i="5" s="1"/>
  <c r="P137" i="6" l="1"/>
  <c r="P139" i="6" s="1"/>
  <c r="Q137" i="6"/>
  <c r="Q139" i="6" s="1"/>
  <c r="O56" i="5"/>
  <c r="O55" i="5"/>
  <c r="O54" i="5"/>
  <c r="O53" i="5"/>
  <c r="P257" i="5"/>
  <c r="Q257" i="5" s="1"/>
  <c r="AK72" i="5"/>
  <c r="AK73" i="5" s="1"/>
  <c r="Q56" i="5" l="1"/>
  <c r="Q55" i="5"/>
  <c r="P54" i="5"/>
  <c r="Q54" i="5" s="1"/>
  <c r="O282" i="5" l="1"/>
  <c r="N341" i="5"/>
  <c r="J340" i="5"/>
  <c r="H340" i="5"/>
  <c r="J339" i="5"/>
  <c r="H339" i="5"/>
  <c r="J338" i="5"/>
  <c r="H338" i="5"/>
  <c r="J337" i="5"/>
  <c r="H337" i="5"/>
  <c r="J336" i="5"/>
  <c r="H336" i="5"/>
  <c r="I331" i="5"/>
  <c r="G331" i="5"/>
  <c r="I330" i="5"/>
  <c r="G330" i="5"/>
  <c r="I329" i="5"/>
  <c r="G329" i="5"/>
  <c r="I328" i="5"/>
  <c r="G328" i="5"/>
  <c r="N327" i="5"/>
  <c r="N332" i="5" s="1"/>
  <c r="I327" i="5"/>
  <c r="G327" i="5"/>
  <c r="N324" i="5"/>
  <c r="O323" i="5"/>
  <c r="S323" i="5" s="1"/>
  <c r="O322" i="5"/>
  <c r="S322" i="5" s="1"/>
  <c r="O321" i="5"/>
  <c r="S321" i="5" s="1"/>
  <c r="O320" i="5"/>
  <c r="S320" i="5" s="1"/>
  <c r="O319" i="5"/>
  <c r="S319" i="5" s="1"/>
  <c r="N313" i="5"/>
  <c r="J312" i="5"/>
  <c r="H312" i="5"/>
  <c r="J311" i="5"/>
  <c r="H311" i="5"/>
  <c r="J310" i="5"/>
  <c r="H310" i="5"/>
  <c r="J309" i="5"/>
  <c r="H309" i="5"/>
  <c r="J308" i="5"/>
  <c r="H308" i="5"/>
  <c r="J307" i="5"/>
  <c r="H307" i="5"/>
  <c r="J306" i="5"/>
  <c r="H306" i="5"/>
  <c r="J305" i="5"/>
  <c r="H305" i="5"/>
  <c r="T301" i="5"/>
  <c r="R301" i="5"/>
  <c r="I300" i="5"/>
  <c r="G300" i="5"/>
  <c r="I299" i="5"/>
  <c r="G299" i="5"/>
  <c r="I298" i="5"/>
  <c r="G298" i="5"/>
  <c r="I297" i="5"/>
  <c r="G297" i="5"/>
  <c r="I296" i="5"/>
  <c r="G296" i="5"/>
  <c r="I295" i="5"/>
  <c r="G295" i="5"/>
  <c r="I294" i="5"/>
  <c r="G294" i="5"/>
  <c r="N293" i="5"/>
  <c r="N301" i="5" s="1"/>
  <c r="I293" i="5"/>
  <c r="G293" i="5"/>
  <c r="N290" i="5"/>
  <c r="H290" i="5"/>
  <c r="G290" i="5"/>
  <c r="O289" i="5"/>
  <c r="S289" i="5" s="1"/>
  <c r="O288" i="5"/>
  <c r="S288" i="5" s="1"/>
  <c r="O287" i="5"/>
  <c r="S287" i="5" s="1"/>
  <c r="S291" i="5" s="1"/>
  <c r="O286" i="5"/>
  <c r="S286" i="5" s="1"/>
  <c r="O285" i="5"/>
  <c r="S285" i="5" s="1"/>
  <c r="O284" i="5"/>
  <c r="S284" i="5" s="1"/>
  <c r="O283" i="5"/>
  <c r="S283" i="5" s="1"/>
  <c r="J273" i="5"/>
  <c r="H273" i="5"/>
  <c r="J272" i="5"/>
  <c r="H272" i="5"/>
  <c r="O272" i="5" s="1"/>
  <c r="P272" i="5" s="1"/>
  <c r="Q272" i="5" s="1"/>
  <c r="J271" i="5"/>
  <c r="H271" i="5"/>
  <c r="O271" i="5" s="1"/>
  <c r="P271" i="5" s="1"/>
  <c r="Q271" i="5" s="1"/>
  <c r="J270" i="5"/>
  <c r="H270" i="5"/>
  <c r="I265" i="5"/>
  <c r="G265" i="5"/>
  <c r="I264" i="5"/>
  <c r="G264" i="5"/>
  <c r="O264" i="5" s="1"/>
  <c r="P264" i="5" s="1"/>
  <c r="Q264" i="5" s="1"/>
  <c r="I263" i="5"/>
  <c r="G263" i="5"/>
  <c r="O263" i="5" s="1"/>
  <c r="P263" i="5" s="1"/>
  <c r="Q263" i="5" s="1"/>
  <c r="I262" i="5"/>
  <c r="G262" i="5"/>
  <c r="H258" i="5"/>
  <c r="G258" i="5"/>
  <c r="O257" i="5"/>
  <c r="O256" i="5"/>
  <c r="P256" i="5" s="1"/>
  <c r="Q256" i="5" s="1"/>
  <c r="O255" i="5"/>
  <c r="P255" i="5" s="1"/>
  <c r="Q255" i="5" s="1"/>
  <c r="O254" i="5"/>
  <c r="A73" i="5"/>
  <c r="O295" i="5" l="1"/>
  <c r="S295" i="5" s="1"/>
  <c r="O262" i="5"/>
  <c r="P262" i="5" s="1"/>
  <c r="Q262" i="5" s="1"/>
  <c r="O270" i="5"/>
  <c r="P270" i="5" s="1"/>
  <c r="Q270" i="5" s="1"/>
  <c r="P254" i="5"/>
  <c r="O258" i="5"/>
  <c r="O52" i="5" s="1"/>
  <c r="O265" i="5"/>
  <c r="P265" i="5"/>
  <c r="Q265" i="5" s="1"/>
  <c r="H341" i="5"/>
  <c r="O312" i="5"/>
  <c r="S312" i="5" s="1"/>
  <c r="O273" i="5"/>
  <c r="P273" i="5"/>
  <c r="Q273" i="5" s="1"/>
  <c r="O299" i="5"/>
  <c r="S299" i="5" s="1"/>
  <c r="O310" i="5"/>
  <c r="Q310" i="5" s="1"/>
  <c r="O328" i="5"/>
  <c r="S328" i="5" s="1"/>
  <c r="O340" i="5"/>
  <c r="Q340" i="5" s="1"/>
  <c r="O307" i="5"/>
  <c r="S307" i="5" s="1"/>
  <c r="O297" i="5"/>
  <c r="P297" i="5" s="1"/>
  <c r="O338" i="5"/>
  <c r="S338" i="5" s="1"/>
  <c r="O305" i="5"/>
  <c r="P305" i="5" s="1"/>
  <c r="O309" i="5"/>
  <c r="P309" i="5" s="1"/>
  <c r="O331" i="5"/>
  <c r="P331" i="5" s="1"/>
  <c r="O339" i="5"/>
  <c r="Q339" i="5" s="1"/>
  <c r="O329" i="5"/>
  <c r="S329" i="5" s="1"/>
  <c r="O337" i="5"/>
  <c r="Q337" i="5" s="1"/>
  <c r="O298" i="5"/>
  <c r="S298" i="5" s="1"/>
  <c r="O306" i="5"/>
  <c r="Q306" i="5" s="1"/>
  <c r="O311" i="5"/>
  <c r="S311" i="5" s="1"/>
  <c r="P321" i="5"/>
  <c r="P322" i="5"/>
  <c r="P323" i="5"/>
  <c r="P319" i="5"/>
  <c r="O330" i="5"/>
  <c r="P330" i="5" s="1"/>
  <c r="O336" i="5"/>
  <c r="Q336" i="5" s="1"/>
  <c r="G332" i="5"/>
  <c r="O293" i="5"/>
  <c r="Q293" i="5" s="1"/>
  <c r="O296" i="5"/>
  <c r="P296" i="5" s="1"/>
  <c r="O308" i="5"/>
  <c r="S308" i="5" s="1"/>
  <c r="O294" i="5"/>
  <c r="S294" i="5" s="1"/>
  <c r="O300" i="5"/>
  <c r="Q300" i="5" s="1"/>
  <c r="O290" i="5"/>
  <c r="O27" i="5" s="1"/>
  <c r="P289" i="5"/>
  <c r="H274" i="5"/>
  <c r="G266" i="5"/>
  <c r="S324" i="5"/>
  <c r="S31" i="5" s="1"/>
  <c r="O327" i="5"/>
  <c r="P282" i="5"/>
  <c r="P288" i="5"/>
  <c r="P295" i="5"/>
  <c r="P320" i="5"/>
  <c r="O324" i="5"/>
  <c r="O31" i="5" s="1"/>
  <c r="P286" i="5"/>
  <c r="Q282" i="5"/>
  <c r="Q284" i="5"/>
  <c r="Q286" i="5"/>
  <c r="Q288" i="5"/>
  <c r="Q295" i="5"/>
  <c r="G301" i="5"/>
  <c r="Q320" i="5"/>
  <c r="Q322" i="5"/>
  <c r="P284" i="5"/>
  <c r="S282" i="5"/>
  <c r="S290" i="5" s="1"/>
  <c r="S27" i="5" s="1"/>
  <c r="P285" i="5"/>
  <c r="H313" i="5"/>
  <c r="P283" i="5"/>
  <c r="P287" i="5"/>
  <c r="Q283" i="5"/>
  <c r="Q285" i="5"/>
  <c r="Q287" i="5"/>
  <c r="Q289" i="5"/>
  <c r="Q319" i="5"/>
  <c r="Q321" i="5"/>
  <c r="Q323" i="5"/>
  <c r="Q291" i="5" l="1"/>
  <c r="S331" i="5"/>
  <c r="Q328" i="5"/>
  <c r="P328" i="5"/>
  <c r="Q309" i="5"/>
  <c r="S309" i="5"/>
  <c r="Q305" i="5"/>
  <c r="S305" i="5"/>
  <c r="S297" i="5"/>
  <c r="P308" i="5"/>
  <c r="Q308" i="5"/>
  <c r="P339" i="5"/>
  <c r="S339" i="5"/>
  <c r="P336" i="5"/>
  <c r="P312" i="5"/>
  <c r="P306" i="5"/>
  <c r="S306" i="5"/>
  <c r="P258" i="5"/>
  <c r="Q254" i="5"/>
  <c r="Q258" i="5" s="1"/>
  <c r="Q52" i="5" s="1"/>
  <c r="P290" i="5"/>
  <c r="Q312" i="5"/>
  <c r="Q290" i="5"/>
  <c r="Q27" i="5" s="1"/>
  <c r="P338" i="5"/>
  <c r="P299" i="5"/>
  <c r="Q297" i="5"/>
  <c r="Q338" i="5"/>
  <c r="Q341" i="5" s="1"/>
  <c r="Q311" i="5"/>
  <c r="S296" i="5"/>
  <c r="P311" i="5"/>
  <c r="O274" i="5"/>
  <c r="J274" i="5" s="1"/>
  <c r="P329" i="5"/>
  <c r="Q331" i="5"/>
  <c r="P307" i="5"/>
  <c r="Q307" i="5"/>
  <c r="Q299" i="5"/>
  <c r="O341" i="5"/>
  <c r="J341" i="5" s="1"/>
  <c r="S310" i="5"/>
  <c r="S340" i="5"/>
  <c r="P298" i="5"/>
  <c r="P310" i="5"/>
  <c r="P340" i="5"/>
  <c r="S337" i="5"/>
  <c r="Q330" i="5"/>
  <c r="S330" i="5"/>
  <c r="Q329" i="5"/>
  <c r="P337" i="5"/>
  <c r="S336" i="5"/>
  <c r="Q298" i="5"/>
  <c r="O266" i="5"/>
  <c r="I266" i="5" s="1"/>
  <c r="P324" i="5"/>
  <c r="P31" i="5" s="1"/>
  <c r="S293" i="5"/>
  <c r="P293" i="5"/>
  <c r="O313" i="5"/>
  <c r="J313" i="5" s="1"/>
  <c r="Q274" i="5"/>
  <c r="S300" i="5"/>
  <c r="Q296" i="5"/>
  <c r="P300" i="5"/>
  <c r="O301" i="5"/>
  <c r="P294" i="5"/>
  <c r="Q294" i="5"/>
  <c r="O332" i="5"/>
  <c r="I332" i="5" s="1"/>
  <c r="S327" i="5"/>
  <c r="Q327" i="5"/>
  <c r="P327" i="5"/>
  <c r="Q324" i="5"/>
  <c r="Q31" i="5" s="1"/>
  <c r="P266" i="5"/>
  <c r="Q266" i="5"/>
  <c r="Q280" i="5" l="1"/>
  <c r="P27" i="5"/>
  <c r="P332" i="5"/>
  <c r="S301" i="5"/>
  <c r="Q313" i="5"/>
  <c r="P313" i="5"/>
  <c r="S313" i="5"/>
  <c r="O302" i="5"/>
  <c r="O303" i="5" s="1"/>
  <c r="P259" i="5"/>
  <c r="P52" i="5"/>
  <c r="P341" i="5"/>
  <c r="Q332" i="5"/>
  <c r="Q301" i="5"/>
  <c r="S341" i="5"/>
  <c r="S332" i="5"/>
  <c r="O276" i="5"/>
  <c r="O278" i="5" s="1"/>
  <c r="I301" i="5"/>
  <c r="Q276" i="5"/>
  <c r="Q278" i="5" s="1"/>
  <c r="P301" i="5"/>
  <c r="P274" i="5"/>
  <c r="P276" i="5" s="1"/>
  <c r="P278" i="5" s="1"/>
  <c r="N42" i="13" l="1"/>
  <c r="G42" i="13" l="1"/>
  <c r="I42" i="13" l="1"/>
  <c r="O56" i="18" l="1"/>
  <c r="O55" i="18"/>
  <c r="O54" i="18"/>
  <c r="O53" i="18"/>
  <c r="Q53" i="18"/>
  <c r="Q55" i="18"/>
  <c r="Q56" i="18"/>
  <c r="O42" i="18"/>
  <c r="S42" i="18" s="1"/>
  <c r="Q42" i="18" l="1"/>
  <c r="P42" i="18"/>
  <c r="O32" i="18" l="1"/>
  <c r="Q32" i="18" s="1"/>
  <c r="O30" i="18"/>
  <c r="Q30" i="18" s="1"/>
  <c r="O29" i="18"/>
  <c r="O28" i="18"/>
  <c r="S28" i="18" s="1"/>
  <c r="O26" i="18"/>
  <c r="S26" i="18" s="1"/>
  <c r="O25" i="18"/>
  <c r="S25" i="18" s="1"/>
  <c r="O24" i="18"/>
  <c r="Q24" i="18" s="1"/>
  <c r="O23" i="18"/>
  <c r="Q23" i="18" s="1"/>
  <c r="Q29" i="18" l="1"/>
  <c r="P25" i="18"/>
  <c r="P29" i="18"/>
  <c r="S29" i="18"/>
  <c r="Q25" i="18"/>
  <c r="S30" i="18"/>
  <c r="P26" i="18"/>
  <c r="P30" i="18"/>
  <c r="S23" i="18"/>
  <c r="Q26" i="18"/>
  <c r="S24" i="18"/>
  <c r="S32" i="18"/>
  <c r="P23" i="18"/>
  <c r="P24" i="18"/>
  <c r="P28" i="18"/>
  <c r="P32" i="18"/>
  <c r="Q28" i="18"/>
  <c r="P56" i="13" l="1"/>
  <c r="P55" i="13"/>
  <c r="P54" i="13" l="1"/>
  <c r="O47" i="13" l="1"/>
  <c r="Q47" i="13"/>
  <c r="P47" i="13"/>
  <c r="S47" i="13" l="1"/>
  <c r="Q54" i="13" l="1"/>
  <c r="O54" i="13"/>
  <c r="O33" i="13" l="1"/>
  <c r="P33" i="13"/>
  <c r="Q33" i="13"/>
  <c r="S33" i="13" l="1"/>
  <c r="H31" i="13"/>
  <c r="N27" i="13"/>
  <c r="H27" i="13"/>
  <c r="J31" i="13" l="1"/>
  <c r="H52" i="13"/>
  <c r="G31" i="13"/>
  <c r="G52" i="13" l="1"/>
  <c r="O31" i="13"/>
  <c r="G27" i="13"/>
  <c r="O52" i="13"/>
  <c r="I52" i="13"/>
  <c r="S31" i="13"/>
  <c r="I31" i="13"/>
  <c r="Q31" i="13"/>
  <c r="P31" i="13"/>
  <c r="O27" i="13" l="1"/>
  <c r="J27" i="13"/>
  <c r="P52" i="13"/>
  <c r="S27" i="13"/>
  <c r="Q27" i="13"/>
  <c r="J52" i="13"/>
  <c r="P27" i="13" l="1"/>
  <c r="I27" i="13"/>
  <c r="Q52" i="13"/>
  <c r="O28" i="8"/>
  <c r="O29" i="8"/>
  <c r="P30" i="8"/>
  <c r="P26" i="5"/>
  <c r="O28" i="5"/>
  <c r="P28" i="5" s="1"/>
  <c r="O29" i="5"/>
  <c r="Q29" i="5" s="1"/>
  <c r="O30" i="5"/>
  <c r="P30" i="5" s="1"/>
  <c r="P32" i="5"/>
  <c r="P29" i="8" l="1"/>
  <c r="P28" i="8"/>
  <c r="Q26" i="5"/>
  <c r="S26" i="5"/>
  <c r="Q30" i="8"/>
  <c r="Q29" i="8"/>
  <c r="Q28" i="8"/>
  <c r="P29" i="5"/>
  <c r="S32" i="5"/>
  <c r="S28" i="5"/>
  <c r="Q28" i="5"/>
  <c r="S30" i="5"/>
  <c r="Q30" i="5"/>
  <c r="S29" i="5"/>
  <c r="Q32" i="5"/>
  <c r="H187" i="28" l="1"/>
  <c r="J453" i="28" l="1"/>
  <c r="J454" i="28"/>
  <c r="J455" i="28"/>
  <c r="J456" i="28"/>
  <c r="J457" i="28"/>
  <c r="J458" i="28"/>
  <c r="J452" i="28"/>
  <c r="H453" i="28"/>
  <c r="H454" i="28"/>
  <c r="H455" i="28"/>
  <c r="H456" i="28"/>
  <c r="H457" i="28"/>
  <c r="H458" i="28"/>
  <c r="O458" i="28" s="1"/>
  <c r="Q458" i="28" s="1"/>
  <c r="H452" i="28"/>
  <c r="H438" i="28"/>
  <c r="N513" i="28"/>
  <c r="H513" i="28"/>
  <c r="P512" i="28"/>
  <c r="O512" i="28"/>
  <c r="S512" i="28" s="1"/>
  <c r="O511" i="28"/>
  <c r="S511" i="28" s="1"/>
  <c r="O510" i="28"/>
  <c r="S510" i="28" s="1"/>
  <c r="Q509" i="28"/>
  <c r="O509" i="28"/>
  <c r="S509" i="28" s="1"/>
  <c r="O508" i="28"/>
  <c r="N504" i="28"/>
  <c r="I503" i="28"/>
  <c r="G503" i="28"/>
  <c r="I502" i="28"/>
  <c r="G502" i="28"/>
  <c r="I501" i="28"/>
  <c r="G501" i="28"/>
  <c r="O501" i="28" s="1"/>
  <c r="I500" i="28"/>
  <c r="G500" i="28"/>
  <c r="I499" i="28"/>
  <c r="G499" i="28"/>
  <c r="N496" i="28"/>
  <c r="G496" i="28"/>
  <c r="J495" i="28"/>
  <c r="H495" i="28"/>
  <c r="O495" i="28" s="1"/>
  <c r="Q495" i="28" s="1"/>
  <c r="J494" i="28"/>
  <c r="H494" i="28"/>
  <c r="J493" i="28"/>
  <c r="H493" i="28"/>
  <c r="J492" i="28"/>
  <c r="O492" i="28" s="1"/>
  <c r="S492" i="28" s="1"/>
  <c r="H492" i="28"/>
  <c r="J491" i="28"/>
  <c r="H491" i="28"/>
  <c r="O491" i="28" s="1"/>
  <c r="P484" i="28"/>
  <c r="Q484" i="28" s="1"/>
  <c r="O484" i="28"/>
  <c r="J483" i="28"/>
  <c r="H483" i="28"/>
  <c r="J482" i="28"/>
  <c r="O482" i="28" s="1"/>
  <c r="P482" i="28" s="1"/>
  <c r="Q482" i="28" s="1"/>
  <c r="H482" i="28"/>
  <c r="J481" i="28"/>
  <c r="H481" i="28"/>
  <c r="P481" i="28" s="1"/>
  <c r="Q481" i="28" s="1"/>
  <c r="P476" i="28"/>
  <c r="Q476" i="28" s="1"/>
  <c r="O476" i="28"/>
  <c r="O475" i="28"/>
  <c r="P475" i="28" s="1"/>
  <c r="Q475" i="28" s="1"/>
  <c r="I474" i="28"/>
  <c r="G474" i="28"/>
  <c r="O474" i="28" s="1"/>
  <c r="P474" i="28" s="1"/>
  <c r="Q474" i="28" s="1"/>
  <c r="I473" i="28"/>
  <c r="G473" i="28"/>
  <c r="G477" i="28" s="1"/>
  <c r="H468" i="28"/>
  <c r="G468" i="28"/>
  <c r="P467" i="28"/>
  <c r="Q467" i="28" s="1"/>
  <c r="O467" i="28"/>
  <c r="O466" i="28"/>
  <c r="P466" i="28" s="1"/>
  <c r="Q466" i="28" s="1"/>
  <c r="O465" i="28"/>
  <c r="P464" i="28"/>
  <c r="O464" i="28"/>
  <c r="N459" i="28"/>
  <c r="G459" i="28"/>
  <c r="O453" i="28"/>
  <c r="S453" i="28" s="1"/>
  <c r="O452" i="28"/>
  <c r="Q452" i="28" s="1"/>
  <c r="N448" i="28"/>
  <c r="I447" i="28"/>
  <c r="G447" i="28"/>
  <c r="I446" i="28"/>
  <c r="O446" i="28" s="1"/>
  <c r="P446" i="28" s="1"/>
  <c r="G446" i="28"/>
  <c r="I445" i="28"/>
  <c r="G445" i="28"/>
  <c r="I444" i="28"/>
  <c r="G444" i="28"/>
  <c r="I443" i="28"/>
  <c r="G443" i="28"/>
  <c r="I442" i="28"/>
  <c r="G442" i="28"/>
  <c r="I441" i="28"/>
  <c r="G441" i="28"/>
  <c r="N438" i="28"/>
  <c r="N28" i="28" s="1"/>
  <c r="N64" i="28" s="1"/>
  <c r="G438" i="28"/>
  <c r="O436" i="28"/>
  <c r="S436" i="28" s="1"/>
  <c r="O435" i="28"/>
  <c r="Q435" i="28" s="1"/>
  <c r="O434" i="28"/>
  <c r="S434" i="28" s="1"/>
  <c r="O433" i="28"/>
  <c r="Q433" i="28" s="1"/>
  <c r="O431" i="28"/>
  <c r="S431" i="28" s="1"/>
  <c r="J420" i="28"/>
  <c r="H420" i="28"/>
  <c r="O420" i="28" s="1"/>
  <c r="P420" i="28" s="1"/>
  <c r="Q420" i="28" s="1"/>
  <c r="J419" i="28"/>
  <c r="O419" i="28" s="1"/>
  <c r="P419" i="28" s="1"/>
  <c r="Q419" i="28" s="1"/>
  <c r="H419" i="28"/>
  <c r="P418" i="28"/>
  <c r="Q418" i="28" s="1"/>
  <c r="J418" i="28"/>
  <c r="H418" i="28"/>
  <c r="J417" i="28"/>
  <c r="H417" i="28"/>
  <c r="I412" i="28"/>
  <c r="G412" i="28"/>
  <c r="O412" i="28" s="1"/>
  <c r="P412" i="28" s="1"/>
  <c r="Q412" i="28" s="1"/>
  <c r="I411" i="28"/>
  <c r="G411" i="28"/>
  <c r="I410" i="28"/>
  <c r="G410" i="28"/>
  <c r="I409" i="28"/>
  <c r="G409" i="28"/>
  <c r="H405" i="28"/>
  <c r="G405" i="28"/>
  <c r="P404" i="28"/>
  <c r="Q404" i="28" s="1"/>
  <c r="S404" i="28" s="1"/>
  <c r="O404" i="28"/>
  <c r="O403" i="28"/>
  <c r="P403" i="28" s="1"/>
  <c r="Q403" i="28" s="1"/>
  <c r="P402" i="28"/>
  <c r="Q402" i="28" s="1"/>
  <c r="O402" i="28"/>
  <c r="O401" i="28"/>
  <c r="M314" i="28"/>
  <c r="M313" i="28"/>
  <c r="M312" i="28"/>
  <c r="M311" i="28"/>
  <c r="M310" i="28"/>
  <c r="M309" i="28"/>
  <c r="M308" i="28"/>
  <c r="M303" i="28"/>
  <c r="M302" i="28"/>
  <c r="M301" i="28"/>
  <c r="M300" i="28"/>
  <c r="M299" i="28"/>
  <c r="M298" i="28"/>
  <c r="N293" i="28"/>
  <c r="M293" i="28"/>
  <c r="L293" i="28"/>
  <c r="K293" i="28"/>
  <c r="J293" i="28"/>
  <c r="I293" i="28"/>
  <c r="G293" i="28"/>
  <c r="H292" i="28"/>
  <c r="H293" i="28" s="1"/>
  <c r="G292" i="28"/>
  <c r="F292" i="28"/>
  <c r="B292" i="28"/>
  <c r="O291" i="28"/>
  <c r="P291" i="28" s="1"/>
  <c r="Q291" i="28" s="1"/>
  <c r="N287" i="28"/>
  <c r="M287" i="28"/>
  <c r="L287" i="28"/>
  <c r="K287" i="28"/>
  <c r="J287" i="28"/>
  <c r="I287" i="28"/>
  <c r="H286" i="28"/>
  <c r="H287" i="28" s="1"/>
  <c r="G286" i="28"/>
  <c r="G287" i="28" s="1"/>
  <c r="F286" i="28"/>
  <c r="B286" i="28"/>
  <c r="O285" i="28"/>
  <c r="P285" i="28" s="1"/>
  <c r="Q285" i="28" s="1"/>
  <c r="N281" i="28"/>
  <c r="M281" i="28"/>
  <c r="L281" i="28"/>
  <c r="K281" i="28"/>
  <c r="J281" i="28"/>
  <c r="I281" i="28"/>
  <c r="G281" i="28"/>
  <c r="H280" i="28"/>
  <c r="H281" i="28" s="1"/>
  <c r="G280" i="28"/>
  <c r="F280" i="28"/>
  <c r="B280" i="28"/>
  <c r="O279" i="28"/>
  <c r="P279" i="28" s="1"/>
  <c r="N275" i="28"/>
  <c r="M275" i="28"/>
  <c r="L275" i="28"/>
  <c r="K275" i="28"/>
  <c r="J275" i="28"/>
  <c r="I275" i="28"/>
  <c r="H274" i="28"/>
  <c r="H275" i="28" s="1"/>
  <c r="G274" i="28"/>
  <c r="O274" i="28" s="1"/>
  <c r="O275" i="28" s="1"/>
  <c r="F274" i="28"/>
  <c r="B274" i="28"/>
  <c r="Q273" i="28"/>
  <c r="P273" i="28"/>
  <c r="O273" i="28"/>
  <c r="N269" i="28"/>
  <c r="M269" i="28"/>
  <c r="L269" i="28"/>
  <c r="K269" i="28"/>
  <c r="J269" i="28"/>
  <c r="I269" i="28"/>
  <c r="H268" i="28"/>
  <c r="H269" i="28" s="1"/>
  <c r="G268" i="28"/>
  <c r="G269" i="28" s="1"/>
  <c r="F268" i="28"/>
  <c r="B268" i="28"/>
  <c r="P267" i="28"/>
  <c r="Q267" i="28" s="1"/>
  <c r="O267" i="28"/>
  <c r="N263" i="28"/>
  <c r="M263" i="28"/>
  <c r="L263" i="28"/>
  <c r="K263" i="28"/>
  <c r="J263" i="28"/>
  <c r="I263" i="28"/>
  <c r="H262" i="28"/>
  <c r="H263" i="28" s="1"/>
  <c r="G262" i="28"/>
  <c r="G263" i="28" s="1"/>
  <c r="F262" i="28"/>
  <c r="B262" i="28"/>
  <c r="P261" i="28"/>
  <c r="Q261" i="28" s="1"/>
  <c r="O261" i="28"/>
  <c r="N257" i="28"/>
  <c r="M257" i="28"/>
  <c r="L257" i="28"/>
  <c r="K257" i="28"/>
  <c r="J257" i="28"/>
  <c r="I257" i="28"/>
  <c r="G257" i="28"/>
  <c r="H256" i="28"/>
  <c r="P256" i="28" s="1"/>
  <c r="F256" i="28"/>
  <c r="B256" i="28"/>
  <c r="P255" i="28"/>
  <c r="Q255" i="28" s="1"/>
  <c r="O255" i="28"/>
  <c r="N248" i="28"/>
  <c r="M248" i="28"/>
  <c r="L248" i="28"/>
  <c r="K248" i="28"/>
  <c r="J248" i="28"/>
  <c r="I248" i="28"/>
  <c r="H247" i="28"/>
  <c r="H248" i="28" s="1"/>
  <c r="G247" i="28"/>
  <c r="F247" i="28"/>
  <c r="B247" i="28"/>
  <c r="O246" i="28"/>
  <c r="S246" i="28" s="1"/>
  <c r="N242" i="28"/>
  <c r="M242" i="28"/>
  <c r="L242" i="28"/>
  <c r="K242" i="28"/>
  <c r="J242" i="28"/>
  <c r="I242" i="28"/>
  <c r="H241" i="28"/>
  <c r="H242" i="28" s="1"/>
  <c r="G241" i="28"/>
  <c r="G242" i="28" s="1"/>
  <c r="F241" i="28"/>
  <c r="B241" i="28"/>
  <c r="O240" i="28"/>
  <c r="S240" i="28" s="1"/>
  <c r="N236" i="28"/>
  <c r="M236" i="28"/>
  <c r="L236" i="28"/>
  <c r="K236" i="28"/>
  <c r="J236" i="28"/>
  <c r="I236" i="28"/>
  <c r="H235" i="28"/>
  <c r="H236" i="28" s="1"/>
  <c r="G235" i="28"/>
  <c r="F235" i="28"/>
  <c r="B235" i="28"/>
  <c r="O234" i="28"/>
  <c r="S234" i="28" s="1"/>
  <c r="N230" i="28"/>
  <c r="M230" i="28"/>
  <c r="L230" i="28"/>
  <c r="K230" i="28"/>
  <c r="J230" i="28"/>
  <c r="I230" i="28"/>
  <c r="H230" i="28"/>
  <c r="H229" i="28"/>
  <c r="G229" i="28"/>
  <c r="F229" i="28"/>
  <c r="B229" i="28"/>
  <c r="O228" i="28"/>
  <c r="S228" i="28" s="1"/>
  <c r="N224" i="28"/>
  <c r="M224" i="28"/>
  <c r="L224" i="28"/>
  <c r="K224" i="28"/>
  <c r="J224" i="28"/>
  <c r="I224" i="28"/>
  <c r="H223" i="28"/>
  <c r="H224" i="28" s="1"/>
  <c r="G223" i="28"/>
  <c r="F223" i="28"/>
  <c r="B223" i="28"/>
  <c r="O222" i="28"/>
  <c r="N218" i="28"/>
  <c r="M218" i="28"/>
  <c r="L218" i="28"/>
  <c r="K218" i="28"/>
  <c r="J218" i="28"/>
  <c r="I218" i="28"/>
  <c r="H217" i="28"/>
  <c r="H218" i="28" s="1"/>
  <c r="G217" i="28"/>
  <c r="F217" i="28"/>
  <c r="B217" i="28"/>
  <c r="O216" i="28"/>
  <c r="S216" i="28" s="1"/>
  <c r="N212" i="28"/>
  <c r="M212" i="28"/>
  <c r="L212" i="28"/>
  <c r="K212" i="28"/>
  <c r="J212" i="28"/>
  <c r="I212" i="28"/>
  <c r="H211" i="28"/>
  <c r="H212" i="28" s="1"/>
  <c r="G211" i="28"/>
  <c r="F211" i="28"/>
  <c r="B211" i="28"/>
  <c r="O210" i="28"/>
  <c r="N206" i="28"/>
  <c r="M206" i="28"/>
  <c r="L206" i="28"/>
  <c r="K206" i="28"/>
  <c r="J206" i="28"/>
  <c r="I206" i="28"/>
  <c r="H205" i="28"/>
  <c r="H206" i="28" s="1"/>
  <c r="G205" i="28"/>
  <c r="F205" i="28"/>
  <c r="B205" i="28"/>
  <c r="O204" i="28"/>
  <c r="S204" i="28" s="1"/>
  <c r="N200" i="28"/>
  <c r="M200" i="28"/>
  <c r="L200" i="28"/>
  <c r="K200" i="28"/>
  <c r="J200" i="28"/>
  <c r="I200" i="28"/>
  <c r="H199" i="28"/>
  <c r="H200" i="28" s="1"/>
  <c r="G199" i="28"/>
  <c r="F199" i="28"/>
  <c r="B199" i="28"/>
  <c r="O198" i="28"/>
  <c r="P198" i="28" s="1"/>
  <c r="N194" i="28"/>
  <c r="M194" i="28"/>
  <c r="L194" i="28"/>
  <c r="K194" i="28"/>
  <c r="J194" i="28"/>
  <c r="I194" i="28"/>
  <c r="H193" i="28"/>
  <c r="H194" i="28" s="1"/>
  <c r="G193" i="28"/>
  <c r="F193" i="28"/>
  <c r="B193" i="28"/>
  <c r="O192" i="28"/>
  <c r="S192" i="28" s="1"/>
  <c r="N188" i="28"/>
  <c r="M188" i="28"/>
  <c r="L188" i="28"/>
  <c r="K188" i="28"/>
  <c r="J188" i="28"/>
  <c r="I188" i="28"/>
  <c r="H188" i="28"/>
  <c r="G187" i="28"/>
  <c r="F187" i="28"/>
  <c r="B187" i="28"/>
  <c r="O186" i="28"/>
  <c r="P186" i="28" s="1"/>
  <c r="N182" i="28"/>
  <c r="M182" i="28"/>
  <c r="L182" i="28"/>
  <c r="K182" i="28"/>
  <c r="J182" i="28"/>
  <c r="I182" i="28"/>
  <c r="H181" i="28"/>
  <c r="H182" i="28" s="1"/>
  <c r="G181" i="28"/>
  <c r="F181" i="28"/>
  <c r="B181" i="28"/>
  <c r="O180" i="28"/>
  <c r="S180" i="28" s="1"/>
  <c r="N176" i="28"/>
  <c r="M176" i="28"/>
  <c r="L176" i="28"/>
  <c r="K176" i="28"/>
  <c r="J176" i="28"/>
  <c r="I176" i="28"/>
  <c r="H175" i="28"/>
  <c r="H176" i="28" s="1"/>
  <c r="G175" i="28"/>
  <c r="F175" i="28"/>
  <c r="B175" i="28"/>
  <c r="O174" i="28"/>
  <c r="N170" i="28"/>
  <c r="M170" i="28"/>
  <c r="L170" i="28"/>
  <c r="K170" i="28"/>
  <c r="J170" i="28"/>
  <c r="I170" i="28"/>
  <c r="H169" i="28"/>
  <c r="H170" i="28" s="1"/>
  <c r="G169" i="28"/>
  <c r="F169" i="28"/>
  <c r="B169" i="28"/>
  <c r="O168" i="28"/>
  <c r="S168" i="28" s="1"/>
  <c r="N164" i="28"/>
  <c r="M164" i="28"/>
  <c r="L164" i="28"/>
  <c r="K164" i="28"/>
  <c r="J164" i="28"/>
  <c r="I164" i="28"/>
  <c r="H163" i="28"/>
  <c r="H164" i="28" s="1"/>
  <c r="G163" i="28"/>
  <c r="F163" i="28"/>
  <c r="B163" i="28"/>
  <c r="O162" i="28"/>
  <c r="N158" i="28"/>
  <c r="M158" i="28"/>
  <c r="L158" i="28"/>
  <c r="K158" i="28"/>
  <c r="J158" i="28"/>
  <c r="I158" i="28"/>
  <c r="H157" i="28"/>
  <c r="H158" i="28" s="1"/>
  <c r="G157" i="28"/>
  <c r="F157" i="28"/>
  <c r="B157" i="28"/>
  <c r="O156" i="28"/>
  <c r="S156" i="28" s="1"/>
  <c r="N152" i="28"/>
  <c r="M152" i="28"/>
  <c r="L152" i="28"/>
  <c r="K152" i="28"/>
  <c r="J152" i="28"/>
  <c r="I152" i="28"/>
  <c r="H151" i="28"/>
  <c r="H152" i="28" s="1"/>
  <c r="G151" i="28"/>
  <c r="F151" i="28"/>
  <c r="B151" i="28"/>
  <c r="O150" i="28"/>
  <c r="P150" i="28" s="1"/>
  <c r="N146" i="28"/>
  <c r="M146" i="28"/>
  <c r="L146" i="28"/>
  <c r="K146" i="28"/>
  <c r="J146" i="28"/>
  <c r="I146" i="28"/>
  <c r="H145" i="28"/>
  <c r="H146" i="28" s="1"/>
  <c r="G145" i="28"/>
  <c r="F145" i="28"/>
  <c r="B145" i="28"/>
  <c r="P144" i="28"/>
  <c r="O144" i="28"/>
  <c r="N140" i="28"/>
  <c r="M140" i="28"/>
  <c r="L140" i="28"/>
  <c r="K140" i="28"/>
  <c r="J140" i="28"/>
  <c r="I140" i="28"/>
  <c r="H139" i="28"/>
  <c r="H140" i="28" s="1"/>
  <c r="G139" i="28"/>
  <c r="F139" i="28"/>
  <c r="B139" i="28"/>
  <c r="O138" i="28"/>
  <c r="N134" i="28"/>
  <c r="M134" i="28"/>
  <c r="L134" i="28"/>
  <c r="K134" i="28"/>
  <c r="J134" i="28"/>
  <c r="I134" i="28"/>
  <c r="H133" i="28"/>
  <c r="H134" i="28" s="1"/>
  <c r="G133" i="28"/>
  <c r="F133" i="28"/>
  <c r="B133" i="28"/>
  <c r="O132" i="28"/>
  <c r="Q132" i="28" s="1"/>
  <c r="N125" i="28"/>
  <c r="M125" i="28"/>
  <c r="L125" i="28"/>
  <c r="K125" i="28"/>
  <c r="J125" i="28"/>
  <c r="I125" i="28"/>
  <c r="H124" i="28"/>
  <c r="P124" i="28" s="1"/>
  <c r="Q124" i="28" s="1"/>
  <c r="G124" i="28"/>
  <c r="G125" i="28" s="1"/>
  <c r="F124" i="28"/>
  <c r="B124" i="28"/>
  <c r="P123" i="28"/>
  <c r="Q123" i="28" s="1"/>
  <c r="O123" i="28"/>
  <c r="N119" i="28"/>
  <c r="M119" i="28"/>
  <c r="L119" i="28"/>
  <c r="K119" i="28"/>
  <c r="J119" i="28"/>
  <c r="I119" i="28"/>
  <c r="H118" i="28"/>
  <c r="H119" i="28" s="1"/>
  <c r="G118" i="28"/>
  <c r="G119" i="28" s="1"/>
  <c r="F118" i="28"/>
  <c r="B118" i="28"/>
  <c r="O117" i="28"/>
  <c r="P117" i="28" s="1"/>
  <c r="Q117" i="28" s="1"/>
  <c r="N113" i="28"/>
  <c r="M113" i="28"/>
  <c r="L113" i="28"/>
  <c r="K113" i="28"/>
  <c r="J113" i="28"/>
  <c r="I113" i="28"/>
  <c r="H112" i="28"/>
  <c r="H113" i="28" s="1"/>
  <c r="G112" i="28"/>
  <c r="F112" i="28"/>
  <c r="B112" i="28"/>
  <c r="O111" i="28"/>
  <c r="P111" i="28" s="1"/>
  <c r="Q111" i="28" s="1"/>
  <c r="N107" i="28"/>
  <c r="M107" i="28"/>
  <c r="L107" i="28"/>
  <c r="K107" i="28"/>
  <c r="J107" i="28"/>
  <c r="I107" i="28"/>
  <c r="H106" i="28"/>
  <c r="H107" i="28" s="1"/>
  <c r="G106" i="28"/>
  <c r="F106" i="28"/>
  <c r="B106" i="28"/>
  <c r="P105" i="28"/>
  <c r="Q105" i="28" s="1"/>
  <c r="O105" i="28"/>
  <c r="N101" i="28"/>
  <c r="M101" i="28"/>
  <c r="L101" i="28"/>
  <c r="K101" i="28"/>
  <c r="J101" i="28"/>
  <c r="I101" i="28"/>
  <c r="H100" i="28"/>
  <c r="H101" i="28" s="1"/>
  <c r="G100" i="28"/>
  <c r="G101" i="28" s="1"/>
  <c r="F100" i="28"/>
  <c r="B100" i="28"/>
  <c r="O99" i="28"/>
  <c r="P99" i="28" s="1"/>
  <c r="Q99" i="28" s="1"/>
  <c r="N95" i="28"/>
  <c r="M95" i="28"/>
  <c r="L95" i="28"/>
  <c r="K95" i="28"/>
  <c r="J95" i="28"/>
  <c r="I95" i="28"/>
  <c r="H94" i="28"/>
  <c r="H95" i="28" s="1"/>
  <c r="G94" i="28"/>
  <c r="G95" i="28" s="1"/>
  <c r="F94" i="28"/>
  <c r="B94" i="28"/>
  <c r="P93" i="28"/>
  <c r="Q93" i="28" s="1"/>
  <c r="O93" i="28"/>
  <c r="N89" i="28"/>
  <c r="M89" i="28"/>
  <c r="L89" i="28"/>
  <c r="K89" i="28"/>
  <c r="J89" i="28"/>
  <c r="I89" i="28"/>
  <c r="H88" i="28"/>
  <c r="H89" i="28" s="1"/>
  <c r="G88" i="28"/>
  <c r="F88" i="28"/>
  <c r="B88" i="28"/>
  <c r="P87" i="28"/>
  <c r="Q87" i="28" s="1"/>
  <c r="O87" i="28"/>
  <c r="N83" i="28"/>
  <c r="M83" i="28"/>
  <c r="L83" i="28"/>
  <c r="K83" i="28"/>
  <c r="J83" i="28"/>
  <c r="I83" i="28"/>
  <c r="H82" i="28"/>
  <c r="H83" i="28" s="1"/>
  <c r="G82" i="28"/>
  <c r="F82" i="28"/>
  <c r="B82" i="28"/>
  <c r="P81" i="28"/>
  <c r="Q81" i="28" s="1"/>
  <c r="O81" i="28"/>
  <c r="A77" i="28"/>
  <c r="AK76" i="28"/>
  <c r="O76" i="28"/>
  <c r="AK74" i="28"/>
  <c r="H73" i="28"/>
  <c r="H72" i="28"/>
  <c r="M71" i="28"/>
  <c r="N70" i="28"/>
  <c r="M70" i="28"/>
  <c r="N69" i="28"/>
  <c r="M69" i="28"/>
  <c r="H69" i="28"/>
  <c r="N68" i="28"/>
  <c r="H68" i="28"/>
  <c r="M64" i="28"/>
  <c r="AK75" i="28"/>
  <c r="H63" i="28"/>
  <c r="H64" i="28" s="1"/>
  <c r="G63" i="28"/>
  <c r="G64" i="28" s="1"/>
  <c r="C63" i="28"/>
  <c r="C62" i="28"/>
  <c r="AC61" i="28"/>
  <c r="AA61" i="28"/>
  <c r="AD61" i="28" s="1"/>
  <c r="W61" i="28"/>
  <c r="U61" i="28"/>
  <c r="V61" i="28" s="1"/>
  <c r="AA60" i="28"/>
  <c r="X60" i="28"/>
  <c r="W60" i="28"/>
  <c r="U60" i="28"/>
  <c r="Y60" i="28" s="1"/>
  <c r="P60" i="28"/>
  <c r="Q60" i="28" s="1"/>
  <c r="O60" i="28"/>
  <c r="AC59" i="28"/>
  <c r="AA59" i="28"/>
  <c r="AF59" i="28" s="1"/>
  <c r="U59" i="28"/>
  <c r="V59" i="28" s="1"/>
  <c r="P59" i="28"/>
  <c r="Q59" i="28" s="1"/>
  <c r="O59" i="28"/>
  <c r="AA58" i="28"/>
  <c r="AB58" i="28" s="1"/>
  <c r="AD58" i="28" s="1"/>
  <c r="W58" i="28"/>
  <c r="U58" i="28"/>
  <c r="Z58" i="28" s="1"/>
  <c r="P58" i="28"/>
  <c r="Q58" i="28" s="1"/>
  <c r="O58" i="28"/>
  <c r="J64" i="28" s="1"/>
  <c r="AF57" i="28"/>
  <c r="AC57" i="28"/>
  <c r="AA57" i="28"/>
  <c r="AD57" i="28" s="1"/>
  <c r="U57" i="28"/>
  <c r="P57" i="28"/>
  <c r="Q57" i="28" s="1"/>
  <c r="O57" i="28"/>
  <c r="Z56" i="28"/>
  <c r="W56" i="28"/>
  <c r="V56" i="28"/>
  <c r="U56" i="28"/>
  <c r="X56" i="28" s="1"/>
  <c r="AD55" i="28"/>
  <c r="AC55" i="28"/>
  <c r="AA55" i="28"/>
  <c r="AF55" i="28" s="1"/>
  <c r="U55" i="28"/>
  <c r="P55" i="28"/>
  <c r="Q55" i="28" s="1"/>
  <c r="Z55" i="28" s="1"/>
  <c r="Y55" i="28" s="1"/>
  <c r="O55" i="28"/>
  <c r="C53" i="28"/>
  <c r="C52" i="28"/>
  <c r="AC51" i="28"/>
  <c r="AB51" i="28"/>
  <c r="AA51" i="28"/>
  <c r="AF51" i="28" s="1"/>
  <c r="W51" i="28"/>
  <c r="U51" i="28"/>
  <c r="X51" i="28" s="1"/>
  <c r="AC50" i="28"/>
  <c r="AA50" i="28"/>
  <c r="AF50" i="28" s="1"/>
  <c r="U50" i="28"/>
  <c r="Y50" i="28" s="1"/>
  <c r="O50" i="28"/>
  <c r="S50" i="28" s="1"/>
  <c r="AC49" i="28"/>
  <c r="AA49" i="28"/>
  <c r="AB49" i="28" s="1"/>
  <c r="U49" i="28"/>
  <c r="O49" i="28"/>
  <c r="S49" i="28" s="1"/>
  <c r="AE48" i="28"/>
  <c r="AC48" i="28"/>
  <c r="AA48" i="28"/>
  <c r="AB48" i="28" s="1"/>
  <c r="U48" i="28"/>
  <c r="X48" i="28" s="1"/>
  <c r="O48" i="28"/>
  <c r="S48" i="28" s="1"/>
  <c r="AE47" i="28"/>
  <c r="AC47" i="28"/>
  <c r="AA47" i="28"/>
  <c r="AD47" i="28" s="1"/>
  <c r="U47" i="28"/>
  <c r="Y47" i="28" s="1"/>
  <c r="O47" i="28"/>
  <c r="Q47" i="28" s="1"/>
  <c r="AC46" i="28"/>
  <c r="AA46" i="28"/>
  <c r="AF46" i="28" s="1"/>
  <c r="U46" i="28"/>
  <c r="O46" i="28"/>
  <c r="Q46" i="28" s="1"/>
  <c r="AA45" i="28"/>
  <c r="X45" i="28"/>
  <c r="W45" i="28"/>
  <c r="U45" i="28"/>
  <c r="Z45" i="28" s="1"/>
  <c r="O45" i="28"/>
  <c r="Q45" i="28" s="1"/>
  <c r="AC44" i="28"/>
  <c r="AA44" i="28"/>
  <c r="X44" i="28"/>
  <c r="V44" i="28"/>
  <c r="U44" i="28"/>
  <c r="Y44" i="28" s="1"/>
  <c r="O44" i="28"/>
  <c r="Q44" i="28" s="1"/>
  <c r="AE43" i="28"/>
  <c r="AC43" i="28"/>
  <c r="AB43" i="28"/>
  <c r="AA43" i="28"/>
  <c r="AD43" i="28" s="1"/>
  <c r="U43" i="28"/>
  <c r="Y43" i="28" s="1"/>
  <c r="O43" i="28"/>
  <c r="Q43" i="28" s="1"/>
  <c r="C41" i="28"/>
  <c r="S40" i="28"/>
  <c r="S41" i="28" s="1"/>
  <c r="C40" i="28"/>
  <c r="AE39" i="28"/>
  <c r="AC39" i="28"/>
  <c r="AA39" i="28"/>
  <c r="AF39" i="28" s="1"/>
  <c r="W39" i="28"/>
  <c r="U39" i="28"/>
  <c r="Y39" i="28" s="1"/>
  <c r="AC38" i="28"/>
  <c r="AC40" i="28" s="1"/>
  <c r="AA38" i="28"/>
  <c r="AB38" i="28" s="1"/>
  <c r="U38" i="28"/>
  <c r="U40" i="28" s="1"/>
  <c r="O38" i="28"/>
  <c r="O40" i="28" s="1"/>
  <c r="C36" i="28"/>
  <c r="C35" i="28"/>
  <c r="AC34" i="28"/>
  <c r="AA34" i="28"/>
  <c r="AF34" i="28" s="1"/>
  <c r="W34" i="28"/>
  <c r="U34" i="28"/>
  <c r="Z34" i="28" s="1"/>
  <c r="O33" i="28"/>
  <c r="S33" i="28" s="1"/>
  <c r="H32" i="28"/>
  <c r="O31" i="28"/>
  <c r="P31" i="28" s="1"/>
  <c r="O30" i="28"/>
  <c r="S30" i="28" s="1"/>
  <c r="AC29" i="28"/>
  <c r="AA29" i="28"/>
  <c r="AE29" i="28" s="1"/>
  <c r="U29" i="28"/>
  <c r="O29" i="28"/>
  <c r="Q29" i="28" s="1"/>
  <c r="W28" i="28"/>
  <c r="U28" i="28"/>
  <c r="V28" i="28" s="1"/>
  <c r="AE27" i="28"/>
  <c r="AC27" i="28"/>
  <c r="AA27" i="28"/>
  <c r="AB27" i="28" s="1"/>
  <c r="U27" i="28"/>
  <c r="O27" i="28"/>
  <c r="Q27" i="28" s="1"/>
  <c r="AE26" i="28"/>
  <c r="AC26" i="28"/>
  <c r="AA26" i="28"/>
  <c r="AD26" i="28" s="1"/>
  <c r="U26" i="28"/>
  <c r="V26" i="28" s="1"/>
  <c r="X26" i="28" s="1"/>
  <c r="O26" i="28"/>
  <c r="Q26" i="28" s="1"/>
  <c r="AA25" i="28"/>
  <c r="X25" i="28"/>
  <c r="W25" i="28"/>
  <c r="U25" i="28"/>
  <c r="Z25" i="28" s="1"/>
  <c r="S25" i="28"/>
  <c r="O25" i="28"/>
  <c r="Q25" i="28" s="1"/>
  <c r="AD24" i="28"/>
  <c r="AC24" i="28"/>
  <c r="AA24" i="28"/>
  <c r="AF24" i="28" s="1"/>
  <c r="U24" i="28"/>
  <c r="O24" i="28"/>
  <c r="Q24" i="28" s="1"/>
  <c r="AD23" i="28"/>
  <c r="AC23" i="28"/>
  <c r="AA23" i="28"/>
  <c r="AF23" i="28" s="1"/>
  <c r="U23" i="28"/>
  <c r="O23" i="28"/>
  <c r="Q23" i="28" s="1"/>
  <c r="O22" i="28"/>
  <c r="Q22" i="28" s="1"/>
  <c r="AF21" i="28"/>
  <c r="AC21" i="28"/>
  <c r="AA21" i="28"/>
  <c r="AE21" i="28" s="1"/>
  <c r="U21" i="28"/>
  <c r="O21" i="28"/>
  <c r="Q21" i="28" s="1"/>
  <c r="AA20" i="28"/>
  <c r="Z20" i="28"/>
  <c r="W20" i="28"/>
  <c r="U20" i="28"/>
  <c r="V20" i="28" s="1"/>
  <c r="O20" i="28"/>
  <c r="Q20" i="28" s="1"/>
  <c r="AC19" i="28"/>
  <c r="AB19" i="28"/>
  <c r="AA19" i="28"/>
  <c r="AE19" i="28" s="1"/>
  <c r="U19" i="28"/>
  <c r="O19" i="28"/>
  <c r="Q19" i="28" s="1"/>
  <c r="AC18" i="28"/>
  <c r="AA18" i="28"/>
  <c r="AE18" i="28" s="1"/>
  <c r="U18" i="28"/>
  <c r="O18" i="28"/>
  <c r="Q18" i="28" s="1"/>
  <c r="AC17" i="28"/>
  <c r="AA17" i="28"/>
  <c r="AE17" i="28" s="1"/>
  <c r="U17" i="28"/>
  <c r="O17" i="28"/>
  <c r="Q17" i="28" s="1"/>
  <c r="AC16" i="28"/>
  <c r="AA16" i="28"/>
  <c r="AE16" i="28" s="1"/>
  <c r="U16" i="28"/>
  <c r="O16" i="28"/>
  <c r="Q16" i="28" s="1"/>
  <c r="AA15" i="28"/>
  <c r="W15" i="28"/>
  <c r="U15" i="28"/>
  <c r="V15" i="28" s="1"/>
  <c r="O15" i="28"/>
  <c r="Q15" i="28" s="1"/>
  <c r="AF14" i="28"/>
  <c r="AC14" i="28"/>
  <c r="AB14" i="28"/>
  <c r="AA14" i="28"/>
  <c r="AE14" i="28" s="1"/>
  <c r="U14" i="28"/>
  <c r="O14" i="28"/>
  <c r="S14" i="28" s="1"/>
  <c r="AA13" i="28"/>
  <c r="W13" i="28"/>
  <c r="U13" i="28"/>
  <c r="V13" i="28" s="1"/>
  <c r="O13" i="28"/>
  <c r="AC12" i="28"/>
  <c r="AA12" i="28"/>
  <c r="AE12" i="28" s="1"/>
  <c r="U12" i="28"/>
  <c r="O12" i="28"/>
  <c r="P12" i="28" s="1"/>
  <c r="AA11" i="28"/>
  <c r="Y11" i="28"/>
  <c r="W11" i="28"/>
  <c r="U11" i="28"/>
  <c r="V11" i="28" s="1"/>
  <c r="O11" i="28"/>
  <c r="P11" i="28" s="1"/>
  <c r="AC10" i="28"/>
  <c r="AA10" i="28"/>
  <c r="AE10" i="28" s="1"/>
  <c r="U10" i="28"/>
  <c r="O10" i="28"/>
  <c r="A5" i="28"/>
  <c r="A4" i="28"/>
  <c r="W1" i="28"/>
  <c r="AC58" i="28" s="1"/>
  <c r="AB13" i="28" l="1"/>
  <c r="AB21" i="28"/>
  <c r="AB23" i="28"/>
  <c r="AB24" i="28"/>
  <c r="V25" i="28"/>
  <c r="AB26" i="28"/>
  <c r="AB39" i="28"/>
  <c r="AB40" i="28" s="1"/>
  <c r="X43" i="28"/>
  <c r="AB47" i="28"/>
  <c r="AB57" i="28"/>
  <c r="AE61" i="28"/>
  <c r="G504" i="28"/>
  <c r="G32" i="28" s="1"/>
  <c r="O457" i="28"/>
  <c r="S457" i="28" s="1"/>
  <c r="AA52" i="28"/>
  <c r="O124" i="28"/>
  <c r="O125" i="28" s="1"/>
  <c r="O309" i="28" s="1"/>
  <c r="S132" i="28"/>
  <c r="O503" i="28"/>
  <c r="O456" i="28"/>
  <c r="Q456" i="28" s="1"/>
  <c r="AE24" i="28"/>
  <c r="O443" i="28"/>
  <c r="O500" i="28"/>
  <c r="Q512" i="28"/>
  <c r="AC11" i="28"/>
  <c r="AC20" i="28"/>
  <c r="AC25" i="28"/>
  <c r="AD38" i="28"/>
  <c r="Z51" i="28"/>
  <c r="P274" i="28"/>
  <c r="P275" i="28" s="1"/>
  <c r="H421" i="28"/>
  <c r="H56" i="28" s="1"/>
  <c r="O481" i="28"/>
  <c r="AE23" i="28"/>
  <c r="V29" i="28"/>
  <c r="X29" i="28" s="1"/>
  <c r="V45" i="28"/>
  <c r="Y48" i="28"/>
  <c r="AE49" i="28"/>
  <c r="AD59" i="28"/>
  <c r="G275" i="28"/>
  <c r="O444" i="28"/>
  <c r="P15" i="28"/>
  <c r="AF15" i="28" s="1"/>
  <c r="Y25" i="28"/>
  <c r="O118" i="28"/>
  <c r="O119" i="28" s="1"/>
  <c r="AC15" i="28"/>
  <c r="V23" i="28"/>
  <c r="X23" i="28" s="1"/>
  <c r="O268" i="28"/>
  <c r="O269" i="28" s="1"/>
  <c r="O292" i="28"/>
  <c r="S403" i="28"/>
  <c r="P410" i="28"/>
  <c r="Q410" i="28" s="1"/>
  <c r="O445" i="28"/>
  <c r="P445" i="28" s="1"/>
  <c r="P88" i="28"/>
  <c r="P89" i="28" s="1"/>
  <c r="O502" i="28"/>
  <c r="Q502" i="28" s="1"/>
  <c r="S444" i="28"/>
  <c r="Q444" i="28"/>
  <c r="P444" i="28"/>
  <c r="AB10" i="28"/>
  <c r="Z11" i="28"/>
  <c r="P13" i="28"/>
  <c r="AF13" i="28" s="1"/>
  <c r="AE13" i="28" s="1"/>
  <c r="S15" i="28"/>
  <c r="W16" i="28"/>
  <c r="AB17" i="28"/>
  <c r="AF18" i="28"/>
  <c r="S26" i="28"/>
  <c r="AF26" i="28"/>
  <c r="AD27" i="28"/>
  <c r="W29" i="28"/>
  <c r="V39" i="28"/>
  <c r="AF43" i="28"/>
  <c r="AB44" i="28"/>
  <c r="AB46" i="28"/>
  <c r="V47" i="28"/>
  <c r="AF47" i="28"/>
  <c r="AD48" i="28"/>
  <c r="AD49" i="28"/>
  <c r="AB50" i="28"/>
  <c r="V58" i="28"/>
  <c r="AF61" i="28"/>
  <c r="Q88" i="28"/>
  <c r="Q89" i="28" s="1"/>
  <c r="P268" i="28"/>
  <c r="P269" i="28" s="1"/>
  <c r="Q274" i="28"/>
  <c r="Q275" i="28" s="1"/>
  <c r="O494" i="28"/>
  <c r="Q494" i="28" s="1"/>
  <c r="O513" i="28"/>
  <c r="J513" i="28" s="1"/>
  <c r="J32" i="28" s="1"/>
  <c r="O32" i="28" s="1"/>
  <c r="P510" i="28"/>
  <c r="W14" i="28"/>
  <c r="X47" i="28"/>
  <c r="X61" i="28"/>
  <c r="O499" i="28"/>
  <c r="P508" i="28"/>
  <c r="Q510" i="28"/>
  <c r="AF10" i="28"/>
  <c r="AB16" i="28"/>
  <c r="AF17" i="28"/>
  <c r="W19" i="28"/>
  <c r="X20" i="28"/>
  <c r="S27" i="28"/>
  <c r="AF27" i="28"/>
  <c r="Z39" i="28"/>
  <c r="S44" i="28"/>
  <c r="AD44" i="28"/>
  <c r="Y45" i="28"/>
  <c r="AD46" i="28"/>
  <c r="AF48" i="28"/>
  <c r="AF49" i="28"/>
  <c r="AD50" i="28"/>
  <c r="AB55" i="28"/>
  <c r="X58" i="28"/>
  <c r="AB59" i="28"/>
  <c r="V60" i="28"/>
  <c r="Y61" i="28"/>
  <c r="O409" i="28"/>
  <c r="P409" i="28" s="1"/>
  <c r="O442" i="28"/>
  <c r="O447" i="28"/>
  <c r="Q508" i="28"/>
  <c r="W21" i="28"/>
  <c r="AF11" i="28"/>
  <c r="AE11" i="28" s="1"/>
  <c r="AJ11" i="28"/>
  <c r="Z12" i="28"/>
  <c r="Y12" i="28" s="1"/>
  <c r="X13" i="28"/>
  <c r="X15" i="28"/>
  <c r="AA40" i="28"/>
  <c r="AE40" i="28" s="1"/>
  <c r="AE44" i="28"/>
  <c r="AE46" i="28"/>
  <c r="AE50" i="28"/>
  <c r="Y56" i="28"/>
  <c r="AE57" i="28"/>
  <c r="Y58" i="28"/>
  <c r="Z61" i="28"/>
  <c r="Q125" i="28"/>
  <c r="Q309" i="28" s="1"/>
  <c r="P495" i="28"/>
  <c r="S508" i="28"/>
  <c r="S513" i="28" s="1"/>
  <c r="W12" i="28"/>
  <c r="Y13" i="28"/>
  <c r="Z15" i="28"/>
  <c r="AF16" i="28"/>
  <c r="W18" i="28"/>
  <c r="V27" i="28"/>
  <c r="X27" i="28" s="1"/>
  <c r="AF44" i="28"/>
  <c r="P118" i="28"/>
  <c r="Q118" i="28" s="1"/>
  <c r="Q119" i="28" s="1"/>
  <c r="P192" i="28"/>
  <c r="P204" i="28"/>
  <c r="Q279" i="28"/>
  <c r="P473" i="28"/>
  <c r="Q473" i="28" s="1"/>
  <c r="P511" i="28"/>
  <c r="Z13" i="28"/>
  <c r="Q31" i="28"/>
  <c r="S46" i="28"/>
  <c r="X50" i="28"/>
  <c r="AE55" i="28"/>
  <c r="AE59" i="28"/>
  <c r="Z60" i="28"/>
  <c r="AB61" i="28"/>
  <c r="O94" i="28"/>
  <c r="O95" i="28" s="1"/>
  <c r="O100" i="28"/>
  <c r="P132" i="28"/>
  <c r="S279" i="28"/>
  <c r="O410" i="28"/>
  <c r="O493" i="28"/>
  <c r="H496" i="28"/>
  <c r="P509" i="28"/>
  <c r="Q511" i="28"/>
  <c r="AC13" i="28"/>
  <c r="W10" i="28"/>
  <c r="X11" i="28"/>
  <c r="W17" i="28"/>
  <c r="AB18" i="28"/>
  <c r="AF19" i="28"/>
  <c r="AE34" i="28"/>
  <c r="AF38" i="28"/>
  <c r="AF40" i="28" s="1"/>
  <c r="AD39" i="28"/>
  <c r="S47" i="28"/>
  <c r="AF58" i="28"/>
  <c r="P94" i="28"/>
  <c r="Q94" i="28" s="1"/>
  <c r="Q95" i="28" s="1"/>
  <c r="O411" i="28"/>
  <c r="P411" i="28" s="1"/>
  <c r="Q411" i="28" s="1"/>
  <c r="AK66" i="28"/>
  <c r="P246" i="28"/>
  <c r="P240" i="28"/>
  <c r="Q240" i="28"/>
  <c r="Q228" i="28"/>
  <c r="P228" i="28"/>
  <c r="Q216" i="28"/>
  <c r="P216" i="28"/>
  <c r="P180" i="28"/>
  <c r="P168" i="28"/>
  <c r="P156" i="28"/>
  <c r="S458" i="28"/>
  <c r="S456" i="28"/>
  <c r="S452" i="28"/>
  <c r="P453" i="28"/>
  <c r="P457" i="28"/>
  <c r="Q453" i="28"/>
  <c r="Q457" i="28"/>
  <c r="P452" i="28"/>
  <c r="P456" i="28"/>
  <c r="P458" i="28"/>
  <c r="O437" i="28"/>
  <c r="Q437" i="28" s="1"/>
  <c r="P433" i="28"/>
  <c r="Z28" i="28"/>
  <c r="S433" i="28"/>
  <c r="O454" i="28"/>
  <c r="Y28" i="28"/>
  <c r="P435" i="28"/>
  <c r="P434" i="28"/>
  <c r="P436" i="28"/>
  <c r="Q434" i="28"/>
  <c r="Q436" i="28"/>
  <c r="X28" i="28"/>
  <c r="P14" i="28"/>
  <c r="Z14" i="28" s="1"/>
  <c r="Y14" i="28" s="1"/>
  <c r="S24" i="28"/>
  <c r="AF12" i="28"/>
  <c r="AB15" i="28"/>
  <c r="S23" i="28"/>
  <c r="S31" i="28"/>
  <c r="V50" i="28"/>
  <c r="P16" i="28"/>
  <c r="Z16" i="28" s="1"/>
  <c r="Y16" i="28" s="1"/>
  <c r="P17" i="28"/>
  <c r="Z17" i="28" s="1"/>
  <c r="Y17" i="28" s="1"/>
  <c r="P18" i="28"/>
  <c r="Z18" i="28" s="1"/>
  <c r="P19" i="28"/>
  <c r="Z19" i="28" s="1"/>
  <c r="P20" i="28"/>
  <c r="AF20" i="28" s="1"/>
  <c r="AB25" i="28"/>
  <c r="AD25" i="28" s="1"/>
  <c r="S43" i="28"/>
  <c r="S45" i="28"/>
  <c r="AE20" i="28"/>
  <c r="V24" i="28"/>
  <c r="X24" i="28" s="1"/>
  <c r="V48" i="28"/>
  <c r="AB20" i="28"/>
  <c r="S17" i="28"/>
  <c r="S20" i="28"/>
  <c r="AB12" i="28"/>
  <c r="P21" i="28"/>
  <c r="Z21" i="28" s="1"/>
  <c r="Y21" i="28" s="1"/>
  <c r="P22" i="28"/>
  <c r="V43" i="28"/>
  <c r="AB45" i="28"/>
  <c r="AD45" i="28" s="1"/>
  <c r="S16" i="28"/>
  <c r="S18" i="28"/>
  <c r="S19" i="28"/>
  <c r="S21" i="28"/>
  <c r="S22" i="28"/>
  <c r="V46" i="28"/>
  <c r="X46" i="28" s="1"/>
  <c r="V49" i="28"/>
  <c r="X49" i="28" s="1"/>
  <c r="AF60" i="28"/>
  <c r="AE15" i="28"/>
  <c r="Y15" i="28"/>
  <c r="Y18" i="28"/>
  <c r="Y19" i="28"/>
  <c r="Y20" i="28"/>
  <c r="AF29" i="28"/>
  <c r="AB34" i="28"/>
  <c r="W38" i="28"/>
  <c r="W40" i="28" s="1"/>
  <c r="AE38" i="28"/>
  <c r="AC45" i="28"/>
  <c r="AC52" i="28" s="1"/>
  <c r="Y51" i="28"/>
  <c r="O52" i="28"/>
  <c r="W55" i="28"/>
  <c r="I64" i="28"/>
  <c r="K64" i="28" s="1"/>
  <c r="AK77" i="28"/>
  <c r="G89" i="28"/>
  <c r="O88" i="28"/>
  <c r="O89" i="28" s="1"/>
  <c r="O310" i="28" s="1"/>
  <c r="S144" i="28"/>
  <c r="Q144" i="28"/>
  <c r="S150" i="28"/>
  <c r="Q150" i="28"/>
  <c r="G176" i="28"/>
  <c r="O175" i="28"/>
  <c r="S198" i="28"/>
  <c r="Q198" i="28"/>
  <c r="P443" i="28"/>
  <c r="S443" i="28"/>
  <c r="Q443" i="28"/>
  <c r="S493" i="28"/>
  <c r="Q493" i="28"/>
  <c r="P493" i="28"/>
  <c r="P82" i="28"/>
  <c r="O82" i="28"/>
  <c r="O83" i="28" s="1"/>
  <c r="O308" i="28" s="1"/>
  <c r="S138" i="28"/>
  <c r="Q138" i="28"/>
  <c r="G170" i="28"/>
  <c r="O169" i="28"/>
  <c r="G224" i="28"/>
  <c r="O223" i="28"/>
  <c r="G230" i="28"/>
  <c r="O229" i="28"/>
  <c r="Q10" i="28"/>
  <c r="Q11" i="28"/>
  <c r="Q12" i="28"/>
  <c r="Q13" i="28"/>
  <c r="Q14" i="28"/>
  <c r="W23" i="28"/>
  <c r="W24" i="28"/>
  <c r="W26" i="28"/>
  <c r="W27" i="28"/>
  <c r="P29" i="28"/>
  <c r="Z29" i="28" s="1"/>
  <c r="Y29" i="28" s="1"/>
  <c r="P30" i="28"/>
  <c r="P33" i="28"/>
  <c r="V34" i="28"/>
  <c r="AD34" i="28"/>
  <c r="U35" i="28"/>
  <c r="W43" i="28"/>
  <c r="W44" i="28"/>
  <c r="W46" i="28"/>
  <c r="W47" i="28"/>
  <c r="W48" i="28"/>
  <c r="W49" i="28"/>
  <c r="W50" i="28"/>
  <c r="P95" i="28"/>
  <c r="P310" i="28" s="1"/>
  <c r="O112" i="28"/>
  <c r="G113" i="28"/>
  <c r="P138" i="28"/>
  <c r="G164" i="28"/>
  <c r="O163" i="28"/>
  <c r="S186" i="28"/>
  <c r="Q186" i="28"/>
  <c r="G212" i="28"/>
  <c r="O211" i="28"/>
  <c r="G218" i="28"/>
  <c r="O217" i="28"/>
  <c r="P501" i="28"/>
  <c r="S501" i="28"/>
  <c r="Q501" i="28"/>
  <c r="S13" i="28"/>
  <c r="Z57" i="28"/>
  <c r="Y57" i="28" s="1"/>
  <c r="V57" i="28"/>
  <c r="X57" i="28" s="1"/>
  <c r="O106" i="28"/>
  <c r="G158" i="28"/>
  <c r="O157" i="28"/>
  <c r="G206" i="28"/>
  <c r="O205" i="28"/>
  <c r="G248" i="28"/>
  <c r="O247" i="28"/>
  <c r="O455" i="28"/>
  <c r="H459" i="28"/>
  <c r="H28" i="28" s="1"/>
  <c r="P10" i="28"/>
  <c r="S10" i="28"/>
  <c r="S11" i="28"/>
  <c r="S12" i="28"/>
  <c r="AE58" i="28"/>
  <c r="S29" i="28"/>
  <c r="AD40" i="28"/>
  <c r="U52" i="28"/>
  <c r="W57" i="28"/>
  <c r="G83" i="28"/>
  <c r="G146" i="28"/>
  <c r="O145" i="28"/>
  <c r="G152" i="28"/>
  <c r="O151" i="28"/>
  <c r="S174" i="28"/>
  <c r="Q174" i="28"/>
  <c r="G200" i="28"/>
  <c r="O199" i="28"/>
  <c r="Q464" i="28"/>
  <c r="AB11" i="28"/>
  <c r="AD11" i="28" s="1"/>
  <c r="Q30" i="28"/>
  <c r="Q33" i="28"/>
  <c r="X59" i="28"/>
  <c r="AB29" i="28"/>
  <c r="X34" i="28"/>
  <c r="P38" i="28"/>
  <c r="V10" i="28"/>
  <c r="AD10" i="28"/>
  <c r="V12" i="28"/>
  <c r="X12" i="28" s="1"/>
  <c r="AD12" i="28"/>
  <c r="AD13" i="28"/>
  <c r="V14" i="28"/>
  <c r="X14" i="28" s="1"/>
  <c r="AD14" i="28"/>
  <c r="AD15" i="28"/>
  <c r="V16" i="28"/>
  <c r="X16" i="28" s="1"/>
  <c r="AD16" i="28"/>
  <c r="V17" i="28"/>
  <c r="X17" i="28" s="1"/>
  <c r="AD17" i="28"/>
  <c r="V18" i="28"/>
  <c r="X18" i="28" s="1"/>
  <c r="AD18" i="28"/>
  <c r="V19" i="28"/>
  <c r="X19" i="28" s="1"/>
  <c r="AD19" i="28"/>
  <c r="AD20" i="28"/>
  <c r="V21" i="28"/>
  <c r="X21" i="28" s="1"/>
  <c r="AD21" i="28"/>
  <c r="P23" i="28"/>
  <c r="Z23" i="28" s="1"/>
  <c r="Y23" i="28" s="1"/>
  <c r="P24" i="28"/>
  <c r="Z24" i="28" s="1"/>
  <c r="Y24" i="28" s="1"/>
  <c r="P25" i="28"/>
  <c r="AF25" i="28" s="1"/>
  <c r="AE25" i="28" s="1"/>
  <c r="P26" i="28"/>
  <c r="Z26" i="28" s="1"/>
  <c r="Y26" i="28" s="1"/>
  <c r="P27" i="28"/>
  <c r="Z27" i="28" s="1"/>
  <c r="Y27" i="28" s="1"/>
  <c r="Y34" i="28"/>
  <c r="Q38" i="28"/>
  <c r="Q40" i="28" s="1"/>
  <c r="Q41" i="28" s="1"/>
  <c r="X39" i="28"/>
  <c r="P43" i="28"/>
  <c r="P44" i="28"/>
  <c r="Z44" i="28" s="1"/>
  <c r="P45" i="28"/>
  <c r="AF45" i="28" s="1"/>
  <c r="AE45" i="28" s="1"/>
  <c r="P46" i="28"/>
  <c r="Z46" i="28" s="1"/>
  <c r="Y46" i="28" s="1"/>
  <c r="P47" i="28"/>
  <c r="Z47" i="28" s="1"/>
  <c r="P48" i="28"/>
  <c r="P49" i="28"/>
  <c r="AJ49" i="28" s="1"/>
  <c r="P50" i="28"/>
  <c r="V51" i="28"/>
  <c r="AD51" i="28"/>
  <c r="W59" i="28"/>
  <c r="AC60" i="28"/>
  <c r="AB60" i="28"/>
  <c r="AD60" i="28" s="1"/>
  <c r="G134" i="28"/>
  <c r="O133" i="28"/>
  <c r="G140" i="28"/>
  <c r="O139" i="28"/>
  <c r="P174" i="28"/>
  <c r="G194" i="28"/>
  <c r="O193" i="28"/>
  <c r="S222" i="28"/>
  <c r="Q222" i="28"/>
  <c r="S442" i="28"/>
  <c r="Q442" i="28"/>
  <c r="P442" i="28"/>
  <c r="P447" i="28"/>
  <c r="S447" i="28"/>
  <c r="Q447" i="28"/>
  <c r="Q477" i="28"/>
  <c r="AD29" i="28"/>
  <c r="AE51" i="28"/>
  <c r="U62" i="28"/>
  <c r="G107" i="28"/>
  <c r="H125" i="28"/>
  <c r="P125" i="28"/>
  <c r="P309" i="28" s="1"/>
  <c r="S162" i="28"/>
  <c r="Q162" i="28"/>
  <c r="G188" i="28"/>
  <c r="O187" i="28"/>
  <c r="S210" i="28"/>
  <c r="Q210" i="28"/>
  <c r="P222" i="28"/>
  <c r="Q409" i="28"/>
  <c r="Q413" i="28" s="1"/>
  <c r="P413" i="28"/>
  <c r="P477" i="28"/>
  <c r="H485" i="28"/>
  <c r="O483" i="28"/>
  <c r="P483" i="28" s="1"/>
  <c r="Q483" i="28" s="1"/>
  <c r="Q485" i="28" s="1"/>
  <c r="V38" i="28"/>
  <c r="V55" i="28"/>
  <c r="Z59" i="28"/>
  <c r="Y59" i="28" s="1"/>
  <c r="AE60" i="28"/>
  <c r="P162" i="28"/>
  <c r="G182" i="28"/>
  <c r="O181" i="28"/>
  <c r="P210" i="28"/>
  <c r="G236" i="28"/>
  <c r="O235" i="28"/>
  <c r="Q256" i="28"/>
  <c r="Q257" i="28" s="1"/>
  <c r="P257" i="28"/>
  <c r="O293" i="28"/>
  <c r="P292" i="28"/>
  <c r="O413" i="28"/>
  <c r="S437" i="28"/>
  <c r="S440" i="28" s="1"/>
  <c r="Q156" i="28"/>
  <c r="Q168" i="28"/>
  <c r="Q180" i="28"/>
  <c r="Q192" i="28"/>
  <c r="Q204" i="28"/>
  <c r="H257" i="28"/>
  <c r="Q491" i="28"/>
  <c r="O496" i="28"/>
  <c r="S499" i="28"/>
  <c r="Q499" i="28"/>
  <c r="P499" i="28"/>
  <c r="O504" i="28"/>
  <c r="I504" i="28" s="1"/>
  <c r="O417" i="28"/>
  <c r="O468" i="28"/>
  <c r="P465" i="28"/>
  <c r="Q465" i="28" s="1"/>
  <c r="S495" i="28"/>
  <c r="S502" i="28"/>
  <c r="P502" i="28"/>
  <c r="Q431" i="28"/>
  <c r="P431" i="28"/>
  <c r="Q445" i="28"/>
  <c r="P491" i="28"/>
  <c r="P234" i="28"/>
  <c r="S491" i="28"/>
  <c r="S500" i="28"/>
  <c r="P500" i="28"/>
  <c r="Q234" i="28"/>
  <c r="Q246" i="28"/>
  <c r="O256" i="28"/>
  <c r="O257" i="28" s="1"/>
  <c r="Q268" i="28"/>
  <c r="Q269" i="28" s="1"/>
  <c r="O286" i="28"/>
  <c r="O418" i="28"/>
  <c r="O432" i="28"/>
  <c r="O438" i="28" s="1"/>
  <c r="O28" i="28" s="1"/>
  <c r="S435" i="28"/>
  <c r="P494" i="28"/>
  <c r="Q500" i="28"/>
  <c r="O241" i="28"/>
  <c r="O405" i="28"/>
  <c r="O56" i="28" s="1"/>
  <c r="Q492" i="28"/>
  <c r="P492" i="28"/>
  <c r="S494" i="28"/>
  <c r="P262" i="28"/>
  <c r="O262" i="28"/>
  <c r="O263" i="28" s="1"/>
  <c r="O280" i="28"/>
  <c r="G413" i="28"/>
  <c r="G56" i="28" s="1"/>
  <c r="AA56" i="28" s="1"/>
  <c r="G448" i="28"/>
  <c r="G28" i="28" s="1"/>
  <c r="O441" i="28"/>
  <c r="S446" i="28"/>
  <c r="Q446" i="28"/>
  <c r="S503" i="28"/>
  <c r="Q503" i="28"/>
  <c r="P503" i="28"/>
  <c r="O473" i="28"/>
  <c r="O477" i="28" s="1"/>
  <c r="I477" i="28" s="1"/>
  <c r="P401" i="28"/>
  <c r="Q439" i="28" l="1"/>
  <c r="S445" i="28"/>
  <c r="V52" i="28"/>
  <c r="O459" i="28"/>
  <c r="AB52" i="28"/>
  <c r="AD52" i="28" s="1"/>
  <c r="V62" i="28"/>
  <c r="P119" i="28"/>
  <c r="S52" i="28"/>
  <c r="S53" i="28" s="1"/>
  <c r="Q513" i="28"/>
  <c r="P100" i="28"/>
  <c r="O101" i="28"/>
  <c r="P513" i="28"/>
  <c r="Q496" i="28"/>
  <c r="Q310" i="28"/>
  <c r="Q468" i="28"/>
  <c r="W35" i="28"/>
  <c r="W64" i="28" s="1"/>
  <c r="AA28" i="28"/>
  <c r="AA35" i="28" s="1"/>
  <c r="P454" i="28"/>
  <c r="S454" i="28"/>
  <c r="Q454" i="28"/>
  <c r="P437" i="28"/>
  <c r="J459" i="28"/>
  <c r="J28" i="28" s="1"/>
  <c r="Z62" i="28"/>
  <c r="Y62" i="28" s="1"/>
  <c r="Q50" i="28"/>
  <c r="Z50" i="28"/>
  <c r="O242" i="28"/>
  <c r="S241" i="28"/>
  <c r="S242" i="28" s="1"/>
  <c r="P241" i="28"/>
  <c r="P242" i="28" s="1"/>
  <c r="Q241" i="28"/>
  <c r="Q242" i="28" s="1"/>
  <c r="O314" i="28"/>
  <c r="S504" i="28"/>
  <c r="P52" i="28"/>
  <c r="O158" i="28"/>
  <c r="S157" i="28"/>
  <c r="S158" i="28" s="1"/>
  <c r="P157" i="28"/>
  <c r="P158" i="28" s="1"/>
  <c r="Q157" i="28"/>
  <c r="Q158" i="28" s="1"/>
  <c r="S439" i="28"/>
  <c r="P83" i="28"/>
  <c r="P308" i="28" s="1"/>
  <c r="Q82" i="28"/>
  <c r="Q83" i="28" s="1"/>
  <c r="Q308" i="28" s="1"/>
  <c r="Z43" i="28"/>
  <c r="Z10" i="28"/>
  <c r="O218" i="28"/>
  <c r="S217" i="28"/>
  <c r="S218" i="28" s="1"/>
  <c r="P217" i="28"/>
  <c r="P218" i="28" s="1"/>
  <c r="Q217" i="28"/>
  <c r="Q218" i="28" s="1"/>
  <c r="O224" i="28"/>
  <c r="S223" i="28"/>
  <c r="S224" i="28" s="1"/>
  <c r="Q223" i="28"/>
  <c r="Q224" i="28" s="1"/>
  <c r="P223" i="28"/>
  <c r="P224" i="28" s="1"/>
  <c r="O176" i="28"/>
  <c r="S175" i="28"/>
  <c r="S176" i="28" s="1"/>
  <c r="Q175" i="28"/>
  <c r="Q176" i="28" s="1"/>
  <c r="P175" i="28"/>
  <c r="P176" i="28" s="1"/>
  <c r="P496" i="28"/>
  <c r="O236" i="28"/>
  <c r="S235" i="28"/>
  <c r="S236" i="28" s="1"/>
  <c r="Q235" i="28"/>
  <c r="Q236" i="28" s="1"/>
  <c r="P235" i="28"/>
  <c r="P236" i="28" s="1"/>
  <c r="X62" i="28"/>
  <c r="O194" i="28"/>
  <c r="S193" i="28"/>
  <c r="S194" i="28" s="1"/>
  <c r="P193" i="28"/>
  <c r="P194" i="28" s="1"/>
  <c r="Q193" i="28"/>
  <c r="Q194" i="28" s="1"/>
  <c r="Q49" i="28"/>
  <c r="Z49" i="28"/>
  <c r="Y49" i="28" s="1"/>
  <c r="O152" i="28"/>
  <c r="S151" i="28"/>
  <c r="S152" i="28" s="1"/>
  <c r="Q151" i="28"/>
  <c r="Q152" i="28" s="1"/>
  <c r="P151" i="28"/>
  <c r="P152" i="28" s="1"/>
  <c r="AF52" i="28"/>
  <c r="AE52" i="28" s="1"/>
  <c r="Q48" i="28"/>
  <c r="Z48" i="28"/>
  <c r="S455" i="28"/>
  <c r="Q455" i="28"/>
  <c r="P455" i="28"/>
  <c r="P106" i="28"/>
  <c r="O107" i="28"/>
  <c r="O212" i="28"/>
  <c r="S211" i="28"/>
  <c r="S212" i="28" s="1"/>
  <c r="Q211" i="28"/>
  <c r="Q212" i="28" s="1"/>
  <c r="P211" i="28"/>
  <c r="P212" i="28" s="1"/>
  <c r="O113" i="28"/>
  <c r="O312" i="28" s="1"/>
  <c r="P112" i="28"/>
  <c r="O170" i="28"/>
  <c r="S169" i="28"/>
  <c r="S170" i="28" s="1"/>
  <c r="P169" i="28"/>
  <c r="P170" i="28" s="1"/>
  <c r="Q169" i="28"/>
  <c r="Q170" i="28" s="1"/>
  <c r="W62" i="28"/>
  <c r="X52" i="28"/>
  <c r="Q32" i="28"/>
  <c r="P32" i="28"/>
  <c r="S32" i="28"/>
  <c r="P263" i="28"/>
  <c r="P314" i="28" s="1"/>
  <c r="Q262" i="28"/>
  <c r="Q263" i="28" s="1"/>
  <c r="Q314" i="28" s="1"/>
  <c r="P441" i="28"/>
  <c r="P448" i="28" s="1"/>
  <c r="O448" i="28"/>
  <c r="O449" i="28" s="1"/>
  <c r="S441" i="28"/>
  <c r="S448" i="28" s="1"/>
  <c r="Q441" i="28"/>
  <c r="Q448" i="28" s="1"/>
  <c r="X10" i="28"/>
  <c r="V35" i="28"/>
  <c r="O248" i="28"/>
  <c r="S247" i="28"/>
  <c r="S248" i="28" s="1"/>
  <c r="Q247" i="28"/>
  <c r="Q248" i="28" s="1"/>
  <c r="P247" i="28"/>
  <c r="P248" i="28" s="1"/>
  <c r="Q401" i="28"/>
  <c r="P405" i="28"/>
  <c r="AC28" i="28"/>
  <c r="AC35" i="28" s="1"/>
  <c r="AB28" i="28"/>
  <c r="AB35" i="28" s="1"/>
  <c r="S496" i="28"/>
  <c r="I413" i="28"/>
  <c r="O182" i="28"/>
  <c r="S181" i="28"/>
  <c r="S182" i="28" s="1"/>
  <c r="P181" i="28"/>
  <c r="P182" i="28" s="1"/>
  <c r="Q181" i="28"/>
  <c r="Q182" i="28" s="1"/>
  <c r="X55" i="28"/>
  <c r="O140" i="28"/>
  <c r="O299" i="28" s="1"/>
  <c r="S139" i="28"/>
  <c r="S140" i="28" s="1"/>
  <c r="S299" i="28" s="1"/>
  <c r="P139" i="28"/>
  <c r="P140" i="28" s="1"/>
  <c r="P299" i="28" s="1"/>
  <c r="Q139" i="28"/>
  <c r="Q140" i="28" s="1"/>
  <c r="Q299" i="28" s="1"/>
  <c r="Z38" i="28"/>
  <c r="P40" i="28"/>
  <c r="P468" i="28"/>
  <c r="P469" i="28" s="1"/>
  <c r="W52" i="28"/>
  <c r="O485" i="28"/>
  <c r="J485" i="28" s="1"/>
  <c r="P286" i="28"/>
  <c r="O287" i="28"/>
  <c r="O313" i="28" s="1"/>
  <c r="Q440" i="28"/>
  <c r="P504" i="28"/>
  <c r="P293" i="28"/>
  <c r="Q292" i="28"/>
  <c r="Q293" i="28" s="1"/>
  <c r="O200" i="28"/>
  <c r="O302" i="28" s="1"/>
  <c r="S199" i="28"/>
  <c r="S200" i="28" s="1"/>
  <c r="S302" i="28" s="1"/>
  <c r="Q199" i="28"/>
  <c r="Q200" i="28" s="1"/>
  <c r="Q302" i="28" s="1"/>
  <c r="P199" i="28"/>
  <c r="P200" i="28" s="1"/>
  <c r="P302" i="28" s="1"/>
  <c r="O206" i="28"/>
  <c r="S205" i="28"/>
  <c r="S206" i="28" s="1"/>
  <c r="P205" i="28"/>
  <c r="P206" i="28" s="1"/>
  <c r="Q205" i="28"/>
  <c r="Q206" i="28" s="1"/>
  <c r="U64" i="28"/>
  <c r="V40" i="28"/>
  <c r="X40" i="28" s="1"/>
  <c r="X38" i="28"/>
  <c r="S432" i="28"/>
  <c r="S438" i="28" s="1"/>
  <c r="S28" i="28" s="1"/>
  <c r="P432" i="28"/>
  <c r="P438" i="28" s="1"/>
  <c r="P28" i="28" s="1"/>
  <c r="Q432" i="28"/>
  <c r="Q438" i="28" s="1"/>
  <c r="Q28" i="28" s="1"/>
  <c r="P417" i="28"/>
  <c r="O421" i="28"/>
  <c r="O188" i="28"/>
  <c r="S187" i="28"/>
  <c r="S188" i="28" s="1"/>
  <c r="Q187" i="28"/>
  <c r="Q188" i="28" s="1"/>
  <c r="P187" i="28"/>
  <c r="P188" i="28" s="1"/>
  <c r="O146" i="28"/>
  <c r="S145" i="28"/>
  <c r="S146" i="28" s="1"/>
  <c r="Q145" i="28"/>
  <c r="Q146" i="28" s="1"/>
  <c r="P145" i="28"/>
  <c r="P146" i="28" s="1"/>
  <c r="AC56" i="28"/>
  <c r="AC62" i="28" s="1"/>
  <c r="AB56" i="28"/>
  <c r="AB62" i="28" s="1"/>
  <c r="AA62" i="28"/>
  <c r="AA64" i="28" s="1"/>
  <c r="P485" i="28"/>
  <c r="P280" i="28"/>
  <c r="P281" i="28" s="1"/>
  <c r="O281" i="28"/>
  <c r="S280" i="28"/>
  <c r="S281" i="28" s="1"/>
  <c r="Q280" i="28"/>
  <c r="Q281" i="28" s="1"/>
  <c r="Q504" i="28"/>
  <c r="O134" i="28"/>
  <c r="O298" i="28" s="1"/>
  <c r="S133" i="28"/>
  <c r="S134" i="28" s="1"/>
  <c r="S298" i="28" s="1"/>
  <c r="P133" i="28"/>
  <c r="P134" i="28" s="1"/>
  <c r="P298" i="28" s="1"/>
  <c r="Q133" i="28"/>
  <c r="Q134" i="28" s="1"/>
  <c r="Q298" i="28" s="1"/>
  <c r="O164" i="28"/>
  <c r="S163" i="28"/>
  <c r="S164" i="28" s="1"/>
  <c r="Q163" i="28"/>
  <c r="Q164" i="28" s="1"/>
  <c r="P163" i="28"/>
  <c r="P164" i="28" s="1"/>
  <c r="O230" i="28"/>
  <c r="S229" i="28"/>
  <c r="S230" i="28" s="1"/>
  <c r="P229" i="28"/>
  <c r="P230" i="28" s="1"/>
  <c r="Q229" i="28"/>
  <c r="Q230" i="28" s="1"/>
  <c r="Q52" i="28" l="1"/>
  <c r="Q53" i="28" s="1"/>
  <c r="Q100" i="28"/>
  <c r="Q101" i="28" s="1"/>
  <c r="P101" i="28"/>
  <c r="AD62" i="28"/>
  <c r="O311" i="28"/>
  <c r="AD56" i="28"/>
  <c r="AC64" i="28"/>
  <c r="O303" i="28"/>
  <c r="O296" i="28"/>
  <c r="S459" i="28"/>
  <c r="P459" i="28"/>
  <c r="Q459" i="28"/>
  <c r="AD28" i="28"/>
  <c r="AB64" i="28"/>
  <c r="AD64" i="28" s="1"/>
  <c r="AD35" i="28"/>
  <c r="AF28" i="28"/>
  <c r="Q301" i="28"/>
  <c r="P41" i="28"/>
  <c r="AL65" i="28"/>
  <c r="P301" i="28"/>
  <c r="Z52" i="28"/>
  <c r="Y52" i="28" s="1"/>
  <c r="X35" i="28"/>
  <c r="V64" i="28"/>
  <c r="X64" i="28" s="1"/>
  <c r="S296" i="28"/>
  <c r="Q286" i="28"/>
  <c r="Q287" i="28" s="1"/>
  <c r="Q313" i="28" s="1"/>
  <c r="P287" i="28"/>
  <c r="P313" i="28" s="1"/>
  <c r="P406" i="28"/>
  <c r="P56" i="28"/>
  <c r="P107" i="28"/>
  <c r="P311" i="28" s="1"/>
  <c r="P317" i="28" s="1"/>
  <c r="Q106" i="28"/>
  <c r="Q107" i="28" s="1"/>
  <c r="Q311" i="28" s="1"/>
  <c r="Q317" i="28" s="1"/>
  <c r="S301" i="28"/>
  <c r="AL64" i="28"/>
  <c r="P53" i="28"/>
  <c r="P300" i="28"/>
  <c r="O423" i="28"/>
  <c r="O425" i="28" s="1"/>
  <c r="J421" i="28"/>
  <c r="J56" i="28" s="1"/>
  <c r="Q405" i="28"/>
  <c r="Q56" i="28" s="1"/>
  <c r="S401" i="28"/>
  <c r="P113" i="28"/>
  <c r="P312" i="28" s="1"/>
  <c r="Q112" i="28"/>
  <c r="Q113" i="28" s="1"/>
  <c r="Q312" i="28" s="1"/>
  <c r="O301" i="28"/>
  <c r="Q300" i="28"/>
  <c r="P421" i="28"/>
  <c r="P423" i="28" s="1"/>
  <c r="P425" i="28" s="1"/>
  <c r="Q417" i="28"/>
  <c r="Q421" i="28" s="1"/>
  <c r="Q423" i="28" s="1"/>
  <c r="Q303" i="28"/>
  <c r="P296" i="28"/>
  <c r="S300" i="28"/>
  <c r="P303" i="28"/>
  <c r="Y38" i="28"/>
  <c r="Z40" i="28"/>
  <c r="Y40" i="28" s="1"/>
  <c r="O300" i="28"/>
  <c r="S303" i="28"/>
  <c r="I448" i="28"/>
  <c r="O450" i="28"/>
  <c r="Z35" i="28"/>
  <c r="Y10" i="28"/>
  <c r="Q425" i="28" l="1"/>
  <c r="P397" i="28"/>
  <c r="O317" i="28"/>
  <c r="O61" i="28" s="1"/>
  <c r="O62" i="28" s="1"/>
  <c r="Q61" i="28"/>
  <c r="P61" i="28"/>
  <c r="S304" i="28"/>
  <c r="AJ304" i="28" s="1"/>
  <c r="O304" i="28"/>
  <c r="O34" i="28" s="1"/>
  <c r="O35" i="28" s="1"/>
  <c r="Q304" i="28"/>
  <c r="Q34" i="28" s="1"/>
  <c r="Q35" i="28" s="1"/>
  <c r="Q36" i="28" s="1"/>
  <c r="P304" i="28"/>
  <c r="P34" i="28" s="1"/>
  <c r="P35" i="28" s="1"/>
  <c r="AL63" i="28" s="1"/>
  <c r="AL66" i="28" s="1"/>
  <c r="AM66" i="28" s="1"/>
  <c r="AG52" i="28"/>
  <c r="AG40" i="28"/>
  <c r="Q62" i="28"/>
  <c r="AF56" i="28"/>
  <c r="Y35" i="28"/>
  <c r="Z64" i="28"/>
  <c r="Y64" i="28" s="1"/>
  <c r="Q296" i="28"/>
  <c r="P62" i="28"/>
  <c r="AF35" i="28"/>
  <c r="AE28" i="28"/>
  <c r="O64" i="28" l="1"/>
  <c r="AG35" i="28"/>
  <c r="S34" i="28"/>
  <c r="S35" i="28" s="1"/>
  <c r="S36" i="28" s="1"/>
  <c r="P36" i="28"/>
  <c r="AF62" i="28"/>
  <c r="AE62" i="28" s="1"/>
  <c r="AE56" i="28"/>
  <c r="AE35" i="28"/>
  <c r="Q63" i="28"/>
  <c r="AL74" i="28"/>
  <c r="AM74" i="28" s="1"/>
  <c r="P64" i="28"/>
  <c r="Q64" i="28" l="1"/>
  <c r="AG62" i="28"/>
  <c r="AF64" i="28"/>
  <c r="AE64" i="28" s="1"/>
  <c r="AG64" i="28" l="1"/>
  <c r="O29" i="7" l="1"/>
  <c r="S29" i="7" s="1"/>
  <c r="O29" i="6"/>
  <c r="S29" i="6" s="1"/>
  <c r="O29" i="13" l="1"/>
  <c r="P29" i="7"/>
  <c r="Q29" i="7"/>
  <c r="P29" i="6"/>
  <c r="Q29" i="6"/>
  <c r="P29" i="13" l="1"/>
  <c r="Q29" i="13"/>
  <c r="A74" i="8"/>
  <c r="S29" i="8" l="1"/>
  <c r="S29" i="13" s="1"/>
  <c r="P57" i="13" l="1"/>
  <c r="H69" i="6" l="1"/>
  <c r="H68" i="6"/>
  <c r="M67" i="6"/>
  <c r="M66" i="6"/>
  <c r="M65" i="6"/>
  <c r="H65" i="6"/>
  <c r="H64" i="6"/>
  <c r="M60" i="6"/>
  <c r="C59" i="6"/>
  <c r="C58" i="6"/>
  <c r="O56" i="6"/>
  <c r="O55" i="6"/>
  <c r="Q53" i="6"/>
  <c r="P51" i="6"/>
  <c r="Q51" i="6" s="1"/>
  <c r="C49" i="6"/>
  <c r="C48" i="6"/>
  <c r="O46" i="6"/>
  <c r="O45" i="6"/>
  <c r="S45" i="6" s="1"/>
  <c r="O44" i="6"/>
  <c r="O43" i="6"/>
  <c r="S43" i="6" s="1"/>
  <c r="O42" i="6"/>
  <c r="S42" i="6" s="1"/>
  <c r="C40" i="6"/>
  <c r="S39" i="6"/>
  <c r="S40" i="6" s="1"/>
  <c r="C39" i="6"/>
  <c r="O37" i="6"/>
  <c r="O39" i="6" s="1"/>
  <c r="C35" i="6"/>
  <c r="C34" i="6"/>
  <c r="O32" i="6"/>
  <c r="S32" i="6" s="1"/>
  <c r="O30" i="6"/>
  <c r="S30" i="6" s="1"/>
  <c r="O28" i="6"/>
  <c r="Q28" i="6" s="1"/>
  <c r="O26" i="6"/>
  <c r="P26" i="6" s="1"/>
  <c r="O25" i="6"/>
  <c r="P25" i="6" s="1"/>
  <c r="O24" i="6"/>
  <c r="O23" i="6"/>
  <c r="P23" i="6" s="1"/>
  <c r="O22" i="6"/>
  <c r="P22" i="6" s="1"/>
  <c r="O21" i="6"/>
  <c r="P21" i="6" s="1"/>
  <c r="O20" i="6"/>
  <c r="P20" i="6" s="1"/>
  <c r="O19" i="6"/>
  <c r="P19" i="6" s="1"/>
  <c r="O18" i="6"/>
  <c r="Q18" i="6" s="1"/>
  <c r="O17" i="6"/>
  <c r="P17" i="6" s="1"/>
  <c r="O16" i="6"/>
  <c r="Q16" i="6" s="1"/>
  <c r="O15" i="6"/>
  <c r="P15" i="6" s="1"/>
  <c r="O14" i="6"/>
  <c r="P14" i="6" s="1"/>
  <c r="O13" i="6"/>
  <c r="O12" i="6"/>
  <c r="P12" i="6" s="1"/>
  <c r="O11" i="6"/>
  <c r="Q11" i="6" s="1"/>
  <c r="O10" i="6"/>
  <c r="P10" i="6" s="1"/>
  <c r="A5" i="6"/>
  <c r="A4" i="6"/>
  <c r="Q55" i="6" l="1"/>
  <c r="Q56" i="6"/>
  <c r="G58" i="6"/>
  <c r="P42" i="6"/>
  <c r="Q42" i="6"/>
  <c r="Q43" i="6"/>
  <c r="N60" i="6"/>
  <c r="Q15" i="6"/>
  <c r="S21" i="6"/>
  <c r="Q21" i="6"/>
  <c r="S15" i="6"/>
  <c r="S25" i="6"/>
  <c r="P44" i="6"/>
  <c r="Q44" i="6"/>
  <c r="S44" i="6"/>
  <c r="P11" i="6"/>
  <c r="S11" i="6"/>
  <c r="Q20" i="6"/>
  <c r="S20" i="6"/>
  <c r="Q13" i="6"/>
  <c r="P43" i="6"/>
  <c r="S23" i="6"/>
  <c r="Q10" i="6"/>
  <c r="S10" i="6"/>
  <c r="Q19" i="6"/>
  <c r="S19" i="6"/>
  <c r="Q30" i="6"/>
  <c r="P30" i="6"/>
  <c r="S22" i="6"/>
  <c r="Q22" i="6"/>
  <c r="P16" i="6"/>
  <c r="S16" i="6"/>
  <c r="Q14" i="6"/>
  <c r="S14" i="6"/>
  <c r="P45" i="6"/>
  <c r="Q45" i="6" s="1"/>
  <c r="P46" i="6"/>
  <c r="S46" i="6"/>
  <c r="Q25" i="6"/>
  <c r="Q26" i="6"/>
  <c r="S26" i="6"/>
  <c r="S17" i="6"/>
  <c r="Q23" i="6"/>
  <c r="Q12" i="6"/>
  <c r="S18" i="6"/>
  <c r="P18" i="6"/>
  <c r="S12" i="6"/>
  <c r="Q17" i="6"/>
  <c r="S24" i="6"/>
  <c r="P24" i="6"/>
  <c r="Q32" i="6"/>
  <c r="P32" i="6"/>
  <c r="Q24" i="6"/>
  <c r="S13" i="6"/>
  <c r="P13" i="6"/>
  <c r="S28" i="6"/>
  <c r="P28" i="6"/>
  <c r="O48" i="6"/>
  <c r="P37" i="6"/>
  <c r="P39" i="6" s="1"/>
  <c r="Q37" i="6"/>
  <c r="Q39" i="6" s="1"/>
  <c r="Q40" i="6" s="1"/>
  <c r="H58" i="6"/>
  <c r="J60" i="6" l="1"/>
  <c r="H59" i="6"/>
  <c r="H60" i="6" s="1"/>
  <c r="G59" i="6"/>
  <c r="G60" i="6" s="1"/>
  <c r="Q46" i="6"/>
  <c r="S48" i="6"/>
  <c r="S49" i="6" s="1"/>
  <c r="P48" i="6"/>
  <c r="P40" i="6"/>
  <c r="O34" i="6" l="1"/>
  <c r="Q48" i="6"/>
  <c r="Q49" i="6" s="1"/>
  <c r="I60" i="6"/>
  <c r="K60" i="6" s="1"/>
  <c r="P49" i="6"/>
  <c r="P34" i="6"/>
  <c r="S34" i="6" l="1"/>
  <c r="S35" i="6" s="1"/>
  <c r="Q34" i="6"/>
  <c r="Q35" i="6" s="1"/>
  <c r="P35" i="6"/>
  <c r="O58" i="6" l="1"/>
  <c r="O60" i="6" s="1"/>
  <c r="P58" i="6" l="1"/>
  <c r="Q58" i="6"/>
  <c r="P60" i="6" l="1"/>
  <c r="Q59" i="6"/>
  <c r="Q60" i="6" s="1"/>
  <c r="O32" i="8" l="1"/>
  <c r="S32" i="8" s="1"/>
  <c r="O32" i="7"/>
  <c r="Q32" i="7" s="1"/>
  <c r="O30" i="7"/>
  <c r="P30" i="7" s="1"/>
  <c r="O28" i="7"/>
  <c r="Q28" i="7" s="1"/>
  <c r="Q32" i="8" l="1"/>
  <c r="P32" i="8"/>
  <c r="S30" i="8"/>
  <c r="S28" i="8"/>
  <c r="Q30" i="7"/>
  <c r="S30" i="7"/>
  <c r="S32" i="7"/>
  <c r="S28" i="7"/>
  <c r="P28" i="7"/>
  <c r="P32" i="7"/>
  <c r="AH38" i="13" l="1"/>
  <c r="AA10" i="13"/>
  <c r="AE10" i="13" s="1"/>
  <c r="AC10" i="13"/>
  <c r="U11" i="13"/>
  <c r="V11" i="13" s="1"/>
  <c r="W11" i="13"/>
  <c r="AA12" i="13"/>
  <c r="AE12" i="13" s="1"/>
  <c r="AC12" i="13"/>
  <c r="U13" i="13"/>
  <c r="V13" i="13" s="1"/>
  <c r="W13" i="13"/>
  <c r="AA14" i="13"/>
  <c r="AD14" i="13" s="1"/>
  <c r="AC14" i="13"/>
  <c r="U15" i="13"/>
  <c r="V15" i="13" s="1"/>
  <c r="W15" i="13"/>
  <c r="AA16" i="13"/>
  <c r="AB16" i="13" s="1"/>
  <c r="AC16" i="13"/>
  <c r="AA17" i="13"/>
  <c r="AB17" i="13" s="1"/>
  <c r="AC17" i="13"/>
  <c r="AA18" i="13"/>
  <c r="AD18" i="13" s="1"/>
  <c r="AC18" i="13"/>
  <c r="AA19" i="13"/>
  <c r="U20" i="13"/>
  <c r="Y20" i="13" s="1"/>
  <c r="AA21" i="13"/>
  <c r="AB21" i="13" s="1"/>
  <c r="AC21" i="13"/>
  <c r="AA22" i="13"/>
  <c r="AB22" i="13" s="1"/>
  <c r="AC22" i="13"/>
  <c r="AA23" i="13"/>
  <c r="AD23" i="13" s="1"/>
  <c r="AC23" i="13"/>
  <c r="U24" i="13"/>
  <c r="V24" i="13" s="1"/>
  <c r="W24" i="13"/>
  <c r="AA25" i="13"/>
  <c r="AB25" i="13" s="1"/>
  <c r="AC25" i="13"/>
  <c r="AA26" i="13"/>
  <c r="AB26" i="13" s="1"/>
  <c r="AC26" i="13"/>
  <c r="U27" i="13"/>
  <c r="AA28" i="13"/>
  <c r="AA30" i="13"/>
  <c r="AB30" i="13" s="1"/>
  <c r="AC30" i="13"/>
  <c r="U31" i="13"/>
  <c r="V31" i="13" s="1"/>
  <c r="W31" i="13"/>
  <c r="AA32" i="13"/>
  <c r="AB32" i="13" s="1"/>
  <c r="AC32" i="13"/>
  <c r="U33" i="13"/>
  <c r="AA33" i="13"/>
  <c r="AE33" i="13" s="1"/>
  <c r="AC33" i="13"/>
  <c r="C34" i="13"/>
  <c r="C35" i="13"/>
  <c r="AA37" i="13"/>
  <c r="AD37" i="13" s="1"/>
  <c r="AC37" i="13"/>
  <c r="U38" i="13"/>
  <c r="V38" i="13" s="1"/>
  <c r="W38" i="13"/>
  <c r="AA38" i="13"/>
  <c r="AB38" i="13" s="1"/>
  <c r="AC38" i="13"/>
  <c r="C39" i="13"/>
  <c r="C40" i="13"/>
  <c r="AA42" i="13"/>
  <c r="AB42" i="13" s="1"/>
  <c r="AC42" i="13"/>
  <c r="U43" i="13"/>
  <c r="V43" i="13" s="1"/>
  <c r="W43" i="13"/>
  <c r="AA44" i="13"/>
  <c r="AB44" i="13" s="1"/>
  <c r="AC44" i="13"/>
  <c r="AA45" i="13"/>
  <c r="AD45" i="13" s="1"/>
  <c r="AC45" i="13"/>
  <c r="AA46" i="13"/>
  <c r="AD46" i="13" s="1"/>
  <c r="AC46" i="13"/>
  <c r="U47" i="13"/>
  <c r="AA47" i="13"/>
  <c r="AE47" i="13" s="1"/>
  <c r="AC47" i="13"/>
  <c r="C48" i="13"/>
  <c r="C49" i="13"/>
  <c r="AA51" i="13"/>
  <c r="AD51" i="13" s="1"/>
  <c r="AC51" i="13"/>
  <c r="U52" i="13"/>
  <c r="V52" i="13" s="1"/>
  <c r="W52" i="13"/>
  <c r="AA53" i="13"/>
  <c r="AD53" i="13" s="1"/>
  <c r="AC53" i="13"/>
  <c r="H69" i="18"/>
  <c r="H68" i="18"/>
  <c r="M67" i="18"/>
  <c r="N66" i="18"/>
  <c r="N65" i="18"/>
  <c r="M65" i="18"/>
  <c r="H65" i="18"/>
  <c r="H64" i="18"/>
  <c r="N60" i="18"/>
  <c r="M60" i="18"/>
  <c r="C59" i="18"/>
  <c r="C58" i="18"/>
  <c r="P51" i="18"/>
  <c r="Q51" i="18" s="1"/>
  <c r="O51" i="18"/>
  <c r="C49" i="18"/>
  <c r="C48" i="18"/>
  <c r="O46" i="18"/>
  <c r="O45" i="18"/>
  <c r="P45" i="18" s="1"/>
  <c r="O44" i="18"/>
  <c r="Q44" i="18" s="1"/>
  <c r="O43" i="18"/>
  <c r="C40" i="18"/>
  <c r="S39" i="18"/>
  <c r="S40" i="18" s="1"/>
  <c r="C39" i="18"/>
  <c r="O37" i="18"/>
  <c r="P37" i="18" s="1"/>
  <c r="P39" i="18" s="1"/>
  <c r="C35" i="18"/>
  <c r="C34" i="18"/>
  <c r="O22" i="18"/>
  <c r="Q22" i="18" s="1"/>
  <c r="O21" i="18"/>
  <c r="Q21" i="18" s="1"/>
  <c r="O20" i="18"/>
  <c r="S20" i="18" s="1"/>
  <c r="O19" i="18"/>
  <c r="S19" i="18" s="1"/>
  <c r="O18" i="18"/>
  <c r="S18" i="18" s="1"/>
  <c r="O17" i="18"/>
  <c r="S17" i="18" s="1"/>
  <c r="O16" i="18"/>
  <c r="Q16" i="18" s="1"/>
  <c r="O15" i="18"/>
  <c r="S15" i="18" s="1"/>
  <c r="O14" i="18"/>
  <c r="O13" i="18"/>
  <c r="P13" i="18" s="1"/>
  <c r="O12" i="18"/>
  <c r="S12" i="18" s="1"/>
  <c r="O11" i="18"/>
  <c r="Q11" i="18" s="1"/>
  <c r="O10" i="18"/>
  <c r="S10" i="18" s="1"/>
  <c r="A5" i="18"/>
  <c r="A4" i="18"/>
  <c r="H69" i="8"/>
  <c r="H68" i="8"/>
  <c r="M67" i="8"/>
  <c r="M66" i="8"/>
  <c r="M65" i="8"/>
  <c r="H65" i="8"/>
  <c r="H64" i="8"/>
  <c r="N60" i="8"/>
  <c r="M60" i="8"/>
  <c r="C59" i="8"/>
  <c r="C58" i="8"/>
  <c r="O56" i="8"/>
  <c r="O55" i="8"/>
  <c r="O53" i="8"/>
  <c r="P51" i="8"/>
  <c r="Q51" i="8" s="1"/>
  <c r="O51" i="8"/>
  <c r="C49" i="8"/>
  <c r="C48" i="8"/>
  <c r="O46" i="8"/>
  <c r="S46" i="8" s="1"/>
  <c r="O45" i="8"/>
  <c r="O44" i="8"/>
  <c r="S44" i="8" s="1"/>
  <c r="O43" i="8"/>
  <c r="S43" i="8" s="1"/>
  <c r="O42" i="8"/>
  <c r="C40" i="8"/>
  <c r="S39" i="8"/>
  <c r="S40" i="8" s="1"/>
  <c r="C39" i="8"/>
  <c r="O37" i="8"/>
  <c r="Q37" i="8" s="1"/>
  <c r="Q39" i="8" s="1"/>
  <c r="Q40" i="8" s="1"/>
  <c r="C35" i="8"/>
  <c r="C34" i="8"/>
  <c r="S26" i="8"/>
  <c r="O25" i="8"/>
  <c r="O24" i="8"/>
  <c r="O23" i="8"/>
  <c r="Q23" i="8" s="1"/>
  <c r="O22" i="8"/>
  <c r="O21" i="8"/>
  <c r="P21" i="8" s="1"/>
  <c r="O20" i="8"/>
  <c r="S20" i="8" s="1"/>
  <c r="O19" i="8"/>
  <c r="O18" i="8"/>
  <c r="Q18" i="8" s="1"/>
  <c r="O17" i="8"/>
  <c r="Q17" i="8" s="1"/>
  <c r="O16" i="8"/>
  <c r="O15" i="8"/>
  <c r="S15" i="8" s="1"/>
  <c r="O14" i="8"/>
  <c r="O13" i="8"/>
  <c r="Q13" i="8" s="1"/>
  <c r="O12" i="8"/>
  <c r="O11" i="8"/>
  <c r="P11" i="8" s="1"/>
  <c r="O10" i="8"/>
  <c r="A5" i="8"/>
  <c r="A4" i="8"/>
  <c r="H69" i="7"/>
  <c r="H68" i="7"/>
  <c r="H65" i="7"/>
  <c r="H64" i="7"/>
  <c r="N60" i="7"/>
  <c r="M60" i="7"/>
  <c r="C59" i="7"/>
  <c r="C58" i="7"/>
  <c r="Q56" i="7"/>
  <c r="O56" i="7"/>
  <c r="Q55" i="7"/>
  <c r="O55" i="7"/>
  <c r="P53" i="7"/>
  <c r="Q53" i="7" s="1"/>
  <c r="P51" i="7"/>
  <c r="Q51" i="7" s="1"/>
  <c r="O51" i="7"/>
  <c r="C49" i="7"/>
  <c r="C48" i="7"/>
  <c r="O46" i="7"/>
  <c r="O45" i="7"/>
  <c r="O44" i="7"/>
  <c r="Q44" i="7" s="1"/>
  <c r="O43" i="7"/>
  <c r="S43" i="7" s="1"/>
  <c r="O42" i="7"/>
  <c r="P42" i="7" s="1"/>
  <c r="C40" i="7"/>
  <c r="S39" i="7"/>
  <c r="S40" i="7" s="1"/>
  <c r="C39" i="7"/>
  <c r="O37" i="7"/>
  <c r="Q37" i="7" s="1"/>
  <c r="Q39" i="7" s="1"/>
  <c r="Q40" i="7" s="1"/>
  <c r="C35" i="7"/>
  <c r="C34" i="7"/>
  <c r="O26" i="7"/>
  <c r="S26" i="7" s="1"/>
  <c r="O25" i="7"/>
  <c r="O24" i="7"/>
  <c r="P24" i="7" s="1"/>
  <c r="O23" i="7"/>
  <c r="S23" i="7" s="1"/>
  <c r="O22" i="7"/>
  <c r="Q22" i="7" s="1"/>
  <c r="O21" i="7"/>
  <c r="Q21" i="7" s="1"/>
  <c r="O20" i="7"/>
  <c r="S20" i="7" s="1"/>
  <c r="O19" i="7"/>
  <c r="O18" i="7"/>
  <c r="S18" i="7" s="1"/>
  <c r="O17" i="7"/>
  <c r="S17" i="7" s="1"/>
  <c r="O16" i="7"/>
  <c r="Q16" i="7" s="1"/>
  <c r="O15" i="7"/>
  <c r="S15" i="7" s="1"/>
  <c r="O14" i="7"/>
  <c r="O13" i="7"/>
  <c r="S13" i="7" s="1"/>
  <c r="O12" i="7"/>
  <c r="S12" i="7" s="1"/>
  <c r="O11" i="7"/>
  <c r="Q11" i="7" s="1"/>
  <c r="O10" i="7"/>
  <c r="A5" i="7"/>
  <c r="A4" i="7"/>
  <c r="H69" i="5"/>
  <c r="H68" i="5"/>
  <c r="M67" i="5"/>
  <c r="N66" i="5"/>
  <c r="M66" i="5"/>
  <c r="N65" i="5"/>
  <c r="M65" i="5"/>
  <c r="H65" i="5"/>
  <c r="N64" i="5"/>
  <c r="H64" i="5"/>
  <c r="N60" i="5"/>
  <c r="M60" i="5"/>
  <c r="C59" i="5"/>
  <c r="C58" i="5"/>
  <c r="AC57" i="5"/>
  <c r="AA57" i="5"/>
  <c r="W57" i="5"/>
  <c r="U57" i="5"/>
  <c r="Z57" i="5" s="1"/>
  <c r="AA56" i="5"/>
  <c r="W56" i="5"/>
  <c r="U56" i="5"/>
  <c r="Z56" i="5" s="1"/>
  <c r="AC55" i="5"/>
  <c r="AA55" i="5"/>
  <c r="AB55" i="5" s="1"/>
  <c r="U55" i="5"/>
  <c r="W54" i="5"/>
  <c r="U54" i="5"/>
  <c r="Z54" i="5" s="1"/>
  <c r="AC53" i="5"/>
  <c r="AA53" i="5"/>
  <c r="AE53" i="5" s="1"/>
  <c r="U53" i="5"/>
  <c r="P53" i="5"/>
  <c r="Q53" i="5" s="1"/>
  <c r="W52" i="5"/>
  <c r="U52" i="5"/>
  <c r="Y52" i="5" s="1"/>
  <c r="AC51" i="5"/>
  <c r="AA51" i="5"/>
  <c r="AE51" i="5" s="1"/>
  <c r="U51" i="5"/>
  <c r="O51" i="5"/>
  <c r="O58" i="5" s="1"/>
  <c r="C49" i="5"/>
  <c r="C48" i="5"/>
  <c r="AC47" i="5"/>
  <c r="AA47" i="5"/>
  <c r="AE47" i="5" s="1"/>
  <c r="W47" i="5"/>
  <c r="U47" i="5"/>
  <c r="Z47" i="5" s="1"/>
  <c r="AC46" i="5"/>
  <c r="AA46" i="5"/>
  <c r="AE46" i="5" s="1"/>
  <c r="U46" i="5"/>
  <c r="O46" i="5"/>
  <c r="P46" i="5" s="1"/>
  <c r="AC45" i="5"/>
  <c r="AA45" i="5"/>
  <c r="AF45" i="5" s="1"/>
  <c r="U45" i="5"/>
  <c r="O45" i="5"/>
  <c r="S45" i="5" s="1"/>
  <c r="AC44" i="5"/>
  <c r="AA44" i="5"/>
  <c r="AE44" i="5" s="1"/>
  <c r="U44" i="5"/>
  <c r="O44" i="5"/>
  <c r="S44" i="5" s="1"/>
  <c r="AA43" i="5"/>
  <c r="W43" i="5"/>
  <c r="U43" i="5"/>
  <c r="Z43" i="5" s="1"/>
  <c r="O43" i="5"/>
  <c r="P43" i="5" s="1"/>
  <c r="AC42" i="5"/>
  <c r="AA42" i="5"/>
  <c r="AE42" i="5" s="1"/>
  <c r="U42" i="5"/>
  <c r="O42" i="5"/>
  <c r="Q42" i="5" s="1"/>
  <c r="C40" i="5"/>
  <c r="S39" i="5"/>
  <c r="S40" i="5" s="1"/>
  <c r="C39" i="5"/>
  <c r="AC38" i="5"/>
  <c r="AA38" i="5"/>
  <c r="AB38" i="5" s="1"/>
  <c r="W38" i="5"/>
  <c r="U38" i="5"/>
  <c r="Y38" i="5" s="1"/>
  <c r="AC37" i="5"/>
  <c r="AA37" i="5"/>
  <c r="AB37" i="5" s="1"/>
  <c r="U37" i="5"/>
  <c r="O37" i="5"/>
  <c r="Q37" i="5" s="1"/>
  <c r="Q39" i="5" s="1"/>
  <c r="Q40" i="5" s="1"/>
  <c r="C35" i="5"/>
  <c r="C34" i="5"/>
  <c r="AC33" i="5"/>
  <c r="AA33" i="5"/>
  <c r="AF33" i="5" s="1"/>
  <c r="W33" i="5"/>
  <c r="U33" i="5"/>
  <c r="Y33" i="5" s="1"/>
  <c r="AC28" i="5"/>
  <c r="AA28" i="5"/>
  <c r="AF28" i="5" s="1"/>
  <c r="U28" i="5"/>
  <c r="W27" i="5"/>
  <c r="U27" i="5"/>
  <c r="Z27" i="5" s="1"/>
  <c r="AC26" i="5"/>
  <c r="AA26" i="5"/>
  <c r="AE26" i="5" s="1"/>
  <c r="U26" i="5"/>
  <c r="AC25" i="5"/>
  <c r="AA25" i="5"/>
  <c r="AB25" i="5" s="1"/>
  <c r="U25" i="5"/>
  <c r="O25" i="5"/>
  <c r="AA24" i="5"/>
  <c r="W24" i="5"/>
  <c r="U24" i="5"/>
  <c r="Y24" i="5" s="1"/>
  <c r="O24" i="5"/>
  <c r="S24" i="5" s="1"/>
  <c r="AC23" i="5"/>
  <c r="AA23" i="5"/>
  <c r="U23" i="5"/>
  <c r="O23" i="5"/>
  <c r="S23" i="5" s="1"/>
  <c r="AC22" i="5"/>
  <c r="AA22" i="5"/>
  <c r="AF22" i="5" s="1"/>
  <c r="U22" i="5"/>
  <c r="O22" i="5"/>
  <c r="Q22" i="5" s="1"/>
  <c r="AC21" i="5"/>
  <c r="AA21" i="5"/>
  <c r="AE21" i="5" s="1"/>
  <c r="U21" i="5"/>
  <c r="O21" i="5"/>
  <c r="S21" i="5" s="1"/>
  <c r="AA20" i="5"/>
  <c r="W20" i="5"/>
  <c r="U20" i="5"/>
  <c r="O20" i="5"/>
  <c r="AC19" i="5"/>
  <c r="AA19" i="5"/>
  <c r="AB19" i="5" s="1"/>
  <c r="U19" i="5"/>
  <c r="O19" i="5"/>
  <c r="AC18" i="5"/>
  <c r="AA18" i="5"/>
  <c r="U18" i="5"/>
  <c r="O18" i="5"/>
  <c r="P18" i="5" s="1"/>
  <c r="AA17" i="5"/>
  <c r="U17" i="5"/>
  <c r="O17" i="5"/>
  <c r="S17" i="5" s="1"/>
  <c r="AC16" i="5"/>
  <c r="AA16" i="5"/>
  <c r="AF16" i="5" s="1"/>
  <c r="U16" i="5"/>
  <c r="O16" i="5"/>
  <c r="S16" i="5" s="1"/>
  <c r="AA15" i="5"/>
  <c r="W15" i="5"/>
  <c r="U15" i="5"/>
  <c r="O15" i="5"/>
  <c r="Q15" i="5" s="1"/>
  <c r="AC14" i="5"/>
  <c r="AA14" i="5"/>
  <c r="AB14" i="5" s="1"/>
  <c r="U14" i="5"/>
  <c r="O14" i="5"/>
  <c r="AA13" i="5"/>
  <c r="W13" i="5"/>
  <c r="U13" i="5"/>
  <c r="Z13" i="5" s="1"/>
  <c r="O13" i="5"/>
  <c r="S13" i="5" s="1"/>
  <c r="AC12" i="5"/>
  <c r="AA12" i="5"/>
  <c r="U12" i="5"/>
  <c r="O12" i="5"/>
  <c r="AA11" i="5"/>
  <c r="W11" i="5"/>
  <c r="U11" i="5"/>
  <c r="O11" i="5"/>
  <c r="AC10" i="5"/>
  <c r="AA10" i="5"/>
  <c r="AB10" i="5" s="1"/>
  <c r="U10" i="5"/>
  <c r="O10" i="5"/>
  <c r="A5" i="5"/>
  <c r="A4" i="5"/>
  <c r="W1" i="5"/>
  <c r="O34" i="8" l="1"/>
  <c r="P45" i="7"/>
  <c r="S45" i="7"/>
  <c r="S42" i="8"/>
  <c r="P42" i="8"/>
  <c r="S45" i="8"/>
  <c r="P45" i="8"/>
  <c r="S10" i="8"/>
  <c r="P22" i="8"/>
  <c r="P16" i="8"/>
  <c r="P58" i="5"/>
  <c r="Q58" i="5"/>
  <c r="AL70" i="5" s="1"/>
  <c r="AC17" i="5"/>
  <c r="U54" i="13"/>
  <c r="AC39" i="13"/>
  <c r="O58" i="18"/>
  <c r="O48" i="18"/>
  <c r="P58" i="18"/>
  <c r="Q12" i="8"/>
  <c r="Y38" i="13"/>
  <c r="X38" i="13"/>
  <c r="S10" i="7"/>
  <c r="O34" i="7"/>
  <c r="Q10" i="5"/>
  <c r="P17" i="18"/>
  <c r="S13" i="18"/>
  <c r="P12" i="18"/>
  <c r="S11" i="18"/>
  <c r="S16" i="18"/>
  <c r="S45" i="18"/>
  <c r="Q45" i="18" s="1"/>
  <c r="P18" i="18"/>
  <c r="S44" i="18"/>
  <c r="Q18" i="18"/>
  <c r="Q13" i="18"/>
  <c r="Q12" i="18"/>
  <c r="S21" i="18"/>
  <c r="J60" i="18"/>
  <c r="Q17" i="18"/>
  <c r="S22" i="18"/>
  <c r="P44" i="18"/>
  <c r="S18" i="8"/>
  <c r="Q22" i="8"/>
  <c r="Q42" i="8"/>
  <c r="S21" i="8"/>
  <c r="S24" i="8"/>
  <c r="S22" i="8"/>
  <c r="P12" i="8"/>
  <c r="S12" i="8"/>
  <c r="O39" i="8"/>
  <c r="P23" i="8"/>
  <c r="P18" i="8"/>
  <c r="P37" i="8"/>
  <c r="P39" i="8" s="1"/>
  <c r="P24" i="8"/>
  <c r="S13" i="8"/>
  <c r="Q11" i="8"/>
  <c r="Q16" i="8"/>
  <c r="J60" i="8"/>
  <c r="S11" i="8"/>
  <c r="S16" i="8"/>
  <c r="P44" i="8"/>
  <c r="Q21" i="8"/>
  <c r="P13" i="8"/>
  <c r="P43" i="8"/>
  <c r="P46" i="8"/>
  <c r="Q46" i="8" s="1"/>
  <c r="Q43" i="8"/>
  <c r="S23" i="8"/>
  <c r="P17" i="8"/>
  <c r="S17" i="8"/>
  <c r="Q18" i="7"/>
  <c r="P43" i="7"/>
  <c r="H58" i="7"/>
  <c r="O39" i="7"/>
  <c r="S21" i="7"/>
  <c r="P18" i="7"/>
  <c r="S24" i="7"/>
  <c r="S16" i="7"/>
  <c r="P46" i="7"/>
  <c r="Q24" i="7"/>
  <c r="J60" i="7"/>
  <c r="P37" i="7"/>
  <c r="P39" i="7" s="1"/>
  <c r="P40" i="7" s="1"/>
  <c r="P12" i="7"/>
  <c r="S22" i="7"/>
  <c r="Q42" i="7"/>
  <c r="S42" i="7"/>
  <c r="S46" i="7"/>
  <c r="P23" i="7"/>
  <c r="Q23" i="7"/>
  <c r="P17" i="7"/>
  <c r="Q43" i="7"/>
  <c r="Q17" i="7"/>
  <c r="S11" i="7"/>
  <c r="P13" i="7"/>
  <c r="Q13" i="7"/>
  <c r="P44" i="7"/>
  <c r="Q21" i="5"/>
  <c r="AB46" i="5"/>
  <c r="V14" i="5"/>
  <c r="X14" i="5" s="1"/>
  <c r="V12" i="5"/>
  <c r="X12" i="5" s="1"/>
  <c r="AF51" i="5"/>
  <c r="P21" i="5"/>
  <c r="Z21" i="5" s="1"/>
  <c r="Y21" i="5" s="1"/>
  <c r="AB21" i="5"/>
  <c r="AD21" i="5"/>
  <c r="AF21" i="5"/>
  <c r="P44" i="5"/>
  <c r="Z44" i="5" s="1"/>
  <c r="Y44" i="5" s="1"/>
  <c r="J60" i="5"/>
  <c r="Q44" i="5"/>
  <c r="V33" i="5"/>
  <c r="AD46" i="5"/>
  <c r="AE33" i="5"/>
  <c r="AD37" i="5"/>
  <c r="AF37" i="5"/>
  <c r="AF43" i="5"/>
  <c r="AE43" i="5" s="1"/>
  <c r="AD51" i="5"/>
  <c r="AB28" i="5"/>
  <c r="P16" i="5"/>
  <c r="Z16" i="5" s="1"/>
  <c r="Y16" i="5" s="1"/>
  <c r="AD28" i="5"/>
  <c r="Z53" i="5"/>
  <c r="Y53" i="5" s="1"/>
  <c r="V47" i="5"/>
  <c r="AB15" i="5"/>
  <c r="AD15" i="5" s="1"/>
  <c r="S22" i="5"/>
  <c r="V25" i="5"/>
  <c r="X25" i="5" s="1"/>
  <c r="AE28" i="5"/>
  <c r="V38" i="5"/>
  <c r="AB42" i="5"/>
  <c r="W22" i="5"/>
  <c r="Q16" i="5"/>
  <c r="AB22" i="5"/>
  <c r="P13" i="5"/>
  <c r="AF13" i="5" s="1"/>
  <c r="AE13" i="5" s="1"/>
  <c r="O34" i="5"/>
  <c r="Q13" i="5"/>
  <c r="P23" i="5"/>
  <c r="Z23" i="5" s="1"/>
  <c r="Y23" i="5" s="1"/>
  <c r="AB43" i="5"/>
  <c r="AD43" i="5" s="1"/>
  <c r="Z55" i="5"/>
  <c r="Y55" i="5" s="1"/>
  <c r="V56" i="5"/>
  <c r="AB16" i="5"/>
  <c r="AD16" i="5"/>
  <c r="AB26" i="5"/>
  <c r="V45" i="5"/>
  <c r="X45" i="5" s="1"/>
  <c r="V55" i="5"/>
  <c r="X55" i="5" s="1"/>
  <c r="AE16" i="5"/>
  <c r="AB51" i="5"/>
  <c r="P24" i="5"/>
  <c r="AF24" i="5" s="1"/>
  <c r="AE24" i="5" s="1"/>
  <c r="AB11" i="5"/>
  <c r="AD11" i="5" s="1"/>
  <c r="W14" i="5"/>
  <c r="Q24" i="5"/>
  <c r="S46" i="5"/>
  <c r="Q46" i="5" s="1"/>
  <c r="AD55" i="5"/>
  <c r="AE55" i="5"/>
  <c r="Z18" i="5"/>
  <c r="Y18" i="5" s="1"/>
  <c r="AF55" i="5"/>
  <c r="Q18" i="5"/>
  <c r="AF44" i="5"/>
  <c r="S18" i="5"/>
  <c r="Z24" i="5"/>
  <c r="Q11" i="5"/>
  <c r="AD22" i="5"/>
  <c r="Z33" i="5"/>
  <c r="AD38" i="5"/>
  <c r="V44" i="5"/>
  <c r="X44" i="5" s="1"/>
  <c r="AF46" i="5"/>
  <c r="P11" i="5"/>
  <c r="AF11" i="5" s="1"/>
  <c r="AE11" i="5" s="1"/>
  <c r="S11" i="5"/>
  <c r="V18" i="5"/>
  <c r="AE22" i="5"/>
  <c r="AE38" i="5"/>
  <c r="V42" i="5"/>
  <c r="X42" i="5" s="1"/>
  <c r="X52" i="5"/>
  <c r="V52" i="5"/>
  <c r="AF38" i="5"/>
  <c r="Z52" i="5"/>
  <c r="V19" i="5"/>
  <c r="X19" i="5" s="1"/>
  <c r="O39" i="5"/>
  <c r="V23" i="5"/>
  <c r="X23" i="5" s="1"/>
  <c r="W23" i="5"/>
  <c r="P37" i="5"/>
  <c r="P39" i="5" s="1"/>
  <c r="AL61" i="5" s="1"/>
  <c r="AA39" i="5"/>
  <c r="AE39" i="5" s="1"/>
  <c r="AD42" i="5"/>
  <c r="U48" i="5"/>
  <c r="AD25" i="5"/>
  <c r="AE14" i="5"/>
  <c r="P17" i="5"/>
  <c r="Z17" i="5" s="1"/>
  <c r="Y17" i="5" s="1"/>
  <c r="AE25" i="5"/>
  <c r="AB39" i="5"/>
  <c r="Q43" i="5"/>
  <c r="AB45" i="5"/>
  <c r="AF14" i="5"/>
  <c r="AD19" i="5"/>
  <c r="AF25" i="5"/>
  <c r="O48" i="5"/>
  <c r="S43" i="5"/>
  <c r="AD14" i="5"/>
  <c r="AD45" i="5"/>
  <c r="AF19" i="5"/>
  <c r="P22" i="5"/>
  <c r="Z22" i="5" s="1"/>
  <c r="Y22" i="5" s="1"/>
  <c r="AE37" i="5"/>
  <c r="AE45" i="5"/>
  <c r="V17" i="5"/>
  <c r="X17" i="5" s="1"/>
  <c r="AE19" i="5"/>
  <c r="AB20" i="5"/>
  <c r="AD20" i="5" s="1"/>
  <c r="AC43" i="5"/>
  <c r="AC48" i="5" s="1"/>
  <c r="U34" i="5"/>
  <c r="Y57" i="5"/>
  <c r="V24" i="5"/>
  <c r="X38" i="5"/>
  <c r="U53" i="13"/>
  <c r="W53" i="13" s="1"/>
  <c r="U45" i="13"/>
  <c r="W45" i="13" s="1"/>
  <c r="U37" i="13"/>
  <c r="W37" i="13" s="1"/>
  <c r="W39" i="13" s="1"/>
  <c r="U26" i="13"/>
  <c r="W26" i="13" s="1"/>
  <c r="V47" i="13"/>
  <c r="AF47" i="13"/>
  <c r="AD47" i="13"/>
  <c r="AB47" i="13"/>
  <c r="U22" i="13"/>
  <c r="W22" i="13" s="1"/>
  <c r="U51" i="13"/>
  <c r="N39" i="13"/>
  <c r="U10" i="13"/>
  <c r="W10" i="13" s="1"/>
  <c r="AA24" i="13"/>
  <c r="AC24" i="13" s="1"/>
  <c r="U46" i="13"/>
  <c r="Y46" i="13" s="1"/>
  <c r="U32" i="13"/>
  <c r="W32" i="13" s="1"/>
  <c r="U25" i="13"/>
  <c r="W25" i="13" s="1"/>
  <c r="V20" i="13"/>
  <c r="U12" i="13"/>
  <c r="W12" i="13" s="1"/>
  <c r="AB45" i="13"/>
  <c r="U23" i="13"/>
  <c r="W23" i="13" s="1"/>
  <c r="U18" i="13"/>
  <c r="W18" i="13" s="1"/>
  <c r="U42" i="13"/>
  <c r="U21" i="13"/>
  <c r="W21" i="13" s="1"/>
  <c r="AA20" i="13"/>
  <c r="AC20" i="13" s="1"/>
  <c r="AF21" i="13"/>
  <c r="U17" i="13"/>
  <c r="W17" i="13" s="1"/>
  <c r="AD26" i="13"/>
  <c r="AA15" i="13"/>
  <c r="AC15" i="13" s="1"/>
  <c r="AA43" i="13"/>
  <c r="AA48" i="13" s="1"/>
  <c r="AA13" i="13"/>
  <c r="AC13" i="13" s="1"/>
  <c r="AB18" i="13"/>
  <c r="AF37" i="13"/>
  <c r="AE37" i="13"/>
  <c r="U44" i="13"/>
  <c r="AA11" i="13"/>
  <c r="AC11" i="13" s="1"/>
  <c r="AA39" i="13"/>
  <c r="AD39" i="13" s="1"/>
  <c r="AF51" i="13"/>
  <c r="X52" i="13"/>
  <c r="Y43" i="13"/>
  <c r="X43" i="13"/>
  <c r="AB37" i="13"/>
  <c r="AB39" i="13" s="1"/>
  <c r="AE30" i="13"/>
  <c r="X20" i="13"/>
  <c r="U30" i="13"/>
  <c r="W30" i="13" s="1"/>
  <c r="AF33" i="13"/>
  <c r="AD33" i="13"/>
  <c r="AB33" i="13"/>
  <c r="AF26" i="13"/>
  <c r="AE26" i="13"/>
  <c r="AF17" i="13"/>
  <c r="AE17" i="13"/>
  <c r="AD17" i="13"/>
  <c r="X15" i="13"/>
  <c r="Y13" i="13"/>
  <c r="AF23" i="13"/>
  <c r="AE23" i="13"/>
  <c r="AB23" i="13"/>
  <c r="AF18" i="13"/>
  <c r="AB51" i="13"/>
  <c r="AB14" i="13"/>
  <c r="Z47" i="13"/>
  <c r="Y47" i="13"/>
  <c r="X47" i="13"/>
  <c r="Z52" i="13"/>
  <c r="W47" i="13"/>
  <c r="Y52" i="13"/>
  <c r="AE18" i="13"/>
  <c r="Y15" i="13"/>
  <c r="AE21" i="13"/>
  <c r="AD21" i="13"/>
  <c r="AF53" i="13"/>
  <c r="AE53" i="13"/>
  <c r="U28" i="13"/>
  <c r="AB53" i="13"/>
  <c r="U19" i="13"/>
  <c r="Z31" i="13"/>
  <c r="Y31" i="13"/>
  <c r="AF10" i="13"/>
  <c r="AE32" i="13"/>
  <c r="X31" i="13"/>
  <c r="AD10" i="13"/>
  <c r="AD32" i="13"/>
  <c r="AB10" i="13"/>
  <c r="Z11" i="13"/>
  <c r="AD12" i="13"/>
  <c r="Y11" i="13"/>
  <c r="X11" i="13"/>
  <c r="AB12" i="13"/>
  <c r="AF25" i="13"/>
  <c r="AF22" i="13"/>
  <c r="AE25" i="13"/>
  <c r="AE22" i="13"/>
  <c r="AD25" i="13"/>
  <c r="AD22" i="13"/>
  <c r="AF30" i="13"/>
  <c r="Z13" i="13"/>
  <c r="V27" i="13"/>
  <c r="W27" i="13"/>
  <c r="X27" i="13"/>
  <c r="Y27" i="13"/>
  <c r="Z27" i="13"/>
  <c r="AB19" i="13"/>
  <c r="AC19" i="13"/>
  <c r="AD19" i="13"/>
  <c r="AE19" i="13"/>
  <c r="AF19" i="13"/>
  <c r="V33" i="13"/>
  <c r="W33" i="13"/>
  <c r="X33" i="13"/>
  <c r="Y33" i="13"/>
  <c r="Z33" i="13"/>
  <c r="AB28" i="13"/>
  <c r="AC28" i="13"/>
  <c r="AD28" i="13"/>
  <c r="AE28" i="13"/>
  <c r="AF28" i="13"/>
  <c r="AB46" i="13"/>
  <c r="Z43" i="13"/>
  <c r="Z38" i="13"/>
  <c r="AF32" i="13"/>
  <c r="W20" i="13"/>
  <c r="Z15" i="13"/>
  <c r="AE51" i="13"/>
  <c r="AD30" i="13"/>
  <c r="X13" i="13"/>
  <c r="Z24" i="13"/>
  <c r="AF16" i="13"/>
  <c r="AF44" i="13"/>
  <c r="AF42" i="13"/>
  <c r="AF38" i="13"/>
  <c r="Y24" i="13"/>
  <c r="AE16" i="13"/>
  <c r="AF45" i="13"/>
  <c r="AE44" i="13"/>
  <c r="AE42" i="13"/>
  <c r="AE38" i="13"/>
  <c r="X24" i="13"/>
  <c r="AD16" i="13"/>
  <c r="AF14" i="13"/>
  <c r="AF46" i="13"/>
  <c r="AE45" i="13"/>
  <c r="AD44" i="13"/>
  <c r="AD42" i="13"/>
  <c r="AD38" i="13"/>
  <c r="AE14" i="13"/>
  <c r="AE46" i="13"/>
  <c r="Z20" i="13"/>
  <c r="AF12" i="13"/>
  <c r="P14" i="18"/>
  <c r="Q14" i="18"/>
  <c r="S14" i="18"/>
  <c r="O39" i="18"/>
  <c r="Q37" i="18"/>
  <c r="Q39" i="18" s="1"/>
  <c r="Q40" i="18" s="1"/>
  <c r="P40" i="18"/>
  <c r="S43" i="18"/>
  <c r="Q43" i="18"/>
  <c r="P43" i="18"/>
  <c r="S46" i="18"/>
  <c r="P46" i="18"/>
  <c r="P19" i="18"/>
  <c r="Q19" i="18"/>
  <c r="H58" i="18"/>
  <c r="P11" i="18"/>
  <c r="P16" i="18"/>
  <c r="P21" i="18"/>
  <c r="P22" i="18"/>
  <c r="P10" i="18"/>
  <c r="P15" i="18"/>
  <c r="P20" i="18"/>
  <c r="Q10" i="18"/>
  <c r="Q15" i="18"/>
  <c r="Q20" i="18"/>
  <c r="P14" i="8"/>
  <c r="P19" i="8"/>
  <c r="P25" i="8"/>
  <c r="Q44" i="8"/>
  <c r="Q14" i="8"/>
  <c r="Q19" i="8"/>
  <c r="Q25" i="8"/>
  <c r="S14" i="8"/>
  <c r="S19" i="8"/>
  <c r="S25" i="8"/>
  <c r="H58" i="8"/>
  <c r="Q24" i="8"/>
  <c r="O48" i="8"/>
  <c r="P10" i="8"/>
  <c r="P15" i="8"/>
  <c r="P20" i="8"/>
  <c r="P26" i="8"/>
  <c r="Q10" i="8"/>
  <c r="Q15" i="8"/>
  <c r="Q20" i="8"/>
  <c r="Q26" i="8"/>
  <c r="S14" i="7"/>
  <c r="Q14" i="7"/>
  <c r="P14" i="7"/>
  <c r="S25" i="7"/>
  <c r="Q25" i="7"/>
  <c r="P25" i="7"/>
  <c r="P19" i="7"/>
  <c r="S19" i="7"/>
  <c r="Q19" i="7"/>
  <c r="S44" i="7"/>
  <c r="Q12" i="7"/>
  <c r="O48" i="7"/>
  <c r="P11" i="7"/>
  <c r="P16" i="7"/>
  <c r="P21" i="7"/>
  <c r="P22" i="7"/>
  <c r="P10" i="7"/>
  <c r="P15" i="7"/>
  <c r="P20" i="7"/>
  <c r="P26" i="7"/>
  <c r="Q10" i="7"/>
  <c r="Q15" i="7"/>
  <c r="Q20" i="7"/>
  <c r="Q26" i="7"/>
  <c r="W19" i="5"/>
  <c r="W12" i="5"/>
  <c r="W53" i="5"/>
  <c r="W17" i="5"/>
  <c r="W37" i="5"/>
  <c r="W39" i="5" s="1"/>
  <c r="W16" i="5"/>
  <c r="W21" i="5"/>
  <c r="AC24" i="5"/>
  <c r="V16" i="5"/>
  <c r="X16" i="5" s="1"/>
  <c r="Y20" i="5"/>
  <c r="X20" i="5"/>
  <c r="V20" i="5"/>
  <c r="AB23" i="5"/>
  <c r="AF23" i="5"/>
  <c r="AD23" i="5"/>
  <c r="AE23" i="5"/>
  <c r="W28" i="5"/>
  <c r="V28" i="5"/>
  <c r="X28" i="5" s="1"/>
  <c r="Z28" i="5"/>
  <c r="Y28" i="5" s="1"/>
  <c r="Q20" i="5"/>
  <c r="Z20" i="5"/>
  <c r="Z46" i="5"/>
  <c r="AA52" i="5"/>
  <c r="AC20" i="5"/>
  <c r="Z26" i="5"/>
  <c r="Y26" i="5" s="1"/>
  <c r="S10" i="5"/>
  <c r="P10" i="5"/>
  <c r="AF18" i="5"/>
  <c r="AD18" i="5"/>
  <c r="AB18" i="5"/>
  <c r="V22" i="5"/>
  <c r="X22" i="5" s="1"/>
  <c r="W26" i="5"/>
  <c r="V26" i="5"/>
  <c r="X26" i="5" s="1"/>
  <c r="W10" i="5"/>
  <c r="V10" i="5"/>
  <c r="X10" i="5" s="1"/>
  <c r="AE18" i="5"/>
  <c r="G58" i="5"/>
  <c r="AB12" i="5"/>
  <c r="AF12" i="5"/>
  <c r="AD12" i="5"/>
  <c r="AE12" i="5"/>
  <c r="S15" i="5"/>
  <c r="P15" i="5"/>
  <c r="AF15" i="5" s="1"/>
  <c r="AE15" i="5" s="1"/>
  <c r="V21" i="5"/>
  <c r="X21" i="5" s="1"/>
  <c r="U39" i="5"/>
  <c r="V37" i="5"/>
  <c r="X37" i="5" s="1"/>
  <c r="AF57" i="5"/>
  <c r="AE57" i="5"/>
  <c r="AB57" i="5"/>
  <c r="AD57" i="5"/>
  <c r="S14" i="5"/>
  <c r="Q14" i="5"/>
  <c r="P14" i="5"/>
  <c r="Z14" i="5" s="1"/>
  <c r="Y14" i="5" s="1"/>
  <c r="AD10" i="5"/>
  <c r="AF10" i="5"/>
  <c r="AE10" i="5"/>
  <c r="AB24" i="5"/>
  <c r="AD24" i="5" s="1"/>
  <c r="S20" i="5"/>
  <c r="P20" i="5"/>
  <c r="AF20" i="5" s="1"/>
  <c r="AE20" i="5" s="1"/>
  <c r="W51" i="5"/>
  <c r="V51" i="5"/>
  <c r="X51" i="5" s="1"/>
  <c r="U58" i="5"/>
  <c r="Z51" i="5"/>
  <c r="Y51" i="5" s="1"/>
  <c r="P19" i="5"/>
  <c r="Z19" i="5" s="1"/>
  <c r="Y19" i="5" s="1"/>
  <c r="S19" i="5"/>
  <c r="Q19" i="5"/>
  <c r="Y15" i="5"/>
  <c r="V15" i="5"/>
  <c r="X15" i="5"/>
  <c r="Y27" i="5"/>
  <c r="X27" i="5"/>
  <c r="V27" i="5"/>
  <c r="AC39" i="5"/>
  <c r="Z15" i="5"/>
  <c r="P25" i="5"/>
  <c r="Z25" i="5" s="1"/>
  <c r="Y25" i="5" s="1"/>
  <c r="S25" i="5"/>
  <c r="Q25" i="5"/>
  <c r="AC15" i="5"/>
  <c r="AB13" i="5"/>
  <c r="AD13" i="5" s="1"/>
  <c r="X11" i="5"/>
  <c r="V11" i="5"/>
  <c r="Z11" i="5"/>
  <c r="AC13" i="5"/>
  <c r="AB17" i="5"/>
  <c r="AD17" i="5" s="1"/>
  <c r="AF17" i="5"/>
  <c r="AE17" i="5" s="1"/>
  <c r="AD53" i="5"/>
  <c r="AB53" i="5"/>
  <c r="AF53" i="5"/>
  <c r="Y11" i="5"/>
  <c r="Z38" i="5"/>
  <c r="AF42" i="5"/>
  <c r="X47" i="5"/>
  <c r="AA48" i="5"/>
  <c r="X56" i="5"/>
  <c r="Y47" i="5"/>
  <c r="Y56" i="5"/>
  <c r="AC11" i="5"/>
  <c r="H58" i="5"/>
  <c r="W44" i="5"/>
  <c r="W25" i="5"/>
  <c r="AB47" i="5"/>
  <c r="W55" i="5"/>
  <c r="AB56" i="5"/>
  <c r="AD56" i="5" s="1"/>
  <c r="AC56" i="5"/>
  <c r="G59" i="5"/>
  <c r="P42" i="5"/>
  <c r="Z42" i="5" s="1"/>
  <c r="Y42" i="5" s="1"/>
  <c r="V43" i="5"/>
  <c r="P45" i="5"/>
  <c r="V46" i="5"/>
  <c r="AD47" i="5"/>
  <c r="AA27" i="5"/>
  <c r="AA34" i="5" s="1"/>
  <c r="P12" i="5"/>
  <c r="Z12" i="5" s="1"/>
  <c r="Y12" i="5" s="1"/>
  <c r="Q12" i="5"/>
  <c r="Q17" i="5"/>
  <c r="S42" i="5"/>
  <c r="X43" i="5"/>
  <c r="AB44" i="5"/>
  <c r="AF47" i="5"/>
  <c r="V54" i="5"/>
  <c r="AF56" i="5"/>
  <c r="AE56" i="5" s="1"/>
  <c r="V13" i="5"/>
  <c r="W46" i="5"/>
  <c r="W18" i="5"/>
  <c r="Q23" i="5"/>
  <c r="X46" i="5"/>
  <c r="S12" i="5"/>
  <c r="X13" i="5"/>
  <c r="X18" i="5"/>
  <c r="X24" i="5"/>
  <c r="AF26" i="5"/>
  <c r="X33" i="5"/>
  <c r="Y43" i="5"/>
  <c r="Y46" i="5"/>
  <c r="V53" i="5"/>
  <c r="X53" i="5" s="1"/>
  <c r="AD26" i="5"/>
  <c r="Y13" i="5"/>
  <c r="AD44" i="5"/>
  <c r="X54" i="5"/>
  <c r="W42" i="5"/>
  <c r="W45" i="5"/>
  <c r="Y54" i="5"/>
  <c r="AB33" i="5"/>
  <c r="V57" i="5"/>
  <c r="AD33" i="5"/>
  <c r="X57" i="5"/>
  <c r="Q45" i="7" l="1"/>
  <c r="P48" i="8"/>
  <c r="S48" i="8"/>
  <c r="S49" i="8" s="1"/>
  <c r="P40" i="8"/>
  <c r="Q57" i="13"/>
  <c r="O57" i="13"/>
  <c r="AM70" i="5"/>
  <c r="Q59" i="5"/>
  <c r="Q58" i="18"/>
  <c r="W51" i="13"/>
  <c r="W54" i="13"/>
  <c r="S34" i="18"/>
  <c r="P48" i="18"/>
  <c r="S48" i="18"/>
  <c r="S49" i="18" s="1"/>
  <c r="S34" i="8"/>
  <c r="Q34" i="8"/>
  <c r="P34" i="8"/>
  <c r="P34" i="7"/>
  <c r="Q34" i="7"/>
  <c r="Q34" i="5"/>
  <c r="H59" i="8"/>
  <c r="H60" i="8" s="1"/>
  <c r="G59" i="8"/>
  <c r="G58" i="7"/>
  <c r="H59" i="7"/>
  <c r="H60" i="7" s="1"/>
  <c r="Q46" i="7"/>
  <c r="S48" i="7"/>
  <c r="S49" i="7" s="1"/>
  <c r="G59" i="7"/>
  <c r="V39" i="5"/>
  <c r="X39" i="5" s="1"/>
  <c r="Z37" i="5"/>
  <c r="Y37" i="5" s="1"/>
  <c r="Z58" i="5"/>
  <c r="Y58" i="5" s="1"/>
  <c r="AD39" i="5"/>
  <c r="AF39" i="5"/>
  <c r="S48" i="5"/>
  <c r="S49" i="5" s="1"/>
  <c r="V48" i="5"/>
  <c r="X48" i="5" s="1"/>
  <c r="U39" i="13"/>
  <c r="U60" i="5"/>
  <c r="P40" i="5"/>
  <c r="AF48" i="5"/>
  <c r="AE48" i="5" s="1"/>
  <c r="AE39" i="13"/>
  <c r="AC43" i="13"/>
  <c r="AC48" i="13" s="1"/>
  <c r="W46" i="13"/>
  <c r="X46" i="13"/>
  <c r="W42" i="13"/>
  <c r="AF39" i="13"/>
  <c r="U48" i="13"/>
  <c r="W44" i="13"/>
  <c r="W19" i="13"/>
  <c r="W28" i="13"/>
  <c r="Q46" i="18"/>
  <c r="G58" i="18"/>
  <c r="H59" i="18"/>
  <c r="H60" i="18" s="1"/>
  <c r="G59" i="18"/>
  <c r="Q45" i="8"/>
  <c r="G58" i="8"/>
  <c r="P48" i="7"/>
  <c r="W34" i="5"/>
  <c r="AF52" i="5"/>
  <c r="AE52" i="5" s="1"/>
  <c r="AC52" i="5"/>
  <c r="AB52" i="5"/>
  <c r="AD52" i="5" s="1"/>
  <c r="Z10" i="5"/>
  <c r="V58" i="5"/>
  <c r="X58" i="5" s="1"/>
  <c r="V34" i="5"/>
  <c r="W48" i="5"/>
  <c r="W58" i="5"/>
  <c r="G60" i="5"/>
  <c r="AB48" i="5"/>
  <c r="AD48" i="5" s="1"/>
  <c r="AA54" i="5"/>
  <c r="AA58" i="5" s="1"/>
  <c r="AA60" i="5" s="1"/>
  <c r="H59" i="5"/>
  <c r="H60" i="5" s="1"/>
  <c r="P48" i="5"/>
  <c r="AL60" i="5" s="1"/>
  <c r="AF27" i="5"/>
  <c r="AF34" i="5" s="1"/>
  <c r="AC27" i="5"/>
  <c r="AC34" i="5" s="1"/>
  <c r="AB27" i="5"/>
  <c r="AB34" i="5" s="1"/>
  <c r="Q45" i="5"/>
  <c r="Q48" i="5" s="1"/>
  <c r="Q49" i="5" s="1"/>
  <c r="Z45" i="5"/>
  <c r="Y45" i="5" s="1"/>
  <c r="Q59" i="18" l="1"/>
  <c r="Q48" i="18"/>
  <c r="Q49" i="18" s="1"/>
  <c r="G60" i="7"/>
  <c r="I60" i="7" s="1"/>
  <c r="K60" i="7" s="1"/>
  <c r="Q48" i="7"/>
  <c r="Q49" i="7" s="1"/>
  <c r="AE27" i="5"/>
  <c r="AD27" i="5"/>
  <c r="Z39" i="5"/>
  <c r="AG39" i="5" s="1"/>
  <c r="Z34" i="5"/>
  <c r="Y34" i="5" s="1"/>
  <c r="Y10" i="5"/>
  <c r="O34" i="18"/>
  <c r="S35" i="18" s="1"/>
  <c r="Q34" i="18"/>
  <c r="Q35" i="18" s="1"/>
  <c r="G60" i="18"/>
  <c r="I60" i="18" s="1"/>
  <c r="K60" i="18" s="1"/>
  <c r="P34" i="18"/>
  <c r="P60" i="18" s="1"/>
  <c r="Q35" i="8"/>
  <c r="G60" i="8"/>
  <c r="I60" i="8" s="1"/>
  <c r="K60" i="8" s="1"/>
  <c r="Q48" i="8"/>
  <c r="Q49" i="8" s="1"/>
  <c r="Q35" i="7"/>
  <c r="P34" i="5"/>
  <c r="AL59" i="5" s="1"/>
  <c r="AL62" i="5" s="1"/>
  <c r="S34" i="5"/>
  <c r="S35" i="5" s="1"/>
  <c r="I60" i="5"/>
  <c r="K60" i="5" s="1"/>
  <c r="W48" i="13"/>
  <c r="P49" i="18"/>
  <c r="P49" i="8"/>
  <c r="S35" i="8"/>
  <c r="P49" i="7"/>
  <c r="S34" i="7"/>
  <c r="S35" i="7" s="1"/>
  <c r="AD34" i="5"/>
  <c r="X34" i="5"/>
  <c r="V60" i="5"/>
  <c r="X60" i="5" s="1"/>
  <c r="W60" i="5"/>
  <c r="AE34" i="5"/>
  <c r="AC54" i="5"/>
  <c r="AC58" i="5" s="1"/>
  <c r="AC60" i="5" s="1"/>
  <c r="AF54" i="5"/>
  <c r="AF58" i="5" s="1"/>
  <c r="AE58" i="5" s="1"/>
  <c r="AB54" i="5"/>
  <c r="AB58" i="5" s="1"/>
  <c r="Z48" i="5"/>
  <c r="Y48" i="5" s="1"/>
  <c r="P49" i="5"/>
  <c r="AM62" i="5" l="1"/>
  <c r="Y39" i="5"/>
  <c r="Q35" i="5"/>
  <c r="AD54" i="5"/>
  <c r="AE54" i="5"/>
  <c r="P35" i="18"/>
  <c r="P35" i="8"/>
  <c r="Q58" i="8"/>
  <c r="O58" i="8"/>
  <c r="AG48" i="5"/>
  <c r="O60" i="18"/>
  <c r="P35" i="7"/>
  <c r="O58" i="7"/>
  <c r="O60" i="7" s="1"/>
  <c r="AD58" i="5"/>
  <c r="AB60" i="5"/>
  <c r="AD60" i="5" s="1"/>
  <c r="P35" i="5"/>
  <c r="AG34" i="5"/>
  <c r="AF60" i="5"/>
  <c r="AE60" i="5" s="1"/>
  <c r="O60" i="5"/>
  <c r="Z60" i="5"/>
  <c r="Y60" i="5" s="1"/>
  <c r="O60" i="8" l="1"/>
  <c r="P58" i="8"/>
  <c r="P60" i="8"/>
  <c r="Q59" i="8"/>
  <c r="Q60" i="8" s="1"/>
  <c r="Q58" i="7"/>
  <c r="P58" i="7"/>
  <c r="P60" i="7" l="1"/>
  <c r="Q59" i="7"/>
  <c r="Q60" i="7" s="1"/>
  <c r="P60" i="5"/>
  <c r="AG58" i="5"/>
  <c r="Q60" i="5" l="1"/>
  <c r="Q60" i="18"/>
  <c r="AG60" i="5"/>
  <c r="Q55" i="13" l="1"/>
  <c r="O44" i="13"/>
  <c r="O26" i="13"/>
  <c r="O25" i="13"/>
  <c r="U16" i="13"/>
  <c r="W16" i="13" s="1"/>
  <c r="H230" i="26"/>
  <c r="H231" i="26" s="1"/>
  <c r="G230" i="26"/>
  <c r="N231" i="26"/>
  <c r="M231" i="26"/>
  <c r="L231" i="26"/>
  <c r="K231" i="26"/>
  <c r="J231" i="26"/>
  <c r="I231" i="26"/>
  <c r="F230" i="26"/>
  <c r="B230" i="26"/>
  <c r="H214" i="26"/>
  <c r="H215" i="26" s="1"/>
  <c r="N215" i="26"/>
  <c r="M215" i="26"/>
  <c r="L215" i="26"/>
  <c r="K215" i="26"/>
  <c r="J215" i="26"/>
  <c r="I215" i="26"/>
  <c r="G214" i="26"/>
  <c r="G215" i="26" s="1"/>
  <c r="F214" i="26"/>
  <c r="B214" i="26"/>
  <c r="P213" i="26"/>
  <c r="Q213" i="26" s="1"/>
  <c r="O213" i="26"/>
  <c r="P207" i="26"/>
  <c r="Q207" i="26" s="1"/>
  <c r="N209" i="26"/>
  <c r="M209" i="26"/>
  <c r="L209" i="26"/>
  <c r="K209" i="26"/>
  <c r="J209" i="26"/>
  <c r="I209" i="26"/>
  <c r="H208" i="26"/>
  <c r="H209" i="26" s="1"/>
  <c r="G208" i="26"/>
  <c r="G209" i="26" s="1"/>
  <c r="F208" i="26"/>
  <c r="B208" i="26"/>
  <c r="O207" i="26"/>
  <c r="G271" i="26"/>
  <c r="G272" i="26" s="1"/>
  <c r="H271" i="26"/>
  <c r="H272" i="26" s="1"/>
  <c r="G265" i="26"/>
  <c r="G266" i="26" s="1"/>
  <c r="O264" i="26"/>
  <c r="P264" i="26" s="1"/>
  <c r="Q264" i="26" s="1"/>
  <c r="N272" i="26"/>
  <c r="M272" i="26"/>
  <c r="L272" i="26"/>
  <c r="K272" i="26"/>
  <c r="J272" i="26"/>
  <c r="I272" i="26"/>
  <c r="F271" i="26"/>
  <c r="B271" i="26"/>
  <c r="N266" i="26"/>
  <c r="M266" i="26"/>
  <c r="L266" i="26"/>
  <c r="K266" i="26"/>
  <c r="J266" i="26"/>
  <c r="I266" i="26"/>
  <c r="H265" i="26"/>
  <c r="H266" i="26" s="1"/>
  <c r="F265" i="26"/>
  <c r="B265" i="26"/>
  <c r="G259" i="26"/>
  <c r="G260" i="26" s="1"/>
  <c r="J260" i="26"/>
  <c r="H259" i="26"/>
  <c r="H260" i="26" s="1"/>
  <c r="G253" i="26"/>
  <c r="O252" i="26"/>
  <c r="P252" i="26" s="1"/>
  <c r="Q252" i="26" s="1"/>
  <c r="N260" i="26"/>
  <c r="M260" i="26"/>
  <c r="L260" i="26"/>
  <c r="K260" i="26"/>
  <c r="I260" i="26"/>
  <c r="F259" i="26"/>
  <c r="B259" i="26"/>
  <c r="N254" i="26"/>
  <c r="M254" i="26"/>
  <c r="L254" i="26"/>
  <c r="K254" i="26"/>
  <c r="J254" i="26"/>
  <c r="I254" i="26"/>
  <c r="F253" i="26"/>
  <c r="B253" i="26"/>
  <c r="G247" i="26"/>
  <c r="I248" i="26"/>
  <c r="H241" i="26"/>
  <c r="H242" i="26" s="1"/>
  <c r="G241" i="26"/>
  <c r="P240" i="26"/>
  <c r="Q240" i="26" s="1"/>
  <c r="N248" i="26"/>
  <c r="M248" i="26"/>
  <c r="L248" i="26"/>
  <c r="K248" i="26"/>
  <c r="J248" i="26"/>
  <c r="H247" i="26"/>
  <c r="H248" i="26" s="1"/>
  <c r="F247" i="26"/>
  <c r="B247" i="26"/>
  <c r="N242" i="26"/>
  <c r="M242" i="26"/>
  <c r="L242" i="26"/>
  <c r="K242" i="26"/>
  <c r="J242" i="26"/>
  <c r="I242" i="26"/>
  <c r="F241" i="26"/>
  <c r="B241" i="26"/>
  <c r="H297" i="26"/>
  <c r="H298" i="26" s="1"/>
  <c r="O296" i="26"/>
  <c r="Q296" i="26" s="1"/>
  <c r="N298" i="26"/>
  <c r="M298" i="26"/>
  <c r="L298" i="26"/>
  <c r="K298" i="26"/>
  <c r="J298" i="26"/>
  <c r="I298" i="26"/>
  <c r="G297" i="26"/>
  <c r="G298" i="26" s="1"/>
  <c r="F297" i="26"/>
  <c r="B297" i="26"/>
  <c r="G291" i="26"/>
  <c r="H291" i="26"/>
  <c r="O37" i="13" l="1"/>
  <c r="O56" i="13"/>
  <c r="O51" i="13"/>
  <c r="V51" i="13" s="1"/>
  <c r="O55" i="13"/>
  <c r="O53" i="13"/>
  <c r="V53" i="13" s="1"/>
  <c r="X53" i="13" s="1"/>
  <c r="P53" i="13"/>
  <c r="P51" i="13"/>
  <c r="O46" i="13"/>
  <c r="V46" i="13" s="1"/>
  <c r="O42" i="13"/>
  <c r="O45" i="13"/>
  <c r="V45" i="13" s="1"/>
  <c r="X45" i="13" s="1"/>
  <c r="O43" i="13"/>
  <c r="AB43" i="13" s="1"/>
  <c r="O32" i="13"/>
  <c r="O22" i="13"/>
  <c r="O15" i="13"/>
  <c r="O12" i="13"/>
  <c r="AH12" i="13" s="1"/>
  <c r="O17" i="13"/>
  <c r="O20" i="13"/>
  <c r="AB20" i="13" s="1"/>
  <c r="AD20" i="13" s="1"/>
  <c r="O23" i="13"/>
  <c r="AH23" i="13" s="1"/>
  <c r="O19" i="13"/>
  <c r="V19" i="13" s="1"/>
  <c r="X19" i="13" s="1"/>
  <c r="O10" i="13"/>
  <c r="O13" i="13"/>
  <c r="O28" i="13"/>
  <c r="O18" i="13"/>
  <c r="V18" i="13" s="1"/>
  <c r="X18" i="13" s="1"/>
  <c r="O21" i="13"/>
  <c r="O24" i="13"/>
  <c r="O11" i="13"/>
  <c r="O30" i="13"/>
  <c r="Q56" i="13"/>
  <c r="V25" i="13"/>
  <c r="X25" i="13" s="1"/>
  <c r="U14" i="13"/>
  <c r="O14" i="13"/>
  <c r="S44" i="13"/>
  <c r="Q26" i="13"/>
  <c r="S26" i="13"/>
  <c r="S25" i="13"/>
  <c r="O16" i="13"/>
  <c r="G231" i="26"/>
  <c r="P230" i="26"/>
  <c r="P229" i="26"/>
  <c r="Q229" i="26" s="1"/>
  <c r="O229" i="26"/>
  <c r="O230" i="26"/>
  <c r="O214" i="26"/>
  <c r="O215" i="26" s="1"/>
  <c r="P214" i="26"/>
  <c r="O208" i="26"/>
  <c r="O209" i="26" s="1"/>
  <c r="P208" i="26"/>
  <c r="O270" i="26"/>
  <c r="P270" i="26" s="1"/>
  <c r="Q270" i="26" s="1"/>
  <c r="O265" i="26"/>
  <c r="O271" i="26"/>
  <c r="O258" i="26"/>
  <c r="P258" i="26" s="1"/>
  <c r="Q258" i="26" s="1"/>
  <c r="H253" i="26"/>
  <c r="H254" i="26" s="1"/>
  <c r="O259" i="26"/>
  <c r="G254" i="26"/>
  <c r="P247" i="26"/>
  <c r="Q247" i="26" s="1"/>
  <c r="O246" i="26"/>
  <c r="P246" i="26"/>
  <c r="Q246" i="26" s="1"/>
  <c r="G242" i="26"/>
  <c r="O240" i="26"/>
  <c r="G248" i="26"/>
  <c r="O247" i="26"/>
  <c r="S296" i="26"/>
  <c r="O297" i="26"/>
  <c r="P296" i="26"/>
  <c r="S10" i="13" l="1"/>
  <c r="S13" i="13"/>
  <c r="Q11" i="13"/>
  <c r="P15" i="13"/>
  <c r="AF15" i="13" s="1"/>
  <c r="AE15" i="13" s="1"/>
  <c r="Q30" i="13"/>
  <c r="Q42" i="13"/>
  <c r="S24" i="13"/>
  <c r="S42" i="13"/>
  <c r="Q18" i="13"/>
  <c r="Q10" i="13"/>
  <c r="P32" i="13"/>
  <c r="Z32" i="13" s="1"/>
  <c r="Y32" i="13" s="1"/>
  <c r="P45" i="13"/>
  <c r="Z45" i="13" s="1"/>
  <c r="Y45" i="13" s="1"/>
  <c r="Q22" i="13"/>
  <c r="S18" i="13"/>
  <c r="Q28" i="13"/>
  <c r="Q13" i="13"/>
  <c r="P43" i="13"/>
  <c r="AF43" i="13" s="1"/>
  <c r="Q53" i="13"/>
  <c r="Z53" i="13" s="1"/>
  <c r="Y53" i="13" s="1"/>
  <c r="S21" i="13"/>
  <c r="S46" i="13"/>
  <c r="Q37" i="13"/>
  <c r="Q39" i="13" s="1"/>
  <c r="P24" i="13"/>
  <c r="AF24" i="13" s="1"/>
  <c r="AE24" i="13" s="1"/>
  <c r="S22" i="13"/>
  <c r="Q23" i="13"/>
  <c r="S19" i="13"/>
  <c r="Q51" i="13"/>
  <c r="P42" i="13"/>
  <c r="Z42" i="13" s="1"/>
  <c r="Y42" i="13" s="1"/>
  <c r="Q43" i="13"/>
  <c r="Q44" i="13"/>
  <c r="S43" i="13"/>
  <c r="Q19" i="13"/>
  <c r="S12" i="13"/>
  <c r="P21" i="13"/>
  <c r="Z21" i="13" s="1"/>
  <c r="Y21" i="13" s="1"/>
  <c r="P23" i="13"/>
  <c r="Z23" i="13" s="1"/>
  <c r="Y23" i="13" s="1"/>
  <c r="S32" i="13"/>
  <c r="Q32" i="13"/>
  <c r="P11" i="13"/>
  <c r="AF11" i="13" s="1"/>
  <c r="AE11" i="13" s="1"/>
  <c r="S23" i="13"/>
  <c r="Q21" i="13"/>
  <c r="Q25" i="13"/>
  <c r="P18" i="13"/>
  <c r="Z18" i="13" s="1"/>
  <c r="Y18" i="13" s="1"/>
  <c r="Q20" i="13"/>
  <c r="Q17" i="13"/>
  <c r="S28" i="13"/>
  <c r="S17" i="13"/>
  <c r="Q24" i="13"/>
  <c r="P30" i="13"/>
  <c r="Z30" i="13" s="1"/>
  <c r="Y30" i="13" s="1"/>
  <c r="S20" i="13"/>
  <c r="S30" i="13"/>
  <c r="P13" i="13"/>
  <c r="AF13" i="13" s="1"/>
  <c r="AE13" i="13" s="1"/>
  <c r="Q12" i="13"/>
  <c r="S15" i="13"/>
  <c r="S11" i="13"/>
  <c r="P10" i="13"/>
  <c r="Z10" i="13" s="1"/>
  <c r="Q15" i="13"/>
  <c r="P26" i="13"/>
  <c r="Z26" i="13" s="1"/>
  <c r="Y26" i="13" s="1"/>
  <c r="P46" i="13"/>
  <c r="Z46" i="13" s="1"/>
  <c r="V54" i="13"/>
  <c r="S45" i="13"/>
  <c r="P44" i="13"/>
  <c r="Z44" i="13" s="1"/>
  <c r="Y44" i="13" s="1"/>
  <c r="P37" i="13"/>
  <c r="P12" i="13"/>
  <c r="Z12" i="13" s="1"/>
  <c r="Y12" i="13" s="1"/>
  <c r="P22" i="13"/>
  <c r="Z22" i="13" s="1"/>
  <c r="Y22" i="13" s="1"/>
  <c r="P20" i="13"/>
  <c r="AF20" i="13" s="1"/>
  <c r="AE20" i="13" s="1"/>
  <c r="P25" i="13"/>
  <c r="Z25" i="13" s="1"/>
  <c r="Y25" i="13" s="1"/>
  <c r="P17" i="13"/>
  <c r="Z17" i="13" s="1"/>
  <c r="Y17" i="13" s="1"/>
  <c r="P19" i="13"/>
  <c r="Z19" i="13" s="1"/>
  <c r="Y19" i="13" s="1"/>
  <c r="P28" i="13"/>
  <c r="Z28" i="13" s="1"/>
  <c r="Y28" i="13" s="1"/>
  <c r="X51" i="13"/>
  <c r="X54" i="13"/>
  <c r="V23" i="13"/>
  <c r="X23" i="13" s="1"/>
  <c r="AH43" i="13"/>
  <c r="AH25" i="13"/>
  <c r="Q14" i="13"/>
  <c r="V12" i="13"/>
  <c r="X12" i="13" s="1"/>
  <c r="S14" i="13"/>
  <c r="AH14" i="13"/>
  <c r="V14" i="13"/>
  <c r="X14" i="13" s="1"/>
  <c r="W14" i="13"/>
  <c r="W34" i="13" s="1"/>
  <c r="W50" i="13" s="1"/>
  <c r="U34" i="13"/>
  <c r="U50" i="13" s="1"/>
  <c r="AH22" i="13"/>
  <c r="V22" i="13"/>
  <c r="X22" i="13" s="1"/>
  <c r="AD43" i="13"/>
  <c r="AB48" i="13"/>
  <c r="AD48" i="13" s="1"/>
  <c r="AB13" i="13"/>
  <c r="AD13" i="13" s="1"/>
  <c r="AH13" i="13"/>
  <c r="AB11" i="13"/>
  <c r="AH11" i="13"/>
  <c r="AH30" i="13"/>
  <c r="V30" i="13"/>
  <c r="X30" i="13" s="1"/>
  <c r="AH44" i="13"/>
  <c r="V44" i="13"/>
  <c r="X44" i="13" s="1"/>
  <c r="AH17" i="13"/>
  <c r="V17" i="13"/>
  <c r="X17" i="13" s="1"/>
  <c r="AH16" i="13"/>
  <c r="V16" i="13"/>
  <c r="X16" i="13" s="1"/>
  <c r="AH26" i="13"/>
  <c r="V26" i="13"/>
  <c r="X26" i="13" s="1"/>
  <c r="V21" i="13"/>
  <c r="X21" i="13" s="1"/>
  <c r="AH21" i="13"/>
  <c r="AH42" i="13"/>
  <c r="V42" i="13"/>
  <c r="X42" i="13" s="1"/>
  <c r="AH15" i="13"/>
  <c r="AB15" i="13"/>
  <c r="AD15" i="13" s="1"/>
  <c r="AH24" i="13"/>
  <c r="AB24" i="13"/>
  <c r="AD24" i="13" s="1"/>
  <c r="AH10" i="13"/>
  <c r="V10" i="13"/>
  <c r="V37" i="13"/>
  <c r="O39" i="13"/>
  <c r="AH32" i="13"/>
  <c r="V32" i="13"/>
  <c r="X32" i="13" s="1"/>
  <c r="AH28" i="13"/>
  <c r="V28" i="13"/>
  <c r="X28" i="13" s="1"/>
  <c r="S16" i="13"/>
  <c r="Q16" i="13"/>
  <c r="P231" i="26"/>
  <c r="Q230" i="26"/>
  <c r="Q231" i="26" s="1"/>
  <c r="O231" i="26"/>
  <c r="P215" i="26"/>
  <c r="Q214" i="26"/>
  <c r="Q215" i="26" s="1"/>
  <c r="P209" i="26"/>
  <c r="Q208" i="26"/>
  <c r="Q209" i="26" s="1"/>
  <c r="O272" i="26"/>
  <c r="P271" i="26"/>
  <c r="O266" i="26"/>
  <c r="P265" i="26"/>
  <c r="O253" i="26"/>
  <c r="O254" i="26" s="1"/>
  <c r="O260" i="26"/>
  <c r="P259" i="26"/>
  <c r="O248" i="26"/>
  <c r="Q248" i="26"/>
  <c r="P248" i="26"/>
  <c r="P241" i="26"/>
  <c r="P242" i="26" s="1"/>
  <c r="O241" i="26"/>
  <c r="O242" i="26" s="1"/>
  <c r="S297" i="26"/>
  <c r="S298" i="26" s="1"/>
  <c r="Q297" i="26"/>
  <c r="Q298" i="26" s="1"/>
  <c r="O298" i="26"/>
  <c r="P297" i="26"/>
  <c r="P298" i="26" s="1"/>
  <c r="Q40" i="13" l="1"/>
  <c r="Q58" i="13"/>
  <c r="Q45" i="13"/>
  <c r="Q46" i="13"/>
  <c r="P14" i="13"/>
  <c r="Z14" i="13" s="1"/>
  <c r="Y14" i="13" s="1"/>
  <c r="P16" i="13"/>
  <c r="Z16" i="13" s="1"/>
  <c r="Y16" i="13" s="1"/>
  <c r="Z51" i="13"/>
  <c r="Y51" i="13" s="1"/>
  <c r="AA27" i="13"/>
  <c r="AB27" i="13" s="1"/>
  <c r="AD27" i="13" s="1"/>
  <c r="AA52" i="13"/>
  <c r="V39" i="13"/>
  <c r="X39" i="13" s="1"/>
  <c r="X37" i="13"/>
  <c r="AD11" i="13"/>
  <c r="Z37" i="13"/>
  <c r="P39" i="13"/>
  <c r="X10" i="13"/>
  <c r="V34" i="13"/>
  <c r="AE43" i="13"/>
  <c r="AF48" i="13"/>
  <c r="AE48" i="13" s="1"/>
  <c r="Y10" i="13"/>
  <c r="P266" i="26"/>
  <c r="Q265" i="26"/>
  <c r="Q266" i="26" s="1"/>
  <c r="P272" i="26"/>
  <c r="Q271" i="26"/>
  <c r="Q272" i="26" s="1"/>
  <c r="P253" i="26"/>
  <c r="P254" i="26" s="1"/>
  <c r="P260" i="26"/>
  <c r="Q259" i="26"/>
  <c r="Q260" i="26" s="1"/>
  <c r="Q241" i="26"/>
  <c r="Q242" i="26" s="1"/>
  <c r="Q48" i="13" l="1"/>
  <c r="P40" i="13"/>
  <c r="AH27" i="13"/>
  <c r="AF27" i="13"/>
  <c r="AE27" i="13" s="1"/>
  <c r="AC27" i="13"/>
  <c r="AC52" i="13"/>
  <c r="AB52" i="13"/>
  <c r="AD52" i="13" s="1"/>
  <c r="Z34" i="13"/>
  <c r="Y34" i="13" s="1"/>
  <c r="X34" i="13"/>
  <c r="Z39" i="13"/>
  <c r="Y39" i="13" s="1"/>
  <c r="Y37" i="13"/>
  <c r="O34" i="13"/>
  <c r="Q253" i="26"/>
  <c r="Q254" i="26" s="1"/>
  <c r="H292" i="26"/>
  <c r="N292" i="26"/>
  <c r="M292" i="26"/>
  <c r="L292" i="26"/>
  <c r="K292" i="26"/>
  <c r="J292" i="26"/>
  <c r="I292" i="26"/>
  <c r="F291" i="26"/>
  <c r="B291" i="26"/>
  <c r="O290" i="26"/>
  <c r="Q290" i="26" s="1"/>
  <c r="S35" i="13" l="1"/>
  <c r="S34" i="13"/>
  <c r="P34" i="13"/>
  <c r="Q34" i="13"/>
  <c r="AF52" i="13"/>
  <c r="AE52" i="13" s="1"/>
  <c r="P35" i="13"/>
  <c r="AG39" i="13"/>
  <c r="AH33" i="13"/>
  <c r="O291" i="26"/>
  <c r="O292" i="26" s="1"/>
  <c r="P290" i="26"/>
  <c r="S290" i="26"/>
  <c r="G292" i="26"/>
  <c r="Q35" i="13" l="1"/>
  <c r="Q291" i="26"/>
  <c r="Q292" i="26" s="1"/>
  <c r="S291" i="26"/>
  <c r="S292" i="26" s="1"/>
  <c r="P291" i="26"/>
  <c r="P292" i="26" s="1"/>
  <c r="Q59" i="13" l="1"/>
  <c r="G224" i="26"/>
  <c r="G225" i="26" s="1"/>
  <c r="N225" i="26"/>
  <c r="M225" i="26"/>
  <c r="L225" i="26"/>
  <c r="K225" i="26"/>
  <c r="J225" i="26"/>
  <c r="I225" i="26"/>
  <c r="H224" i="26"/>
  <c r="H225" i="26" s="1"/>
  <c r="F224" i="26"/>
  <c r="B224" i="26"/>
  <c r="O223" i="26"/>
  <c r="P223" i="26" s="1"/>
  <c r="Q223" i="26" s="1"/>
  <c r="O224" i="26" l="1"/>
  <c r="O225" i="26" s="1"/>
  <c r="P224" i="26" l="1"/>
  <c r="Q224" i="26" s="1"/>
  <c r="Q225" i="26" s="1"/>
  <c r="P225" i="26" l="1"/>
  <c r="O15" i="26" l="1"/>
  <c r="S15" i="26" s="1"/>
  <c r="N198" i="26"/>
  <c r="W197" i="26"/>
  <c r="U197" i="26"/>
  <c r="X197" i="26" s="1"/>
  <c r="J197" i="26"/>
  <c r="H197" i="26"/>
  <c r="AA197" i="26" s="1"/>
  <c r="W196" i="26"/>
  <c r="U196" i="26"/>
  <c r="Z196" i="26" s="1"/>
  <c r="J196" i="26"/>
  <c r="H196" i="26"/>
  <c r="W195" i="26"/>
  <c r="U195" i="26"/>
  <c r="Z195" i="26" s="1"/>
  <c r="J195" i="26"/>
  <c r="H195" i="26"/>
  <c r="AA195" i="26" s="1"/>
  <c r="W194" i="26"/>
  <c r="U194" i="26"/>
  <c r="Z194" i="26" s="1"/>
  <c r="J194" i="26"/>
  <c r="H194" i="26"/>
  <c r="AA194" i="26" s="1"/>
  <c r="W193" i="26"/>
  <c r="U193" i="26"/>
  <c r="Z193" i="26" s="1"/>
  <c r="J193" i="26"/>
  <c r="H193" i="26"/>
  <c r="AA193" i="26" s="1"/>
  <c r="W188" i="26"/>
  <c r="U188" i="26"/>
  <c r="Z188" i="26" s="1"/>
  <c r="I188" i="26"/>
  <c r="G188" i="26"/>
  <c r="AA188" i="26" s="1"/>
  <c r="W187" i="26"/>
  <c r="U187" i="26"/>
  <c r="Z187" i="26" s="1"/>
  <c r="I187" i="26"/>
  <c r="G187" i="26"/>
  <c r="AA187" i="26" s="1"/>
  <c r="W186" i="26"/>
  <c r="U186" i="26"/>
  <c r="Y186" i="26" s="1"/>
  <c r="I186" i="26"/>
  <c r="G186" i="26"/>
  <c r="AA186" i="26" s="1"/>
  <c r="W185" i="26"/>
  <c r="U185" i="26"/>
  <c r="V185" i="26" s="1"/>
  <c r="I185" i="26"/>
  <c r="G185" i="26"/>
  <c r="AA185" i="26" s="1"/>
  <c r="Z184" i="26"/>
  <c r="Y184" i="26"/>
  <c r="X184" i="26"/>
  <c r="W184" i="26"/>
  <c r="I184" i="26"/>
  <c r="G184" i="26"/>
  <c r="AA184" i="26" s="1"/>
  <c r="N181" i="26"/>
  <c r="N184" i="26" s="1"/>
  <c r="N189" i="26" s="1"/>
  <c r="H181" i="26"/>
  <c r="G181" i="26"/>
  <c r="AA180" i="26"/>
  <c r="W180" i="26"/>
  <c r="U180" i="26"/>
  <c r="Y180" i="26" s="1"/>
  <c r="O180" i="26"/>
  <c r="S180" i="26" s="1"/>
  <c r="AA179" i="26"/>
  <c r="W179" i="26"/>
  <c r="U179" i="26"/>
  <c r="Y179" i="26" s="1"/>
  <c r="O179" i="26"/>
  <c r="S179" i="26" s="1"/>
  <c r="AA178" i="26"/>
  <c r="W178" i="26"/>
  <c r="U178" i="26"/>
  <c r="X178" i="26" s="1"/>
  <c r="O178" i="26"/>
  <c r="S178" i="26" s="1"/>
  <c r="AA177" i="26"/>
  <c r="W177" i="26"/>
  <c r="U177" i="26"/>
  <c r="Z177" i="26" s="1"/>
  <c r="O177" i="26"/>
  <c r="S177" i="26" s="1"/>
  <c r="AA176" i="26"/>
  <c r="W176" i="26"/>
  <c r="U176" i="26"/>
  <c r="Z176" i="26" s="1"/>
  <c r="O176" i="26"/>
  <c r="P171" i="26"/>
  <c r="Q171" i="26" s="1"/>
  <c r="O171" i="26"/>
  <c r="J170" i="26"/>
  <c r="H170" i="26"/>
  <c r="J169" i="26"/>
  <c r="H169" i="26"/>
  <c r="J168" i="26"/>
  <c r="H168" i="26"/>
  <c r="P163" i="26"/>
  <c r="Q163" i="26" s="1"/>
  <c r="O163" i="26"/>
  <c r="O162" i="26"/>
  <c r="P162" i="26" s="1"/>
  <c r="Q162" i="26" s="1"/>
  <c r="I161" i="26"/>
  <c r="G161" i="26"/>
  <c r="G160" i="26"/>
  <c r="H155" i="26"/>
  <c r="G155" i="26"/>
  <c r="P154" i="26"/>
  <c r="Q154" i="26" s="1"/>
  <c r="O154" i="26"/>
  <c r="O153" i="26"/>
  <c r="P153" i="26" s="1"/>
  <c r="Q153" i="26" s="1"/>
  <c r="O152" i="26"/>
  <c r="P152" i="26" s="1"/>
  <c r="P151" i="26"/>
  <c r="P65" i="26" s="1"/>
  <c r="O151" i="26"/>
  <c r="N145" i="26"/>
  <c r="G145" i="26"/>
  <c r="J144" i="26"/>
  <c r="H144" i="26"/>
  <c r="J143" i="26"/>
  <c r="H143" i="26"/>
  <c r="W142" i="26"/>
  <c r="U142" i="26"/>
  <c r="Z142" i="26" s="1"/>
  <c r="J142" i="26"/>
  <c r="H142" i="26"/>
  <c r="AA142" i="26" s="1"/>
  <c r="W141" i="26"/>
  <c r="U141" i="26"/>
  <c r="Z141" i="26" s="1"/>
  <c r="J141" i="26"/>
  <c r="H141" i="26"/>
  <c r="W140" i="26"/>
  <c r="U140" i="26"/>
  <c r="V140" i="26" s="1"/>
  <c r="J140" i="26"/>
  <c r="H140" i="26"/>
  <c r="AA140" i="26" s="1"/>
  <c r="AD140" i="26" s="1"/>
  <c r="W139" i="26"/>
  <c r="U139" i="26"/>
  <c r="Z139" i="26" s="1"/>
  <c r="J139" i="26"/>
  <c r="H139" i="26"/>
  <c r="AA139" i="26" s="1"/>
  <c r="W138" i="26"/>
  <c r="U138" i="26"/>
  <c r="Z138" i="26" s="1"/>
  <c r="J138" i="26"/>
  <c r="H138" i="26"/>
  <c r="AA138" i="26" s="1"/>
  <c r="I133" i="26"/>
  <c r="G133" i="26"/>
  <c r="I132" i="26"/>
  <c r="G132" i="26"/>
  <c r="W131" i="26"/>
  <c r="U131" i="26"/>
  <c r="Y131" i="26" s="1"/>
  <c r="I131" i="26"/>
  <c r="G131" i="26"/>
  <c r="W130" i="26"/>
  <c r="U130" i="26"/>
  <c r="Y130" i="26" s="1"/>
  <c r="I130" i="26"/>
  <c r="G130" i="26"/>
  <c r="AA130" i="26" s="1"/>
  <c r="AE130" i="26" s="1"/>
  <c r="W129" i="26"/>
  <c r="U129" i="26"/>
  <c r="Z129" i="26" s="1"/>
  <c r="I129" i="26"/>
  <c r="G129" i="26"/>
  <c r="W128" i="26"/>
  <c r="U128" i="26"/>
  <c r="X128" i="26" s="1"/>
  <c r="I128" i="26"/>
  <c r="G128" i="26"/>
  <c r="AA128" i="26" s="1"/>
  <c r="Z127" i="26"/>
  <c r="Y127" i="26"/>
  <c r="X127" i="26"/>
  <c r="W127" i="26"/>
  <c r="I127" i="26"/>
  <c r="G127" i="26"/>
  <c r="N124" i="26"/>
  <c r="H124" i="26"/>
  <c r="G124" i="26"/>
  <c r="O123" i="26"/>
  <c r="S123" i="26" s="1"/>
  <c r="O122" i="26"/>
  <c r="S122" i="26" s="1"/>
  <c r="AA121" i="26"/>
  <c r="Y121" i="26"/>
  <c r="X121" i="26"/>
  <c r="W121" i="26"/>
  <c r="O121" i="26"/>
  <c r="S121" i="26" s="1"/>
  <c r="AA120" i="26"/>
  <c r="W120" i="26"/>
  <c r="U120" i="26"/>
  <c r="Z120" i="26" s="1"/>
  <c r="O120" i="26"/>
  <c r="P120" i="26" s="1"/>
  <c r="AA119" i="26"/>
  <c r="AE119" i="26" s="1"/>
  <c r="W119" i="26"/>
  <c r="U119" i="26"/>
  <c r="V119" i="26" s="1"/>
  <c r="O119" i="26"/>
  <c r="S119" i="26" s="1"/>
  <c r="AA118" i="26"/>
  <c r="Y118" i="26"/>
  <c r="X118" i="26"/>
  <c r="W118" i="26"/>
  <c r="O118" i="26"/>
  <c r="S118" i="26" s="1"/>
  <c r="AA117" i="26"/>
  <c r="Y117" i="26"/>
  <c r="X117" i="26"/>
  <c r="W117" i="26"/>
  <c r="O117" i="26"/>
  <c r="J107" i="26"/>
  <c r="H107" i="26"/>
  <c r="J106" i="26"/>
  <c r="H106" i="26"/>
  <c r="J105" i="26"/>
  <c r="H105" i="26"/>
  <c r="J104" i="26"/>
  <c r="H104" i="26"/>
  <c r="I99" i="26"/>
  <c r="G99" i="26"/>
  <c r="I98" i="26"/>
  <c r="G98" i="26"/>
  <c r="I97" i="26"/>
  <c r="G97" i="26"/>
  <c r="I96" i="26"/>
  <c r="G96" i="26"/>
  <c r="H92" i="26"/>
  <c r="G92" i="26"/>
  <c r="P91" i="26"/>
  <c r="Q91" i="26" s="1"/>
  <c r="S91" i="26" s="1"/>
  <c r="O91" i="26"/>
  <c r="O90" i="26"/>
  <c r="P90" i="26" s="1"/>
  <c r="Q90" i="26" s="1"/>
  <c r="O89" i="26"/>
  <c r="P89" i="26" s="1"/>
  <c r="Q89" i="26" s="1"/>
  <c r="O88" i="26"/>
  <c r="P88" i="26" s="1"/>
  <c r="A84" i="26"/>
  <c r="H80" i="26"/>
  <c r="H79" i="26"/>
  <c r="M78" i="26"/>
  <c r="N77" i="26"/>
  <c r="M77" i="26"/>
  <c r="N76" i="26"/>
  <c r="M76" i="26"/>
  <c r="H76" i="26"/>
  <c r="N75" i="26"/>
  <c r="H75" i="26"/>
  <c r="M71" i="26"/>
  <c r="C70" i="26"/>
  <c r="C69" i="26"/>
  <c r="AC68" i="26"/>
  <c r="AA68" i="26"/>
  <c r="AF68" i="26" s="1"/>
  <c r="W68" i="26"/>
  <c r="U68" i="26"/>
  <c r="Z68" i="26" s="1"/>
  <c r="AA67" i="26"/>
  <c r="W67" i="26"/>
  <c r="U67" i="26"/>
  <c r="Z67" i="26" s="1"/>
  <c r="P67" i="26"/>
  <c r="Q67" i="26" s="1"/>
  <c r="O67" i="26"/>
  <c r="AC66" i="26"/>
  <c r="AA66" i="26"/>
  <c r="AB66" i="26" s="1"/>
  <c r="U66" i="26"/>
  <c r="P66" i="26"/>
  <c r="Q66" i="26" s="1"/>
  <c r="O66" i="26"/>
  <c r="W65" i="26"/>
  <c r="U65" i="26"/>
  <c r="AC64" i="26"/>
  <c r="AA64" i="26"/>
  <c r="AF64" i="26" s="1"/>
  <c r="U64" i="26"/>
  <c r="P64" i="26"/>
  <c r="Q64" i="26" s="1"/>
  <c r="O64" i="26"/>
  <c r="W63" i="26"/>
  <c r="U63" i="26"/>
  <c r="V63" i="26" s="1"/>
  <c r="AC62" i="26"/>
  <c r="AA62" i="26"/>
  <c r="AF62" i="26" s="1"/>
  <c r="U62" i="26"/>
  <c r="P62" i="26"/>
  <c r="O62" i="26"/>
  <c r="C60" i="26"/>
  <c r="C59" i="26"/>
  <c r="AC58" i="26"/>
  <c r="AA58" i="26"/>
  <c r="AF58" i="26" s="1"/>
  <c r="W58" i="26"/>
  <c r="U58" i="26"/>
  <c r="Z58" i="26" s="1"/>
  <c r="AC57" i="26"/>
  <c r="AA57" i="26"/>
  <c r="AD57" i="26" s="1"/>
  <c r="U57" i="26"/>
  <c r="Y57" i="26" s="1"/>
  <c r="O57" i="26"/>
  <c r="P57" i="26" s="1"/>
  <c r="AC56" i="26"/>
  <c r="AA56" i="26"/>
  <c r="AF56" i="26" s="1"/>
  <c r="U56" i="26"/>
  <c r="O56" i="26"/>
  <c r="S56" i="26" s="1"/>
  <c r="AC55" i="26"/>
  <c r="AA55" i="26"/>
  <c r="AD55" i="26" s="1"/>
  <c r="U55" i="26"/>
  <c r="O55" i="26"/>
  <c r="S55" i="26" s="1"/>
  <c r="AC54" i="26"/>
  <c r="AA54" i="26"/>
  <c r="AF54" i="26" s="1"/>
  <c r="U54" i="26"/>
  <c r="O54" i="26"/>
  <c r="P54" i="26" s="1"/>
  <c r="AC53" i="26"/>
  <c r="AA53" i="26"/>
  <c r="U53" i="26"/>
  <c r="O53" i="26"/>
  <c r="P53" i="26" s="1"/>
  <c r="AA52" i="26"/>
  <c r="W52" i="26"/>
  <c r="U52" i="26"/>
  <c r="Y52" i="26" s="1"/>
  <c r="O52" i="26"/>
  <c r="P52" i="26" s="1"/>
  <c r="AC51" i="26"/>
  <c r="AA51" i="26"/>
  <c r="AB51" i="26" s="1"/>
  <c r="U51" i="26"/>
  <c r="X51" i="26" s="1"/>
  <c r="O51" i="26"/>
  <c r="S51" i="26" s="1"/>
  <c r="AC50" i="26"/>
  <c r="AA50" i="26"/>
  <c r="AD50" i="26" s="1"/>
  <c r="U50" i="26"/>
  <c r="O50" i="26"/>
  <c r="Q50" i="26" s="1"/>
  <c r="C48" i="26"/>
  <c r="S47" i="26"/>
  <c r="S48" i="26" s="1"/>
  <c r="C47" i="26"/>
  <c r="AC46" i="26"/>
  <c r="AA46" i="26"/>
  <c r="AB46" i="26" s="1"/>
  <c r="W46" i="26"/>
  <c r="U46" i="26"/>
  <c r="AC45" i="26"/>
  <c r="AA45" i="26"/>
  <c r="AF45" i="26" s="1"/>
  <c r="U45" i="26"/>
  <c r="O45" i="26"/>
  <c r="Q45" i="26" s="1"/>
  <c r="Q47" i="26" s="1"/>
  <c r="Q48" i="26" s="1"/>
  <c r="C43" i="26"/>
  <c r="C42" i="26"/>
  <c r="AC41" i="26"/>
  <c r="AA41" i="26"/>
  <c r="AB41" i="26" s="1"/>
  <c r="W41" i="26"/>
  <c r="U41" i="26"/>
  <c r="Y41" i="26" s="1"/>
  <c r="O40" i="26"/>
  <c r="P40" i="26" s="1"/>
  <c r="O38" i="26"/>
  <c r="O37" i="26"/>
  <c r="AC36" i="26"/>
  <c r="AA36" i="26"/>
  <c r="AD36" i="26" s="1"/>
  <c r="U36" i="26"/>
  <c r="X36" i="26" s="1"/>
  <c r="O36" i="26"/>
  <c r="AA35" i="26"/>
  <c r="AD35" i="26" s="1"/>
  <c r="W35" i="26"/>
  <c r="U35" i="26"/>
  <c r="O35" i="26"/>
  <c r="S35" i="26" s="1"/>
  <c r="AC34" i="26"/>
  <c r="AA34" i="26"/>
  <c r="AF34" i="26" s="1"/>
  <c r="U34" i="26"/>
  <c r="X34" i="26" s="1"/>
  <c r="O34" i="26"/>
  <c r="AC33" i="26"/>
  <c r="AA33" i="26"/>
  <c r="AB33" i="26" s="1"/>
  <c r="U33" i="26"/>
  <c r="O33" i="26"/>
  <c r="S33" i="26" s="1"/>
  <c r="AA32" i="26"/>
  <c r="W32" i="26"/>
  <c r="U32" i="26"/>
  <c r="O32" i="26"/>
  <c r="AC31" i="26"/>
  <c r="AA31" i="26"/>
  <c r="AE31" i="26" s="1"/>
  <c r="U31" i="26"/>
  <c r="X31" i="26" s="1"/>
  <c r="O31" i="26"/>
  <c r="W30" i="26"/>
  <c r="U30" i="26"/>
  <c r="AC29" i="26"/>
  <c r="AA29" i="26"/>
  <c r="AF29" i="26" s="1"/>
  <c r="U29" i="26"/>
  <c r="O29" i="26"/>
  <c r="P29" i="26" s="1"/>
  <c r="AC28" i="26"/>
  <c r="AA28" i="26"/>
  <c r="AD28" i="26" s="1"/>
  <c r="U28" i="26"/>
  <c r="O28" i="26"/>
  <c r="AC27" i="26"/>
  <c r="AA27" i="26"/>
  <c r="AF27" i="26" s="1"/>
  <c r="U27" i="26"/>
  <c r="O27" i="26"/>
  <c r="P27" i="26" s="1"/>
  <c r="AA26" i="26"/>
  <c r="W26" i="26"/>
  <c r="U26" i="26"/>
  <c r="Z26" i="26" s="1"/>
  <c r="O26" i="26"/>
  <c r="S26" i="26" s="1"/>
  <c r="AC25" i="26"/>
  <c r="AA25" i="26"/>
  <c r="AD25" i="26" s="1"/>
  <c r="U25" i="26"/>
  <c r="O25" i="26"/>
  <c r="S25" i="26" s="1"/>
  <c r="AC24" i="26"/>
  <c r="AA24" i="26"/>
  <c r="AF24" i="26" s="1"/>
  <c r="U24" i="26"/>
  <c r="O24" i="26"/>
  <c r="P24" i="26" s="1"/>
  <c r="AA23" i="26"/>
  <c r="AD23" i="26" s="1"/>
  <c r="W23" i="26"/>
  <c r="U23" i="26"/>
  <c r="V23" i="26" s="1"/>
  <c r="O23" i="26"/>
  <c r="AC22" i="26"/>
  <c r="AA22" i="26"/>
  <c r="AD22" i="26" s="1"/>
  <c r="U22" i="26"/>
  <c r="O22" i="26"/>
  <c r="P22" i="26" s="1"/>
  <c r="AC21" i="26"/>
  <c r="AA21" i="26"/>
  <c r="AB21" i="26" s="1"/>
  <c r="U21" i="26"/>
  <c r="O21" i="26"/>
  <c r="S21" i="26" s="1"/>
  <c r="AA20" i="26"/>
  <c r="W20" i="26"/>
  <c r="U20" i="26"/>
  <c r="V20" i="26" s="1"/>
  <c r="O20" i="26"/>
  <c r="AC19" i="26"/>
  <c r="AA19" i="26"/>
  <c r="AF19" i="26" s="1"/>
  <c r="U19" i="26"/>
  <c r="O19" i="26"/>
  <c r="P19" i="26" s="1"/>
  <c r="AC18" i="26"/>
  <c r="AA18" i="26"/>
  <c r="U18" i="26"/>
  <c r="O18" i="26"/>
  <c r="P18" i="26" s="1"/>
  <c r="AC17" i="26"/>
  <c r="AA17" i="26"/>
  <c r="AD17" i="26" s="1"/>
  <c r="U17" i="26"/>
  <c r="O17" i="26"/>
  <c r="P17" i="26" s="1"/>
  <c r="AC16" i="26"/>
  <c r="AA16" i="26"/>
  <c r="AB16" i="26" s="1"/>
  <c r="U16" i="26"/>
  <c r="O16" i="26"/>
  <c r="S16" i="26" s="1"/>
  <c r="AC14" i="26"/>
  <c r="AA14" i="26"/>
  <c r="AD14" i="26" s="1"/>
  <c r="U14" i="26"/>
  <c r="O14" i="26"/>
  <c r="Q14" i="26" s="1"/>
  <c r="AA13" i="26"/>
  <c r="W13" i="26"/>
  <c r="U13" i="26"/>
  <c r="O13" i="26"/>
  <c r="P13" i="26" s="1"/>
  <c r="AC12" i="26"/>
  <c r="AA12" i="26"/>
  <c r="AF12" i="26" s="1"/>
  <c r="U12" i="26"/>
  <c r="O12" i="26"/>
  <c r="P12" i="26" s="1"/>
  <c r="AA11" i="26"/>
  <c r="W11" i="26"/>
  <c r="U11" i="26"/>
  <c r="X11" i="26" s="1"/>
  <c r="O11" i="26"/>
  <c r="P11" i="26" s="1"/>
  <c r="AC10" i="26"/>
  <c r="AA10" i="26"/>
  <c r="AD10" i="26" s="1"/>
  <c r="U10" i="26"/>
  <c r="O10" i="26"/>
  <c r="Q10" i="26" s="1"/>
  <c r="A5" i="26"/>
  <c r="A4" i="26"/>
  <c r="W1" i="26"/>
  <c r="O196" i="26" l="1"/>
  <c r="W34" i="26"/>
  <c r="O195" i="26"/>
  <c r="O197" i="26"/>
  <c r="P168" i="26"/>
  <c r="AF11" i="26"/>
  <c r="AE11" i="26" s="1"/>
  <c r="V142" i="26"/>
  <c r="O141" i="26"/>
  <c r="Q141" i="26" s="1"/>
  <c r="O143" i="26"/>
  <c r="S143" i="26" s="1"/>
  <c r="AF120" i="26"/>
  <c r="AF31" i="26"/>
  <c r="AB31" i="26"/>
  <c r="V31" i="26"/>
  <c r="O168" i="26"/>
  <c r="X68" i="26"/>
  <c r="O144" i="26"/>
  <c r="S144" i="26" s="1"/>
  <c r="Z64" i="26"/>
  <c r="Y64" i="26" s="1"/>
  <c r="Z180" i="26"/>
  <c r="Y31" i="26"/>
  <c r="AE36" i="26"/>
  <c r="Q120" i="26"/>
  <c r="AD31" i="26"/>
  <c r="AB45" i="26"/>
  <c r="O97" i="26"/>
  <c r="P97" i="26" s="1"/>
  <c r="Q97" i="26" s="1"/>
  <c r="O140" i="26"/>
  <c r="S140" i="26" s="1"/>
  <c r="Z179" i="26"/>
  <c r="Y36" i="26"/>
  <c r="O170" i="26"/>
  <c r="P170" i="26" s="1"/>
  <c r="Q170" i="26" s="1"/>
  <c r="AB36" i="26"/>
  <c r="O131" i="26"/>
  <c r="Q131" i="26" s="1"/>
  <c r="AC47" i="26"/>
  <c r="AD16" i="26"/>
  <c r="AF36" i="26"/>
  <c r="S120" i="26"/>
  <c r="Y34" i="26"/>
  <c r="O161" i="26"/>
  <c r="P161" i="26" s="1"/>
  <c r="Q161" i="26" s="1"/>
  <c r="V197" i="26"/>
  <c r="V128" i="26"/>
  <c r="Y197" i="26"/>
  <c r="AD51" i="26"/>
  <c r="O194" i="26"/>
  <c r="S194" i="26" s="1"/>
  <c r="O139" i="26"/>
  <c r="S139" i="26" s="1"/>
  <c r="Q52" i="26"/>
  <c r="S52" i="26"/>
  <c r="V56" i="26"/>
  <c r="X56" i="26" s="1"/>
  <c r="N127" i="26"/>
  <c r="N134" i="26" s="1"/>
  <c r="N30" i="26"/>
  <c r="N71" i="26" s="1"/>
  <c r="S19" i="26"/>
  <c r="Z66" i="26"/>
  <c r="Y66" i="26" s="1"/>
  <c r="V66" i="26"/>
  <c r="X66" i="26" s="1"/>
  <c r="O155" i="26"/>
  <c r="Q151" i="26"/>
  <c r="Q65" i="26" s="1"/>
  <c r="V64" i="26"/>
  <c r="X64" i="26" s="1"/>
  <c r="P107" i="26"/>
  <c r="Q107" i="26" s="1"/>
  <c r="O98" i="26"/>
  <c r="P98" i="26" s="1"/>
  <c r="Q98" i="26" s="1"/>
  <c r="Y63" i="26"/>
  <c r="P99" i="26"/>
  <c r="Q99" i="26" s="1"/>
  <c r="Z63" i="26"/>
  <c r="V62" i="26"/>
  <c r="X62" i="26" s="1"/>
  <c r="AE62" i="26"/>
  <c r="P55" i="26"/>
  <c r="Z55" i="26" s="1"/>
  <c r="V55" i="26"/>
  <c r="X179" i="26"/>
  <c r="V179" i="26"/>
  <c r="AB178" i="26"/>
  <c r="AD178" i="26" s="1"/>
  <c r="Q180" i="26"/>
  <c r="V187" i="26"/>
  <c r="AB179" i="26"/>
  <c r="P178" i="26"/>
  <c r="AF178" i="26" s="1"/>
  <c r="AE178" i="26" s="1"/>
  <c r="Y178" i="26"/>
  <c r="AB177" i="26"/>
  <c r="O181" i="26"/>
  <c r="O39" i="26" s="1"/>
  <c r="Q40" i="26"/>
  <c r="S40" i="26"/>
  <c r="W31" i="26"/>
  <c r="AC35" i="26"/>
  <c r="X129" i="26"/>
  <c r="Q119" i="26"/>
  <c r="Y129" i="26"/>
  <c r="G134" i="26"/>
  <c r="G30" i="26" s="1"/>
  <c r="O130" i="26"/>
  <c r="Q130" i="26" s="1"/>
  <c r="Y119" i="26"/>
  <c r="P121" i="26"/>
  <c r="Z121" i="26" s="1"/>
  <c r="Z128" i="26"/>
  <c r="V57" i="26"/>
  <c r="AE54" i="26"/>
  <c r="AD54" i="26"/>
  <c r="AE57" i="26"/>
  <c r="X55" i="26"/>
  <c r="AE46" i="26"/>
  <c r="AF46" i="26"/>
  <c r="AF47" i="26" s="1"/>
  <c r="Z52" i="26"/>
  <c r="AD58" i="26"/>
  <c r="AF55" i="26"/>
  <c r="AE58" i="26"/>
  <c r="O47" i="26"/>
  <c r="Z53" i="26"/>
  <c r="Y53" i="26" s="1"/>
  <c r="P56" i="26"/>
  <c r="Q56" i="26" s="1"/>
  <c r="Q54" i="26"/>
  <c r="AD56" i="26"/>
  <c r="AF50" i="26"/>
  <c r="S54" i="26"/>
  <c r="V54" i="26"/>
  <c r="S57" i="26"/>
  <c r="Q57" i="26" s="1"/>
  <c r="AD33" i="26"/>
  <c r="AE33" i="26"/>
  <c r="AB24" i="26"/>
  <c r="AE24" i="26"/>
  <c r="V25" i="26"/>
  <c r="X25" i="26" s="1"/>
  <c r="AD21" i="26"/>
  <c r="AD27" i="26"/>
  <c r="P15" i="26"/>
  <c r="Q15" i="26"/>
  <c r="P155" i="26"/>
  <c r="Q152" i="26"/>
  <c r="W66" i="26"/>
  <c r="V53" i="26"/>
  <c r="X53" i="26" s="1"/>
  <c r="AA47" i="26"/>
  <c r="AE47" i="26" s="1"/>
  <c r="W53" i="26"/>
  <c r="Y55" i="26"/>
  <c r="W57" i="26"/>
  <c r="AB64" i="26"/>
  <c r="AD68" i="26"/>
  <c r="O105" i="26"/>
  <c r="P105" i="26" s="1"/>
  <c r="Q105" i="26" s="1"/>
  <c r="X130" i="26"/>
  <c r="AE66" i="26"/>
  <c r="S90" i="26"/>
  <c r="Z130" i="26"/>
  <c r="AB57" i="26"/>
  <c r="AD64" i="26"/>
  <c r="AF66" i="26"/>
  <c r="AC130" i="26"/>
  <c r="AC121" i="26"/>
  <c r="AB34" i="26"/>
  <c r="P45" i="26"/>
  <c r="P47" i="26" s="1"/>
  <c r="P48" i="26" s="1"/>
  <c r="AE55" i="26"/>
  <c r="AB62" i="26"/>
  <c r="AE64" i="26"/>
  <c r="O106" i="26"/>
  <c r="P106" i="26" s="1"/>
  <c r="Q106" i="26" s="1"/>
  <c r="S125" i="26"/>
  <c r="Y128" i="26"/>
  <c r="AD130" i="26"/>
  <c r="V139" i="26"/>
  <c r="AA141" i="26"/>
  <c r="AC141" i="26" s="1"/>
  <c r="AC179" i="26"/>
  <c r="O185" i="26"/>
  <c r="AB185" i="26" s="1"/>
  <c r="AD185" i="26" s="1"/>
  <c r="O188" i="26"/>
  <c r="S188" i="26" s="1"/>
  <c r="AF41" i="26"/>
  <c r="AE34" i="26"/>
  <c r="P50" i="26"/>
  <c r="Z50" i="26" s="1"/>
  <c r="AF57" i="26"/>
  <c r="AD62" i="26"/>
  <c r="O65" i="26"/>
  <c r="J71" i="26" s="1"/>
  <c r="Z119" i="26"/>
  <c r="P123" i="26"/>
  <c r="X139" i="26"/>
  <c r="H172" i="26"/>
  <c r="H65" i="26" s="1"/>
  <c r="H69" i="26" s="1"/>
  <c r="V188" i="26"/>
  <c r="O107" i="26"/>
  <c r="Q123" i="26"/>
  <c r="O129" i="26"/>
  <c r="S129" i="26" s="1"/>
  <c r="Y139" i="26"/>
  <c r="P180" i="26"/>
  <c r="AF180" i="26" s="1"/>
  <c r="AE180" i="26" s="1"/>
  <c r="X185" i="26"/>
  <c r="W62" i="26"/>
  <c r="P35" i="26"/>
  <c r="AF35" i="26" s="1"/>
  <c r="V67" i="26"/>
  <c r="AC119" i="26"/>
  <c r="Y185" i="26"/>
  <c r="X188" i="26"/>
  <c r="Z22" i="26"/>
  <c r="U59" i="26"/>
  <c r="AD45" i="26"/>
  <c r="U69" i="26"/>
  <c r="AD119" i="26"/>
  <c r="V131" i="26"/>
  <c r="Q178" i="26"/>
  <c r="Z185" i="26"/>
  <c r="Y188" i="26"/>
  <c r="W36" i="26"/>
  <c r="Y20" i="26"/>
  <c r="AC32" i="26"/>
  <c r="W12" i="26"/>
  <c r="G100" i="26"/>
  <c r="G63" i="26" s="1"/>
  <c r="Q35" i="26"/>
  <c r="AC26" i="26"/>
  <c r="Q33" i="26"/>
  <c r="X50" i="26"/>
  <c r="V52" i="26"/>
  <c r="AB58" i="26"/>
  <c r="O96" i="26"/>
  <c r="O124" i="26"/>
  <c r="O30" i="26" s="1"/>
  <c r="V129" i="26"/>
  <c r="S50" i="26"/>
  <c r="P33" i="26"/>
  <c r="Z33" i="26" s="1"/>
  <c r="Y33" i="26" s="1"/>
  <c r="W50" i="26"/>
  <c r="Y50" i="26"/>
  <c r="X63" i="26"/>
  <c r="P96" i="26"/>
  <c r="Q96" i="26" s="1"/>
  <c r="Z131" i="26"/>
  <c r="W27" i="26"/>
  <c r="O132" i="26"/>
  <c r="S132" i="26" s="1"/>
  <c r="V51" i="26"/>
  <c r="AD46" i="26"/>
  <c r="AE50" i="26"/>
  <c r="AB52" i="26"/>
  <c r="AD52" i="26" s="1"/>
  <c r="AB56" i="26"/>
  <c r="V68" i="26"/>
  <c r="O133" i="26"/>
  <c r="S133" i="26" s="1"/>
  <c r="P160" i="26"/>
  <c r="V176" i="26"/>
  <c r="AC52" i="26"/>
  <c r="AC59" i="26" s="1"/>
  <c r="AC117" i="26"/>
  <c r="X140" i="26"/>
  <c r="Y193" i="26"/>
  <c r="H145" i="26"/>
  <c r="H30" i="26" s="1"/>
  <c r="Y140" i="26"/>
  <c r="X176" i="26"/>
  <c r="Z186" i="26"/>
  <c r="Z197" i="26"/>
  <c r="AF33" i="26"/>
  <c r="P51" i="26"/>
  <c r="Z51" i="26" s="1"/>
  <c r="AF52" i="26"/>
  <c r="AE52" i="26" s="1"/>
  <c r="Y68" i="26"/>
  <c r="Z140" i="26"/>
  <c r="Y176" i="26"/>
  <c r="AD41" i="26"/>
  <c r="Q51" i="26"/>
  <c r="W64" i="26"/>
  <c r="AE41" i="26"/>
  <c r="W55" i="26"/>
  <c r="AB68" i="26"/>
  <c r="P104" i="26"/>
  <c r="Q104" i="26" s="1"/>
  <c r="O128" i="26"/>
  <c r="Q128" i="26" s="1"/>
  <c r="V130" i="26"/>
  <c r="AE140" i="26"/>
  <c r="AB176" i="26"/>
  <c r="AD176" i="26" s="1"/>
  <c r="AB29" i="26"/>
  <c r="Z11" i="26"/>
  <c r="AF14" i="26"/>
  <c r="AE29" i="26"/>
  <c r="AE14" i="26"/>
  <c r="Z23" i="26"/>
  <c r="P26" i="26"/>
  <c r="AF26" i="26" s="1"/>
  <c r="AE26" i="26" s="1"/>
  <c r="Z12" i="26"/>
  <c r="Y12" i="26" s="1"/>
  <c r="AB26" i="26"/>
  <c r="AD26" i="26" s="1"/>
  <c r="X20" i="26"/>
  <c r="Q24" i="26"/>
  <c r="Z27" i="26"/>
  <c r="Y27" i="26" s="1"/>
  <c r="AD12" i="26"/>
  <c r="P21" i="26"/>
  <c r="Z21" i="26" s="1"/>
  <c r="Y21" i="26" s="1"/>
  <c r="Q21" i="26"/>
  <c r="AF17" i="26"/>
  <c r="AE27" i="26"/>
  <c r="Q13" i="26"/>
  <c r="S13" i="26"/>
  <c r="Z18" i="26"/>
  <c r="Y18" i="26" s="1"/>
  <c r="AE25" i="26"/>
  <c r="AF25" i="26"/>
  <c r="AB11" i="26"/>
  <c r="AD11" i="26" s="1"/>
  <c r="AB13" i="26"/>
  <c r="AD13" i="26" s="1"/>
  <c r="X23" i="26"/>
  <c r="S11" i="26"/>
  <c r="AC11" i="26"/>
  <c r="AC13" i="26"/>
  <c r="Q17" i="26"/>
  <c r="S17" i="26"/>
  <c r="Q19" i="26"/>
  <c r="Y23" i="26"/>
  <c r="AB27" i="26"/>
  <c r="AD29" i="26"/>
  <c r="W17" i="26"/>
  <c r="AC23" i="26"/>
  <c r="P10" i="26"/>
  <c r="Z10" i="26" s="1"/>
  <c r="Y10" i="26" s="1"/>
  <c r="V12" i="26"/>
  <c r="X12" i="26" s="1"/>
  <c r="W14" i="26"/>
  <c r="AB19" i="26"/>
  <c r="Q22" i="26"/>
  <c r="Z17" i="26"/>
  <c r="Y17" i="26" s="1"/>
  <c r="S22" i="26"/>
  <c r="AD19" i="26"/>
  <c r="X22" i="26"/>
  <c r="V10" i="26"/>
  <c r="X10" i="26" s="1"/>
  <c r="AB17" i="26"/>
  <c r="V22" i="26"/>
  <c r="S24" i="26"/>
  <c r="V26" i="26"/>
  <c r="W28" i="26"/>
  <c r="W22" i="26"/>
  <c r="V17" i="26"/>
  <c r="X17" i="26" s="1"/>
  <c r="AE17" i="26"/>
  <c r="Y22" i="26"/>
  <c r="Q11" i="26"/>
  <c r="Z20" i="26"/>
  <c r="AB22" i="26"/>
  <c r="AD24" i="26"/>
  <c r="V18" i="26"/>
  <c r="X18" i="26" s="1"/>
  <c r="W18" i="26"/>
  <c r="AE22" i="26"/>
  <c r="Q27" i="26"/>
  <c r="Q29" i="26"/>
  <c r="AF22" i="26"/>
  <c r="P25" i="26"/>
  <c r="Z25" i="26" s="1"/>
  <c r="Y25" i="26" s="1"/>
  <c r="S27" i="26"/>
  <c r="S29" i="26"/>
  <c r="W25" i="26"/>
  <c r="V27" i="26"/>
  <c r="X27" i="26" s="1"/>
  <c r="Q16" i="26"/>
  <c r="U47" i="26"/>
  <c r="Q88" i="26"/>
  <c r="P92" i="26"/>
  <c r="S10" i="26"/>
  <c r="AF13" i="26"/>
  <c r="AE13" i="26" s="1"/>
  <c r="W16" i="26"/>
  <c r="S18" i="26"/>
  <c r="Q18" i="26"/>
  <c r="AE19" i="26"/>
  <c r="AB23" i="26"/>
  <c r="AE23" i="26"/>
  <c r="S31" i="26"/>
  <c r="Q31" i="26"/>
  <c r="P31" i="26"/>
  <c r="Z31" i="26" s="1"/>
  <c r="V45" i="26"/>
  <c r="X45" i="26" s="1"/>
  <c r="S20" i="26"/>
  <c r="Q20" i="26"/>
  <c r="Z29" i="26"/>
  <c r="Y29" i="26"/>
  <c r="W29" i="26"/>
  <c r="W45" i="26"/>
  <c r="W47" i="26" s="1"/>
  <c r="AB139" i="26"/>
  <c r="AD139" i="26" s="1"/>
  <c r="AC139" i="26"/>
  <c r="V16" i="26"/>
  <c r="X16" i="26" s="1"/>
  <c r="Q139" i="26"/>
  <c r="P139" i="26"/>
  <c r="AF139" i="26" s="1"/>
  <c r="AE139" i="26" s="1"/>
  <c r="AC188" i="26"/>
  <c r="AC195" i="26"/>
  <c r="AB195" i="26"/>
  <c r="AD195" i="26" s="1"/>
  <c r="Z13" i="26"/>
  <c r="Y13" i="26"/>
  <c r="X13" i="26"/>
  <c r="P20" i="26"/>
  <c r="AF20" i="26" s="1"/>
  <c r="AE20" i="26" s="1"/>
  <c r="V29" i="26"/>
  <c r="X29" i="26" s="1"/>
  <c r="W10" i="26"/>
  <c r="Q12" i="26"/>
  <c r="S12" i="26"/>
  <c r="AE16" i="26"/>
  <c r="AF16" i="26"/>
  <c r="S195" i="26"/>
  <c r="Q195" i="26"/>
  <c r="P195" i="26"/>
  <c r="W33" i="26"/>
  <c r="V65" i="26"/>
  <c r="Z65" i="26"/>
  <c r="Y65" i="26"/>
  <c r="V33" i="26"/>
  <c r="X33" i="26" s="1"/>
  <c r="AB47" i="26"/>
  <c r="S53" i="26"/>
  <c r="Q53" i="26"/>
  <c r="O59" i="26"/>
  <c r="AC142" i="26"/>
  <c r="X65" i="26"/>
  <c r="S196" i="26"/>
  <c r="Q196" i="26"/>
  <c r="P196" i="26"/>
  <c r="AB18" i="26"/>
  <c r="AE18" i="26"/>
  <c r="Q26" i="26"/>
  <c r="Y35" i="26"/>
  <c r="X35" i="26"/>
  <c r="V35" i="26"/>
  <c r="U42" i="26"/>
  <c r="AF67" i="26"/>
  <c r="AE67" i="26" s="1"/>
  <c r="P14" i="26"/>
  <c r="Z14" i="26" s="1"/>
  <c r="Y14" i="26" s="1"/>
  <c r="S14" i="26"/>
  <c r="S28" i="26"/>
  <c r="Q28" i="26"/>
  <c r="Q38" i="26"/>
  <c r="S38" i="26"/>
  <c r="P38" i="26"/>
  <c r="Z46" i="26"/>
  <c r="Y46" i="26"/>
  <c r="AD18" i="26"/>
  <c r="P28" i="26"/>
  <c r="Z28" i="26" s="1"/>
  <c r="Y28" i="26" s="1"/>
  <c r="Z35" i="26"/>
  <c r="V46" i="26"/>
  <c r="AF51" i="26"/>
  <c r="AE51" i="26"/>
  <c r="S37" i="26"/>
  <c r="Q37" i="26"/>
  <c r="Z24" i="26"/>
  <c r="Y24" i="26" s="1"/>
  <c r="W24" i="26"/>
  <c r="V24" i="26"/>
  <c r="X24" i="26" s="1"/>
  <c r="AB12" i="26"/>
  <c r="AE12" i="26"/>
  <c r="AF18" i="26"/>
  <c r="V28" i="26"/>
  <c r="X28" i="26" s="1"/>
  <c r="AE35" i="26"/>
  <c r="AF10" i="26"/>
  <c r="AE10" i="26"/>
  <c r="AB10" i="26"/>
  <c r="P37" i="26"/>
  <c r="V14" i="26"/>
  <c r="X14" i="26" s="1"/>
  <c r="AB35" i="26"/>
  <c r="X46" i="26"/>
  <c r="Z57" i="26"/>
  <c r="AC193" i="26"/>
  <c r="Q197" i="26"/>
  <c r="P197" i="26"/>
  <c r="AF197" i="26" s="1"/>
  <c r="S197" i="26"/>
  <c r="S32" i="26"/>
  <c r="Q32" i="26"/>
  <c r="S34" i="26"/>
  <c r="Q34" i="26"/>
  <c r="P34" i="26"/>
  <c r="Z34" i="26" s="1"/>
  <c r="AB53" i="26"/>
  <c r="AF53" i="26"/>
  <c r="AE53" i="26"/>
  <c r="AC186" i="26"/>
  <c r="S23" i="26"/>
  <c r="Q23" i="26"/>
  <c r="Y30" i="26"/>
  <c r="X30" i="26"/>
  <c r="V30" i="26"/>
  <c r="P32" i="26"/>
  <c r="AF32" i="26" s="1"/>
  <c r="W21" i="26"/>
  <c r="P23" i="26"/>
  <c r="AF23" i="26" s="1"/>
  <c r="Y32" i="26"/>
  <c r="X32" i="26"/>
  <c r="V32" i="26"/>
  <c r="V34" i="26"/>
  <c r="S36" i="26"/>
  <c r="Q36" i="26"/>
  <c r="P36" i="26"/>
  <c r="Z36" i="26" s="1"/>
  <c r="AD53" i="26"/>
  <c r="V11" i="26"/>
  <c r="Z19" i="26"/>
  <c r="Y19" i="26" s="1"/>
  <c r="W19" i="26"/>
  <c r="V19" i="26"/>
  <c r="X19" i="26" s="1"/>
  <c r="V21" i="26"/>
  <c r="X21" i="26" s="1"/>
  <c r="AB28" i="26"/>
  <c r="AF28" i="26"/>
  <c r="AE28" i="26"/>
  <c r="Z30" i="26"/>
  <c r="Y11" i="26"/>
  <c r="AE21" i="26"/>
  <c r="AF21" i="26"/>
  <c r="Z32" i="26"/>
  <c r="V36" i="26"/>
  <c r="AE32" i="26"/>
  <c r="AD32" i="26"/>
  <c r="X41" i="26"/>
  <c r="Z41" i="26"/>
  <c r="AC184" i="26"/>
  <c r="AC187" i="26"/>
  <c r="V13" i="26"/>
  <c r="P16" i="26"/>
  <c r="Z16" i="26" s="1"/>
  <c r="Y16" i="26" s="1"/>
  <c r="AB32" i="26"/>
  <c r="V41" i="26"/>
  <c r="Z54" i="26"/>
  <c r="Y54" i="26"/>
  <c r="X54" i="26"/>
  <c r="W54" i="26"/>
  <c r="Q25" i="26"/>
  <c r="AD34" i="26"/>
  <c r="W51" i="26"/>
  <c r="W56" i="26"/>
  <c r="AD66" i="26"/>
  <c r="P118" i="26"/>
  <c r="Z118" i="26" s="1"/>
  <c r="X119" i="26"/>
  <c r="AB120" i="26"/>
  <c r="P122" i="26"/>
  <c r="AA131" i="26"/>
  <c r="P143" i="26"/>
  <c r="Q168" i="26"/>
  <c r="P176" i="26"/>
  <c r="V177" i="26"/>
  <c r="Z178" i="26"/>
  <c r="AD179" i="26"/>
  <c r="P188" i="26"/>
  <c r="AF188" i="26" s="1"/>
  <c r="AE188" i="26" s="1"/>
  <c r="Q118" i="26"/>
  <c r="AC120" i="26"/>
  <c r="Q122" i="26"/>
  <c r="AC138" i="26"/>
  <c r="O142" i="26"/>
  <c r="Q143" i="26"/>
  <c r="Q176" i="26"/>
  <c r="O187" i="26"/>
  <c r="AB187" i="26" s="1"/>
  <c r="AD187" i="26" s="1"/>
  <c r="AD120" i="26"/>
  <c r="S176" i="26"/>
  <c r="S181" i="26" s="1"/>
  <c r="S39" i="26" s="1"/>
  <c r="X177" i="26"/>
  <c r="X26" i="26"/>
  <c r="Y26" i="26"/>
  <c r="AE45" i="26"/>
  <c r="Y51" i="26"/>
  <c r="Q62" i="26"/>
  <c r="V50" i="26"/>
  <c r="AE120" i="26"/>
  <c r="AB130" i="26"/>
  <c r="O169" i="26"/>
  <c r="P169" i="26" s="1"/>
  <c r="Q169" i="26" s="1"/>
  <c r="Y177" i="26"/>
  <c r="AC178" i="26"/>
  <c r="O186" i="26"/>
  <c r="AB186" i="26" s="1"/>
  <c r="AD186" i="26" s="1"/>
  <c r="P194" i="26"/>
  <c r="AF194" i="26" s="1"/>
  <c r="AE194" i="26" s="1"/>
  <c r="V196" i="26"/>
  <c r="AB119" i="26"/>
  <c r="AA129" i="26"/>
  <c r="O193" i="26"/>
  <c r="AB193" i="26" s="1"/>
  <c r="AD193" i="26" s="1"/>
  <c r="Q194" i="26"/>
  <c r="O92" i="26"/>
  <c r="O63" i="26" s="1"/>
  <c r="V195" i="26"/>
  <c r="X196" i="26"/>
  <c r="O99" i="26"/>
  <c r="P117" i="26"/>
  <c r="AF117" i="26" s="1"/>
  <c r="AE117" i="26" s="1"/>
  <c r="Y196" i="26"/>
  <c r="Q117" i="26"/>
  <c r="Q121" i="26"/>
  <c r="AC177" i="26"/>
  <c r="V194" i="26"/>
  <c r="X195" i="26"/>
  <c r="AB197" i="26"/>
  <c r="AE56" i="26"/>
  <c r="AE68" i="26"/>
  <c r="S117" i="26"/>
  <c r="AB118" i="26"/>
  <c r="AD118" i="26" s="1"/>
  <c r="AA127" i="26"/>
  <c r="AC128" i="26"/>
  <c r="V141" i="26"/>
  <c r="X142" i="26"/>
  <c r="AD177" i="26"/>
  <c r="P179" i="26"/>
  <c r="AF179" i="26" s="1"/>
  <c r="AE179" i="26" s="1"/>
  <c r="V180" i="26"/>
  <c r="V186" i="26"/>
  <c r="X187" i="26"/>
  <c r="Y195" i="26"/>
  <c r="AA196" i="26"/>
  <c r="AC197" i="26"/>
  <c r="V58" i="26"/>
  <c r="AB14" i="26"/>
  <c r="AB20" i="26"/>
  <c r="AD20" i="26" s="1"/>
  <c r="AB25" i="26"/>
  <c r="AB50" i="26"/>
  <c r="AB55" i="26"/>
  <c r="X58" i="26"/>
  <c r="AA59" i="26"/>
  <c r="X67" i="26"/>
  <c r="AC118" i="26"/>
  <c r="O138" i="26"/>
  <c r="AB138" i="26" s="1"/>
  <c r="AD138" i="26" s="1"/>
  <c r="Y142" i="26"/>
  <c r="Q179" i="26"/>
  <c r="O184" i="26"/>
  <c r="AB184" i="26" s="1"/>
  <c r="AD184" i="26" s="1"/>
  <c r="Y187" i="26"/>
  <c r="V193" i="26"/>
  <c r="X194" i="26"/>
  <c r="AD197" i="26"/>
  <c r="AC20" i="26"/>
  <c r="Y58" i="26"/>
  <c r="Y67" i="26"/>
  <c r="X141" i="26"/>
  <c r="X180" i="26"/>
  <c r="X186" i="26"/>
  <c r="Y194" i="26"/>
  <c r="AE197" i="26"/>
  <c r="Y141" i="26"/>
  <c r="G164" i="26"/>
  <c r="G65" i="26" s="1"/>
  <c r="AC176" i="26"/>
  <c r="X193" i="26"/>
  <c r="H198" i="26"/>
  <c r="H39" i="26" s="1"/>
  <c r="AB54" i="26"/>
  <c r="AB67" i="26"/>
  <c r="AD67" i="26" s="1"/>
  <c r="AB194" i="26"/>
  <c r="AD194" i="26" s="1"/>
  <c r="AC67" i="26"/>
  <c r="H108" i="26"/>
  <c r="H63" i="26" s="1"/>
  <c r="AB117" i="26"/>
  <c r="AD117" i="26" s="1"/>
  <c r="P119" i="26"/>
  <c r="AF119" i="26" s="1"/>
  <c r="V120" i="26"/>
  <c r="AB121" i="26"/>
  <c r="AD121" i="26" s="1"/>
  <c r="V138" i="26"/>
  <c r="AB180" i="26"/>
  <c r="AD180" i="26" s="1"/>
  <c r="AC194" i="26"/>
  <c r="AC180" i="26"/>
  <c r="G189" i="26"/>
  <c r="G39" i="26" s="1"/>
  <c r="O104" i="26"/>
  <c r="X120" i="26"/>
  <c r="X138" i="26"/>
  <c r="P177" i="26"/>
  <c r="AF177" i="26" s="1"/>
  <c r="AE177" i="26" s="1"/>
  <c r="V178" i="26"/>
  <c r="X52" i="26"/>
  <c r="X57" i="26"/>
  <c r="Y120" i="26"/>
  <c r="X131" i="26"/>
  <c r="Y138" i="26"/>
  <c r="AC140" i="26"/>
  <c r="O160" i="26"/>
  <c r="Q177" i="26"/>
  <c r="AC185" i="26"/>
  <c r="P141" i="26" l="1"/>
  <c r="S141" i="26"/>
  <c r="Q155" i="26"/>
  <c r="S131" i="26"/>
  <c r="Q55" i="26"/>
  <c r="P131" i="26"/>
  <c r="O164" i="26"/>
  <c r="O100" i="26"/>
  <c r="P144" i="26"/>
  <c r="Q100" i="26"/>
  <c r="Q144" i="26"/>
  <c r="AB128" i="26"/>
  <c r="AD128" i="26" s="1"/>
  <c r="AD47" i="26"/>
  <c r="V69" i="26"/>
  <c r="X69" i="26" s="1"/>
  <c r="AE141" i="26"/>
  <c r="AB141" i="26"/>
  <c r="Z45" i="26"/>
  <c r="Y45" i="26" s="1"/>
  <c r="P164" i="26"/>
  <c r="P130" i="26"/>
  <c r="AF130" i="26" s="1"/>
  <c r="AD141" i="26"/>
  <c r="AF195" i="26"/>
  <c r="AE195" i="26" s="1"/>
  <c r="AA30" i="26"/>
  <c r="AC30" i="26" s="1"/>
  <c r="AC42" i="26" s="1"/>
  <c r="P132" i="26"/>
  <c r="Q140" i="26"/>
  <c r="AB140" i="26"/>
  <c r="S59" i="26"/>
  <c r="S60" i="26" s="1"/>
  <c r="O127" i="26"/>
  <c r="O134" i="26" s="1"/>
  <c r="P140" i="26"/>
  <c r="AF140" i="26" s="1"/>
  <c r="Q125" i="26"/>
  <c r="P156" i="26"/>
  <c r="AF141" i="26"/>
  <c r="S130" i="26"/>
  <c r="Q132" i="26"/>
  <c r="P59" i="26"/>
  <c r="P60" i="26" s="1"/>
  <c r="Z56" i="26"/>
  <c r="Y56" i="26" s="1"/>
  <c r="O42" i="26"/>
  <c r="O69" i="26"/>
  <c r="Q160" i="26"/>
  <c r="Q164" i="26" s="1"/>
  <c r="P108" i="26"/>
  <c r="Q108" i="26"/>
  <c r="Q110" i="26" s="1"/>
  <c r="O108" i="26"/>
  <c r="AA63" i="26"/>
  <c r="AB63" i="26" s="1"/>
  <c r="AD63" i="26" s="1"/>
  <c r="I100" i="26"/>
  <c r="I63" i="26" s="1"/>
  <c r="Q188" i="26"/>
  <c r="AB188" i="26"/>
  <c r="AD188" i="26" s="1"/>
  <c r="P185" i="26"/>
  <c r="AF185" i="26" s="1"/>
  <c r="AE185" i="26" s="1"/>
  <c r="Q185" i="26"/>
  <c r="S185" i="26"/>
  <c r="P129" i="26"/>
  <c r="AF129" i="26" s="1"/>
  <c r="P133" i="26"/>
  <c r="Q129" i="26"/>
  <c r="Q133" i="26"/>
  <c r="AF121" i="26"/>
  <c r="AE121" i="26" s="1"/>
  <c r="U71" i="26"/>
  <c r="AF59" i="26"/>
  <c r="AE59" i="26" s="1"/>
  <c r="Q59" i="26"/>
  <c r="Q60" i="26" s="1"/>
  <c r="V59" i="26"/>
  <c r="X59" i="26" s="1"/>
  <c r="I164" i="26"/>
  <c r="I65" i="26" s="1"/>
  <c r="G70" i="26" s="1"/>
  <c r="W69" i="26"/>
  <c r="S128" i="26"/>
  <c r="P128" i="26"/>
  <c r="AF128" i="26" s="1"/>
  <c r="AE128" i="26" s="1"/>
  <c r="AB59" i="26"/>
  <c r="AD59" i="26" s="1"/>
  <c r="P100" i="26"/>
  <c r="V42" i="26"/>
  <c r="X42" i="26" s="1"/>
  <c r="W42" i="26"/>
  <c r="O172" i="26"/>
  <c r="J172" i="26" s="1"/>
  <c r="J65" i="26" s="1"/>
  <c r="H70" i="26" s="1"/>
  <c r="H71" i="26" s="1"/>
  <c r="AF196" i="26"/>
  <c r="AE196" i="26" s="1"/>
  <c r="AC196" i="26"/>
  <c r="AB196" i="26"/>
  <c r="AD196" i="26" s="1"/>
  <c r="W59" i="26"/>
  <c r="Q124" i="26"/>
  <c r="Q30" i="26" s="1"/>
  <c r="Z117" i="26"/>
  <c r="P124" i="26"/>
  <c r="P30" i="26" s="1"/>
  <c r="Z62" i="26"/>
  <c r="G69" i="26"/>
  <c r="AA65" i="26"/>
  <c r="O145" i="26"/>
  <c r="J145" i="26" s="1"/>
  <c r="J30" i="26" s="1"/>
  <c r="S138" i="26"/>
  <c r="Q138" i="26"/>
  <c r="P138" i="26"/>
  <c r="AF176" i="26"/>
  <c r="AE176" i="26" s="1"/>
  <c r="P181" i="26"/>
  <c r="P39" i="26" s="1"/>
  <c r="Z42" i="26"/>
  <c r="O189" i="26"/>
  <c r="I189" i="26" s="1"/>
  <c r="I39" i="26" s="1"/>
  <c r="S184" i="26"/>
  <c r="Q184" i="26"/>
  <c r="P184" i="26"/>
  <c r="AF118" i="26"/>
  <c r="AE118" i="26" s="1"/>
  <c r="Q172" i="26"/>
  <c r="S142" i="26"/>
  <c r="Q142" i="26"/>
  <c r="P142" i="26"/>
  <c r="AF142" i="26" s="1"/>
  <c r="AE142" i="26" s="1"/>
  <c r="AC127" i="26"/>
  <c r="O198" i="26"/>
  <c r="J198" i="26" s="1"/>
  <c r="J39" i="26" s="1"/>
  <c r="S193" i="26"/>
  <c r="S198" i="26" s="1"/>
  <c r="Q193" i="26"/>
  <c r="Q198" i="26" s="1"/>
  <c r="P193" i="26"/>
  <c r="V47" i="26"/>
  <c r="X47" i="26" s="1"/>
  <c r="P93" i="26"/>
  <c r="P63" i="26"/>
  <c r="P69" i="26" s="1"/>
  <c r="P172" i="26"/>
  <c r="S88" i="26"/>
  <c r="Q92" i="26"/>
  <c r="Q63" i="26" s="1"/>
  <c r="Q69" i="26" s="1"/>
  <c r="S126" i="26"/>
  <c r="S124" i="26"/>
  <c r="S30" i="26" s="1"/>
  <c r="S42" i="26" s="1"/>
  <c r="S43" i="26" s="1"/>
  <c r="AE129" i="26"/>
  <c r="AD129" i="26"/>
  <c r="AC129" i="26"/>
  <c r="AB129" i="26"/>
  <c r="AF131" i="26"/>
  <c r="AE131" i="26" s="1"/>
  <c r="AC131" i="26"/>
  <c r="AB131" i="26"/>
  <c r="AD131" i="26" s="1"/>
  <c r="AB142" i="26"/>
  <c r="AD142" i="26" s="1"/>
  <c r="S186" i="26"/>
  <c r="Q186" i="26"/>
  <c r="P186" i="26"/>
  <c r="AF186" i="26" s="1"/>
  <c r="AE186" i="26" s="1"/>
  <c r="S187" i="26"/>
  <c r="Q187" i="26"/>
  <c r="P187" i="26"/>
  <c r="AF187" i="26" s="1"/>
  <c r="AE187" i="26" s="1"/>
  <c r="Q181" i="26"/>
  <c r="Q39" i="26" s="1"/>
  <c r="O110" i="26" l="1"/>
  <c r="O112" i="26" s="1"/>
  <c r="Z47" i="26"/>
  <c r="AA42" i="26"/>
  <c r="AB30" i="26"/>
  <c r="AB42" i="26" s="1"/>
  <c r="P127" i="26"/>
  <c r="AF127" i="26" s="1"/>
  <c r="AE127" i="26" s="1"/>
  <c r="S127" i="26"/>
  <c r="S134" i="26" s="1"/>
  <c r="Q127" i="26"/>
  <c r="Q134" i="26" s="1"/>
  <c r="AB127" i="26"/>
  <c r="AD127" i="26" s="1"/>
  <c r="J108" i="26"/>
  <c r="J63" i="26" s="1"/>
  <c r="AF30" i="26"/>
  <c r="AE30" i="26" s="1"/>
  <c r="Z59" i="26"/>
  <c r="Y59" i="26" s="1"/>
  <c r="O71" i="26"/>
  <c r="P110" i="26"/>
  <c r="P112" i="26" s="1"/>
  <c r="AC63" i="26"/>
  <c r="P134" i="26"/>
  <c r="G71" i="26"/>
  <c r="I71" i="26" s="1"/>
  <c r="K71" i="26" s="1"/>
  <c r="AA69" i="26"/>
  <c r="AA71" i="26" s="1"/>
  <c r="Z69" i="26"/>
  <c r="Y69" i="26" s="1"/>
  <c r="Y62" i="26"/>
  <c r="S145" i="26"/>
  <c r="Q42" i="26"/>
  <c r="Q43" i="26" s="1"/>
  <c r="W71" i="26"/>
  <c r="Q189" i="26"/>
  <c r="P42" i="26"/>
  <c r="P43" i="26" s="1"/>
  <c r="Q70" i="26"/>
  <c r="P198" i="26"/>
  <c r="AF193" i="26"/>
  <c r="AE193" i="26" s="1"/>
  <c r="Y42" i="26"/>
  <c r="P145" i="26"/>
  <c r="AF138" i="26"/>
  <c r="AE138" i="26" s="1"/>
  <c r="Q145" i="26"/>
  <c r="S189" i="26"/>
  <c r="AF65" i="26"/>
  <c r="AE65" i="26" s="1"/>
  <c r="AC65" i="26"/>
  <c r="AB65" i="26"/>
  <c r="AB69" i="26" s="1"/>
  <c r="Q112" i="26"/>
  <c r="O135" i="26"/>
  <c r="O136" i="26" s="1"/>
  <c r="I134" i="26"/>
  <c r="I30" i="26" s="1"/>
  <c r="AF63" i="26"/>
  <c r="AE63" i="26" s="1"/>
  <c r="P189" i="26"/>
  <c r="AF184" i="26"/>
  <c r="AE184" i="26" s="1"/>
  <c r="AG47" i="26"/>
  <c r="Y47" i="26"/>
  <c r="V71" i="26"/>
  <c r="X71" i="26" s="1"/>
  <c r="AD42" i="26" l="1"/>
  <c r="AD30" i="26"/>
  <c r="AG59" i="26"/>
  <c r="AF42" i="26"/>
  <c r="AE42" i="26" s="1"/>
  <c r="AC69" i="26"/>
  <c r="AC71" i="26" s="1"/>
  <c r="Z71" i="26"/>
  <c r="Y71" i="26" s="1"/>
  <c r="AD65" i="26"/>
  <c r="P71" i="26"/>
  <c r="Q71" i="26"/>
  <c r="AD69" i="26"/>
  <c r="AB71" i="26"/>
  <c r="AD71" i="26" s="1"/>
  <c r="AF69" i="26"/>
  <c r="AG42" i="26" l="1"/>
  <c r="AE69" i="26"/>
  <c r="AG69" i="26"/>
  <c r="AF71" i="26"/>
  <c r="AE71" i="26" l="1"/>
  <c r="AG71" i="26"/>
  <c r="F134" i="25" l="1"/>
  <c r="E134" i="25"/>
  <c r="G133" i="25"/>
  <c r="G132" i="25"/>
  <c r="G131" i="25"/>
  <c r="G130" i="25"/>
  <c r="G129" i="25"/>
  <c r="G128" i="25"/>
  <c r="G127" i="25"/>
  <c r="G126" i="25"/>
  <c r="G125" i="25"/>
  <c r="G124" i="25"/>
  <c r="G123" i="25"/>
  <c r="G122" i="25"/>
  <c r="G121" i="25"/>
  <c r="G120" i="25"/>
  <c r="G119" i="25"/>
  <c r="G118" i="25"/>
  <c r="G117" i="25"/>
  <c r="G116" i="25"/>
  <c r="G115" i="25"/>
  <c r="G114" i="25"/>
  <c r="G113" i="25"/>
  <c r="G112" i="25"/>
  <c r="G111" i="25"/>
  <c r="G110" i="25"/>
  <c r="G109" i="25"/>
  <c r="G108" i="25"/>
  <c r="G107" i="25"/>
  <c r="G106" i="25"/>
  <c r="G105" i="25"/>
  <c r="G104" i="25"/>
  <c r="G103" i="25"/>
  <c r="G102" i="25"/>
  <c r="G101" i="25"/>
  <c r="G100" i="25"/>
  <c r="G99" i="25"/>
  <c r="G98" i="25"/>
  <c r="G97" i="25"/>
  <c r="G96" i="25"/>
  <c r="G95" i="25"/>
  <c r="G94" i="25"/>
  <c r="G93" i="25"/>
  <c r="G92" i="25"/>
  <c r="G91" i="25"/>
  <c r="G90" i="25"/>
  <c r="G89" i="25"/>
  <c r="G88" i="25"/>
  <c r="G87" i="25"/>
  <c r="G86" i="25"/>
  <c r="G85" i="25"/>
  <c r="G84" i="25"/>
  <c r="G83" i="25"/>
  <c r="G82" i="25"/>
  <c r="A4" i="13" l="1"/>
  <c r="AC55" i="13" l="1"/>
  <c r="AA55" i="13"/>
  <c r="AF55" i="13" s="1"/>
  <c r="W56" i="13"/>
  <c r="U56" i="13"/>
  <c r="Z56" i="13" s="1"/>
  <c r="AD55" i="13" l="1"/>
  <c r="AE55" i="13"/>
  <c r="AB55" i="13"/>
  <c r="Y54" i="13"/>
  <c r="Z54" i="13"/>
  <c r="X56" i="13"/>
  <c r="Y56" i="13"/>
  <c r="V56" i="13"/>
  <c r="AA56" i="13" l="1"/>
  <c r="AC56" i="13" s="1"/>
  <c r="U55" i="13"/>
  <c r="W55" i="13" l="1"/>
  <c r="G142" i="17" l="1"/>
  <c r="V55" i="13" l="1"/>
  <c r="X55" i="13" s="1"/>
  <c r="AB56" i="13"/>
  <c r="AD56" i="13" s="1"/>
  <c r="AF56" i="13" l="1"/>
  <c r="AE56" i="13" s="1"/>
  <c r="Z55" i="13"/>
  <c r="Y55" i="13" s="1"/>
  <c r="O73" i="17" l="1"/>
  <c r="O48" i="17"/>
  <c r="O45" i="17"/>
  <c r="O39" i="17"/>
  <c r="Z84" i="17" l="1"/>
  <c r="Y84" i="17"/>
  <c r="Y79" i="17"/>
  <c r="AA84" i="17" l="1"/>
  <c r="V74" i="17" l="1"/>
  <c r="I46" i="17" l="1"/>
  <c r="H46" i="17"/>
  <c r="V87" i="17" l="1"/>
  <c r="H33" i="17" l="1"/>
  <c r="H29" i="17"/>
  <c r="H28" i="17"/>
  <c r="M71" i="17" l="1"/>
  <c r="N71" i="17"/>
  <c r="O141" i="17" l="1"/>
  <c r="Q141" i="17" s="1"/>
  <c r="J143" i="17"/>
  <c r="I143" i="17"/>
  <c r="H143" i="17"/>
  <c r="G143" i="17"/>
  <c r="F142" i="17"/>
  <c r="B142" i="17"/>
  <c r="S141" i="17" l="1"/>
  <c r="O142" i="17"/>
  <c r="Q142" i="17" s="1"/>
  <c r="P141" i="17"/>
  <c r="P142" i="17" l="1"/>
  <c r="P143" i="17" s="1"/>
  <c r="P152" i="17" s="1"/>
  <c r="P153" i="17" s="1"/>
  <c r="S142" i="17"/>
  <c r="S143" i="17" s="1"/>
  <c r="S152" i="17" s="1"/>
  <c r="O143" i="17"/>
  <c r="O152" i="17" s="1"/>
  <c r="Q143" i="17"/>
  <c r="Q152" i="17" s="1"/>
  <c r="Q153" i="17" l="1"/>
  <c r="Q55" i="17"/>
  <c r="O153" i="17"/>
  <c r="O55" i="17"/>
  <c r="S153" i="17"/>
  <c r="S55" i="17"/>
  <c r="P67" i="17"/>
  <c r="N76" i="17"/>
  <c r="N77" i="17"/>
  <c r="N75" i="17"/>
  <c r="P66" i="17"/>
  <c r="H27" i="17"/>
  <c r="V85" i="17" l="1"/>
  <c r="V86" i="17"/>
  <c r="V88" i="17" l="1"/>
  <c r="J95" i="17"/>
  <c r="N95" i="17"/>
  <c r="M95" i="17"/>
  <c r="L95" i="17"/>
  <c r="K95" i="17"/>
  <c r="I95" i="17"/>
  <c r="O135" i="17"/>
  <c r="S135" i="17" s="1"/>
  <c r="N137" i="17"/>
  <c r="M137" i="17"/>
  <c r="L137" i="17"/>
  <c r="K137" i="17"/>
  <c r="J137" i="17"/>
  <c r="I137" i="17"/>
  <c r="H136" i="17"/>
  <c r="H137" i="17" s="1"/>
  <c r="G136" i="17"/>
  <c r="F136" i="17"/>
  <c r="B136" i="17"/>
  <c r="P129" i="17"/>
  <c r="Q129" i="17" s="1"/>
  <c r="O129" i="17"/>
  <c r="N131" i="17"/>
  <c r="M131" i="17"/>
  <c r="L131" i="17"/>
  <c r="K131" i="17"/>
  <c r="J131" i="17"/>
  <c r="I131" i="17"/>
  <c r="H130" i="17"/>
  <c r="H131" i="17" s="1"/>
  <c r="G130" i="17"/>
  <c r="F130" i="17"/>
  <c r="B130" i="17"/>
  <c r="P123" i="17"/>
  <c r="Q123" i="17" s="1"/>
  <c r="O123" i="17"/>
  <c r="N125" i="17"/>
  <c r="M125" i="17"/>
  <c r="L125" i="17"/>
  <c r="K125" i="17"/>
  <c r="J125" i="17"/>
  <c r="I125" i="17"/>
  <c r="H124" i="17"/>
  <c r="H125" i="17" s="1"/>
  <c r="G124" i="17"/>
  <c r="F124" i="17"/>
  <c r="B124" i="17"/>
  <c r="N119" i="17"/>
  <c r="M119" i="17"/>
  <c r="L119" i="17"/>
  <c r="K119" i="17"/>
  <c r="J119" i="17"/>
  <c r="I119" i="17"/>
  <c r="H118" i="17"/>
  <c r="H119" i="17" s="1"/>
  <c r="G118" i="17"/>
  <c r="F118" i="17"/>
  <c r="B118" i="17"/>
  <c r="P117" i="17"/>
  <c r="Q117" i="17" s="1"/>
  <c r="O117" i="17"/>
  <c r="P111" i="17"/>
  <c r="Q111" i="17" s="1"/>
  <c r="O111" i="17"/>
  <c r="N113" i="17"/>
  <c r="M113" i="17"/>
  <c r="L113" i="17"/>
  <c r="K113" i="17"/>
  <c r="J113" i="17"/>
  <c r="I113" i="17"/>
  <c r="H112" i="17"/>
  <c r="H113" i="17" s="1"/>
  <c r="G112" i="17"/>
  <c r="F112" i="17"/>
  <c r="B112" i="17"/>
  <c r="P105" i="17"/>
  <c r="Q105" i="17" s="1"/>
  <c r="O105" i="17"/>
  <c r="H106" i="17"/>
  <c r="H107" i="17" s="1"/>
  <c r="G106" i="17"/>
  <c r="H100" i="17"/>
  <c r="G100" i="17"/>
  <c r="H94" i="17"/>
  <c r="H95" i="17" s="1"/>
  <c r="G94" i="17"/>
  <c r="G95" i="17" s="1"/>
  <c r="N107" i="17"/>
  <c r="M107" i="17"/>
  <c r="L107" i="17"/>
  <c r="K107" i="17"/>
  <c r="J107" i="17"/>
  <c r="I107" i="17"/>
  <c r="F106" i="17"/>
  <c r="B106" i="17"/>
  <c r="P87" i="17"/>
  <c r="O87" i="17"/>
  <c r="O136" i="17" l="1"/>
  <c r="S136" i="17" s="1"/>
  <c r="S137" i="17" s="1"/>
  <c r="S146" i="17" s="1"/>
  <c r="O106" i="17"/>
  <c r="O107" i="17" s="1"/>
  <c r="G137" i="17"/>
  <c r="O112" i="17"/>
  <c r="O113" i="17" s="1"/>
  <c r="O156" i="17" s="1"/>
  <c r="P124" i="17"/>
  <c r="Q124" i="17" s="1"/>
  <c r="Q125" i="17" s="1"/>
  <c r="O130" i="17"/>
  <c r="O131" i="17" s="1"/>
  <c r="O157" i="17" s="1"/>
  <c r="P112" i="17"/>
  <c r="Q112" i="17" s="1"/>
  <c r="Q113" i="17" s="1"/>
  <c r="Q156" i="17" s="1"/>
  <c r="P130" i="17"/>
  <c r="Q130" i="17" s="1"/>
  <c r="Q131" i="17" s="1"/>
  <c r="Q157" i="17" s="1"/>
  <c r="P118" i="17"/>
  <c r="P119" i="17" s="1"/>
  <c r="P135" i="17"/>
  <c r="Q135" i="17"/>
  <c r="G131" i="17"/>
  <c r="G125" i="17"/>
  <c r="O124" i="17"/>
  <c r="O125" i="17" s="1"/>
  <c r="G119" i="17"/>
  <c r="O118" i="17"/>
  <c r="O119" i="17" s="1"/>
  <c r="G113" i="17"/>
  <c r="P106" i="17"/>
  <c r="P107" i="17" s="1"/>
  <c r="G107" i="17"/>
  <c r="Q136" i="17" l="1"/>
  <c r="Q137" i="17" s="1"/>
  <c r="Q149" i="17" s="1"/>
  <c r="P136" i="17"/>
  <c r="P137" i="17" s="1"/>
  <c r="P149" i="17" s="1"/>
  <c r="P150" i="17" s="1"/>
  <c r="O137" i="17"/>
  <c r="O149" i="17" s="1"/>
  <c r="P113" i="17"/>
  <c r="P156" i="17" s="1"/>
  <c r="O158" i="17"/>
  <c r="Q118" i="17"/>
  <c r="Q119" i="17" s="1"/>
  <c r="Q158" i="17" s="1"/>
  <c r="P125" i="17"/>
  <c r="P158" i="17" s="1"/>
  <c r="P131" i="17"/>
  <c r="P157" i="17" s="1"/>
  <c r="S149" i="17"/>
  <c r="Q106" i="17"/>
  <c r="Q107" i="17" s="1"/>
  <c r="Q150" i="17" l="1"/>
  <c r="Q35" i="17"/>
  <c r="S150" i="17"/>
  <c r="S161" i="17" s="1"/>
  <c r="S163" i="17" s="1"/>
  <c r="S35" i="17"/>
  <c r="O150" i="17"/>
  <c r="O35" i="17"/>
  <c r="P35" i="17" s="1"/>
  <c r="S126" i="17"/>
  <c r="N89" i="17"/>
  <c r="M89" i="17"/>
  <c r="L89" i="17"/>
  <c r="K89" i="17"/>
  <c r="J89" i="17"/>
  <c r="I89" i="17"/>
  <c r="H88" i="17"/>
  <c r="H89" i="17" s="1"/>
  <c r="G88" i="17"/>
  <c r="F88" i="17"/>
  <c r="Q87" i="17"/>
  <c r="F94" i="17"/>
  <c r="B94" i="17"/>
  <c r="P93" i="17"/>
  <c r="Q93" i="17" s="1"/>
  <c r="O93" i="17"/>
  <c r="N101" i="17"/>
  <c r="M101" i="17"/>
  <c r="L101" i="17"/>
  <c r="K101" i="17"/>
  <c r="J101" i="17"/>
  <c r="I101" i="17"/>
  <c r="H101" i="17"/>
  <c r="G101" i="17"/>
  <c r="F100" i="17"/>
  <c r="B100" i="17"/>
  <c r="P99" i="17"/>
  <c r="Q99" i="17" s="1"/>
  <c r="O99" i="17"/>
  <c r="M77" i="17"/>
  <c r="M78" i="17"/>
  <c r="M76" i="17"/>
  <c r="M75" i="17"/>
  <c r="P94" i="17" l="1"/>
  <c r="O94" i="17"/>
  <c r="P88" i="17"/>
  <c r="G89" i="17"/>
  <c r="O88" i="17"/>
  <c r="O100" i="17"/>
  <c r="O101" i="17" s="1"/>
  <c r="P100" i="17"/>
  <c r="P89" i="17" l="1"/>
  <c r="O95" i="17"/>
  <c r="O89" i="17"/>
  <c r="Q94" i="17"/>
  <c r="P95" i="17"/>
  <c r="Q88" i="17"/>
  <c r="P101" i="17"/>
  <c r="Q100" i="17"/>
  <c r="Q101" i="17" s="1"/>
  <c r="O146" i="17" l="1"/>
  <c r="P146" i="17"/>
  <c r="S108" i="17"/>
  <c r="O155" i="17"/>
  <c r="O159" i="17" s="1"/>
  <c r="P155" i="17"/>
  <c r="Q89" i="17"/>
  <c r="Q95" i="17"/>
  <c r="G27" i="17"/>
  <c r="Q146" i="17" l="1"/>
  <c r="O68" i="17"/>
  <c r="O161" i="17"/>
  <c r="O163" i="17" s="1"/>
  <c r="Q155" i="17"/>
  <c r="O17" i="17"/>
  <c r="P17" i="17" s="1"/>
  <c r="Q17" i="17" l="1"/>
  <c r="N58" i="13" l="1"/>
  <c r="H70" i="17" l="1"/>
  <c r="H69" i="17"/>
  <c r="G70" i="17"/>
  <c r="G69" i="17"/>
  <c r="H71" i="17" l="1"/>
  <c r="G71" i="17"/>
  <c r="I71" i="17" l="1"/>
  <c r="V83" i="17" l="1"/>
  <c r="V76" i="17" l="1"/>
  <c r="P62" i="17" l="1"/>
  <c r="P64" i="17"/>
  <c r="P63" i="17"/>
  <c r="P159" i="17" l="1"/>
  <c r="A25" i="15"/>
  <c r="A46" i="14"/>
  <c r="C59" i="13"/>
  <c r="C58" i="13"/>
  <c r="AC57" i="13"/>
  <c r="AA57" i="13"/>
  <c r="AF57" i="13" s="1"/>
  <c r="W57" i="13"/>
  <c r="U57" i="13"/>
  <c r="X57" i="13" s="1"/>
  <c r="A83" i="17"/>
  <c r="C70" i="17"/>
  <c r="C69" i="17"/>
  <c r="AC68" i="17"/>
  <c r="AA68" i="17"/>
  <c r="AE68" i="17" s="1"/>
  <c r="W68" i="17"/>
  <c r="U68" i="17"/>
  <c r="Y68" i="17" s="1"/>
  <c r="AA67" i="17"/>
  <c r="W67" i="17"/>
  <c r="U67" i="17"/>
  <c r="Y67" i="17" s="1"/>
  <c r="O67" i="17"/>
  <c r="AC66" i="17"/>
  <c r="AA66" i="17"/>
  <c r="AF66" i="17" s="1"/>
  <c r="U66" i="17"/>
  <c r="O66" i="17"/>
  <c r="AA65" i="17"/>
  <c r="W65" i="17"/>
  <c r="U65" i="17"/>
  <c r="Y65" i="17" s="1"/>
  <c r="P65" i="17"/>
  <c r="O65" i="17"/>
  <c r="AA64" i="17"/>
  <c r="W64" i="17"/>
  <c r="U64" i="17"/>
  <c r="Z64" i="17" s="1"/>
  <c r="O64" i="17"/>
  <c r="AC63" i="17"/>
  <c r="AA63" i="17"/>
  <c r="AB63" i="17" s="1"/>
  <c r="U63" i="17"/>
  <c r="O63" i="17"/>
  <c r="AA62" i="17"/>
  <c r="W62" i="17"/>
  <c r="U62" i="17"/>
  <c r="X62" i="17" s="1"/>
  <c r="O62" i="17"/>
  <c r="AA61" i="17"/>
  <c r="W61" i="17"/>
  <c r="U61" i="17"/>
  <c r="Y61" i="17" s="1"/>
  <c r="O61" i="17"/>
  <c r="AA60" i="17"/>
  <c r="W60" i="17"/>
  <c r="U60" i="17"/>
  <c r="Z60" i="17" s="1"/>
  <c r="P60" i="17"/>
  <c r="O60" i="17"/>
  <c r="AC59" i="17"/>
  <c r="AA59" i="17"/>
  <c r="AF59" i="17" s="1"/>
  <c r="U59" i="17"/>
  <c r="P59" i="17"/>
  <c r="O59" i="17"/>
  <c r="C57" i="17"/>
  <c r="C56" i="17"/>
  <c r="AC55" i="17"/>
  <c r="AA55" i="17"/>
  <c r="AD55" i="17" s="1"/>
  <c r="W55" i="17"/>
  <c r="U55" i="17"/>
  <c r="Z55" i="17" s="1"/>
  <c r="P55" i="17"/>
  <c r="AC54" i="17"/>
  <c r="AA54" i="17"/>
  <c r="AE54" i="17" s="1"/>
  <c r="U54" i="17"/>
  <c r="Y54" i="17" s="1"/>
  <c r="O54" i="17"/>
  <c r="AC53" i="17"/>
  <c r="AA53" i="17"/>
  <c r="AF53" i="17" s="1"/>
  <c r="U53" i="17"/>
  <c r="Y53" i="17" s="1"/>
  <c r="O53" i="17"/>
  <c r="AC52" i="17"/>
  <c r="AA52" i="17"/>
  <c r="AE52" i="17" s="1"/>
  <c r="U52" i="17"/>
  <c r="Y52" i="17" s="1"/>
  <c r="O52" i="17"/>
  <c r="AC51" i="17"/>
  <c r="AA51" i="17"/>
  <c r="AF51" i="17" s="1"/>
  <c r="U51" i="17"/>
  <c r="X51" i="17" s="1"/>
  <c r="O51" i="17"/>
  <c r="AC50" i="17"/>
  <c r="AA50" i="17"/>
  <c r="AE50" i="17" s="1"/>
  <c r="U50" i="17"/>
  <c r="O50" i="17"/>
  <c r="AA49" i="17"/>
  <c r="W49" i="17"/>
  <c r="U49" i="17"/>
  <c r="Y49" i="17" s="1"/>
  <c r="O49" i="17"/>
  <c r="AC48" i="17"/>
  <c r="AA48" i="17"/>
  <c r="AE48" i="17" s="1"/>
  <c r="U48" i="17"/>
  <c r="AC47" i="17"/>
  <c r="AA47" i="17"/>
  <c r="AD47" i="17" s="1"/>
  <c r="U47" i="17"/>
  <c r="O47" i="17"/>
  <c r="AC46" i="17"/>
  <c r="AA46" i="17"/>
  <c r="AE46" i="17" s="1"/>
  <c r="U46" i="17"/>
  <c r="O46" i="17"/>
  <c r="AC45" i="17"/>
  <c r="AA45" i="17"/>
  <c r="AB45" i="17" s="1"/>
  <c r="U45" i="17"/>
  <c r="C43" i="17"/>
  <c r="S42" i="17"/>
  <c r="S43" i="17" s="1"/>
  <c r="C42" i="17"/>
  <c r="AC41" i="17"/>
  <c r="AA41" i="17"/>
  <c r="AE41" i="17" s="1"/>
  <c r="W41" i="17"/>
  <c r="U41" i="17"/>
  <c r="Y41" i="17" s="1"/>
  <c r="AC40" i="17"/>
  <c r="AA40" i="17"/>
  <c r="AE40" i="17" s="1"/>
  <c r="U40" i="17"/>
  <c r="O40" i="17"/>
  <c r="AC39" i="17"/>
  <c r="AA39" i="17"/>
  <c r="AE39" i="17" s="1"/>
  <c r="U39" i="17"/>
  <c r="C37" i="17"/>
  <c r="C36" i="17"/>
  <c r="AC35" i="17"/>
  <c r="AA35" i="17"/>
  <c r="AE35" i="17" s="1"/>
  <c r="W35" i="17"/>
  <c r="U35" i="17"/>
  <c r="Y35" i="17" s="1"/>
  <c r="O34" i="17"/>
  <c r="AC33" i="17"/>
  <c r="AA33" i="17"/>
  <c r="AE33" i="17" s="1"/>
  <c r="U33" i="17"/>
  <c r="O33" i="17"/>
  <c r="AA32" i="17"/>
  <c r="W32" i="17"/>
  <c r="U32" i="17"/>
  <c r="Z32" i="17" s="1"/>
  <c r="O32" i="17"/>
  <c r="AC31" i="17"/>
  <c r="AA31" i="17"/>
  <c r="AE31" i="17" s="1"/>
  <c r="U31" i="17"/>
  <c r="O31" i="17"/>
  <c r="AC30" i="17"/>
  <c r="AA30" i="17"/>
  <c r="AE30" i="17" s="1"/>
  <c r="U30" i="17"/>
  <c r="O30" i="17"/>
  <c r="AA29" i="17"/>
  <c r="W29" i="17"/>
  <c r="U29" i="17"/>
  <c r="Y29" i="17" s="1"/>
  <c r="O29" i="17"/>
  <c r="AC28" i="17"/>
  <c r="AA28" i="17"/>
  <c r="AE28" i="17" s="1"/>
  <c r="U28" i="17"/>
  <c r="O28" i="17"/>
  <c r="W27" i="17"/>
  <c r="U27" i="17"/>
  <c r="Y27" i="17" s="1"/>
  <c r="AC26" i="17"/>
  <c r="AA26" i="17"/>
  <c r="AE26" i="17" s="1"/>
  <c r="U26" i="17"/>
  <c r="Y26" i="17" s="1"/>
  <c r="O26" i="17"/>
  <c r="AC25" i="17"/>
  <c r="AA25" i="17"/>
  <c r="AE25" i="17" s="1"/>
  <c r="U25" i="17"/>
  <c r="O25" i="17"/>
  <c r="AC24" i="17"/>
  <c r="AA24" i="17"/>
  <c r="AE24" i="17" s="1"/>
  <c r="U24" i="17"/>
  <c r="O24" i="17"/>
  <c r="AC23" i="17"/>
  <c r="AA23" i="17"/>
  <c r="AE23" i="17" s="1"/>
  <c r="U23" i="17"/>
  <c r="O23" i="17"/>
  <c r="S23" i="17" s="1"/>
  <c r="AA22" i="17"/>
  <c r="W22" i="17"/>
  <c r="U22" i="17"/>
  <c r="Y22" i="17" s="1"/>
  <c r="O22" i="17"/>
  <c r="AC21" i="17"/>
  <c r="AA21" i="17"/>
  <c r="AE21" i="17" s="1"/>
  <c r="U21" i="17"/>
  <c r="O21" i="17"/>
  <c r="AC20" i="17"/>
  <c r="AA20" i="17"/>
  <c r="AE20" i="17" s="1"/>
  <c r="U20" i="17"/>
  <c r="O20" i="17"/>
  <c r="AA19" i="17"/>
  <c r="W19" i="17"/>
  <c r="U19" i="17"/>
  <c r="Y19" i="17" s="1"/>
  <c r="O19" i="17"/>
  <c r="AC18" i="17"/>
  <c r="AA18" i="17"/>
  <c r="AE18" i="17" s="1"/>
  <c r="U18" i="17"/>
  <c r="O18" i="17"/>
  <c r="P18" i="17" s="1"/>
  <c r="AC17" i="17"/>
  <c r="AA17" i="17"/>
  <c r="AE17" i="17" s="1"/>
  <c r="U17" i="17"/>
  <c r="AC16" i="17"/>
  <c r="AA16" i="17"/>
  <c r="AE16" i="17" s="1"/>
  <c r="U16" i="17"/>
  <c r="O16" i="17"/>
  <c r="AC15" i="17"/>
  <c r="AA15" i="17"/>
  <c r="AE15" i="17" s="1"/>
  <c r="U15" i="17"/>
  <c r="O15" i="17"/>
  <c r="AC14" i="17"/>
  <c r="AA14" i="17"/>
  <c r="AE14" i="17" s="1"/>
  <c r="U14" i="17"/>
  <c r="O14" i="17"/>
  <c r="AA13" i="17"/>
  <c r="W13" i="17"/>
  <c r="U13" i="17"/>
  <c r="Y13" i="17" s="1"/>
  <c r="O13" i="17"/>
  <c r="AC12" i="17"/>
  <c r="AA12" i="17"/>
  <c r="AE12" i="17" s="1"/>
  <c r="U12" i="17"/>
  <c r="O12" i="17"/>
  <c r="AA11" i="17"/>
  <c r="W11" i="17"/>
  <c r="U11" i="17"/>
  <c r="Z11" i="17" s="1"/>
  <c r="O11" i="17"/>
  <c r="AC10" i="17"/>
  <c r="AA10" i="17"/>
  <c r="AE10" i="17" s="1"/>
  <c r="U10" i="17"/>
  <c r="O10" i="17"/>
  <c r="A5" i="17"/>
  <c r="A4" i="17"/>
  <c r="W1" i="17"/>
  <c r="P68" i="17" l="1"/>
  <c r="P161" i="17"/>
  <c r="P163" i="17" s="1"/>
  <c r="AB41" i="17"/>
  <c r="AB54" i="17"/>
  <c r="AD54" i="17"/>
  <c r="X68" i="17"/>
  <c r="AC64" i="17"/>
  <c r="AB26" i="17"/>
  <c r="J71" i="17"/>
  <c r="K71" i="17" s="1"/>
  <c r="X54" i="17"/>
  <c r="S50" i="17"/>
  <c r="X53" i="17"/>
  <c r="P54" i="17"/>
  <c r="H80" i="17"/>
  <c r="H79" i="17"/>
  <c r="H75" i="17"/>
  <c r="H76" i="17"/>
  <c r="P12" i="17"/>
  <c r="Z12" i="17" s="1"/>
  <c r="Y12" i="17" s="1"/>
  <c r="P14" i="17"/>
  <c r="Z14" i="17" s="1"/>
  <c r="Y14" i="17" s="1"/>
  <c r="Q18" i="17"/>
  <c r="Q20" i="17"/>
  <c r="Q21" i="17"/>
  <c r="Q22" i="17"/>
  <c r="Q23" i="17"/>
  <c r="Q29" i="17"/>
  <c r="AB29" i="17"/>
  <c r="AD29" i="17" s="1"/>
  <c r="AB33" i="17"/>
  <c r="AD33" i="17"/>
  <c r="P28" i="17"/>
  <c r="Z28" i="17" s="1"/>
  <c r="Y28" i="17" s="1"/>
  <c r="AB28" i="17"/>
  <c r="S28" i="17"/>
  <c r="V49" i="17"/>
  <c r="X67" i="17"/>
  <c r="Q60" i="17"/>
  <c r="AF60" i="17" s="1"/>
  <c r="AE60" i="17" s="1"/>
  <c r="AD35" i="17"/>
  <c r="AB35" i="17"/>
  <c r="Q34" i="17"/>
  <c r="AB22" i="17"/>
  <c r="AD22" i="17" s="1"/>
  <c r="Q66" i="17"/>
  <c r="AB40" i="17"/>
  <c r="AD40" i="17"/>
  <c r="AD12" i="17"/>
  <c r="V21" i="17"/>
  <c r="X21" i="17" s="1"/>
  <c r="S31" i="17"/>
  <c r="AC42" i="17"/>
  <c r="AD41" i="17"/>
  <c r="S53" i="17"/>
  <c r="V59" i="17"/>
  <c r="X59" i="17" s="1"/>
  <c r="X61" i="17"/>
  <c r="AD18" i="17"/>
  <c r="AD25" i="17"/>
  <c r="AF45" i="17"/>
  <c r="V46" i="17"/>
  <c r="X46" i="17" s="1"/>
  <c r="AD46" i="17"/>
  <c r="V48" i="17"/>
  <c r="X48" i="17" s="1"/>
  <c r="AD48" i="17"/>
  <c r="V54" i="17"/>
  <c r="AB18" i="17"/>
  <c r="P21" i="17"/>
  <c r="Z21" i="17" s="1"/>
  <c r="Y21" i="17" s="1"/>
  <c r="AB25" i="17"/>
  <c r="AD26" i="17"/>
  <c r="AD28" i="17"/>
  <c r="V30" i="17"/>
  <c r="X30" i="17" s="1"/>
  <c r="P31" i="17"/>
  <c r="Z31" i="17" s="1"/>
  <c r="Y31" i="17" s="1"/>
  <c r="P46" i="17"/>
  <c r="Z46" i="17" s="1"/>
  <c r="Y46" i="17" s="1"/>
  <c r="AB46" i="17"/>
  <c r="V47" i="17"/>
  <c r="X47" i="17" s="1"/>
  <c r="P48" i="17"/>
  <c r="AB48" i="17"/>
  <c r="P49" i="17"/>
  <c r="X49" i="17"/>
  <c r="X52" i="17"/>
  <c r="P53" i="17"/>
  <c r="S54" i="17"/>
  <c r="Q64" i="17"/>
  <c r="AB67" i="17"/>
  <c r="AD67" i="17" s="1"/>
  <c r="AB13" i="17"/>
  <c r="AD13" i="17" s="1"/>
  <c r="AB15" i="17"/>
  <c r="S17" i="17"/>
  <c r="X19" i="17"/>
  <c r="AD21" i="17"/>
  <c r="V22" i="17"/>
  <c r="AC22" i="17"/>
  <c r="W23" i="17"/>
  <c r="AD23" i="17"/>
  <c r="AB24" i="17"/>
  <c r="Q25" i="17"/>
  <c r="P26" i="17"/>
  <c r="Z26" i="17" s="1"/>
  <c r="V26" i="17"/>
  <c r="O27" i="17"/>
  <c r="O36" i="17" s="1"/>
  <c r="X27" i="17"/>
  <c r="P30" i="17"/>
  <c r="Z30" i="17" s="1"/>
  <c r="Y30" i="17" s="1"/>
  <c r="AD30" i="17"/>
  <c r="AF33" i="17"/>
  <c r="S34" i="17"/>
  <c r="X35" i="17"/>
  <c r="AF40" i="17"/>
  <c r="X41" i="17"/>
  <c r="AC49" i="17"/>
  <c r="AC56" i="17" s="1"/>
  <c r="AB50" i="17"/>
  <c r="S51" i="17"/>
  <c r="S52" i="17"/>
  <c r="AD52" i="17"/>
  <c r="Y62" i="17"/>
  <c r="AF63" i="17"/>
  <c r="AC65" i="17"/>
  <c r="V57" i="13"/>
  <c r="V25" i="17"/>
  <c r="X25" i="17" s="1"/>
  <c r="Q26" i="17"/>
  <c r="X26" i="17"/>
  <c r="AA27" i="17"/>
  <c r="AC27" i="17" s="1"/>
  <c r="Q30" i="17"/>
  <c r="AF30" i="17"/>
  <c r="Z35" i="17"/>
  <c r="Z41" i="17"/>
  <c r="AF47" i="17"/>
  <c r="AF52" i="17"/>
  <c r="AA54" i="13"/>
  <c r="AC54" i="13" s="1"/>
  <c r="W12" i="17"/>
  <c r="AD10" i="17"/>
  <c r="AD15" i="17"/>
  <c r="S18" i="17"/>
  <c r="V19" i="17"/>
  <c r="AB21" i="17"/>
  <c r="S22" i="17"/>
  <c r="X22" i="17"/>
  <c r="P23" i="17"/>
  <c r="Z23" i="17" s="1"/>
  <c r="AB23" i="17"/>
  <c r="AD24" i="17"/>
  <c r="AF25" i="17"/>
  <c r="S26" i="17"/>
  <c r="AF26" i="17"/>
  <c r="V27" i="17"/>
  <c r="V28" i="17"/>
  <c r="X28" i="17" s="1"/>
  <c r="S30" i="17"/>
  <c r="AB30" i="17"/>
  <c r="V31" i="17"/>
  <c r="X31" i="17" s="1"/>
  <c r="P34" i="17"/>
  <c r="V35" i="17"/>
  <c r="AF35" i="17"/>
  <c r="P39" i="17"/>
  <c r="Z39" i="17" s="1"/>
  <c r="V41" i="17"/>
  <c r="AF41" i="17"/>
  <c r="AD50" i="17"/>
  <c r="P52" i="17"/>
  <c r="V52" i="17"/>
  <c r="AB52" i="17"/>
  <c r="V53" i="17"/>
  <c r="AF54" i="17"/>
  <c r="V62" i="17"/>
  <c r="V65" i="17"/>
  <c r="AB68" i="17"/>
  <c r="W18" i="17"/>
  <c r="W33" i="17"/>
  <c r="W39" i="17"/>
  <c r="AF17" i="17"/>
  <c r="AB10" i="17"/>
  <c r="AC11" i="17"/>
  <c r="S12" i="17"/>
  <c r="P13" i="17"/>
  <c r="Q13" i="17" s="1"/>
  <c r="X13" i="17"/>
  <c r="AC13" i="17"/>
  <c r="AD14" i="17"/>
  <c r="AF15" i="17"/>
  <c r="AD16" i="17"/>
  <c r="W17" i="17"/>
  <c r="AD17" i="17"/>
  <c r="AF18" i="17"/>
  <c r="Z19" i="17"/>
  <c r="W20" i="17"/>
  <c r="AB20" i="17"/>
  <c r="P22" i="17"/>
  <c r="AF23" i="17"/>
  <c r="W24" i="17"/>
  <c r="P25" i="17"/>
  <c r="Z25" i="17" s="1"/>
  <c r="Y25" i="17" s="1"/>
  <c r="Q28" i="17"/>
  <c r="W28" i="17"/>
  <c r="P29" i="17"/>
  <c r="V29" i="17"/>
  <c r="AC29" i="17"/>
  <c r="Q31" i="17"/>
  <c r="W31" i="17"/>
  <c r="AB31" i="17"/>
  <c r="AF31" i="17"/>
  <c r="S32" i="17"/>
  <c r="X32" i="17"/>
  <c r="AB32" i="17"/>
  <c r="AD32" i="17" s="1"/>
  <c r="S33" i="17"/>
  <c r="Q39" i="17"/>
  <c r="AB39" i="17"/>
  <c r="AF39" i="17"/>
  <c r="P45" i="17"/>
  <c r="Z45" i="17" s="1"/>
  <c r="Y45" i="17" s="1"/>
  <c r="W47" i="17"/>
  <c r="W48" i="17"/>
  <c r="S49" i="17"/>
  <c r="P51" i="17"/>
  <c r="Z51" i="17" s="1"/>
  <c r="AD53" i="17"/>
  <c r="Z61" i="17"/>
  <c r="V61" i="17"/>
  <c r="Z62" i="17"/>
  <c r="Q63" i="17"/>
  <c r="Q67" i="17"/>
  <c r="AC67" i="17"/>
  <c r="Z13" i="17"/>
  <c r="AF14" i="17"/>
  <c r="AF16" i="17"/>
  <c r="V20" i="17"/>
  <c r="X20" i="17" s="1"/>
  <c r="V24" i="17"/>
  <c r="X24" i="17" s="1"/>
  <c r="W25" i="17"/>
  <c r="Y32" i="17"/>
  <c r="AC32" i="17"/>
  <c r="V40" i="17"/>
  <c r="X40" i="17" s="1"/>
  <c r="O42" i="17"/>
  <c r="U42" i="17"/>
  <c r="U56" i="17"/>
  <c r="V45" i="17"/>
  <c r="X45" i="17" s="1"/>
  <c r="W50" i="17"/>
  <c r="AE51" i="17"/>
  <c r="AB51" i="17"/>
  <c r="AE53" i="17"/>
  <c r="W54" i="17"/>
  <c r="AA69" i="17"/>
  <c r="AD59" i="17"/>
  <c r="AC61" i="17"/>
  <c r="W63" i="17"/>
  <c r="Q65" i="17"/>
  <c r="S16" i="17"/>
  <c r="AB16" i="17"/>
  <c r="AB17" i="17"/>
  <c r="V18" i="17"/>
  <c r="P19" i="17"/>
  <c r="AB19" i="17"/>
  <c r="AD19" i="17" s="1"/>
  <c r="P20" i="17"/>
  <c r="AD20" i="17"/>
  <c r="S21" i="17"/>
  <c r="AF21" i="17"/>
  <c r="Z22" i="17"/>
  <c r="V23" i="17"/>
  <c r="P24" i="17"/>
  <c r="AF24" i="17"/>
  <c r="S25" i="17"/>
  <c r="W26" i="17"/>
  <c r="Z27" i="17"/>
  <c r="AF28" i="17"/>
  <c r="S29" i="17"/>
  <c r="X29" i="17"/>
  <c r="W30" i="17"/>
  <c r="AD31" i="17"/>
  <c r="P32" i="17"/>
  <c r="V32" i="17"/>
  <c r="P33" i="17"/>
  <c r="Z33" i="17" s="1"/>
  <c r="Y33" i="17" s="1"/>
  <c r="V33" i="17"/>
  <c r="X33" i="17" s="1"/>
  <c r="V39" i="17"/>
  <c r="AD39" i="17"/>
  <c r="P40" i="17"/>
  <c r="W40" i="17"/>
  <c r="AA42" i="17"/>
  <c r="AE45" i="17"/>
  <c r="AD45" i="17"/>
  <c r="AF46" i="17"/>
  <c r="AE47" i="17"/>
  <c r="AB47" i="17"/>
  <c r="V50" i="17"/>
  <c r="X50" i="17" s="1"/>
  <c r="W53" i="17"/>
  <c r="AB53" i="17"/>
  <c r="AB59" i="17"/>
  <c r="AC60" i="17"/>
  <c r="AE63" i="17"/>
  <c r="AD63" i="17"/>
  <c r="W66" i="17"/>
  <c r="AF12" i="17"/>
  <c r="V13" i="17"/>
  <c r="AB14" i="17"/>
  <c r="AF10" i="17"/>
  <c r="AB12" i="17"/>
  <c r="S14" i="17"/>
  <c r="W16" i="17"/>
  <c r="X18" i="17"/>
  <c r="S19" i="17"/>
  <c r="AC19" i="17"/>
  <c r="S20" i="17"/>
  <c r="AF20" i="17"/>
  <c r="W21" i="17"/>
  <c r="X23" i="17"/>
  <c r="S24" i="17"/>
  <c r="Z29" i="17"/>
  <c r="Q32" i="17"/>
  <c r="Q33" i="17"/>
  <c r="Q40" i="17"/>
  <c r="P47" i="17"/>
  <c r="Z47" i="17" s="1"/>
  <c r="Y47" i="17" s="1"/>
  <c r="P50" i="17"/>
  <c r="V51" i="17"/>
  <c r="AD51" i="17"/>
  <c r="W52" i="17"/>
  <c r="U69" i="17"/>
  <c r="W59" i="17"/>
  <c r="Q59" i="17"/>
  <c r="Q62" i="17"/>
  <c r="Z65" i="17"/>
  <c r="V67" i="17"/>
  <c r="Z67" i="17"/>
  <c r="V68" i="17"/>
  <c r="AF68" i="17"/>
  <c r="W46" i="17"/>
  <c r="AF48" i="17"/>
  <c r="Z49" i="17"/>
  <c r="AF50" i="17"/>
  <c r="W51" i="17"/>
  <c r="X65" i="17"/>
  <c r="Z68" i="17"/>
  <c r="AD68" i="17"/>
  <c r="Q10" i="17"/>
  <c r="Q11" i="17"/>
  <c r="V11" i="17"/>
  <c r="Q15" i="17"/>
  <c r="P15" i="17"/>
  <c r="W10" i="17"/>
  <c r="U36" i="17"/>
  <c r="S11" i="17"/>
  <c r="X11" i="17"/>
  <c r="AB11" i="17"/>
  <c r="AD11" i="17" s="1"/>
  <c r="Q12" i="17"/>
  <c r="V12" i="17"/>
  <c r="X12" i="17" s="1"/>
  <c r="S15" i="17"/>
  <c r="V10" i="17"/>
  <c r="X10" i="17" s="1"/>
  <c r="W15" i="17"/>
  <c r="V15" i="17"/>
  <c r="X15" i="17" s="1"/>
  <c r="Y11" i="17"/>
  <c r="P10" i="17"/>
  <c r="W14" i="17"/>
  <c r="S10" i="17"/>
  <c r="P11" i="17"/>
  <c r="Q14" i="17"/>
  <c r="V14" i="17"/>
  <c r="X14" i="17" s="1"/>
  <c r="S45" i="17"/>
  <c r="S46" i="17"/>
  <c r="S47" i="17"/>
  <c r="S48" i="17"/>
  <c r="AB49" i="17"/>
  <c r="AD49" i="17" s="1"/>
  <c r="AE55" i="17"/>
  <c r="AB61" i="17"/>
  <c r="AD61" i="17" s="1"/>
  <c r="AC62" i="17"/>
  <c r="V63" i="17"/>
  <c r="X63" i="17" s="1"/>
  <c r="AB65" i="17"/>
  <c r="AD65" i="17" s="1"/>
  <c r="O69" i="17"/>
  <c r="Y18" i="17"/>
  <c r="Y23" i="17"/>
  <c r="Y51" i="17"/>
  <c r="X55" i="17"/>
  <c r="AB55" i="17"/>
  <c r="AF55" i="17"/>
  <c r="AA56" i="17"/>
  <c r="AE59" i="17"/>
  <c r="X60" i="17"/>
  <c r="AB60" i="17"/>
  <c r="AD60" i="17" s="1"/>
  <c r="X64" i="17"/>
  <c r="AB64" i="17"/>
  <c r="AD64" i="17" s="1"/>
  <c r="V66" i="17"/>
  <c r="X66" i="17" s="1"/>
  <c r="AD66" i="17"/>
  <c r="P16" i="17"/>
  <c r="V16" i="17"/>
  <c r="X16" i="17" s="1"/>
  <c r="Y55" i="17"/>
  <c r="Y60" i="17"/>
  <c r="Y64" i="17"/>
  <c r="AE66" i="17"/>
  <c r="V17" i="17"/>
  <c r="X17" i="17" s="1"/>
  <c r="Z18" i="17"/>
  <c r="Q16" i="17"/>
  <c r="Q19" i="17"/>
  <c r="Q24" i="17"/>
  <c r="Q45" i="17"/>
  <c r="W45" i="17"/>
  <c r="Q46" i="17"/>
  <c r="Q47" i="17"/>
  <c r="Q48" i="17"/>
  <c r="Q49" i="17"/>
  <c r="Q50" i="17"/>
  <c r="Q51" i="17"/>
  <c r="V55" i="17"/>
  <c r="O56" i="17"/>
  <c r="V60" i="17"/>
  <c r="P61" i="17"/>
  <c r="AB62" i="17"/>
  <c r="AD62" i="17" s="1"/>
  <c r="V64" i="17"/>
  <c r="AB66" i="17"/>
  <c r="Y57" i="13"/>
  <c r="Z57" i="13"/>
  <c r="AD57" i="13"/>
  <c r="AE57" i="13"/>
  <c r="AB57" i="13"/>
  <c r="Q53" i="17" l="1"/>
  <c r="AF64" i="17"/>
  <c r="AE64" i="17" s="1"/>
  <c r="Z53" i="17"/>
  <c r="V56" i="17"/>
  <c r="X56" i="17" s="1"/>
  <c r="AB42" i="17"/>
  <c r="AF54" i="13"/>
  <c r="AE54" i="13" s="1"/>
  <c r="Z24" i="17"/>
  <c r="Y24" i="17" s="1"/>
  <c r="Z66" i="17"/>
  <c r="Y66" i="17" s="1"/>
  <c r="AF49" i="17"/>
  <c r="AF56" i="17" s="1"/>
  <c r="AE56" i="17" s="1"/>
  <c r="Z54" i="17"/>
  <c r="AF62" i="17"/>
  <c r="AE62" i="17" s="1"/>
  <c r="AF65" i="17"/>
  <c r="AE65" i="17" s="1"/>
  <c r="Z52" i="17"/>
  <c r="Z48" i="17"/>
  <c r="Y48" i="17" s="1"/>
  <c r="P42" i="17"/>
  <c r="W75" i="17" s="1"/>
  <c r="AF42" i="17"/>
  <c r="U71" i="17"/>
  <c r="V42" i="17"/>
  <c r="X42" i="17" s="1"/>
  <c r="AA36" i="17"/>
  <c r="AA71" i="17" s="1"/>
  <c r="Z20" i="17"/>
  <c r="Y20" i="17" s="1"/>
  <c r="AF13" i="17"/>
  <c r="AE13" i="17" s="1"/>
  <c r="S27" i="17"/>
  <c r="W56" i="17"/>
  <c r="W58" i="13"/>
  <c r="U58" i="13"/>
  <c r="AB54" i="13"/>
  <c r="AD54" i="13" s="1"/>
  <c r="AA58" i="13"/>
  <c r="P27" i="17"/>
  <c r="AF67" i="17"/>
  <c r="AE67" i="17" s="1"/>
  <c r="AC69" i="17"/>
  <c r="Q27" i="17"/>
  <c r="AB27" i="17"/>
  <c r="AD27" i="17" s="1"/>
  <c r="AC36" i="17"/>
  <c r="AF22" i="17"/>
  <c r="AE22" i="17" s="1"/>
  <c r="Z63" i="17"/>
  <c r="Y63" i="17" s="1"/>
  <c r="Z59" i="17"/>
  <c r="Y59" i="17" s="1"/>
  <c r="Z50" i="17"/>
  <c r="Y50" i="17" s="1"/>
  <c r="P56" i="17"/>
  <c r="W42" i="17"/>
  <c r="Q54" i="17"/>
  <c r="Q52" i="17"/>
  <c r="V69" i="17"/>
  <c r="X69" i="17" s="1"/>
  <c r="Z15" i="17"/>
  <c r="Y15" i="17" s="1"/>
  <c r="W69" i="17"/>
  <c r="AE42" i="17"/>
  <c r="AD42" i="17"/>
  <c r="X39" i="17"/>
  <c r="AF32" i="17"/>
  <c r="AE32" i="17" s="1"/>
  <c r="AC58" i="13"/>
  <c r="Q42" i="17"/>
  <c r="Q43" i="17" s="1"/>
  <c r="AF29" i="17"/>
  <c r="AE29" i="17" s="1"/>
  <c r="Z40" i="17"/>
  <c r="Y40" i="17" s="1"/>
  <c r="Y39" i="17"/>
  <c r="AF19" i="17"/>
  <c r="AE19" i="17" s="1"/>
  <c r="Z17" i="17"/>
  <c r="Y17" i="17" s="1"/>
  <c r="AF11" i="17"/>
  <c r="AE11" i="17" s="1"/>
  <c r="Z16" i="17"/>
  <c r="Y16" i="17" s="1"/>
  <c r="AB69" i="17"/>
  <c r="AD69" i="17" s="1"/>
  <c r="AB56" i="17"/>
  <c r="AD56" i="17" s="1"/>
  <c r="Z10" i="17"/>
  <c r="Y10" i="17" s="1"/>
  <c r="S56" i="17"/>
  <c r="S57" i="17" s="1"/>
  <c r="O71" i="17"/>
  <c r="O74" i="17" s="1"/>
  <c r="S13" i="17"/>
  <c r="P69" i="17"/>
  <c r="Q61" i="17"/>
  <c r="V36" i="17"/>
  <c r="W36" i="17"/>
  <c r="P36" i="17" l="1"/>
  <c r="W73" i="17" s="1"/>
  <c r="AF27" i="17"/>
  <c r="AE27" i="17" s="1"/>
  <c r="AE49" i="17"/>
  <c r="P43" i="17"/>
  <c r="Z69" i="17"/>
  <c r="Y69" i="17" s="1"/>
  <c r="AC71" i="17"/>
  <c r="P57" i="17"/>
  <c r="W74" i="17"/>
  <c r="Q56" i="17"/>
  <c r="Q57" i="17" s="1"/>
  <c r="Q36" i="17"/>
  <c r="Q37" i="17" s="1"/>
  <c r="Z58" i="13"/>
  <c r="Y58" i="13" s="1"/>
  <c r="V58" i="13"/>
  <c r="X58" i="13" s="1"/>
  <c r="AB58" i="13"/>
  <c r="AD58" i="13" s="1"/>
  <c r="AB36" i="17"/>
  <c r="AD36" i="17" s="1"/>
  <c r="W71" i="17"/>
  <c r="Z56" i="17"/>
  <c r="Y56" i="17" s="1"/>
  <c r="Z36" i="17"/>
  <c r="Y36" i="17" s="1"/>
  <c r="S36" i="17"/>
  <c r="S37" i="17" s="1"/>
  <c r="Z42" i="17"/>
  <c r="X36" i="17"/>
  <c r="V71" i="17"/>
  <c r="X71" i="17" s="1"/>
  <c r="AF61" i="17"/>
  <c r="AF36" i="17" l="1"/>
  <c r="AE36" i="17" s="1"/>
  <c r="P37" i="17"/>
  <c r="W76" i="17"/>
  <c r="X76" i="17" s="1"/>
  <c r="AG56" i="17"/>
  <c r="AB71" i="17"/>
  <c r="AD71" i="17" s="1"/>
  <c r="AG36" i="17"/>
  <c r="Z71" i="17"/>
  <c r="Y71" i="17" s="1"/>
  <c r="Y42" i="17"/>
  <c r="AG42" i="17"/>
  <c r="AE61" i="17"/>
  <c r="AF69" i="17"/>
  <c r="AE69" i="17" l="1"/>
  <c r="AF71" i="17"/>
  <c r="AE71" i="17" s="1"/>
  <c r="Q159" i="17" l="1"/>
  <c r="Q68" i="17" s="1"/>
  <c r="Q161" i="17" l="1"/>
  <c r="Q163" i="17" s="1"/>
  <c r="Q69" i="17"/>
  <c r="AG69" i="17" l="1"/>
  <c r="Q70" i="17"/>
  <c r="W83" i="17"/>
  <c r="X83" i="17" s="1"/>
  <c r="P71" i="17"/>
  <c r="AG71" i="17" l="1"/>
  <c r="X88" i="17"/>
  <c r="Q71" i="17"/>
  <c r="O58" i="13" l="1"/>
  <c r="N60" i="13" l="1"/>
  <c r="W60" i="13" l="1"/>
  <c r="U60" i="13"/>
  <c r="AF58" i="13" l="1"/>
  <c r="AG58" i="13" s="1"/>
  <c r="AE58" i="13" l="1"/>
  <c r="P58" i="13" l="1"/>
  <c r="O48" i="13" l="1"/>
  <c r="S49" i="13"/>
  <c r="S48" i="13"/>
  <c r="AH48" i="13"/>
  <c r="V48" i="13"/>
  <c r="Z48" i="13"/>
  <c r="P49" i="13" l="1"/>
  <c r="P48" i="13"/>
  <c r="AG48" i="13" s="1"/>
  <c r="Y48" i="13"/>
  <c r="Z50" i="13"/>
  <c r="Z60" i="13"/>
  <c r="Y60" i="13" s="1"/>
  <c r="X48" i="13"/>
  <c r="V50" i="13"/>
  <c r="X50" i="13" s="1"/>
  <c r="V60" i="13"/>
  <c r="X60" i="13" s="1"/>
  <c r="Q49" i="13" l="1"/>
  <c r="Q60" i="13" s="1"/>
  <c r="Y50" i="13"/>
  <c r="AA31" i="13" l="1"/>
  <c r="AA34" i="13" l="1"/>
  <c r="AC31" i="13"/>
  <c r="AC34" i="13" s="1"/>
  <c r="AB31" i="13" l="1"/>
  <c r="AB34" i="13" s="1"/>
  <c r="AC50" i="13"/>
  <c r="AC60" i="13"/>
  <c r="AA50" i="13"/>
  <c r="AA60" i="13"/>
  <c r="AF31" i="13" l="1"/>
  <c r="AD31" i="13"/>
  <c r="O60" i="13"/>
  <c r="AB50" i="13"/>
  <c r="AD50" i="13" s="1"/>
  <c r="AD34" i="13"/>
  <c r="AB60" i="13"/>
  <c r="AD60" i="13" s="1"/>
  <c r="P60" i="13" l="1"/>
  <c r="AE31" i="13"/>
  <c r="AF34" i="13"/>
  <c r="AG34" i="13" l="1"/>
  <c r="AF50" i="13"/>
  <c r="AE34" i="13"/>
  <c r="AF60" i="13"/>
  <c r="AE60" i="13" s="1"/>
  <c r="AG60" i="13" l="1"/>
  <c r="AE50" i="13"/>
  <c r="AG50" i="13"/>
  <c r="N31" i="13"/>
  <c r="AH31" i="13" s="1"/>
  <c r="AH34" i="13" s="1"/>
  <c r="AH50" i="13" s="1"/>
  <c r="Q318" i="7" l="1"/>
  <c r="Q318" i="7" a="1"/>
  <c r="Q326" i="7"/>
  <c r="Q267" i="8"/>
  <c r="Q267" i="8" a="1"/>
  <c r="Q27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Andrea Maria Espinoza Saravia</author>
  </authors>
  <commentList>
    <comment ref="P11" authorId="0" shapeId="0" xr:uid="{00000000-0006-0000-0300-000001000000}">
      <text>
        <r>
          <rPr>
            <b/>
            <sz val="9"/>
            <color indexed="81"/>
            <rFont val="Tahoma"/>
            <family val="2"/>
          </rPr>
          <t>Andrea Maria Espinoza Saravia:</t>
        </r>
        <r>
          <rPr>
            <sz val="9"/>
            <color indexed="81"/>
            <rFont val="Tahoma"/>
            <family val="2"/>
          </rPr>
          <t xml:space="preserve">
0.01
</t>
        </r>
      </text>
    </comment>
    <comment ref="P49" authorId="0" shapeId="0" xr:uid="{00000000-0006-0000-0300-000002000000}">
      <text>
        <r>
          <rPr>
            <b/>
            <sz val="9"/>
            <color indexed="81"/>
            <rFont val="Tahoma"/>
            <family val="2"/>
          </rPr>
          <t>Andrea Maria Espinoza Saravia:</t>
        </r>
        <r>
          <rPr>
            <sz val="9"/>
            <color indexed="81"/>
            <rFont val="Tahoma"/>
            <family val="2"/>
          </rPr>
          <t xml:space="preserve">
0.86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<sst xmlns="http://schemas.openxmlformats.org/spreadsheetml/2006/main" count="12221" uniqueCount="476">
  <si>
    <t>PERUPETRO S.A.</t>
  </si>
  <si>
    <t>Total</t>
  </si>
  <si>
    <t>Fiscalización</t>
  </si>
  <si>
    <t>II</t>
  </si>
  <si>
    <t>III</t>
  </si>
  <si>
    <t>IV</t>
  </si>
  <si>
    <t>VII/VI</t>
  </si>
  <si>
    <t>VII/VI-GAS</t>
  </si>
  <si>
    <t>X-GAS</t>
  </si>
  <si>
    <t>XV</t>
  </si>
  <si>
    <t>31-B</t>
  </si>
  <si>
    <t>31-D</t>
  </si>
  <si>
    <t>31-C GAS</t>
  </si>
  <si>
    <t>I</t>
  </si>
  <si>
    <t>I GAS</t>
  </si>
  <si>
    <t>Z-2B</t>
  </si>
  <si>
    <t>Z-2B GAS</t>
  </si>
  <si>
    <t>V</t>
  </si>
  <si>
    <t>IX</t>
  </si>
  <si>
    <t>Período</t>
  </si>
  <si>
    <t>X</t>
  </si>
  <si>
    <t>Mes</t>
  </si>
  <si>
    <t>Provincia Puerto Inca Huanuco</t>
  </si>
  <si>
    <t>Piura / Tumbes</t>
  </si>
  <si>
    <t>Loreto / Ucayali</t>
  </si>
  <si>
    <t>Localidad</t>
  </si>
  <si>
    <t xml:space="preserve">  -    Lote</t>
  </si>
  <si>
    <t>Unidades</t>
  </si>
  <si>
    <t>-</t>
  </si>
  <si>
    <t>Servicios</t>
  </si>
  <si>
    <t>Quincena</t>
  </si>
  <si>
    <t>Licencia</t>
  </si>
  <si>
    <t>31-C COND</t>
  </si>
  <si>
    <t>Modalidad de Contrato</t>
  </si>
  <si>
    <t>Producción</t>
  </si>
  <si>
    <t>1ra. Q</t>
  </si>
  <si>
    <t>2da. Q  /  Mes</t>
  </si>
  <si>
    <t>Bls</t>
  </si>
  <si>
    <t>Canasta o Valor Venta (US$/Unidad)</t>
  </si>
  <si>
    <t>Flete Marítimo</t>
  </si>
  <si>
    <t>Comercialización</t>
  </si>
  <si>
    <t>Deducción de Gastos para determinación de valor de producción en Punto de Fiscalización (US$)</t>
  </si>
  <si>
    <t>Oleoducto</t>
  </si>
  <si>
    <t>Piura</t>
  </si>
  <si>
    <t>Tumbes</t>
  </si>
  <si>
    <t>Localidad 1</t>
  </si>
  <si>
    <t>Localidad 2</t>
  </si>
  <si>
    <t>Loreto</t>
  </si>
  <si>
    <t>Ucayali</t>
  </si>
  <si>
    <t>Puerto Inca</t>
  </si>
  <si>
    <t>Canon y Sobrecanon   /   Participación  (US$)</t>
  </si>
  <si>
    <t>Período de Cálculo:</t>
  </si>
  <si>
    <t>Ajustes meses anteriores (1)</t>
  </si>
  <si>
    <t>Ajustes meses anteriores (2)</t>
  </si>
  <si>
    <t>Ajustes meses anteriores (3)</t>
  </si>
  <si>
    <t>Total General</t>
  </si>
  <si>
    <t xml:space="preserve"> MM BTU</t>
  </si>
  <si>
    <t>XIV</t>
  </si>
  <si>
    <t>Calculo del Canon</t>
  </si>
  <si>
    <t>Fórmula</t>
  </si>
  <si>
    <t>Días en el mes</t>
  </si>
  <si>
    <t>Resumen por Petróleo y Condensados</t>
  </si>
  <si>
    <t>Resumen por Gas Natural</t>
  </si>
  <si>
    <t>Control</t>
  </si>
  <si>
    <t>Producción  /  Venta</t>
  </si>
  <si>
    <t>Valor Prod</t>
  </si>
  <si>
    <t>Valor Canon</t>
  </si>
  <si>
    <t>Bls/Mes</t>
  </si>
  <si>
    <t>Bls/Día</t>
  </si>
  <si>
    <t>US$/Bl</t>
  </si>
  <si>
    <t>US$</t>
  </si>
  <si>
    <t>MM BTU/Mes</t>
  </si>
  <si>
    <t xml:space="preserve"> MM BTU/Día</t>
  </si>
  <si>
    <t>US$/MM BTU</t>
  </si>
  <si>
    <t>Canon</t>
  </si>
  <si>
    <t>31-C LGN (*)</t>
  </si>
  <si>
    <r>
      <t>Determinación de Canasta de los Líquidos de Gas Natural (V</t>
    </r>
    <r>
      <rPr>
        <sz val="8"/>
        <rFont val="Arial"/>
        <family val="2"/>
      </rPr>
      <t>LGNF</t>
    </r>
    <r>
      <rPr>
        <sz val="10"/>
        <rFont val="Arial"/>
        <family val="2"/>
      </rPr>
      <t xml:space="preserve">) </t>
    </r>
  </si>
  <si>
    <r>
      <t xml:space="preserve">= </t>
    </r>
    <r>
      <rPr>
        <sz val="10"/>
        <rFont val="Arial"/>
        <family val="2"/>
      </rPr>
      <t>(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t>
    </r>
  </si>
  <si>
    <t>Simbolo</t>
  </si>
  <si>
    <t>Descripcion</t>
  </si>
  <si>
    <t>2da. Q</t>
  </si>
  <si>
    <r>
      <t>V</t>
    </r>
    <r>
      <rPr>
        <sz val="8"/>
        <rFont val="Arial"/>
        <family val="2"/>
      </rPr>
      <t>C</t>
    </r>
  </si>
  <si>
    <t>Canasta de Petróleo</t>
  </si>
  <si>
    <r>
      <t>P</t>
    </r>
    <r>
      <rPr>
        <sz val="8"/>
        <rFont val="Arial"/>
        <family val="2"/>
      </rPr>
      <t>B</t>
    </r>
  </si>
  <si>
    <t>Precio del GLP</t>
  </si>
  <si>
    <r>
      <t>T</t>
    </r>
    <r>
      <rPr>
        <sz val="8"/>
        <rFont val="Arial"/>
        <family val="2"/>
      </rPr>
      <t>F</t>
    </r>
  </si>
  <si>
    <t>Tarifa de Fraccionam.</t>
  </si>
  <si>
    <r>
      <t>%</t>
    </r>
    <r>
      <rPr>
        <sz val="8"/>
        <rFont val="Arial"/>
        <family val="2"/>
      </rPr>
      <t>P</t>
    </r>
  </si>
  <si>
    <t>% Contenido Pentanos</t>
  </si>
  <si>
    <r>
      <t>Q</t>
    </r>
    <r>
      <rPr>
        <sz val="8"/>
        <rFont val="Arial"/>
        <family val="2"/>
      </rPr>
      <t>LGNF</t>
    </r>
  </si>
  <si>
    <t>Volumen de LGN</t>
  </si>
  <si>
    <r>
      <t>T</t>
    </r>
    <r>
      <rPr>
        <sz val="8"/>
        <rFont val="Arial"/>
        <family val="2"/>
      </rPr>
      <t>T</t>
    </r>
  </si>
  <si>
    <t>Tarifa de Transporte</t>
  </si>
  <si>
    <t>(*)</t>
  </si>
  <si>
    <t>Días en el año</t>
  </si>
  <si>
    <t>Valor</t>
  </si>
  <si>
    <t>Valor de la Producción  (US$)</t>
  </si>
  <si>
    <t>V P (US$)</t>
  </si>
  <si>
    <t>F1</t>
  </si>
  <si>
    <t>Contratos de Servicios</t>
  </si>
  <si>
    <t>Canon y Sobrecanon</t>
  </si>
  <si>
    <t>F2</t>
  </si>
  <si>
    <t>Contratos de Licencia</t>
  </si>
  <si>
    <t>F3</t>
  </si>
  <si>
    <t>Líquidos de Gas Natural</t>
  </si>
  <si>
    <t>Canon y Sobrecanon =</t>
  </si>
  <si>
    <t>Volumen Producción / Venta</t>
  </si>
  <si>
    <t>UNIDADES</t>
  </si>
  <si>
    <t xml:space="preserve">Subtotal </t>
  </si>
  <si>
    <t>DETERMINACION DEL CANON, SOBRECANON y PARTICIPACION (US$)</t>
  </si>
  <si>
    <t xml:space="preserve">    V.V. (US$/Unidad ) = Valor Venta - Flete Marítimo - Gtos. Comercialización - Gtos. Oleoducto - Gtos. Fiscalización</t>
  </si>
  <si>
    <r>
      <t xml:space="preserve">   V </t>
    </r>
    <r>
      <rPr>
        <sz val="8"/>
        <rFont val="Arial"/>
        <family val="2"/>
      </rPr>
      <t>LGNF</t>
    </r>
    <r>
      <rPr>
        <sz val="10"/>
        <rFont val="Arial"/>
        <family val="2"/>
      </rPr>
      <t xml:space="preserve"> (US$/Unidad) = [ (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 - Gtos. Oleoducto - Gtos. Fiscalización ]</t>
    </r>
  </si>
  <si>
    <t xml:space="preserve">   V.C. (US$/Unidad) = Valor de Canasta - Gtos. Oleoducto - Gtos. Fiscalización</t>
  </si>
  <si>
    <t>DETERMINACION DEL CANON, SOBRECANON Y PARTICIPACION</t>
  </si>
  <si>
    <t>NOMENCLATURA APLICADA PARA EL CALCULO DEL CANON, SOBRECANON Y PARTICIPACION</t>
  </si>
  <si>
    <t>LOCALIDAD</t>
  </si>
  <si>
    <t>Circunscripción geográfica que percibe el Canon, Sobrecanon y Participación (en el caso de Piura, Tumbes)</t>
  </si>
  <si>
    <t>LOTE</t>
  </si>
  <si>
    <t>Nombre del Lote bajo contrato, en el que se realiza la explotación de los hidrocarburos. Se muestra con los sufijos "GAS"," LGN" o "COND", en caso que los hidrocarburos producidos sean Gas Natural; Líquidos del Gas Natural; o Condensados. Si no presenta sufijo, los hidrocarburos producidos corresponden a petróleo.</t>
  </si>
  <si>
    <t>MODALIDAD DE CONTRATO</t>
  </si>
  <si>
    <t>Modalidad contractual bajo el cual se realiza la explotación de los hidrocarburos. De acuerdo a lo establecido en la Ley Orgánica de Hidrocarburos, se dispone de tres modalidades de contratos por hidrocarburos:</t>
  </si>
  <si>
    <t>Otras modalidades de contratación que determinen el Ministerio de Energía y Minas.</t>
  </si>
  <si>
    <t>CALCULO DEL CANON</t>
  </si>
  <si>
    <t>PERIODO</t>
  </si>
  <si>
    <t>Período de determinación del volumen de producción y del valor de la Canasta de los Hidrocarburos. Depende de lo considerado en cada contrato. Generalmente es quincenal para los Contratos de Licencia y mensual para los Contratos de Servicios.</t>
  </si>
  <si>
    <t>FORMULA</t>
  </si>
  <si>
    <t>Identificación el tipo de fórmula aplicada para el cálculo del Canon y Sobrecanon (F1, F2, F3), según se detalla en el cuadro anexo.</t>
  </si>
  <si>
    <t>VOLUMEN DE PRODUCCION / VENTA</t>
  </si>
  <si>
    <t>En el caso de Contratos de Licencia, es el Volumen de Producción de los hidrocarburos en el período, sustentado con los reportes de producción. En el caso de Contratos de Servicios, es el volumen de los hidrocarburos vendidos y embarcado en el período, sustentado con las facturas emitidas.</t>
  </si>
  <si>
    <t>Unidades en que se mide la producción de los hidrocarburos. Puede ser Barriles, en el caso de Petróleo, Líquidos del Gas Natural (LGN) y Condensados (COND); o Millones de BTU (MM BTU) en el caso del Gas Natural .</t>
  </si>
  <si>
    <t>1RA. Q</t>
  </si>
  <si>
    <t>Volumen de producción de hidrocarburos de la primera quincena del mes, en caso figure "Quincenal" bajo la columna "Período".</t>
  </si>
  <si>
    <t>2DA. Q  /  MES</t>
  </si>
  <si>
    <t>Volumen de producción de hidrocarburos de la segunda quincena del mes, o del mes completo, dependiendo de lo que figure bajo la columna "Período".</t>
  </si>
  <si>
    <t>CANASTA O VALOR DE VENTA (US$/Unidad)</t>
  </si>
  <si>
    <t>a.</t>
  </si>
  <si>
    <t>CANASTA</t>
  </si>
  <si>
    <t>En el caso de Contratos de Licencia, es el valor promedio en el período de las cotizaciones internacionales de un conjunto (CANASTA) de hidrocarburos que representan la calidad de los producidos en el Lote. La CANASTA se establece en cada contrato y las cotizaciones se sustentan en las respectivas publicaciones. Dicho valor promedio está referenciado a un puerto de embarque local o a un lugar donde se pueden comercializar los hidrocarburos del Lote.</t>
  </si>
  <si>
    <t>b.</t>
  </si>
  <si>
    <t>VALOR DE VENTA</t>
  </si>
  <si>
    <t>En el caso de Contratos de Servicios, es el promedio ponderado del valor de venta de los hidrocarburos comercializados en el período.  El valor de venta se establece en cada oportunidad en base a cotizaciones internacionales de hidrocarburos, acordadas en los contratos de compra-venta y se sustenta con las facturas respectivas.</t>
  </si>
  <si>
    <t>DEDUCCION DE GASTOS PARA DETERMINACION DE VALOR DE PRODUCCION EN PUNTO DE FISCALIZACION (US$)</t>
  </si>
  <si>
    <t>Deducción de gastos para determinar el valor de los hidrocarburos en el Punto de Fiscalización (Ad Valorem)</t>
  </si>
  <si>
    <t>FLETE MARITIMO</t>
  </si>
  <si>
    <t>Aplicable en el caso de Contratos de Servicios. Son los gastos incurridos por transporte marítimo de los hidrocarburos, cuando la venta considera su entrega en puerto de destino.</t>
  </si>
  <si>
    <t>COMERCIALIZACION</t>
  </si>
  <si>
    <t>Aplicable al caso de Contratos de Servicios. Son los gastos de comercialización incurridos para vender los hidrocarburos.</t>
  </si>
  <si>
    <t>OLEODUCTO</t>
  </si>
  <si>
    <t>Son los gastos incurridos para transportar los hidrocarburos del Lote a puerto de embarque local, mediante Oleoducto.</t>
  </si>
  <si>
    <t>FISCALIZACION</t>
  </si>
  <si>
    <t>Son los gastos incurridos en la medición (fiscalización) de los hidrocarburos producidos en el Lote.</t>
  </si>
  <si>
    <t>VALOR DE LA PRODUCCION (US$)</t>
  </si>
  <si>
    <t>Ad Valorem de los hidrocarburos producidos o vendidos.  Se determina como el valor de los hidrocarburos en el Punto de Fiscalización (medición) de la Producción.</t>
  </si>
  <si>
    <t>CANON Y SOBRECANON / PARTICIPACION (US$)</t>
  </si>
  <si>
    <t>Valor del Canon y Sobrecanon / Participación (en el caso de Piura - Tumbes).  Se determina aplicando los porcentajes establecidos por Ley (10% + 2.5%) al Valor de la Producción (Ad Valorem).</t>
  </si>
  <si>
    <t>VII</t>
  </si>
  <si>
    <t>Fórmulas Aplicadas en el cálculo del Canon, Sobrecanon y Participación</t>
  </si>
  <si>
    <t>XIII Gas</t>
  </si>
  <si>
    <t>F4</t>
  </si>
  <si>
    <t>88 GAS</t>
  </si>
  <si>
    <t>88 LGN</t>
  </si>
  <si>
    <t>Cusco</t>
  </si>
  <si>
    <t>Ajustes meses anteriores (4)</t>
  </si>
  <si>
    <t>V. Regalías</t>
  </si>
  <si>
    <t>31-E</t>
  </si>
  <si>
    <t>XIII Crudo</t>
  </si>
  <si>
    <t>Z1 Crudo</t>
  </si>
  <si>
    <t>Z1 Gas</t>
  </si>
  <si>
    <t>56 LGN</t>
  </si>
  <si>
    <t>56 GAS</t>
  </si>
  <si>
    <t>XX</t>
  </si>
  <si>
    <t>Z-2B - LGN</t>
  </si>
  <si>
    <t>II-GAS</t>
  </si>
  <si>
    <t>56 GAS-Mlocal</t>
  </si>
  <si>
    <t>Z-6</t>
  </si>
  <si>
    <t>57 LGN</t>
  </si>
  <si>
    <t>57 GAS</t>
  </si>
  <si>
    <t>88 GAS -Mlocal</t>
  </si>
  <si>
    <t>88 GAS -PM</t>
  </si>
  <si>
    <t>,</t>
  </si>
  <si>
    <t>Valor Producción</t>
  </si>
  <si>
    <t>Ajuste</t>
  </si>
  <si>
    <t>ok</t>
  </si>
  <si>
    <t>(4)</t>
  </si>
  <si>
    <t>Cuzco</t>
  </si>
  <si>
    <t>Calculo Efectuado</t>
  </si>
  <si>
    <t>Modificación</t>
  </si>
  <si>
    <t>XIII COND</t>
  </si>
  <si>
    <t>Lote 57 Gas</t>
  </si>
  <si>
    <t>Regalía 1Q</t>
  </si>
  <si>
    <t>Regalía 2Q</t>
  </si>
  <si>
    <t>Huanuco</t>
  </si>
  <si>
    <t>Lote 56 1Q</t>
  </si>
  <si>
    <t>Lote 88 1Q</t>
  </si>
  <si>
    <t>Lote 57 1Q</t>
  </si>
  <si>
    <t>Lote 56 2Q</t>
  </si>
  <si>
    <t>Lote 88 2Q</t>
  </si>
  <si>
    <t>Lote 57 2Q</t>
  </si>
  <si>
    <t>Lote 88 Gas</t>
  </si>
  <si>
    <t>(3)</t>
  </si>
  <si>
    <t>Lote 57 Lgn</t>
  </si>
  <si>
    <t>(1)</t>
  </si>
  <si>
    <t>Lote VII-VI Pet</t>
  </si>
  <si>
    <t>Lote 56 Gas</t>
  </si>
  <si>
    <t>Cuadre</t>
  </si>
  <si>
    <t>Ajuste correspondiente de Julio 2017  (Reporte de Regalía 1ra. Quincena de Enero 2018) - Liq. 1190</t>
  </si>
  <si>
    <t>Ajuste correspondiente de Agosto 2017  (Reporte de Regalía 1ra. Quincena de Enero 2018) - Liq. 1190</t>
  </si>
  <si>
    <t>Ajuste correspondiente de Setiembre 2017  (Reporte de Regalía 1ra. Quincena de Enero 2018) - Liq. 1190</t>
  </si>
  <si>
    <t>Ajuste correspondiente de Diciembre 2017  (Reporte de Regalía 1ra. Quincena de Enero 2018) - Liq. 1190</t>
  </si>
  <si>
    <t>Ajuste correspondiente de Noviembre 2017  (Reporte de Regalía 1ra. Quincena de Enero 2018) - Liq. 1190</t>
  </si>
  <si>
    <t>VII-VI Petroleo</t>
  </si>
  <si>
    <t>Ajuste correspondiente de Diciembre 2017  (Reporte de Regalía 2da. Quincena de Enero 2018) - Liq. 1191</t>
  </si>
  <si>
    <t>Lote 31-E</t>
  </si>
  <si>
    <t>facturas</t>
  </si>
  <si>
    <t>Regalias dejadas de pagar Lote 31-B-31-D-31-E</t>
  </si>
  <si>
    <t>volumen x can</t>
  </si>
  <si>
    <t>g.f</t>
  </si>
  <si>
    <t>XIII Gas Lantera</t>
  </si>
  <si>
    <t>XIII Gas -A</t>
  </si>
  <si>
    <t>XIII Gas -B</t>
  </si>
  <si>
    <t>XIII Gas Expectativa</t>
  </si>
  <si>
    <t>IV-GAS</t>
  </si>
  <si>
    <t>XIII Gas Paita</t>
  </si>
  <si>
    <t xml:space="preserve">RESUMEN POR PETROLERO Y CONDENSADOS </t>
  </si>
  <si>
    <t>RESUMEN POR GAS NATURAL</t>
  </si>
  <si>
    <t>XIII Gas Efe-02</t>
  </si>
  <si>
    <t>XIII Gas Efe-01</t>
  </si>
  <si>
    <t>(*) Crudo Garantia de Interoil</t>
  </si>
  <si>
    <t>REAL</t>
  </si>
  <si>
    <t>PROMEDIO - 1Q</t>
  </si>
  <si>
    <t>PROMEDIO - 2Q</t>
  </si>
  <si>
    <t>DATOS PROMEDIOS:</t>
  </si>
  <si>
    <t>PROMEDIO 1Q</t>
  </si>
  <si>
    <t>PROMEDIO 2Q</t>
  </si>
  <si>
    <t>88 GAS -Mlocal (L56)</t>
  </si>
  <si>
    <t>TOTALES</t>
  </si>
  <si>
    <t>Dif</t>
  </si>
  <si>
    <t>VI (T)</t>
  </si>
  <si>
    <t>VII (T)</t>
  </si>
  <si>
    <t>VI - GAS</t>
  </si>
  <si>
    <t>56 Gas</t>
  </si>
  <si>
    <t>Pagina      :</t>
  </si>
  <si>
    <t>1/1</t>
  </si>
  <si>
    <t>Gerencia de Supervisión de Contratos</t>
  </si>
  <si>
    <t>Fecha       :</t>
  </si>
  <si>
    <t>reporte_ajuste_regalia_quincenal.rpt</t>
  </si>
  <si>
    <t>Hora         :</t>
  </si>
  <si>
    <t>AJUSTE DE REGALIA CORRESPONDIENTE A LA</t>
  </si>
  <si>
    <t xml:space="preserve"> SEGUNDA QUINCENA DEL MES OCTUBRE  DEL 2023</t>
  </si>
  <si>
    <t xml:space="preserve">VALOR PRODUCCION </t>
  </si>
  <si>
    <t xml:space="preserve">CANASTA </t>
  </si>
  <si>
    <t xml:space="preserve">MONTO REGALIA </t>
  </si>
  <si>
    <t>MES AFECTADO</t>
  </si>
  <si>
    <t>ORIGINAL</t>
  </si>
  <si>
    <t>AJUSTADO</t>
  </si>
  <si>
    <t>AJUSTADA</t>
  </si>
  <si>
    <t xml:space="preserve">ORIGINAL </t>
  </si>
  <si>
    <t xml:space="preserve">AJUSTADO </t>
  </si>
  <si>
    <t>MONTO AJUSTE</t>
  </si>
  <si>
    <t>FECHA PAGO</t>
  </si>
  <si>
    <t>OBSERVACION</t>
  </si>
  <si>
    <t xml:space="preserve">US$ </t>
  </si>
  <si>
    <t xml:space="preserve">HIDROCARBURO : </t>
  </si>
  <si>
    <t>GAS</t>
  </si>
  <si>
    <t>56</t>
  </si>
  <si>
    <t>SETIEMBRE</t>
  </si>
  <si>
    <t>SEGUNDA QUINCENA</t>
  </si>
  <si>
    <t>Ajuste que considera cambio de destino de los embarques # 737 de Francia a Holanda y # 738 de Japón a Francia.</t>
  </si>
  <si>
    <t>OCTUBRE</t>
  </si>
  <si>
    <t>PRIMERA QUINCENA</t>
  </si>
  <si>
    <t>Ajuste que considera cambio de destino del embarque # 739 de España a Reino Unido.</t>
  </si>
  <si>
    <t>SUB TOTAL</t>
  </si>
  <si>
    <t>57</t>
  </si>
  <si>
    <t>AJUSTE QUE CONSIDERA EL PRECIO REALIZADO DEL MES DE SETIEMBRE 2023, SEGÚN FACTURA N°F057-00000839 EMITIDA EL 10.10.2023 Y LAS NOTAS ND 058, 059 Y NC 148</t>
  </si>
  <si>
    <t>AJUSTE QUE CONSIDERA EL PRECIO REALIZADO DEL MES DE SETIEMBRE 2023, SEGÚN FACTURA N°F057-00000839 EMITIDA EL 10.10.2023 Y LAS NOTAS ND 058, 059 Y NC 148.</t>
  </si>
  <si>
    <t>VII_VI</t>
  </si>
  <si>
    <t>CONSIDERA PRECIO REALIZADO DEL MES DE OCTUBRE DE 2023, DE ACUERDO A FACTURA Nº FS02- 00000112 REMITIDA POR SAPET  A ENEL GENERACION PIURA S.A.</t>
  </si>
  <si>
    <t>CONSIDERA PRECIO REALIZADO DEL MES DE OCTUBRE DE 2023, DE ACUERDO A FACTURA Nº F001- 00000459 REMITIDA POR CNPC PERÚ S.A. A ENEL GENERACION PIURA S.A.</t>
  </si>
  <si>
    <t>GAS PAITA 2</t>
  </si>
  <si>
    <t>XIII</t>
  </si>
  <si>
    <t>CONSIDERA EL PRECIO REALIZADO SEGÚ FACTURA N°01-1562 A ENERGIGAS SAC. INCLUYE FACTURA N°1569 Y NC N°001-154</t>
  </si>
  <si>
    <t>GAS PLT. MELCHORITA</t>
  </si>
  <si>
    <t>88</t>
  </si>
  <si>
    <t>Ajuste que considera el cambio de destino del embarque # 739 de España a Reino Unido.</t>
  </si>
  <si>
    <t>LIQUIDO GAS NATURAL</t>
  </si>
  <si>
    <t>31-C</t>
  </si>
  <si>
    <t>JULIO</t>
  </si>
  <si>
    <t>APLICACIÓN DEL ACUERDO DE VALORIZACIÓN DE LOS LGN DEL LOTE 31-C SUSCRITO EL 12.10.2023</t>
  </si>
  <si>
    <t>AGOSTO</t>
  </si>
  <si>
    <t>DICIEMBRE</t>
  </si>
  <si>
    <t>ENERO</t>
  </si>
  <si>
    <t>FEBRERO</t>
  </si>
  <si>
    <t>MARZO</t>
  </si>
  <si>
    <t>ABRIL</t>
  </si>
  <si>
    <t>MAYO</t>
  </si>
  <si>
    <t>JUNIO</t>
  </si>
  <si>
    <t>NOVIEMBRE</t>
  </si>
  <si>
    <t>PETROLEO</t>
  </si>
  <si>
    <t>CONSIDERA LA TARIFA DE TRANSPORTE Y ALMACENAMIENTO CORRESPONDIENTE AL MES DE SETIEMBRE 2023, SEGUN FACTURA   N° FE62-00012487 DE PETROPERU.</t>
  </si>
  <si>
    <t>CONSIDERA LA TARIFA DE TRANSPORTE Y ALMACENAMIENTO CORRESPONDIENTE AL MES DE OCTUBRE 2023, SEGUN FACTURA N° FE62-00012516 DE PETROPERU.</t>
  </si>
  <si>
    <t xml:space="preserve">TOTAL </t>
  </si>
  <si>
    <t>OBSERVACION :</t>
  </si>
  <si>
    <t>Z-69 Crudo</t>
  </si>
  <si>
    <t>Z-69 Gas</t>
  </si>
  <si>
    <t>Z-69 Lgn</t>
  </si>
  <si>
    <t>56 Gas Re exportacion</t>
  </si>
  <si>
    <t>0k</t>
  </si>
  <si>
    <t>III-GAS</t>
  </si>
  <si>
    <t>´(4)</t>
  </si>
  <si>
    <t>ok):</t>
  </si>
  <si>
    <t xml:space="preserve">56 Gas Interno </t>
  </si>
  <si>
    <r>
      <t xml:space="preserve">Ajuste correspondiente a 1Q.Nov.23   (Reporte de Regalía </t>
    </r>
    <r>
      <rPr>
        <b/>
        <sz val="10"/>
        <color rgb="FFFF0000"/>
        <rFont val="Arial"/>
        <family val="2"/>
      </rPr>
      <t>1ra.Quincena Nov.23) - Liq. 1410</t>
    </r>
  </si>
  <si>
    <t>Piura - Tumbes</t>
  </si>
  <si>
    <t>Canon /Sobrecanon</t>
  </si>
  <si>
    <t>IV - Gas</t>
  </si>
  <si>
    <r>
      <t xml:space="preserve">Ajuste correspondiente a Dic.23  (Reporte de Regalía </t>
    </r>
    <r>
      <rPr>
        <b/>
        <sz val="10"/>
        <color rgb="FFFF0000"/>
        <rFont val="Arial"/>
        <family val="2"/>
      </rPr>
      <t>1ra.Quincena Nov.23) - Liq. 1406</t>
    </r>
  </si>
  <si>
    <t>XIII Gas - Paita 2</t>
  </si>
  <si>
    <r>
      <t xml:space="preserve">Ajuste correspondiente a 2Q.Dic.23  (Reporte de Regalía </t>
    </r>
    <r>
      <rPr>
        <b/>
        <sz val="10"/>
        <color rgb="FFFF0000"/>
        <rFont val="Arial"/>
        <family val="2"/>
      </rPr>
      <t>1ra.Quincena Dic.23) - Liq. 1410</t>
    </r>
  </si>
  <si>
    <t xml:space="preserve">88 GAS </t>
  </si>
  <si>
    <r>
      <t xml:space="preserve">Ajuste correspondiente a Nov.23  (Reporte de Regalía </t>
    </r>
    <r>
      <rPr>
        <b/>
        <sz val="10"/>
        <color rgb="FFFF0000"/>
        <rFont val="Arial"/>
        <family val="2"/>
      </rPr>
      <t>1ra.Quincena Dic.23) - Liq. 1410</t>
    </r>
  </si>
  <si>
    <r>
      <t xml:space="preserve">Ajuste correspondiente a Dic.23  (Reporte de Regalía </t>
    </r>
    <r>
      <rPr>
        <b/>
        <sz val="10"/>
        <color rgb="FFFF0000"/>
        <rFont val="Arial"/>
        <family val="2"/>
      </rPr>
      <t>1ra.Quincena Dic.23) - Liq. 1410</t>
    </r>
  </si>
  <si>
    <t>88 Gas Planta Pisco</t>
  </si>
  <si>
    <t>88 Gas P.Pisco Lt 56</t>
  </si>
  <si>
    <r>
      <t xml:space="preserve">Ajuste correspondiente a Nov.23   (Reporte de Regalía </t>
    </r>
    <r>
      <rPr>
        <b/>
        <sz val="10"/>
        <color rgb="FFFF0000"/>
        <rFont val="Arial"/>
        <family val="2"/>
      </rPr>
      <t>1ra.Quincena Dic.23) - Liq. 1410</t>
    </r>
  </si>
  <si>
    <r>
      <t xml:space="preserve">Ajuste correspondiente a Dic.23   (Reporte de Regalía </t>
    </r>
    <r>
      <rPr>
        <b/>
        <sz val="10"/>
        <color rgb="FFFF0000"/>
        <rFont val="Arial"/>
        <family val="2"/>
      </rPr>
      <t>1ra.Quincena Dic.23) - Liq. 1410</t>
    </r>
  </si>
  <si>
    <t xml:space="preserve">57 Gas    </t>
  </si>
  <si>
    <r>
      <t xml:space="preserve">Ajuste correspondiente a Dic.23  (Reporte de Regalía </t>
    </r>
    <r>
      <rPr>
        <b/>
        <sz val="10"/>
        <color rgb="FFFF0000"/>
        <rFont val="Arial"/>
        <family val="2"/>
      </rPr>
      <t>1ra.Quincena Oct.23) - Liq. 1410</t>
    </r>
  </si>
  <si>
    <t>57 - LGN</t>
  </si>
  <si>
    <t xml:space="preserve">56 GAS </t>
  </si>
  <si>
    <r>
      <t>Ajuste correspondiente a 2Q.Dic.23   (Reporte de Regalía</t>
    </r>
    <r>
      <rPr>
        <b/>
        <sz val="10"/>
        <color rgb="FFFF0000"/>
        <rFont val="Arial"/>
        <family val="2"/>
      </rPr>
      <t xml:space="preserve"> 1ra.Quincena Nov.23) - Liq. 1410</t>
    </r>
  </si>
  <si>
    <t>Z-69</t>
  </si>
  <si>
    <t>XIII - Petroleo</t>
  </si>
  <si>
    <t xml:space="preserve"> </t>
  </si>
  <si>
    <t>(*) CNPC tuvo produccion hasta el 19.05.24, Consorcio OIG desde el 20.05.24 es operadora del lote</t>
  </si>
  <si>
    <t>** con DS N° 010-2024-EM contrato temporal del Lote 8, aún no hay producción</t>
  </si>
  <si>
    <t>XIII Petroleo</t>
  </si>
  <si>
    <t>VI - Gas</t>
  </si>
  <si>
    <t>Z-69 P. Pariñas - GNA</t>
  </si>
  <si>
    <t>I - Gas</t>
  </si>
  <si>
    <r>
      <t xml:space="preserve">Ajuste correspondiente de Oct-24  (Reporte de Regalía </t>
    </r>
    <r>
      <rPr>
        <b/>
        <sz val="10"/>
        <color rgb="FFFF0000"/>
        <rFont val="Arial"/>
        <family val="2"/>
      </rPr>
      <t>1Q.Nov.24) - Liq. 1433</t>
    </r>
  </si>
  <si>
    <r>
      <t xml:space="preserve">Ajuste correspondiente a Set.24  (Reporte de Regalía </t>
    </r>
    <r>
      <rPr>
        <b/>
        <sz val="10"/>
        <color rgb="FFFF0000"/>
        <rFont val="Arial"/>
        <family val="2"/>
      </rPr>
      <t>1Q.Nov.24) - Liq. 1433</t>
    </r>
  </si>
  <si>
    <r>
      <t xml:space="preserve">Ajuste correspondiente a Oct.24  (Reporte de Regalía </t>
    </r>
    <r>
      <rPr>
        <b/>
        <sz val="10"/>
        <color rgb="FFFF0000"/>
        <rFont val="Arial"/>
        <family val="2"/>
      </rPr>
      <t>1Q.Nov.24) - Liq. 1433</t>
    </r>
  </si>
  <si>
    <r>
      <t xml:space="preserve">Ajuste correspondiente a Nov.23  (Reporte de Regalía </t>
    </r>
    <r>
      <rPr>
        <b/>
        <sz val="10"/>
        <color rgb="FFFF0000"/>
        <rFont val="Arial"/>
        <family val="2"/>
      </rPr>
      <t>1Q.Nov.24) - Liq. 1433</t>
    </r>
  </si>
  <si>
    <r>
      <t xml:space="preserve">Ajuste correspondiente a Dic.23  (Reporte de Regalía </t>
    </r>
    <r>
      <rPr>
        <b/>
        <sz val="10"/>
        <color rgb="FFFF0000"/>
        <rFont val="Arial"/>
        <family val="2"/>
      </rPr>
      <t>1Q.Nov.24) - Liq. 1433</t>
    </r>
  </si>
  <si>
    <r>
      <t xml:space="preserve">Ajuste correspondiente a Ene.24  (Reporte de Regalía </t>
    </r>
    <r>
      <rPr>
        <b/>
        <sz val="10"/>
        <color rgb="FFFF0000"/>
        <rFont val="Arial"/>
        <family val="2"/>
      </rPr>
      <t>1Q.Nov.24) - Liq. 1433</t>
    </r>
  </si>
  <si>
    <r>
      <t xml:space="preserve">Ajuste correspondiente a Feb.24  (Reporte de Regalía </t>
    </r>
    <r>
      <rPr>
        <b/>
        <sz val="10"/>
        <color rgb="FFFF0000"/>
        <rFont val="Arial"/>
        <family val="2"/>
      </rPr>
      <t>1Q.Nov.24) - Liq. 1433</t>
    </r>
  </si>
  <si>
    <r>
      <t xml:space="preserve">Ajuste correspondiente a Mar.24  (Reporte de Regalía </t>
    </r>
    <r>
      <rPr>
        <b/>
        <sz val="10"/>
        <color rgb="FFFF0000"/>
        <rFont val="Arial"/>
        <family val="2"/>
      </rPr>
      <t>1Q.Nov.24) - Liq. 1433</t>
    </r>
  </si>
  <si>
    <r>
      <t xml:space="preserve">Ajuste correspondiente a Abr.24  (Reporte de Regalía </t>
    </r>
    <r>
      <rPr>
        <b/>
        <sz val="10"/>
        <color rgb="FFFF0000"/>
        <rFont val="Arial"/>
        <family val="2"/>
      </rPr>
      <t>1Q.Nov.24) - Liq. 1433</t>
    </r>
  </si>
  <si>
    <r>
      <t xml:space="preserve">Ajuste correspondiente a May.24  (Reporte de Regalía </t>
    </r>
    <r>
      <rPr>
        <b/>
        <sz val="10"/>
        <color rgb="FFFF0000"/>
        <rFont val="Arial"/>
        <family val="2"/>
      </rPr>
      <t>1Q.Nov.24) - Liq. 1433</t>
    </r>
  </si>
  <si>
    <r>
      <t xml:space="preserve">Ajuste correspondiente a 2Q.Oct24  (Reporte de Regalía </t>
    </r>
    <r>
      <rPr>
        <b/>
        <sz val="10"/>
        <color rgb="FFFF0000"/>
        <rFont val="Arial"/>
        <family val="2"/>
      </rPr>
      <t>1Q.Nov.24) - Liq. 1433</t>
    </r>
  </si>
  <si>
    <r>
      <t xml:space="preserve">Ajuste correspondiente a oCT.24  (Reporte de Regalía </t>
    </r>
    <r>
      <rPr>
        <b/>
        <sz val="10"/>
        <color rgb="FFFF0000"/>
        <rFont val="Arial"/>
        <family val="2"/>
      </rPr>
      <t>1Q.nOV.24) - Liq. 1431</t>
    </r>
  </si>
  <si>
    <r>
      <t>Ajuste correspondiente a Oct.24  (Reporte de Regalía 1</t>
    </r>
    <r>
      <rPr>
        <b/>
        <sz val="10"/>
        <color rgb="FFFF0000"/>
        <rFont val="Arial"/>
        <family val="2"/>
      </rPr>
      <t>.Nov.24) - Liq. 1433</t>
    </r>
  </si>
  <si>
    <r>
      <t xml:space="preserve">Ajuste correspondiente a 2Nov.23  (Reporte de Regalía </t>
    </r>
    <r>
      <rPr>
        <b/>
        <sz val="10"/>
        <color rgb="FFFF0000"/>
        <rFont val="Arial"/>
        <family val="2"/>
      </rPr>
      <t>1Q.Nov.24) - Liq. 1433</t>
    </r>
  </si>
  <si>
    <t>TOTAL</t>
  </si>
  <si>
    <r>
      <t>Ajuste correspondiente a 2Q.Oct.24  (Reporte de Regalía</t>
    </r>
    <r>
      <rPr>
        <b/>
        <sz val="10"/>
        <color rgb="FFFF0000"/>
        <rFont val="Arial"/>
        <family val="2"/>
      </rPr>
      <t xml:space="preserve"> 2Q.Nov.24) - Liq. 1434</t>
    </r>
  </si>
  <si>
    <r>
      <t xml:space="preserve">Ajuste correspondiente a 1Q.Nov.24  (Reporte de Regalía </t>
    </r>
    <r>
      <rPr>
        <b/>
        <sz val="10"/>
        <color rgb="FFFF0000"/>
        <rFont val="Arial"/>
        <family val="2"/>
      </rPr>
      <t>2Q.Nov.24) - Liq. 1434</t>
    </r>
  </si>
  <si>
    <r>
      <t>Ajuste correspondiente de Oct-24  (Reporte de Regalía</t>
    </r>
    <r>
      <rPr>
        <b/>
        <sz val="10"/>
        <color rgb="FFFF0000"/>
        <rFont val="Arial"/>
        <family val="2"/>
      </rPr>
      <t xml:space="preserve"> 2Q.Nov.24) - Liq. 1434</t>
    </r>
  </si>
  <si>
    <r>
      <t>Ajuste correspondiente de Nov-24  (Reporte de Regalía</t>
    </r>
    <r>
      <rPr>
        <b/>
        <sz val="10"/>
        <color rgb="FFFF0000"/>
        <rFont val="Arial"/>
        <family val="2"/>
      </rPr>
      <t xml:space="preserve"> 2Q.Nov.24) - Liq. 1434</t>
    </r>
  </si>
  <si>
    <r>
      <t xml:space="preserve">Ajuste correspondiente a 1Q.Nov24  (Reporte de Regalía </t>
    </r>
    <r>
      <rPr>
        <b/>
        <sz val="10"/>
        <color rgb="FFFF0000"/>
        <rFont val="Arial"/>
        <family val="2"/>
      </rPr>
      <t>12Q.Nov.24) - Liq. 1434</t>
    </r>
  </si>
  <si>
    <t>88 Gas - PM</t>
  </si>
  <si>
    <r>
      <t>Ajuste correspondiente a 1 Nov.24  (Reporte de Regalía 2</t>
    </r>
    <r>
      <rPr>
        <b/>
        <sz val="10"/>
        <color rgb="FFFF0000"/>
        <rFont val="Arial"/>
        <family val="2"/>
      </rPr>
      <t>Q.Nov.24) - Liq. 1434</t>
    </r>
  </si>
  <si>
    <r>
      <t>Ajuste correspondiente a 2Oct.24  (Reporte de Regalía 2</t>
    </r>
    <r>
      <rPr>
        <b/>
        <sz val="10"/>
        <color rgb="FFFF0000"/>
        <rFont val="Arial"/>
        <family val="2"/>
      </rPr>
      <t>Q.Nov.24) - Liq. 1434</t>
    </r>
  </si>
  <si>
    <t>XIII Gas Efe-03</t>
  </si>
  <si>
    <t xml:space="preserve">88 Gas    </t>
  </si>
  <si>
    <t>I Gas</t>
  </si>
  <si>
    <t>IV Gas</t>
  </si>
  <si>
    <t>VI Gas</t>
  </si>
  <si>
    <t>Z-69 Gas Pariñas</t>
  </si>
  <si>
    <t>Z-1 Crudo</t>
  </si>
  <si>
    <t>II - GAS</t>
  </si>
  <si>
    <t>III - GAS</t>
  </si>
  <si>
    <t>IV - GAS</t>
  </si>
  <si>
    <t>X - GAS</t>
  </si>
  <si>
    <t>Z-69 Gas Combustible</t>
  </si>
  <si>
    <t>Z-69 Gas Promigas</t>
  </si>
  <si>
    <t>Z-69 Gas Compresion</t>
  </si>
  <si>
    <t>Z-69 Gas NORP</t>
  </si>
  <si>
    <t>Z-69 -  Gas Norp</t>
  </si>
  <si>
    <t>Z-69 -  Gas Pariñas</t>
  </si>
  <si>
    <t xml:space="preserve">56 Gas    </t>
  </si>
  <si>
    <t>III Gas</t>
  </si>
  <si>
    <t>3.5560</t>
  </si>
  <si>
    <t>= (15.0% + 3.75%) * [ Volumen Venta x Valor Venta (V.V.) ]</t>
  </si>
  <si>
    <t>= (15.0% + 3.75%) * [ Volumen Producción x Canasta (V.C.) ]</t>
  </si>
  <si>
    <r>
      <t xml:space="preserve">= (15.0% + 3.75%) * [ Volumen Producido x Canasta de Líquidos de Gas Natural (V </t>
    </r>
    <r>
      <rPr>
        <sz val="8"/>
        <rFont val="Arial"/>
        <family val="2"/>
      </rPr>
      <t>LGNF</t>
    </r>
    <r>
      <rPr>
        <sz val="10"/>
        <rFont val="Arial"/>
        <family val="2"/>
      </rPr>
      <t>) ]</t>
    </r>
  </si>
  <si>
    <t>Canon y Sobrecanon Petroleo</t>
  </si>
  <si>
    <t>Canon Gasífero</t>
  </si>
  <si>
    <t>= (50.0%) * [ Valor de regalía ]</t>
  </si>
  <si>
    <t>= (15.0% + 3.75%) * [ Volumen Producción x Canasta ]</t>
  </si>
  <si>
    <t>3.539</t>
  </si>
  <si>
    <t xml:space="preserve">57 Lgn    </t>
  </si>
  <si>
    <t>3.378</t>
  </si>
  <si>
    <t>OK</t>
  </si>
  <si>
    <t>Z-69 -  Lgn</t>
  </si>
  <si>
    <t>VI - Perdida Crudo</t>
  </si>
  <si>
    <t>I - PETRO</t>
  </si>
  <si>
    <t>I - INEXPERT</t>
  </si>
  <si>
    <t>I - Petro / I Inexpert - GAS</t>
  </si>
  <si>
    <r>
      <t xml:space="preserve">Ajuste correspondiente de Oct.25  (Reporte de Regalía </t>
    </r>
    <r>
      <rPr>
        <b/>
        <sz val="10"/>
        <color rgb="FFFF0000"/>
        <rFont val="Arial"/>
        <family val="2"/>
      </rPr>
      <t>1Q.Nov.25) - Liq. 1457</t>
    </r>
  </si>
  <si>
    <r>
      <t xml:space="preserve">Ajuste correspondiente de Set.25  (Reporte de Regalía </t>
    </r>
    <r>
      <rPr>
        <b/>
        <sz val="10"/>
        <color rgb="FFFF0000"/>
        <rFont val="Arial"/>
        <family val="2"/>
      </rPr>
      <t>1Q.Nov.25) - Liq. 1457</t>
    </r>
  </si>
  <si>
    <r>
      <t xml:space="preserve">Ajuste correspondiente de Oct.25  (Reporte de Regalía </t>
    </r>
    <r>
      <rPr>
        <b/>
        <sz val="10"/>
        <color rgb="FFFF0000"/>
        <rFont val="Arial"/>
        <family val="2"/>
      </rPr>
      <t>1Q.nov.25) - Liq. 147</t>
    </r>
  </si>
  <si>
    <r>
      <t xml:space="preserve">Ajuste correspondiente de SEP.25  (Reporte de Regalía </t>
    </r>
    <r>
      <rPr>
        <b/>
        <sz val="10"/>
        <color rgb="FFFF0000"/>
        <rFont val="Arial"/>
        <family val="2"/>
      </rPr>
      <t>1Q.NOV.25) - Liq. 1457</t>
    </r>
  </si>
  <si>
    <r>
      <t xml:space="preserve">Ajuste correspondiente de Sep.25  (Reporte de Regalía </t>
    </r>
    <r>
      <rPr>
        <b/>
        <sz val="10"/>
        <color rgb="FFFF0000"/>
        <rFont val="Arial"/>
        <family val="2"/>
      </rPr>
      <t>1Q.Nov.25) - Liq. 1457</t>
    </r>
  </si>
  <si>
    <r>
      <t xml:space="preserve">Ajuste correspondiente de Oct.25  (Reporte de Regalía </t>
    </r>
    <r>
      <rPr>
        <b/>
        <sz val="10"/>
        <color rgb="FFFF0000"/>
        <rFont val="Arial"/>
        <family val="2"/>
      </rPr>
      <t>1Q.Oct.25) - Liq. 1457</t>
    </r>
  </si>
  <si>
    <r>
      <t>Ajuste correspondiente de 2Q.Set.25  (Reporte de Regalía 1</t>
    </r>
    <r>
      <rPr>
        <b/>
        <sz val="10"/>
        <color rgb="FFFF0000"/>
        <rFont val="Arial"/>
        <family val="2"/>
      </rPr>
      <t>Q.Set.25) - Liq. 1457</t>
    </r>
  </si>
  <si>
    <t>PROMEDIO - 2Q  GAS</t>
  </si>
  <si>
    <t xml:space="preserve">REAL   </t>
  </si>
  <si>
    <t>I - Petro / I Inexpert - PETROLEO</t>
  </si>
  <si>
    <t>PROMEDIO - 2Q  PETROLEO</t>
  </si>
  <si>
    <t>UPLAND OIL AND GAS L.L.C.,</t>
  </si>
  <si>
    <t>PLUSPETROL NORTE SA</t>
  </si>
  <si>
    <t>8 // PETROLEO</t>
  </si>
  <si>
    <t>Z-69 -  CRUDO</t>
  </si>
  <si>
    <r>
      <t>Ajuste correspondiente de Dic.23  (Reporte de Regalía 2</t>
    </r>
    <r>
      <rPr>
        <b/>
        <sz val="10"/>
        <color rgb="FFFF0000"/>
        <rFont val="Arial"/>
        <family val="2"/>
      </rPr>
      <t>Q.Nov.25) - Liq. 1458 - PERDIDA DE HIDROCARBURO</t>
    </r>
    <r>
      <rPr>
        <b/>
        <sz val="10"/>
        <rFont val="Arial"/>
        <family val="2"/>
      </rPr>
      <t>S</t>
    </r>
  </si>
  <si>
    <r>
      <t>Ajuste correspondiente de Oct.24  (Reporte de Regalía 2</t>
    </r>
    <r>
      <rPr>
        <b/>
        <sz val="10"/>
        <color rgb="FFFF0000"/>
        <rFont val="Arial"/>
        <family val="2"/>
      </rPr>
      <t>Q.Nov.25) - Liq. 1458 - PERDIDA DE HIDROCARBURO</t>
    </r>
    <r>
      <rPr>
        <b/>
        <sz val="10"/>
        <rFont val="Arial"/>
        <family val="2"/>
      </rPr>
      <t>S</t>
    </r>
  </si>
  <si>
    <r>
      <t>Ajuste correspondiente de Nov.24  (Reporte de Regalía 2</t>
    </r>
    <r>
      <rPr>
        <b/>
        <sz val="10"/>
        <color rgb="FFFF0000"/>
        <rFont val="Arial"/>
        <family val="2"/>
      </rPr>
      <t>Q.Nov.25) - Liq. 1458 - PERDIDA DE HIDROCARBURO</t>
    </r>
    <r>
      <rPr>
        <b/>
        <sz val="10"/>
        <rFont val="Arial"/>
        <family val="2"/>
      </rPr>
      <t>S</t>
    </r>
  </si>
  <si>
    <r>
      <t>Ajuste correspondiente de Dic.24  (Reporte de Regalía 2</t>
    </r>
    <r>
      <rPr>
        <b/>
        <sz val="10"/>
        <color rgb="FFFF0000"/>
        <rFont val="Arial"/>
        <family val="2"/>
      </rPr>
      <t>Q.Nov.25) - Liq. 1458 - PERDIDA DE HIDROCARBURO</t>
    </r>
    <r>
      <rPr>
        <b/>
        <sz val="10"/>
        <rFont val="Arial"/>
        <family val="2"/>
      </rPr>
      <t>S</t>
    </r>
  </si>
  <si>
    <r>
      <t>Ajuste correspondiente de Ago.25  (Reporte de Regalía 2</t>
    </r>
    <r>
      <rPr>
        <b/>
        <sz val="10"/>
        <color rgb="FFFF0000"/>
        <rFont val="Arial"/>
        <family val="2"/>
      </rPr>
      <t>Q.Nov.25) - Liq. 1458 - PERDIDA DE HIDROCARBURO</t>
    </r>
    <r>
      <rPr>
        <b/>
        <sz val="10"/>
        <rFont val="Arial"/>
        <family val="2"/>
      </rPr>
      <t>S</t>
    </r>
  </si>
  <si>
    <r>
      <t>Ajuste correspondiente de Set.25  (Reporte de Regalía 2</t>
    </r>
    <r>
      <rPr>
        <b/>
        <sz val="10"/>
        <color rgb="FFFF0000"/>
        <rFont val="Arial"/>
        <family val="2"/>
      </rPr>
      <t>Q.Nov.25) - Liq. 1458 - PERDIDA DE HIDROCARBURO</t>
    </r>
    <r>
      <rPr>
        <b/>
        <sz val="10"/>
        <rFont val="Arial"/>
        <family val="2"/>
      </rPr>
      <t>S</t>
    </r>
  </si>
  <si>
    <r>
      <t>Ajuste correspondiente de Oct.25  (Reporte de Regalía 2</t>
    </r>
    <r>
      <rPr>
        <b/>
        <sz val="10"/>
        <color rgb="FFFF0000"/>
        <rFont val="Arial"/>
        <family val="2"/>
      </rPr>
      <t>Q.Nov.25) - Liq. 1458 - PERDIDA DE HIDROCARBURO</t>
    </r>
    <r>
      <rPr>
        <b/>
        <sz val="10"/>
        <rFont val="Arial"/>
        <family val="2"/>
      </rPr>
      <t>S</t>
    </r>
  </si>
  <si>
    <r>
      <t>Ajuste correspondiente de Nov.25  (Reporte de Regalía 2</t>
    </r>
    <r>
      <rPr>
        <b/>
        <sz val="10"/>
        <color rgb="FFFF0000"/>
        <rFont val="Arial"/>
        <family val="2"/>
      </rPr>
      <t>Q.Nov.25) - Liq. 1458 - PERDIDA DE HIDROCARBURO</t>
    </r>
    <r>
      <rPr>
        <b/>
        <sz val="10"/>
        <rFont val="Arial"/>
        <family val="2"/>
      </rPr>
      <t>S</t>
    </r>
  </si>
  <si>
    <t>8 - UPLAND</t>
  </si>
  <si>
    <t>8 - PLUSPETROL</t>
  </si>
  <si>
    <t>Lote III</t>
  </si>
  <si>
    <t>GF</t>
  </si>
  <si>
    <t>8 - Pluspetro / 8 UPLAND  - Petroleo</t>
  </si>
  <si>
    <t>57 lgn</t>
  </si>
  <si>
    <t>57 gas</t>
  </si>
  <si>
    <r>
      <t xml:space="preserve">Ajuste correspondiente de Nov.25  (Reporte de Regalía </t>
    </r>
    <r>
      <rPr>
        <b/>
        <sz val="10"/>
        <color rgb="FFFF0000"/>
        <rFont val="Arial"/>
        <family val="2"/>
      </rPr>
      <t>1Q.Dic.25) - Liq. 1459</t>
    </r>
  </si>
  <si>
    <r>
      <t xml:space="preserve">Ajuste correspondiente de 1Q.Nov.25  (Reporte de Regalía </t>
    </r>
    <r>
      <rPr>
        <b/>
        <sz val="10"/>
        <color rgb="FFFF0000"/>
        <rFont val="Arial"/>
        <family val="2"/>
      </rPr>
      <t>1Q.Dic.25) - Liq. 1459</t>
    </r>
  </si>
  <si>
    <r>
      <t xml:space="preserve">Ajuste correspondiente de Oct.25  (Reporte de Regalía </t>
    </r>
    <r>
      <rPr>
        <b/>
        <sz val="10"/>
        <color rgb="FFFF0000"/>
        <rFont val="Arial"/>
        <family val="2"/>
      </rPr>
      <t>1Q.Dic.25) - Liq. 1459</t>
    </r>
  </si>
  <si>
    <r>
      <t>Ajuste correspondiente de 2Q.Nov.25  (Reporte de Regalía 1</t>
    </r>
    <r>
      <rPr>
        <b/>
        <sz val="10"/>
        <color rgb="FFFF0000"/>
        <rFont val="Arial"/>
        <family val="2"/>
      </rPr>
      <t>Q.Dic.25) - Liq. 1459</t>
    </r>
  </si>
  <si>
    <r>
      <t xml:space="preserve">Ajuste correspondiente de 1era Q Nov.25  (Reporte de Regalía </t>
    </r>
    <r>
      <rPr>
        <b/>
        <sz val="10"/>
        <color rgb="FFFF0000"/>
        <rFont val="Arial"/>
        <family val="2"/>
      </rPr>
      <t>1Q.Dic.25) - Liq. 1459</t>
    </r>
  </si>
  <si>
    <t>88 Gas   Melchorita</t>
  </si>
  <si>
    <t>88 Gas Melchorita</t>
  </si>
  <si>
    <r>
      <t>Ajuste correspondiente de Nov.25  (Reporte de Regalía 2</t>
    </r>
    <r>
      <rPr>
        <b/>
        <sz val="10"/>
        <color rgb="FFFF0000"/>
        <rFont val="Arial"/>
        <family val="2"/>
      </rPr>
      <t>Q.Dic.25) - Liq. 1460</t>
    </r>
  </si>
  <si>
    <r>
      <t>Ajuste correspondiente a 1Q.Ene.24  (Reporte de Regalía 1</t>
    </r>
    <r>
      <rPr>
        <b/>
        <sz val="10"/>
        <color rgb="FFFF0000"/>
        <rFont val="Arial"/>
        <family val="2"/>
      </rPr>
      <t>Q.Nov.25) - Liq. 1458 - PERDIDA DE HIDROCARBUROS</t>
    </r>
  </si>
  <si>
    <r>
      <t>Ajuste correspondiente a 2Q.Abr.25 (Reporte de Regalía 1</t>
    </r>
    <r>
      <rPr>
        <b/>
        <sz val="10"/>
        <color rgb="FFFF0000"/>
        <rFont val="Arial"/>
        <family val="2"/>
      </rPr>
      <t>Q.Nov.25) - Liq. 1458 - PERDIDA DE HIDROCARBUROS</t>
    </r>
  </si>
  <si>
    <r>
      <t>Ajuste correspondiente a 1Q.Jul.25  (Reporte de Regalía 1</t>
    </r>
    <r>
      <rPr>
        <b/>
        <sz val="10"/>
        <color rgb="FFFF0000"/>
        <rFont val="Arial"/>
        <family val="2"/>
      </rPr>
      <t>Q.Nov.25) - Liq. 1458 - PERDIDA DE HIDROCARBUROS</t>
    </r>
  </si>
  <si>
    <r>
      <t>Ajuste correspondiente a 1Q.Ago.25 (Reporte de Regalía 1</t>
    </r>
    <r>
      <rPr>
        <b/>
        <sz val="10"/>
        <color rgb="FFFF0000"/>
        <rFont val="Arial"/>
        <family val="2"/>
      </rPr>
      <t>Q.Nov.25) - Liq. 1458 - PERDIDA DE HIDROCARBUROS</t>
    </r>
  </si>
  <si>
    <r>
      <t>Ajuste correspondiente a 1Q.Sep.25  (Reporte de Regalía 1</t>
    </r>
    <r>
      <rPr>
        <b/>
        <sz val="10"/>
        <color rgb="FFFF0000"/>
        <rFont val="Arial"/>
        <family val="2"/>
      </rPr>
      <t>Q.Nov.25) - Liq. 1458 - PERDIDA DE HIDROCARBUROS</t>
    </r>
  </si>
  <si>
    <r>
      <t>Ajuste correspondiente a 2Q.Set.25 (Reporte de Regalía 1</t>
    </r>
    <r>
      <rPr>
        <b/>
        <sz val="10"/>
        <color rgb="FFFF0000"/>
        <rFont val="Arial"/>
        <family val="2"/>
      </rPr>
      <t>Q.Nov.25) - Liq. 1458 - PERDIDA DE HIDROCARBUROS</t>
    </r>
  </si>
  <si>
    <r>
      <t>Ajuste correspondiente a 2Q.Oct.25 (Reporte de Regalía 1</t>
    </r>
    <r>
      <rPr>
        <b/>
        <sz val="10"/>
        <color rgb="FFFF0000"/>
        <rFont val="Arial"/>
        <family val="2"/>
      </rPr>
      <t>Q.Nov.25) - Liq. 1458 - PERDIDA DE HIDROCARBUROS</t>
    </r>
  </si>
  <si>
    <t>XIII Gas EFT-03</t>
  </si>
  <si>
    <t>III Petroleo</t>
  </si>
  <si>
    <t>Z-69 -  Petroleo</t>
  </si>
  <si>
    <t>Z-69 -  Gas PROMIGAS</t>
  </si>
  <si>
    <t>Z-69 -  Gas PARIÑAS</t>
  </si>
  <si>
    <t>Z-69 -  Gas Planta PGP</t>
  </si>
  <si>
    <t>Z-69 -  Gas P3-PGP</t>
  </si>
  <si>
    <r>
      <t>Ajuste correspondiente de Dic.25  (Reporte de Regalía 2Q</t>
    </r>
    <r>
      <rPr>
        <b/>
        <sz val="10"/>
        <color rgb="FFFF0000"/>
        <rFont val="Arial"/>
        <family val="2"/>
      </rPr>
      <t>.Dic.25) - Liq. 1459</t>
    </r>
  </si>
  <si>
    <t>Z-69 -  Gas NORP</t>
  </si>
  <si>
    <t>Z-69 -  LGN</t>
  </si>
  <si>
    <t>Ajuste por no pago por parte del contratista Liq 1458 - 2Q Nov/ Se revierte lo registrado</t>
  </si>
  <si>
    <t>Ajuste por no pago por parte del contratista Liq 1458 - 2Q Nov - 1460</t>
  </si>
  <si>
    <r>
      <t xml:space="preserve">Ajuste correspondiente de Nov.25  (Reporte de Regalía </t>
    </r>
    <r>
      <rPr>
        <b/>
        <sz val="10"/>
        <color rgb="FFFF0000"/>
        <rFont val="Arial"/>
        <family val="2"/>
      </rPr>
      <t>1Q.Dic.25) - Liq. 1460</t>
    </r>
  </si>
  <si>
    <r>
      <t xml:space="preserve">Ajuste correspondiente de Nov.25  (Reporte de Regalía </t>
    </r>
    <r>
      <rPr>
        <b/>
        <sz val="10"/>
        <color rgb="FFFF0000"/>
        <rFont val="Arial"/>
        <family val="2"/>
      </rPr>
      <t>1Q.Dic.25) - Liq. 1459</t>
    </r>
    <r>
      <rPr>
        <b/>
        <sz val="10"/>
        <rFont val="Arial"/>
        <family val="2"/>
      </rPr>
      <t>/ Se revierte lo registrado</t>
    </r>
  </si>
  <si>
    <t>1ERA Q DIC</t>
  </si>
  <si>
    <t>3.454</t>
  </si>
  <si>
    <t>Correspondiente a  Enero 2026</t>
  </si>
  <si>
    <t>Tipo de Cambio= 3.353</t>
  </si>
  <si>
    <t>Piura / Tumbes US$</t>
  </si>
  <si>
    <t>Piura / Tumbes S/.</t>
  </si>
  <si>
    <t>Provincia Puerto Inca Huanuco US$</t>
  </si>
  <si>
    <t>Provincia Puerto Inca Huanuco S/.</t>
  </si>
  <si>
    <t>Loreto / Ucayali US$</t>
  </si>
  <si>
    <t>Loreto / Ucayali S/.</t>
  </si>
  <si>
    <t>Cusco US$</t>
  </si>
  <si>
    <t>Cusco S/.</t>
  </si>
  <si>
    <t>=  (0.0000 * 0.00% + (0.0000 - 0.0000 - 0.0000) * (1 - 0.00%))</t>
  </si>
  <si>
    <t>Correspondiente a  Febrero 2026</t>
  </si>
  <si>
    <t>Tipo de Cambio= 3.454</t>
  </si>
  <si>
    <t>Correspondiente a  Marzo 2026</t>
  </si>
  <si>
    <t>Tipo de Cambio= 3.442</t>
  </si>
  <si>
    <t>Correspondiente a  Abril 2026</t>
  </si>
  <si>
    <t>Tipo de Cambio=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</si>
</sst>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64" formatCode="_ * #,##0.00_ ;_ * \-#,##0.00_ ;_ * &quot;-&quot;??_ ;_ @_ "/>
    <numFmt numFmtId="165" formatCode="0.0%"/>
    <numFmt numFmtId="166" formatCode="0.0000"/>
    <numFmt numFmtId="167" formatCode="#,##0.0000"/>
    <numFmt numFmtId="168" formatCode="#,##0.0"/>
    <numFmt numFmtId="169" formatCode="#,##0.0_);[Red]\(#,##0.0\)"/>
    <numFmt numFmtId="170" formatCode="d\-m\-yy"/>
    <numFmt numFmtId="171" formatCode="dd\-mmm\-yyyy"/>
    <numFmt numFmtId="172" formatCode="#,##0.0000_);[Red]\(#,##0.0000\)"/>
    <numFmt numFmtId="173" formatCode="#,##0.00_ ;[Red]\-#,##0.00\ "/>
    <numFmt numFmtId="174" formatCode="#,##0.00_);[Red]\(#,##0.00\)"/>
    <numFmt numFmtId="175" formatCode="#,##0.00;[Red]#,##0.00"/>
    <numFmt numFmtId="176" formatCode="#,##0.0000;[Red]\-#,##0.0000"/>
    <numFmt numFmtId="177" formatCode="#,##0.00000_ ;[Red]\-#,##0.00000\ "/>
    <numFmt numFmtId="178" formatCode="#,##0.00000000000_ ;[Red]\-#,##0.00000000000\ "/>
    <numFmt numFmtId="179" formatCode="#,##0.00\ ;[Red]\(#,##0.00\)"/>
    <numFmt numFmtId="180" formatCode="#,##0.00_ ;[Red]\(#,##0.00\)"/>
    <numFmt numFmtId="181" formatCode="#,##0.0_ ;[Red]\-#,##0.0\ "/>
    <numFmt numFmtId="182" formatCode="dd&quot;/&quot;mm&quot;/&quot;yyyy"/>
    <numFmt numFmtId="183" formatCode="hh&quot;:&quot;mm\ AM/PM"/>
    <numFmt numFmtId="184" formatCode="#,##0.00_);\-#,##0.00"/>
    <numFmt numFmtId="185" formatCode="#,##0.0000_);\-#,##0.0000"/>
    <numFmt numFmtId="186" formatCode="#,##0.00000;[Red]\-#,##0.00000"/>
    <numFmt numFmtId="187" formatCode="#,##0.0000_ ;[Red]\-#,##0.0000\ "/>
    <numFmt numFmtId="188" formatCode="0.000%"/>
    <numFmt numFmtId="189" formatCode="#,##0.000"/>
    <numFmt numFmtId="190" formatCode="#,##0.000_);[Red]\(#,##0.000\)"/>
    <numFmt numFmtId="191" formatCode="#,##0.000;[Red]\-#,##0.000"/>
    <numFmt numFmtId="192" formatCode="0.0000%"/>
  </numFmts>
  <fonts count="54" x14ac:knownFonts="1">
    <font>
      <sz val="12"/>
      <name val="Helv"/>
    </font>
    <font>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b/>
      <sz val="8"/>
      <name val="Arial"/>
      <family val="2"/>
    </font>
    <font>
      <sz val="10"/>
      <name val="Arial"/>
      <family val="2"/>
    </font>
    <font>
      <sz val="10"/>
      <name val="Courier"/>
      <family val="3"/>
    </font>
    <font>
      <sz val="8"/>
      <name val="Arial"/>
      <family val="2"/>
    </font>
    <font>
      <b/>
      <sz val="9"/>
      <name val="Arial"/>
      <family val="2"/>
    </font>
    <font>
      <b/>
      <sz val="6"/>
      <name val="Arial"/>
      <family val="2"/>
    </font>
    <font>
      <sz val="9"/>
      <name val="Arial"/>
      <family val="2"/>
    </font>
    <font>
      <sz val="6"/>
      <name val="Arial"/>
      <family val="2"/>
    </font>
    <font>
      <b/>
      <sz val="11"/>
      <name val="Arial"/>
      <family val="2"/>
    </font>
    <font>
      <sz val="11"/>
      <name val="Helv"/>
    </font>
    <font>
      <sz val="8"/>
      <name val="Helv"/>
    </font>
    <font>
      <sz val="9"/>
      <color theme="0"/>
      <name val="Arial"/>
      <family val="2"/>
    </font>
    <font>
      <sz val="10"/>
      <color theme="0"/>
      <name val="Arial"/>
      <family val="2"/>
    </font>
    <font>
      <sz val="8"/>
      <color theme="0"/>
      <name val="Arial"/>
      <family val="2"/>
    </font>
    <font>
      <sz val="9"/>
      <color theme="1"/>
      <name val="Arial"/>
      <family val="2"/>
    </font>
    <font>
      <sz val="10"/>
      <color theme="1"/>
      <name val="Arial"/>
      <family val="2"/>
    </font>
    <font>
      <sz val="12"/>
      <name val="Helv"/>
    </font>
    <font>
      <b/>
      <sz val="14"/>
      <name val="Arial"/>
      <family val="2"/>
    </font>
    <font>
      <sz val="10"/>
      <color rgb="FFFF0000"/>
      <name val="Arial"/>
      <family val="2"/>
    </font>
    <font>
      <sz val="11"/>
      <name val="Arial"/>
      <family val="2"/>
    </font>
    <font>
      <b/>
      <u/>
      <sz val="8"/>
      <name val="Arial"/>
      <family val="2"/>
    </font>
    <font>
      <b/>
      <sz val="12"/>
      <name val="Arial"/>
      <family val="2"/>
    </font>
    <font>
      <sz val="10"/>
      <color indexed="8"/>
      <name val="MS Sans Serif"/>
    </font>
    <font>
      <sz val="8"/>
      <name val="MS Sans Serif"/>
    </font>
    <font>
      <b/>
      <sz val="8"/>
      <name val="MS Sans Serif"/>
    </font>
    <font>
      <sz val="9"/>
      <color rgb="FFFF0000"/>
      <name val="Arial"/>
      <family val="2"/>
    </font>
    <font>
      <sz val="8"/>
      <color rgb="FFFF0000"/>
      <name val="Arial"/>
      <family val="2"/>
    </font>
    <font>
      <b/>
      <sz val="10"/>
      <color rgb="FFFF0000"/>
      <name val="Arial"/>
      <family val="2"/>
    </font>
    <font>
      <b/>
      <sz val="11"/>
      <color theme="4" tint="-0.249977111117893"/>
      <name val="Arial"/>
      <family val="2"/>
    </font>
    <font>
      <b/>
      <sz val="11"/>
      <color theme="5" tint="-0.249977111117893"/>
      <name val="Arial"/>
      <family val="2"/>
    </font>
    <font>
      <sz val="10"/>
      <color rgb="FFFFFF00"/>
      <name val="Arial"/>
      <family val="2"/>
    </font>
    <font>
      <sz val="8"/>
      <color rgb="FF000000"/>
      <name val="Arial"/>
      <family val="2"/>
    </font>
    <font>
      <sz val="8"/>
      <color theme="1"/>
      <name val="Arial"/>
      <family val="2"/>
    </font>
    <font>
      <sz val="9"/>
      <color indexed="81"/>
      <name val="Tahoma"/>
      <family val="2"/>
    </font>
    <font>
      <b/>
      <sz val="9"/>
      <color indexed="81"/>
      <name val="Tahoma"/>
      <family val="2"/>
    </font>
    <font>
      <b/>
      <sz val="9"/>
      <color rgb="FFFF0000"/>
      <name val="Arial"/>
      <family val="2"/>
    </font>
    <font>
      <b/>
      <sz val="12"/>
      <name val="Helv"/>
    </font>
    <font>
      <sz val="9"/>
      <color rgb="FF000000"/>
      <name val="Arial"/>
      <family val="2"/>
    </font>
    <font>
      <sz val="9"/>
      <name val="Helv"/>
    </font>
    <font>
      <b/>
      <sz val="8"/>
      <color rgb="FF000000"/>
      <name val="Arial"/>
      <family val="2"/>
    </font>
    <font>
      <sz val="10"/>
      <color rgb="FF7030A0"/>
      <name val="Arial"/>
      <family val="2"/>
    </font>
    <font>
      <b/>
      <sz val="10"/>
      <color rgb="FF7030A0"/>
      <name val="Arial"/>
      <family val="2"/>
    </font>
    <font>
      <sz val="9"/>
      <color rgb="FF7030A0"/>
      <name val="Arial"/>
      <family val="2"/>
    </font>
    <font>
      <b/>
      <sz val="10"/>
      <color theme="0"/>
      <name val="Arial"/>
      <family val="2"/>
    </font>
    <font>
      <sz val="11"/>
      <color rgb="FF000000"/>
      <name val="Calibri"/>
      <family val="2"/>
      <scheme val="minor"/>
    </font>
    <font>
      <sz val="11"/>
      <name val="Calibri"/>
      <family val="2"/>
      <scheme val="minor"/>
    </font>
    <font>
      <sz val="10"/>
      <color theme="3"/>
      <name val="Arial"/>
      <family val="2"/>
    </font>
    <font>
      <sz val="7.5"/>
      <color indexed="8"/>
      <name val="Arial"/>
      <family val="2"/>
    </font>
  </fonts>
  <fills count="16">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theme="0"/>
        <bgColor indexed="64"/>
      </patternFill>
    </fill>
    <fill>
      <patternFill patternType="solid">
        <fgColor indexed="1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00FF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FF"/>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92D050"/>
        <bgColor indexed="64"/>
      </patternFill>
    </fill>
  </fills>
  <borders count="7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style="dashed">
        <color indexed="64"/>
      </top>
      <bottom/>
      <diagonal/>
    </border>
    <border>
      <left/>
      <right/>
      <top style="dashed">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diagonal/>
    </border>
    <border>
      <left/>
      <right style="thin">
        <color indexed="64"/>
      </right>
      <top style="dashed">
        <color indexed="64"/>
      </top>
      <bottom style="thin">
        <color indexed="64"/>
      </bottom>
      <diagonal/>
    </border>
    <border>
      <left style="thin">
        <color indexed="64"/>
      </left>
      <right style="thin">
        <color indexed="64"/>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diagonal/>
    </border>
    <border>
      <left style="thin">
        <color indexed="64"/>
      </left>
      <right style="thin">
        <color indexed="64"/>
      </right>
      <top/>
      <bottom style="dashed">
        <color indexed="64"/>
      </bottom>
      <diagonal/>
    </border>
    <border>
      <left/>
      <right/>
      <top style="thin">
        <color indexed="64"/>
      </top>
      <bottom/>
      <diagonal/>
    </border>
    <border>
      <left style="thin">
        <color indexed="64"/>
      </left>
      <right style="thin">
        <color indexed="64"/>
      </right>
      <top style="dashed">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ashed">
        <color indexed="64"/>
      </top>
      <bottom style="dotted">
        <color indexed="64"/>
      </bottom>
      <diagonal/>
    </border>
    <border>
      <left/>
      <right/>
      <top style="dashed">
        <color indexed="64"/>
      </top>
      <bottom style="dotted">
        <color indexed="64"/>
      </bottom>
      <diagonal/>
    </border>
    <border>
      <left/>
      <right style="thin">
        <color indexed="64"/>
      </right>
      <top style="dash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diagonal/>
    </border>
    <border>
      <left/>
      <right/>
      <top/>
      <bottom style="dotted">
        <color indexed="64"/>
      </bottom>
      <diagonal/>
    </border>
    <border>
      <left style="thin">
        <color indexed="64"/>
      </left>
      <right style="thin">
        <color indexed="64"/>
      </right>
      <top/>
      <bottom style="dotted">
        <color indexed="64"/>
      </bottom>
      <diagonal/>
    </border>
    <border>
      <left/>
      <right style="thin">
        <color indexed="64"/>
      </right>
      <top style="dotted">
        <color indexed="64"/>
      </top>
      <bottom style="dashed">
        <color indexed="64"/>
      </bottom>
      <diagonal/>
    </border>
    <border>
      <left/>
      <right/>
      <top/>
      <bottom style="dashed">
        <color indexed="64"/>
      </bottom>
      <diagonal/>
    </border>
    <border>
      <left style="thin">
        <color indexed="64"/>
      </left>
      <right/>
      <top style="dotted">
        <color indexed="64"/>
      </top>
      <bottom/>
      <diagonal/>
    </border>
    <border>
      <left style="thin">
        <color indexed="64"/>
      </left>
      <right style="thin">
        <color indexed="64"/>
      </right>
      <top style="dotted">
        <color indexed="64"/>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hair">
        <color indexed="64"/>
      </bottom>
      <diagonal/>
    </border>
    <border>
      <left/>
      <right/>
      <top style="thin">
        <color rgb="FF000000"/>
      </top>
      <bottom/>
      <diagonal/>
    </border>
    <border>
      <left style="thin">
        <color indexed="64"/>
      </left>
      <right style="thin">
        <color indexed="64"/>
      </right>
      <top style="hair">
        <color indexed="64"/>
      </top>
      <bottom style="dotted">
        <color indexed="64"/>
      </bottom>
      <diagonal/>
    </border>
    <border>
      <left style="thin">
        <color indexed="64"/>
      </left>
      <right style="thin">
        <color indexed="64"/>
      </right>
      <top style="dashed">
        <color indexed="64"/>
      </top>
      <bottom style="hair">
        <color indexed="64"/>
      </bottom>
      <diagonal/>
    </border>
    <border>
      <left style="thin">
        <color indexed="64"/>
      </left>
      <right style="thin">
        <color indexed="64"/>
      </right>
      <top style="dotted">
        <color indexed="64"/>
      </top>
      <bottom style="hair">
        <color indexed="64"/>
      </bottom>
      <diagonal/>
    </border>
    <border>
      <left style="thin">
        <color indexed="64"/>
      </left>
      <right style="thin">
        <color indexed="64"/>
      </right>
      <top style="hair">
        <color indexed="64"/>
      </top>
      <bottom/>
      <diagonal/>
    </border>
  </borders>
  <cellStyleXfs count="11">
    <xf numFmtId="0" fontId="0" fillId="0" borderId="0"/>
    <xf numFmtId="0" fontId="8" fillId="0" borderId="0"/>
    <xf numFmtId="0" fontId="3" fillId="0" borderId="0"/>
    <xf numFmtId="9" fontId="4" fillId="0" borderId="0" applyFont="0" applyFill="0" applyBorder="0" applyAlignment="0" applyProtection="0"/>
    <xf numFmtId="164" fontId="22" fillId="0" borderId="0" applyFont="0" applyFill="0" applyBorder="0" applyAlignment="0" applyProtection="0"/>
    <xf numFmtId="0" fontId="2" fillId="0" borderId="0"/>
    <xf numFmtId="0" fontId="1" fillId="0" borderId="0"/>
    <xf numFmtId="0" fontId="25" fillId="0" borderId="0"/>
    <xf numFmtId="0" fontId="28" fillId="0" borderId="0"/>
    <xf numFmtId="9" fontId="3" fillId="0" borderId="0" applyFont="0" applyFill="0" applyBorder="0" applyAlignment="0" applyProtection="0"/>
    <xf numFmtId="164" fontId="53" fillId="0" borderId="0" applyFont="0" applyFill="0" applyBorder="0" applyAlignment="0" applyProtection="0"/>
  </cellStyleXfs>
  <cellXfs count="1209">
    <xf numFmtId="0" fontId="0" fillId="0" borderId="0" xfId="0"/>
    <xf numFmtId="0" fontId="3" fillId="0" borderId="0" xfId="2"/>
    <xf numFmtId="17" fontId="3" fillId="0" borderId="0" xfId="2" applyNumberFormat="1"/>
    <xf numFmtId="0" fontId="6" fillId="0" borderId="0" xfId="2" applyFont="1"/>
    <xf numFmtId="0" fontId="3" fillId="0" borderId="0" xfId="2" quotePrefix="1"/>
    <xf numFmtId="0" fontId="5" fillId="0" borderId="0" xfId="2" applyFont="1" applyAlignment="1">
      <alignment horizontal="center"/>
    </xf>
    <xf numFmtId="17" fontId="3" fillId="2" borderId="0" xfId="2" applyNumberFormat="1" applyFill="1"/>
    <xf numFmtId="0" fontId="5" fillId="0" borderId="1" xfId="2" applyFont="1" applyBorder="1"/>
    <xf numFmtId="0" fontId="3" fillId="0" borderId="2" xfId="2" applyBorder="1"/>
    <xf numFmtId="0" fontId="6" fillId="0" borderId="3" xfId="2" quotePrefix="1" applyFont="1" applyBorder="1" applyAlignment="1">
      <alignment horizontal="left" vertical="center"/>
    </xf>
    <xf numFmtId="0" fontId="9" fillId="0" borderId="4" xfId="2" applyFont="1" applyBorder="1"/>
    <xf numFmtId="0" fontId="6" fillId="0" borderId="1" xfId="2" applyFont="1" applyBorder="1" applyAlignment="1">
      <alignment horizontal="center" vertical="center" wrapText="1"/>
    </xf>
    <xf numFmtId="0" fontId="6" fillId="0" borderId="5" xfId="2" applyFont="1" applyBorder="1" applyAlignment="1">
      <alignment horizontal="center" vertical="center"/>
    </xf>
    <xf numFmtId="0" fontId="6" fillId="0" borderId="6" xfId="2" applyFont="1" applyBorder="1" applyAlignment="1">
      <alignment horizontal="center" vertical="center"/>
    </xf>
    <xf numFmtId="0" fontId="3" fillId="0" borderId="1" xfId="2" applyBorder="1"/>
    <xf numFmtId="0" fontId="5" fillId="0" borderId="7" xfId="2" applyFont="1" applyBorder="1"/>
    <xf numFmtId="0" fontId="3" fillId="0" borderId="8" xfId="2" applyBorder="1"/>
    <xf numFmtId="0" fontId="5" fillId="0" borderId="8" xfId="2" applyFont="1" applyBorder="1" applyAlignment="1">
      <alignment horizontal="center"/>
    </xf>
    <xf numFmtId="0" fontId="3" fillId="0" borderId="9" xfId="2" quotePrefix="1" applyBorder="1"/>
    <xf numFmtId="0" fontId="3" fillId="0" borderId="10" xfId="2" applyBorder="1"/>
    <xf numFmtId="0" fontId="3" fillId="0" borderId="10" xfId="2" applyBorder="1" applyAlignment="1">
      <alignment horizontal="center"/>
    </xf>
    <xf numFmtId="0" fontId="5" fillId="0" borderId="8" xfId="2" applyFont="1" applyBorder="1"/>
    <xf numFmtId="0" fontId="3" fillId="0" borderId="11" xfId="2" applyBorder="1"/>
    <xf numFmtId="0" fontId="3" fillId="0" borderId="12" xfId="2" quotePrefix="1" applyBorder="1"/>
    <xf numFmtId="0" fontId="3" fillId="0" borderId="13" xfId="2" applyBorder="1"/>
    <xf numFmtId="0" fontId="3" fillId="0" borderId="13" xfId="2" applyBorder="1" applyAlignment="1">
      <alignment horizontal="center"/>
    </xf>
    <xf numFmtId="0" fontId="3" fillId="0" borderId="14" xfId="2" quotePrefix="1" applyBorder="1"/>
    <xf numFmtId="0" fontId="3" fillId="0" borderId="15" xfId="2" applyBorder="1" applyAlignment="1">
      <alignment horizontal="center"/>
    </xf>
    <xf numFmtId="0" fontId="3" fillId="0" borderId="13" xfId="2" applyBorder="1" applyAlignment="1">
      <alignment horizontal="left"/>
    </xf>
    <xf numFmtId="0" fontId="3" fillId="0" borderId="15" xfId="2" applyBorder="1"/>
    <xf numFmtId="0" fontId="3" fillId="0" borderId="9" xfId="2" applyBorder="1"/>
    <xf numFmtId="0" fontId="10" fillId="0" borderId="10" xfId="2" applyFont="1" applyBorder="1"/>
    <xf numFmtId="0" fontId="3" fillId="0" borderId="18" xfId="2" applyBorder="1"/>
    <xf numFmtId="0" fontId="3" fillId="0" borderId="12" xfId="2" applyBorder="1" applyAlignment="1">
      <alignment horizontal="center"/>
    </xf>
    <xf numFmtId="0" fontId="5" fillId="0" borderId="7" xfId="2" applyFont="1" applyBorder="1" applyAlignment="1">
      <alignment horizontal="center"/>
    </xf>
    <xf numFmtId="0" fontId="7" fillId="0" borderId="12" xfId="2" applyFont="1" applyBorder="1" applyAlignment="1">
      <alignment horizontal="center"/>
    </xf>
    <xf numFmtId="0" fontId="3" fillId="0" borderId="7" xfId="2" applyBorder="1"/>
    <xf numFmtId="0" fontId="6" fillId="0" borderId="19" xfId="2" applyFont="1" applyBorder="1" applyAlignment="1">
      <alignment horizontal="center" vertical="center"/>
    </xf>
    <xf numFmtId="0" fontId="3" fillId="0" borderId="9" xfId="2" applyBorder="1" applyAlignment="1">
      <alignment horizontal="center"/>
    </xf>
    <xf numFmtId="0" fontId="3" fillId="0" borderId="20" xfId="2" applyBorder="1" applyAlignment="1">
      <alignment horizontal="center"/>
    </xf>
    <xf numFmtId="4" fontId="9" fillId="0" borderId="21" xfId="2" applyNumberFormat="1" applyFont="1" applyBorder="1"/>
    <xf numFmtId="4" fontId="9" fillId="0" borderId="22" xfId="2" applyNumberFormat="1" applyFont="1" applyBorder="1"/>
    <xf numFmtId="165" fontId="9" fillId="0" borderId="22" xfId="2" applyNumberFormat="1" applyFont="1" applyBorder="1"/>
    <xf numFmtId="4" fontId="9" fillId="0" borderId="23" xfId="2" applyNumberFormat="1" applyFont="1" applyBorder="1"/>
    <xf numFmtId="0" fontId="9" fillId="0" borderId="10" xfId="2" applyFont="1" applyBorder="1"/>
    <xf numFmtId="165" fontId="9" fillId="0" borderId="20" xfId="2" applyNumberFormat="1" applyFont="1" applyBorder="1"/>
    <xf numFmtId="0" fontId="9" fillId="0" borderId="11" xfId="2" applyFont="1" applyBorder="1"/>
    <xf numFmtId="0" fontId="9" fillId="0" borderId="18" xfId="2" applyFont="1" applyBorder="1"/>
    <xf numFmtId="0" fontId="9" fillId="0" borderId="8" xfId="2" applyFont="1" applyBorder="1"/>
    <xf numFmtId="0" fontId="9" fillId="0" borderId="24" xfId="2" applyFont="1" applyBorder="1"/>
    <xf numFmtId="0" fontId="9" fillId="0" borderId="21" xfId="2" applyFont="1" applyBorder="1"/>
    <xf numFmtId="0" fontId="9" fillId="0" borderId="0" xfId="2" applyFont="1"/>
    <xf numFmtId="4" fontId="9" fillId="0" borderId="10" xfId="2" applyNumberFormat="1" applyFont="1" applyBorder="1"/>
    <xf numFmtId="167" fontId="9" fillId="0" borderId="10" xfId="2" applyNumberFormat="1" applyFont="1" applyBorder="1"/>
    <xf numFmtId="0" fontId="9" fillId="0" borderId="2" xfId="2" applyFont="1" applyBorder="1"/>
    <xf numFmtId="0" fontId="9" fillId="0" borderId="6" xfId="2" applyFont="1" applyBorder="1"/>
    <xf numFmtId="0" fontId="3" fillId="0" borderId="0" xfId="2" applyAlignment="1">
      <alignment horizontal="center"/>
    </xf>
    <xf numFmtId="0" fontId="3" fillId="0" borderId="21" xfId="2" applyBorder="1" applyAlignment="1">
      <alignment horizontal="center"/>
    </xf>
    <xf numFmtId="0" fontId="5" fillId="0" borderId="25" xfId="2" applyFont="1" applyBorder="1" applyAlignment="1">
      <alignment horizontal="center"/>
    </xf>
    <xf numFmtId="0" fontId="5" fillId="0" borderId="25" xfId="2" applyFont="1" applyBorder="1"/>
    <xf numFmtId="4" fontId="6" fillId="0" borderId="10" xfId="2" applyNumberFormat="1" applyFont="1" applyBorder="1"/>
    <xf numFmtId="165" fontId="6" fillId="0" borderId="20" xfId="2" applyNumberFormat="1" applyFont="1" applyBorder="1"/>
    <xf numFmtId="0" fontId="6" fillId="0" borderId="27" xfId="2" applyFont="1" applyBorder="1" applyAlignment="1">
      <alignment horizontal="centerContinuous" vertical="center" wrapText="1"/>
    </xf>
    <xf numFmtId="0" fontId="6" fillId="0" borderId="28" xfId="2" applyFont="1" applyBorder="1" applyAlignment="1">
      <alignment horizontal="centerContinuous" vertical="center" wrapText="1"/>
    </xf>
    <xf numFmtId="0" fontId="6" fillId="0" borderId="5" xfId="2" applyFont="1" applyBorder="1" applyAlignment="1">
      <alignment horizontal="center" vertical="center" wrapText="1"/>
    </xf>
    <xf numFmtId="4" fontId="3" fillId="0" borderId="0" xfId="2" applyNumberFormat="1"/>
    <xf numFmtId="4" fontId="9" fillId="0" borderId="11" xfId="2" applyNumberFormat="1" applyFont="1" applyBorder="1"/>
    <xf numFmtId="3" fontId="9" fillId="2" borderId="0" xfId="2" quotePrefix="1" applyNumberFormat="1" applyFont="1" applyFill="1"/>
    <xf numFmtId="0" fontId="6" fillId="0" borderId="5" xfId="2" applyFont="1" applyBorder="1" applyAlignment="1">
      <alignment horizontal="center"/>
    </xf>
    <xf numFmtId="0" fontId="6" fillId="0" borderId="29" xfId="2" applyFont="1" applyBorder="1" applyAlignment="1">
      <alignment horizontal="center" vertical="center"/>
    </xf>
    <xf numFmtId="0" fontId="11" fillId="0" borderId="5" xfId="2" applyFont="1" applyBorder="1" applyAlignment="1">
      <alignment horizontal="center" vertical="center"/>
    </xf>
    <xf numFmtId="0" fontId="11" fillId="0" borderId="1" xfId="2" applyFont="1" applyBorder="1" applyAlignment="1">
      <alignment horizontal="center" vertical="center"/>
    </xf>
    <xf numFmtId="0" fontId="6" fillId="0" borderId="30" xfId="2" applyFont="1" applyBorder="1" applyAlignment="1">
      <alignment horizontal="center" vertical="center"/>
    </xf>
    <xf numFmtId="168" fontId="9" fillId="0" borderId="11" xfId="2" applyNumberFormat="1" applyFont="1" applyBorder="1"/>
    <xf numFmtId="166" fontId="9" fillId="0" borderId="11" xfId="2" applyNumberFormat="1" applyFont="1" applyBorder="1"/>
    <xf numFmtId="168" fontId="9" fillId="0" borderId="21" xfId="2" applyNumberFormat="1" applyFont="1" applyBorder="1"/>
    <xf numFmtId="166" fontId="9" fillId="0" borderId="21" xfId="2" applyNumberFormat="1" applyFont="1" applyBorder="1"/>
    <xf numFmtId="4" fontId="9" fillId="0" borderId="26" xfId="2" applyNumberFormat="1" applyFont="1" applyBorder="1"/>
    <xf numFmtId="168" fontId="9" fillId="0" borderId="26" xfId="2" applyNumberFormat="1" applyFont="1" applyBorder="1"/>
    <xf numFmtId="166" fontId="9" fillId="0" borderId="26" xfId="2" applyNumberFormat="1" applyFont="1" applyBorder="1"/>
    <xf numFmtId="168" fontId="9" fillId="0" borderId="24" xfId="2" applyNumberFormat="1" applyFont="1" applyBorder="1"/>
    <xf numFmtId="166" fontId="9" fillId="0" borderId="24" xfId="2" applyNumberFormat="1" applyFont="1" applyBorder="1"/>
    <xf numFmtId="168" fontId="9" fillId="0" borderId="23" xfId="2" applyNumberFormat="1" applyFont="1" applyBorder="1"/>
    <xf numFmtId="166" fontId="9" fillId="0" borderId="23" xfId="2" applyNumberFormat="1" applyFont="1" applyBorder="1"/>
    <xf numFmtId="4" fontId="9" fillId="0" borderId="5" xfId="2" applyNumberFormat="1" applyFont="1" applyBorder="1"/>
    <xf numFmtId="168" fontId="9" fillId="0" borderId="5" xfId="2" applyNumberFormat="1" applyFont="1" applyBorder="1"/>
    <xf numFmtId="166" fontId="9" fillId="0" borderId="5" xfId="2" applyNumberFormat="1" applyFont="1" applyBorder="1"/>
    <xf numFmtId="165" fontId="9" fillId="0" borderId="21" xfId="2" applyNumberFormat="1" applyFont="1" applyBorder="1"/>
    <xf numFmtId="0" fontId="9" fillId="0" borderId="31" xfId="2" applyFont="1" applyBorder="1"/>
    <xf numFmtId="0" fontId="12" fillId="0" borderId="1" xfId="2" applyFont="1" applyBorder="1"/>
    <xf numFmtId="0" fontId="3" fillId="0" borderId="6" xfId="2" applyBorder="1"/>
    <xf numFmtId="0" fontId="3" fillId="0" borderId="32" xfId="2" applyBorder="1" applyAlignment="1">
      <alignment horizontal="center"/>
    </xf>
    <xf numFmtId="0" fontId="12" fillId="0" borderId="33" xfId="2" applyFont="1" applyBorder="1"/>
    <xf numFmtId="0" fontId="3" fillId="0" borderId="34" xfId="2" applyBorder="1"/>
    <xf numFmtId="166" fontId="12" fillId="0" borderId="34" xfId="2" applyNumberFormat="1" applyFont="1" applyBorder="1"/>
    <xf numFmtId="0" fontId="12" fillId="0" borderId="16" xfId="2" quotePrefix="1" applyFont="1" applyBorder="1"/>
    <xf numFmtId="0" fontId="3" fillId="0" borderId="17" xfId="2" applyBorder="1"/>
    <xf numFmtId="0" fontId="3" fillId="0" borderId="35" xfId="2" applyBorder="1" applyAlignment="1">
      <alignment horizontal="center"/>
    </xf>
    <xf numFmtId="0" fontId="12" fillId="0" borderId="36" xfId="2" applyFont="1" applyBorder="1"/>
    <xf numFmtId="0" fontId="3" fillId="0" borderId="37" xfId="2" applyBorder="1"/>
    <xf numFmtId="166" fontId="12" fillId="0" borderId="37" xfId="2" applyNumberFormat="1" applyFont="1" applyBorder="1"/>
    <xf numFmtId="0" fontId="12" fillId="0" borderId="37" xfId="2" applyFont="1" applyBorder="1"/>
    <xf numFmtId="167" fontId="10" fillId="0" borderId="3" xfId="2" applyNumberFormat="1" applyFont="1" applyBorder="1" applyAlignment="1">
      <alignment horizontal="center"/>
    </xf>
    <xf numFmtId="0" fontId="3" fillId="0" borderId="31" xfId="2" applyBorder="1"/>
    <xf numFmtId="0" fontId="3" fillId="0" borderId="4" xfId="2" applyBorder="1"/>
    <xf numFmtId="166" fontId="3" fillId="0" borderId="0" xfId="2" applyNumberFormat="1"/>
    <xf numFmtId="10" fontId="12" fillId="0" borderId="37" xfId="2" applyNumberFormat="1" applyFont="1" applyBorder="1"/>
    <xf numFmtId="166" fontId="3" fillId="0" borderId="2" xfId="2" applyNumberFormat="1" applyBorder="1"/>
    <xf numFmtId="169" fontId="12" fillId="0" borderId="37" xfId="2" applyNumberFormat="1" applyFont="1" applyBorder="1"/>
    <xf numFmtId="0" fontId="3" fillId="0" borderId="38" xfId="2" applyBorder="1" applyAlignment="1">
      <alignment horizontal="center"/>
    </xf>
    <xf numFmtId="0" fontId="12" fillId="0" borderId="39" xfId="2" applyFont="1" applyBorder="1"/>
    <xf numFmtId="0" fontId="3" fillId="0" borderId="40" xfId="2" applyBorder="1"/>
    <xf numFmtId="166" fontId="12" fillId="0" borderId="40" xfId="2" applyNumberFormat="1" applyFont="1" applyBorder="1"/>
    <xf numFmtId="166" fontId="3" fillId="0" borderId="31" xfId="2" applyNumberFormat="1" applyBorder="1"/>
    <xf numFmtId="0" fontId="12" fillId="0" borderId="0" xfId="2" applyFont="1"/>
    <xf numFmtId="0" fontId="10" fillId="0" borderId="5" xfId="2" applyFont="1" applyBorder="1" applyAlignment="1">
      <alignment horizontal="center"/>
    </xf>
    <xf numFmtId="0" fontId="10" fillId="0" borderId="2" xfId="2" applyFont="1" applyBorder="1" applyAlignment="1">
      <alignment horizontal="centerContinuous"/>
    </xf>
    <xf numFmtId="0" fontId="5" fillId="0" borderId="6" xfId="2" applyFont="1" applyBorder="1" applyAlignment="1">
      <alignment horizontal="centerContinuous"/>
    </xf>
    <xf numFmtId="0" fontId="10" fillId="0" borderId="6" xfId="2" applyFont="1" applyBorder="1" applyAlignment="1">
      <alignment horizontal="center"/>
    </xf>
    <xf numFmtId="4" fontId="9" fillId="0" borderId="8" xfId="2" applyNumberFormat="1" applyFont="1" applyBorder="1"/>
    <xf numFmtId="4" fontId="9" fillId="0" borderId="11" xfId="0" applyNumberFormat="1" applyFont="1" applyBorder="1"/>
    <xf numFmtId="4" fontId="9" fillId="0" borderId="21" xfId="0" applyNumberFormat="1" applyFont="1" applyBorder="1"/>
    <xf numFmtId="4" fontId="9" fillId="0" borderId="26" xfId="0" applyNumberFormat="1" applyFont="1" applyBorder="1"/>
    <xf numFmtId="0" fontId="7" fillId="0" borderId="21" xfId="2" applyFont="1" applyBorder="1" applyAlignment="1">
      <alignment horizontal="center"/>
    </xf>
    <xf numFmtId="0" fontId="3" fillId="0" borderId="20" xfId="2" applyBorder="1"/>
    <xf numFmtId="0" fontId="3" fillId="0" borderId="16" xfId="2" applyBorder="1"/>
    <xf numFmtId="0" fontId="10" fillId="0" borderId="0" xfId="2" applyFont="1"/>
    <xf numFmtId="0" fontId="7" fillId="0" borderId="0" xfId="0" applyFont="1"/>
    <xf numFmtId="0" fontId="5" fillId="0" borderId="0" xfId="0" applyFont="1" applyAlignment="1">
      <alignment horizontal="centerContinuous"/>
    </xf>
    <xf numFmtId="0" fontId="7" fillId="0" borderId="0" xfId="0" applyFont="1" applyAlignment="1">
      <alignment horizontal="centerContinuous"/>
    </xf>
    <xf numFmtId="0" fontId="5" fillId="0" borderId="0" xfId="0" applyFont="1"/>
    <xf numFmtId="0" fontId="7" fillId="0" borderId="0" xfId="0" quotePrefix="1" applyFont="1"/>
    <xf numFmtId="0" fontId="10" fillId="0" borderId="0" xfId="2" applyFont="1" applyAlignment="1">
      <alignment horizontal="centerContinuous" vertical="center"/>
    </xf>
    <xf numFmtId="0" fontId="5" fillId="0" borderId="0" xfId="2" applyFont="1" applyAlignment="1">
      <alignment horizontal="centerContinuous" vertical="center"/>
    </xf>
    <xf numFmtId="0" fontId="6" fillId="0" borderId="1" xfId="2" applyFont="1" applyBorder="1" applyAlignment="1">
      <alignment horizontal="centerContinuous" vertical="center"/>
    </xf>
    <xf numFmtId="0" fontId="6" fillId="0" borderId="2" xfId="2" applyFont="1" applyBorder="1" applyAlignment="1">
      <alignment horizontal="centerContinuous" vertical="center"/>
    </xf>
    <xf numFmtId="0" fontId="6" fillId="0" borderId="6" xfId="2" applyFont="1" applyBorder="1" applyAlignment="1">
      <alignment horizontal="centerContinuous" vertical="center"/>
    </xf>
    <xf numFmtId="0" fontId="3" fillId="0" borderId="16" xfId="2" applyBorder="1" applyAlignment="1">
      <alignment horizontal="center"/>
    </xf>
    <xf numFmtId="4" fontId="6" fillId="0" borderId="0" xfId="2" applyNumberFormat="1" applyFont="1"/>
    <xf numFmtId="165" fontId="9" fillId="0" borderId="17" xfId="2" applyNumberFormat="1" applyFont="1" applyBorder="1"/>
    <xf numFmtId="4" fontId="9" fillId="0" borderId="29" xfId="2" applyNumberFormat="1" applyFont="1" applyBorder="1"/>
    <xf numFmtId="168" fontId="9" fillId="0" borderId="29" xfId="2" applyNumberFormat="1" applyFont="1" applyBorder="1"/>
    <xf numFmtId="166" fontId="9" fillId="0" borderId="29" xfId="2" applyNumberFormat="1" applyFont="1" applyBorder="1"/>
    <xf numFmtId="4" fontId="9" fillId="0" borderId="0" xfId="2" applyNumberFormat="1" applyFont="1"/>
    <xf numFmtId="167" fontId="9" fillId="0" borderId="0" xfId="2" applyNumberFormat="1" applyFont="1"/>
    <xf numFmtId="0" fontId="3" fillId="0" borderId="3" xfId="2" applyBorder="1"/>
    <xf numFmtId="0" fontId="10" fillId="0" borderId="31" xfId="2" applyFont="1" applyBorder="1"/>
    <xf numFmtId="4" fontId="9" fillId="0" borderId="31" xfId="2" applyNumberFormat="1" applyFont="1" applyBorder="1"/>
    <xf numFmtId="165" fontId="9" fillId="0" borderId="4" xfId="2" applyNumberFormat="1" applyFont="1" applyBorder="1"/>
    <xf numFmtId="4" fontId="9" fillId="0" borderId="30" xfId="2" applyNumberFormat="1" applyFont="1" applyBorder="1"/>
    <xf numFmtId="168" fontId="9" fillId="0" borderId="30" xfId="2" applyNumberFormat="1" applyFont="1" applyBorder="1"/>
    <xf numFmtId="166" fontId="9" fillId="0" borderId="30" xfId="2" applyNumberFormat="1" applyFont="1" applyBorder="1"/>
    <xf numFmtId="4" fontId="9" fillId="0" borderId="29" xfId="0" applyNumberFormat="1" applyFont="1" applyBorder="1"/>
    <xf numFmtId="0" fontId="10" fillId="0" borderId="10" xfId="2" applyFont="1" applyBorder="1" applyAlignment="1">
      <alignment horizontal="right"/>
    </xf>
    <xf numFmtId="3" fontId="9" fillId="0" borderId="20" xfId="2" applyNumberFormat="1" applyFont="1" applyBorder="1"/>
    <xf numFmtId="3" fontId="6" fillId="0" borderId="10" xfId="2" applyNumberFormat="1" applyFont="1" applyBorder="1"/>
    <xf numFmtId="0" fontId="3" fillId="0" borderId="0" xfId="2" applyAlignment="1">
      <alignment horizontal="centerContinuous"/>
    </xf>
    <xf numFmtId="0" fontId="5" fillId="0" borderId="0" xfId="0" applyFont="1" applyAlignment="1">
      <alignment horizontal="right"/>
    </xf>
    <xf numFmtId="171" fontId="9" fillId="0" borderId="0" xfId="2" applyNumberFormat="1" applyFont="1" applyAlignment="1">
      <alignment horizontal="centerContinuous"/>
    </xf>
    <xf numFmtId="3" fontId="6" fillId="0" borderId="5" xfId="2" applyNumberFormat="1" applyFont="1" applyBorder="1"/>
    <xf numFmtId="165" fontId="9" fillId="0" borderId="6" xfId="2" applyNumberFormat="1" applyFont="1" applyBorder="1"/>
    <xf numFmtId="0" fontId="6" fillId="0" borderId="0" xfId="0" applyFont="1"/>
    <xf numFmtId="0" fontId="15" fillId="0" borderId="0" xfId="0" applyFont="1"/>
    <xf numFmtId="0" fontId="9" fillId="0" borderId="0" xfId="0" applyFont="1"/>
    <xf numFmtId="0" fontId="6" fillId="0" borderId="0" xfId="0" quotePrefix="1" applyFont="1"/>
    <xf numFmtId="0" fontId="9" fillId="0" borderId="0" xfId="0" quotePrefix="1" applyFont="1"/>
    <xf numFmtId="0" fontId="12" fillId="0" borderId="0" xfId="0" applyFont="1"/>
    <xf numFmtId="0" fontId="12" fillId="0" borderId="0" xfId="0" applyFont="1" applyAlignment="1">
      <alignment horizontal="justify" vertical="center" wrapText="1"/>
    </xf>
    <xf numFmtId="0" fontId="6" fillId="0" borderId="7" xfId="2" applyFont="1" applyBorder="1" applyAlignment="1">
      <alignment horizontal="centerContinuous" vertical="center" wrapText="1"/>
    </xf>
    <xf numFmtId="0" fontId="6" fillId="0" borderId="18" xfId="2" applyFont="1" applyBorder="1" applyAlignment="1">
      <alignment horizontal="centerContinuous" vertical="center" wrapText="1"/>
    </xf>
    <xf numFmtId="0" fontId="6" fillId="0" borderId="8" xfId="2" applyFont="1" applyBorder="1" applyAlignment="1">
      <alignment horizontal="centerContinuous" vertical="center" wrapText="1"/>
    </xf>
    <xf numFmtId="0" fontId="6" fillId="0" borderId="27" xfId="2" applyFont="1" applyBorder="1" applyAlignment="1">
      <alignment horizontal="centerContinuous" vertical="center"/>
    </xf>
    <xf numFmtId="0" fontId="6" fillId="0" borderId="28" xfId="2" applyFont="1" applyBorder="1" applyAlignment="1">
      <alignment horizontal="centerContinuous" vertical="center"/>
    </xf>
    <xf numFmtId="0" fontId="6" fillId="0" borderId="1" xfId="2" applyFont="1" applyBorder="1" applyAlignment="1">
      <alignment horizontal="centerContinuous" vertical="center" wrapText="1"/>
    </xf>
    <xf numFmtId="0" fontId="6" fillId="0" borderId="2" xfId="2" applyFont="1" applyBorder="1" applyAlignment="1">
      <alignment horizontal="centerContinuous" vertical="center" wrapText="1"/>
    </xf>
    <xf numFmtId="0" fontId="6" fillId="0" borderId="6" xfId="2" applyFont="1" applyBorder="1" applyAlignment="1">
      <alignment horizontal="centerContinuous" vertical="center" wrapText="1"/>
    </xf>
    <xf numFmtId="0" fontId="6" fillId="0" borderId="5" xfId="2" applyFont="1" applyBorder="1" applyAlignment="1">
      <alignment horizontal="centerContinuous" vertical="center"/>
    </xf>
    <xf numFmtId="40" fontId="12" fillId="0" borderId="0" xfId="2" applyNumberFormat="1" applyFont="1"/>
    <xf numFmtId="0" fontId="6" fillId="0" borderId="8" xfId="2" applyFont="1" applyBorder="1" applyAlignment="1">
      <alignment vertical="center" wrapText="1"/>
    </xf>
    <xf numFmtId="40" fontId="3" fillId="0" borderId="0" xfId="2" applyNumberFormat="1"/>
    <xf numFmtId="0" fontId="6" fillId="0" borderId="18" xfId="2" applyFont="1" applyBorder="1" applyAlignment="1">
      <alignment vertical="center" wrapText="1"/>
    </xf>
    <xf numFmtId="0" fontId="3" fillId="0" borderId="41" xfId="2" quotePrefix="1" applyBorder="1"/>
    <xf numFmtId="0" fontId="3" fillId="0" borderId="42" xfId="2" applyBorder="1"/>
    <xf numFmtId="0" fontId="3" fillId="0" borderId="42" xfId="2" applyBorder="1" applyAlignment="1">
      <alignment horizontal="center"/>
    </xf>
    <xf numFmtId="0" fontId="3" fillId="0" borderId="43" xfId="2" applyBorder="1" applyAlignment="1">
      <alignment horizontal="center"/>
    </xf>
    <xf numFmtId="4" fontId="6" fillId="0" borderId="6" xfId="2" applyNumberFormat="1" applyFont="1" applyBorder="1"/>
    <xf numFmtId="165" fontId="9" fillId="0" borderId="26" xfId="3" applyNumberFormat="1" applyFont="1" applyBorder="1"/>
    <xf numFmtId="167" fontId="12" fillId="0" borderId="21" xfId="2" applyNumberFormat="1" applyFont="1" applyBorder="1"/>
    <xf numFmtId="165" fontId="12" fillId="0" borderId="22" xfId="2" applyNumberFormat="1" applyFont="1" applyBorder="1"/>
    <xf numFmtId="0" fontId="10" fillId="0" borderId="7" xfId="2" applyFont="1" applyBorder="1" applyAlignment="1">
      <alignment horizontal="centerContinuous" vertical="center" wrapText="1"/>
    </xf>
    <xf numFmtId="0" fontId="12" fillId="0" borderId="8" xfId="2" applyFont="1" applyBorder="1"/>
    <xf numFmtId="0" fontId="12" fillId="0" borderId="11" xfId="2" applyFont="1" applyBorder="1"/>
    <xf numFmtId="3" fontId="10" fillId="0" borderId="5" xfId="2" applyNumberFormat="1" applyFont="1" applyBorder="1"/>
    <xf numFmtId="0" fontId="12" fillId="0" borderId="18" xfId="2" applyFont="1" applyBorder="1"/>
    <xf numFmtId="3" fontId="10" fillId="0" borderId="31" xfId="2" applyNumberFormat="1" applyFont="1" applyBorder="1"/>
    <xf numFmtId="0" fontId="12" fillId="0" borderId="2" xfId="2" applyFont="1" applyBorder="1"/>
    <xf numFmtId="4" fontId="10" fillId="0" borderId="5" xfId="2" applyNumberFormat="1" applyFont="1" applyBorder="1"/>
    <xf numFmtId="0" fontId="12" fillId="0" borderId="7" xfId="2" applyFont="1" applyBorder="1"/>
    <xf numFmtId="40" fontId="12" fillId="0" borderId="21" xfId="2" applyNumberFormat="1" applyFont="1" applyBorder="1"/>
    <xf numFmtId="0" fontId="3" fillId="0" borderId="0" xfId="2" applyAlignment="1">
      <alignment horizontal="right"/>
    </xf>
    <xf numFmtId="17" fontId="3" fillId="0" borderId="0" xfId="2" applyNumberFormat="1" applyAlignment="1">
      <alignment horizontal="right"/>
    </xf>
    <xf numFmtId="40" fontId="10" fillId="0" borderId="10" xfId="2" applyNumberFormat="1" applyFont="1" applyBorder="1"/>
    <xf numFmtId="172" fontId="12" fillId="0" borderId="0" xfId="2" applyNumberFormat="1" applyFont="1"/>
    <xf numFmtId="172" fontId="12" fillId="0" borderId="8" xfId="2" applyNumberFormat="1" applyFont="1" applyBorder="1"/>
    <xf numFmtId="172" fontId="12" fillId="0" borderId="11" xfId="2" applyNumberFormat="1" applyFont="1" applyBorder="1"/>
    <xf numFmtId="172" fontId="12" fillId="0" borderId="31" xfId="2" applyNumberFormat="1" applyFont="1" applyBorder="1"/>
    <xf numFmtId="40" fontId="12" fillId="0" borderId="11" xfId="2" applyNumberFormat="1" applyFont="1" applyBorder="1"/>
    <xf numFmtId="40" fontId="12" fillId="0" borderId="18" xfId="2" applyNumberFormat="1" applyFont="1" applyBorder="1"/>
    <xf numFmtId="40" fontId="12" fillId="0" borderId="31" xfId="2" applyNumberFormat="1" applyFont="1" applyBorder="1"/>
    <xf numFmtId="40" fontId="10" fillId="0" borderId="0" xfId="2" applyNumberFormat="1" applyFont="1"/>
    <xf numFmtId="40" fontId="10" fillId="0" borderId="29" xfId="2" applyNumberFormat="1" applyFont="1" applyBorder="1"/>
    <xf numFmtId="40" fontId="10" fillId="0" borderId="5" xfId="2" applyNumberFormat="1" applyFont="1" applyBorder="1"/>
    <xf numFmtId="40" fontId="10" fillId="0" borderId="8" xfId="2" applyNumberFormat="1" applyFont="1" applyBorder="1"/>
    <xf numFmtId="40" fontId="10" fillId="0" borderId="7" xfId="2" applyNumberFormat="1" applyFont="1" applyBorder="1" applyAlignment="1">
      <alignment horizontal="centerContinuous"/>
    </xf>
    <xf numFmtId="0" fontId="6" fillId="0" borderId="46" xfId="2" applyFont="1" applyBorder="1" applyAlignment="1">
      <alignment horizontal="centerContinuous" vertical="center" wrapText="1"/>
    </xf>
    <xf numFmtId="40" fontId="12" fillId="0" borderId="47" xfId="0" applyNumberFormat="1" applyFont="1" applyBorder="1"/>
    <xf numFmtId="172" fontId="12" fillId="0" borderId="47" xfId="2" applyNumberFormat="1" applyFont="1" applyBorder="1"/>
    <xf numFmtId="172" fontId="12" fillId="0" borderId="47" xfId="0" applyNumberFormat="1" applyFont="1" applyBorder="1"/>
    <xf numFmtId="40" fontId="12" fillId="0" borderId="48" xfId="2" applyNumberFormat="1" applyFont="1" applyBorder="1"/>
    <xf numFmtId="172" fontId="12" fillId="0" borderId="48" xfId="2" applyNumberFormat="1" applyFont="1" applyBorder="1"/>
    <xf numFmtId="40" fontId="12" fillId="0" borderId="44" xfId="2" applyNumberFormat="1" applyFont="1" applyBorder="1"/>
    <xf numFmtId="172" fontId="12" fillId="0" borderId="44" xfId="2" applyNumberFormat="1" applyFont="1" applyBorder="1"/>
    <xf numFmtId="40" fontId="12" fillId="0" borderId="47" xfId="2" applyNumberFormat="1" applyFont="1" applyBorder="1"/>
    <xf numFmtId="165" fontId="9" fillId="0" borderId="50" xfId="2" applyNumberFormat="1" applyFont="1" applyBorder="1"/>
    <xf numFmtId="40" fontId="12" fillId="0" borderId="51" xfId="2" applyNumberFormat="1" applyFont="1" applyBorder="1"/>
    <xf numFmtId="165" fontId="9" fillId="0" borderId="47" xfId="2" applyNumberFormat="1" applyFont="1" applyBorder="1"/>
    <xf numFmtId="40" fontId="12" fillId="0" borderId="52" xfId="2" applyNumberFormat="1" applyFont="1" applyBorder="1"/>
    <xf numFmtId="40" fontId="10" fillId="0" borderId="48" xfId="2" applyNumberFormat="1" applyFont="1" applyBorder="1"/>
    <xf numFmtId="40" fontId="10" fillId="0" borderId="53" xfId="2" applyNumberFormat="1" applyFont="1" applyBorder="1"/>
    <xf numFmtId="165" fontId="9" fillId="0" borderId="54" xfId="2" applyNumberFormat="1" applyFont="1" applyBorder="1"/>
    <xf numFmtId="40" fontId="10" fillId="0" borderId="55" xfId="2" applyNumberFormat="1" applyFont="1" applyBorder="1"/>
    <xf numFmtId="40" fontId="12" fillId="0" borderId="49" xfId="2" applyNumberFormat="1" applyFont="1" applyBorder="1"/>
    <xf numFmtId="40" fontId="10" fillId="0" borderId="45" xfId="2" applyNumberFormat="1" applyFont="1" applyBorder="1" applyAlignment="1">
      <alignment horizontal="centerContinuous"/>
    </xf>
    <xf numFmtId="0" fontId="6" fillId="0" borderId="50" xfId="2" applyFont="1" applyBorder="1" applyAlignment="1">
      <alignment horizontal="center" vertical="center" wrapText="1"/>
    </xf>
    <xf numFmtId="0" fontId="5" fillId="0" borderId="45" xfId="2" applyFont="1" applyBorder="1" applyAlignment="1">
      <alignment horizontal="center"/>
    </xf>
    <xf numFmtId="40" fontId="10" fillId="0" borderId="49" xfId="2" applyNumberFormat="1" applyFont="1" applyBorder="1" applyAlignment="1">
      <alignment horizontal="centerContinuous"/>
    </xf>
    <xf numFmtId="0" fontId="3" fillId="0" borderId="47" xfId="2" applyBorder="1" applyAlignment="1">
      <alignment horizontal="center"/>
    </xf>
    <xf numFmtId="0" fontId="7" fillId="0" borderId="51" xfId="2" applyFont="1" applyBorder="1" applyAlignment="1">
      <alignment horizontal="center"/>
    </xf>
    <xf numFmtId="0" fontId="3" fillId="0" borderId="51" xfId="2" applyBorder="1" applyAlignment="1">
      <alignment horizontal="center"/>
    </xf>
    <xf numFmtId="40" fontId="12" fillId="0" borderId="55" xfId="2" applyNumberFormat="1" applyFont="1" applyBorder="1"/>
    <xf numFmtId="172" fontId="12" fillId="0" borderId="55" xfId="2" applyNumberFormat="1" applyFont="1" applyBorder="1"/>
    <xf numFmtId="165" fontId="6" fillId="0" borderId="54" xfId="2" applyNumberFormat="1" applyFont="1" applyBorder="1"/>
    <xf numFmtId="0" fontId="3" fillId="0" borderId="51" xfId="2" quotePrefix="1" applyBorder="1"/>
    <xf numFmtId="0" fontId="3" fillId="0" borderId="52" xfId="2" applyBorder="1" applyAlignment="1">
      <alignment horizontal="center"/>
    </xf>
    <xf numFmtId="0" fontId="3" fillId="0" borderId="48" xfId="2" applyBorder="1" applyAlignment="1">
      <alignment horizontal="center"/>
    </xf>
    <xf numFmtId="0" fontId="3" fillId="0" borderId="52" xfId="2" applyBorder="1"/>
    <xf numFmtId="0" fontId="3" fillId="0" borderId="52" xfId="2" applyBorder="1" applyAlignment="1">
      <alignment horizontal="left"/>
    </xf>
    <xf numFmtId="4" fontId="16" fillId="0" borderId="0" xfId="0" applyNumberFormat="1" applyFont="1"/>
    <xf numFmtId="165" fontId="9" fillId="0" borderId="56" xfId="2" applyNumberFormat="1" applyFont="1" applyBorder="1"/>
    <xf numFmtId="40" fontId="9" fillId="0" borderId="55" xfId="2" applyNumberFormat="1" applyFont="1" applyBorder="1"/>
    <xf numFmtId="172" fontId="9" fillId="0" borderId="55" xfId="2" applyNumberFormat="1" applyFont="1" applyBorder="1"/>
    <xf numFmtId="0" fontId="9" fillId="0" borderId="53" xfId="2" applyFont="1" applyBorder="1"/>
    <xf numFmtId="0" fontId="18" fillId="0" borderId="0" xfId="2" applyFont="1"/>
    <xf numFmtId="40" fontId="12" fillId="4" borderId="47" xfId="2" applyNumberFormat="1" applyFont="1" applyFill="1" applyBorder="1"/>
    <xf numFmtId="4" fontId="19" fillId="4" borderId="10" xfId="2" applyNumberFormat="1" applyFont="1" applyFill="1" applyBorder="1"/>
    <xf numFmtId="167" fontId="19" fillId="4" borderId="10" xfId="2" applyNumberFormat="1" applyFont="1" applyFill="1" applyBorder="1"/>
    <xf numFmtId="4" fontId="19" fillId="4" borderId="2" xfId="2" applyNumberFormat="1" applyFont="1" applyFill="1" applyBorder="1"/>
    <xf numFmtId="173" fontId="3" fillId="0" borderId="0" xfId="2" applyNumberFormat="1"/>
    <xf numFmtId="10" fontId="9" fillId="0" borderId="50" xfId="2" applyNumberFormat="1" applyFont="1" applyBorder="1"/>
    <xf numFmtId="0" fontId="17" fillId="0" borderId="10" xfId="2" applyFont="1" applyBorder="1"/>
    <xf numFmtId="0" fontId="17" fillId="0" borderId="31" xfId="2" applyFont="1" applyBorder="1"/>
    <xf numFmtId="4" fontId="20" fillId="0" borderId="21" xfId="2" applyNumberFormat="1" applyFont="1" applyBorder="1"/>
    <xf numFmtId="4" fontId="20" fillId="0" borderId="22" xfId="2" applyNumberFormat="1" applyFont="1" applyBorder="1"/>
    <xf numFmtId="167" fontId="20" fillId="0" borderId="21" xfId="2" applyNumberFormat="1" applyFont="1" applyBorder="1"/>
    <xf numFmtId="4" fontId="3" fillId="0" borderId="0" xfId="2" applyNumberFormat="1" applyAlignment="1">
      <alignment horizontal="right"/>
    </xf>
    <xf numFmtId="0" fontId="17" fillId="4" borderId="10" xfId="2" applyFont="1" applyFill="1" applyBorder="1"/>
    <xf numFmtId="0" fontId="17" fillId="4" borderId="31" xfId="2" applyFont="1" applyFill="1" applyBorder="1"/>
    <xf numFmtId="164" fontId="12" fillId="0" borderId="0" xfId="4" applyFont="1"/>
    <xf numFmtId="0" fontId="21" fillId="0" borderId="3" xfId="2" applyFont="1" applyBorder="1"/>
    <xf numFmtId="0" fontId="21" fillId="0" borderId="1" xfId="2" applyFont="1" applyBorder="1"/>
    <xf numFmtId="166" fontId="6" fillId="3" borderId="0" xfId="2" applyNumberFormat="1" applyFont="1" applyFill="1"/>
    <xf numFmtId="0" fontId="23" fillId="0" borderId="0" xfId="2" applyFont="1" applyAlignment="1">
      <alignment horizontal="centerContinuous"/>
    </xf>
    <xf numFmtId="0" fontId="3" fillId="0" borderId="15" xfId="2" applyBorder="1" applyAlignment="1">
      <alignment horizontal="left"/>
    </xf>
    <xf numFmtId="10" fontId="9" fillId="0" borderId="22" xfId="2" applyNumberFormat="1" applyFont="1" applyBorder="1"/>
    <xf numFmtId="165" fontId="9" fillId="0" borderId="50" xfId="2" applyNumberFormat="1" applyFont="1" applyBorder="1" applyAlignment="1">
      <alignment horizontal="right"/>
    </xf>
    <xf numFmtId="40" fontId="12" fillId="0" borderId="57" xfId="2" applyNumberFormat="1" applyFont="1" applyBorder="1"/>
    <xf numFmtId="165" fontId="9" fillId="0" borderId="58" xfId="2" applyNumberFormat="1" applyFont="1" applyBorder="1"/>
    <xf numFmtId="0" fontId="5" fillId="0" borderId="2" xfId="2" applyFont="1" applyBorder="1" applyAlignment="1">
      <alignment horizontal="center"/>
    </xf>
    <xf numFmtId="40" fontId="6" fillId="0" borderId="5" xfId="2" applyNumberFormat="1" applyFont="1" applyBorder="1" applyAlignment="1">
      <alignment horizontal="center" vertical="center"/>
    </xf>
    <xf numFmtId="0" fontId="3" fillId="0" borderId="11" xfId="2" quotePrefix="1" applyBorder="1"/>
    <xf numFmtId="0" fontId="3" fillId="0" borderId="59" xfId="2" applyBorder="1" applyAlignment="1">
      <alignment horizontal="left"/>
    </xf>
    <xf numFmtId="0" fontId="3" fillId="0" borderId="26" xfId="2" quotePrefix="1" applyBorder="1"/>
    <xf numFmtId="40" fontId="12" fillId="0" borderId="26" xfId="2" applyNumberFormat="1" applyFont="1" applyBorder="1"/>
    <xf numFmtId="172" fontId="12" fillId="0" borderId="26" xfId="2" applyNumberFormat="1" applyFont="1" applyBorder="1"/>
    <xf numFmtId="0" fontId="12" fillId="0" borderId="6" xfId="2" applyFont="1" applyBorder="1"/>
    <xf numFmtId="40" fontId="10" fillId="0" borderId="30" xfId="2" applyNumberFormat="1" applyFont="1" applyBorder="1"/>
    <xf numFmtId="40" fontId="10" fillId="5" borderId="30" xfId="2" applyNumberFormat="1" applyFont="1" applyFill="1" applyBorder="1"/>
    <xf numFmtId="40" fontId="10" fillId="0" borderId="1" xfId="2" applyNumberFormat="1" applyFont="1" applyBorder="1" applyAlignment="1">
      <alignment horizontal="centerContinuous"/>
    </xf>
    <xf numFmtId="0" fontId="3" fillId="0" borderId="24" xfId="2" applyBorder="1" applyAlignment="1">
      <alignment horizontal="center"/>
    </xf>
    <xf numFmtId="0" fontId="3" fillId="0" borderId="60" xfId="2" applyBorder="1" applyAlignment="1">
      <alignment horizontal="centerContinuous"/>
    </xf>
    <xf numFmtId="0" fontId="3" fillId="0" borderId="26" xfId="2" applyBorder="1" applyAlignment="1">
      <alignment horizontal="left"/>
    </xf>
    <xf numFmtId="0" fontId="3" fillId="0" borderId="26" xfId="2" applyBorder="1" applyAlignment="1">
      <alignment horizontal="center"/>
    </xf>
    <xf numFmtId="0" fontId="3" fillId="0" borderId="10" xfId="2" applyBorder="1" applyAlignment="1">
      <alignment horizontal="centerContinuous"/>
    </xf>
    <xf numFmtId="172" fontId="12" fillId="0" borderId="5" xfId="2" applyNumberFormat="1" applyFont="1" applyBorder="1"/>
    <xf numFmtId="40" fontId="12" fillId="0" borderId="5" xfId="2" applyNumberFormat="1" applyFont="1" applyBorder="1"/>
    <xf numFmtId="165" fontId="6" fillId="0" borderId="30" xfId="2" applyNumberFormat="1" applyFont="1" applyBorder="1"/>
    <xf numFmtId="0" fontId="12" fillId="0" borderId="26" xfId="2" applyFont="1" applyBorder="1" applyAlignment="1">
      <alignment horizontal="center"/>
    </xf>
    <xf numFmtId="0" fontId="12" fillId="0" borderId="11" xfId="2" applyFont="1" applyBorder="1" applyAlignment="1">
      <alignment horizontal="center"/>
    </xf>
    <xf numFmtId="40" fontId="12" fillId="0" borderId="53" xfId="2" applyNumberFormat="1" applyFont="1" applyBorder="1"/>
    <xf numFmtId="173" fontId="3" fillId="0" borderId="31" xfId="2" applyNumberFormat="1" applyBorder="1"/>
    <xf numFmtId="40" fontId="5" fillId="0" borderId="0" xfId="2" applyNumberFormat="1" applyFont="1"/>
    <xf numFmtId="172" fontId="10" fillId="0" borderId="47" xfId="2" applyNumberFormat="1" applyFont="1" applyBorder="1"/>
    <xf numFmtId="4" fontId="10" fillId="0" borderId="0" xfId="2" applyNumberFormat="1" applyFont="1"/>
    <xf numFmtId="0" fontId="20" fillId="0" borderId="10" xfId="2" applyFont="1" applyBorder="1"/>
    <xf numFmtId="0" fontId="19" fillId="4" borderId="10" xfId="2" applyFont="1" applyFill="1" applyBorder="1"/>
    <xf numFmtId="4" fontId="19" fillId="4" borderId="31" xfId="2" applyNumberFormat="1" applyFont="1" applyFill="1" applyBorder="1"/>
    <xf numFmtId="4" fontId="17" fillId="4" borderId="2" xfId="2" applyNumberFormat="1" applyFont="1" applyFill="1" applyBorder="1"/>
    <xf numFmtId="4" fontId="17" fillId="0" borderId="2" xfId="2" applyNumberFormat="1" applyFont="1" applyBorder="1"/>
    <xf numFmtId="0" fontId="21" fillId="0" borderId="0" xfId="2" applyFont="1"/>
    <xf numFmtId="40" fontId="3" fillId="0" borderId="31" xfId="2" applyNumberFormat="1" applyBorder="1"/>
    <xf numFmtId="172" fontId="10" fillId="0" borderId="47" xfId="0" applyNumberFormat="1" applyFont="1" applyBorder="1"/>
    <xf numFmtId="40" fontId="12" fillId="0" borderId="48" xfId="0" applyNumberFormat="1" applyFont="1" applyBorder="1"/>
    <xf numFmtId="172" fontId="12" fillId="0" borderId="48" xfId="0" applyNumberFormat="1" applyFont="1" applyBorder="1"/>
    <xf numFmtId="0" fontId="3" fillId="0" borderId="5" xfId="2" applyBorder="1"/>
    <xf numFmtId="173" fontId="5" fillId="0" borderId="0" xfId="2" applyNumberFormat="1" applyFont="1"/>
    <xf numFmtId="173" fontId="5" fillId="0" borderId="30" xfId="2" applyNumberFormat="1" applyFont="1" applyBorder="1"/>
    <xf numFmtId="0" fontId="3" fillId="0" borderId="0" xfId="2" applyAlignment="1">
      <alignment horizontal="left"/>
    </xf>
    <xf numFmtId="40" fontId="10" fillId="0" borderId="26" xfId="2" applyNumberFormat="1" applyFont="1" applyBorder="1"/>
    <xf numFmtId="40" fontId="12" fillId="6" borderId="26" xfId="2" applyNumberFormat="1" applyFont="1" applyFill="1" applyBorder="1"/>
    <xf numFmtId="40" fontId="10" fillId="0" borderId="20" xfId="2" applyNumberFormat="1" applyFont="1" applyBorder="1"/>
    <xf numFmtId="172" fontId="10" fillId="0" borderId="5" xfId="2" applyNumberFormat="1" applyFont="1" applyBorder="1"/>
    <xf numFmtId="40" fontId="10" fillId="0" borderId="47" xfId="2" applyNumberFormat="1" applyFont="1" applyBorder="1"/>
    <xf numFmtId="177" fontId="3" fillId="0" borderId="0" xfId="2" applyNumberFormat="1"/>
    <xf numFmtId="10" fontId="18" fillId="0" borderId="0" xfId="3" applyNumberFormat="1" applyFont="1" applyBorder="1"/>
    <xf numFmtId="49" fontId="10" fillId="0" borderId="0" xfId="2" quotePrefix="1" applyNumberFormat="1" applyFont="1" applyAlignment="1">
      <alignment horizontal="right"/>
    </xf>
    <xf numFmtId="0" fontId="24" fillId="0" borderId="0" xfId="2" applyFont="1"/>
    <xf numFmtId="173" fontId="24" fillId="0" borderId="0" xfId="2" applyNumberFormat="1" applyFont="1"/>
    <xf numFmtId="40" fontId="24" fillId="0" borderId="0" xfId="2" applyNumberFormat="1" applyFont="1"/>
    <xf numFmtId="4" fontId="24" fillId="0" borderId="0" xfId="2" applyNumberFormat="1" applyFont="1"/>
    <xf numFmtId="165" fontId="9" fillId="0" borderId="52" xfId="2" applyNumberFormat="1" applyFont="1" applyBorder="1"/>
    <xf numFmtId="165" fontId="9" fillId="0" borderId="12" xfId="2" applyNumberFormat="1" applyFont="1" applyBorder="1"/>
    <xf numFmtId="4" fontId="6" fillId="4" borderId="21" xfId="2" applyNumberFormat="1" applyFont="1" applyFill="1" applyBorder="1"/>
    <xf numFmtId="4" fontId="6" fillId="7" borderId="21" xfId="2" applyNumberFormat="1" applyFont="1" applyFill="1" applyBorder="1"/>
    <xf numFmtId="3" fontId="6" fillId="0" borderId="20" xfId="2" applyNumberFormat="1" applyFont="1" applyBorder="1"/>
    <xf numFmtId="4" fontId="6" fillId="0" borderId="21" xfId="2" applyNumberFormat="1" applyFont="1" applyBorder="1"/>
    <xf numFmtId="9" fontId="3" fillId="0" borderId="0" xfId="3" applyFont="1" applyBorder="1"/>
    <xf numFmtId="0" fontId="10" fillId="0" borderId="0" xfId="2" quotePrefix="1" applyFont="1" applyAlignment="1">
      <alignment horizontal="right"/>
    </xf>
    <xf numFmtId="40" fontId="12" fillId="0" borderId="45" xfId="2" applyNumberFormat="1" applyFont="1" applyBorder="1"/>
    <xf numFmtId="165" fontId="9" fillId="0" borderId="24" xfId="2" applyNumberFormat="1" applyFont="1" applyBorder="1"/>
    <xf numFmtId="178" fontId="3" fillId="0" borderId="0" xfId="2" applyNumberFormat="1"/>
    <xf numFmtId="40" fontId="12" fillId="0" borderId="61" xfId="2" applyNumberFormat="1" applyFont="1" applyBorder="1"/>
    <xf numFmtId="40" fontId="12" fillId="4" borderId="62" xfId="2" applyNumberFormat="1" applyFont="1" applyFill="1" applyBorder="1"/>
    <xf numFmtId="40" fontId="12" fillId="0" borderId="62" xfId="2" applyNumberFormat="1" applyFont="1" applyBorder="1"/>
    <xf numFmtId="40" fontId="10" fillId="5" borderId="5" xfId="2" applyNumberFormat="1" applyFont="1" applyFill="1" applyBorder="1"/>
    <xf numFmtId="165" fontId="6" fillId="0" borderId="5" xfId="2" applyNumberFormat="1" applyFont="1" applyBorder="1"/>
    <xf numFmtId="10" fontId="9" fillId="0" borderId="56" xfId="2" applyNumberFormat="1" applyFont="1" applyBorder="1"/>
    <xf numFmtId="40" fontId="12" fillId="0" borderId="9" xfId="2" applyNumberFormat="1" applyFont="1" applyBorder="1"/>
    <xf numFmtId="10" fontId="9" fillId="0" borderId="20" xfId="2" applyNumberFormat="1" applyFont="1" applyBorder="1"/>
    <xf numFmtId="40" fontId="12" fillId="0" borderId="62" xfId="0" applyNumberFormat="1" applyFont="1" applyBorder="1"/>
    <xf numFmtId="40" fontId="12" fillId="0" borderId="26" xfId="0" applyNumberFormat="1" applyFont="1" applyBorder="1"/>
    <xf numFmtId="40" fontId="12" fillId="4" borderId="26" xfId="2" applyNumberFormat="1" applyFont="1" applyFill="1" applyBorder="1"/>
    <xf numFmtId="10" fontId="12" fillId="0" borderId="47" xfId="3" applyNumberFormat="1" applyFont="1" applyFill="1" applyBorder="1" applyAlignment="1"/>
    <xf numFmtId="10" fontId="3" fillId="0" borderId="0" xfId="3" applyNumberFormat="1" applyFont="1" applyBorder="1"/>
    <xf numFmtId="172" fontId="12" fillId="0" borderId="62" xfId="0" applyNumberFormat="1" applyFont="1" applyBorder="1"/>
    <xf numFmtId="172" fontId="12" fillId="0" borderId="62" xfId="2" applyNumberFormat="1" applyFont="1" applyBorder="1"/>
    <xf numFmtId="172" fontId="12" fillId="0" borderId="26" xfId="0" applyNumberFormat="1" applyFont="1" applyBorder="1"/>
    <xf numFmtId="40" fontId="3" fillId="6" borderId="0" xfId="2" applyNumberFormat="1" applyFill="1"/>
    <xf numFmtId="4" fontId="20" fillId="0" borderId="31" xfId="2" applyNumberFormat="1" applyFont="1" applyBorder="1"/>
    <xf numFmtId="173" fontId="12" fillId="0" borderId="31" xfId="2" applyNumberFormat="1" applyFont="1" applyBorder="1"/>
    <xf numFmtId="172" fontId="10" fillId="0" borderId="0" xfId="2" applyNumberFormat="1" applyFont="1"/>
    <xf numFmtId="4" fontId="5" fillId="0" borderId="0" xfId="2" applyNumberFormat="1" applyFont="1" applyAlignment="1">
      <alignment horizontal="center"/>
    </xf>
    <xf numFmtId="40" fontId="10" fillId="5" borderId="0" xfId="2" applyNumberFormat="1" applyFont="1" applyFill="1"/>
    <xf numFmtId="165" fontId="6" fillId="0" borderId="0" xfId="2" applyNumberFormat="1" applyFont="1"/>
    <xf numFmtId="40" fontId="10" fillId="6" borderId="5" xfId="2" applyNumberFormat="1" applyFont="1" applyFill="1" applyBorder="1"/>
    <xf numFmtId="40" fontId="10" fillId="6" borderId="29" xfId="2" applyNumberFormat="1" applyFont="1" applyFill="1" applyBorder="1"/>
    <xf numFmtId="175" fontId="3" fillId="0" borderId="0" xfId="2" applyNumberFormat="1"/>
    <xf numFmtId="0" fontId="3" fillId="0" borderId="11" xfId="2" applyBorder="1" applyAlignment="1">
      <alignment horizontal="center"/>
    </xf>
    <xf numFmtId="40" fontId="12" fillId="6" borderId="47" xfId="2" applyNumberFormat="1" applyFont="1" applyFill="1" applyBorder="1"/>
    <xf numFmtId="10" fontId="9" fillId="0" borderId="0" xfId="2" applyNumberFormat="1" applyFont="1"/>
    <xf numFmtId="4" fontId="3" fillId="0" borderId="25" xfId="2" applyNumberFormat="1" applyBorder="1"/>
    <xf numFmtId="172" fontId="12" fillId="6" borderId="47" xfId="0" applyNumberFormat="1" applyFont="1" applyFill="1" applyBorder="1"/>
    <xf numFmtId="176" fontId="12" fillId="0" borderId="47" xfId="0" applyNumberFormat="1" applyFont="1" applyBorder="1"/>
    <xf numFmtId="179" fontId="3" fillId="0" borderId="63" xfId="7" applyNumberFormat="1" applyFont="1" applyBorder="1" applyAlignment="1">
      <alignment horizontal="right" vertical="center"/>
    </xf>
    <xf numFmtId="0" fontId="26" fillId="0" borderId="19" xfId="2" applyFont="1" applyBorder="1" applyAlignment="1">
      <alignment horizontal="center" vertical="center"/>
    </xf>
    <xf numFmtId="180" fontId="6" fillId="0" borderId="0" xfId="2" applyNumberFormat="1" applyFont="1"/>
    <xf numFmtId="10" fontId="3" fillId="0" borderId="0" xfId="3" applyNumberFormat="1" applyFont="1"/>
    <xf numFmtId="0" fontId="3" fillId="4" borderId="12" xfId="2" quotePrefix="1" applyFill="1" applyBorder="1"/>
    <xf numFmtId="0" fontId="3" fillId="4" borderId="13" xfId="2" applyFill="1" applyBorder="1"/>
    <xf numFmtId="0" fontId="3" fillId="4" borderId="21" xfId="2" applyFill="1" applyBorder="1" applyAlignment="1">
      <alignment horizontal="center"/>
    </xf>
    <xf numFmtId="0" fontId="3" fillId="4" borderId="13" xfId="2" applyFill="1" applyBorder="1" applyAlignment="1">
      <alignment horizontal="center"/>
    </xf>
    <xf numFmtId="10" fontId="6" fillId="4" borderId="0" xfId="3" applyNumberFormat="1" applyFont="1" applyFill="1" applyBorder="1"/>
    <xf numFmtId="0" fontId="5" fillId="0" borderId="5" xfId="2" applyFont="1" applyBorder="1" applyAlignment="1">
      <alignment horizontal="centerContinuous" vertical="center"/>
    </xf>
    <xf numFmtId="0" fontId="5" fillId="6" borderId="1" xfId="2" applyFont="1" applyFill="1" applyBorder="1" applyAlignment="1">
      <alignment horizontal="centerContinuous" vertical="center"/>
    </xf>
    <xf numFmtId="0" fontId="6" fillId="6" borderId="2" xfId="2" applyFont="1" applyFill="1" applyBorder="1" applyAlignment="1">
      <alignment horizontal="centerContinuous" vertical="center"/>
    </xf>
    <xf numFmtId="0" fontId="6" fillId="6" borderId="6" xfId="2" applyFont="1" applyFill="1" applyBorder="1" applyAlignment="1">
      <alignment horizontal="centerContinuous" vertical="center"/>
    </xf>
    <xf numFmtId="4" fontId="10" fillId="0" borderId="0" xfId="2" applyNumberFormat="1" applyFont="1" applyAlignment="1">
      <alignment horizontal="centerContinuous" vertical="center"/>
    </xf>
    <xf numFmtId="174" fontId="12" fillId="0" borderId="47" xfId="2" applyNumberFormat="1" applyFont="1" applyBorder="1"/>
    <xf numFmtId="4" fontId="12" fillId="0" borderId="0" xfId="2" applyNumberFormat="1" applyFont="1"/>
    <xf numFmtId="4" fontId="27" fillId="6" borderId="10" xfId="2" applyNumberFormat="1" applyFont="1" applyFill="1" applyBorder="1"/>
    <xf numFmtId="0" fontId="27" fillId="6" borderId="7" xfId="2" applyFont="1" applyFill="1" applyBorder="1" applyAlignment="1">
      <alignment horizontal="centerContinuous" vertical="center" wrapText="1"/>
    </xf>
    <xf numFmtId="4" fontId="3" fillId="0" borderId="31" xfId="2" applyNumberFormat="1" applyBorder="1"/>
    <xf numFmtId="4" fontId="6" fillId="0" borderId="5" xfId="2" applyNumberFormat="1" applyFont="1" applyBorder="1"/>
    <xf numFmtId="4" fontId="6" fillId="0" borderId="1" xfId="2" applyNumberFormat="1" applyFont="1" applyBorder="1" applyAlignment="1">
      <alignment horizontal="center" vertical="center" wrapText="1"/>
    </xf>
    <xf numFmtId="4" fontId="6" fillId="0" borderId="5" xfId="2" applyNumberFormat="1" applyFont="1" applyBorder="1" applyAlignment="1">
      <alignment horizontal="center" vertical="center" wrapText="1"/>
    </xf>
    <xf numFmtId="4" fontId="6" fillId="0" borderId="5" xfId="2" applyNumberFormat="1" applyFont="1" applyBorder="1" applyAlignment="1">
      <alignment horizontal="center" vertical="center"/>
    </xf>
    <xf numFmtId="4" fontId="6" fillId="0" borderId="6" xfId="2" applyNumberFormat="1" applyFont="1" applyBorder="1" applyAlignment="1">
      <alignment horizontal="center" vertical="center"/>
    </xf>
    <xf numFmtId="4" fontId="5" fillId="0" borderId="7" xfId="2" applyNumberFormat="1" applyFont="1" applyBorder="1"/>
    <xf numFmtId="4" fontId="3" fillId="0" borderId="21" xfId="2" applyNumberFormat="1" applyBorder="1" applyAlignment="1">
      <alignment horizontal="center"/>
    </xf>
    <xf numFmtId="4" fontId="3" fillId="0" borderId="47" xfId="2" applyNumberFormat="1" applyBorder="1" applyAlignment="1">
      <alignment horizontal="center"/>
    </xf>
    <xf numFmtId="4" fontId="3" fillId="0" borderId="13" xfId="2" applyNumberFormat="1" applyBorder="1" applyAlignment="1">
      <alignment horizontal="left"/>
    </xf>
    <xf numFmtId="4" fontId="5" fillId="0" borderId="1" xfId="2" applyNumberFormat="1" applyFont="1" applyBorder="1"/>
    <xf numFmtId="4" fontId="3" fillId="0" borderId="2" xfId="2" applyNumberFormat="1" applyBorder="1"/>
    <xf numFmtId="4" fontId="12" fillId="0" borderId="1" xfId="2" applyNumberFormat="1" applyFont="1" applyBorder="1"/>
    <xf numFmtId="165" fontId="3" fillId="0" borderId="0" xfId="3" applyNumberFormat="1" applyFont="1"/>
    <xf numFmtId="165" fontId="9" fillId="0" borderId="50" xfId="3" applyNumberFormat="1" applyFont="1" applyBorder="1"/>
    <xf numFmtId="10" fontId="9" fillId="0" borderId="50" xfId="3" applyNumberFormat="1" applyFont="1" applyBorder="1"/>
    <xf numFmtId="0" fontId="5" fillId="0" borderId="0" xfId="2" quotePrefix="1" applyFont="1"/>
    <xf numFmtId="4" fontId="5" fillId="0" borderId="0" xfId="2" applyNumberFormat="1" applyFont="1"/>
    <xf numFmtId="4" fontId="12" fillId="0" borderId="48" xfId="0" applyNumberFormat="1" applyFont="1" applyBorder="1"/>
    <xf numFmtId="4" fontId="12" fillId="0" borderId="47" xfId="2" applyNumberFormat="1" applyFont="1" applyBorder="1"/>
    <xf numFmtId="4" fontId="12" fillId="0" borderId="47" xfId="0" applyNumberFormat="1" applyFont="1" applyBorder="1"/>
    <xf numFmtId="4" fontId="12" fillId="0" borderId="48" xfId="2" applyNumberFormat="1" applyFont="1" applyBorder="1"/>
    <xf numFmtId="0" fontId="27" fillId="0" borderId="0" xfId="2" applyFont="1"/>
    <xf numFmtId="40" fontId="12" fillId="7" borderId="47" xfId="2" applyNumberFormat="1" applyFont="1" applyFill="1" applyBorder="1"/>
    <xf numFmtId="40" fontId="3" fillId="0" borderId="0" xfId="2" applyNumberFormat="1" applyAlignment="1">
      <alignment horizontal="right"/>
    </xf>
    <xf numFmtId="172" fontId="3" fillId="0" borderId="0" xfId="2" applyNumberFormat="1" applyAlignment="1">
      <alignment horizontal="right"/>
    </xf>
    <xf numFmtId="0" fontId="5" fillId="0" borderId="0" xfId="2" applyFont="1"/>
    <xf numFmtId="172" fontId="12" fillId="6" borderId="47" xfId="2" applyNumberFormat="1" applyFont="1" applyFill="1" applyBorder="1"/>
    <xf numFmtId="0" fontId="5" fillId="0" borderId="0" xfId="2" applyFont="1" applyAlignment="1">
      <alignment horizontal="right"/>
    </xf>
    <xf numFmtId="0" fontId="3" fillId="0" borderId="44" xfId="2" applyBorder="1" applyAlignment="1">
      <alignment horizontal="center"/>
    </xf>
    <xf numFmtId="40" fontId="12" fillId="4" borderId="44" xfId="2" applyNumberFormat="1" applyFont="1" applyFill="1" applyBorder="1"/>
    <xf numFmtId="165" fontId="9" fillId="0" borderId="44" xfId="2" applyNumberFormat="1" applyFont="1" applyBorder="1"/>
    <xf numFmtId="0" fontId="3" fillId="0" borderId="21" xfId="2" applyBorder="1"/>
    <xf numFmtId="0" fontId="3" fillId="0" borderId="26" xfId="2" applyBorder="1"/>
    <xf numFmtId="40" fontId="12" fillId="4" borderId="48" xfId="2" applyNumberFormat="1" applyFont="1" applyFill="1" applyBorder="1"/>
    <xf numFmtId="165" fontId="9" fillId="0" borderId="48" xfId="2" applyNumberFormat="1" applyFont="1" applyBorder="1" applyAlignment="1">
      <alignment horizontal="right"/>
    </xf>
    <xf numFmtId="0" fontId="3" fillId="0" borderId="21" xfId="2" quotePrefix="1" applyBorder="1"/>
    <xf numFmtId="0" fontId="3" fillId="0" borderId="32" xfId="2" quotePrefix="1" applyBorder="1"/>
    <xf numFmtId="0" fontId="3" fillId="0" borderId="32" xfId="2" applyBorder="1"/>
    <xf numFmtId="40" fontId="12" fillId="0" borderId="32" xfId="0" applyNumberFormat="1" applyFont="1" applyBorder="1"/>
    <xf numFmtId="172" fontId="12" fillId="0" borderId="32" xfId="0" applyNumberFormat="1" applyFont="1" applyBorder="1"/>
    <xf numFmtId="40" fontId="12" fillId="0" borderId="32" xfId="2" applyNumberFormat="1" applyFont="1" applyBorder="1"/>
    <xf numFmtId="165" fontId="9" fillId="0" borderId="32" xfId="2" applyNumberFormat="1" applyFont="1" applyBorder="1"/>
    <xf numFmtId="10" fontId="9" fillId="0" borderId="32" xfId="2" applyNumberFormat="1" applyFont="1" applyBorder="1"/>
    <xf numFmtId="0" fontId="3" fillId="0" borderId="35" xfId="2" quotePrefix="1" applyBorder="1"/>
    <xf numFmtId="0" fontId="3" fillId="0" borderId="35" xfId="2" applyBorder="1"/>
    <xf numFmtId="40" fontId="12" fillId="0" borderId="35" xfId="0" applyNumberFormat="1" applyFont="1" applyBorder="1"/>
    <xf numFmtId="172" fontId="12" fillId="0" borderId="35" xfId="0" applyNumberFormat="1" applyFont="1" applyBorder="1"/>
    <xf numFmtId="40" fontId="12" fillId="0" borderId="35" xfId="2" applyNumberFormat="1" applyFont="1" applyBorder="1"/>
    <xf numFmtId="165" fontId="9" fillId="0" borderId="35" xfId="2" applyNumberFormat="1" applyFont="1" applyBorder="1"/>
    <xf numFmtId="10" fontId="9" fillId="0" borderId="35" xfId="2" applyNumberFormat="1" applyFont="1" applyBorder="1"/>
    <xf numFmtId="40" fontId="12" fillId="4" borderId="35" xfId="2" applyNumberFormat="1" applyFont="1" applyFill="1" applyBorder="1"/>
    <xf numFmtId="0" fontId="3" fillId="4" borderId="35" xfId="2" applyFill="1" applyBorder="1"/>
    <xf numFmtId="40" fontId="12" fillId="7" borderId="35" xfId="2" applyNumberFormat="1" applyFont="1" applyFill="1" applyBorder="1"/>
    <xf numFmtId="0" fontId="3" fillId="0" borderId="38" xfId="2" quotePrefix="1" applyBorder="1"/>
    <xf numFmtId="0" fontId="3" fillId="4" borderId="38" xfId="2" applyFill="1" applyBorder="1"/>
    <xf numFmtId="40" fontId="12" fillId="0" borderId="38" xfId="0" applyNumberFormat="1" applyFont="1" applyBorder="1"/>
    <xf numFmtId="172" fontId="12" fillId="0" borderId="38" xfId="0" applyNumberFormat="1" applyFont="1" applyBorder="1"/>
    <xf numFmtId="40" fontId="12" fillId="0" borderId="38" xfId="2" applyNumberFormat="1" applyFont="1" applyBorder="1"/>
    <xf numFmtId="40" fontId="12" fillId="7" borderId="38" xfId="2" applyNumberFormat="1" applyFont="1" applyFill="1" applyBorder="1"/>
    <xf numFmtId="165" fontId="9" fillId="0" borderId="38" xfId="2" applyNumberFormat="1" applyFont="1" applyBorder="1"/>
    <xf numFmtId="10" fontId="9" fillId="0" borderId="38" xfId="2" applyNumberFormat="1" applyFont="1" applyBorder="1"/>
    <xf numFmtId="40" fontId="12" fillId="0" borderId="44" xfId="0" applyNumberFormat="1" applyFont="1" applyBorder="1"/>
    <xf numFmtId="172" fontId="12" fillId="0" borderId="44" xfId="0" applyNumberFormat="1" applyFont="1" applyBorder="1"/>
    <xf numFmtId="10" fontId="9" fillId="0" borderId="44" xfId="2" applyNumberFormat="1" applyFont="1" applyBorder="1"/>
    <xf numFmtId="10" fontId="9" fillId="0" borderId="47" xfId="2" applyNumberFormat="1" applyFont="1" applyBorder="1"/>
    <xf numFmtId="0" fontId="3" fillId="4" borderId="21" xfId="2" applyFill="1" applyBorder="1"/>
    <xf numFmtId="0" fontId="3" fillId="4" borderId="26" xfId="2" applyFill="1" applyBorder="1"/>
    <xf numFmtId="40" fontId="12" fillId="7" borderId="48" xfId="2" applyNumberFormat="1" applyFont="1" applyFill="1" applyBorder="1"/>
    <xf numFmtId="165" fontId="9" fillId="0" borderId="48" xfId="2" applyNumberFormat="1" applyFont="1" applyBorder="1"/>
    <xf numFmtId="10" fontId="9" fillId="0" borderId="48" xfId="2" applyNumberFormat="1" applyFont="1" applyBorder="1"/>
    <xf numFmtId="165" fontId="9" fillId="0" borderId="62" xfId="2" applyNumberFormat="1" applyFont="1" applyBorder="1"/>
    <xf numFmtId="49" fontId="3" fillId="2" borderId="0" xfId="2" applyNumberFormat="1" applyFill="1" applyAlignment="1">
      <alignment horizontal="right"/>
    </xf>
    <xf numFmtId="172" fontId="12" fillId="0" borderId="19" xfId="0" applyNumberFormat="1" applyFont="1" applyBorder="1"/>
    <xf numFmtId="172" fontId="12" fillId="0" borderId="29" xfId="0" applyNumberFormat="1" applyFont="1" applyBorder="1"/>
    <xf numFmtId="172" fontId="12" fillId="0" borderId="30" xfId="0" applyNumberFormat="1" applyFont="1" applyBorder="1"/>
    <xf numFmtId="40" fontId="10" fillId="0" borderId="32" xfId="2" applyNumberFormat="1" applyFont="1" applyBorder="1"/>
    <xf numFmtId="40" fontId="10" fillId="0" borderId="35" xfId="2" applyNumberFormat="1" applyFont="1" applyBorder="1"/>
    <xf numFmtId="40" fontId="10" fillId="0" borderId="38" xfId="2" applyNumberFormat="1" applyFont="1" applyBorder="1"/>
    <xf numFmtId="172" fontId="10" fillId="0" borderId="48" xfId="2" applyNumberFormat="1" applyFont="1" applyBorder="1"/>
    <xf numFmtId="166" fontId="3" fillId="0" borderId="0" xfId="2" applyNumberFormat="1" applyAlignment="1">
      <alignment horizontal="right"/>
    </xf>
    <xf numFmtId="40" fontId="10" fillId="4" borderId="35" xfId="2" applyNumberFormat="1" applyFont="1" applyFill="1" applyBorder="1"/>
    <xf numFmtId="181" fontId="3" fillId="0" borderId="0" xfId="2" applyNumberFormat="1"/>
    <xf numFmtId="4" fontId="12" fillId="0" borderId="44" xfId="2" applyNumberFormat="1" applyFont="1" applyBorder="1"/>
    <xf numFmtId="4" fontId="12" fillId="0" borderId="62" xfId="2" applyNumberFormat="1" applyFont="1" applyBorder="1"/>
    <xf numFmtId="4" fontId="12" fillId="0" borderId="32" xfId="2" applyNumberFormat="1" applyFont="1" applyBorder="1"/>
    <xf numFmtId="4" fontId="12" fillId="0" borderId="35" xfId="2" applyNumberFormat="1" applyFont="1" applyBorder="1"/>
    <xf numFmtId="4" fontId="12" fillId="0" borderId="35" xfId="0" applyNumberFormat="1" applyFont="1" applyBorder="1"/>
    <xf numFmtId="4" fontId="12" fillId="0" borderId="38" xfId="0" applyNumberFormat="1" applyFont="1" applyBorder="1"/>
    <xf numFmtId="40" fontId="5" fillId="0" borderId="0" xfId="2" applyNumberFormat="1" applyFont="1" applyAlignment="1">
      <alignment horizontal="right"/>
    </xf>
    <xf numFmtId="166" fontId="5" fillId="0" borderId="0" xfId="2" applyNumberFormat="1" applyFont="1" applyAlignment="1">
      <alignment horizontal="right"/>
    </xf>
    <xf numFmtId="0" fontId="29" fillId="0" borderId="0" xfId="8" applyFont="1"/>
    <xf numFmtId="0" fontId="9" fillId="0" borderId="0" xfId="8" applyFont="1" applyAlignment="1">
      <alignment horizontal="left" vertical="center"/>
    </xf>
    <xf numFmtId="0" fontId="9" fillId="0" borderId="0" xfId="8" applyFont="1" applyAlignment="1">
      <alignment horizontal="right" vertical="center"/>
    </xf>
    <xf numFmtId="0" fontId="9" fillId="0" borderId="0" xfId="8" applyFont="1" applyAlignment="1">
      <alignment vertical="center"/>
    </xf>
    <xf numFmtId="182" fontId="9" fillId="0" borderId="0" xfId="8" applyNumberFormat="1" applyFont="1" applyAlignment="1">
      <alignment horizontal="right" vertical="center"/>
    </xf>
    <xf numFmtId="0" fontId="6" fillId="0" borderId="0" xfId="8" applyFont="1" applyAlignment="1">
      <alignment horizontal="left" vertical="center"/>
    </xf>
    <xf numFmtId="183" fontId="9" fillId="0" borderId="0" xfId="8" applyNumberFormat="1" applyFont="1" applyAlignment="1">
      <alignment horizontal="right" vertical="center"/>
    </xf>
    <xf numFmtId="0" fontId="6" fillId="0" borderId="0" xfId="8" applyFont="1" applyAlignment="1">
      <alignment horizontal="center" vertical="center"/>
    </xf>
    <xf numFmtId="0" fontId="30" fillId="0" borderId="0" xfId="8" applyFont="1"/>
    <xf numFmtId="0" fontId="6" fillId="0" borderId="0" xfId="8" applyFont="1" applyAlignment="1">
      <alignment vertical="center"/>
    </xf>
    <xf numFmtId="0" fontId="9" fillId="0" borderId="0" xfId="8" applyFont="1" applyAlignment="1">
      <alignment horizontal="center" vertical="center"/>
    </xf>
    <xf numFmtId="1" fontId="9" fillId="0" borderId="0" xfId="8" applyNumberFormat="1" applyFont="1" applyAlignment="1">
      <alignment horizontal="center" vertical="center"/>
    </xf>
    <xf numFmtId="184" fontId="9" fillId="0" borderId="0" xfId="8" applyNumberFormat="1" applyFont="1" applyAlignment="1">
      <alignment horizontal="right" vertical="center"/>
    </xf>
    <xf numFmtId="185" fontId="9" fillId="0" borderId="0" xfId="8" applyNumberFormat="1" applyFont="1" applyAlignment="1">
      <alignment horizontal="right" vertical="center"/>
    </xf>
    <xf numFmtId="182" fontId="9" fillId="0" borderId="0" xfId="8" applyNumberFormat="1" applyFont="1" applyAlignment="1">
      <alignment horizontal="center" vertical="center"/>
    </xf>
    <xf numFmtId="184" fontId="6" fillId="0" borderId="0" xfId="8" applyNumberFormat="1" applyFont="1" applyAlignment="1">
      <alignment horizontal="right" vertical="center"/>
    </xf>
    <xf numFmtId="173" fontId="3" fillId="0" borderId="0" xfId="2" applyNumberFormat="1" applyAlignment="1">
      <alignment horizontal="right"/>
    </xf>
    <xf numFmtId="4" fontId="0" fillId="0" borderId="0" xfId="0" applyNumberFormat="1"/>
    <xf numFmtId="40" fontId="12" fillId="0" borderId="64" xfId="2" applyNumberFormat="1" applyFont="1" applyBorder="1"/>
    <xf numFmtId="40" fontId="12" fillId="0" borderId="19" xfId="2" applyNumberFormat="1" applyFont="1" applyBorder="1"/>
    <xf numFmtId="40" fontId="10" fillId="0" borderId="64" xfId="2" applyNumberFormat="1" applyFont="1" applyBorder="1"/>
    <xf numFmtId="40" fontId="10" fillId="0" borderId="19" xfId="2" applyNumberFormat="1" applyFont="1" applyBorder="1"/>
    <xf numFmtId="40" fontId="10" fillId="0" borderId="44" xfId="2" applyNumberFormat="1" applyFont="1" applyBorder="1"/>
    <xf numFmtId="0" fontId="3" fillId="0" borderId="38" xfId="2" applyBorder="1"/>
    <xf numFmtId="40" fontId="10" fillId="4" borderId="38" xfId="2" applyNumberFormat="1" applyFont="1" applyFill="1" applyBorder="1"/>
    <xf numFmtId="40" fontId="12" fillId="0" borderId="58" xfId="2" applyNumberFormat="1" applyFont="1" applyBorder="1"/>
    <xf numFmtId="40" fontId="12" fillId="7" borderId="44" xfId="2" applyNumberFormat="1" applyFont="1" applyFill="1" applyBorder="1"/>
    <xf numFmtId="172" fontId="12" fillId="7" borderId="44" xfId="2" applyNumberFormat="1" applyFont="1" applyFill="1" applyBorder="1"/>
    <xf numFmtId="167" fontId="21" fillId="0" borderId="0" xfId="2" applyNumberFormat="1" applyFont="1"/>
    <xf numFmtId="175" fontId="12" fillId="0" borderId="32" xfId="0" applyNumberFormat="1" applyFont="1" applyBorder="1"/>
    <xf numFmtId="168" fontId="9" fillId="0" borderId="54" xfId="2" applyNumberFormat="1" applyFont="1" applyBorder="1"/>
    <xf numFmtId="174" fontId="12" fillId="6" borderId="47" xfId="2" applyNumberFormat="1" applyFont="1" applyFill="1" applyBorder="1"/>
    <xf numFmtId="176" fontId="12" fillId="6" borderId="47" xfId="2" applyNumberFormat="1" applyFont="1" applyFill="1" applyBorder="1"/>
    <xf numFmtId="0" fontId="24" fillId="0" borderId="12" xfId="2" quotePrefix="1" applyFont="1" applyBorder="1"/>
    <xf numFmtId="0" fontId="24" fillId="0" borderId="13" xfId="2" applyFont="1" applyBorder="1"/>
    <xf numFmtId="0" fontId="24" fillId="0" borderId="47" xfId="2" applyFont="1" applyBorder="1" applyAlignment="1">
      <alignment horizontal="center"/>
    </xf>
    <xf numFmtId="0" fontId="24" fillId="0" borderId="52" xfId="2" applyFont="1" applyBorder="1" applyAlignment="1">
      <alignment horizontal="center"/>
    </xf>
    <xf numFmtId="40" fontId="31" fillId="0" borderId="47" xfId="0" applyNumberFormat="1" applyFont="1" applyBorder="1"/>
    <xf numFmtId="172" fontId="31" fillId="0" borderId="47" xfId="0" applyNumberFormat="1" applyFont="1" applyBorder="1"/>
    <xf numFmtId="40" fontId="31" fillId="0" borderId="47" xfId="2" applyNumberFormat="1" applyFont="1" applyBorder="1"/>
    <xf numFmtId="4" fontId="32" fillId="0" borderId="21" xfId="2" applyNumberFormat="1" applyFont="1" applyBorder="1"/>
    <xf numFmtId="168" fontId="32" fillId="0" borderId="21" xfId="2" applyNumberFormat="1" applyFont="1" applyBorder="1"/>
    <xf numFmtId="166" fontId="32" fillId="0" borderId="21" xfId="2" applyNumberFormat="1" applyFont="1" applyBorder="1"/>
    <xf numFmtId="0" fontId="32" fillId="0" borderId="21" xfId="2" applyFont="1" applyBorder="1"/>
    <xf numFmtId="0" fontId="3" fillId="8" borderId="13" xfId="2" applyFill="1" applyBorder="1"/>
    <xf numFmtId="0" fontId="3" fillId="7" borderId="15" xfId="2" applyFill="1" applyBorder="1"/>
    <xf numFmtId="0" fontId="3" fillId="9" borderId="13" xfId="2" applyFill="1" applyBorder="1"/>
    <xf numFmtId="0" fontId="3" fillId="10" borderId="13" xfId="2" applyFill="1" applyBorder="1"/>
    <xf numFmtId="4" fontId="5" fillId="0" borderId="0" xfId="2" quotePrefix="1" applyNumberFormat="1" applyFont="1" applyAlignment="1">
      <alignment horizontal="right"/>
    </xf>
    <xf numFmtId="165" fontId="3" fillId="0" borderId="0" xfId="3" applyNumberFormat="1" applyFont="1" applyFill="1"/>
    <xf numFmtId="4" fontId="3" fillId="0" borderId="11" xfId="2" quotePrefix="1" applyNumberFormat="1" applyBorder="1"/>
    <xf numFmtId="4" fontId="3" fillId="0" borderId="61" xfId="2" applyNumberFormat="1" applyBorder="1" applyAlignment="1">
      <alignment horizontal="center"/>
    </xf>
    <xf numFmtId="4" fontId="3" fillId="0" borderId="26" xfId="2" quotePrefix="1" applyNumberFormat="1" applyBorder="1"/>
    <xf numFmtId="4" fontId="3" fillId="0" borderId="20" xfId="2" applyNumberFormat="1" applyBorder="1" applyAlignment="1">
      <alignment horizontal="left"/>
    </xf>
    <xf numFmtId="4" fontId="3" fillId="0" borderId="26" xfId="2" applyNumberFormat="1" applyBorder="1" applyAlignment="1">
      <alignment horizontal="center"/>
    </xf>
    <xf numFmtId="4" fontId="3" fillId="0" borderId="10" xfId="2" applyNumberFormat="1" applyBorder="1" applyAlignment="1">
      <alignment horizontal="centerContinuous"/>
    </xf>
    <xf numFmtId="4" fontId="12" fillId="0" borderId="6" xfId="2" applyNumberFormat="1" applyFont="1" applyBorder="1"/>
    <xf numFmtId="4" fontId="12" fillId="0" borderId="2" xfId="2" applyNumberFormat="1" applyFont="1" applyBorder="1"/>
    <xf numFmtId="4" fontId="10" fillId="0" borderId="4" xfId="2" applyNumberFormat="1" applyFont="1" applyBorder="1"/>
    <xf numFmtId="167" fontId="12" fillId="0" borderId="5" xfId="2" applyNumberFormat="1" applyFont="1" applyBorder="1"/>
    <xf numFmtId="4" fontId="12" fillId="0" borderId="5" xfId="2" applyNumberFormat="1" applyFont="1" applyBorder="1"/>
    <xf numFmtId="165" fontId="6" fillId="0" borderId="5" xfId="3" applyNumberFormat="1" applyFont="1" applyFill="1" applyBorder="1"/>
    <xf numFmtId="4" fontId="5" fillId="0" borderId="2" xfId="2" applyNumberFormat="1" applyFont="1" applyBorder="1" applyAlignment="1">
      <alignment horizontal="center"/>
    </xf>
    <xf numFmtId="4" fontId="10" fillId="0" borderId="1" xfId="2" applyNumberFormat="1" applyFont="1" applyBorder="1" applyAlignment="1">
      <alignment horizontal="centerContinuous"/>
    </xf>
    <xf numFmtId="165" fontId="6" fillId="0" borderId="6" xfId="3" applyNumberFormat="1" applyFont="1" applyFill="1" applyBorder="1" applyAlignment="1">
      <alignment horizontal="centerContinuous" vertical="center" wrapText="1"/>
    </xf>
    <xf numFmtId="10" fontId="3" fillId="0" borderId="0" xfId="3" applyNumberFormat="1" applyFont="1" applyFill="1"/>
    <xf numFmtId="4" fontId="6" fillId="0" borderId="0" xfId="2" applyNumberFormat="1" applyFont="1" applyAlignment="1">
      <alignment horizontal="centerContinuous" vertical="center" wrapText="1"/>
    </xf>
    <xf numFmtId="4" fontId="3" fillId="0" borderId="59" xfId="2" applyNumberFormat="1" applyBorder="1" applyAlignment="1">
      <alignment horizontal="left"/>
    </xf>
    <xf numFmtId="4" fontId="3" fillId="0" borderId="60" xfId="2" applyNumberFormat="1" applyBorder="1" applyAlignment="1">
      <alignment horizontal="centerContinuous"/>
    </xf>
    <xf numFmtId="4" fontId="3" fillId="0" borderId="26" xfId="2" applyNumberFormat="1" applyBorder="1" applyAlignment="1">
      <alignment horizontal="left"/>
    </xf>
    <xf numFmtId="40" fontId="10" fillId="0" borderId="47" xfId="0" applyNumberFormat="1" applyFont="1" applyBorder="1"/>
    <xf numFmtId="4" fontId="10" fillId="0" borderId="47" xfId="2" applyNumberFormat="1" applyFont="1" applyBorder="1"/>
    <xf numFmtId="4" fontId="33" fillId="0" borderId="0" xfId="2" applyNumberFormat="1" applyFont="1"/>
    <xf numFmtId="167" fontId="12" fillId="0" borderId="0" xfId="2" applyNumberFormat="1" applyFont="1"/>
    <xf numFmtId="165" fontId="6" fillId="0" borderId="0" xfId="3" applyNumberFormat="1" applyFont="1" applyFill="1" applyBorder="1"/>
    <xf numFmtId="4" fontId="12" fillId="0" borderId="51" xfId="2" applyNumberFormat="1" applyFont="1" applyBorder="1"/>
    <xf numFmtId="4" fontId="12" fillId="4" borderId="47" xfId="2" applyNumberFormat="1" applyFont="1" applyFill="1" applyBorder="1"/>
    <xf numFmtId="176" fontId="12" fillId="0" borderId="47" xfId="2" applyNumberFormat="1" applyFont="1" applyBorder="1"/>
    <xf numFmtId="10" fontId="12" fillId="0" borderId="47" xfId="9" applyNumberFormat="1" applyFont="1" applyFill="1" applyBorder="1" applyAlignment="1"/>
    <xf numFmtId="165" fontId="9" fillId="0" borderId="26" xfId="9" applyNumberFormat="1" applyFont="1" applyBorder="1"/>
    <xf numFmtId="10" fontId="18" fillId="0" borderId="0" xfId="9" applyNumberFormat="1" applyFont="1" applyBorder="1"/>
    <xf numFmtId="10" fontId="3" fillId="0" borderId="0" xfId="9" applyNumberFormat="1" applyFont="1" applyBorder="1"/>
    <xf numFmtId="4" fontId="3" fillId="0" borderId="0" xfId="2" applyNumberFormat="1" applyAlignment="1">
      <alignment horizontal="center"/>
    </xf>
    <xf numFmtId="9" fontId="3" fillId="0" borderId="0" xfId="9" applyFont="1" applyAlignment="1">
      <alignment horizontal="centerContinuous"/>
    </xf>
    <xf numFmtId="165" fontId="3" fillId="0" borderId="0" xfId="9" applyNumberFormat="1" applyFont="1"/>
    <xf numFmtId="10" fontId="3" fillId="0" borderId="0" xfId="9" applyNumberFormat="1" applyFont="1"/>
    <xf numFmtId="4" fontId="34" fillId="0" borderId="0" xfId="2" applyNumberFormat="1" applyFont="1"/>
    <xf numFmtId="40" fontId="12" fillId="4" borderId="38" xfId="2" applyNumberFormat="1" applyFont="1" applyFill="1" applyBorder="1"/>
    <xf numFmtId="4" fontId="35" fillId="0" borderId="0" xfId="2" applyNumberFormat="1" applyFont="1"/>
    <xf numFmtId="4" fontId="36" fillId="0" borderId="0" xfId="2" applyNumberFormat="1" applyFont="1"/>
    <xf numFmtId="165" fontId="3" fillId="0" borderId="0" xfId="9" applyNumberFormat="1" applyFont="1" applyFill="1"/>
    <xf numFmtId="165" fontId="6" fillId="0" borderId="6" xfId="9" applyNumberFormat="1" applyFont="1" applyFill="1" applyBorder="1" applyAlignment="1">
      <alignment horizontal="centerContinuous" vertical="center" wrapText="1"/>
    </xf>
    <xf numFmtId="165" fontId="6" fillId="0" borderId="5" xfId="9" applyNumberFormat="1" applyFont="1" applyFill="1" applyBorder="1"/>
    <xf numFmtId="10" fontId="3" fillId="0" borderId="0" xfId="9" applyNumberFormat="1" applyFont="1" applyFill="1"/>
    <xf numFmtId="165" fontId="9" fillId="0" borderId="50" xfId="9" applyNumberFormat="1" applyFont="1" applyBorder="1"/>
    <xf numFmtId="10" fontId="9" fillId="0" borderId="50" xfId="9" applyNumberFormat="1" applyFont="1" applyBorder="1"/>
    <xf numFmtId="186" fontId="12" fillId="0" borderId="47" xfId="2" applyNumberFormat="1" applyFont="1" applyBorder="1"/>
    <xf numFmtId="0" fontId="24" fillId="0" borderId="13" xfId="2" applyFont="1" applyBorder="1" applyAlignment="1">
      <alignment horizontal="left"/>
    </xf>
    <xf numFmtId="0" fontId="24" fillId="0" borderId="21" xfId="2" applyFont="1" applyBorder="1" applyAlignment="1">
      <alignment horizontal="center"/>
    </xf>
    <xf numFmtId="0" fontId="24" fillId="0" borderId="51" xfId="2" applyFont="1" applyBorder="1" applyAlignment="1">
      <alignment horizontal="center"/>
    </xf>
    <xf numFmtId="174" fontId="31" fillId="0" borderId="47" xfId="2" applyNumberFormat="1" applyFont="1" applyBorder="1"/>
    <xf numFmtId="40" fontId="31" fillId="0" borderId="51" xfId="2" applyNumberFormat="1" applyFont="1" applyBorder="1"/>
    <xf numFmtId="40" fontId="12" fillId="11" borderId="47" xfId="2" applyNumberFormat="1" applyFont="1" applyFill="1" applyBorder="1"/>
    <xf numFmtId="40" fontId="12" fillId="6" borderId="47" xfId="0" applyNumberFormat="1" applyFont="1" applyFill="1" applyBorder="1"/>
    <xf numFmtId="40" fontId="10" fillId="4" borderId="47" xfId="2" applyNumberFormat="1" applyFont="1" applyFill="1" applyBorder="1"/>
    <xf numFmtId="0" fontId="3" fillId="4" borderId="47" xfId="2" applyFill="1" applyBorder="1" applyAlignment="1">
      <alignment horizontal="center"/>
    </xf>
    <xf numFmtId="40" fontId="12" fillId="4" borderId="47" xfId="0" applyNumberFormat="1" applyFont="1" applyFill="1" applyBorder="1"/>
    <xf numFmtId="172" fontId="12" fillId="4" borderId="47" xfId="0" applyNumberFormat="1" applyFont="1" applyFill="1" applyBorder="1"/>
    <xf numFmtId="40" fontId="12" fillId="4" borderId="51" xfId="2" applyNumberFormat="1" applyFont="1" applyFill="1" applyBorder="1"/>
    <xf numFmtId="165" fontId="9" fillId="4" borderId="50" xfId="2" applyNumberFormat="1" applyFont="1" applyFill="1" applyBorder="1"/>
    <xf numFmtId="10" fontId="9" fillId="4" borderId="50" xfId="2" applyNumberFormat="1" applyFont="1" applyFill="1" applyBorder="1"/>
    <xf numFmtId="4" fontId="9" fillId="4" borderId="21" xfId="2" applyNumberFormat="1" applyFont="1" applyFill="1" applyBorder="1"/>
    <xf numFmtId="168" fontId="9" fillId="4" borderId="21" xfId="2" applyNumberFormat="1" applyFont="1" applyFill="1" applyBorder="1"/>
    <xf numFmtId="166" fontId="9" fillId="4" borderId="21" xfId="2" applyNumberFormat="1" applyFont="1" applyFill="1" applyBorder="1"/>
    <xf numFmtId="0" fontId="9" fillId="4" borderId="21" xfId="2" applyFont="1" applyFill="1" applyBorder="1"/>
    <xf numFmtId="0" fontId="3" fillId="4" borderId="0" xfId="2" applyFill="1"/>
    <xf numFmtId="173" fontId="3" fillId="4" borderId="0" xfId="2" applyNumberFormat="1" applyFill="1"/>
    <xf numFmtId="10" fontId="12" fillId="0" borderId="37" xfId="9" applyNumberFormat="1" applyFont="1" applyBorder="1"/>
    <xf numFmtId="10" fontId="18" fillId="0" borderId="0" xfId="9" applyNumberFormat="1" applyFont="1" applyFill="1" applyBorder="1"/>
    <xf numFmtId="10" fontId="3" fillId="0" borderId="0" xfId="9" applyNumberFormat="1" applyFont="1" applyFill="1" applyBorder="1"/>
    <xf numFmtId="40" fontId="12" fillId="0" borderId="0" xfId="0" applyNumberFormat="1" applyFont="1"/>
    <xf numFmtId="172" fontId="12" fillId="0" borderId="0" xfId="0" applyNumberFormat="1" applyFont="1"/>
    <xf numFmtId="0" fontId="37" fillId="0" borderId="0" xfId="0" applyFont="1" applyAlignment="1">
      <alignment horizontal="right" wrapText="1"/>
    </xf>
    <xf numFmtId="165" fontId="9" fillId="0" borderId="0" xfId="2" applyNumberFormat="1" applyFont="1"/>
    <xf numFmtId="0" fontId="21" fillId="0" borderId="12" xfId="2" quotePrefix="1" applyFont="1" applyBorder="1"/>
    <xf numFmtId="0" fontId="21" fillId="0" borderId="21" xfId="2" applyFont="1" applyBorder="1" applyAlignment="1">
      <alignment horizontal="center"/>
    </xf>
    <xf numFmtId="0" fontId="21" fillId="0" borderId="51" xfId="2" applyFont="1" applyBorder="1" applyAlignment="1">
      <alignment horizontal="center"/>
    </xf>
    <xf numFmtId="40" fontId="20" fillId="0" borderId="47" xfId="0" applyNumberFormat="1" applyFont="1" applyBorder="1"/>
    <xf numFmtId="172" fontId="20" fillId="0" borderId="47" xfId="0" applyNumberFormat="1" applyFont="1" applyBorder="1"/>
    <xf numFmtId="40" fontId="20" fillId="0" borderId="47" xfId="2" applyNumberFormat="1" applyFont="1" applyBorder="1"/>
    <xf numFmtId="174" fontId="20" fillId="0" borderId="47" xfId="2" applyNumberFormat="1" applyFont="1" applyBorder="1"/>
    <xf numFmtId="40" fontId="20" fillId="0" borderId="51" xfId="2" applyNumberFormat="1" applyFont="1" applyBorder="1"/>
    <xf numFmtId="165" fontId="38" fillId="0" borderId="50" xfId="2" applyNumberFormat="1" applyFont="1" applyBorder="1"/>
    <xf numFmtId="10" fontId="38" fillId="0" borderId="50" xfId="2" applyNumberFormat="1" applyFont="1" applyBorder="1"/>
    <xf numFmtId="176" fontId="12" fillId="4" borderId="47" xfId="0" applyNumberFormat="1" applyFont="1" applyFill="1" applyBorder="1"/>
    <xf numFmtId="40" fontId="10" fillId="4" borderId="48" xfId="2" applyNumberFormat="1" applyFont="1" applyFill="1" applyBorder="1"/>
    <xf numFmtId="167" fontId="12" fillId="0" borderId="44" xfId="2" applyNumberFormat="1" applyFont="1" applyBorder="1"/>
    <xf numFmtId="167" fontId="12" fillId="0" borderId="62" xfId="2" applyNumberFormat="1" applyFont="1" applyBorder="1"/>
    <xf numFmtId="167" fontId="12" fillId="0" borderId="48" xfId="2" applyNumberFormat="1" applyFont="1" applyBorder="1"/>
    <xf numFmtId="4" fontId="5" fillId="6" borderId="0" xfId="2" quotePrefix="1" applyNumberFormat="1" applyFont="1" applyFill="1" applyAlignment="1">
      <alignment horizontal="right"/>
    </xf>
    <xf numFmtId="40" fontId="31" fillId="4" borderId="47" xfId="2" applyNumberFormat="1" applyFont="1" applyFill="1" applyBorder="1"/>
    <xf numFmtId="40" fontId="10" fillId="6" borderId="30" xfId="2" applyNumberFormat="1" applyFont="1" applyFill="1" applyBorder="1"/>
    <xf numFmtId="40" fontId="31" fillId="0" borderId="19" xfId="2" applyNumberFormat="1" applyFont="1" applyBorder="1"/>
    <xf numFmtId="40" fontId="12" fillId="0" borderId="48" xfId="2" applyNumberFormat="1" applyFont="1" applyBorder="1" applyAlignment="1">
      <alignment horizontal="right"/>
    </xf>
    <xf numFmtId="172" fontId="12" fillId="6" borderId="32" xfId="0" applyNumberFormat="1" applyFont="1" applyFill="1" applyBorder="1"/>
    <xf numFmtId="172" fontId="12" fillId="6" borderId="44" xfId="0" applyNumberFormat="1" applyFont="1" applyFill="1" applyBorder="1"/>
    <xf numFmtId="0" fontId="3" fillId="0" borderId="25" xfId="2" applyBorder="1"/>
    <xf numFmtId="40" fontId="10" fillId="11" borderId="47" xfId="2" applyNumberFormat="1" applyFont="1" applyFill="1" applyBorder="1"/>
    <xf numFmtId="40" fontId="41" fillId="4" borderId="47" xfId="2" applyNumberFormat="1" applyFont="1" applyFill="1" applyBorder="1"/>
    <xf numFmtId="40" fontId="12" fillId="0" borderId="54" xfId="2" applyNumberFormat="1" applyFont="1" applyBorder="1"/>
    <xf numFmtId="167" fontId="12" fillId="0" borderId="50" xfId="2" applyNumberFormat="1" applyFont="1" applyBorder="1"/>
    <xf numFmtId="167" fontId="12" fillId="0" borderId="56" xfId="2" applyNumberFormat="1" applyFont="1" applyBorder="1"/>
    <xf numFmtId="167" fontId="12" fillId="0" borderId="55" xfId="2" applyNumberFormat="1" applyFont="1" applyBorder="1"/>
    <xf numFmtId="40" fontId="12" fillId="0" borderId="29" xfId="2" applyNumberFormat="1" applyFont="1" applyBorder="1"/>
    <xf numFmtId="4" fontId="3" fillId="6" borderId="2" xfId="2" applyNumberFormat="1" applyFill="1" applyBorder="1"/>
    <xf numFmtId="4" fontId="5" fillId="6" borderId="2" xfId="2" applyNumberFormat="1" applyFont="1" applyFill="1" applyBorder="1" applyAlignment="1">
      <alignment horizontal="center"/>
    </xf>
    <xf numFmtId="4" fontId="6" fillId="6" borderId="1" xfId="2" applyNumberFormat="1" applyFont="1" applyFill="1" applyBorder="1" applyAlignment="1">
      <alignment horizontal="center" vertical="center" wrapText="1"/>
    </xf>
    <xf numFmtId="4" fontId="6" fillId="6" borderId="5" xfId="2" applyNumberFormat="1" applyFont="1" applyFill="1" applyBorder="1" applyAlignment="1">
      <alignment horizontal="center" vertical="center" wrapText="1"/>
    </xf>
    <xf numFmtId="4" fontId="6" fillId="6" borderId="5" xfId="2" applyNumberFormat="1" applyFont="1" applyFill="1" applyBorder="1" applyAlignment="1">
      <alignment horizontal="center" vertical="center"/>
    </xf>
    <xf numFmtId="4" fontId="6" fillId="6" borderId="6" xfId="2" applyNumberFormat="1" applyFont="1" applyFill="1" applyBorder="1" applyAlignment="1">
      <alignment horizontal="center" vertical="center"/>
    </xf>
    <xf numFmtId="4" fontId="10" fillId="6" borderId="1" xfId="2" applyNumberFormat="1" applyFont="1" applyFill="1" applyBorder="1" applyAlignment="1">
      <alignment horizontal="centerContinuous"/>
    </xf>
    <xf numFmtId="165" fontId="6" fillId="6" borderId="6" xfId="9" applyNumberFormat="1" applyFont="1" applyFill="1" applyBorder="1" applyAlignment="1">
      <alignment horizontal="centerContinuous" vertical="center" wrapText="1"/>
    </xf>
    <xf numFmtId="4" fontId="3" fillId="6" borderId="13" xfId="2" applyNumberFormat="1" applyFill="1" applyBorder="1" applyAlignment="1">
      <alignment horizontal="left"/>
    </xf>
    <xf numFmtId="4" fontId="3" fillId="6" borderId="21" xfId="2" applyNumberFormat="1" applyFill="1" applyBorder="1" applyAlignment="1">
      <alignment horizontal="center"/>
    </xf>
    <xf numFmtId="4" fontId="3" fillId="6" borderId="61" xfId="2" applyNumberFormat="1" applyFill="1" applyBorder="1" applyAlignment="1">
      <alignment horizontal="center"/>
    </xf>
    <xf numFmtId="10" fontId="12" fillId="6" borderId="47" xfId="9" applyNumberFormat="1" applyFont="1" applyFill="1" applyBorder="1" applyAlignment="1"/>
    <xf numFmtId="4" fontId="12" fillId="6" borderId="47" xfId="0" applyNumberFormat="1" applyFont="1" applyFill="1" applyBorder="1"/>
    <xf numFmtId="40" fontId="12" fillId="6" borderId="51" xfId="2" applyNumberFormat="1" applyFont="1" applyFill="1" applyBorder="1"/>
    <xf numFmtId="165" fontId="9" fillId="6" borderId="50" xfId="2" applyNumberFormat="1" applyFont="1" applyFill="1" applyBorder="1"/>
    <xf numFmtId="4" fontId="3" fillId="6" borderId="20" xfId="2" applyNumberFormat="1" applyFill="1" applyBorder="1" applyAlignment="1">
      <alignment horizontal="left"/>
    </xf>
    <xf numFmtId="4" fontId="3" fillId="6" borderId="26" xfId="2" applyNumberFormat="1" applyFill="1" applyBorder="1" applyAlignment="1">
      <alignment horizontal="center"/>
    </xf>
    <xf numFmtId="4" fontId="3" fillId="6" borderId="10" xfId="2" applyNumberFormat="1" applyFill="1" applyBorder="1" applyAlignment="1">
      <alignment horizontal="centerContinuous"/>
    </xf>
    <xf numFmtId="40" fontId="12" fillId="6" borderId="48" xfId="2" applyNumberFormat="1" applyFont="1" applyFill="1" applyBorder="1"/>
    <xf numFmtId="4" fontId="3" fillId="6" borderId="31" xfId="2" applyNumberFormat="1" applyFill="1" applyBorder="1"/>
    <xf numFmtId="4" fontId="12" fillId="6" borderId="1" xfId="2" applyNumberFormat="1" applyFont="1" applyFill="1" applyBorder="1"/>
    <xf numFmtId="4" fontId="12" fillId="6" borderId="2" xfId="2" applyNumberFormat="1" applyFont="1" applyFill="1" applyBorder="1"/>
    <xf numFmtId="4" fontId="12" fillId="6" borderId="6" xfId="2" applyNumberFormat="1" applyFont="1" applyFill="1" applyBorder="1"/>
    <xf numFmtId="4" fontId="10" fillId="6" borderId="4" xfId="2" applyNumberFormat="1" applyFont="1" applyFill="1" applyBorder="1"/>
    <xf numFmtId="167" fontId="12" fillId="6" borderId="5" xfId="2" applyNumberFormat="1" applyFont="1" applyFill="1" applyBorder="1"/>
    <xf numFmtId="4" fontId="12" fillId="6" borderId="5" xfId="2" applyNumberFormat="1" applyFont="1" applyFill="1" applyBorder="1"/>
    <xf numFmtId="4" fontId="10" fillId="6" borderId="5" xfId="2" applyNumberFormat="1" applyFont="1" applyFill="1" applyBorder="1"/>
    <xf numFmtId="165" fontId="6" fillId="6" borderId="5" xfId="9" applyNumberFormat="1" applyFont="1" applyFill="1" applyBorder="1"/>
    <xf numFmtId="4" fontId="37" fillId="13" borderId="65" xfId="0" applyNumberFormat="1" applyFont="1" applyFill="1" applyBorder="1" applyAlignment="1">
      <alignment horizontal="right" wrapText="1"/>
    </xf>
    <xf numFmtId="4" fontId="37" fillId="13" borderId="0" xfId="0" applyNumberFormat="1" applyFont="1" applyFill="1" applyAlignment="1">
      <alignment horizontal="right" wrapText="1"/>
    </xf>
    <xf numFmtId="176" fontId="12" fillId="0" borderId="44" xfId="2" applyNumberFormat="1" applyFont="1" applyBorder="1"/>
    <xf numFmtId="167" fontId="12" fillId="0" borderId="6" xfId="2" applyNumberFormat="1" applyFont="1" applyBorder="1"/>
    <xf numFmtId="40" fontId="10" fillId="4" borderId="5" xfId="2" applyNumberFormat="1" applyFont="1" applyFill="1" applyBorder="1"/>
    <xf numFmtId="187" fontId="5" fillId="0" borderId="0" xfId="2" applyNumberFormat="1" applyFont="1"/>
    <xf numFmtId="176" fontId="12" fillId="0" borderId="32" xfId="0" applyNumberFormat="1" applyFont="1" applyBorder="1"/>
    <xf numFmtId="176" fontId="12" fillId="0" borderId="35" xfId="0" applyNumberFormat="1" applyFont="1" applyBorder="1"/>
    <xf numFmtId="176" fontId="12" fillId="0" borderId="38" xfId="0" applyNumberFormat="1" applyFont="1" applyBorder="1"/>
    <xf numFmtId="40" fontId="41" fillId="0" borderId="47" xfId="2" applyNumberFormat="1" applyFont="1" applyBorder="1"/>
    <xf numFmtId="40" fontId="10" fillId="4" borderId="53" xfId="2" applyNumberFormat="1" applyFont="1" applyFill="1" applyBorder="1"/>
    <xf numFmtId="0" fontId="6" fillId="4" borderId="0" xfId="2" applyFont="1" applyFill="1"/>
    <xf numFmtId="17" fontId="3" fillId="4" borderId="0" xfId="2" applyNumberFormat="1" applyFill="1"/>
    <xf numFmtId="49" fontId="3" fillId="4" borderId="0" xfId="2" applyNumberFormat="1" applyFill="1" applyAlignment="1">
      <alignment horizontal="right"/>
    </xf>
    <xf numFmtId="0" fontId="3" fillId="4" borderId="0" xfId="2" applyFill="1" applyAlignment="1">
      <alignment horizontal="right"/>
    </xf>
    <xf numFmtId="0" fontId="9" fillId="4" borderId="0" xfId="2" applyFont="1" applyFill="1"/>
    <xf numFmtId="3" fontId="9" fillId="4" borderId="0" xfId="2" quotePrefix="1" applyNumberFormat="1" applyFont="1" applyFill="1"/>
    <xf numFmtId="0" fontId="5" fillId="4" borderId="0" xfId="2" applyFont="1" applyFill="1" applyAlignment="1">
      <alignment horizontal="centerContinuous" vertical="center"/>
    </xf>
    <xf numFmtId="0" fontId="10" fillId="4" borderId="0" xfId="2" applyFont="1" applyFill="1" applyAlignment="1">
      <alignment horizontal="centerContinuous" vertical="center"/>
    </xf>
    <xf numFmtId="4" fontId="10" fillId="4" borderId="0" xfId="2" applyNumberFormat="1" applyFont="1" applyFill="1" applyAlignment="1">
      <alignment horizontal="centerContinuous" vertical="center"/>
    </xf>
    <xf numFmtId="4" fontId="3" fillId="4" borderId="0" xfId="2" applyNumberFormat="1" applyFill="1"/>
    <xf numFmtId="4" fontId="3" fillId="4" borderId="0" xfId="2" applyNumberFormat="1" applyFill="1" applyAlignment="1">
      <alignment horizontal="right"/>
    </xf>
    <xf numFmtId="17" fontId="3" fillId="4" borderId="0" xfId="2" applyNumberFormat="1" applyFill="1" applyAlignment="1">
      <alignment horizontal="right"/>
    </xf>
    <xf numFmtId="0" fontId="6" fillId="4" borderId="27" xfId="2" applyFont="1" applyFill="1" applyBorder="1" applyAlignment="1">
      <alignment horizontal="centerContinuous" vertical="center"/>
    </xf>
    <xf numFmtId="0" fontId="6" fillId="4" borderId="28" xfId="2" applyFont="1" applyFill="1" applyBorder="1" applyAlignment="1">
      <alignment horizontal="centerContinuous" vertical="center"/>
    </xf>
    <xf numFmtId="0" fontId="6" fillId="4" borderId="27" xfId="2" applyFont="1" applyFill="1" applyBorder="1" applyAlignment="1">
      <alignment horizontal="centerContinuous" vertical="center" wrapText="1"/>
    </xf>
    <xf numFmtId="0" fontId="6" fillId="4" borderId="28" xfId="2" applyFont="1" applyFill="1" applyBorder="1" applyAlignment="1">
      <alignment horizontal="centerContinuous" vertical="center" wrapText="1"/>
    </xf>
    <xf numFmtId="0" fontId="6" fillId="4" borderId="1" xfId="2" applyFont="1" applyFill="1" applyBorder="1" applyAlignment="1">
      <alignment horizontal="centerContinuous" vertical="center" wrapText="1"/>
    </xf>
    <xf numFmtId="0" fontId="6" fillId="4" borderId="2" xfId="2" applyFont="1" applyFill="1" applyBorder="1" applyAlignment="1">
      <alignment horizontal="centerContinuous" vertical="center" wrapText="1"/>
    </xf>
    <xf numFmtId="0" fontId="6" fillId="4" borderId="6" xfId="2" applyFont="1" applyFill="1" applyBorder="1" applyAlignment="1">
      <alignment horizontal="centerContinuous" vertical="center" wrapText="1"/>
    </xf>
    <xf numFmtId="0" fontId="5" fillId="4" borderId="1" xfId="2" applyFont="1" applyFill="1" applyBorder="1" applyAlignment="1">
      <alignment horizontal="centerContinuous" vertical="center"/>
    </xf>
    <xf numFmtId="0" fontId="6" fillId="4" borderId="2" xfId="2" applyFont="1" applyFill="1" applyBorder="1" applyAlignment="1">
      <alignment horizontal="centerContinuous" vertical="center"/>
    </xf>
    <xf numFmtId="0" fontId="6" fillId="4" borderId="6" xfId="2" applyFont="1" applyFill="1" applyBorder="1" applyAlignment="1">
      <alignment horizontal="centerContinuous" vertical="center"/>
    </xf>
    <xf numFmtId="0" fontId="5" fillId="4" borderId="5" xfId="2" applyFont="1" applyFill="1" applyBorder="1" applyAlignment="1">
      <alignment horizontal="centerContinuous" vertical="center"/>
    </xf>
    <xf numFmtId="0" fontId="6" fillId="4" borderId="5" xfId="2" applyFont="1" applyFill="1" applyBorder="1" applyAlignment="1">
      <alignment horizontal="centerContinuous" vertical="center"/>
    </xf>
    <xf numFmtId="0" fontId="6" fillId="4" borderId="1" xfId="2" applyFont="1" applyFill="1" applyBorder="1" applyAlignment="1">
      <alignment horizontal="centerContinuous" vertical="center"/>
    </xf>
    <xf numFmtId="0" fontId="6" fillId="4" borderId="19" xfId="2" applyFont="1" applyFill="1" applyBorder="1" applyAlignment="1">
      <alignment horizontal="center" vertical="center"/>
    </xf>
    <xf numFmtId="0" fontId="6" fillId="4" borderId="3" xfId="2" quotePrefix="1" applyFont="1" applyFill="1" applyBorder="1" applyAlignment="1">
      <alignment horizontal="left" vertical="center"/>
    </xf>
    <xf numFmtId="0" fontId="9" fillId="4" borderId="4" xfId="2" applyFont="1" applyFill="1" applyBorder="1"/>
    <xf numFmtId="0" fontId="6" fillId="4" borderId="1" xfId="2" applyFont="1" applyFill="1" applyBorder="1" applyAlignment="1">
      <alignment horizontal="center" vertical="center" wrapText="1"/>
    </xf>
    <xf numFmtId="0" fontId="6" fillId="4" borderId="5" xfId="2" applyFont="1" applyFill="1" applyBorder="1" applyAlignment="1">
      <alignment horizontal="center" vertical="center" wrapText="1"/>
    </xf>
    <xf numFmtId="0" fontId="6" fillId="4" borderId="5" xfId="2" applyFont="1" applyFill="1" applyBorder="1" applyAlignment="1">
      <alignment horizontal="center" vertical="center"/>
    </xf>
    <xf numFmtId="0" fontId="6" fillId="4" borderId="6" xfId="2" applyFont="1" applyFill="1" applyBorder="1" applyAlignment="1">
      <alignment horizontal="center" vertical="center"/>
    </xf>
    <xf numFmtId="0" fontId="6" fillId="4" borderId="5" xfId="2" applyFont="1" applyFill="1" applyBorder="1" applyAlignment="1">
      <alignment horizontal="center"/>
    </xf>
    <xf numFmtId="0" fontId="6" fillId="4" borderId="29" xfId="2" applyFont="1" applyFill="1" applyBorder="1" applyAlignment="1">
      <alignment horizontal="center" vertical="center"/>
    </xf>
    <xf numFmtId="0" fontId="5" fillId="4" borderId="7" xfId="2" applyFont="1" applyFill="1" applyBorder="1"/>
    <xf numFmtId="0" fontId="3" fillId="4" borderId="8" xfId="2" applyFill="1" applyBorder="1"/>
    <xf numFmtId="0" fontId="5" fillId="4" borderId="25" xfId="2" applyFont="1" applyFill="1" applyBorder="1"/>
    <xf numFmtId="0" fontId="5" fillId="4" borderId="8" xfId="2" applyFont="1" applyFill="1" applyBorder="1"/>
    <xf numFmtId="0" fontId="12" fillId="4" borderId="11" xfId="2" applyFont="1" applyFill="1" applyBorder="1"/>
    <xf numFmtId="0" fontId="12" fillId="4" borderId="18" xfId="2" applyFont="1" applyFill="1" applyBorder="1"/>
    <xf numFmtId="0" fontId="12" fillId="4" borderId="8" xfId="2" applyFont="1" applyFill="1" applyBorder="1"/>
    <xf numFmtId="0" fontId="12" fillId="4" borderId="7" xfId="2" applyFont="1" applyFill="1" applyBorder="1"/>
    <xf numFmtId="0" fontId="10" fillId="4" borderId="7" xfId="2" applyFont="1" applyFill="1" applyBorder="1" applyAlignment="1">
      <alignment horizontal="centerContinuous" vertical="center" wrapText="1"/>
    </xf>
    <xf numFmtId="0" fontId="6" fillId="4" borderId="18" xfId="2" applyFont="1" applyFill="1" applyBorder="1" applyAlignment="1">
      <alignment horizontal="centerContinuous" vertical="center" wrapText="1"/>
    </xf>
    <xf numFmtId="0" fontId="11" fillId="4" borderId="5" xfId="2" applyFont="1" applyFill="1" applyBorder="1" applyAlignment="1">
      <alignment horizontal="center" vertical="center"/>
    </xf>
    <xf numFmtId="0" fontId="11" fillId="4" borderId="1" xfId="2" applyFont="1" applyFill="1" applyBorder="1" applyAlignment="1">
      <alignment horizontal="center" vertical="center"/>
    </xf>
    <xf numFmtId="0" fontId="6" fillId="4" borderId="30" xfId="2" applyFont="1" applyFill="1" applyBorder="1" applyAlignment="1">
      <alignment horizontal="center" vertical="center"/>
    </xf>
    <xf numFmtId="174" fontId="12" fillId="4" borderId="47" xfId="2" applyNumberFormat="1" applyFont="1" applyFill="1" applyBorder="1"/>
    <xf numFmtId="4" fontId="9" fillId="4" borderId="11" xfId="2" applyNumberFormat="1" applyFont="1" applyFill="1" applyBorder="1"/>
    <xf numFmtId="168" fontId="9" fillId="4" borderId="11" xfId="2" applyNumberFormat="1" applyFont="1" applyFill="1" applyBorder="1"/>
    <xf numFmtId="166" fontId="9" fillId="4" borderId="11" xfId="2" applyNumberFormat="1" applyFont="1" applyFill="1" applyBorder="1"/>
    <xf numFmtId="0" fontId="9" fillId="4" borderId="24" xfId="2" applyFont="1" applyFill="1" applyBorder="1"/>
    <xf numFmtId="0" fontId="3" fillId="4" borderId="51" xfId="2" quotePrefix="1" applyFill="1" applyBorder="1"/>
    <xf numFmtId="0" fontId="3" fillId="4" borderId="52" xfId="2" applyFill="1" applyBorder="1" applyAlignment="1">
      <alignment horizontal="center"/>
    </xf>
    <xf numFmtId="172" fontId="12" fillId="4" borderId="47" xfId="2" applyNumberFormat="1" applyFont="1" applyFill="1" applyBorder="1"/>
    <xf numFmtId="0" fontId="3" fillId="4" borderId="14" xfId="2" quotePrefix="1" applyFill="1" applyBorder="1"/>
    <xf numFmtId="165" fontId="9" fillId="4" borderId="56" xfId="2" applyNumberFormat="1" applyFont="1" applyFill="1" applyBorder="1"/>
    <xf numFmtId="0" fontId="3" fillId="4" borderId="0" xfId="2" applyFill="1" applyAlignment="1">
      <alignment horizontal="center"/>
    </xf>
    <xf numFmtId="0" fontId="3" fillId="4" borderId="15" xfId="2" applyFill="1" applyBorder="1" applyAlignment="1">
      <alignment horizontal="center"/>
    </xf>
    <xf numFmtId="186" fontId="12" fillId="4" borderId="47" xfId="2" applyNumberFormat="1" applyFont="1" applyFill="1" applyBorder="1"/>
    <xf numFmtId="40" fontId="3" fillId="4" borderId="0" xfId="2" applyNumberFormat="1" applyFill="1"/>
    <xf numFmtId="0" fontId="3" fillId="4" borderId="9" xfId="2" applyFill="1" applyBorder="1"/>
    <xf numFmtId="0" fontId="10" fillId="4" borderId="10" xfId="2" applyFont="1" applyFill="1" applyBorder="1" applyAlignment="1">
      <alignment horizontal="right"/>
    </xf>
    <xf numFmtId="0" fontId="10" fillId="4" borderId="10" xfId="2" applyFont="1" applyFill="1" applyBorder="1"/>
    <xf numFmtId="0" fontId="3" fillId="4" borderId="9" xfId="2" applyFill="1" applyBorder="1" applyAlignment="1">
      <alignment horizontal="center"/>
    </xf>
    <xf numFmtId="0" fontId="3" fillId="4" borderId="20" xfId="2" applyFill="1" applyBorder="1" applyAlignment="1">
      <alignment horizontal="center"/>
    </xf>
    <xf numFmtId="0" fontId="3" fillId="4" borderId="48" xfId="2" applyFill="1" applyBorder="1" applyAlignment="1">
      <alignment horizontal="center"/>
    </xf>
    <xf numFmtId="172" fontId="12" fillId="4" borderId="48" xfId="2" applyNumberFormat="1" applyFont="1" applyFill="1" applyBorder="1"/>
    <xf numFmtId="165" fontId="9" fillId="4" borderId="54" xfId="2" applyNumberFormat="1" applyFont="1" applyFill="1" applyBorder="1"/>
    <xf numFmtId="168" fontId="9" fillId="4" borderId="54" xfId="2" applyNumberFormat="1" applyFont="1" applyFill="1" applyBorder="1"/>
    <xf numFmtId="4" fontId="9" fillId="4" borderId="26" xfId="2" applyNumberFormat="1" applyFont="1" applyFill="1" applyBorder="1"/>
    <xf numFmtId="168" fontId="9" fillId="4" borderId="26" xfId="2" applyNumberFormat="1" applyFont="1" applyFill="1" applyBorder="1"/>
    <xf numFmtId="166" fontId="9" fillId="4" borderId="26" xfId="2" applyNumberFormat="1" applyFont="1" applyFill="1" applyBorder="1"/>
    <xf numFmtId="4" fontId="9" fillId="4" borderId="23" xfId="2" applyNumberFormat="1" applyFont="1" applyFill="1" applyBorder="1"/>
    <xf numFmtId="181" fontId="3" fillId="4" borderId="0" xfId="2" applyNumberFormat="1" applyFill="1"/>
    <xf numFmtId="0" fontId="3" fillId="4" borderId="16" xfId="2" applyFill="1" applyBorder="1"/>
    <xf numFmtId="0" fontId="3" fillId="4" borderId="16" xfId="2" applyFill="1" applyBorder="1" applyAlignment="1">
      <alignment horizontal="center"/>
    </xf>
    <xf numFmtId="40" fontId="12" fillId="4" borderId="0" xfId="2" applyNumberFormat="1" applyFont="1" applyFill="1"/>
    <xf numFmtId="172" fontId="12" fillId="4" borderId="0" xfId="2" applyNumberFormat="1" applyFont="1" applyFill="1"/>
    <xf numFmtId="40" fontId="10" fillId="4" borderId="0" xfId="2" applyNumberFormat="1" applyFont="1" applyFill="1"/>
    <xf numFmtId="40" fontId="10" fillId="4" borderId="29" xfId="2" applyNumberFormat="1" applyFont="1" applyFill="1" applyBorder="1"/>
    <xf numFmtId="165" fontId="9" fillId="4" borderId="17" xfId="2" applyNumberFormat="1" applyFont="1" applyFill="1" applyBorder="1"/>
    <xf numFmtId="40" fontId="10" fillId="4" borderId="30" xfId="2" applyNumberFormat="1" applyFont="1" applyFill="1" applyBorder="1"/>
    <xf numFmtId="165" fontId="9" fillId="4" borderId="4" xfId="2" applyNumberFormat="1" applyFont="1" applyFill="1" applyBorder="1"/>
    <xf numFmtId="4" fontId="9" fillId="4" borderId="29" xfId="2" applyNumberFormat="1" applyFont="1" applyFill="1" applyBorder="1"/>
    <xf numFmtId="168" fontId="9" fillId="4" borderId="29" xfId="2" applyNumberFormat="1" applyFont="1" applyFill="1" applyBorder="1"/>
    <xf numFmtId="166" fontId="9" fillId="4" borderId="29" xfId="2" applyNumberFormat="1" applyFont="1" applyFill="1" applyBorder="1"/>
    <xf numFmtId="0" fontId="5" fillId="4" borderId="25" xfId="2" applyFont="1" applyFill="1" applyBorder="1" applyAlignment="1">
      <alignment horizontal="center"/>
    </xf>
    <xf numFmtId="0" fontId="5" fillId="4" borderId="8" xfId="2" applyFont="1" applyFill="1" applyBorder="1" applyAlignment="1">
      <alignment horizontal="center"/>
    </xf>
    <xf numFmtId="0" fontId="5" fillId="4" borderId="7" xfId="2" applyFont="1" applyFill="1" applyBorder="1" applyAlignment="1">
      <alignment horizontal="center"/>
    </xf>
    <xf numFmtId="172" fontId="12" fillId="4" borderId="44" xfId="2" applyNumberFormat="1" applyFont="1" applyFill="1" applyBorder="1"/>
    <xf numFmtId="40" fontId="12" fillId="4" borderId="49" xfId="2" applyNumberFormat="1" applyFont="1" applyFill="1" applyBorder="1"/>
    <xf numFmtId="40" fontId="10" fillId="4" borderId="45" xfId="2" applyNumberFormat="1" applyFont="1" applyFill="1" applyBorder="1" applyAlignment="1">
      <alignment horizontal="centerContinuous"/>
    </xf>
    <xf numFmtId="0" fontId="6" fillId="4" borderId="46" xfId="2" applyFont="1" applyFill="1" applyBorder="1" applyAlignment="1">
      <alignment horizontal="centerContinuous" vertical="center" wrapText="1"/>
    </xf>
    <xf numFmtId="40" fontId="12" fillId="4" borderId="57" xfId="2" applyNumberFormat="1" applyFont="1" applyFill="1" applyBorder="1"/>
    <xf numFmtId="165" fontId="9" fillId="4" borderId="58" xfId="2" applyNumberFormat="1" applyFont="1" applyFill="1" applyBorder="1"/>
    <xf numFmtId="168" fontId="9" fillId="4" borderId="24" xfId="2" applyNumberFormat="1" applyFont="1" applyFill="1" applyBorder="1"/>
    <xf numFmtId="166" fontId="9" fillId="4" borderId="24" xfId="2" applyNumberFormat="1" applyFont="1" applyFill="1" applyBorder="1"/>
    <xf numFmtId="0" fontId="9" fillId="4" borderId="11" xfId="2" applyFont="1" applyFill="1" applyBorder="1"/>
    <xf numFmtId="0" fontId="3" fillId="4" borderId="12" xfId="2" applyFill="1" applyBorder="1" applyAlignment="1">
      <alignment horizontal="center"/>
    </xf>
    <xf numFmtId="40" fontId="12" fillId="4" borderId="52" xfId="2" applyNumberFormat="1" applyFont="1" applyFill="1" applyBorder="1"/>
    <xf numFmtId="165" fontId="9" fillId="4" borderId="47" xfId="2" applyNumberFormat="1" applyFont="1" applyFill="1" applyBorder="1"/>
    <xf numFmtId="0" fontId="5" fillId="4" borderId="0" xfId="2" applyFont="1" applyFill="1" applyAlignment="1">
      <alignment horizontal="center"/>
    </xf>
    <xf numFmtId="168" fontId="9" fillId="4" borderId="23" xfId="2" applyNumberFormat="1" applyFont="1" applyFill="1" applyBorder="1"/>
    <xf numFmtId="166" fontId="9" fillId="4" borderId="23" xfId="2" applyNumberFormat="1" applyFont="1" applyFill="1" applyBorder="1"/>
    <xf numFmtId="0" fontId="5" fillId="4" borderId="45" xfId="2" applyFont="1" applyFill="1" applyBorder="1" applyAlignment="1">
      <alignment horizontal="center"/>
    </xf>
    <xf numFmtId="40" fontId="10" fillId="4" borderId="49" xfId="2" applyNumberFormat="1" applyFont="1" applyFill="1" applyBorder="1" applyAlignment="1">
      <alignment horizontal="centerContinuous"/>
    </xf>
    <xf numFmtId="0" fontId="3" fillId="4" borderId="51" xfId="2" applyFill="1" applyBorder="1" applyAlignment="1">
      <alignment horizontal="center"/>
    </xf>
    <xf numFmtId="0" fontId="3" fillId="4" borderId="9" xfId="2" quotePrefix="1" applyFill="1" applyBorder="1"/>
    <xf numFmtId="0" fontId="3" fillId="4" borderId="10" xfId="2" applyFill="1" applyBorder="1"/>
    <xf numFmtId="0" fontId="9" fillId="4" borderId="53" xfId="2" applyFont="1" applyFill="1" applyBorder="1"/>
    <xf numFmtId="40" fontId="9" fillId="4" borderId="55" xfId="2" applyNumberFormat="1" applyFont="1" applyFill="1" applyBorder="1"/>
    <xf numFmtId="172" fontId="9" fillId="4" borderId="55" xfId="2" applyNumberFormat="1" applyFont="1" applyFill="1" applyBorder="1"/>
    <xf numFmtId="172" fontId="12" fillId="4" borderId="55" xfId="2" applyNumberFormat="1" applyFont="1" applyFill="1" applyBorder="1"/>
    <xf numFmtId="40" fontId="12" fillId="4" borderId="55" xfId="2" applyNumberFormat="1" applyFont="1" applyFill="1" applyBorder="1"/>
    <xf numFmtId="165" fontId="6" fillId="4" borderId="54" xfId="2" applyNumberFormat="1" applyFont="1" applyFill="1" applyBorder="1"/>
    <xf numFmtId="0" fontId="3" fillId="4" borderId="3" xfId="2" applyFill="1" applyBorder="1"/>
    <xf numFmtId="0" fontId="10" fillId="4" borderId="31" xfId="2" applyFont="1" applyFill="1" applyBorder="1"/>
    <xf numFmtId="0" fontId="3" fillId="4" borderId="31" xfId="2" applyFill="1" applyBorder="1"/>
    <xf numFmtId="40" fontId="12" fillId="4" borderId="31" xfId="2" applyNumberFormat="1" applyFont="1" applyFill="1" applyBorder="1"/>
    <xf numFmtId="172" fontId="12" fillId="4" borderId="31" xfId="2" applyNumberFormat="1" applyFont="1" applyFill="1" applyBorder="1"/>
    <xf numFmtId="165" fontId="9" fillId="4" borderId="6" xfId="2" applyNumberFormat="1" applyFont="1" applyFill="1" applyBorder="1"/>
    <xf numFmtId="4" fontId="9" fillId="4" borderId="30" xfId="2" applyNumberFormat="1" applyFont="1" applyFill="1" applyBorder="1"/>
    <xf numFmtId="168" fontId="9" fillId="4" borderId="30" xfId="2" applyNumberFormat="1" applyFont="1" applyFill="1" applyBorder="1"/>
    <xf numFmtId="166" fontId="9" fillId="4" borderId="30" xfId="2" applyNumberFormat="1" applyFont="1" applyFill="1" applyBorder="1"/>
    <xf numFmtId="40" fontId="12" fillId="4" borderId="11" xfId="2" applyNumberFormat="1" applyFont="1" applyFill="1" applyBorder="1"/>
    <xf numFmtId="40" fontId="12" fillId="4" borderId="18" xfId="2" applyNumberFormat="1" applyFont="1" applyFill="1" applyBorder="1"/>
    <xf numFmtId="172" fontId="12" fillId="4" borderId="8" xfId="2" applyNumberFormat="1" applyFont="1" applyFill="1" applyBorder="1"/>
    <xf numFmtId="172" fontId="12" fillId="4" borderId="11" xfId="2" applyNumberFormat="1" applyFont="1" applyFill="1" applyBorder="1"/>
    <xf numFmtId="40" fontId="10" fillId="4" borderId="7" xfId="2" applyNumberFormat="1" applyFont="1" applyFill="1" applyBorder="1" applyAlignment="1">
      <alignment horizontal="centerContinuous"/>
    </xf>
    <xf numFmtId="40" fontId="10" fillId="4" borderId="8" xfId="2" applyNumberFormat="1" applyFont="1" applyFill="1" applyBorder="1"/>
    <xf numFmtId="0" fontId="6" fillId="4" borderId="18" xfId="2" applyFont="1" applyFill="1" applyBorder="1" applyAlignment="1">
      <alignment vertical="center" wrapText="1"/>
    </xf>
    <xf numFmtId="176" fontId="12" fillId="4" borderId="47" xfId="2" applyNumberFormat="1" applyFont="1" applyFill="1" applyBorder="1"/>
    <xf numFmtId="10" fontId="12" fillId="4" borderId="47" xfId="9" applyNumberFormat="1" applyFont="1" applyFill="1" applyBorder="1" applyAlignment="1"/>
    <xf numFmtId="0" fontId="3" fillId="4" borderId="41" xfId="2" quotePrefix="1" applyFill="1" applyBorder="1"/>
    <xf numFmtId="0" fontId="3" fillId="4" borderId="42" xfId="2" applyFill="1" applyBorder="1" applyAlignment="1">
      <alignment horizontal="center"/>
    </xf>
    <xf numFmtId="0" fontId="3" fillId="4" borderId="43" xfId="2" applyFill="1" applyBorder="1" applyAlignment="1">
      <alignment horizontal="center"/>
    </xf>
    <xf numFmtId="4" fontId="20" fillId="4" borderId="21" xfId="2" applyNumberFormat="1" applyFont="1" applyFill="1" applyBorder="1"/>
    <xf numFmtId="4" fontId="20" fillId="4" borderId="22" xfId="2" applyNumberFormat="1" applyFont="1" applyFill="1" applyBorder="1"/>
    <xf numFmtId="167" fontId="20" fillId="4" borderId="21" xfId="2" applyNumberFormat="1" applyFont="1" applyFill="1" applyBorder="1"/>
    <xf numFmtId="167" fontId="12" fillId="4" borderId="21" xfId="2" applyNumberFormat="1" applyFont="1" applyFill="1" applyBorder="1"/>
    <xf numFmtId="40" fontId="12" fillId="4" borderId="21" xfId="2" applyNumberFormat="1" applyFont="1" applyFill="1" applyBorder="1"/>
    <xf numFmtId="165" fontId="12" fillId="4" borderId="22" xfId="2" applyNumberFormat="1" applyFont="1" applyFill="1" applyBorder="1"/>
    <xf numFmtId="0" fontId="21" fillId="4" borderId="3" xfId="2" applyFont="1" applyFill="1" applyBorder="1"/>
    <xf numFmtId="0" fontId="20" fillId="4" borderId="10" xfId="2" applyFont="1" applyFill="1" applyBorder="1"/>
    <xf numFmtId="40" fontId="10" fillId="4" borderId="10" xfId="2" applyNumberFormat="1" applyFont="1" applyFill="1" applyBorder="1"/>
    <xf numFmtId="165" fontId="9" fillId="4" borderId="26" xfId="9" applyNumberFormat="1" applyFont="1" applyFill="1" applyBorder="1"/>
    <xf numFmtId="3" fontId="10" fillId="4" borderId="5" xfId="2" applyNumberFormat="1" applyFont="1" applyFill="1" applyBorder="1"/>
    <xf numFmtId="4" fontId="20" fillId="4" borderId="31" xfId="2" applyNumberFormat="1" applyFont="1" applyFill="1" applyBorder="1"/>
    <xf numFmtId="173" fontId="12" fillId="4" borderId="31" xfId="2" applyNumberFormat="1" applyFont="1" applyFill="1" applyBorder="1"/>
    <xf numFmtId="3" fontId="10" fillId="4" borderId="31" xfId="2" applyNumberFormat="1" applyFont="1" applyFill="1" applyBorder="1"/>
    <xf numFmtId="4" fontId="6" fillId="4" borderId="6" xfId="2" applyNumberFormat="1" applyFont="1" applyFill="1" applyBorder="1"/>
    <xf numFmtId="4" fontId="9" fillId="4" borderId="0" xfId="2" applyNumberFormat="1" applyFont="1" applyFill="1"/>
    <xf numFmtId="0" fontId="5" fillId="4" borderId="1" xfId="2" applyFont="1" applyFill="1" applyBorder="1"/>
    <xf numFmtId="0" fontId="3" fillId="4" borderId="2" xfId="2" applyFill="1" applyBorder="1"/>
    <xf numFmtId="0" fontId="21" fillId="4" borderId="1" xfId="2" applyFont="1" applyFill="1" applyBorder="1"/>
    <xf numFmtId="4" fontId="10" fillId="4" borderId="5" xfId="2" applyNumberFormat="1" applyFont="1" applyFill="1" applyBorder="1"/>
    <xf numFmtId="0" fontId="9" fillId="4" borderId="6" xfId="2" applyFont="1" applyFill="1" applyBorder="1"/>
    <xf numFmtId="4" fontId="9" fillId="4" borderId="5" xfId="2" applyNumberFormat="1" applyFont="1" applyFill="1" applyBorder="1"/>
    <xf numFmtId="168" fontId="9" fillId="4" borderId="5" xfId="2" applyNumberFormat="1" applyFont="1" applyFill="1" applyBorder="1"/>
    <xf numFmtId="166" fontId="9" fillId="4" borderId="5" xfId="2" applyNumberFormat="1" applyFont="1" applyFill="1" applyBorder="1"/>
    <xf numFmtId="167" fontId="21" fillId="4" borderId="0" xfId="2" applyNumberFormat="1" applyFont="1" applyFill="1"/>
    <xf numFmtId="0" fontId="18" fillId="4" borderId="0" xfId="2" applyFont="1" applyFill="1"/>
    <xf numFmtId="0" fontId="3" fillId="4" borderId="0" xfId="2" quotePrefix="1" applyFill="1"/>
    <xf numFmtId="4" fontId="6" fillId="4" borderId="0" xfId="2" applyNumberFormat="1" applyFont="1" applyFill="1"/>
    <xf numFmtId="0" fontId="10" fillId="4" borderId="5" xfId="2" applyFont="1" applyFill="1" applyBorder="1" applyAlignment="1">
      <alignment horizontal="center"/>
    </xf>
    <xf numFmtId="0" fontId="10" fillId="4" borderId="2" xfId="2" applyFont="1" applyFill="1" applyBorder="1" applyAlignment="1">
      <alignment horizontal="centerContinuous"/>
    </xf>
    <xf numFmtId="0" fontId="5" fillId="4" borderId="6" xfId="2" applyFont="1" applyFill="1" applyBorder="1" applyAlignment="1">
      <alignment horizontal="centerContinuous"/>
    </xf>
    <xf numFmtId="0" fontId="10" fillId="4" borderId="6" xfId="2" applyFont="1" applyFill="1" applyBorder="1" applyAlignment="1">
      <alignment horizontal="center"/>
    </xf>
    <xf numFmtId="0" fontId="12" fillId="4" borderId="1" xfId="2" applyFont="1" applyFill="1" applyBorder="1"/>
    <xf numFmtId="0" fontId="3" fillId="4" borderId="6" xfId="2" applyFill="1" applyBorder="1"/>
    <xf numFmtId="0" fontId="3" fillId="4" borderId="32" xfId="2" applyFill="1" applyBorder="1" applyAlignment="1">
      <alignment horizontal="center"/>
    </xf>
    <xf numFmtId="0" fontId="12" fillId="4" borderId="33" xfId="2" applyFont="1" applyFill="1" applyBorder="1"/>
    <xf numFmtId="0" fontId="3" fillId="4" borderId="34" xfId="2" applyFill="1" applyBorder="1"/>
    <xf numFmtId="166" fontId="12" fillId="4" borderId="34" xfId="2" applyNumberFormat="1" applyFont="1" applyFill="1" applyBorder="1"/>
    <xf numFmtId="0" fontId="12" fillId="4" borderId="16" xfId="2" quotePrefix="1" applyFont="1" applyFill="1" applyBorder="1"/>
    <xf numFmtId="0" fontId="3" fillId="4" borderId="17" xfId="2" applyFill="1" applyBorder="1"/>
    <xf numFmtId="10" fontId="18" fillId="4" borderId="0" xfId="9" applyNumberFormat="1" applyFont="1" applyFill="1" applyBorder="1"/>
    <xf numFmtId="187" fontId="5" fillId="4" borderId="0" xfId="2" applyNumberFormat="1" applyFont="1" applyFill="1"/>
    <xf numFmtId="173" fontId="5" fillId="4" borderId="0" xfId="2" applyNumberFormat="1" applyFont="1" applyFill="1"/>
    <xf numFmtId="0" fontId="3" fillId="4" borderId="35" xfId="2" applyFill="1" applyBorder="1" applyAlignment="1">
      <alignment horizontal="center"/>
    </xf>
    <xf numFmtId="0" fontId="12" fillId="4" borderId="36" xfId="2" applyFont="1" applyFill="1" applyBorder="1"/>
    <xf numFmtId="0" fontId="3" fillId="4" borderId="37" xfId="2" applyFill="1" applyBorder="1"/>
    <xf numFmtId="166" fontId="12" fillId="4" borderId="37" xfId="2" applyNumberFormat="1" applyFont="1" applyFill="1" applyBorder="1"/>
    <xf numFmtId="0" fontId="12" fillId="4" borderId="37" xfId="2" applyFont="1" applyFill="1" applyBorder="1"/>
    <xf numFmtId="167" fontId="10" fillId="4" borderId="3" xfId="2" applyNumberFormat="1" applyFont="1" applyFill="1" applyBorder="1" applyAlignment="1">
      <alignment horizontal="center"/>
    </xf>
    <xf numFmtId="0" fontId="3" fillId="4" borderId="4" xfId="2" applyFill="1" applyBorder="1"/>
    <xf numFmtId="166" fontId="3" fillId="4" borderId="0" xfId="2" applyNumberFormat="1" applyFill="1"/>
    <xf numFmtId="10" fontId="12" fillId="4" borderId="37" xfId="2" applyNumberFormat="1" applyFont="1" applyFill="1" applyBorder="1"/>
    <xf numFmtId="166" fontId="3" fillId="4" borderId="2" xfId="2" applyNumberFormat="1" applyFill="1" applyBorder="1"/>
    <xf numFmtId="0" fontId="24" fillId="4" borderId="0" xfId="2" applyFont="1" applyFill="1"/>
    <xf numFmtId="169" fontId="12" fillId="4" borderId="37" xfId="2" applyNumberFormat="1" applyFont="1" applyFill="1" applyBorder="1"/>
    <xf numFmtId="10" fontId="3" fillId="4" borderId="0" xfId="9" applyNumberFormat="1" applyFont="1" applyFill="1" applyBorder="1"/>
    <xf numFmtId="0" fontId="3" fillId="4" borderId="38" xfId="2" applyFill="1" applyBorder="1" applyAlignment="1">
      <alignment horizontal="center"/>
    </xf>
    <xf numFmtId="0" fontId="12" fillId="4" borderId="39" xfId="2" applyFont="1" applyFill="1" applyBorder="1"/>
    <xf numFmtId="0" fontId="3" fillId="4" borderId="40" xfId="2" applyFill="1" applyBorder="1"/>
    <xf numFmtId="166" fontId="12" fillId="4" borderId="40" xfId="2" applyNumberFormat="1" applyFont="1" applyFill="1" applyBorder="1"/>
    <xf numFmtId="166" fontId="3" fillId="4" borderId="31" xfId="2" applyNumberFormat="1" applyFill="1" applyBorder="1"/>
    <xf numFmtId="0" fontId="5" fillId="4" borderId="0" xfId="2" quotePrefix="1" applyFont="1" applyFill="1"/>
    <xf numFmtId="0" fontId="23" fillId="4" borderId="0" xfId="2" applyFont="1" applyFill="1" applyAlignment="1">
      <alignment horizontal="centerContinuous"/>
    </xf>
    <xf numFmtId="0" fontId="3" fillId="4" borderId="0" xfId="2" applyFill="1" applyAlignment="1">
      <alignment horizontal="centerContinuous"/>
    </xf>
    <xf numFmtId="4" fontId="3" fillId="4" borderId="0" xfId="2" applyNumberFormat="1" applyFill="1" applyAlignment="1">
      <alignment horizontal="center"/>
    </xf>
    <xf numFmtId="9" fontId="3" fillId="4" borderId="0" xfId="9" applyFont="1" applyFill="1" applyAlignment="1">
      <alignment horizontal="centerContinuous"/>
    </xf>
    <xf numFmtId="180" fontId="6" fillId="4" borderId="0" xfId="2" applyNumberFormat="1" applyFont="1" applyFill="1"/>
    <xf numFmtId="4" fontId="5" fillId="4" borderId="0" xfId="2" applyNumberFormat="1" applyFont="1" applyFill="1" applyAlignment="1">
      <alignment horizontal="center"/>
    </xf>
    <xf numFmtId="4" fontId="5" fillId="4" borderId="0" xfId="2" applyNumberFormat="1" applyFont="1" applyFill="1"/>
    <xf numFmtId="0" fontId="5" fillId="4" borderId="0" xfId="2" applyFont="1" applyFill="1"/>
    <xf numFmtId="173" fontId="10" fillId="0" borderId="0" xfId="2" applyNumberFormat="1" applyFont="1" applyAlignment="1">
      <alignment horizontal="centerContinuous" vertical="center"/>
    </xf>
    <xf numFmtId="175" fontId="3" fillId="0" borderId="0" xfId="2" applyNumberFormat="1" applyAlignment="1">
      <alignment horizontal="right"/>
    </xf>
    <xf numFmtId="4" fontId="37" fillId="12" borderId="0" xfId="0" applyNumberFormat="1" applyFont="1" applyFill="1" applyAlignment="1">
      <alignment horizontal="right" wrapText="1"/>
    </xf>
    <xf numFmtId="4" fontId="19" fillId="0" borderId="10" xfId="2" applyNumberFormat="1" applyFont="1" applyBorder="1"/>
    <xf numFmtId="167" fontId="19" fillId="0" borderId="10" xfId="2" applyNumberFormat="1" applyFont="1" applyBorder="1"/>
    <xf numFmtId="4" fontId="19" fillId="0" borderId="2" xfId="2" applyNumberFormat="1" applyFont="1" applyBorder="1"/>
    <xf numFmtId="0" fontId="27" fillId="4" borderId="0" xfId="2" applyFont="1" applyFill="1"/>
    <xf numFmtId="0" fontId="3" fillId="4" borderId="11" xfId="2" quotePrefix="1" applyFill="1" applyBorder="1"/>
    <xf numFmtId="0" fontId="3" fillId="4" borderId="11" xfId="2" applyFill="1" applyBorder="1"/>
    <xf numFmtId="0" fontId="3" fillId="4" borderId="11" xfId="2" applyFill="1" applyBorder="1" applyAlignment="1">
      <alignment horizontal="center"/>
    </xf>
    <xf numFmtId="0" fontId="3" fillId="4" borderId="44" xfId="2" applyFill="1" applyBorder="1" applyAlignment="1">
      <alignment horizontal="center"/>
    </xf>
    <xf numFmtId="40" fontId="12" fillId="4" borderId="58" xfId="2" applyNumberFormat="1" applyFont="1" applyFill="1" applyBorder="1"/>
    <xf numFmtId="165" fontId="9" fillId="4" borderId="44" xfId="2" applyNumberFormat="1" applyFont="1" applyFill="1" applyBorder="1"/>
    <xf numFmtId="0" fontId="3" fillId="4" borderId="21" xfId="2" quotePrefix="1" applyFill="1" applyBorder="1"/>
    <xf numFmtId="4" fontId="12" fillId="4" borderId="48" xfId="2" applyNumberFormat="1" applyFont="1" applyFill="1" applyBorder="1"/>
    <xf numFmtId="165" fontId="9" fillId="4" borderId="48" xfId="2" applyNumberFormat="1" applyFont="1" applyFill="1" applyBorder="1" applyAlignment="1">
      <alignment horizontal="right"/>
    </xf>
    <xf numFmtId="4" fontId="12" fillId="4" borderId="62" xfId="2" applyNumberFormat="1" applyFont="1" applyFill="1" applyBorder="1"/>
    <xf numFmtId="0" fontId="3" fillId="4" borderId="26" xfId="2" quotePrefix="1" applyFill="1" applyBorder="1"/>
    <xf numFmtId="0" fontId="3" fillId="4" borderId="26" xfId="2" applyFill="1" applyBorder="1" applyAlignment="1">
      <alignment horizontal="center"/>
    </xf>
    <xf numFmtId="4" fontId="12" fillId="4" borderId="5" xfId="2" applyNumberFormat="1" applyFont="1" applyFill="1" applyBorder="1"/>
    <xf numFmtId="165" fontId="9" fillId="4" borderId="48" xfId="2" applyNumberFormat="1" applyFont="1" applyFill="1" applyBorder="1"/>
    <xf numFmtId="40" fontId="3" fillId="4" borderId="0" xfId="2" applyNumberFormat="1" applyFill="1" applyAlignment="1">
      <alignment horizontal="right"/>
    </xf>
    <xf numFmtId="176" fontId="12" fillId="4" borderId="44" xfId="2" applyNumberFormat="1" applyFont="1" applyFill="1" applyBorder="1"/>
    <xf numFmtId="4" fontId="12" fillId="4" borderId="44" xfId="2" applyNumberFormat="1" applyFont="1" applyFill="1" applyBorder="1"/>
    <xf numFmtId="176" fontId="12" fillId="4" borderId="62" xfId="2" applyNumberFormat="1" applyFont="1" applyFill="1" applyBorder="1"/>
    <xf numFmtId="165" fontId="9" fillId="4" borderId="62" xfId="2" applyNumberFormat="1" applyFont="1" applyFill="1" applyBorder="1"/>
    <xf numFmtId="176" fontId="12" fillId="4" borderId="48" xfId="2" applyNumberFormat="1" applyFont="1" applyFill="1" applyBorder="1"/>
    <xf numFmtId="176" fontId="3" fillId="4" borderId="0" xfId="2" applyNumberFormat="1" applyFill="1" applyAlignment="1">
      <alignment horizontal="right"/>
    </xf>
    <xf numFmtId="40" fontId="12" fillId="4" borderId="30" xfId="2" applyNumberFormat="1" applyFont="1" applyFill="1" applyBorder="1"/>
    <xf numFmtId="165" fontId="9" fillId="4" borderId="50" xfId="2" applyNumberFormat="1" applyFont="1" applyFill="1" applyBorder="1" applyAlignment="1">
      <alignment horizontal="right"/>
    </xf>
    <xf numFmtId="165" fontId="3" fillId="4" borderId="0" xfId="9" applyNumberFormat="1" applyFont="1" applyFill="1"/>
    <xf numFmtId="10" fontId="3" fillId="4" borderId="0" xfId="9" applyNumberFormat="1" applyFont="1" applyFill="1"/>
    <xf numFmtId="40" fontId="12" fillId="4" borderId="32" xfId="0" applyNumberFormat="1" applyFont="1" applyFill="1" applyBorder="1"/>
    <xf numFmtId="40" fontId="12" fillId="4" borderId="44" xfId="0" applyNumberFormat="1" applyFont="1" applyFill="1" applyBorder="1"/>
    <xf numFmtId="172" fontId="12" fillId="4" borderId="32" xfId="0" applyNumberFormat="1" applyFont="1" applyFill="1" applyBorder="1"/>
    <xf numFmtId="172" fontId="12" fillId="4" borderId="44" xfId="0" applyNumberFormat="1" applyFont="1" applyFill="1" applyBorder="1"/>
    <xf numFmtId="4" fontId="37" fillId="12" borderId="65" xfId="0" applyNumberFormat="1" applyFont="1" applyFill="1" applyBorder="1" applyAlignment="1">
      <alignment horizontal="right" wrapText="1"/>
    </xf>
    <xf numFmtId="40" fontId="12" fillId="4" borderId="19" xfId="2" applyNumberFormat="1" applyFont="1" applyFill="1" applyBorder="1"/>
    <xf numFmtId="10" fontId="9" fillId="4" borderId="44" xfId="2" applyNumberFormat="1" applyFont="1" applyFill="1" applyBorder="1"/>
    <xf numFmtId="172" fontId="12" fillId="4" borderId="35" xfId="0" applyNumberFormat="1" applyFont="1" applyFill="1" applyBorder="1"/>
    <xf numFmtId="10" fontId="9" fillId="4" borderId="47" xfId="2" applyNumberFormat="1" applyFont="1" applyFill="1" applyBorder="1"/>
    <xf numFmtId="0" fontId="3" fillId="4" borderId="35" xfId="2" quotePrefix="1" applyFill="1" applyBorder="1"/>
    <xf numFmtId="4" fontId="12" fillId="4" borderId="35" xfId="2" applyNumberFormat="1" applyFont="1" applyFill="1" applyBorder="1"/>
    <xf numFmtId="165" fontId="9" fillId="4" borderId="35" xfId="2" applyNumberFormat="1" applyFont="1" applyFill="1" applyBorder="1"/>
    <xf numFmtId="4" fontId="12" fillId="4" borderId="35" xfId="0" applyNumberFormat="1" applyFont="1" applyFill="1" applyBorder="1"/>
    <xf numFmtId="0" fontId="3" fillId="4" borderId="38" xfId="2" quotePrefix="1" applyFill="1" applyBorder="1"/>
    <xf numFmtId="40" fontId="12" fillId="4" borderId="48" xfId="0" applyNumberFormat="1" applyFont="1" applyFill="1" applyBorder="1"/>
    <xf numFmtId="172" fontId="12" fillId="4" borderId="38" xfId="0" applyNumberFormat="1" applyFont="1" applyFill="1" applyBorder="1"/>
    <xf numFmtId="172" fontId="12" fillId="4" borderId="48" xfId="0" applyNumberFormat="1" applyFont="1" applyFill="1" applyBorder="1"/>
    <xf numFmtId="4" fontId="12" fillId="4" borderId="38" xfId="0" applyNumberFormat="1" applyFont="1" applyFill="1" applyBorder="1"/>
    <xf numFmtId="165" fontId="9" fillId="4" borderId="38" xfId="2" applyNumberFormat="1" applyFont="1" applyFill="1" applyBorder="1"/>
    <xf numFmtId="10" fontId="9" fillId="4" borderId="48" xfId="2" applyNumberFormat="1" applyFont="1" applyFill="1" applyBorder="1"/>
    <xf numFmtId="40" fontId="12" fillId="4" borderId="35" xfId="0" applyNumberFormat="1" applyFont="1" applyFill="1" applyBorder="1"/>
    <xf numFmtId="4" fontId="12" fillId="4" borderId="47" xfId="0" applyNumberFormat="1" applyFont="1" applyFill="1" applyBorder="1"/>
    <xf numFmtId="40" fontId="12" fillId="4" borderId="38" xfId="0" applyNumberFormat="1" applyFont="1" applyFill="1" applyBorder="1"/>
    <xf numFmtId="4" fontId="12" fillId="4" borderId="48" xfId="0" applyNumberFormat="1" applyFont="1" applyFill="1" applyBorder="1"/>
    <xf numFmtId="172" fontId="3" fillId="4" borderId="0" xfId="2" applyNumberFormat="1" applyFill="1" applyAlignment="1">
      <alignment horizontal="right"/>
    </xf>
    <xf numFmtId="40" fontId="10" fillId="4" borderId="44" xfId="2" applyNumberFormat="1" applyFont="1" applyFill="1" applyBorder="1"/>
    <xf numFmtId="0" fontId="3" fillId="4" borderId="32" xfId="2" quotePrefix="1" applyFill="1" applyBorder="1"/>
    <xf numFmtId="0" fontId="3" fillId="4" borderId="32" xfId="2" applyFill="1" applyBorder="1"/>
    <xf numFmtId="40" fontId="12" fillId="4" borderId="32" xfId="2" applyNumberFormat="1" applyFont="1" applyFill="1" applyBorder="1"/>
    <xf numFmtId="165" fontId="9" fillId="4" borderId="32" xfId="2" applyNumberFormat="1" applyFont="1" applyFill="1" applyBorder="1"/>
    <xf numFmtId="10" fontId="9" fillId="4" borderId="32" xfId="2" applyNumberFormat="1" applyFont="1" applyFill="1" applyBorder="1"/>
    <xf numFmtId="40" fontId="12" fillId="4" borderId="64" xfId="2" applyNumberFormat="1" applyFont="1" applyFill="1" applyBorder="1"/>
    <xf numFmtId="10" fontId="9" fillId="4" borderId="35" xfId="2" applyNumberFormat="1" applyFont="1" applyFill="1" applyBorder="1"/>
    <xf numFmtId="10" fontId="9" fillId="4" borderId="38" xfId="2" applyNumberFormat="1" applyFont="1" applyFill="1" applyBorder="1"/>
    <xf numFmtId="172" fontId="12" fillId="4" borderId="19" xfId="0" applyNumberFormat="1" applyFont="1" applyFill="1" applyBorder="1"/>
    <xf numFmtId="172" fontId="12" fillId="4" borderId="29" xfId="0" applyNumberFormat="1" applyFont="1" applyFill="1" applyBorder="1"/>
    <xf numFmtId="172" fontId="12" fillId="4" borderId="30" xfId="0" applyNumberFormat="1" applyFont="1" applyFill="1" applyBorder="1"/>
    <xf numFmtId="4" fontId="12" fillId="4" borderId="0" xfId="2" applyNumberFormat="1" applyFont="1" applyFill="1"/>
    <xf numFmtId="4" fontId="5" fillId="4" borderId="0" xfId="2" quotePrefix="1" applyNumberFormat="1" applyFont="1" applyFill="1" applyAlignment="1">
      <alignment horizontal="right"/>
    </xf>
    <xf numFmtId="4" fontId="35" fillId="4" borderId="0" xfId="2" applyNumberFormat="1" applyFont="1" applyFill="1"/>
    <xf numFmtId="4" fontId="36" fillId="4" borderId="0" xfId="2" applyNumberFormat="1" applyFont="1" applyFill="1"/>
    <xf numFmtId="4" fontId="5" fillId="4" borderId="1" xfId="2" applyNumberFormat="1" applyFont="1" applyFill="1" applyBorder="1"/>
    <xf numFmtId="4" fontId="3" fillId="4" borderId="2" xfId="2" applyNumberFormat="1" applyFill="1" applyBorder="1"/>
    <xf numFmtId="4" fontId="5" fillId="4" borderId="2" xfId="2" applyNumberFormat="1" applyFont="1" applyFill="1" applyBorder="1" applyAlignment="1">
      <alignment horizontal="center"/>
    </xf>
    <xf numFmtId="4" fontId="6" fillId="4" borderId="1" xfId="2" applyNumberFormat="1" applyFont="1" applyFill="1" applyBorder="1" applyAlignment="1">
      <alignment horizontal="center" vertical="center" wrapText="1"/>
    </xf>
    <xf numFmtId="4" fontId="6" fillId="4" borderId="5" xfId="2" applyNumberFormat="1" applyFont="1" applyFill="1" applyBorder="1" applyAlignment="1">
      <alignment horizontal="center" vertical="center" wrapText="1"/>
    </xf>
    <xf numFmtId="4" fontId="6" fillId="4" borderId="5" xfId="2" applyNumberFormat="1" applyFont="1" applyFill="1" applyBorder="1" applyAlignment="1">
      <alignment horizontal="center" vertical="center"/>
    </xf>
    <xf numFmtId="4" fontId="6" fillId="4" borderId="6" xfId="2" applyNumberFormat="1" applyFont="1" applyFill="1" applyBorder="1" applyAlignment="1">
      <alignment horizontal="center" vertical="center"/>
    </xf>
    <xf numFmtId="4" fontId="10" fillId="4" borderId="1" xfId="2" applyNumberFormat="1" applyFont="1" applyFill="1" applyBorder="1" applyAlignment="1">
      <alignment horizontal="centerContinuous"/>
    </xf>
    <xf numFmtId="165" fontId="6" fillId="4" borderId="6" xfId="9" applyNumberFormat="1" applyFont="1" applyFill="1" applyBorder="1" applyAlignment="1">
      <alignment horizontal="centerContinuous" vertical="center" wrapText="1"/>
    </xf>
    <xf numFmtId="4" fontId="3" fillId="4" borderId="11" xfId="2" quotePrefix="1" applyNumberFormat="1" applyFill="1" applyBorder="1"/>
    <xf numFmtId="4" fontId="3" fillId="4" borderId="13" xfId="2" applyNumberFormat="1" applyFill="1" applyBorder="1" applyAlignment="1">
      <alignment horizontal="left"/>
    </xf>
    <xf numFmtId="4" fontId="3" fillId="4" borderId="21" xfId="2" applyNumberFormat="1" applyFill="1" applyBorder="1" applyAlignment="1">
      <alignment horizontal="center"/>
    </xf>
    <xf numFmtId="4" fontId="3" fillId="4" borderId="61" xfId="2" applyNumberFormat="1" applyFill="1" applyBorder="1" applyAlignment="1">
      <alignment horizontal="center"/>
    </xf>
    <xf numFmtId="4" fontId="3" fillId="4" borderId="26" xfId="2" quotePrefix="1" applyNumberFormat="1" applyFill="1" applyBorder="1"/>
    <xf numFmtId="4" fontId="3" fillId="4" borderId="20" xfId="2" applyNumberFormat="1" applyFill="1" applyBorder="1" applyAlignment="1">
      <alignment horizontal="left"/>
    </xf>
    <xf numFmtId="4" fontId="3" fillId="4" borderId="26" xfId="2" applyNumberFormat="1" applyFill="1" applyBorder="1" applyAlignment="1">
      <alignment horizontal="center"/>
    </xf>
    <xf numFmtId="4" fontId="3" fillId="4" borderId="10" xfId="2" applyNumberFormat="1" applyFill="1" applyBorder="1" applyAlignment="1">
      <alignment horizontal="centerContinuous"/>
    </xf>
    <xf numFmtId="4" fontId="12" fillId="4" borderId="6" xfId="2" applyNumberFormat="1" applyFont="1" applyFill="1" applyBorder="1"/>
    <xf numFmtId="4" fontId="3" fillId="4" borderId="31" xfId="2" applyNumberFormat="1" applyFill="1" applyBorder="1"/>
    <xf numFmtId="4" fontId="12" fillId="4" borderId="1" xfId="2" applyNumberFormat="1" applyFont="1" applyFill="1" applyBorder="1"/>
    <xf numFmtId="4" fontId="12" fillId="4" borderId="2" xfId="2" applyNumberFormat="1" applyFont="1" applyFill="1" applyBorder="1"/>
    <xf numFmtId="4" fontId="10" fillId="4" borderId="4" xfId="2" applyNumberFormat="1" applyFont="1" applyFill="1" applyBorder="1"/>
    <xf numFmtId="165" fontId="6" fillId="4" borderId="5" xfId="9" applyNumberFormat="1" applyFont="1" applyFill="1" applyBorder="1"/>
    <xf numFmtId="4" fontId="5" fillId="4" borderId="7" xfId="2" applyNumberFormat="1" applyFont="1" applyFill="1" applyBorder="1"/>
    <xf numFmtId="4" fontId="3" fillId="4" borderId="59" xfId="2" applyNumberFormat="1" applyFill="1" applyBorder="1" applyAlignment="1">
      <alignment horizontal="left"/>
    </xf>
    <xf numFmtId="4" fontId="3" fillId="4" borderId="47" xfId="2" applyNumberFormat="1" applyFill="1" applyBorder="1" applyAlignment="1">
      <alignment horizontal="center"/>
    </xf>
    <xf numFmtId="4" fontId="3" fillId="4" borderId="60" xfId="2" applyNumberFormat="1" applyFill="1" applyBorder="1" applyAlignment="1">
      <alignment horizontal="centerContinuous"/>
    </xf>
    <xf numFmtId="4" fontId="3" fillId="4" borderId="26" xfId="2" applyNumberFormat="1" applyFill="1" applyBorder="1" applyAlignment="1">
      <alignment horizontal="left"/>
    </xf>
    <xf numFmtId="165" fontId="9" fillId="4" borderId="50" xfId="9" applyNumberFormat="1" applyFont="1" applyFill="1" applyBorder="1"/>
    <xf numFmtId="10" fontId="9" fillId="4" borderId="50" xfId="9" applyNumberFormat="1" applyFont="1" applyFill="1" applyBorder="1"/>
    <xf numFmtId="4" fontId="10" fillId="4" borderId="47" xfId="2" applyNumberFormat="1" applyFont="1" applyFill="1" applyBorder="1"/>
    <xf numFmtId="4" fontId="10" fillId="4" borderId="0" xfId="2" applyNumberFormat="1" applyFont="1" applyFill="1"/>
    <xf numFmtId="40" fontId="12" fillId="4" borderId="48" xfId="2" applyNumberFormat="1" applyFont="1" applyFill="1" applyBorder="1" applyAlignment="1">
      <alignment horizontal="right"/>
    </xf>
    <xf numFmtId="40" fontId="12" fillId="4" borderId="29" xfId="2" applyNumberFormat="1" applyFont="1" applyFill="1" applyBorder="1"/>
    <xf numFmtId="3" fontId="3" fillId="4" borderId="59" xfId="2" applyNumberFormat="1" applyFill="1" applyBorder="1" applyAlignment="1">
      <alignment horizontal="left"/>
    </xf>
    <xf numFmtId="3" fontId="3" fillId="4" borderId="26" xfId="2" applyNumberFormat="1" applyFill="1" applyBorder="1" applyAlignment="1">
      <alignment horizontal="left"/>
    </xf>
    <xf numFmtId="40" fontId="31" fillId="0" borderId="21" xfId="2" applyNumberFormat="1" applyFont="1" applyBorder="1"/>
    <xf numFmtId="40" fontId="12" fillId="14" borderId="47" xfId="2" applyNumberFormat="1" applyFont="1" applyFill="1" applyBorder="1"/>
    <xf numFmtId="0" fontId="3" fillId="6" borderId="0" xfId="2" applyFill="1"/>
    <xf numFmtId="0" fontId="3" fillId="4" borderId="30" xfId="2" quotePrefix="1" applyFill="1" applyBorder="1"/>
    <xf numFmtId="0" fontId="3" fillId="4" borderId="30" xfId="2" applyFill="1" applyBorder="1"/>
    <xf numFmtId="0" fontId="3" fillId="4" borderId="30" xfId="2" applyFill="1" applyBorder="1" applyAlignment="1">
      <alignment horizontal="center"/>
    </xf>
    <xf numFmtId="40" fontId="12" fillId="4" borderId="30" xfId="0" applyNumberFormat="1" applyFont="1" applyFill="1" applyBorder="1"/>
    <xf numFmtId="4" fontId="12" fillId="4" borderId="30" xfId="0" applyNumberFormat="1" applyFont="1" applyFill="1" applyBorder="1"/>
    <xf numFmtId="165" fontId="9" fillId="4" borderId="30" xfId="2" applyNumberFormat="1" applyFont="1" applyFill="1" applyBorder="1"/>
    <xf numFmtId="10" fontId="9" fillId="4" borderId="30" xfId="2" applyNumberFormat="1" applyFont="1" applyFill="1" applyBorder="1"/>
    <xf numFmtId="0" fontId="3" fillId="4" borderId="66" xfId="2" quotePrefix="1" applyFill="1" applyBorder="1"/>
    <xf numFmtId="0" fontId="3" fillId="4" borderId="66" xfId="2" applyFill="1" applyBorder="1"/>
    <xf numFmtId="0" fontId="3" fillId="4" borderId="66" xfId="2" applyFill="1" applyBorder="1" applyAlignment="1">
      <alignment horizontal="center"/>
    </xf>
    <xf numFmtId="172" fontId="12" fillId="4" borderId="66" xfId="0" applyNumberFormat="1" applyFont="1" applyFill="1" applyBorder="1"/>
    <xf numFmtId="40" fontId="12" fillId="4" borderId="66" xfId="2" applyNumberFormat="1" applyFont="1" applyFill="1" applyBorder="1"/>
    <xf numFmtId="4" fontId="12" fillId="4" borderId="66" xfId="0" applyNumberFormat="1" applyFont="1" applyFill="1" applyBorder="1"/>
    <xf numFmtId="165" fontId="9" fillId="4" borderId="66" xfId="2" applyNumberFormat="1" applyFont="1" applyFill="1" applyBorder="1"/>
    <xf numFmtId="0" fontId="3" fillId="4" borderId="67" xfId="2" quotePrefix="1" applyFill="1" applyBorder="1"/>
    <xf numFmtId="0" fontId="3" fillId="4" borderId="67" xfId="2" applyFill="1" applyBorder="1"/>
    <xf numFmtId="0" fontId="3" fillId="4" borderId="67" xfId="2" applyFill="1" applyBorder="1" applyAlignment="1">
      <alignment horizontal="center"/>
    </xf>
    <xf numFmtId="0" fontId="3" fillId="4" borderId="68" xfId="2" applyFill="1" applyBorder="1" applyAlignment="1">
      <alignment horizontal="center"/>
    </xf>
    <xf numFmtId="40" fontId="12" fillId="4" borderId="68" xfId="0" applyNumberFormat="1" applyFont="1" applyFill="1" applyBorder="1"/>
    <xf numFmtId="172" fontId="12" fillId="4" borderId="68" xfId="0" applyNumberFormat="1" applyFont="1" applyFill="1" applyBorder="1"/>
    <xf numFmtId="40" fontId="12" fillId="4" borderId="68" xfId="2" applyNumberFormat="1" applyFont="1" applyFill="1" applyBorder="1"/>
    <xf numFmtId="4" fontId="12" fillId="4" borderId="68" xfId="0" applyNumberFormat="1" applyFont="1" applyFill="1" applyBorder="1"/>
    <xf numFmtId="165" fontId="9" fillId="4" borderId="68" xfId="2" applyNumberFormat="1" applyFont="1" applyFill="1" applyBorder="1"/>
    <xf numFmtId="10" fontId="9" fillId="4" borderId="68" xfId="2" applyNumberFormat="1" applyFont="1" applyFill="1" applyBorder="1"/>
    <xf numFmtId="4" fontId="3" fillId="4" borderId="11" xfId="2" quotePrefix="1" applyNumberFormat="1" applyFill="1" applyBorder="1" applyAlignment="1">
      <alignment horizontal="center"/>
    </xf>
    <xf numFmtId="4" fontId="3" fillId="4" borderId="26" xfId="2" quotePrefix="1" applyNumberFormat="1" applyFill="1" applyBorder="1" applyAlignment="1">
      <alignment horizontal="center"/>
    </xf>
    <xf numFmtId="4" fontId="12" fillId="4" borderId="6" xfId="2" applyNumberFormat="1" applyFont="1" applyFill="1" applyBorder="1" applyAlignment="1">
      <alignment horizontal="center"/>
    </xf>
    <xf numFmtId="10" fontId="12" fillId="4" borderId="48" xfId="9" applyNumberFormat="1" applyFont="1" applyFill="1" applyBorder="1" applyAlignment="1"/>
    <xf numFmtId="165" fontId="6" fillId="4" borderId="30" xfId="9" applyNumberFormat="1" applyFont="1" applyFill="1" applyBorder="1"/>
    <xf numFmtId="40" fontId="12" fillId="14" borderId="48" xfId="2" applyNumberFormat="1" applyFont="1" applyFill="1" applyBorder="1"/>
    <xf numFmtId="40" fontId="10" fillId="4" borderId="32" xfId="2" applyNumberFormat="1" applyFont="1" applyFill="1" applyBorder="1"/>
    <xf numFmtId="172" fontId="12" fillId="4" borderId="35" xfId="2" applyNumberFormat="1" applyFont="1" applyFill="1" applyBorder="1"/>
    <xf numFmtId="165" fontId="9" fillId="4" borderId="35" xfId="2" applyNumberFormat="1" applyFont="1" applyFill="1" applyBorder="1" applyAlignment="1">
      <alignment horizontal="right"/>
    </xf>
    <xf numFmtId="0" fontId="42" fillId="0" borderId="0" xfId="0" applyFont="1"/>
    <xf numFmtId="4" fontId="21" fillId="0" borderId="0" xfId="2" applyNumberFormat="1" applyFont="1"/>
    <xf numFmtId="4" fontId="0" fillId="0" borderId="0" xfId="0" applyNumberFormat="1" applyAlignment="1">
      <alignment horizontal="right"/>
    </xf>
    <xf numFmtId="4" fontId="0" fillId="0" borderId="31" xfId="0" applyNumberFormat="1" applyBorder="1"/>
    <xf numFmtId="0" fontId="0" fillId="0" borderId="31" xfId="0" applyBorder="1"/>
    <xf numFmtId="172" fontId="10" fillId="4" borderId="35" xfId="0" applyNumberFormat="1" applyFont="1" applyFill="1" applyBorder="1"/>
    <xf numFmtId="40" fontId="10" fillId="4" borderId="44" xfId="0" applyNumberFormat="1" applyFont="1" applyFill="1" applyBorder="1"/>
    <xf numFmtId="172" fontId="10" fillId="4" borderId="32" xfId="0" applyNumberFormat="1" applyFont="1" applyFill="1" applyBorder="1"/>
    <xf numFmtId="40" fontId="10" fillId="4" borderId="47" xfId="0" applyNumberFormat="1" applyFont="1" applyFill="1" applyBorder="1"/>
    <xf numFmtId="172" fontId="10" fillId="4" borderId="47" xfId="0" applyNumberFormat="1" applyFont="1" applyFill="1" applyBorder="1"/>
    <xf numFmtId="40" fontId="10" fillId="4" borderId="48" xfId="0" applyNumberFormat="1" applyFont="1" applyFill="1" applyBorder="1"/>
    <xf numFmtId="172" fontId="10" fillId="4" borderId="30" xfId="0" applyNumberFormat="1" applyFont="1" applyFill="1" applyBorder="1"/>
    <xf numFmtId="172" fontId="10" fillId="4" borderId="44" xfId="0" applyNumberFormat="1" applyFont="1" applyFill="1" applyBorder="1"/>
    <xf numFmtId="172" fontId="10" fillId="4" borderId="38" xfId="0" applyNumberFormat="1" applyFont="1" applyFill="1" applyBorder="1"/>
    <xf numFmtId="165" fontId="9" fillId="4" borderId="38" xfId="2" applyNumberFormat="1" applyFont="1" applyFill="1" applyBorder="1" applyAlignment="1">
      <alignment horizontal="right"/>
    </xf>
    <xf numFmtId="40" fontId="10" fillId="0" borderId="51" xfId="2" applyNumberFormat="1" applyFont="1" applyBorder="1"/>
    <xf numFmtId="4" fontId="10" fillId="4" borderId="48" xfId="2" applyNumberFormat="1" applyFont="1" applyFill="1" applyBorder="1"/>
    <xf numFmtId="10" fontId="21" fillId="0" borderId="0" xfId="3" applyNumberFormat="1" applyFont="1"/>
    <xf numFmtId="4" fontId="10" fillId="4" borderId="6" xfId="2" applyNumberFormat="1" applyFont="1" applyFill="1" applyBorder="1"/>
    <xf numFmtId="40" fontId="10" fillId="4" borderId="62" xfId="2" applyNumberFormat="1" applyFont="1" applyFill="1" applyBorder="1"/>
    <xf numFmtId="40" fontId="10" fillId="6" borderId="47" xfId="2" applyNumberFormat="1" applyFont="1" applyFill="1" applyBorder="1"/>
    <xf numFmtId="4" fontId="43" fillId="12" borderId="0" xfId="0" applyNumberFormat="1" applyFont="1" applyFill="1" applyAlignment="1">
      <alignment horizontal="right" wrapText="1"/>
    </xf>
    <xf numFmtId="0" fontId="10" fillId="0" borderId="6" xfId="2" applyFont="1" applyBorder="1" applyAlignment="1">
      <alignment horizontal="centerContinuous" vertical="center" wrapText="1"/>
    </xf>
    <xf numFmtId="0" fontId="10" fillId="0" borderId="5" xfId="2" applyFont="1" applyBorder="1" applyAlignment="1">
      <alignment horizontal="center" vertical="center"/>
    </xf>
    <xf numFmtId="167" fontId="20" fillId="0" borderId="0" xfId="2" applyNumberFormat="1" applyFont="1"/>
    <xf numFmtId="10" fontId="17" fillId="0" borderId="0" xfId="9" applyNumberFormat="1" applyFont="1" applyBorder="1"/>
    <xf numFmtId="10" fontId="12" fillId="0" borderId="0" xfId="9" applyNumberFormat="1" applyFont="1" applyBorder="1"/>
    <xf numFmtId="0" fontId="31" fillId="0" borderId="0" xfId="2" applyFont="1"/>
    <xf numFmtId="0" fontId="12" fillId="0" borderId="0" xfId="2" applyFont="1" applyAlignment="1">
      <alignment horizontal="centerContinuous"/>
    </xf>
    <xf numFmtId="0" fontId="44" fillId="0" borderId="0" xfId="0" applyFont="1"/>
    <xf numFmtId="4" fontId="10" fillId="4" borderId="5" xfId="2" applyNumberFormat="1" applyFont="1" applyFill="1" applyBorder="1" applyAlignment="1">
      <alignment horizontal="center" vertical="center"/>
    </xf>
    <xf numFmtId="4" fontId="44" fillId="0" borderId="0" xfId="0" applyNumberFormat="1" applyFont="1"/>
    <xf numFmtId="0" fontId="10" fillId="4" borderId="5" xfId="2" applyFont="1" applyFill="1" applyBorder="1" applyAlignment="1">
      <alignment horizontal="center" vertical="center"/>
    </xf>
    <xf numFmtId="4" fontId="12" fillId="4" borderId="0" xfId="2" applyNumberFormat="1" applyFont="1" applyFill="1" applyAlignment="1">
      <alignment horizontal="right"/>
    </xf>
    <xf numFmtId="4" fontId="43" fillId="12" borderId="65" xfId="0" applyNumberFormat="1" applyFont="1" applyFill="1" applyBorder="1" applyAlignment="1">
      <alignment horizontal="right" wrapText="1"/>
    </xf>
    <xf numFmtId="0" fontId="12" fillId="4" borderId="0" xfId="2" applyFont="1" applyFill="1"/>
    <xf numFmtId="174" fontId="12" fillId="0" borderId="47" xfId="2" applyNumberFormat="1" applyFont="1" applyBorder="1" applyAlignment="1">
      <alignment horizontal="right"/>
    </xf>
    <xf numFmtId="0" fontId="23" fillId="0" borderId="0" xfId="2" applyFont="1" applyAlignment="1">
      <alignment horizontal="left"/>
    </xf>
    <xf numFmtId="4" fontId="12" fillId="4" borderId="0" xfId="2" applyNumberFormat="1" applyFont="1" applyFill="1" applyAlignment="1">
      <alignment horizontal="center"/>
    </xf>
    <xf numFmtId="165" fontId="6" fillId="4" borderId="0" xfId="9" applyNumberFormat="1" applyFont="1" applyFill="1" applyBorder="1"/>
    <xf numFmtId="4" fontId="6" fillId="4" borderId="1" xfId="2" applyNumberFormat="1" applyFont="1" applyFill="1" applyBorder="1" applyAlignment="1">
      <alignment horizontal="center" vertical="center"/>
    </xf>
    <xf numFmtId="4" fontId="10" fillId="4" borderId="5" xfId="2" applyNumberFormat="1" applyFont="1" applyFill="1" applyBorder="1" applyAlignment="1">
      <alignment horizontal="centerContinuous"/>
    </xf>
    <xf numFmtId="174" fontId="12" fillId="4" borderId="30" xfId="0" applyNumberFormat="1" applyFont="1" applyFill="1" applyBorder="1"/>
    <xf numFmtId="172" fontId="12" fillId="4" borderId="48" xfId="2" applyNumberFormat="1" applyFont="1" applyFill="1" applyBorder="1" applyAlignment="1">
      <alignment horizontal="right"/>
    </xf>
    <xf numFmtId="40" fontId="12" fillId="14" borderId="62" xfId="2" applyNumberFormat="1" applyFont="1" applyFill="1" applyBorder="1"/>
    <xf numFmtId="172" fontId="12" fillId="4" borderId="69" xfId="0" applyNumberFormat="1" applyFont="1" applyFill="1" applyBorder="1"/>
    <xf numFmtId="0" fontId="3" fillId="0" borderId="0" xfId="0" quotePrefix="1" applyFont="1"/>
    <xf numFmtId="10" fontId="9" fillId="0" borderId="0" xfId="9" applyNumberFormat="1" applyFont="1" applyBorder="1"/>
    <xf numFmtId="176" fontId="12" fillId="4" borderId="32" xfId="0" applyNumberFormat="1" applyFont="1" applyFill="1" applyBorder="1"/>
    <xf numFmtId="176" fontId="12" fillId="4" borderId="35" xfId="0" applyNumberFormat="1" applyFont="1" applyFill="1" applyBorder="1"/>
    <xf numFmtId="176" fontId="12" fillId="4" borderId="38" xfId="0" applyNumberFormat="1" applyFont="1" applyFill="1" applyBorder="1"/>
    <xf numFmtId="176" fontId="12" fillId="4" borderId="44" xfId="0" applyNumberFormat="1" applyFont="1" applyFill="1" applyBorder="1"/>
    <xf numFmtId="176" fontId="12" fillId="4" borderId="48" xfId="0" applyNumberFormat="1" applyFont="1" applyFill="1" applyBorder="1"/>
    <xf numFmtId="167" fontId="12" fillId="4" borderId="48" xfId="0" applyNumberFormat="1" applyFont="1" applyFill="1" applyBorder="1"/>
    <xf numFmtId="4" fontId="3" fillId="0" borderId="0" xfId="0" applyNumberFormat="1" applyFont="1" applyAlignment="1">
      <alignment horizontal="right"/>
    </xf>
    <xf numFmtId="4" fontId="3" fillId="0" borderId="31" xfId="0" applyNumberFormat="1" applyFont="1" applyBorder="1" applyAlignment="1">
      <alignment horizontal="right"/>
    </xf>
    <xf numFmtId="40" fontId="10" fillId="4" borderId="32" xfId="0" applyNumberFormat="1" applyFont="1" applyFill="1" applyBorder="1"/>
    <xf numFmtId="4" fontId="10" fillId="4" borderId="35" xfId="0" applyNumberFormat="1" applyFont="1" applyFill="1" applyBorder="1"/>
    <xf numFmtId="172" fontId="10" fillId="4" borderId="48" xfId="0" applyNumberFormat="1" applyFont="1" applyFill="1" applyBorder="1"/>
    <xf numFmtId="4" fontId="10" fillId="4" borderId="30" xfId="0" applyNumberFormat="1" applyFont="1" applyFill="1" applyBorder="1"/>
    <xf numFmtId="4" fontId="45" fillId="12" borderId="0" xfId="0" applyNumberFormat="1" applyFont="1" applyFill="1" applyAlignment="1">
      <alignment horizontal="right" wrapText="1"/>
    </xf>
    <xf numFmtId="40" fontId="10" fillId="4" borderId="19" xfId="2" applyNumberFormat="1" applyFont="1" applyFill="1" applyBorder="1"/>
    <xf numFmtId="40" fontId="10" fillId="4" borderId="35" xfId="0" applyNumberFormat="1" applyFont="1" applyFill="1" applyBorder="1"/>
    <xf numFmtId="4" fontId="10" fillId="4" borderId="35" xfId="2" applyNumberFormat="1" applyFont="1" applyFill="1" applyBorder="1"/>
    <xf numFmtId="40" fontId="10" fillId="4" borderId="64" xfId="2" applyNumberFormat="1" applyFont="1" applyFill="1" applyBorder="1"/>
    <xf numFmtId="40" fontId="10" fillId="4" borderId="38" xfId="0" applyNumberFormat="1" applyFont="1" applyFill="1" applyBorder="1"/>
    <xf numFmtId="4" fontId="10" fillId="4" borderId="38" xfId="0" applyNumberFormat="1" applyFont="1" applyFill="1" applyBorder="1"/>
    <xf numFmtId="4" fontId="10" fillId="4" borderId="38" xfId="2" applyNumberFormat="1" applyFont="1" applyFill="1" applyBorder="1"/>
    <xf numFmtId="174" fontId="3" fillId="4" borderId="0" xfId="2" applyNumberFormat="1" applyFill="1" applyAlignment="1">
      <alignment horizontal="right"/>
    </xf>
    <xf numFmtId="4" fontId="3" fillId="4" borderId="0" xfId="3" applyNumberFormat="1" applyFont="1" applyFill="1"/>
    <xf numFmtId="165" fontId="6" fillId="4" borderId="6" xfId="9" applyNumberFormat="1" applyFont="1" applyFill="1" applyBorder="1" applyAlignment="1">
      <alignment horizontal="center" vertical="center" wrapText="1"/>
    </xf>
    <xf numFmtId="4" fontId="10" fillId="6" borderId="6" xfId="2" applyNumberFormat="1" applyFont="1" applyFill="1" applyBorder="1"/>
    <xf numFmtId="40" fontId="31" fillId="4" borderId="21" xfId="2" applyNumberFormat="1" applyFont="1" applyFill="1" applyBorder="1"/>
    <xf numFmtId="40" fontId="20" fillId="4" borderId="47" xfId="2" applyNumberFormat="1" applyFont="1" applyFill="1" applyBorder="1"/>
    <xf numFmtId="0" fontId="0" fillId="0" borderId="48" xfId="0" applyBorder="1"/>
    <xf numFmtId="0" fontId="3" fillId="4" borderId="5" xfId="2" applyFill="1" applyBorder="1"/>
    <xf numFmtId="40" fontId="12" fillId="11" borderId="47" xfId="0" applyNumberFormat="1" applyFont="1" applyFill="1" applyBorder="1"/>
    <xf numFmtId="176" fontId="12" fillId="11" borderId="47" xfId="0" applyNumberFormat="1" applyFont="1" applyFill="1" applyBorder="1"/>
    <xf numFmtId="189" fontId="12" fillId="4" borderId="48" xfId="0" applyNumberFormat="1" applyFont="1" applyFill="1" applyBorder="1"/>
    <xf numFmtId="4" fontId="10" fillId="4" borderId="1" xfId="2" applyNumberFormat="1" applyFont="1" applyFill="1" applyBorder="1" applyAlignment="1">
      <alignment horizontal="center"/>
    </xf>
    <xf numFmtId="190" fontId="12" fillId="4" borderId="47" xfId="2" applyNumberFormat="1" applyFont="1" applyFill="1" applyBorder="1"/>
    <xf numFmtId="174" fontId="12" fillId="11" borderId="47" xfId="2" applyNumberFormat="1" applyFont="1" applyFill="1" applyBorder="1"/>
    <xf numFmtId="4" fontId="3" fillId="4" borderId="0" xfId="9" applyNumberFormat="1" applyFont="1" applyFill="1"/>
    <xf numFmtId="174" fontId="3" fillId="4" borderId="0" xfId="2" applyNumberFormat="1" applyFill="1"/>
    <xf numFmtId="175" fontId="3" fillId="4" borderId="0" xfId="2" applyNumberFormat="1" applyFill="1"/>
    <xf numFmtId="10" fontId="46" fillId="0" borderId="0" xfId="9" applyNumberFormat="1" applyFont="1" applyBorder="1"/>
    <xf numFmtId="0" fontId="46" fillId="0" borderId="0" xfId="2" applyFont="1"/>
    <xf numFmtId="167" fontId="46" fillId="0" borderId="0" xfId="2" applyNumberFormat="1" applyFont="1"/>
    <xf numFmtId="173" fontId="46" fillId="0" borderId="0" xfId="2" applyNumberFormat="1" applyFont="1"/>
    <xf numFmtId="4" fontId="46" fillId="0" borderId="0" xfId="2" applyNumberFormat="1" applyFont="1"/>
    <xf numFmtId="173" fontId="47" fillId="0" borderId="0" xfId="2" applyNumberFormat="1" applyFont="1"/>
    <xf numFmtId="10" fontId="46" fillId="0" borderId="0" xfId="3" applyNumberFormat="1" applyFont="1"/>
    <xf numFmtId="164" fontId="3" fillId="0" borderId="0" xfId="4" applyFont="1"/>
    <xf numFmtId="10" fontId="46" fillId="0" borderId="0" xfId="9" applyNumberFormat="1" applyFont="1" applyFill="1" applyBorder="1"/>
    <xf numFmtId="0" fontId="48" fillId="0" borderId="0" xfId="2" applyFont="1"/>
    <xf numFmtId="173" fontId="18" fillId="0" borderId="0" xfId="2" applyNumberFormat="1" applyFont="1"/>
    <xf numFmtId="173" fontId="49" fillId="0" borderId="0" xfId="2" applyNumberFormat="1" applyFont="1"/>
    <xf numFmtId="167" fontId="3" fillId="4" borderId="0" xfId="2" applyNumberFormat="1" applyFill="1"/>
    <xf numFmtId="167" fontId="18" fillId="4" borderId="0" xfId="2" applyNumberFormat="1" applyFont="1" applyFill="1"/>
    <xf numFmtId="4" fontId="15" fillId="0" borderId="0" xfId="0" applyNumberFormat="1" applyFont="1"/>
    <xf numFmtId="10" fontId="3" fillId="4" borderId="0" xfId="3" applyNumberFormat="1" applyFont="1" applyFill="1"/>
    <xf numFmtId="4" fontId="12" fillId="4" borderId="0" xfId="3" applyNumberFormat="1" applyFont="1" applyFill="1"/>
    <xf numFmtId="188" fontId="3" fillId="4" borderId="0" xfId="3" applyNumberFormat="1" applyFont="1" applyFill="1"/>
    <xf numFmtId="10" fontId="0" fillId="0" borderId="0" xfId="3" applyNumberFormat="1" applyFont="1"/>
    <xf numFmtId="4" fontId="10" fillId="6" borderId="0" xfId="2" applyNumberFormat="1" applyFont="1" applyFill="1"/>
    <xf numFmtId="0" fontId="3" fillId="15" borderId="13" xfId="2" applyFill="1" applyBorder="1"/>
    <xf numFmtId="0" fontId="3" fillId="15" borderId="52" xfId="2" applyFill="1" applyBorder="1"/>
    <xf numFmtId="4" fontId="18" fillId="0" borderId="0" xfId="2" applyNumberFormat="1" applyFont="1"/>
    <xf numFmtId="167" fontId="10" fillId="4" borderId="0" xfId="2" applyNumberFormat="1" applyFont="1" applyFill="1"/>
    <xf numFmtId="3" fontId="3" fillId="0" borderId="0" xfId="2" applyNumberFormat="1"/>
    <xf numFmtId="3" fontId="50" fillId="0" borderId="5" xfId="0" applyNumberFormat="1" applyFont="1" applyBorder="1"/>
    <xf numFmtId="166" fontId="51" fillId="0" borderId="5" xfId="0" applyNumberFormat="1" applyFont="1" applyBorder="1"/>
    <xf numFmtId="167" fontId="50" fillId="0" borderId="5" xfId="0" applyNumberFormat="1" applyFont="1" applyBorder="1"/>
    <xf numFmtId="167" fontId="18" fillId="0" borderId="0" xfId="2" applyNumberFormat="1" applyFont="1"/>
    <xf numFmtId="167" fontId="52" fillId="0" borderId="0" xfId="2" applyNumberFormat="1" applyFont="1"/>
    <xf numFmtId="0" fontId="52" fillId="0" borderId="0" xfId="2" applyFont="1"/>
    <xf numFmtId="173" fontId="52" fillId="0" borderId="0" xfId="2" applyNumberFormat="1" applyFont="1"/>
    <xf numFmtId="0" fontId="12" fillId="4" borderId="47" xfId="0" applyFont="1" applyFill="1" applyBorder="1"/>
    <xf numFmtId="4" fontId="33" fillId="4" borderId="0" xfId="2" applyNumberFormat="1" applyFont="1" applyFill="1"/>
    <xf numFmtId="4" fontId="5" fillId="0" borderId="5" xfId="2" applyNumberFormat="1" applyFont="1" applyBorder="1"/>
    <xf numFmtId="10" fontId="9" fillId="4" borderId="56" xfId="9" applyNumberFormat="1" applyFont="1" applyFill="1" applyBorder="1"/>
    <xf numFmtId="165" fontId="9" fillId="4" borderId="56" xfId="9" applyNumberFormat="1" applyFont="1" applyFill="1" applyBorder="1"/>
    <xf numFmtId="4" fontId="12" fillId="4" borderId="62" xfId="0" applyNumberFormat="1" applyFont="1" applyFill="1" applyBorder="1"/>
    <xf numFmtId="172" fontId="12" fillId="4" borderId="62" xfId="0" applyNumberFormat="1" applyFont="1" applyFill="1" applyBorder="1"/>
    <xf numFmtId="192" fontId="0" fillId="0" borderId="0" xfId="9" applyNumberFormat="1" applyFont="1"/>
    <xf numFmtId="188" fontId="0" fillId="0" borderId="0" xfId="9" applyNumberFormat="1" applyFont="1"/>
    <xf numFmtId="188" fontId="3" fillId="4" borderId="0" xfId="9" applyNumberFormat="1" applyFont="1" applyFill="1"/>
    <xf numFmtId="10" fontId="35" fillId="4" borderId="0" xfId="9" applyNumberFormat="1" applyFont="1" applyFill="1"/>
    <xf numFmtId="188" fontId="36" fillId="4" borderId="0" xfId="9" applyNumberFormat="1" applyFont="1" applyFill="1"/>
    <xf numFmtId="188" fontId="10" fillId="4" borderId="0" xfId="9" applyNumberFormat="1" applyFont="1" applyFill="1" applyBorder="1"/>
    <xf numFmtId="10" fontId="0" fillId="0" borderId="0" xfId="9" applyNumberFormat="1" applyFont="1"/>
    <xf numFmtId="10" fontId="18" fillId="0" borderId="0" xfId="9" applyNumberFormat="1" applyFont="1" applyFill="1"/>
    <xf numFmtId="166" fontId="18" fillId="0" borderId="0" xfId="9" applyNumberFormat="1" applyFont="1" applyFill="1"/>
    <xf numFmtId="188" fontId="18" fillId="0" borderId="0" xfId="9" applyNumberFormat="1" applyFont="1" applyFill="1"/>
    <xf numFmtId="191" fontId="3" fillId="0" borderId="0" xfId="2" applyNumberFormat="1"/>
    <xf numFmtId="167" fontId="24" fillId="0" borderId="0" xfId="2" applyNumberFormat="1" applyFont="1"/>
    <xf numFmtId="166" fontId="24" fillId="0" borderId="0" xfId="9" applyNumberFormat="1" applyFont="1" applyFill="1"/>
    <xf numFmtId="10" fontId="24" fillId="0" borderId="0" xfId="9" applyNumberFormat="1" applyFont="1" applyFill="1"/>
    <xf numFmtId="173" fontId="33" fillId="0" borderId="0" xfId="2" applyNumberFormat="1" applyFont="1"/>
    <xf numFmtId="188" fontId="19" fillId="0" borderId="0" xfId="3" applyNumberFormat="1" applyFont="1"/>
    <xf numFmtId="10" fontId="19" fillId="0" borderId="0" xfId="3" applyNumberFormat="1" applyFont="1"/>
    <xf numFmtId="192" fontId="18" fillId="0" borderId="0" xfId="3" applyNumberFormat="1" applyFont="1"/>
    <xf numFmtId="166" fontId="12" fillId="0" borderId="47" xfId="0" applyNumberFormat="1" applyFont="1" applyBorder="1"/>
    <xf numFmtId="166" fontId="12" fillId="0" borderId="47" xfId="2" applyNumberFormat="1" applyFont="1" applyBorder="1"/>
    <xf numFmtId="166" fontId="12" fillId="0" borderId="48" xfId="2" applyNumberFormat="1" applyFont="1" applyBorder="1"/>
    <xf numFmtId="166" fontId="12" fillId="0" borderId="0" xfId="2" applyNumberFormat="1" applyFont="1"/>
    <xf numFmtId="166" fontId="12" fillId="0" borderId="44" xfId="2" applyNumberFormat="1" applyFont="1" applyBorder="1"/>
    <xf numFmtId="166" fontId="9" fillId="0" borderId="55" xfId="2" applyNumberFormat="1" applyFont="1" applyBorder="1"/>
    <xf numFmtId="166" fontId="12" fillId="0" borderId="55" xfId="2" applyNumberFormat="1" applyFont="1" applyBorder="1"/>
    <xf numFmtId="166" fontId="12" fillId="0" borderId="31" xfId="2" applyNumberFormat="1" applyFont="1" applyBorder="1"/>
    <xf numFmtId="166" fontId="12" fillId="0" borderId="8" xfId="2" applyNumberFormat="1" applyFont="1" applyBorder="1"/>
    <xf numFmtId="166" fontId="12" fillId="0" borderId="11" xfId="2" applyNumberFormat="1" applyFont="1" applyBorder="1"/>
    <xf numFmtId="166" fontId="20" fillId="0" borderId="22" xfId="2" applyNumberFormat="1" applyFont="1" applyBorder="1"/>
    <xf numFmtId="166" fontId="20" fillId="0" borderId="21" xfId="2" applyNumberFormat="1" applyFont="1" applyBorder="1"/>
    <xf numFmtId="10" fontId="18" fillId="0" borderId="0" xfId="3" applyNumberFormat="1" applyFont="1"/>
    <xf numFmtId="167" fontId="12" fillId="0" borderId="47" xfId="0" applyNumberFormat="1" applyFont="1" applyBorder="1"/>
    <xf numFmtId="167" fontId="12" fillId="0" borderId="47" xfId="2" applyNumberFormat="1" applyFont="1" applyBorder="1"/>
    <xf numFmtId="167" fontId="9" fillId="0" borderId="55" xfId="2" applyNumberFormat="1" applyFont="1" applyBorder="1"/>
    <xf numFmtId="167" fontId="12" fillId="0" borderId="31" xfId="2" applyNumberFormat="1" applyFont="1" applyBorder="1"/>
    <xf numFmtId="167" fontId="12" fillId="0" borderId="8" xfId="2" applyNumberFormat="1" applyFont="1" applyBorder="1"/>
    <xf numFmtId="167" fontId="12" fillId="0" borderId="11" xfId="2" applyNumberFormat="1" applyFont="1" applyBorder="1"/>
    <xf numFmtId="167" fontId="20" fillId="0" borderId="22" xfId="2" applyNumberFormat="1" applyFont="1" applyBorder="1"/>
    <xf numFmtId="174" fontId="10" fillId="0" borderId="47" xfId="2" applyNumberFormat="1" applyFont="1" applyBorder="1"/>
    <xf numFmtId="187" fontId="49" fillId="0" borderId="0" xfId="2" applyNumberFormat="1" applyFont="1"/>
    <xf numFmtId="0" fontId="18" fillId="0" borderId="0" xfId="9" applyNumberFormat="1" applyFont="1" applyBorder="1"/>
    <xf numFmtId="10" fontId="33" fillId="0" borderId="0" xfId="3" applyNumberFormat="1" applyFont="1"/>
    <xf numFmtId="0" fontId="6" fillId="0" borderId="19" xfId="2" applyFont="1" applyBorder="1" applyAlignment="1">
      <alignment horizontal="center" vertical="center" wrapText="1"/>
    </xf>
    <xf numFmtId="0" fontId="6" fillId="0" borderId="30" xfId="2" applyFont="1" applyBorder="1" applyAlignment="1">
      <alignment horizontal="center" vertical="center" wrapText="1"/>
    </xf>
    <xf numFmtId="4" fontId="10" fillId="0" borderId="1" xfId="2" applyNumberFormat="1" applyFont="1" applyBorder="1" applyAlignment="1">
      <alignment horizontal="center"/>
    </xf>
    <xf numFmtId="4" fontId="10" fillId="0" borderId="6" xfId="2" applyNumberFormat="1" applyFont="1" applyBorder="1" applyAlignment="1">
      <alignment horizontal="center"/>
    </xf>
    <xf numFmtId="4" fontId="10" fillId="4" borderId="1" xfId="2" applyNumberFormat="1" applyFont="1" applyFill="1" applyBorder="1" applyAlignment="1">
      <alignment horizontal="center"/>
    </xf>
    <xf numFmtId="4" fontId="10" fillId="4" borderId="6" xfId="2" applyNumberFormat="1" applyFont="1" applyFill="1" applyBorder="1" applyAlignment="1">
      <alignment horizontal="center"/>
    </xf>
    <xf numFmtId="0" fontId="6" fillId="4" borderId="19" xfId="2" applyFont="1" applyFill="1" applyBorder="1" applyAlignment="1">
      <alignment horizontal="center" vertical="center" wrapText="1"/>
    </xf>
    <xf numFmtId="0" fontId="6" fillId="4" borderId="30" xfId="2" applyFont="1" applyFill="1" applyBorder="1" applyAlignment="1">
      <alignment horizontal="center" vertical="center" wrapText="1"/>
    </xf>
    <xf numFmtId="0" fontId="5" fillId="4" borderId="0" xfId="2" applyFont="1" applyFill="1" applyAlignment="1">
      <alignment horizontal="center"/>
    </xf>
    <xf numFmtId="0" fontId="5" fillId="0" borderId="5" xfId="2" applyFont="1" applyBorder="1" applyAlignment="1">
      <alignment horizontal="center" vertical="center"/>
    </xf>
    <xf numFmtId="0" fontId="6" fillId="0" borderId="3" xfId="2" applyFont="1" applyBorder="1" applyAlignment="1">
      <alignment horizontal="center"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xf numFmtId="0" fontId="9" fillId="0" borderId="0" xfId="0" applyFont="1" applyAlignment="1">
      <alignment horizontal="center" vertical="center" wrapText="1"/>
    </xf>
    <xf numFmtId="0" fontId="12" fillId="0" borderId="0" xfId="0" applyFont="1" applyAlignment="1">
      <alignment horizontal="justify" vertical="center" wrapText="1"/>
    </xf>
    <xf numFmtId="170" fontId="13" fillId="0" borderId="0" xfId="0" applyNumberFormat="1" applyFont="1" applyAlignment="1">
      <alignment horizontal="left"/>
    </xf>
    <xf numFmtId="0" fontId="3" fillId="0" borderId="0" xfId="0" applyFont="1" applyAlignment="1">
      <alignment horizontal="center"/>
    </xf>
  </cellXfs>
  <cellStyles count="11">
    <cellStyle name="Millares" xfId="4" builtinId="3"/>
    <cellStyle name="Millares 6" xfId="10" xr:uid="{AFF8C8E0-C62D-438A-9BDA-90DD616A9B22}"/>
    <cellStyle name="No-definido" xfId="1" xr:uid="{00000000-0005-0000-0000-000001000000}"/>
    <cellStyle name="Normal" xfId="0" builtinId="0"/>
    <cellStyle name="Normal 2" xfId="5" xr:uid="{00000000-0005-0000-0000-000003000000}"/>
    <cellStyle name="Normal 3" xfId="6" xr:uid="{00000000-0005-0000-0000-000004000000}"/>
    <cellStyle name="Normal 4" xfId="8" xr:uid="{00000000-0005-0000-0000-000005000000}"/>
    <cellStyle name="Normal_792 TP 200809-2REG" xfId="7" xr:uid="{00000000-0005-0000-0000-000006000000}"/>
    <cellStyle name="Normal_determinación del Canon-dic01" xfId="2" xr:uid="{00000000-0005-0000-0000-000007000000}"/>
    <cellStyle name="Porcentaje" xfId="3" builtinId="5"/>
    <cellStyle name="Porcentaje 2" xfId="9" xr:uid="{00000000-0005-0000-0000-00000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2</xdr:col>
      <xdr:colOff>614987</xdr:colOff>
      <xdr:row>3</xdr:row>
      <xdr:rowOff>72390</xdr:rowOff>
    </xdr:to>
    <xdr:pic>
      <xdr:nvPicPr>
        <xdr:cNvPr id="2" name="Imagen 1">
          <a:extLst>
            <a:ext uri="{FF2B5EF4-FFF2-40B4-BE49-F238E27FC236}">
              <a16:creationId xmlns:a16="http://schemas.microsoft.com/office/drawing/2014/main" id="{3EA0C414-80D0-4655-AC22-E226E808A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1386512" cy="472440"/>
        </a:xfrm>
        <a:prstGeom prst="rect">
          <a:avLst/>
        </a:prstGeom>
        <a:solidFill>
          <a:srgbClr xmlns:mc="http://schemas.openxmlformats.org/markup-compatibility/2006" xmlns:a14="http://schemas.microsoft.com/office/drawing/2010/main" val="FFFFFF" mc:Ignorable="a14" a14:legacySpreadsheetColorIndex="1"/>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P154"/>
  <sheetViews>
    <sheetView topLeftCell="A108" zoomScale="145" zoomScaleNormal="145" workbookViewId="0">
      <pane xSplit="3" topLeftCell="G1" activePane="topRight" state="frozen"/>
      <selection activeCell="A19" sqref="A19"/>
      <selection pane="topRight" activeCell="H136" sqref="H136"/>
    </sheetView>
  </sheetViews>
  <sheetFormatPr baseColWidth="10" defaultColWidth="11.5546875" defaultRowHeight="10.5" x14ac:dyDescent="0.15"/>
  <cols>
    <col min="1" max="1" width="4.109375" style="481" customWidth="1"/>
    <col min="2" max="2" width="5.77734375" style="481" bestFit="1" customWidth="1"/>
    <col min="3" max="3" width="10.109375" style="481" customWidth="1"/>
    <col min="4" max="4" width="5.109375" style="481" customWidth="1"/>
    <col min="5" max="6" width="13.5546875" style="481" bestFit="1" customWidth="1"/>
    <col min="7" max="7" width="13.5546875" style="481" customWidth="1"/>
    <col min="8" max="8" width="7" style="481" bestFit="1" customWidth="1"/>
    <col min="9" max="9" width="9.109375" style="481" customWidth="1"/>
    <col min="10" max="11" width="11.109375" style="481" bestFit="1" customWidth="1"/>
    <col min="12" max="12" width="10.109375" style="481" bestFit="1" customWidth="1"/>
    <col min="13" max="13" width="8.44140625" style="481" bestFit="1" customWidth="1"/>
    <col min="14" max="14" width="26.5546875" style="481" customWidth="1"/>
    <col min="15" max="15" width="11.5546875" style="481"/>
    <col min="16" max="16" width="6.77734375" style="481" bestFit="1" customWidth="1"/>
    <col min="17" max="16384" width="11.5546875" style="481"/>
  </cols>
  <sheetData>
    <row r="6" spans="1:16" ht="11.25" x14ac:dyDescent="0.15">
      <c r="N6" s="482" t="s">
        <v>241</v>
      </c>
      <c r="P6" s="483" t="s">
        <v>242</v>
      </c>
    </row>
    <row r="8" spans="1:16" ht="11.25" x14ac:dyDescent="0.15">
      <c r="A8" s="484" t="s">
        <v>243</v>
      </c>
      <c r="N8" s="482" t="s">
        <v>244</v>
      </c>
      <c r="P8" s="485">
        <v>45238</v>
      </c>
    </row>
    <row r="10" spans="1:16" ht="11.25" x14ac:dyDescent="0.15">
      <c r="A10" s="486" t="s">
        <v>245</v>
      </c>
      <c r="N10" s="482" t="s">
        <v>246</v>
      </c>
      <c r="P10" s="487">
        <v>0.7210185185185185</v>
      </c>
    </row>
    <row r="13" spans="1:16" ht="11.25" x14ac:dyDescent="0.15">
      <c r="I13" s="488" t="s">
        <v>247</v>
      </c>
    </row>
    <row r="15" spans="1:16" ht="11.25" x14ac:dyDescent="0.15">
      <c r="I15" s="488" t="s">
        <v>248</v>
      </c>
    </row>
    <row r="20" spans="1:14" ht="11.25" x14ac:dyDescent="0.15">
      <c r="E20" s="488" t="s">
        <v>249</v>
      </c>
      <c r="F20" s="488" t="s">
        <v>249</v>
      </c>
      <c r="G20" s="488"/>
      <c r="H20" s="488" t="s">
        <v>250</v>
      </c>
      <c r="I20" s="488" t="s">
        <v>250</v>
      </c>
      <c r="J20" s="488" t="s">
        <v>251</v>
      </c>
      <c r="K20" s="488" t="s">
        <v>251</v>
      </c>
    </row>
    <row r="21" spans="1:14" ht="11.25" x14ac:dyDescent="0.15">
      <c r="A21" s="488" t="s">
        <v>117</v>
      </c>
      <c r="B21" s="488" t="s">
        <v>123</v>
      </c>
      <c r="C21" s="488" t="s">
        <v>252</v>
      </c>
      <c r="D21" s="488" t="s">
        <v>123</v>
      </c>
      <c r="E21" s="488" t="s">
        <v>253</v>
      </c>
      <c r="F21" s="488" t="s">
        <v>254</v>
      </c>
      <c r="G21" s="488"/>
      <c r="H21" s="488" t="s">
        <v>253</v>
      </c>
      <c r="I21" s="488" t="s">
        <v>255</v>
      </c>
      <c r="J21" s="488" t="s">
        <v>256</v>
      </c>
      <c r="K21" s="488" t="s">
        <v>257</v>
      </c>
      <c r="L21" s="488" t="s">
        <v>258</v>
      </c>
      <c r="M21" s="488" t="s">
        <v>259</v>
      </c>
      <c r="N21" s="488" t="s">
        <v>260</v>
      </c>
    </row>
    <row r="22" spans="1:14" ht="11.25" hidden="1" x14ac:dyDescent="0.15">
      <c r="J22" s="488" t="s">
        <v>261</v>
      </c>
      <c r="K22" s="488" t="s">
        <v>261</v>
      </c>
      <c r="L22" s="488" t="s">
        <v>261</v>
      </c>
    </row>
    <row r="23" spans="1:14" hidden="1" x14ac:dyDescent="0.15"/>
    <row r="24" spans="1:14" hidden="1" x14ac:dyDescent="0.15"/>
    <row r="25" spans="1:14" hidden="1" x14ac:dyDescent="0.15"/>
    <row r="26" spans="1:14" s="489" customFormat="1" ht="11.25" hidden="1" x14ac:dyDescent="0.15">
      <c r="A26" s="486" t="s">
        <v>262</v>
      </c>
      <c r="C26" s="490" t="s">
        <v>263</v>
      </c>
    </row>
    <row r="27" spans="1:14" hidden="1" x14ac:dyDescent="0.15"/>
    <row r="28" spans="1:14" ht="11.25" hidden="1" x14ac:dyDescent="0.15">
      <c r="A28" s="491" t="s">
        <v>264</v>
      </c>
      <c r="B28" s="492">
        <v>2023</v>
      </c>
      <c r="C28" s="484" t="s">
        <v>265</v>
      </c>
      <c r="D28" s="484" t="s">
        <v>266</v>
      </c>
      <c r="E28" s="493">
        <v>27963146.59</v>
      </c>
      <c r="F28" s="493">
        <v>25283022.289999999</v>
      </c>
      <c r="G28" s="493"/>
      <c r="H28" s="494">
        <v>5.415</v>
      </c>
      <c r="I28" s="494">
        <v>4.8959999999999999</v>
      </c>
      <c r="J28" s="493">
        <v>10625995.699999999</v>
      </c>
      <c r="K28" s="493">
        <v>9607548.4700000007</v>
      </c>
      <c r="L28" s="493">
        <v>-1018447.23</v>
      </c>
      <c r="M28" s="495">
        <v>45233</v>
      </c>
      <c r="N28" s="484" t="s">
        <v>267</v>
      </c>
    </row>
    <row r="29" spans="1:14" hidden="1" x14ac:dyDescent="0.15"/>
    <row r="30" spans="1:14" hidden="1" x14ac:dyDescent="0.15"/>
    <row r="31" spans="1:14" ht="11.25" hidden="1" x14ac:dyDescent="0.15">
      <c r="A31" s="491" t="s">
        <v>264</v>
      </c>
      <c r="B31" s="492">
        <v>2023</v>
      </c>
      <c r="C31" s="484" t="s">
        <v>268</v>
      </c>
      <c r="D31" s="484" t="s">
        <v>269</v>
      </c>
      <c r="E31" s="493">
        <v>24372650.98</v>
      </c>
      <c r="F31" s="493">
        <v>22855598.18</v>
      </c>
      <c r="G31" s="493"/>
      <c r="H31" s="494">
        <v>4.8840000000000003</v>
      </c>
      <c r="I31" s="494">
        <v>4.58</v>
      </c>
      <c r="J31" s="493">
        <v>9261607.3699999992</v>
      </c>
      <c r="K31" s="493">
        <v>8685127.3100000005</v>
      </c>
      <c r="L31" s="493">
        <v>-576480.06000000006</v>
      </c>
      <c r="M31" s="495">
        <v>45233</v>
      </c>
      <c r="N31" s="484" t="s">
        <v>270</v>
      </c>
    </row>
    <row r="32" spans="1:14" hidden="1" x14ac:dyDescent="0.15"/>
    <row r="33" spans="1:14" hidden="1" x14ac:dyDescent="0.15"/>
    <row r="34" spans="1:14" hidden="1" x14ac:dyDescent="0.15"/>
    <row r="35" spans="1:14" ht="11.25" hidden="1" x14ac:dyDescent="0.15">
      <c r="J35" s="482" t="s">
        <v>271</v>
      </c>
      <c r="L35" s="496">
        <v>-1594927.29</v>
      </c>
    </row>
    <row r="36" spans="1:14" hidden="1" x14ac:dyDescent="0.15"/>
    <row r="37" spans="1:14" ht="11.25" hidden="1" x14ac:dyDescent="0.15">
      <c r="A37" s="491" t="s">
        <v>272</v>
      </c>
      <c r="B37" s="492">
        <v>2023</v>
      </c>
      <c r="C37" s="484" t="s">
        <v>265</v>
      </c>
      <c r="D37" s="484" t="s">
        <v>269</v>
      </c>
      <c r="E37" s="493">
        <v>17874602.969999999</v>
      </c>
      <c r="F37" s="493">
        <v>16902455.449999999</v>
      </c>
      <c r="G37" s="493"/>
      <c r="H37" s="494">
        <v>4.7069999999999999</v>
      </c>
      <c r="I37" s="494">
        <v>4.4509999999999996</v>
      </c>
      <c r="J37" s="493">
        <v>1942969.34</v>
      </c>
      <c r="K37" s="493">
        <v>1837296.91</v>
      </c>
      <c r="L37" s="493">
        <v>-105672.43</v>
      </c>
      <c r="M37" s="495">
        <v>45233</v>
      </c>
      <c r="N37" s="484" t="s">
        <v>273</v>
      </c>
    </row>
    <row r="38" spans="1:14" hidden="1" x14ac:dyDescent="0.15"/>
    <row r="39" spans="1:14" hidden="1" x14ac:dyDescent="0.15"/>
    <row r="40" spans="1:14" ht="11.25" hidden="1" x14ac:dyDescent="0.15">
      <c r="A40" s="491" t="s">
        <v>272</v>
      </c>
      <c r="B40" s="492">
        <v>2023</v>
      </c>
      <c r="C40" s="484" t="s">
        <v>265</v>
      </c>
      <c r="D40" s="484" t="s">
        <v>266</v>
      </c>
      <c r="E40" s="493">
        <v>18534725.210000001</v>
      </c>
      <c r="F40" s="493">
        <v>17526675.57</v>
      </c>
      <c r="G40" s="493"/>
      <c r="H40" s="494">
        <v>4.7069999999999999</v>
      </c>
      <c r="I40" s="494">
        <v>4.4509999999999996</v>
      </c>
      <c r="J40" s="493">
        <v>2061061.4434</v>
      </c>
      <c r="K40" s="493">
        <v>1948966.3234000001</v>
      </c>
      <c r="L40" s="493">
        <v>-112095.12</v>
      </c>
      <c r="M40" s="495">
        <v>45233</v>
      </c>
      <c r="N40" s="484" t="s">
        <v>274</v>
      </c>
    </row>
    <row r="41" spans="1:14" hidden="1" x14ac:dyDescent="0.15"/>
    <row r="42" spans="1:14" hidden="1" x14ac:dyDescent="0.15"/>
    <row r="43" spans="1:14" ht="11.25" hidden="1" x14ac:dyDescent="0.15">
      <c r="A43" s="491" t="s">
        <v>272</v>
      </c>
      <c r="B43" s="492">
        <v>2023</v>
      </c>
      <c r="C43" s="484" t="s">
        <v>268</v>
      </c>
      <c r="D43" s="484" t="s">
        <v>269</v>
      </c>
      <c r="E43" s="493">
        <v>18131148.359999999</v>
      </c>
      <c r="F43" s="493">
        <v>17145048.09</v>
      </c>
      <c r="G43" s="493"/>
      <c r="H43" s="494">
        <v>4.7069999999999999</v>
      </c>
      <c r="I43" s="494">
        <v>4.4509999999999996</v>
      </c>
      <c r="J43" s="493">
        <v>1987173.86</v>
      </c>
      <c r="K43" s="493">
        <v>1879097.27</v>
      </c>
      <c r="L43" s="493">
        <v>-108076.59</v>
      </c>
      <c r="M43" s="495">
        <v>45233</v>
      </c>
      <c r="N43" s="484" t="s">
        <v>274</v>
      </c>
    </row>
    <row r="44" spans="1:14" hidden="1" x14ac:dyDescent="0.15"/>
    <row r="45" spans="1:14" hidden="1" x14ac:dyDescent="0.15"/>
    <row r="46" spans="1:14" hidden="1" x14ac:dyDescent="0.15"/>
    <row r="47" spans="1:14" ht="11.25" hidden="1" x14ac:dyDescent="0.15">
      <c r="J47" s="482" t="s">
        <v>271</v>
      </c>
      <c r="L47" s="496">
        <v>-325844.14</v>
      </c>
    </row>
    <row r="48" spans="1:14" hidden="1" x14ac:dyDescent="0.15"/>
    <row r="49" spans="1:14" ht="11.25" hidden="1" x14ac:dyDescent="0.15">
      <c r="A49" s="491" t="s">
        <v>275</v>
      </c>
      <c r="B49" s="492">
        <v>2023</v>
      </c>
      <c r="C49" s="484" t="s">
        <v>268</v>
      </c>
      <c r="D49" s="484" t="s">
        <v>269</v>
      </c>
      <c r="E49" s="493">
        <v>158453.95790000001</v>
      </c>
      <c r="F49" s="493">
        <v>160506.7984</v>
      </c>
      <c r="G49" s="493"/>
      <c r="H49" s="494">
        <v>3.0025999999999997</v>
      </c>
      <c r="I49" s="494">
        <v>3.0415000000000005</v>
      </c>
      <c r="J49" s="493">
        <v>31690.79</v>
      </c>
      <c r="K49" s="493">
        <v>32101.360000000001</v>
      </c>
      <c r="L49" s="493">
        <v>410.57</v>
      </c>
      <c r="M49" s="495">
        <v>45223</v>
      </c>
      <c r="N49" s="484" t="s">
        <v>276</v>
      </c>
    </row>
    <row r="50" spans="1:14" hidden="1" x14ac:dyDescent="0.15"/>
    <row r="51" spans="1:14" hidden="1" x14ac:dyDescent="0.15"/>
    <row r="52" spans="1:14" hidden="1" x14ac:dyDescent="0.15"/>
    <row r="53" spans="1:14" ht="11.25" hidden="1" x14ac:dyDescent="0.15">
      <c r="J53" s="482" t="s">
        <v>271</v>
      </c>
      <c r="L53" s="496">
        <v>410.57</v>
      </c>
    </row>
    <row r="54" spans="1:14" hidden="1" x14ac:dyDescent="0.15"/>
    <row r="55" spans="1:14" ht="11.25" hidden="1" x14ac:dyDescent="0.15">
      <c r="A55" s="491" t="s">
        <v>20</v>
      </c>
      <c r="B55" s="492">
        <v>2023</v>
      </c>
      <c r="C55" s="484" t="s">
        <v>268</v>
      </c>
      <c r="D55" s="484" t="s">
        <v>269</v>
      </c>
      <c r="E55" s="493">
        <v>635801.16</v>
      </c>
      <c r="F55" s="493">
        <v>645979.21</v>
      </c>
      <c r="G55" s="493"/>
      <c r="H55" s="494">
        <v>2.7235999999999994</v>
      </c>
      <c r="I55" s="494">
        <v>2.7671999999999999</v>
      </c>
      <c r="J55" s="493">
        <v>155771.28</v>
      </c>
      <c r="K55" s="493">
        <v>158264.91</v>
      </c>
      <c r="L55" s="493">
        <v>2493.63</v>
      </c>
      <c r="M55" s="495">
        <v>45233</v>
      </c>
      <c r="N55" s="484" t="s">
        <v>277</v>
      </c>
    </row>
    <row r="56" spans="1:14" hidden="1" x14ac:dyDescent="0.15"/>
    <row r="57" spans="1:14" hidden="1" x14ac:dyDescent="0.15"/>
    <row r="58" spans="1:14" hidden="1" x14ac:dyDescent="0.15"/>
    <row r="59" spans="1:14" ht="11.25" hidden="1" x14ac:dyDescent="0.15">
      <c r="J59" s="482" t="s">
        <v>271</v>
      </c>
      <c r="L59" s="496">
        <v>2493.63</v>
      </c>
    </row>
    <row r="60" spans="1:14" hidden="1" x14ac:dyDescent="0.15"/>
    <row r="61" spans="1:14" ht="11.25" hidden="1" x14ac:dyDescent="0.15">
      <c r="A61" s="482" t="s">
        <v>262</v>
      </c>
      <c r="C61" s="484" t="s">
        <v>278</v>
      </c>
    </row>
    <row r="62" spans="1:14" hidden="1" x14ac:dyDescent="0.15"/>
    <row r="63" spans="1:14" ht="11.25" hidden="1" x14ac:dyDescent="0.15">
      <c r="A63" s="491" t="s">
        <v>279</v>
      </c>
      <c r="B63" s="492">
        <v>2023</v>
      </c>
      <c r="C63" s="484" t="s">
        <v>265</v>
      </c>
      <c r="D63" s="484" t="s">
        <v>269</v>
      </c>
      <c r="E63" s="493">
        <v>75945.119999999995</v>
      </c>
      <c r="F63" s="493">
        <v>80933.38</v>
      </c>
      <c r="G63" s="493"/>
      <c r="H63" s="494">
        <v>3.59</v>
      </c>
      <c r="I63" s="494">
        <v>3.8257999999999996</v>
      </c>
      <c r="J63" s="493">
        <v>16707.93</v>
      </c>
      <c r="K63" s="493">
        <v>17805.34</v>
      </c>
      <c r="L63" s="493">
        <v>1097.4100000000001</v>
      </c>
      <c r="M63" s="495">
        <v>45233</v>
      </c>
      <c r="N63" s="484" t="s">
        <v>280</v>
      </c>
    </row>
    <row r="64" spans="1:14" hidden="1" x14ac:dyDescent="0.15"/>
    <row r="65" spans="1:14" hidden="1" x14ac:dyDescent="0.15"/>
    <row r="66" spans="1:14" hidden="1" x14ac:dyDescent="0.15"/>
    <row r="67" spans="1:14" ht="11.25" hidden="1" x14ac:dyDescent="0.15">
      <c r="J67" s="482" t="s">
        <v>271</v>
      </c>
      <c r="L67" s="496">
        <v>1097.4100000000001</v>
      </c>
    </row>
    <row r="68" spans="1:14" hidden="1" x14ac:dyDescent="0.15"/>
    <row r="69" spans="1:14" ht="11.25" hidden="1" x14ac:dyDescent="0.15">
      <c r="A69" s="482" t="s">
        <v>262</v>
      </c>
      <c r="C69" s="484" t="s">
        <v>281</v>
      </c>
    </row>
    <row r="70" spans="1:14" hidden="1" x14ac:dyDescent="0.15"/>
    <row r="71" spans="1:14" ht="11.25" hidden="1" x14ac:dyDescent="0.15">
      <c r="A71" s="491" t="s">
        <v>282</v>
      </c>
      <c r="B71" s="492">
        <v>2023</v>
      </c>
      <c r="C71" s="484" t="s">
        <v>265</v>
      </c>
      <c r="D71" s="484" t="s">
        <v>266</v>
      </c>
      <c r="E71" s="493">
        <v>5397558.29</v>
      </c>
      <c r="F71" s="493">
        <v>4880229.99</v>
      </c>
      <c r="G71" s="493"/>
      <c r="H71" s="494">
        <v>5.415</v>
      </c>
      <c r="I71" s="494">
        <v>4.8959999999999999</v>
      </c>
      <c r="J71" s="493">
        <v>2051072.15</v>
      </c>
      <c r="K71" s="493">
        <v>1854487.4</v>
      </c>
      <c r="L71" s="493">
        <v>-196584.75</v>
      </c>
      <c r="M71" s="495">
        <v>45233</v>
      </c>
      <c r="N71" s="484" t="s">
        <v>267</v>
      </c>
    </row>
    <row r="72" spans="1:14" hidden="1" x14ac:dyDescent="0.15"/>
    <row r="73" spans="1:14" hidden="1" x14ac:dyDescent="0.15"/>
    <row r="74" spans="1:14" ht="11.25" hidden="1" x14ac:dyDescent="0.15">
      <c r="A74" s="491" t="s">
        <v>282</v>
      </c>
      <c r="B74" s="492">
        <v>2023</v>
      </c>
      <c r="C74" s="484" t="s">
        <v>268</v>
      </c>
      <c r="D74" s="484" t="s">
        <v>269</v>
      </c>
      <c r="E74" s="493">
        <v>4311923.08</v>
      </c>
      <c r="F74" s="493">
        <v>4043531.47</v>
      </c>
      <c r="G74" s="493"/>
      <c r="H74" s="494">
        <v>4.8840000000000003</v>
      </c>
      <c r="I74" s="494">
        <v>4.58</v>
      </c>
      <c r="J74" s="493">
        <v>1638530.77</v>
      </c>
      <c r="K74" s="493">
        <v>1536541.96</v>
      </c>
      <c r="L74" s="493">
        <v>-101988.81</v>
      </c>
      <c r="M74" s="495">
        <v>45233</v>
      </c>
      <c r="N74" s="484" t="s">
        <v>283</v>
      </c>
    </row>
    <row r="75" spans="1:14" hidden="1" x14ac:dyDescent="0.15"/>
    <row r="76" spans="1:14" hidden="1" x14ac:dyDescent="0.15"/>
    <row r="77" spans="1:14" hidden="1" x14ac:dyDescent="0.15"/>
    <row r="78" spans="1:14" ht="11.25" hidden="1" x14ac:dyDescent="0.15">
      <c r="J78" s="482" t="s">
        <v>271</v>
      </c>
      <c r="L78" s="496">
        <v>-298573.56</v>
      </c>
    </row>
    <row r="79" spans="1:14" hidden="1" x14ac:dyDescent="0.15"/>
    <row r="80" spans="1:14" s="489" customFormat="1" ht="11.25" hidden="1" x14ac:dyDescent="0.15">
      <c r="A80" s="486" t="s">
        <v>262</v>
      </c>
      <c r="C80" s="490" t="s">
        <v>284</v>
      </c>
    </row>
    <row r="82" spans="1:14" ht="11.25" x14ac:dyDescent="0.15">
      <c r="A82" s="491" t="s">
        <v>285</v>
      </c>
      <c r="B82" s="492">
        <v>2021</v>
      </c>
      <c r="C82" s="484" t="s">
        <v>286</v>
      </c>
      <c r="D82" s="484" t="s">
        <v>269</v>
      </c>
      <c r="E82" s="493">
        <v>111201.63</v>
      </c>
      <c r="F82" s="493">
        <v>102573.26</v>
      </c>
      <c r="G82" s="496">
        <f>E82/H82</f>
        <v>2206.0007498705581</v>
      </c>
      <c r="H82" s="494">
        <v>50.408699999999996</v>
      </c>
      <c r="I82" s="494">
        <v>46.497399999999999</v>
      </c>
      <c r="J82" s="493">
        <v>44814.26</v>
      </c>
      <c r="K82" s="493">
        <v>41337.019999999997</v>
      </c>
      <c r="L82" s="493">
        <v>-3477.24</v>
      </c>
      <c r="M82" s="495">
        <v>45233</v>
      </c>
      <c r="N82" s="484" t="s">
        <v>287</v>
      </c>
    </row>
    <row r="83" spans="1:14" ht="11.25" x14ac:dyDescent="0.15">
      <c r="A83" s="491" t="s">
        <v>285</v>
      </c>
      <c r="B83" s="492">
        <v>2021</v>
      </c>
      <c r="C83" s="484" t="s">
        <v>286</v>
      </c>
      <c r="D83" s="484" t="s">
        <v>266</v>
      </c>
      <c r="E83" s="493">
        <v>104544.09</v>
      </c>
      <c r="F83" s="493">
        <v>95685.61</v>
      </c>
      <c r="G83" s="496">
        <f t="shared" ref="G83:G133" si="0">E83/H83</f>
        <v>2145.9996551426848</v>
      </c>
      <c r="H83" s="494">
        <v>48.715800000000002</v>
      </c>
      <c r="I83" s="494">
        <v>44.587899999999998</v>
      </c>
      <c r="J83" s="493">
        <v>41085.83</v>
      </c>
      <c r="K83" s="493">
        <v>37604.44</v>
      </c>
      <c r="L83" s="493">
        <v>-3481.39</v>
      </c>
      <c r="M83" s="495">
        <v>45233</v>
      </c>
      <c r="N83" s="484" t="s">
        <v>287</v>
      </c>
    </row>
    <row r="84" spans="1:14" ht="11.25" x14ac:dyDescent="0.15">
      <c r="A84" s="491" t="s">
        <v>285</v>
      </c>
      <c r="B84" s="492">
        <v>2021</v>
      </c>
      <c r="C84" s="484" t="s">
        <v>288</v>
      </c>
      <c r="D84" s="484" t="s">
        <v>269</v>
      </c>
      <c r="E84" s="493">
        <v>94664.3</v>
      </c>
      <c r="F84" s="493">
        <v>86618.28</v>
      </c>
      <c r="G84" s="496">
        <f t="shared" si="0"/>
        <v>1979.0004682822403</v>
      </c>
      <c r="H84" s="494">
        <v>47.834400000000002</v>
      </c>
      <c r="I84" s="494">
        <v>43.768699999999995</v>
      </c>
      <c r="J84" s="493">
        <v>36540.42</v>
      </c>
      <c r="K84" s="493">
        <v>33434.660000000003</v>
      </c>
      <c r="L84" s="493">
        <v>-3105.76</v>
      </c>
      <c r="M84" s="495">
        <v>45233</v>
      </c>
      <c r="N84" s="484" t="s">
        <v>287</v>
      </c>
    </row>
    <row r="85" spans="1:14" ht="11.25" x14ac:dyDescent="0.15">
      <c r="A85" s="491" t="s">
        <v>285</v>
      </c>
      <c r="B85" s="492">
        <v>2021</v>
      </c>
      <c r="C85" s="484" t="s">
        <v>288</v>
      </c>
      <c r="D85" s="484" t="s">
        <v>266</v>
      </c>
      <c r="E85" s="493">
        <v>96722.09</v>
      </c>
      <c r="F85" s="493">
        <v>88418.38</v>
      </c>
      <c r="G85" s="496">
        <f t="shared" si="0"/>
        <v>2094.998278031801</v>
      </c>
      <c r="H85" s="494">
        <v>46.168100000000003</v>
      </c>
      <c r="I85" s="494">
        <v>42.20450000000001</v>
      </c>
      <c r="J85" s="493">
        <v>36657.67</v>
      </c>
      <c r="K85" s="493">
        <v>33510.57</v>
      </c>
      <c r="L85" s="493">
        <v>-3147.1</v>
      </c>
      <c r="M85" s="495">
        <v>45233</v>
      </c>
      <c r="N85" s="484" t="s">
        <v>287</v>
      </c>
    </row>
    <row r="86" spans="1:14" ht="11.25" x14ac:dyDescent="0.15">
      <c r="A86" s="491" t="s">
        <v>285</v>
      </c>
      <c r="B86" s="492">
        <v>2021</v>
      </c>
      <c r="C86" s="484" t="s">
        <v>265</v>
      </c>
      <c r="D86" s="484" t="s">
        <v>269</v>
      </c>
      <c r="E86" s="493">
        <v>87956.11</v>
      </c>
      <c r="F86" s="493">
        <v>81133.94</v>
      </c>
      <c r="G86" s="496">
        <f t="shared" si="0"/>
        <v>1796.9993523488079</v>
      </c>
      <c r="H86" s="494">
        <v>48.946100000000008</v>
      </c>
      <c r="I86" s="494">
        <v>45.149700000000003</v>
      </c>
      <c r="J86" s="493">
        <v>34390.839999999997</v>
      </c>
      <c r="K86" s="493">
        <v>31723.37</v>
      </c>
      <c r="L86" s="493">
        <v>-2667.47</v>
      </c>
      <c r="M86" s="495">
        <v>45233</v>
      </c>
      <c r="N86" s="484" t="s">
        <v>287</v>
      </c>
    </row>
    <row r="87" spans="1:14" ht="11.25" x14ac:dyDescent="0.15">
      <c r="A87" s="491" t="s">
        <v>285</v>
      </c>
      <c r="B87" s="492">
        <v>2021</v>
      </c>
      <c r="C87" s="484" t="s">
        <v>265</v>
      </c>
      <c r="D87" s="484" t="s">
        <v>266</v>
      </c>
      <c r="E87" s="493">
        <v>102122.85</v>
      </c>
      <c r="F87" s="493">
        <v>94884.62</v>
      </c>
      <c r="G87" s="496">
        <f t="shared" si="0"/>
        <v>1841.999556287461</v>
      </c>
      <c r="H87" s="494">
        <v>55.441299999999998</v>
      </c>
      <c r="I87" s="494">
        <v>51.511699999999998</v>
      </c>
      <c r="J87" s="493">
        <v>41257.629999999997</v>
      </c>
      <c r="K87" s="493">
        <v>38333.39</v>
      </c>
      <c r="L87" s="493">
        <v>-2924.24</v>
      </c>
      <c r="M87" s="495">
        <v>45233</v>
      </c>
      <c r="N87" s="484" t="s">
        <v>287</v>
      </c>
    </row>
    <row r="88" spans="1:14" ht="11.25" x14ac:dyDescent="0.15">
      <c r="A88" s="491" t="s">
        <v>285</v>
      </c>
      <c r="B88" s="492">
        <v>2021</v>
      </c>
      <c r="C88" s="484" t="s">
        <v>268</v>
      </c>
      <c r="D88" s="484" t="s">
        <v>269</v>
      </c>
      <c r="E88" s="493">
        <v>100169</v>
      </c>
      <c r="F88" s="493">
        <v>93212.41</v>
      </c>
      <c r="G88" s="496">
        <f t="shared" si="0"/>
        <v>1727.0011051400218</v>
      </c>
      <c r="H88" s="494">
        <v>58.0017</v>
      </c>
      <c r="I88" s="494">
        <v>53.973599999999998</v>
      </c>
      <c r="J88" s="493">
        <v>42772.160000000003</v>
      </c>
      <c r="K88" s="493">
        <v>39801.699999999997</v>
      </c>
      <c r="L88" s="493">
        <v>-2970.46</v>
      </c>
      <c r="M88" s="495">
        <v>45233</v>
      </c>
      <c r="N88" s="484" t="s">
        <v>287</v>
      </c>
    </row>
    <row r="89" spans="1:14" ht="11.25" x14ac:dyDescent="0.15">
      <c r="A89" s="491" t="s">
        <v>285</v>
      </c>
      <c r="B89" s="492">
        <v>2021</v>
      </c>
      <c r="C89" s="484" t="s">
        <v>268</v>
      </c>
      <c r="D89" s="484" t="s">
        <v>266</v>
      </c>
      <c r="E89" s="493">
        <v>111006.61</v>
      </c>
      <c r="F89" s="493">
        <v>103461.81</v>
      </c>
      <c r="G89" s="496">
        <f t="shared" si="0"/>
        <v>1963.9992073700432</v>
      </c>
      <c r="H89" s="494">
        <v>56.520699999999998</v>
      </c>
      <c r="I89" s="494">
        <v>52.679099999999998</v>
      </c>
      <c r="J89" s="493">
        <v>48398.879999999997</v>
      </c>
      <c r="K89" s="493">
        <v>45109.35</v>
      </c>
      <c r="L89" s="493">
        <v>-3289.53</v>
      </c>
      <c r="M89" s="495">
        <v>45233</v>
      </c>
      <c r="N89" s="484" t="s">
        <v>287</v>
      </c>
    </row>
    <row r="90" spans="1:14" ht="11.25" x14ac:dyDescent="0.15">
      <c r="A90" s="491" t="s">
        <v>285</v>
      </c>
      <c r="B90" s="492">
        <v>2021</v>
      </c>
      <c r="C90" s="484" t="s">
        <v>289</v>
      </c>
      <c r="D90" s="484" t="s">
        <v>269</v>
      </c>
      <c r="E90" s="493">
        <v>60324.24</v>
      </c>
      <c r="F90" s="493">
        <v>55620.24</v>
      </c>
      <c r="G90" s="496">
        <f t="shared" si="0"/>
        <v>1215.9987744109915</v>
      </c>
      <c r="H90" s="494">
        <v>49.608800000000002</v>
      </c>
      <c r="I90" s="494">
        <v>45.740299999999998</v>
      </c>
      <c r="J90" s="493">
        <v>23767.75</v>
      </c>
      <c r="K90" s="493">
        <v>21914.37</v>
      </c>
      <c r="L90" s="493">
        <v>-1853.38</v>
      </c>
      <c r="M90" s="495">
        <v>45233</v>
      </c>
      <c r="N90" s="484" t="s">
        <v>287</v>
      </c>
    </row>
    <row r="91" spans="1:14" ht="11.25" x14ac:dyDescent="0.15">
      <c r="A91" s="491" t="s">
        <v>285</v>
      </c>
      <c r="B91" s="492">
        <v>2021</v>
      </c>
      <c r="C91" s="484" t="s">
        <v>289</v>
      </c>
      <c r="D91" s="484" t="s">
        <v>266</v>
      </c>
      <c r="E91" s="493">
        <v>59208.78</v>
      </c>
      <c r="F91" s="493">
        <v>52626.06</v>
      </c>
      <c r="G91" s="496">
        <f t="shared" si="0"/>
        <v>1304.000176190109</v>
      </c>
      <c r="H91" s="494">
        <v>45.405500000000004</v>
      </c>
      <c r="I91" s="494">
        <v>40.357399999999998</v>
      </c>
      <c r="J91" s="493">
        <v>23742.720000000001</v>
      </c>
      <c r="K91" s="493">
        <v>21103.05</v>
      </c>
      <c r="L91" s="493">
        <v>-2639.67</v>
      </c>
      <c r="M91" s="495">
        <v>45233</v>
      </c>
      <c r="N91" s="484" t="s">
        <v>287</v>
      </c>
    </row>
    <row r="92" spans="1:14" ht="11.25" x14ac:dyDescent="0.15">
      <c r="A92" s="491" t="s">
        <v>285</v>
      </c>
      <c r="B92" s="492">
        <v>2022</v>
      </c>
      <c r="C92" s="484" t="s">
        <v>290</v>
      </c>
      <c r="D92" s="484" t="s">
        <v>269</v>
      </c>
      <c r="E92" s="493">
        <v>79057.23</v>
      </c>
      <c r="F92" s="493">
        <v>70365.05</v>
      </c>
      <c r="G92" s="496">
        <f t="shared" si="0"/>
        <v>1640.9983747195197</v>
      </c>
      <c r="H92" s="494">
        <v>48.176299999999998</v>
      </c>
      <c r="I92" s="494">
        <v>42.879399999999997</v>
      </c>
      <c r="J92" s="493">
        <v>34073.67</v>
      </c>
      <c r="K92" s="493">
        <v>30327.34</v>
      </c>
      <c r="L92" s="493">
        <v>-3746.33</v>
      </c>
      <c r="M92" s="495">
        <v>45233</v>
      </c>
      <c r="N92" s="484" t="s">
        <v>287</v>
      </c>
    </row>
    <row r="93" spans="1:14" ht="11.25" x14ac:dyDescent="0.15">
      <c r="A93" s="491" t="s">
        <v>285</v>
      </c>
      <c r="B93" s="492">
        <v>2022</v>
      </c>
      <c r="C93" s="484" t="s">
        <v>290</v>
      </c>
      <c r="D93" s="484" t="s">
        <v>266</v>
      </c>
      <c r="E93" s="493">
        <v>247402.75</v>
      </c>
      <c r="F93" s="493">
        <v>227016.2</v>
      </c>
      <c r="G93" s="496">
        <f t="shared" si="0"/>
        <v>4463.9970192234832</v>
      </c>
      <c r="H93" s="494">
        <v>55.42179999999999</v>
      </c>
      <c r="I93" s="494">
        <v>50.854900000000001</v>
      </c>
      <c r="J93" s="493">
        <v>112568.25</v>
      </c>
      <c r="K93" s="493">
        <v>103292.37</v>
      </c>
      <c r="L93" s="493">
        <v>-9275.8799999999992</v>
      </c>
      <c r="M93" s="495">
        <v>45233</v>
      </c>
      <c r="N93" s="484" t="s">
        <v>287</v>
      </c>
    </row>
    <row r="94" spans="1:14" ht="11.25" x14ac:dyDescent="0.15">
      <c r="A94" s="491" t="s">
        <v>285</v>
      </c>
      <c r="B94" s="492">
        <v>2022</v>
      </c>
      <c r="C94" s="484" t="s">
        <v>291</v>
      </c>
      <c r="D94" s="484" t="s">
        <v>269</v>
      </c>
      <c r="E94" s="493">
        <v>250933.67</v>
      </c>
      <c r="F94" s="493">
        <v>231410.38</v>
      </c>
      <c r="G94" s="496">
        <f t="shared" si="0"/>
        <v>3951.9976250248055</v>
      </c>
      <c r="H94" s="494">
        <v>63.495399999999997</v>
      </c>
      <c r="I94" s="494">
        <v>58.55530000000001</v>
      </c>
      <c r="J94" s="493">
        <v>118440.69</v>
      </c>
      <c r="K94" s="493">
        <v>109225.7</v>
      </c>
      <c r="L94" s="493">
        <v>-9214.99</v>
      </c>
      <c r="M94" s="495">
        <v>45233</v>
      </c>
      <c r="N94" s="484" t="s">
        <v>287</v>
      </c>
    </row>
    <row r="95" spans="1:14" ht="11.25" x14ac:dyDescent="0.15">
      <c r="A95" s="491" t="s">
        <v>285</v>
      </c>
      <c r="B95" s="492">
        <v>2022</v>
      </c>
      <c r="C95" s="484" t="s">
        <v>291</v>
      </c>
      <c r="D95" s="484" t="s">
        <v>266</v>
      </c>
      <c r="E95" s="493">
        <v>281835.81</v>
      </c>
      <c r="F95" s="493">
        <v>260132.02</v>
      </c>
      <c r="G95" s="496">
        <f t="shared" si="0"/>
        <v>4162.0022623766181</v>
      </c>
      <c r="H95" s="494">
        <v>67.716399999999993</v>
      </c>
      <c r="I95" s="494">
        <v>62.5017</v>
      </c>
      <c r="J95" s="493">
        <v>136690.37</v>
      </c>
      <c r="K95" s="493">
        <v>126164.03</v>
      </c>
      <c r="L95" s="493">
        <v>-10526.34</v>
      </c>
      <c r="M95" s="495">
        <v>45233</v>
      </c>
      <c r="N95" s="484" t="s">
        <v>287</v>
      </c>
    </row>
    <row r="96" spans="1:14" ht="11.25" x14ac:dyDescent="0.15">
      <c r="A96" s="491" t="s">
        <v>285</v>
      </c>
      <c r="B96" s="492">
        <v>2022</v>
      </c>
      <c r="C96" s="484" t="s">
        <v>292</v>
      </c>
      <c r="D96" s="484" t="s">
        <v>269</v>
      </c>
      <c r="E96" s="493">
        <v>326385.05</v>
      </c>
      <c r="F96" s="493">
        <v>304721.09000000003</v>
      </c>
      <c r="G96" s="496">
        <f t="shared" si="0"/>
        <v>4003.0005482301485</v>
      </c>
      <c r="H96" s="494">
        <v>81.5351</v>
      </c>
      <c r="I96" s="494">
        <v>76.123199999999997</v>
      </c>
      <c r="J96" s="493">
        <v>180164.55</v>
      </c>
      <c r="K96" s="493">
        <v>168206.04</v>
      </c>
      <c r="L96" s="493">
        <v>-11958.51</v>
      </c>
      <c r="M96" s="495">
        <v>45233</v>
      </c>
      <c r="N96" s="484" t="s">
        <v>287</v>
      </c>
    </row>
    <row r="97" spans="1:14" ht="11.25" x14ac:dyDescent="0.15">
      <c r="A97" s="491" t="s">
        <v>285</v>
      </c>
      <c r="B97" s="492">
        <v>2022</v>
      </c>
      <c r="C97" s="484" t="s">
        <v>292</v>
      </c>
      <c r="D97" s="484" t="s">
        <v>266</v>
      </c>
      <c r="E97" s="493">
        <v>300925.31</v>
      </c>
      <c r="F97" s="493">
        <v>283737.15999999997</v>
      </c>
      <c r="G97" s="496">
        <f t="shared" si="0"/>
        <v>3607.0018375103832</v>
      </c>
      <c r="H97" s="494">
        <v>83.428100000000001</v>
      </c>
      <c r="I97" s="494">
        <v>78.662899999999993</v>
      </c>
      <c r="J97" s="493">
        <v>163101.51999999999</v>
      </c>
      <c r="K97" s="493">
        <v>153785.54</v>
      </c>
      <c r="L97" s="493">
        <v>-9315.98</v>
      </c>
      <c r="M97" s="495">
        <v>45233</v>
      </c>
      <c r="N97" s="484" t="s">
        <v>287</v>
      </c>
    </row>
    <row r="98" spans="1:14" ht="11.25" x14ac:dyDescent="0.15">
      <c r="A98" s="491" t="s">
        <v>285</v>
      </c>
      <c r="B98" s="492">
        <v>2022</v>
      </c>
      <c r="C98" s="484" t="s">
        <v>293</v>
      </c>
      <c r="D98" s="484" t="s">
        <v>269</v>
      </c>
      <c r="E98" s="493">
        <v>261561.15</v>
      </c>
      <c r="F98" s="493">
        <v>243172.94</v>
      </c>
      <c r="G98" s="496">
        <f t="shared" si="0"/>
        <v>3580.998584364484</v>
      </c>
      <c r="H98" s="494">
        <v>73.041399999999996</v>
      </c>
      <c r="I98" s="494">
        <v>67.906400000000005</v>
      </c>
      <c r="J98" s="493">
        <v>132611.5</v>
      </c>
      <c r="K98" s="493">
        <v>123288.68</v>
      </c>
      <c r="L98" s="493">
        <v>-9322.82</v>
      </c>
      <c r="M98" s="495">
        <v>45233</v>
      </c>
      <c r="N98" s="484" t="s">
        <v>287</v>
      </c>
    </row>
    <row r="99" spans="1:14" ht="11.25" x14ac:dyDescent="0.15">
      <c r="A99" s="491" t="s">
        <v>285</v>
      </c>
      <c r="B99" s="492">
        <v>2022</v>
      </c>
      <c r="C99" s="484" t="s">
        <v>293</v>
      </c>
      <c r="D99" s="484" t="s">
        <v>266</v>
      </c>
      <c r="E99" s="493">
        <v>251205.83</v>
      </c>
      <c r="F99" s="493">
        <v>232140.51</v>
      </c>
      <c r="G99" s="496">
        <f t="shared" si="0"/>
        <v>3549.0022194876951</v>
      </c>
      <c r="H99" s="494">
        <v>70.7821</v>
      </c>
      <c r="I99" s="494">
        <v>65.4101</v>
      </c>
      <c r="J99" s="493">
        <v>128366.18</v>
      </c>
      <c r="K99" s="493">
        <v>118623.8</v>
      </c>
      <c r="L99" s="493">
        <v>-9742.3799999999992</v>
      </c>
      <c r="M99" s="495">
        <v>45233</v>
      </c>
      <c r="N99" s="484" t="s">
        <v>287</v>
      </c>
    </row>
    <row r="100" spans="1:14" ht="11.25" x14ac:dyDescent="0.15">
      <c r="A100" s="491" t="s">
        <v>285</v>
      </c>
      <c r="B100" s="492">
        <v>2022</v>
      </c>
      <c r="C100" s="484" t="s">
        <v>294</v>
      </c>
      <c r="D100" s="484" t="s">
        <v>269</v>
      </c>
      <c r="E100" s="493">
        <v>272662.18</v>
      </c>
      <c r="F100" s="493">
        <v>253909</v>
      </c>
      <c r="G100" s="496">
        <f t="shared" si="0"/>
        <v>3701.9984331871065</v>
      </c>
      <c r="H100" s="494">
        <v>73.652699999999996</v>
      </c>
      <c r="I100" s="494">
        <v>68.587000000000003</v>
      </c>
      <c r="J100" s="493">
        <v>143420.31</v>
      </c>
      <c r="K100" s="493">
        <v>133556.13</v>
      </c>
      <c r="L100" s="493">
        <v>-9864.18</v>
      </c>
      <c r="M100" s="495">
        <v>45233</v>
      </c>
      <c r="N100" s="484" t="s">
        <v>287</v>
      </c>
    </row>
    <row r="101" spans="1:14" ht="11.25" x14ac:dyDescent="0.15">
      <c r="A101" s="491" t="s">
        <v>285</v>
      </c>
      <c r="B101" s="492">
        <v>2022</v>
      </c>
      <c r="C101" s="484" t="s">
        <v>294</v>
      </c>
      <c r="D101" s="484" t="s">
        <v>266</v>
      </c>
      <c r="E101" s="493">
        <v>314605.34999999998</v>
      </c>
      <c r="F101" s="493">
        <v>294411.40999999997</v>
      </c>
      <c r="G101" s="496">
        <f t="shared" si="0"/>
        <v>4055.0026100574205</v>
      </c>
      <c r="H101" s="494">
        <v>77.584500000000006</v>
      </c>
      <c r="I101" s="494">
        <v>72.604500000000002</v>
      </c>
      <c r="J101" s="493">
        <v>173662.15</v>
      </c>
      <c r="K101" s="493">
        <v>162515.1</v>
      </c>
      <c r="L101" s="493">
        <v>-11147.05</v>
      </c>
      <c r="M101" s="495">
        <v>45233</v>
      </c>
      <c r="N101" s="484" t="s">
        <v>287</v>
      </c>
    </row>
    <row r="102" spans="1:14" ht="11.25" x14ac:dyDescent="0.15">
      <c r="A102" s="491" t="s">
        <v>285</v>
      </c>
      <c r="B102" s="492">
        <v>2022</v>
      </c>
      <c r="C102" s="484" t="s">
        <v>295</v>
      </c>
      <c r="D102" s="484" t="s">
        <v>269</v>
      </c>
      <c r="E102" s="493">
        <v>285308.56</v>
      </c>
      <c r="F102" s="493">
        <v>268729.09999999998</v>
      </c>
      <c r="G102" s="496">
        <f t="shared" si="0"/>
        <v>3447.0003056659348</v>
      </c>
      <c r="H102" s="494">
        <v>82.770099999999999</v>
      </c>
      <c r="I102" s="494">
        <v>77.960300000000004</v>
      </c>
      <c r="J102" s="493">
        <v>166620.20000000001</v>
      </c>
      <c r="K102" s="493">
        <v>156937.79</v>
      </c>
      <c r="L102" s="493">
        <v>-9682.41</v>
      </c>
      <c r="M102" s="495">
        <v>45233</v>
      </c>
      <c r="N102" s="484" t="s">
        <v>287</v>
      </c>
    </row>
    <row r="103" spans="1:14" ht="11.25" x14ac:dyDescent="0.15">
      <c r="A103" s="491" t="s">
        <v>285</v>
      </c>
      <c r="B103" s="492">
        <v>2022</v>
      </c>
      <c r="C103" s="484" t="s">
        <v>295</v>
      </c>
      <c r="D103" s="484" t="s">
        <v>266</v>
      </c>
      <c r="E103" s="493">
        <v>297703.71999999997</v>
      </c>
      <c r="F103" s="493">
        <v>280941.51</v>
      </c>
      <c r="G103" s="496">
        <f t="shared" si="0"/>
        <v>3696.9979807713794</v>
      </c>
      <c r="H103" s="494">
        <v>80.525800000000004</v>
      </c>
      <c r="I103" s="494">
        <v>75.991799999999998</v>
      </c>
      <c r="J103" s="493">
        <v>165523.26999999999</v>
      </c>
      <c r="K103" s="493">
        <v>156203.48000000001</v>
      </c>
      <c r="L103" s="493">
        <v>-9319.7900000000009</v>
      </c>
      <c r="M103" s="495">
        <v>45233</v>
      </c>
      <c r="N103" s="484" t="s">
        <v>287</v>
      </c>
    </row>
    <row r="104" spans="1:14" ht="11.25" x14ac:dyDescent="0.15">
      <c r="A104" s="491" t="s">
        <v>285</v>
      </c>
      <c r="B104" s="492">
        <v>2022</v>
      </c>
      <c r="C104" s="484" t="s">
        <v>286</v>
      </c>
      <c r="D104" s="484" t="s">
        <v>269</v>
      </c>
      <c r="E104" s="493">
        <v>284496.95</v>
      </c>
      <c r="F104" s="493">
        <v>268297.2</v>
      </c>
      <c r="G104" s="496">
        <f t="shared" si="0"/>
        <v>3766.9990135520734</v>
      </c>
      <c r="H104" s="494">
        <v>75.523499999999999</v>
      </c>
      <c r="I104" s="494">
        <v>71.222999999999999</v>
      </c>
      <c r="J104" s="493">
        <v>149076.4</v>
      </c>
      <c r="K104" s="493">
        <v>140587.73000000001</v>
      </c>
      <c r="L104" s="493">
        <v>-8488.67</v>
      </c>
      <c r="M104" s="495">
        <v>45233</v>
      </c>
      <c r="N104" s="484" t="s">
        <v>287</v>
      </c>
    </row>
    <row r="105" spans="1:14" ht="11.25" x14ac:dyDescent="0.15">
      <c r="A105" s="491" t="s">
        <v>285</v>
      </c>
      <c r="B105" s="492">
        <v>2022</v>
      </c>
      <c r="C105" s="484" t="s">
        <v>286</v>
      </c>
      <c r="D105" s="484" t="s">
        <v>266</v>
      </c>
      <c r="E105" s="493">
        <v>373797.3</v>
      </c>
      <c r="F105" s="493">
        <v>353505.7</v>
      </c>
      <c r="G105" s="496">
        <f t="shared" si="0"/>
        <v>4899.0022372009689</v>
      </c>
      <c r="H105" s="494">
        <v>76.300700000000006</v>
      </c>
      <c r="I105" s="494">
        <v>72.158699999999996</v>
      </c>
      <c r="J105" s="493">
        <v>195869.79</v>
      </c>
      <c r="K105" s="493">
        <v>185236.99</v>
      </c>
      <c r="L105" s="493">
        <v>-10632.8</v>
      </c>
      <c r="M105" s="495">
        <v>45233</v>
      </c>
      <c r="N105" s="484" t="s">
        <v>287</v>
      </c>
    </row>
    <row r="106" spans="1:14" ht="11.25" x14ac:dyDescent="0.15">
      <c r="A106" s="491" t="s">
        <v>285</v>
      </c>
      <c r="B106" s="492">
        <v>2022</v>
      </c>
      <c r="C106" s="484" t="s">
        <v>288</v>
      </c>
      <c r="D106" s="484" t="s">
        <v>269</v>
      </c>
      <c r="E106" s="493">
        <v>286413.34000000003</v>
      </c>
      <c r="F106" s="493">
        <v>268590.24</v>
      </c>
      <c r="G106" s="496">
        <f t="shared" si="0"/>
        <v>4081.0027058181504</v>
      </c>
      <c r="H106" s="494">
        <v>70.182100000000005</v>
      </c>
      <c r="I106" s="494">
        <v>65.814800000000005</v>
      </c>
      <c r="J106" s="493">
        <v>140915.35999999999</v>
      </c>
      <c r="K106" s="493">
        <v>132146.4</v>
      </c>
      <c r="L106" s="493">
        <v>-8768.9599999999991</v>
      </c>
      <c r="M106" s="495">
        <v>45233</v>
      </c>
      <c r="N106" s="484" t="s">
        <v>287</v>
      </c>
    </row>
    <row r="107" spans="1:14" ht="11.25" x14ac:dyDescent="0.15">
      <c r="A107" s="491" t="s">
        <v>285</v>
      </c>
      <c r="B107" s="492">
        <v>2022</v>
      </c>
      <c r="C107" s="484" t="s">
        <v>288</v>
      </c>
      <c r="D107" s="484" t="s">
        <v>266</v>
      </c>
      <c r="E107" s="493">
        <v>274561.24</v>
      </c>
      <c r="F107" s="493">
        <v>255751.62</v>
      </c>
      <c r="G107" s="496">
        <f t="shared" si="0"/>
        <v>4104.9993571016339</v>
      </c>
      <c r="H107" s="494">
        <v>66.884600000000006</v>
      </c>
      <c r="I107" s="494">
        <v>62.302500000000002</v>
      </c>
      <c r="J107" s="493">
        <v>132338.51999999999</v>
      </c>
      <c r="K107" s="493">
        <v>123272.28</v>
      </c>
      <c r="L107" s="493">
        <v>-9066.24</v>
      </c>
      <c r="M107" s="495">
        <v>45233</v>
      </c>
      <c r="N107" s="484" t="s">
        <v>287</v>
      </c>
    </row>
    <row r="108" spans="1:14" ht="11.25" x14ac:dyDescent="0.15">
      <c r="A108" s="491" t="s">
        <v>285</v>
      </c>
      <c r="B108" s="492">
        <v>2022</v>
      </c>
      <c r="C108" s="484" t="s">
        <v>265</v>
      </c>
      <c r="D108" s="484" t="s">
        <v>269</v>
      </c>
      <c r="E108" s="493">
        <v>232372.78</v>
      </c>
      <c r="F108" s="493">
        <v>216346.69</v>
      </c>
      <c r="G108" s="496">
        <f t="shared" si="0"/>
        <v>3617.997754834812</v>
      </c>
      <c r="H108" s="494">
        <v>64.226900000000001</v>
      </c>
      <c r="I108" s="494">
        <v>59.797299999999993</v>
      </c>
      <c r="J108" s="493">
        <v>107356.22</v>
      </c>
      <c r="K108" s="493">
        <v>99952.17</v>
      </c>
      <c r="L108" s="493">
        <v>-7404.05</v>
      </c>
      <c r="M108" s="495">
        <v>45233</v>
      </c>
      <c r="N108" s="484" t="s">
        <v>287</v>
      </c>
    </row>
    <row r="109" spans="1:14" ht="11.25" x14ac:dyDescent="0.15">
      <c r="A109" s="491" t="s">
        <v>285</v>
      </c>
      <c r="B109" s="492">
        <v>2022</v>
      </c>
      <c r="C109" s="484" t="s">
        <v>265</v>
      </c>
      <c r="D109" s="484" t="s">
        <v>266</v>
      </c>
      <c r="E109" s="493">
        <v>228483.18</v>
      </c>
      <c r="F109" s="493">
        <v>211825.54</v>
      </c>
      <c r="G109" s="496">
        <f t="shared" si="0"/>
        <v>3726.9970263388404</v>
      </c>
      <c r="H109" s="494">
        <v>61.304900000000004</v>
      </c>
      <c r="I109" s="494">
        <v>56.8354</v>
      </c>
      <c r="J109" s="493">
        <v>102131.98</v>
      </c>
      <c r="K109" s="493">
        <v>94686.02</v>
      </c>
      <c r="L109" s="493">
        <v>-7445.96</v>
      </c>
      <c r="M109" s="495">
        <v>45233</v>
      </c>
      <c r="N109" s="484" t="s">
        <v>287</v>
      </c>
    </row>
    <row r="110" spans="1:14" ht="11.25" x14ac:dyDescent="0.15">
      <c r="A110" s="491" t="s">
        <v>285</v>
      </c>
      <c r="B110" s="492">
        <v>2022</v>
      </c>
      <c r="C110" s="484" t="s">
        <v>268</v>
      </c>
      <c r="D110" s="484" t="s">
        <v>269</v>
      </c>
      <c r="E110" s="493">
        <v>185522.33</v>
      </c>
      <c r="F110" s="493">
        <v>172560.27</v>
      </c>
      <c r="G110" s="496">
        <f t="shared" si="0"/>
        <v>2959.9982449562435</v>
      </c>
      <c r="H110" s="494">
        <v>62.676499999999997</v>
      </c>
      <c r="I110" s="494">
        <v>58.29740000000001</v>
      </c>
      <c r="J110" s="493">
        <v>87195.5</v>
      </c>
      <c r="K110" s="493">
        <v>81103.33</v>
      </c>
      <c r="L110" s="493">
        <v>-6092.17</v>
      </c>
      <c r="M110" s="495">
        <v>45233</v>
      </c>
      <c r="N110" s="484" t="s">
        <v>287</v>
      </c>
    </row>
    <row r="111" spans="1:14" ht="11.25" x14ac:dyDescent="0.15">
      <c r="A111" s="491" t="s">
        <v>285</v>
      </c>
      <c r="B111" s="492">
        <v>2022</v>
      </c>
      <c r="C111" s="484" t="s">
        <v>296</v>
      </c>
      <c r="D111" s="484" t="s">
        <v>269</v>
      </c>
      <c r="E111" s="493">
        <v>169201.15</v>
      </c>
      <c r="F111" s="493">
        <v>155874.31</v>
      </c>
      <c r="G111" s="496">
        <f t="shared" si="0"/>
        <v>2796.0015136642905</v>
      </c>
      <c r="H111" s="494">
        <v>60.5154</v>
      </c>
      <c r="I111" s="494">
        <v>55.749000000000002</v>
      </c>
      <c r="J111" s="493">
        <v>80201.350000000006</v>
      </c>
      <c r="K111" s="493">
        <v>73884.42</v>
      </c>
      <c r="L111" s="493">
        <v>-6316.93</v>
      </c>
      <c r="M111" s="495">
        <v>45233</v>
      </c>
      <c r="N111" s="484" t="s">
        <v>287</v>
      </c>
    </row>
    <row r="112" spans="1:14" ht="11.25" x14ac:dyDescent="0.15">
      <c r="A112" s="491" t="s">
        <v>285</v>
      </c>
      <c r="B112" s="492">
        <v>2022</v>
      </c>
      <c r="C112" s="484" t="s">
        <v>296</v>
      </c>
      <c r="D112" s="484" t="s">
        <v>266</v>
      </c>
      <c r="E112" s="493">
        <v>155658.68</v>
      </c>
      <c r="F112" s="493">
        <v>140673.96</v>
      </c>
      <c r="G112" s="496">
        <f t="shared" si="0"/>
        <v>2896.9994974967894</v>
      </c>
      <c r="H112" s="494">
        <v>53.731000000000002</v>
      </c>
      <c r="I112" s="494">
        <v>48.558500000000002</v>
      </c>
      <c r="J112" s="493">
        <v>68334.16</v>
      </c>
      <c r="K112" s="493">
        <v>61755.87</v>
      </c>
      <c r="L112" s="493">
        <v>-6578.29</v>
      </c>
      <c r="M112" s="495">
        <v>45233</v>
      </c>
      <c r="N112" s="484" t="s">
        <v>287</v>
      </c>
    </row>
    <row r="113" spans="1:14" ht="11.25" x14ac:dyDescent="0.15">
      <c r="A113" s="491" t="s">
        <v>285</v>
      </c>
      <c r="B113" s="492">
        <v>2022</v>
      </c>
      <c r="C113" s="484" t="s">
        <v>289</v>
      </c>
      <c r="D113" s="484" t="s">
        <v>269</v>
      </c>
      <c r="E113" s="493">
        <v>153195.68</v>
      </c>
      <c r="F113" s="493">
        <v>136803.79999999999</v>
      </c>
      <c r="G113" s="496">
        <f t="shared" si="0"/>
        <v>3082.9973536189009</v>
      </c>
      <c r="H113" s="494">
        <v>49.6905</v>
      </c>
      <c r="I113" s="494">
        <v>44.373600000000003</v>
      </c>
      <c r="J113" s="493">
        <v>64188.99</v>
      </c>
      <c r="K113" s="493">
        <v>57320.79</v>
      </c>
      <c r="L113" s="493">
        <v>-6868.2</v>
      </c>
      <c r="M113" s="495">
        <v>45233</v>
      </c>
      <c r="N113" s="484" t="s">
        <v>287</v>
      </c>
    </row>
    <row r="114" spans="1:14" ht="11.25" x14ac:dyDescent="0.15">
      <c r="A114" s="491" t="s">
        <v>285</v>
      </c>
      <c r="B114" s="492">
        <v>2022</v>
      </c>
      <c r="C114" s="484" t="s">
        <v>289</v>
      </c>
      <c r="D114" s="484" t="s">
        <v>266</v>
      </c>
      <c r="E114" s="493">
        <v>158164.21</v>
      </c>
      <c r="F114" s="493">
        <v>141918.20000000001</v>
      </c>
      <c r="G114" s="496">
        <f t="shared" si="0"/>
        <v>3222.0019637880737</v>
      </c>
      <c r="H114" s="494">
        <v>49.088799999999999</v>
      </c>
      <c r="I114" s="494">
        <v>44.046599999999998</v>
      </c>
      <c r="J114" s="493">
        <v>66428.97</v>
      </c>
      <c r="K114" s="493">
        <v>59605.64</v>
      </c>
      <c r="L114" s="493">
        <v>-6823.33</v>
      </c>
      <c r="M114" s="495">
        <v>45233</v>
      </c>
      <c r="N114" s="484" t="s">
        <v>287</v>
      </c>
    </row>
    <row r="115" spans="1:14" ht="11.25" x14ac:dyDescent="0.15">
      <c r="A115" s="491" t="s">
        <v>285</v>
      </c>
      <c r="B115" s="492">
        <v>2023</v>
      </c>
      <c r="C115" s="484" t="s">
        <v>290</v>
      </c>
      <c r="D115" s="484" t="s">
        <v>269</v>
      </c>
      <c r="E115" s="493">
        <v>136823.45000000001</v>
      </c>
      <c r="F115" s="493">
        <v>123174.47</v>
      </c>
      <c r="G115" s="496">
        <f t="shared" si="0"/>
        <v>2756.9976041605801</v>
      </c>
      <c r="H115" s="494">
        <v>49.627699999999997</v>
      </c>
      <c r="I115" s="494">
        <v>44.677</v>
      </c>
      <c r="J115" s="493">
        <v>57192.2</v>
      </c>
      <c r="K115" s="493">
        <v>51486.93</v>
      </c>
      <c r="L115" s="493">
        <v>-5705.27</v>
      </c>
      <c r="M115" s="495">
        <v>45233</v>
      </c>
      <c r="N115" s="484" t="s">
        <v>287</v>
      </c>
    </row>
    <row r="116" spans="1:14" ht="11.25" x14ac:dyDescent="0.15">
      <c r="A116" s="491" t="s">
        <v>285</v>
      </c>
      <c r="B116" s="492">
        <v>2023</v>
      </c>
      <c r="C116" s="484" t="s">
        <v>290</v>
      </c>
      <c r="D116" s="484" t="s">
        <v>266</v>
      </c>
      <c r="E116" s="493">
        <v>150385.06</v>
      </c>
      <c r="F116" s="493">
        <v>135597.59</v>
      </c>
      <c r="G116" s="496">
        <f t="shared" si="0"/>
        <v>2903.0015462335409</v>
      </c>
      <c r="H116" s="494">
        <v>51.8033</v>
      </c>
      <c r="I116" s="494">
        <v>46.709499999999998</v>
      </c>
      <c r="J116" s="493">
        <v>66019.039999999994</v>
      </c>
      <c r="K116" s="493">
        <v>59527.34</v>
      </c>
      <c r="L116" s="493">
        <v>-6491.7</v>
      </c>
      <c r="M116" s="495">
        <v>45233</v>
      </c>
      <c r="N116" s="484" t="s">
        <v>287</v>
      </c>
    </row>
    <row r="117" spans="1:14" ht="11.25" x14ac:dyDescent="0.15">
      <c r="A117" s="491" t="s">
        <v>285</v>
      </c>
      <c r="B117" s="492">
        <v>2023</v>
      </c>
      <c r="C117" s="484" t="s">
        <v>291</v>
      </c>
      <c r="D117" s="484" t="s">
        <v>269</v>
      </c>
      <c r="E117" s="493">
        <v>126210.82</v>
      </c>
      <c r="F117" s="493">
        <v>113987.9</v>
      </c>
      <c r="G117" s="496">
        <f t="shared" si="0"/>
        <v>2376.0014307498259</v>
      </c>
      <c r="H117" s="494">
        <v>53.119</v>
      </c>
      <c r="I117" s="494">
        <v>47.974700000000006</v>
      </c>
      <c r="J117" s="493">
        <v>54144.44</v>
      </c>
      <c r="K117" s="493">
        <v>48900.81</v>
      </c>
      <c r="L117" s="493">
        <v>-5243.63</v>
      </c>
      <c r="M117" s="495">
        <v>45233</v>
      </c>
      <c r="N117" s="484" t="s">
        <v>287</v>
      </c>
    </row>
    <row r="118" spans="1:14" ht="11.25" x14ac:dyDescent="0.15">
      <c r="A118" s="491" t="s">
        <v>285</v>
      </c>
      <c r="B118" s="492">
        <v>2023</v>
      </c>
      <c r="C118" s="484" t="s">
        <v>291</v>
      </c>
      <c r="D118" s="484" t="s">
        <v>266</v>
      </c>
      <c r="E118" s="493">
        <v>87683.01</v>
      </c>
      <c r="F118" s="493">
        <v>79774.45</v>
      </c>
      <c r="G118" s="496">
        <f t="shared" si="0"/>
        <v>1625.9997107125371</v>
      </c>
      <c r="H118" s="494">
        <v>53.925600000000003</v>
      </c>
      <c r="I118" s="494">
        <v>49.061799999999991</v>
      </c>
      <c r="J118" s="493">
        <v>37352.959999999999</v>
      </c>
      <c r="K118" s="493">
        <v>33983.919999999998</v>
      </c>
      <c r="L118" s="493">
        <v>-3369.04</v>
      </c>
      <c r="M118" s="495">
        <v>45233</v>
      </c>
      <c r="N118" s="484" t="s">
        <v>287</v>
      </c>
    </row>
    <row r="119" spans="1:14" ht="11.25" x14ac:dyDescent="0.15">
      <c r="A119" s="491" t="s">
        <v>285</v>
      </c>
      <c r="B119" s="492">
        <v>2023</v>
      </c>
      <c r="C119" s="484" t="s">
        <v>292</v>
      </c>
      <c r="D119" s="484" t="s">
        <v>269</v>
      </c>
      <c r="E119" s="493">
        <v>152609.26</v>
      </c>
      <c r="F119" s="493">
        <v>140439.39000000001</v>
      </c>
      <c r="G119" s="496">
        <f t="shared" si="0"/>
        <v>2737.999730881364</v>
      </c>
      <c r="H119" s="494">
        <v>55.737499999999997</v>
      </c>
      <c r="I119" s="494">
        <v>51.292700000000004</v>
      </c>
      <c r="J119" s="493">
        <v>64858.94</v>
      </c>
      <c r="K119" s="493">
        <v>59686.74</v>
      </c>
      <c r="L119" s="493">
        <v>-5172.2</v>
      </c>
      <c r="M119" s="495">
        <v>45233</v>
      </c>
      <c r="N119" s="484" t="s">
        <v>287</v>
      </c>
    </row>
    <row r="120" spans="1:14" ht="11.25" x14ac:dyDescent="0.15">
      <c r="A120" s="491" t="s">
        <v>285</v>
      </c>
      <c r="B120" s="492">
        <v>2023</v>
      </c>
      <c r="C120" s="484" t="s">
        <v>292</v>
      </c>
      <c r="D120" s="484" t="s">
        <v>266</v>
      </c>
      <c r="E120" s="493">
        <v>143715.04999999999</v>
      </c>
      <c r="F120" s="493">
        <v>129146.05</v>
      </c>
      <c r="G120" s="496">
        <f t="shared" si="0"/>
        <v>2981.0030221757593</v>
      </c>
      <c r="H120" s="494">
        <v>48.210299999999997</v>
      </c>
      <c r="I120" s="494">
        <v>43.323099999999997</v>
      </c>
      <c r="J120" s="493">
        <v>57773.45</v>
      </c>
      <c r="K120" s="493">
        <v>51916.71</v>
      </c>
      <c r="L120" s="493">
        <v>-5856.74</v>
      </c>
      <c r="M120" s="495">
        <v>45233</v>
      </c>
      <c r="N120" s="484" t="s">
        <v>287</v>
      </c>
    </row>
    <row r="121" spans="1:14" ht="11.25" x14ac:dyDescent="0.15">
      <c r="A121" s="491" t="s">
        <v>285</v>
      </c>
      <c r="B121" s="492">
        <v>2023</v>
      </c>
      <c r="C121" s="484" t="s">
        <v>293</v>
      </c>
      <c r="D121" s="484" t="s">
        <v>269</v>
      </c>
      <c r="E121" s="493">
        <v>144738.23999999999</v>
      </c>
      <c r="F121" s="493">
        <v>133149.89000000001</v>
      </c>
      <c r="G121" s="496">
        <f t="shared" si="0"/>
        <v>2586.0014043262531</v>
      </c>
      <c r="H121" s="494">
        <v>55.96990000000001</v>
      </c>
      <c r="I121" s="494">
        <v>51.488700000000001</v>
      </c>
      <c r="J121" s="493">
        <v>63540.09</v>
      </c>
      <c r="K121" s="493">
        <v>58452.800000000003</v>
      </c>
      <c r="L121" s="493">
        <v>-5087.29</v>
      </c>
      <c r="M121" s="495">
        <v>45233</v>
      </c>
      <c r="N121" s="484" t="s">
        <v>287</v>
      </c>
    </row>
    <row r="122" spans="1:14" ht="11.25" x14ac:dyDescent="0.15">
      <c r="A122" s="491" t="s">
        <v>285</v>
      </c>
      <c r="B122" s="492">
        <v>2023</v>
      </c>
      <c r="C122" s="484" t="s">
        <v>293</v>
      </c>
      <c r="D122" s="484" t="s">
        <v>266</v>
      </c>
      <c r="E122" s="493">
        <v>107015.85</v>
      </c>
      <c r="F122" s="493">
        <v>99571.42</v>
      </c>
      <c r="G122" s="496">
        <f t="shared" si="0"/>
        <v>1820.0005442186127</v>
      </c>
      <c r="H122" s="494">
        <v>58.799900000000001</v>
      </c>
      <c r="I122" s="494">
        <v>54.709600000000002</v>
      </c>
      <c r="J122" s="493">
        <v>45588.75</v>
      </c>
      <c r="K122" s="493">
        <v>42417.42</v>
      </c>
      <c r="L122" s="493">
        <v>-3171.33</v>
      </c>
      <c r="M122" s="495">
        <v>45233</v>
      </c>
      <c r="N122" s="484" t="s">
        <v>287</v>
      </c>
    </row>
    <row r="123" spans="1:14" ht="11.25" x14ac:dyDescent="0.15">
      <c r="A123" s="491" t="s">
        <v>285</v>
      </c>
      <c r="B123" s="492">
        <v>2023</v>
      </c>
      <c r="C123" s="484" t="s">
        <v>294</v>
      </c>
      <c r="D123" s="484" t="s">
        <v>269</v>
      </c>
      <c r="E123" s="493">
        <v>110827.18</v>
      </c>
      <c r="F123" s="493">
        <v>101362.04</v>
      </c>
      <c r="G123" s="496">
        <f t="shared" si="0"/>
        <v>2052.0017848777893</v>
      </c>
      <c r="H123" s="494">
        <v>54.009300000000003</v>
      </c>
      <c r="I123" s="494">
        <v>49.396700000000003</v>
      </c>
      <c r="J123" s="493">
        <v>44220.04</v>
      </c>
      <c r="K123" s="493">
        <v>40443.449999999997</v>
      </c>
      <c r="L123" s="493">
        <v>-3776.59</v>
      </c>
      <c r="M123" s="495">
        <v>45233</v>
      </c>
      <c r="N123" s="484" t="s">
        <v>287</v>
      </c>
    </row>
    <row r="124" spans="1:14" ht="11.25" x14ac:dyDescent="0.15">
      <c r="A124" s="491" t="s">
        <v>285</v>
      </c>
      <c r="B124" s="492">
        <v>2023</v>
      </c>
      <c r="C124" s="484" t="s">
        <v>294</v>
      </c>
      <c r="D124" s="484" t="s">
        <v>266</v>
      </c>
      <c r="E124" s="493">
        <v>132838.95000000001</v>
      </c>
      <c r="F124" s="493">
        <v>120526.68</v>
      </c>
      <c r="G124" s="496">
        <f t="shared" si="0"/>
        <v>2439.000633440131</v>
      </c>
      <c r="H124" s="494">
        <v>54.464500000000001</v>
      </c>
      <c r="I124" s="494">
        <v>49.416400000000003</v>
      </c>
      <c r="J124" s="493">
        <v>53268.42</v>
      </c>
      <c r="K124" s="493">
        <v>48331.199999999997</v>
      </c>
      <c r="L124" s="493">
        <v>-4937.22</v>
      </c>
      <c r="M124" s="495">
        <v>45233</v>
      </c>
      <c r="N124" s="484" t="s">
        <v>287</v>
      </c>
    </row>
    <row r="125" spans="1:14" ht="11.25" x14ac:dyDescent="0.15">
      <c r="A125" s="491" t="s">
        <v>285</v>
      </c>
      <c r="B125" s="492">
        <v>2023</v>
      </c>
      <c r="C125" s="484" t="s">
        <v>295</v>
      </c>
      <c r="D125" s="484" t="s">
        <v>269</v>
      </c>
      <c r="E125" s="493">
        <v>189536.65</v>
      </c>
      <c r="F125" s="493">
        <v>171734.04</v>
      </c>
      <c r="G125" s="496">
        <f t="shared" si="0"/>
        <v>3463.0014671516974</v>
      </c>
      <c r="H125" s="494">
        <v>54.731900000000003</v>
      </c>
      <c r="I125" s="494">
        <v>49.591099999999997</v>
      </c>
      <c r="J125" s="493">
        <v>75814.66</v>
      </c>
      <c r="K125" s="493">
        <v>68693.62</v>
      </c>
      <c r="L125" s="493">
        <v>-7121.04</v>
      </c>
      <c r="M125" s="495">
        <v>45233</v>
      </c>
      <c r="N125" s="484" t="s">
        <v>287</v>
      </c>
    </row>
    <row r="126" spans="1:14" ht="11.25" x14ac:dyDescent="0.15">
      <c r="A126" s="491" t="s">
        <v>285</v>
      </c>
      <c r="B126" s="492">
        <v>2023</v>
      </c>
      <c r="C126" s="484" t="s">
        <v>295</v>
      </c>
      <c r="D126" s="484" t="s">
        <v>266</v>
      </c>
      <c r="E126" s="493">
        <v>191486.1</v>
      </c>
      <c r="F126" s="493">
        <v>173469.16</v>
      </c>
      <c r="G126" s="496">
        <f t="shared" si="0"/>
        <v>3524.0008318349878</v>
      </c>
      <c r="H126" s="494">
        <v>54.337699999999998</v>
      </c>
      <c r="I126" s="494">
        <v>49.225100000000005</v>
      </c>
      <c r="J126" s="493">
        <v>76211.47</v>
      </c>
      <c r="K126" s="493">
        <v>69040.73</v>
      </c>
      <c r="L126" s="493">
        <v>-7170.74</v>
      </c>
      <c r="M126" s="495">
        <v>45233</v>
      </c>
      <c r="N126" s="484" t="s">
        <v>287</v>
      </c>
    </row>
    <row r="127" spans="1:14" ht="11.25" x14ac:dyDescent="0.15">
      <c r="A127" s="491" t="s">
        <v>285</v>
      </c>
      <c r="B127" s="492">
        <v>2023</v>
      </c>
      <c r="C127" s="484" t="s">
        <v>286</v>
      </c>
      <c r="D127" s="484" t="s">
        <v>269</v>
      </c>
      <c r="E127" s="493">
        <v>144817.35999999999</v>
      </c>
      <c r="F127" s="493">
        <v>131575.35</v>
      </c>
      <c r="G127" s="496">
        <f t="shared" si="0"/>
        <v>2524.0014570526751</v>
      </c>
      <c r="H127" s="494">
        <v>57.376099999999994</v>
      </c>
      <c r="I127" s="494">
        <v>52.1297</v>
      </c>
      <c r="J127" s="493">
        <v>59954.39</v>
      </c>
      <c r="K127" s="493">
        <v>54472.19</v>
      </c>
      <c r="L127" s="493">
        <v>-5482.2</v>
      </c>
      <c r="M127" s="495">
        <v>45233</v>
      </c>
      <c r="N127" s="484" t="s">
        <v>287</v>
      </c>
    </row>
    <row r="128" spans="1:14" ht="11.25" x14ac:dyDescent="0.15">
      <c r="A128" s="491" t="s">
        <v>285</v>
      </c>
      <c r="B128" s="492">
        <v>2023</v>
      </c>
      <c r="C128" s="484" t="s">
        <v>286</v>
      </c>
      <c r="D128" s="484" t="s">
        <v>266</v>
      </c>
      <c r="E128" s="493">
        <v>157534.23000000001</v>
      </c>
      <c r="F128" s="493">
        <v>146804.29999999999</v>
      </c>
      <c r="G128" s="496">
        <f t="shared" si="0"/>
        <v>2530.9996963460303</v>
      </c>
      <c r="H128" s="494">
        <v>62.241900000000008</v>
      </c>
      <c r="I128" s="494">
        <v>58.002499999999998</v>
      </c>
      <c r="J128" s="493">
        <v>67267.12</v>
      </c>
      <c r="K128" s="493">
        <v>62685.440000000002</v>
      </c>
      <c r="L128" s="493">
        <v>-4581.68</v>
      </c>
      <c r="M128" s="495">
        <v>45233</v>
      </c>
      <c r="N128" s="484" t="s">
        <v>287</v>
      </c>
    </row>
    <row r="129" spans="1:14" ht="11.25" x14ac:dyDescent="0.15">
      <c r="A129" s="491" t="s">
        <v>285</v>
      </c>
      <c r="B129" s="492">
        <v>2023</v>
      </c>
      <c r="C129" s="484" t="s">
        <v>288</v>
      </c>
      <c r="D129" s="484" t="s">
        <v>269</v>
      </c>
      <c r="E129" s="493">
        <v>185192.73</v>
      </c>
      <c r="F129" s="493">
        <v>172700.36</v>
      </c>
      <c r="G129" s="496">
        <f t="shared" si="0"/>
        <v>2896.9996417716193</v>
      </c>
      <c r="H129" s="494">
        <v>63.925699999999999</v>
      </c>
      <c r="I129" s="494">
        <v>59.613500000000002</v>
      </c>
      <c r="J129" s="493">
        <v>82225.570000000007</v>
      </c>
      <c r="K129" s="493">
        <v>76678.960000000006</v>
      </c>
      <c r="L129" s="493">
        <v>-5546.61</v>
      </c>
      <c r="M129" s="495">
        <v>45233</v>
      </c>
      <c r="N129" s="484" t="s">
        <v>287</v>
      </c>
    </row>
    <row r="130" spans="1:14" ht="11.25" x14ac:dyDescent="0.15">
      <c r="A130" s="491" t="s">
        <v>285</v>
      </c>
      <c r="B130" s="492">
        <v>2023</v>
      </c>
      <c r="C130" s="484" t="s">
        <v>288</v>
      </c>
      <c r="D130" s="484" t="s">
        <v>266</v>
      </c>
      <c r="E130" s="493">
        <v>96457.14</v>
      </c>
      <c r="F130" s="493">
        <v>89290.41</v>
      </c>
      <c r="G130" s="496">
        <f t="shared" si="0"/>
        <v>1540.0001596564191</v>
      </c>
      <c r="H130" s="494">
        <v>62.63450000000001</v>
      </c>
      <c r="I130" s="494">
        <v>57.980800000000002</v>
      </c>
      <c r="J130" s="493">
        <v>42441.14</v>
      </c>
      <c r="K130" s="493">
        <v>39287.78</v>
      </c>
      <c r="L130" s="493">
        <v>-3153.36</v>
      </c>
      <c r="M130" s="495">
        <v>45233</v>
      </c>
      <c r="N130" s="484" t="s">
        <v>287</v>
      </c>
    </row>
    <row r="131" spans="1:14" ht="11.25" x14ac:dyDescent="0.15">
      <c r="A131" s="491" t="s">
        <v>285</v>
      </c>
      <c r="B131" s="492">
        <v>2023</v>
      </c>
      <c r="C131" s="484" t="s">
        <v>265</v>
      </c>
      <c r="D131" s="484" t="s">
        <v>269</v>
      </c>
      <c r="E131" s="493">
        <v>158774.07</v>
      </c>
      <c r="F131" s="493">
        <v>147752.14000000001</v>
      </c>
      <c r="G131" s="496">
        <f t="shared" si="0"/>
        <v>2375.0014210452314</v>
      </c>
      <c r="H131" s="494">
        <v>66.852199999999996</v>
      </c>
      <c r="I131" s="494">
        <v>62.211399999999998</v>
      </c>
      <c r="J131" s="493">
        <v>73829.94</v>
      </c>
      <c r="K131" s="493">
        <v>68704.75</v>
      </c>
      <c r="L131" s="493">
        <v>-5125.1899999999996</v>
      </c>
      <c r="M131" s="495">
        <v>45233</v>
      </c>
      <c r="N131" s="484" t="s">
        <v>287</v>
      </c>
    </row>
    <row r="132" spans="1:14" ht="11.25" x14ac:dyDescent="0.15">
      <c r="A132" s="491" t="s">
        <v>285</v>
      </c>
      <c r="B132" s="492">
        <v>2023</v>
      </c>
      <c r="C132" s="484" t="s">
        <v>265</v>
      </c>
      <c r="D132" s="484" t="s">
        <v>266</v>
      </c>
      <c r="E132" s="493">
        <v>188891.1</v>
      </c>
      <c r="F132" s="493">
        <v>176123.2</v>
      </c>
      <c r="G132" s="496">
        <f t="shared" si="0"/>
        <v>2761.0006723769989</v>
      </c>
      <c r="H132" s="494">
        <v>68.414000000000001</v>
      </c>
      <c r="I132" s="494">
        <v>63.7896</v>
      </c>
      <c r="J132" s="493">
        <v>89912.16</v>
      </c>
      <c r="K132" s="493">
        <v>83834.64</v>
      </c>
      <c r="L132" s="493">
        <v>-6077.52</v>
      </c>
      <c r="M132" s="495">
        <v>45233</v>
      </c>
      <c r="N132" s="484" t="s">
        <v>287</v>
      </c>
    </row>
    <row r="133" spans="1:14" ht="11.25" x14ac:dyDescent="0.15">
      <c r="A133" s="491" t="s">
        <v>285</v>
      </c>
      <c r="B133" s="492">
        <v>2023</v>
      </c>
      <c r="C133" s="484" t="s">
        <v>268</v>
      </c>
      <c r="D133" s="484" t="s">
        <v>269</v>
      </c>
      <c r="E133" s="493">
        <v>129538.6</v>
      </c>
      <c r="F133" s="493">
        <v>120913.09</v>
      </c>
      <c r="G133" s="493">
        <f t="shared" si="0"/>
        <v>1953.9989229810799</v>
      </c>
      <c r="H133" s="494">
        <v>66.2941</v>
      </c>
      <c r="I133" s="494">
        <v>61.879800000000003</v>
      </c>
      <c r="J133" s="493">
        <v>59069.599999999999</v>
      </c>
      <c r="K133" s="493">
        <v>55136.37</v>
      </c>
      <c r="L133" s="493">
        <v>-3933.23</v>
      </c>
      <c r="M133" s="495">
        <v>45233</v>
      </c>
      <c r="N133" s="484" t="s">
        <v>287</v>
      </c>
    </row>
    <row r="134" spans="1:14" ht="11.25" x14ac:dyDescent="0.15">
      <c r="E134" s="493">
        <f>E131/H131</f>
        <v>2375.0014210452314</v>
      </c>
      <c r="F134" s="493">
        <f>F131/I131</f>
        <v>2375.0010448245821</v>
      </c>
      <c r="G134" s="493"/>
    </row>
    <row r="136" spans="1:14" ht="11.25" x14ac:dyDescent="0.15">
      <c r="J136" s="482" t="s">
        <v>271</v>
      </c>
      <c r="L136" s="496">
        <v>-324161.08</v>
      </c>
    </row>
    <row r="138" spans="1:14" ht="11.25" x14ac:dyDescent="0.15">
      <c r="A138" s="482" t="s">
        <v>262</v>
      </c>
      <c r="C138" s="484" t="s">
        <v>297</v>
      </c>
    </row>
    <row r="140" spans="1:14" ht="11.25" x14ac:dyDescent="0.15">
      <c r="A140" s="491" t="s">
        <v>275</v>
      </c>
      <c r="B140" s="492">
        <v>2023</v>
      </c>
      <c r="C140" s="484" t="s">
        <v>265</v>
      </c>
      <c r="D140" s="484" t="s">
        <v>269</v>
      </c>
      <c r="E140" s="493">
        <v>4154497.42</v>
      </c>
      <c r="F140" s="493">
        <v>4136614.91</v>
      </c>
      <c r="G140" s="493"/>
      <c r="H140" s="494">
        <v>91.325699999999998</v>
      </c>
      <c r="I140" s="494">
        <v>90.932600000000008</v>
      </c>
      <c r="J140" s="493">
        <v>1442129.15</v>
      </c>
      <c r="K140" s="493">
        <v>1435921.69</v>
      </c>
      <c r="L140" s="493">
        <v>-6207.46</v>
      </c>
      <c r="M140" s="495">
        <v>45223</v>
      </c>
      <c r="N140" s="484" t="s">
        <v>298</v>
      </c>
    </row>
    <row r="143" spans="1:14" ht="11.25" x14ac:dyDescent="0.15">
      <c r="A143" s="491" t="s">
        <v>275</v>
      </c>
      <c r="B143" s="492">
        <v>2023</v>
      </c>
      <c r="C143" s="484" t="s">
        <v>265</v>
      </c>
      <c r="D143" s="484" t="s">
        <v>266</v>
      </c>
      <c r="E143" s="493">
        <v>3865976.1</v>
      </c>
      <c r="F143" s="493">
        <v>3849859.79</v>
      </c>
      <c r="G143" s="493"/>
      <c r="H143" s="494">
        <v>94.296700000000001</v>
      </c>
      <c r="I143" s="494">
        <v>93.903600000000012</v>
      </c>
      <c r="J143" s="493">
        <v>1359149.44</v>
      </c>
      <c r="K143" s="493">
        <v>1353483.48</v>
      </c>
      <c r="L143" s="493">
        <v>-5665.96</v>
      </c>
      <c r="M143" s="495">
        <v>45223</v>
      </c>
      <c r="N143" s="484" t="s">
        <v>298</v>
      </c>
    </row>
    <row r="146" spans="1:14" ht="11.25" x14ac:dyDescent="0.15">
      <c r="A146" s="491" t="s">
        <v>275</v>
      </c>
      <c r="B146" s="492">
        <v>2023</v>
      </c>
      <c r="C146" s="484" t="s">
        <v>268</v>
      </c>
      <c r="D146" s="484" t="s">
        <v>269</v>
      </c>
      <c r="E146" s="493">
        <v>3880312.71</v>
      </c>
      <c r="F146" s="493">
        <v>3863626.85</v>
      </c>
      <c r="G146" s="493"/>
      <c r="H146" s="494">
        <v>88.904200000000003</v>
      </c>
      <c r="I146" s="494">
        <v>88.521900000000002</v>
      </c>
      <c r="J146" s="493">
        <v>1319841.17</v>
      </c>
      <c r="K146" s="493">
        <v>1314165.67</v>
      </c>
      <c r="L146" s="493">
        <v>-5675.5</v>
      </c>
      <c r="M146" s="495">
        <v>45223</v>
      </c>
      <c r="N146" s="484" t="s">
        <v>299</v>
      </c>
    </row>
    <row r="150" spans="1:14" ht="11.25" x14ac:dyDescent="0.15">
      <c r="J150" s="482" t="s">
        <v>271</v>
      </c>
      <c r="L150" s="496">
        <v>-17548.919999999998</v>
      </c>
    </row>
    <row r="153" spans="1:14" ht="11.25" x14ac:dyDescent="0.15">
      <c r="J153" s="482" t="s">
        <v>300</v>
      </c>
      <c r="L153" s="496">
        <v>-2557053.38</v>
      </c>
    </row>
    <row r="154" spans="1:14" ht="11.25" x14ac:dyDescent="0.15">
      <c r="A154" s="486" t="s">
        <v>301</v>
      </c>
    </row>
  </sheetData>
  <pageMargins left="0.11804080045549861" right="0.11804080045549861" top="0.13748281464816897" bottom="0.13748281464816897" header="0" footer="0"/>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165"/>
  <sheetViews>
    <sheetView view="pageBreakPreview" zoomScaleNormal="95" zoomScaleSheetLayoutView="100" workbookViewId="0">
      <pane xSplit="2" ySplit="9" topLeftCell="C76" activePane="bottomRight" state="frozen"/>
      <selection pane="topRight" activeCell="C1" sqref="C1"/>
      <selection pane="bottomLeft" activeCell="A10" sqref="A10"/>
      <selection pane="bottomRight" activeCell="B140" sqref="B140"/>
    </sheetView>
  </sheetViews>
  <sheetFormatPr baseColWidth="10" defaultColWidth="8.77734375" defaultRowHeight="12.75" x14ac:dyDescent="0.2"/>
  <cols>
    <col min="1" max="1" width="3" style="1" customWidth="1"/>
    <col min="2" max="2" width="9.5546875" style="1" customWidth="1"/>
    <col min="3" max="4" width="7.109375" style="1" customWidth="1"/>
    <col min="5" max="5" width="7.44140625" style="1" customWidth="1"/>
    <col min="6" max="6" width="9.77734375" style="1" customWidth="1"/>
    <col min="7" max="8" width="10.44140625" style="199" customWidth="1"/>
    <col min="9" max="10" width="10" style="199" customWidth="1"/>
    <col min="11" max="11" width="11.109375" style="199" customWidth="1"/>
    <col min="12" max="12" width="11.5546875" style="1" customWidth="1"/>
    <col min="13" max="13" width="9.5546875" style="1" customWidth="1"/>
    <col min="14" max="14" width="10.109375" style="1" customWidth="1"/>
    <col min="15" max="15" width="12.44140625" style="1" customWidth="1"/>
    <col min="16" max="17" width="11.5546875" style="1" customWidth="1"/>
    <col min="18" max="18" width="5.77734375" style="1" customWidth="1"/>
    <col min="19" max="19" width="11.5546875" style="1" customWidth="1"/>
    <col min="20" max="20" width="5.77734375" style="1" customWidth="1"/>
    <col min="21" max="21" width="11.109375" style="1" customWidth="1"/>
    <col min="22" max="22" width="10.109375" style="1" customWidth="1"/>
    <col min="23" max="23" width="10" style="1" customWidth="1"/>
    <col min="24" max="24" width="10.5546875" style="1" customWidth="1"/>
    <col min="25" max="16384" width="8.77734375" style="1"/>
  </cols>
  <sheetData>
    <row r="1" spans="1:33" x14ac:dyDescent="0.2">
      <c r="A1" s="1" t="s">
        <v>51</v>
      </c>
      <c r="C1" s="3"/>
      <c r="D1" s="3"/>
      <c r="E1" s="6">
        <v>43101</v>
      </c>
      <c r="F1" s="270"/>
      <c r="U1" s="51" t="s">
        <v>60</v>
      </c>
      <c r="V1" s="51"/>
      <c r="W1" s="67">
        <f>DATE(YEAR(E1),MONTH(E1)+1,1)-DATE(YEAR(E1),MONTH(E1),1)</f>
        <v>31</v>
      </c>
    </row>
    <row r="2" spans="1:33" x14ac:dyDescent="0.2">
      <c r="A2" s="3" t="s">
        <v>0</v>
      </c>
    </row>
    <row r="3" spans="1:33" x14ac:dyDescent="0.2">
      <c r="A3" s="133" t="s">
        <v>109</v>
      </c>
      <c r="B3" s="133"/>
      <c r="C3" s="133"/>
      <c r="D3" s="133"/>
      <c r="E3" s="133"/>
      <c r="F3" s="133"/>
      <c r="G3" s="133"/>
      <c r="H3" s="133"/>
      <c r="I3" s="133"/>
      <c r="J3" s="133"/>
      <c r="K3" s="133"/>
      <c r="L3" s="133"/>
      <c r="M3" s="133"/>
      <c r="N3" s="133"/>
      <c r="O3" s="133"/>
      <c r="P3" s="133"/>
      <c r="Q3" s="133"/>
      <c r="R3" s="133"/>
      <c r="S3" s="133"/>
      <c r="T3" s="133"/>
    </row>
    <row r="4" spans="1:33" x14ac:dyDescent="0.2">
      <c r="A4" s="132" t="str">
        <f>"Correspondiente a  "&amp;TEXT(E1,"MMMMMMM YYYY")</f>
        <v>Correspondiente a  Enero 2018</v>
      </c>
      <c r="B4" s="132"/>
      <c r="C4" s="132"/>
      <c r="D4" s="132"/>
      <c r="E4" s="132"/>
      <c r="F4" s="132"/>
      <c r="G4" s="132"/>
      <c r="H4" s="132"/>
      <c r="I4" s="132"/>
      <c r="J4" s="132"/>
      <c r="K4" s="132"/>
      <c r="L4" s="132"/>
      <c r="M4" s="132"/>
      <c r="N4" s="132"/>
      <c r="O4" s="132"/>
      <c r="P4" s="132"/>
      <c r="Q4" s="132"/>
      <c r="R4" s="132"/>
      <c r="S4" s="132"/>
      <c r="T4" s="132"/>
    </row>
    <row r="5" spans="1:33" x14ac:dyDescent="0.2">
      <c r="A5" s="132" t="str">
        <f>"Tipo de Cambio= "&amp;TEXT(F1,"0.000")</f>
        <v>Tipo de Cambio= 0.000</v>
      </c>
      <c r="B5" s="132"/>
      <c r="C5" s="132"/>
      <c r="D5" s="132"/>
      <c r="E5" s="132"/>
      <c r="F5" s="132"/>
      <c r="G5" s="132"/>
      <c r="H5" s="132"/>
      <c r="I5" s="132"/>
      <c r="J5" s="132"/>
      <c r="K5" s="132"/>
      <c r="L5" s="132"/>
      <c r="M5" s="132"/>
      <c r="N5" s="132"/>
      <c r="O5" s="132"/>
      <c r="P5" s="132"/>
      <c r="Q5" s="132"/>
      <c r="R5" s="132"/>
      <c r="S5" s="132"/>
      <c r="T5" s="132"/>
    </row>
    <row r="6" spans="1:33" x14ac:dyDescent="0.2">
      <c r="E6" s="65"/>
      <c r="F6" s="65"/>
      <c r="G6" s="264"/>
      <c r="H6" s="200"/>
    </row>
    <row r="7" spans="1:33"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134" t="s">
        <v>61</v>
      </c>
      <c r="V7" s="135"/>
      <c r="W7" s="135"/>
      <c r="X7" s="135"/>
      <c r="Y7" s="135"/>
      <c r="Z7" s="136"/>
      <c r="AA7" s="176" t="s">
        <v>62</v>
      </c>
      <c r="AB7" s="176"/>
      <c r="AC7" s="176"/>
      <c r="AD7" s="176"/>
      <c r="AE7" s="176"/>
      <c r="AF7" s="134"/>
      <c r="AG7" s="37" t="s">
        <v>63</v>
      </c>
    </row>
    <row r="8" spans="1:33"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3"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3" x14ac:dyDescent="0.2">
      <c r="A10" s="23" t="s">
        <v>28</v>
      </c>
      <c r="B10" s="24" t="s">
        <v>13</v>
      </c>
      <c r="C10" s="57" t="s">
        <v>29</v>
      </c>
      <c r="D10" s="25" t="s">
        <v>21</v>
      </c>
      <c r="E10" s="57" t="s">
        <v>98</v>
      </c>
      <c r="F10" s="236" t="s">
        <v>37</v>
      </c>
      <c r="G10" s="222"/>
      <c r="H10" s="215">
        <v>24582</v>
      </c>
      <c r="I10" s="216"/>
      <c r="J10" s="217">
        <v>67.081199999999995</v>
      </c>
      <c r="K10" s="222"/>
      <c r="L10" s="222"/>
      <c r="M10" s="222"/>
      <c r="N10" s="215">
        <v>683.58</v>
      </c>
      <c r="O10" s="215">
        <f t="shared" ref="O10:O29" si="0">ROUND(G10*I10,2)+ROUND(H10*J10,2)-K10-L10-M10-N10</f>
        <v>1648306.48</v>
      </c>
      <c r="P10" s="222">
        <f>ROUND(18.75%*O10,2)</f>
        <v>309057.46999999997</v>
      </c>
      <c r="Q10" s="222">
        <f>ROUND($O10*R10,2)</f>
        <v>247245.97</v>
      </c>
      <c r="R10" s="223">
        <v>0.15</v>
      </c>
      <c r="S10" s="222">
        <f t="shared" ref="S10:S34" si="1">ROUND($O10*T10,2)</f>
        <v>61811.49</v>
      </c>
      <c r="T10" s="258">
        <v>3.7499999999999999E-2</v>
      </c>
      <c r="U10" s="66">
        <f t="shared" ref="U10:U29" si="2">IF($F10&amp;"/Día"=W$9,SUM($G10:$H10),"")</f>
        <v>24582</v>
      </c>
      <c r="V10" s="66">
        <f>IF(U10&lt;&gt;"",$O10,"")</f>
        <v>1648306.48</v>
      </c>
      <c r="W10" s="73">
        <f>IF($F10&amp;"/Día"=W$9,ROUND(U10/$W$1,1),"")</f>
        <v>793</v>
      </c>
      <c r="X10" s="74">
        <f t="shared" ref="X10:X29" si="3">IF(U10=0,0,IF($F10&amp;"/Día"=W$9,ROUND(V10/U10,4),""))</f>
        <v>67.053399999999996</v>
      </c>
      <c r="Y10" s="74">
        <f t="shared" ref="Y10:Y29" si="4">IF(U10=0,0,IF($F10&amp;"/Día"=W$9,ROUND(Z10/U10,4),""))</f>
        <v>12.5725</v>
      </c>
      <c r="Z10" s="66">
        <f t="shared" ref="Z10:Z29" si="5">IF(U10&lt;&gt;"",$P10,"")</f>
        <v>309057.46999999997</v>
      </c>
      <c r="AA10" s="66" t="str">
        <f t="shared" ref="AA10:AA29" si="6">IF($F10&amp;"/Día"=AC$9,SUM($G10:$H10),"")</f>
        <v/>
      </c>
      <c r="AB10" s="66" t="str">
        <f>IF(AA10&lt;&gt;"",$O10,"")</f>
        <v/>
      </c>
      <c r="AC10" s="73" t="str">
        <f>IF($F10&amp;"/Día"=AC$9,ROUND(AA10/$W$1,1),"")</f>
        <v/>
      </c>
      <c r="AD10" s="74" t="str">
        <f t="shared" ref="AD10:AD29" si="7">IF(AA10=0,0,IF($F10&amp;"/Día"=AC$9,ROUND(AB10/AA10,4),""))</f>
        <v/>
      </c>
      <c r="AE10" s="74" t="str">
        <f t="shared" ref="AE10:AE29" si="8">IF(AA10=0,0,IF($F10&amp;"/Día"=AC$9,ROUND(AF10/AA10,4),""))</f>
        <v/>
      </c>
      <c r="AF10" s="66" t="str">
        <f t="shared" ref="AF10:AF29" si="9">IF(AA10&lt;&gt;"",$P10,"")</f>
        <v/>
      </c>
      <c r="AG10" s="49"/>
    </row>
    <row r="11" spans="1:33" x14ac:dyDescent="0.2">
      <c r="A11" s="23" t="s">
        <v>28</v>
      </c>
      <c r="B11" s="24" t="s">
        <v>14</v>
      </c>
      <c r="C11" s="57" t="s">
        <v>29</v>
      </c>
      <c r="D11" s="25" t="s">
        <v>21</v>
      </c>
      <c r="E11" s="57" t="s">
        <v>98</v>
      </c>
      <c r="F11" s="236" t="s">
        <v>56</v>
      </c>
      <c r="G11" s="222"/>
      <c r="H11" s="215">
        <v>253218.78</v>
      </c>
      <c r="I11" s="216"/>
      <c r="J11" s="217">
        <v>2.9822000000000002</v>
      </c>
      <c r="K11" s="222"/>
      <c r="L11" s="222"/>
      <c r="M11" s="222"/>
      <c r="N11" s="215">
        <v>1914.05</v>
      </c>
      <c r="O11" s="215">
        <f t="shared" si="0"/>
        <v>753235</v>
      </c>
      <c r="P11" s="222">
        <f t="shared" ref="P11:P35" si="10">ROUND(18.75%*O11,2)</f>
        <v>141231.56</v>
      </c>
      <c r="Q11" s="222">
        <f t="shared" ref="Q11:Q29" si="11">ROUND($O11*R11,2)</f>
        <v>112985.25</v>
      </c>
      <c r="R11" s="223">
        <v>0.15</v>
      </c>
      <c r="S11" s="222">
        <f t="shared" si="1"/>
        <v>28246.31</v>
      </c>
      <c r="T11" s="258">
        <v>3.7499999999999999E-2</v>
      </c>
      <c r="U11" s="40" t="str">
        <f t="shared" si="2"/>
        <v/>
      </c>
      <c r="V11" s="40" t="str">
        <f t="shared" ref="V11:V35" si="12">IF(U11&lt;&gt;"",$O11,"")</f>
        <v/>
      </c>
      <c r="W11" s="75" t="str">
        <f t="shared" ref="W11:W41" si="13">IF($F11&amp;"/Día"=W$9,ROUND(U11/$W$1,1),"")</f>
        <v/>
      </c>
      <c r="X11" s="76" t="str">
        <f t="shared" si="3"/>
        <v/>
      </c>
      <c r="Y11" s="76" t="str">
        <f t="shared" si="4"/>
        <v/>
      </c>
      <c r="Z11" s="40" t="str">
        <f t="shared" si="5"/>
        <v/>
      </c>
      <c r="AA11" s="40">
        <f t="shared" si="6"/>
        <v>253218.78</v>
      </c>
      <c r="AB11" s="40">
        <f t="shared" ref="AB11:AB35" si="14">IF(AA11&lt;&gt;"",$O11,"")</f>
        <v>753235</v>
      </c>
      <c r="AC11" s="75">
        <f t="shared" ref="AC11:AC41" si="15">IF($F11&amp;"/Día"=AC$9,ROUND(AA11/$W$1,1),"")</f>
        <v>8168.3</v>
      </c>
      <c r="AD11" s="76">
        <f t="shared" si="7"/>
        <v>2.9746000000000001</v>
      </c>
      <c r="AE11" s="76">
        <f t="shared" si="8"/>
        <v>0.55769999999999997</v>
      </c>
      <c r="AF11" s="40">
        <f t="shared" si="9"/>
        <v>141231.56</v>
      </c>
      <c r="AG11" s="50"/>
    </row>
    <row r="12" spans="1:33" x14ac:dyDescent="0.2">
      <c r="A12" s="23" t="s">
        <v>28</v>
      </c>
      <c r="B12" s="24" t="s">
        <v>3</v>
      </c>
      <c r="C12" s="57" t="s">
        <v>31</v>
      </c>
      <c r="D12" s="25" t="s">
        <v>30</v>
      </c>
      <c r="E12" s="57" t="s">
        <v>101</v>
      </c>
      <c r="F12" s="236" t="s">
        <v>37</v>
      </c>
      <c r="G12" s="215">
        <v>4562</v>
      </c>
      <c r="H12" s="215">
        <v>4721</v>
      </c>
      <c r="I12" s="217">
        <v>64.161299999999997</v>
      </c>
      <c r="J12" s="217">
        <v>65.157499999999999</v>
      </c>
      <c r="K12" s="222"/>
      <c r="L12" s="222"/>
      <c r="M12" s="222"/>
      <c r="N12" s="215">
        <v>1764.83</v>
      </c>
      <c r="O12" s="215">
        <f t="shared" si="0"/>
        <v>598547.57999999996</v>
      </c>
      <c r="P12" s="222">
        <f t="shared" si="10"/>
        <v>112227.67</v>
      </c>
      <c r="Q12" s="222">
        <f>ROUND($O12*R12,2)</f>
        <v>89782.14</v>
      </c>
      <c r="R12" s="223">
        <v>0.15</v>
      </c>
      <c r="S12" s="222">
        <f t="shared" si="1"/>
        <v>22445.53</v>
      </c>
      <c r="T12" s="258">
        <v>3.7499999999999999E-2</v>
      </c>
      <c r="U12" s="40">
        <f t="shared" si="2"/>
        <v>9283</v>
      </c>
      <c r="V12" s="40">
        <f t="shared" si="12"/>
        <v>598547.57999999996</v>
      </c>
      <c r="W12" s="75">
        <f t="shared" si="13"/>
        <v>299.5</v>
      </c>
      <c r="X12" s="76">
        <f t="shared" si="3"/>
        <v>64.477800000000002</v>
      </c>
      <c r="Y12" s="76">
        <f t="shared" si="4"/>
        <v>12.089600000000001</v>
      </c>
      <c r="Z12" s="40">
        <f t="shared" si="5"/>
        <v>112227.67</v>
      </c>
      <c r="AA12" s="40" t="str">
        <f t="shared" si="6"/>
        <v/>
      </c>
      <c r="AB12" s="40" t="str">
        <f t="shared" si="14"/>
        <v/>
      </c>
      <c r="AC12" s="75" t="str">
        <f t="shared" si="15"/>
        <v/>
      </c>
      <c r="AD12" s="76" t="str">
        <f t="shared" si="7"/>
        <v/>
      </c>
      <c r="AE12" s="76" t="str">
        <f t="shared" si="8"/>
        <v/>
      </c>
      <c r="AF12" s="40" t="str">
        <f t="shared" si="9"/>
        <v/>
      </c>
      <c r="AG12" s="50"/>
    </row>
    <row r="13" spans="1:33" x14ac:dyDescent="0.2">
      <c r="A13" s="242" t="s">
        <v>28</v>
      </c>
      <c r="B13" s="245" t="s">
        <v>172</v>
      </c>
      <c r="C13" s="236" t="s">
        <v>29</v>
      </c>
      <c r="D13" s="243" t="s">
        <v>21</v>
      </c>
      <c r="E13" s="236" t="s">
        <v>98</v>
      </c>
      <c r="F13" s="236" t="s">
        <v>56</v>
      </c>
      <c r="G13" s="215">
        <v>40281.6973</v>
      </c>
      <c r="H13" s="215">
        <v>44653.33</v>
      </c>
      <c r="I13" s="217">
        <v>2.5499999999999998</v>
      </c>
      <c r="J13" s="217">
        <v>2.5499999999999998</v>
      </c>
      <c r="K13" s="222"/>
      <c r="L13" s="222"/>
      <c r="M13" s="222"/>
      <c r="N13" s="215">
        <v>1884.53</v>
      </c>
      <c r="O13" s="215">
        <f>ROUND(G13*I13,2)+ROUND(H13*J13,2)-K13-L13-M13-N13</f>
        <v>214699.79</v>
      </c>
      <c r="P13" s="222">
        <f t="shared" si="10"/>
        <v>40256.21</v>
      </c>
      <c r="Q13" s="222">
        <f>ROUND($P13*R13/(R13+T13),2)</f>
        <v>32204.97</v>
      </c>
      <c r="R13" s="223">
        <v>0.15</v>
      </c>
      <c r="S13" s="222">
        <f>P13-Q13</f>
        <v>8051.239999999998</v>
      </c>
      <c r="T13" s="258">
        <v>3.7499999999999999E-2</v>
      </c>
      <c r="U13" s="40" t="str">
        <f t="shared" si="2"/>
        <v/>
      </c>
      <c r="V13" s="40" t="str">
        <f t="shared" si="12"/>
        <v/>
      </c>
      <c r="W13" s="75" t="str">
        <f t="shared" si="13"/>
        <v/>
      </c>
      <c r="X13" s="76" t="str">
        <f t="shared" si="3"/>
        <v/>
      </c>
      <c r="Y13" s="76" t="str">
        <f t="shared" si="4"/>
        <v/>
      </c>
      <c r="Z13" s="40" t="str">
        <f t="shared" si="5"/>
        <v/>
      </c>
      <c r="AA13" s="40">
        <f t="shared" si="6"/>
        <v>84935.027300000002</v>
      </c>
      <c r="AB13" s="40">
        <f t="shared" si="14"/>
        <v>214699.79</v>
      </c>
      <c r="AC13" s="75">
        <f t="shared" si="15"/>
        <v>2739.8</v>
      </c>
      <c r="AD13" s="76">
        <f t="shared" si="7"/>
        <v>2.5278</v>
      </c>
      <c r="AE13" s="76">
        <f t="shared" si="8"/>
        <v>0.47399999999999998</v>
      </c>
      <c r="AF13" s="40">
        <f t="shared" si="9"/>
        <v>40256.21</v>
      </c>
      <c r="AG13" s="50"/>
    </row>
    <row r="14" spans="1:33" x14ac:dyDescent="0.2">
      <c r="A14" s="23" t="s">
        <v>28</v>
      </c>
      <c r="B14" s="24" t="s">
        <v>4</v>
      </c>
      <c r="C14" s="57" t="s">
        <v>31</v>
      </c>
      <c r="D14" s="25" t="s">
        <v>30</v>
      </c>
      <c r="E14" s="57" t="s">
        <v>101</v>
      </c>
      <c r="F14" s="236" t="s">
        <v>37</v>
      </c>
      <c r="G14" s="215">
        <v>11836</v>
      </c>
      <c r="H14" s="215">
        <v>12495</v>
      </c>
      <c r="I14" s="217">
        <v>66.797200000000004</v>
      </c>
      <c r="J14" s="216">
        <v>67.317899999999995</v>
      </c>
      <c r="K14" s="222"/>
      <c r="L14" s="222"/>
      <c r="M14" s="222"/>
      <c r="N14" s="215">
        <v>1257.31</v>
      </c>
      <c r="O14" s="215">
        <f t="shared" si="0"/>
        <v>1630491.51</v>
      </c>
      <c r="P14" s="222">
        <f t="shared" si="10"/>
        <v>305717.15999999997</v>
      </c>
      <c r="Q14" s="222">
        <f t="shared" si="11"/>
        <v>244573.73</v>
      </c>
      <c r="R14" s="223">
        <v>0.15</v>
      </c>
      <c r="S14" s="222">
        <f t="shared" si="1"/>
        <v>61143.43</v>
      </c>
      <c r="T14" s="258">
        <v>3.7499999999999999E-2</v>
      </c>
      <c r="U14" s="40">
        <f t="shared" si="2"/>
        <v>24331</v>
      </c>
      <c r="V14" s="40">
        <f t="shared" si="12"/>
        <v>1630491.51</v>
      </c>
      <c r="W14" s="75">
        <f t="shared" si="13"/>
        <v>784.9</v>
      </c>
      <c r="X14" s="76">
        <f t="shared" si="3"/>
        <v>67.012900000000002</v>
      </c>
      <c r="Y14" s="76">
        <f t="shared" si="4"/>
        <v>12.5649</v>
      </c>
      <c r="Z14" s="40">
        <f t="shared" si="5"/>
        <v>305717.15999999997</v>
      </c>
      <c r="AA14" s="40" t="str">
        <f t="shared" si="6"/>
        <v/>
      </c>
      <c r="AB14" s="40" t="str">
        <f t="shared" si="14"/>
        <v/>
      </c>
      <c r="AC14" s="75" t="str">
        <f t="shared" si="15"/>
        <v/>
      </c>
      <c r="AD14" s="76" t="str">
        <f t="shared" si="7"/>
        <v/>
      </c>
      <c r="AE14" s="76" t="str">
        <f t="shared" si="8"/>
        <v/>
      </c>
      <c r="AF14" s="40" t="str">
        <f t="shared" si="9"/>
        <v/>
      </c>
      <c r="AG14" s="50"/>
    </row>
    <row r="15" spans="1:33" x14ac:dyDescent="0.2">
      <c r="A15" s="23" t="s">
        <v>28</v>
      </c>
      <c r="B15" s="24" t="s">
        <v>5</v>
      </c>
      <c r="C15" s="57" t="s">
        <v>31</v>
      </c>
      <c r="D15" s="25" t="s">
        <v>30</v>
      </c>
      <c r="E15" s="57" t="s">
        <v>101</v>
      </c>
      <c r="F15" s="236" t="s">
        <v>37</v>
      </c>
      <c r="G15" s="215">
        <v>17378</v>
      </c>
      <c r="H15" s="215">
        <v>20845</v>
      </c>
      <c r="I15" s="217">
        <v>66.797200000000004</v>
      </c>
      <c r="J15" s="216">
        <v>67.317899999999995</v>
      </c>
      <c r="K15" s="222"/>
      <c r="L15" s="222"/>
      <c r="M15" s="222"/>
      <c r="N15" s="215">
        <v>3247.24</v>
      </c>
      <c r="O15" s="215">
        <f t="shared" si="0"/>
        <v>2560796.13</v>
      </c>
      <c r="P15" s="222">
        <f t="shared" si="10"/>
        <v>480149.27</v>
      </c>
      <c r="Q15" s="222">
        <f t="shared" si="11"/>
        <v>384119.42</v>
      </c>
      <c r="R15" s="223">
        <v>0.15</v>
      </c>
      <c r="S15" s="222">
        <f t="shared" si="1"/>
        <v>96029.85</v>
      </c>
      <c r="T15" s="258">
        <v>3.7499999999999999E-2</v>
      </c>
      <c r="U15" s="40">
        <f t="shared" si="2"/>
        <v>38223</v>
      </c>
      <c r="V15" s="40">
        <f t="shared" si="12"/>
        <v>2560796.13</v>
      </c>
      <c r="W15" s="75">
        <f t="shared" si="13"/>
        <v>1233</v>
      </c>
      <c r="X15" s="76">
        <f t="shared" si="3"/>
        <v>66.996200000000002</v>
      </c>
      <c r="Y15" s="76">
        <f t="shared" si="4"/>
        <v>12.5618</v>
      </c>
      <c r="Z15" s="40">
        <f t="shared" si="5"/>
        <v>480149.27</v>
      </c>
      <c r="AA15" s="40" t="str">
        <f t="shared" si="6"/>
        <v/>
      </c>
      <c r="AB15" s="40" t="str">
        <f t="shared" si="14"/>
        <v/>
      </c>
      <c r="AC15" s="75" t="str">
        <f t="shared" si="15"/>
        <v/>
      </c>
      <c r="AD15" s="76" t="str">
        <f t="shared" si="7"/>
        <v/>
      </c>
      <c r="AE15" s="76" t="str">
        <f t="shared" si="8"/>
        <v/>
      </c>
      <c r="AF15" s="40" t="str">
        <f t="shared" si="9"/>
        <v/>
      </c>
      <c r="AG15" s="50"/>
    </row>
    <row r="16" spans="1:33" x14ac:dyDescent="0.2">
      <c r="A16" s="23" t="s">
        <v>28</v>
      </c>
      <c r="B16" s="24" t="s">
        <v>17</v>
      </c>
      <c r="C16" s="57" t="s">
        <v>29</v>
      </c>
      <c r="D16" s="25" t="s">
        <v>21</v>
      </c>
      <c r="E16" s="57" t="s">
        <v>98</v>
      </c>
      <c r="F16" s="236" t="s">
        <v>37</v>
      </c>
      <c r="G16" s="222"/>
      <c r="H16" s="215">
        <v>2532</v>
      </c>
      <c r="I16" s="216"/>
      <c r="J16" s="217">
        <v>67.081199999999995</v>
      </c>
      <c r="K16" s="222"/>
      <c r="L16" s="222"/>
      <c r="M16" s="222"/>
      <c r="N16" s="215">
        <v>1487.58</v>
      </c>
      <c r="O16" s="224">
        <f t="shared" si="0"/>
        <v>168362.02000000002</v>
      </c>
      <c r="P16" s="222">
        <f t="shared" si="10"/>
        <v>31567.88</v>
      </c>
      <c r="Q16" s="222">
        <f t="shared" si="11"/>
        <v>25254.3</v>
      </c>
      <c r="R16" s="223">
        <v>0.15</v>
      </c>
      <c r="S16" s="222">
        <f t="shared" si="1"/>
        <v>6313.58</v>
      </c>
      <c r="T16" s="258">
        <v>3.7499999999999999E-2</v>
      </c>
      <c r="U16" s="40">
        <f t="shared" si="2"/>
        <v>2532</v>
      </c>
      <c r="V16" s="40">
        <f t="shared" si="12"/>
        <v>168362.02000000002</v>
      </c>
      <c r="W16" s="75">
        <f t="shared" si="13"/>
        <v>81.7</v>
      </c>
      <c r="X16" s="76">
        <f t="shared" si="3"/>
        <v>66.493700000000004</v>
      </c>
      <c r="Y16" s="76">
        <f t="shared" si="4"/>
        <v>12.467599999999999</v>
      </c>
      <c r="Z16" s="40">
        <f t="shared" si="5"/>
        <v>31567.88</v>
      </c>
      <c r="AA16" s="40" t="str">
        <f t="shared" si="6"/>
        <v/>
      </c>
      <c r="AB16" s="40" t="str">
        <f t="shared" si="14"/>
        <v/>
      </c>
      <c r="AC16" s="75" t="str">
        <f t="shared" si="15"/>
        <v/>
      </c>
      <c r="AD16" s="76" t="str">
        <f t="shared" si="7"/>
        <v/>
      </c>
      <c r="AE16" s="76" t="str">
        <f t="shared" si="8"/>
        <v/>
      </c>
      <c r="AF16" s="40" t="str">
        <f t="shared" si="9"/>
        <v/>
      </c>
      <c r="AG16" s="50"/>
    </row>
    <row r="17" spans="1:33" x14ac:dyDescent="0.2">
      <c r="A17" s="23" t="s">
        <v>28</v>
      </c>
      <c r="B17" s="24" t="s">
        <v>6</v>
      </c>
      <c r="C17" s="57" t="s">
        <v>31</v>
      </c>
      <c r="D17" s="25" t="s">
        <v>30</v>
      </c>
      <c r="E17" s="57" t="s">
        <v>101</v>
      </c>
      <c r="F17" s="236" t="s">
        <v>37</v>
      </c>
      <c r="G17" s="215">
        <v>46815</v>
      </c>
      <c r="H17" s="215">
        <v>59830</v>
      </c>
      <c r="I17" s="217">
        <v>66.247200000000007</v>
      </c>
      <c r="J17" s="216">
        <v>66.767899999999997</v>
      </c>
      <c r="K17" s="222"/>
      <c r="L17" s="222"/>
      <c r="M17" s="222"/>
      <c r="N17" s="215">
        <v>2221.88</v>
      </c>
      <c r="O17" s="224">
        <f>ROUND(G17*I17,2)+ROUND(H17*J17,2)-K17-L17-M17-N17</f>
        <v>7093864.25</v>
      </c>
      <c r="P17" s="222">
        <f>ROUND(18.75%*O17,2)</f>
        <v>1330099.55</v>
      </c>
      <c r="Q17" s="222">
        <f>ROUND($O17*R17,2)</f>
        <v>1064079.6399999999</v>
      </c>
      <c r="R17" s="223">
        <v>0.15</v>
      </c>
      <c r="S17" s="222">
        <f t="shared" si="1"/>
        <v>266019.90999999997</v>
      </c>
      <c r="T17" s="258">
        <v>3.7499999999999999E-2</v>
      </c>
      <c r="U17" s="40">
        <f t="shared" si="2"/>
        <v>106645</v>
      </c>
      <c r="V17" s="40">
        <f t="shared" si="12"/>
        <v>7093864.25</v>
      </c>
      <c r="W17" s="75">
        <f t="shared" si="13"/>
        <v>3440.2</v>
      </c>
      <c r="X17" s="76">
        <f t="shared" si="3"/>
        <v>66.518500000000003</v>
      </c>
      <c r="Y17" s="76">
        <f t="shared" si="4"/>
        <v>12.472200000000001</v>
      </c>
      <c r="Z17" s="40">
        <f t="shared" si="5"/>
        <v>1330099.55</v>
      </c>
      <c r="AA17" s="40" t="str">
        <f t="shared" si="6"/>
        <v/>
      </c>
      <c r="AB17" s="40" t="str">
        <f t="shared" si="14"/>
        <v/>
      </c>
      <c r="AC17" s="75" t="str">
        <f t="shared" si="15"/>
        <v/>
      </c>
      <c r="AD17" s="76" t="str">
        <f t="shared" si="7"/>
        <v/>
      </c>
      <c r="AE17" s="76" t="str">
        <f t="shared" si="8"/>
        <v/>
      </c>
      <c r="AF17" s="40" t="str">
        <f t="shared" si="9"/>
        <v/>
      </c>
      <c r="AG17" s="50"/>
    </row>
    <row r="18" spans="1:33" x14ac:dyDescent="0.2">
      <c r="A18" s="23" t="s">
        <v>28</v>
      </c>
      <c r="B18" s="24" t="s">
        <v>155</v>
      </c>
      <c r="C18" s="57" t="s">
        <v>29</v>
      </c>
      <c r="D18" s="25" t="s">
        <v>21</v>
      </c>
      <c r="E18" s="57" t="s">
        <v>98</v>
      </c>
      <c r="F18" s="236" t="s">
        <v>37</v>
      </c>
      <c r="G18" s="222"/>
      <c r="H18" s="222"/>
      <c r="I18" s="216"/>
      <c r="J18" s="216"/>
      <c r="K18" s="222"/>
      <c r="L18" s="222"/>
      <c r="M18" s="222"/>
      <c r="N18" s="222"/>
      <c r="O18" s="224">
        <f t="shared" si="0"/>
        <v>0</v>
      </c>
      <c r="P18" s="222">
        <f t="shared" si="10"/>
        <v>0</v>
      </c>
      <c r="Q18" s="222">
        <f t="shared" si="11"/>
        <v>0</v>
      </c>
      <c r="R18" s="223">
        <v>0.15</v>
      </c>
      <c r="S18" s="222">
        <f t="shared" si="1"/>
        <v>0</v>
      </c>
      <c r="T18" s="258">
        <v>3.7499999999999999E-2</v>
      </c>
      <c r="U18" s="40">
        <f t="shared" si="2"/>
        <v>0</v>
      </c>
      <c r="V18" s="40">
        <f t="shared" si="12"/>
        <v>0</v>
      </c>
      <c r="W18" s="75">
        <f t="shared" si="13"/>
        <v>0</v>
      </c>
      <c r="X18" s="76">
        <f t="shared" si="3"/>
        <v>0</v>
      </c>
      <c r="Y18" s="76">
        <f t="shared" si="4"/>
        <v>0</v>
      </c>
      <c r="Z18" s="40">
        <f t="shared" si="5"/>
        <v>0</v>
      </c>
      <c r="AA18" s="40" t="str">
        <f t="shared" si="6"/>
        <v/>
      </c>
      <c r="AB18" s="40" t="str">
        <f t="shared" si="14"/>
        <v/>
      </c>
      <c r="AC18" s="75" t="str">
        <f t="shared" si="15"/>
        <v/>
      </c>
      <c r="AD18" s="76" t="str">
        <f t="shared" si="7"/>
        <v/>
      </c>
      <c r="AE18" s="76" t="str">
        <f t="shared" si="8"/>
        <v/>
      </c>
      <c r="AF18" s="40" t="str">
        <f t="shared" si="9"/>
        <v/>
      </c>
      <c r="AG18" s="50"/>
    </row>
    <row r="19" spans="1:33" x14ac:dyDescent="0.2">
      <c r="A19" s="23" t="s">
        <v>28</v>
      </c>
      <c r="B19" s="24" t="s">
        <v>7</v>
      </c>
      <c r="C19" s="57" t="s">
        <v>31</v>
      </c>
      <c r="D19" s="25" t="s">
        <v>30</v>
      </c>
      <c r="E19" s="57" t="s">
        <v>101</v>
      </c>
      <c r="F19" s="236" t="s">
        <v>56</v>
      </c>
      <c r="G19" s="222">
        <v>58474.37</v>
      </c>
      <c r="H19" s="215">
        <v>64682.42</v>
      </c>
      <c r="I19" s="301">
        <v>2.1707999999999998</v>
      </c>
      <c r="J19" s="216">
        <v>2.1707999999999998</v>
      </c>
      <c r="K19" s="222"/>
      <c r="L19" s="222"/>
      <c r="M19" s="222"/>
      <c r="N19" s="222">
        <v>2121.65</v>
      </c>
      <c r="O19" s="224">
        <f t="shared" si="0"/>
        <v>265227.11</v>
      </c>
      <c r="P19" s="222">
        <f t="shared" si="10"/>
        <v>49730.080000000002</v>
      </c>
      <c r="Q19" s="222">
        <f t="shared" si="11"/>
        <v>39784.07</v>
      </c>
      <c r="R19" s="223">
        <v>0.15</v>
      </c>
      <c r="S19" s="222">
        <f t="shared" si="1"/>
        <v>9946.02</v>
      </c>
      <c r="T19" s="258">
        <v>3.7499999999999999E-2</v>
      </c>
      <c r="U19" s="40" t="str">
        <f t="shared" si="2"/>
        <v/>
      </c>
      <c r="V19" s="40" t="str">
        <f t="shared" si="12"/>
        <v/>
      </c>
      <c r="W19" s="75" t="str">
        <f t="shared" si="13"/>
        <v/>
      </c>
      <c r="X19" s="76" t="str">
        <f t="shared" si="3"/>
        <v/>
      </c>
      <c r="Y19" s="76" t="str">
        <f t="shared" si="4"/>
        <v/>
      </c>
      <c r="Z19" s="40" t="str">
        <f t="shared" si="5"/>
        <v/>
      </c>
      <c r="AA19" s="40">
        <f t="shared" si="6"/>
        <v>123156.79000000001</v>
      </c>
      <c r="AB19" s="40">
        <f t="shared" si="14"/>
        <v>265227.11</v>
      </c>
      <c r="AC19" s="75">
        <f t="shared" si="15"/>
        <v>3972.8</v>
      </c>
      <c r="AD19" s="76">
        <f t="shared" si="7"/>
        <v>2.1536</v>
      </c>
      <c r="AE19" s="76">
        <f t="shared" si="8"/>
        <v>0.40379999999999999</v>
      </c>
      <c r="AF19" s="40">
        <f t="shared" si="9"/>
        <v>49730.080000000002</v>
      </c>
      <c r="AG19" s="50"/>
    </row>
    <row r="20" spans="1:33" x14ac:dyDescent="0.2">
      <c r="A20" s="23" t="s">
        <v>28</v>
      </c>
      <c r="B20" s="24" t="s">
        <v>18</v>
      </c>
      <c r="C20" s="57" t="s">
        <v>31</v>
      </c>
      <c r="D20" s="25" t="s">
        <v>30</v>
      </c>
      <c r="E20" s="57" t="s">
        <v>101</v>
      </c>
      <c r="F20" s="236" t="s">
        <v>37</v>
      </c>
      <c r="G20" s="222">
        <v>2083</v>
      </c>
      <c r="H20" s="222">
        <v>3260</v>
      </c>
      <c r="I20" s="216">
        <v>66.797200000000004</v>
      </c>
      <c r="J20" s="217">
        <v>67.317899999999995</v>
      </c>
      <c r="K20" s="222"/>
      <c r="L20" s="222"/>
      <c r="M20" s="222"/>
      <c r="N20" s="215">
        <v>737.78</v>
      </c>
      <c r="O20" s="224">
        <f t="shared" si="0"/>
        <v>357857.14</v>
      </c>
      <c r="P20" s="222">
        <f t="shared" si="10"/>
        <v>67098.210000000006</v>
      </c>
      <c r="Q20" s="222">
        <f t="shared" si="11"/>
        <v>53678.57</v>
      </c>
      <c r="R20" s="223">
        <v>0.15</v>
      </c>
      <c r="S20" s="222">
        <f t="shared" si="1"/>
        <v>13419.64</v>
      </c>
      <c r="T20" s="258">
        <v>3.7499999999999999E-2</v>
      </c>
      <c r="U20" s="40">
        <f t="shared" si="2"/>
        <v>5343</v>
      </c>
      <c r="V20" s="40">
        <f t="shared" si="12"/>
        <v>357857.14</v>
      </c>
      <c r="W20" s="75">
        <f t="shared" si="13"/>
        <v>172.4</v>
      </c>
      <c r="X20" s="76">
        <f t="shared" si="3"/>
        <v>66.976799999999997</v>
      </c>
      <c r="Y20" s="76">
        <f t="shared" si="4"/>
        <v>12.558199999999999</v>
      </c>
      <c r="Z20" s="40">
        <f t="shared" si="5"/>
        <v>67098.210000000006</v>
      </c>
      <c r="AA20" s="40" t="str">
        <f t="shared" si="6"/>
        <v/>
      </c>
      <c r="AB20" s="40" t="str">
        <f t="shared" si="14"/>
        <v/>
      </c>
      <c r="AC20" s="75" t="str">
        <f t="shared" si="15"/>
        <v/>
      </c>
      <c r="AD20" s="76" t="str">
        <f t="shared" si="7"/>
        <v/>
      </c>
      <c r="AE20" s="76" t="str">
        <f t="shared" si="8"/>
        <v/>
      </c>
      <c r="AF20" s="40" t="str">
        <f t="shared" si="9"/>
        <v/>
      </c>
      <c r="AG20" s="50"/>
    </row>
    <row r="21" spans="1:33" x14ac:dyDescent="0.2">
      <c r="A21" s="23" t="s">
        <v>28</v>
      </c>
      <c r="B21" s="24" t="s">
        <v>20</v>
      </c>
      <c r="C21" s="57" t="s">
        <v>31</v>
      </c>
      <c r="D21" s="25" t="s">
        <v>30</v>
      </c>
      <c r="E21" s="57" t="s">
        <v>101</v>
      </c>
      <c r="F21" s="236" t="s">
        <v>37</v>
      </c>
      <c r="G21" s="222">
        <v>195037</v>
      </c>
      <c r="H21" s="222">
        <v>205982</v>
      </c>
      <c r="I21" s="216">
        <v>66.797200000000004</v>
      </c>
      <c r="J21" s="217">
        <v>67.317899999999995</v>
      </c>
      <c r="K21" s="222"/>
      <c r="L21" s="222"/>
      <c r="M21" s="222"/>
      <c r="N21" s="215">
        <v>4334.18</v>
      </c>
      <c r="O21" s="224">
        <f t="shared" si="0"/>
        <v>26889867</v>
      </c>
      <c r="P21" s="222">
        <f t="shared" si="10"/>
        <v>5041850.0599999996</v>
      </c>
      <c r="Q21" s="222">
        <f t="shared" si="11"/>
        <v>4033480.05</v>
      </c>
      <c r="R21" s="223">
        <v>0.15</v>
      </c>
      <c r="S21" s="222">
        <f t="shared" si="1"/>
        <v>1008370.01</v>
      </c>
      <c r="T21" s="258">
        <v>3.7499999999999999E-2</v>
      </c>
      <c r="U21" s="40">
        <f t="shared" si="2"/>
        <v>401019</v>
      </c>
      <c r="V21" s="40">
        <f t="shared" si="12"/>
        <v>26889867</v>
      </c>
      <c r="W21" s="75">
        <f t="shared" si="13"/>
        <v>12936.1</v>
      </c>
      <c r="X21" s="76">
        <f t="shared" si="3"/>
        <v>67.053799999999995</v>
      </c>
      <c r="Y21" s="76">
        <f t="shared" si="4"/>
        <v>12.5726</v>
      </c>
      <c r="Z21" s="40">
        <f t="shared" si="5"/>
        <v>5041850.0599999996</v>
      </c>
      <c r="AA21" s="40" t="str">
        <f t="shared" si="6"/>
        <v/>
      </c>
      <c r="AB21" s="40" t="str">
        <f t="shared" si="14"/>
        <v/>
      </c>
      <c r="AC21" s="75" t="str">
        <f t="shared" si="15"/>
        <v/>
      </c>
      <c r="AD21" s="76" t="str">
        <f t="shared" si="7"/>
        <v/>
      </c>
      <c r="AE21" s="76" t="str">
        <f t="shared" si="8"/>
        <v/>
      </c>
      <c r="AF21" s="40" t="str">
        <f t="shared" si="9"/>
        <v/>
      </c>
      <c r="AG21" s="50"/>
    </row>
    <row r="22" spans="1:33" x14ac:dyDescent="0.2">
      <c r="A22" s="23" t="s">
        <v>28</v>
      </c>
      <c r="B22" s="24" t="s">
        <v>8</v>
      </c>
      <c r="C22" s="57" t="s">
        <v>31</v>
      </c>
      <c r="D22" s="25" t="s">
        <v>21</v>
      </c>
      <c r="E22" s="57" t="s">
        <v>101</v>
      </c>
      <c r="F22" s="236" t="s">
        <v>56</v>
      </c>
      <c r="G22" s="222">
        <v>251980.16</v>
      </c>
      <c r="H22" s="215">
        <v>254840.6</v>
      </c>
      <c r="I22" s="310">
        <v>1.8011999999999999</v>
      </c>
      <c r="J22" s="217">
        <v>1.8011999999999999</v>
      </c>
      <c r="K22" s="222"/>
      <c r="L22" s="222"/>
      <c r="M22" s="222"/>
      <c r="N22" s="215">
        <v>2235.16</v>
      </c>
      <c r="O22" s="224">
        <f t="shared" si="0"/>
        <v>910650.39</v>
      </c>
      <c r="P22" s="222">
        <f t="shared" si="10"/>
        <v>170746.95</v>
      </c>
      <c r="Q22" s="222">
        <f t="shared" si="11"/>
        <v>136597.56</v>
      </c>
      <c r="R22" s="223">
        <v>0.15</v>
      </c>
      <c r="S22" s="222">
        <f t="shared" si="1"/>
        <v>34149.39</v>
      </c>
      <c r="T22" s="258">
        <v>3.7499999999999999E-2</v>
      </c>
      <c r="U22" s="40" t="str">
        <f t="shared" si="2"/>
        <v/>
      </c>
      <c r="V22" s="40" t="str">
        <f t="shared" si="12"/>
        <v/>
      </c>
      <c r="W22" s="75" t="str">
        <f t="shared" si="13"/>
        <v/>
      </c>
      <c r="X22" s="76" t="str">
        <f t="shared" si="3"/>
        <v/>
      </c>
      <c r="Y22" s="76" t="str">
        <f t="shared" si="4"/>
        <v/>
      </c>
      <c r="Z22" s="40" t="str">
        <f t="shared" si="5"/>
        <v/>
      </c>
      <c r="AA22" s="40">
        <f t="shared" si="6"/>
        <v>506820.76</v>
      </c>
      <c r="AB22" s="40">
        <f t="shared" si="14"/>
        <v>910650.39</v>
      </c>
      <c r="AC22" s="75">
        <f t="shared" si="15"/>
        <v>16349.1</v>
      </c>
      <c r="AD22" s="76">
        <f t="shared" si="7"/>
        <v>1.7968</v>
      </c>
      <c r="AE22" s="76">
        <f t="shared" si="8"/>
        <v>0.33689999999999998</v>
      </c>
      <c r="AF22" s="40">
        <f t="shared" si="9"/>
        <v>170746.95</v>
      </c>
      <c r="AG22" s="50"/>
    </row>
    <row r="23" spans="1:33" x14ac:dyDescent="0.2">
      <c r="A23" s="23" t="s">
        <v>28</v>
      </c>
      <c r="B23" s="24" t="s">
        <v>57</v>
      </c>
      <c r="C23" s="57" t="s">
        <v>31</v>
      </c>
      <c r="D23" s="25" t="s">
        <v>21</v>
      </c>
      <c r="E23" s="57" t="s">
        <v>101</v>
      </c>
      <c r="F23" s="236" t="s">
        <v>37</v>
      </c>
      <c r="G23" s="222"/>
      <c r="H23" s="222"/>
      <c r="I23" s="216"/>
      <c r="J23" s="216"/>
      <c r="K23" s="222"/>
      <c r="L23" s="222"/>
      <c r="M23" s="222"/>
      <c r="N23" s="222"/>
      <c r="O23" s="224">
        <f t="shared" si="0"/>
        <v>0</v>
      </c>
      <c r="P23" s="222">
        <f t="shared" si="10"/>
        <v>0</v>
      </c>
      <c r="Q23" s="222">
        <f t="shared" si="11"/>
        <v>0</v>
      </c>
      <c r="R23" s="223">
        <v>0.15</v>
      </c>
      <c r="S23" s="222">
        <f t="shared" si="1"/>
        <v>0</v>
      </c>
      <c r="T23" s="258">
        <v>3.7499999999999999E-2</v>
      </c>
      <c r="U23" s="40">
        <f t="shared" si="2"/>
        <v>0</v>
      </c>
      <c r="V23" s="40">
        <f t="shared" si="12"/>
        <v>0</v>
      </c>
      <c r="W23" s="75">
        <f t="shared" si="13"/>
        <v>0</v>
      </c>
      <c r="X23" s="76">
        <f t="shared" si="3"/>
        <v>0</v>
      </c>
      <c r="Y23" s="76">
        <f t="shared" si="4"/>
        <v>0</v>
      </c>
      <c r="Z23" s="40">
        <f t="shared" si="5"/>
        <v>0</v>
      </c>
      <c r="AA23" s="40" t="str">
        <f t="shared" si="6"/>
        <v/>
      </c>
      <c r="AB23" s="40" t="str">
        <f t="shared" si="14"/>
        <v/>
      </c>
      <c r="AC23" s="75" t="str">
        <f t="shared" si="15"/>
        <v/>
      </c>
      <c r="AD23" s="76" t="str">
        <f t="shared" si="7"/>
        <v/>
      </c>
      <c r="AE23" s="76" t="str">
        <f t="shared" si="8"/>
        <v/>
      </c>
      <c r="AF23" s="40" t="str">
        <f t="shared" si="9"/>
        <v/>
      </c>
      <c r="AG23" s="50"/>
    </row>
    <row r="24" spans="1:33" x14ac:dyDescent="0.2">
      <c r="A24" s="23" t="s">
        <v>28</v>
      </c>
      <c r="B24" s="24" t="s">
        <v>9</v>
      </c>
      <c r="C24" s="57" t="s">
        <v>31</v>
      </c>
      <c r="D24" s="25" t="s">
        <v>30</v>
      </c>
      <c r="E24" s="57" t="s">
        <v>101</v>
      </c>
      <c r="F24" s="236" t="s">
        <v>37</v>
      </c>
      <c r="G24" s="222">
        <v>564</v>
      </c>
      <c r="H24" s="222">
        <v>535</v>
      </c>
      <c r="I24" s="216">
        <v>66.536500000000004</v>
      </c>
      <c r="J24" s="217">
        <v>67.701400000000007</v>
      </c>
      <c r="K24" s="222"/>
      <c r="L24" s="222"/>
      <c r="M24" s="222"/>
      <c r="N24" s="222">
        <v>802.26</v>
      </c>
      <c r="O24" s="224">
        <f t="shared" si="0"/>
        <v>72944.58</v>
      </c>
      <c r="P24" s="222">
        <f t="shared" si="10"/>
        <v>13677.11</v>
      </c>
      <c r="Q24" s="222">
        <f t="shared" si="11"/>
        <v>10941.69</v>
      </c>
      <c r="R24" s="223">
        <v>0.15</v>
      </c>
      <c r="S24" s="222">
        <f t="shared" si="1"/>
        <v>2735.42</v>
      </c>
      <c r="T24" s="258">
        <v>3.7499999999999999E-2</v>
      </c>
      <c r="U24" s="40">
        <f t="shared" si="2"/>
        <v>1099</v>
      </c>
      <c r="V24" s="40">
        <f t="shared" si="12"/>
        <v>72944.58</v>
      </c>
      <c r="W24" s="75">
        <f t="shared" si="13"/>
        <v>35.5</v>
      </c>
      <c r="X24" s="76">
        <f t="shared" si="3"/>
        <v>66.373599999999996</v>
      </c>
      <c r="Y24" s="76">
        <f t="shared" si="4"/>
        <v>12.4451</v>
      </c>
      <c r="Z24" s="40">
        <f t="shared" si="5"/>
        <v>13677.11</v>
      </c>
      <c r="AA24" s="40" t="str">
        <f t="shared" si="6"/>
        <v/>
      </c>
      <c r="AB24" s="40" t="str">
        <f t="shared" si="14"/>
        <v/>
      </c>
      <c r="AC24" s="75" t="str">
        <f t="shared" si="15"/>
        <v/>
      </c>
      <c r="AD24" s="76" t="str">
        <f t="shared" si="7"/>
        <v/>
      </c>
      <c r="AE24" s="76" t="str">
        <f t="shared" si="8"/>
        <v/>
      </c>
      <c r="AF24" s="40" t="str">
        <f t="shared" si="9"/>
        <v/>
      </c>
      <c r="AG24" s="50"/>
    </row>
    <row r="25" spans="1:33" x14ac:dyDescent="0.2">
      <c r="A25" s="23" t="s">
        <v>28</v>
      </c>
      <c r="B25" s="24" t="s">
        <v>165</v>
      </c>
      <c r="C25" s="57" t="s">
        <v>31</v>
      </c>
      <c r="D25" s="25" t="s">
        <v>30</v>
      </c>
      <c r="E25" s="57" t="s">
        <v>101</v>
      </c>
      <c r="F25" s="236" t="s">
        <v>37</v>
      </c>
      <c r="G25" s="215">
        <v>28828</v>
      </c>
      <c r="H25" s="215">
        <v>36208</v>
      </c>
      <c r="I25" s="217">
        <v>66.797200000000004</v>
      </c>
      <c r="J25" s="217">
        <v>67.317899999999995</v>
      </c>
      <c r="K25" s="222"/>
      <c r="L25" s="222"/>
      <c r="M25" s="222"/>
      <c r="N25" s="215">
        <v>1530.48</v>
      </c>
      <c r="O25" s="224">
        <f>ROUND(G25*I25,2)+ROUND(H25*J25,2)-K25-L25-M25-N25</f>
        <v>4361545.72</v>
      </c>
      <c r="P25" s="222">
        <f t="shared" si="10"/>
        <v>817789.82</v>
      </c>
      <c r="Q25" s="222">
        <f>ROUND($O25*R25,2)</f>
        <v>654231.86</v>
      </c>
      <c r="R25" s="223">
        <v>0.15</v>
      </c>
      <c r="S25" s="222">
        <f>ROUND($O25*T25,2)</f>
        <v>163557.96</v>
      </c>
      <c r="T25" s="258">
        <v>3.7499999999999999E-2</v>
      </c>
      <c r="U25" s="40">
        <f>IF($F25&amp;"/Día"=W$9,SUM($G25:$H25),"")</f>
        <v>65036</v>
      </c>
      <c r="V25" s="40">
        <f t="shared" si="12"/>
        <v>4361545.72</v>
      </c>
      <c r="W25" s="75">
        <f>IF($F25&amp;"/Día"=W$9,ROUND(U25/$W$1,1),"")</f>
        <v>2097.9</v>
      </c>
      <c r="X25" s="76">
        <f>IF(U25=0,0,IF($F25&amp;"/Día"=W$9,ROUND(V25/U25,4),""))</f>
        <v>67.063599999999994</v>
      </c>
      <c r="Y25" s="76">
        <f>IF(U25=0,0,IF($F25&amp;"/Día"=W$9,ROUND(Z25/U25,4),""))</f>
        <v>12.574400000000001</v>
      </c>
      <c r="Z25" s="40">
        <f>IF(U25&lt;&gt;"",$P25,"")</f>
        <v>817789.82</v>
      </c>
      <c r="AA25" s="40" t="str">
        <f>IF($F25&amp;"/Día"=AC$9,SUM($G25:$H25),"")</f>
        <v/>
      </c>
      <c r="AB25" s="40" t="str">
        <f t="shared" si="14"/>
        <v/>
      </c>
      <c r="AC25" s="75" t="str">
        <f>IF($F25&amp;"/Día"=AC$9,ROUND(AA25/$W$1,1),"")</f>
        <v/>
      </c>
      <c r="AD25" s="76" t="str">
        <f>IF(AA25=0,0,IF($F25&amp;"/Día"=AC$9,ROUND(AB25/AA25,4),""))</f>
        <v/>
      </c>
      <c r="AE25" s="76" t="str">
        <f>IF(AA25=0,0,IF($F25&amp;"/Día"=AC$9,ROUND(AF25/AA25,4),""))</f>
        <v/>
      </c>
      <c r="AF25" s="40" t="str">
        <f>IF(AA25&lt;&gt;"",$P25,"")</f>
        <v/>
      </c>
      <c r="AG25" s="50"/>
    </row>
    <row r="26" spans="1:33" x14ac:dyDescent="0.2">
      <c r="A26" s="23" t="s">
        <v>28</v>
      </c>
      <c r="B26" s="24" t="s">
        <v>187</v>
      </c>
      <c r="C26" s="57" t="s">
        <v>31</v>
      </c>
      <c r="D26" s="25" t="s">
        <v>30</v>
      </c>
      <c r="E26" s="57" t="s">
        <v>101</v>
      </c>
      <c r="F26" s="236" t="s">
        <v>37</v>
      </c>
      <c r="G26" s="215"/>
      <c r="H26" s="222"/>
      <c r="I26" s="216"/>
      <c r="J26" s="216"/>
      <c r="K26" s="222"/>
      <c r="L26" s="222"/>
      <c r="M26" s="222"/>
      <c r="N26" s="215"/>
      <c r="O26" s="224">
        <f>ROUND(G26*I26,2)+ROUND(H26*J26,2)-K26-L26-M26-N26</f>
        <v>0</v>
      </c>
      <c r="P26" s="222">
        <f>ROUND(18.75%*O26,2)</f>
        <v>0</v>
      </c>
      <c r="Q26" s="222">
        <f>ROUND($O26*R26,2)</f>
        <v>0</v>
      </c>
      <c r="R26" s="223">
        <v>0.15</v>
      </c>
      <c r="S26" s="222">
        <f>ROUND($O26*T26,2)</f>
        <v>0</v>
      </c>
      <c r="T26" s="258">
        <v>3.7499999999999999E-2</v>
      </c>
      <c r="U26" s="40">
        <f>IF($F26&amp;"/Día"=W$9,SUM($G26:$H26),"")</f>
        <v>0</v>
      </c>
      <c r="V26" s="40">
        <f>IF(U26&lt;&gt;"",$O26,"")</f>
        <v>0</v>
      </c>
      <c r="W26" s="75">
        <f>IF($F26&amp;"/Día"=W$9,ROUND(U26/$W$1,1),"")</f>
        <v>0</v>
      </c>
      <c r="X26" s="76">
        <f>IF(U26=0,0,IF($F26&amp;"/Día"=W$9,ROUND(V26/U26,4),""))</f>
        <v>0</v>
      </c>
      <c r="Y26" s="76">
        <f>IF(U26=0,0,IF($F26&amp;"/Día"=W$9,ROUND(Z26/U26,4),""))</f>
        <v>0</v>
      </c>
      <c r="Z26" s="40">
        <f>IF(U26&lt;&gt;"",$P26,"")</f>
        <v>0</v>
      </c>
      <c r="AA26" s="40" t="str">
        <f>IF($F26&amp;"/Día"=AC$9,SUM($G26:$H26),"")</f>
        <v/>
      </c>
      <c r="AB26" s="40" t="str">
        <f>IF(AA26&lt;&gt;"",$O26,"")</f>
        <v/>
      </c>
      <c r="AC26" s="75" t="str">
        <f>IF($F26&amp;"/Día"=AC$9,ROUND(AA26/$W$1,1),"")</f>
        <v/>
      </c>
      <c r="AD26" s="76" t="str">
        <f>IF(AA26=0,0,IF($F26&amp;"/Día"=AC$9,ROUND(AB26/AA26,4),""))</f>
        <v/>
      </c>
      <c r="AE26" s="76" t="str">
        <f>IF(AA26=0,0,IF($F26&amp;"/Día"=AC$9,ROUND(AF26/AA26,4),""))</f>
        <v/>
      </c>
      <c r="AF26" s="40" t="str">
        <f>IF(AA26&lt;&gt;"",$P26,"")</f>
        <v/>
      </c>
      <c r="AG26" s="50"/>
    </row>
    <row r="27" spans="1:33" x14ac:dyDescent="0.2">
      <c r="A27" s="23" t="s">
        <v>28</v>
      </c>
      <c r="B27" s="24" t="s">
        <v>157</v>
      </c>
      <c r="C27" s="57" t="s">
        <v>31</v>
      </c>
      <c r="D27" s="25" t="s">
        <v>30</v>
      </c>
      <c r="E27" s="57" t="s">
        <v>101</v>
      </c>
      <c r="F27" s="236" t="s">
        <v>56</v>
      </c>
      <c r="G27" s="215">
        <f>109679.9639+69454.7114</f>
        <v>179134.6753</v>
      </c>
      <c r="H27" s="222">
        <f>115352.29+94462.85</f>
        <v>209815.14</v>
      </c>
      <c r="I27" s="216">
        <v>2.4759774692264731</v>
      </c>
      <c r="J27" s="216">
        <v>2.6336074222289199</v>
      </c>
      <c r="K27" s="222"/>
      <c r="L27" s="222"/>
      <c r="M27" s="222"/>
      <c r="N27" s="215">
        <v>3163.29</v>
      </c>
      <c r="O27" s="224">
        <f t="shared" si="0"/>
        <v>992940.83999999985</v>
      </c>
      <c r="P27" s="222">
        <f t="shared" si="10"/>
        <v>186176.41</v>
      </c>
      <c r="Q27" s="222">
        <f t="shared" si="11"/>
        <v>148941.13</v>
      </c>
      <c r="R27" s="223">
        <v>0.15</v>
      </c>
      <c r="S27" s="222">
        <f t="shared" si="1"/>
        <v>37235.279999999999</v>
      </c>
      <c r="T27" s="258">
        <v>3.7499999999999999E-2</v>
      </c>
      <c r="U27" s="40" t="str">
        <f t="shared" si="2"/>
        <v/>
      </c>
      <c r="V27" s="40" t="str">
        <f t="shared" si="12"/>
        <v/>
      </c>
      <c r="W27" s="75" t="str">
        <f t="shared" si="13"/>
        <v/>
      </c>
      <c r="X27" s="76" t="str">
        <f t="shared" si="3"/>
        <v/>
      </c>
      <c r="Y27" s="76" t="str">
        <f t="shared" si="4"/>
        <v/>
      </c>
      <c r="Z27" s="40" t="str">
        <f t="shared" si="5"/>
        <v/>
      </c>
      <c r="AA27" s="40">
        <f t="shared" si="6"/>
        <v>388949.81530000002</v>
      </c>
      <c r="AB27" s="40">
        <f t="shared" si="14"/>
        <v>992940.83999999985</v>
      </c>
      <c r="AC27" s="75">
        <f t="shared" si="15"/>
        <v>12546.8</v>
      </c>
      <c r="AD27" s="76">
        <f t="shared" si="7"/>
        <v>2.5529000000000002</v>
      </c>
      <c r="AE27" s="76">
        <f t="shared" si="8"/>
        <v>0.47870000000000001</v>
      </c>
      <c r="AF27" s="40">
        <f t="shared" si="9"/>
        <v>186176.41</v>
      </c>
      <c r="AG27" s="50"/>
    </row>
    <row r="28" spans="1:33" x14ac:dyDescent="0.2">
      <c r="A28" s="23" t="s">
        <v>28</v>
      </c>
      <c r="B28" s="24" t="s">
        <v>15</v>
      </c>
      <c r="C28" s="57" t="s">
        <v>29</v>
      </c>
      <c r="D28" s="25" t="s">
        <v>21</v>
      </c>
      <c r="E28" s="57" t="s">
        <v>98</v>
      </c>
      <c r="F28" s="236" t="s">
        <v>37</v>
      </c>
      <c r="G28" s="222"/>
      <c r="H28" s="215">
        <f>39453+207131</f>
        <v>246584</v>
      </c>
      <c r="I28" s="216"/>
      <c r="J28" s="217">
        <v>64.0398</v>
      </c>
      <c r="K28" s="222"/>
      <c r="L28" s="222"/>
      <c r="M28" s="222"/>
      <c r="N28" s="215">
        <v>2445.75</v>
      </c>
      <c r="O28" s="224">
        <f t="shared" si="0"/>
        <v>15788744.289999999</v>
      </c>
      <c r="P28" s="222">
        <f t="shared" si="10"/>
        <v>2960389.55</v>
      </c>
      <c r="Q28" s="222">
        <f t="shared" si="11"/>
        <v>2368311.64</v>
      </c>
      <c r="R28" s="223">
        <v>0.15</v>
      </c>
      <c r="S28" s="222">
        <f t="shared" si="1"/>
        <v>592077.91</v>
      </c>
      <c r="T28" s="258">
        <v>3.7499999999999999E-2</v>
      </c>
      <c r="U28" s="40">
        <f t="shared" si="2"/>
        <v>246584</v>
      </c>
      <c r="V28" s="40">
        <f t="shared" si="12"/>
        <v>15788744.289999999</v>
      </c>
      <c r="W28" s="75">
        <f t="shared" si="13"/>
        <v>7954.3</v>
      </c>
      <c r="X28" s="76">
        <f t="shared" si="3"/>
        <v>64.029899999999998</v>
      </c>
      <c r="Y28" s="76">
        <f t="shared" si="4"/>
        <v>12.005599999999999</v>
      </c>
      <c r="Z28" s="40">
        <f t="shared" si="5"/>
        <v>2960389.55</v>
      </c>
      <c r="AA28" s="40" t="str">
        <f t="shared" si="6"/>
        <v/>
      </c>
      <c r="AB28" s="40" t="str">
        <f t="shared" si="14"/>
        <v/>
      </c>
      <c r="AC28" s="75" t="str">
        <f t="shared" si="15"/>
        <v/>
      </c>
      <c r="AD28" s="76" t="str">
        <f t="shared" si="7"/>
        <v/>
      </c>
      <c r="AE28" s="76" t="str">
        <f t="shared" si="8"/>
        <v/>
      </c>
      <c r="AF28" s="40" t="str">
        <f t="shared" si="9"/>
        <v/>
      </c>
      <c r="AG28" s="50"/>
    </row>
    <row r="29" spans="1:33" x14ac:dyDescent="0.2">
      <c r="A29" s="23" t="s">
        <v>28</v>
      </c>
      <c r="B29" s="24" t="s">
        <v>16</v>
      </c>
      <c r="C29" s="57" t="s">
        <v>29</v>
      </c>
      <c r="D29" s="25" t="s">
        <v>21</v>
      </c>
      <c r="E29" s="57" t="s">
        <v>98</v>
      </c>
      <c r="F29" s="236" t="s">
        <v>56</v>
      </c>
      <c r="G29" s="222"/>
      <c r="H29" s="215">
        <f>28128.11+153471.87+1104.62</f>
        <v>182704.59999999998</v>
      </c>
      <c r="I29" s="216"/>
      <c r="J29" s="359">
        <v>5.4650450508635302</v>
      </c>
      <c r="K29" s="222"/>
      <c r="L29" s="222"/>
      <c r="M29" s="222"/>
      <c r="N29" s="215">
        <v>2156.75</v>
      </c>
      <c r="O29" s="224">
        <f t="shared" si="0"/>
        <v>996332.12</v>
      </c>
      <c r="P29" s="222">
        <f t="shared" si="10"/>
        <v>186812.27</v>
      </c>
      <c r="Q29" s="222">
        <f t="shared" si="11"/>
        <v>149449.82</v>
      </c>
      <c r="R29" s="223">
        <v>0.15</v>
      </c>
      <c r="S29" s="222">
        <f t="shared" si="1"/>
        <v>37362.449999999997</v>
      </c>
      <c r="T29" s="258">
        <v>3.7499999999999999E-2</v>
      </c>
      <c r="U29" s="40" t="str">
        <f t="shared" si="2"/>
        <v/>
      </c>
      <c r="V29" s="40" t="str">
        <f t="shared" si="12"/>
        <v/>
      </c>
      <c r="W29" s="75" t="str">
        <f t="shared" si="13"/>
        <v/>
      </c>
      <c r="X29" s="76" t="str">
        <f t="shared" si="3"/>
        <v/>
      </c>
      <c r="Y29" s="76" t="str">
        <f t="shared" si="4"/>
        <v/>
      </c>
      <c r="Z29" s="40" t="str">
        <f t="shared" si="5"/>
        <v/>
      </c>
      <c r="AA29" s="40">
        <f t="shared" si="6"/>
        <v>182704.59999999998</v>
      </c>
      <c r="AB29" s="40">
        <f t="shared" si="14"/>
        <v>996332.12</v>
      </c>
      <c r="AC29" s="75">
        <f t="shared" si="15"/>
        <v>5893.7</v>
      </c>
      <c r="AD29" s="76">
        <f t="shared" si="7"/>
        <v>5.4531999999999998</v>
      </c>
      <c r="AE29" s="76">
        <f t="shared" si="8"/>
        <v>1.0225</v>
      </c>
      <c r="AF29" s="40">
        <f t="shared" si="9"/>
        <v>186812.27</v>
      </c>
      <c r="AG29" s="50"/>
    </row>
    <row r="30" spans="1:33" x14ac:dyDescent="0.2">
      <c r="A30" s="23" t="s">
        <v>28</v>
      </c>
      <c r="B30" s="24" t="s">
        <v>170</v>
      </c>
      <c r="C30" s="57" t="s">
        <v>31</v>
      </c>
      <c r="D30" s="25" t="s">
        <v>30</v>
      </c>
      <c r="E30" s="57" t="s">
        <v>101</v>
      </c>
      <c r="F30" s="236" t="s">
        <v>37</v>
      </c>
      <c r="G30" s="222">
        <v>480</v>
      </c>
      <c r="H30" s="215">
        <v>368</v>
      </c>
      <c r="I30" s="217">
        <v>66.797200000000004</v>
      </c>
      <c r="J30" s="217">
        <v>67.317899999999995</v>
      </c>
      <c r="K30" s="222"/>
      <c r="L30" s="222"/>
      <c r="M30" s="222"/>
      <c r="N30" s="215">
        <v>471.2</v>
      </c>
      <c r="O30" s="224">
        <f>ROUND(G30*I30,2)+ROUND(H30*J30,2)-K30-L30-M30-N30</f>
        <v>56364.450000000004</v>
      </c>
      <c r="P30" s="222">
        <f t="shared" si="10"/>
        <v>10568.33</v>
      </c>
      <c r="Q30" s="222">
        <f>ROUND($O30*R30,2)</f>
        <v>2113.67</v>
      </c>
      <c r="R30" s="258">
        <v>3.7499999999999999E-2</v>
      </c>
      <c r="S30" s="222">
        <f t="shared" si="1"/>
        <v>8454.67</v>
      </c>
      <c r="T30" s="223">
        <v>0.15</v>
      </c>
      <c r="U30" s="40">
        <f>IF($F30&amp;"/Día"=W$9,SUM($G30:$H30),"")</f>
        <v>848</v>
      </c>
      <c r="V30" s="40">
        <f t="shared" si="12"/>
        <v>56364.450000000004</v>
      </c>
      <c r="W30" s="75">
        <f>IF($F30&amp;"/Día"=W$9,ROUND(U30/$W$1,1),"")</f>
        <v>27.4</v>
      </c>
      <c r="X30" s="76">
        <f>IF(U30=0,0,IF($F30&amp;"/Día"=W$9,ROUND(V30/U30,4),""))</f>
        <v>66.467500000000001</v>
      </c>
      <c r="Y30" s="76">
        <f>IF(U30=0,0,IF($F30&amp;"/Día"=W$9,ROUND(Z30/U30,4),""))</f>
        <v>12.4627</v>
      </c>
      <c r="Z30" s="40">
        <f>IF(U30&lt;&gt;"",$P30,"")</f>
        <v>10568.33</v>
      </c>
      <c r="AA30" s="40" t="str">
        <f>IF($F30&amp;"/Día"=AC$9,SUM($G30:$H30),"")</f>
        <v/>
      </c>
      <c r="AB30" s="40" t="str">
        <f t="shared" si="14"/>
        <v/>
      </c>
      <c r="AC30" s="75" t="str">
        <f>IF($F30&amp;"/Día"=AC$9,ROUND(AA30/$W$1,1),"")</f>
        <v/>
      </c>
      <c r="AD30" s="76" t="str">
        <f>IF(AA30=0,0,IF($F30&amp;"/Día"=AC$9,ROUND(AB30/AA30,4),""))</f>
        <v/>
      </c>
      <c r="AE30" s="76" t="str">
        <f>IF(AA30=0,0,IF($F30&amp;"/Día"=AC$9,ROUND(AF30/AA30,4),""))</f>
        <v/>
      </c>
      <c r="AF30" s="40" t="str">
        <f>IF(AA30&lt;&gt;"",$P30,"")</f>
        <v/>
      </c>
      <c r="AG30" s="50"/>
    </row>
    <row r="31" spans="1:33" x14ac:dyDescent="0.2">
      <c r="A31" s="23" t="s">
        <v>28</v>
      </c>
      <c r="B31" s="24" t="s">
        <v>166</v>
      </c>
      <c r="C31" s="57" t="s">
        <v>31</v>
      </c>
      <c r="D31" s="25" t="s">
        <v>30</v>
      </c>
      <c r="E31" s="57" t="s">
        <v>101</v>
      </c>
      <c r="F31" s="236" t="s">
        <v>37</v>
      </c>
      <c r="G31" s="215"/>
      <c r="H31" s="215"/>
      <c r="I31" s="217"/>
      <c r="J31" s="217"/>
      <c r="K31" s="215"/>
      <c r="L31" s="222"/>
      <c r="M31" s="222"/>
      <c r="N31" s="215">
        <v>1450.98</v>
      </c>
      <c r="O31" s="224">
        <f>ROUND(G31*I31,2)+ROUND(H31*J31,2)-K31-L31-M31-N31</f>
        <v>-1450.98</v>
      </c>
      <c r="P31" s="222">
        <f t="shared" si="10"/>
        <v>-272.06</v>
      </c>
      <c r="Q31" s="222">
        <f>ROUND($O31*R31,2)</f>
        <v>-54.41</v>
      </c>
      <c r="R31" s="258">
        <v>3.7499999999999999E-2</v>
      </c>
      <c r="S31" s="222">
        <f t="shared" si="1"/>
        <v>-217.65</v>
      </c>
      <c r="T31" s="223">
        <v>0.15</v>
      </c>
      <c r="U31" s="40">
        <f>IF($F31&amp;"/Día"=W$9,SUM($G31:$H31),"")</f>
        <v>0</v>
      </c>
      <c r="V31" s="40">
        <f t="shared" si="12"/>
        <v>-1450.98</v>
      </c>
      <c r="W31" s="75">
        <f>IF($F31&amp;"/Día"=W$9,ROUND(U31/$W$1,1),"")</f>
        <v>0</v>
      </c>
      <c r="X31" s="76">
        <f>IF(U31=0,0,IF($F31&amp;"/Día"=W$9,ROUND(V31/U31,4),""))</f>
        <v>0</v>
      </c>
      <c r="Y31" s="76">
        <f>IF(U31=0,0,IF($F31&amp;"/Día"=W$9,ROUND(Z31/U31,4),""))</f>
        <v>0</v>
      </c>
      <c r="Z31" s="40">
        <f>IF(U31&lt;&gt;"",$P31,"")</f>
        <v>-272.06</v>
      </c>
      <c r="AA31" s="40" t="str">
        <f>IF($F31&amp;"/Día"=AC$9,SUM($G31:$H31),"")</f>
        <v/>
      </c>
      <c r="AB31" s="40" t="str">
        <f t="shared" si="14"/>
        <v/>
      </c>
      <c r="AC31" s="75" t="str">
        <f>IF($F31&amp;"/Día"=AC$9,ROUND(AA31/$W$1,1),"")</f>
        <v/>
      </c>
      <c r="AD31" s="76" t="str">
        <f>IF(AA31=0,0,IF($F31&amp;"/Día"=AC$9,ROUND(AB31/AA31,4),""))</f>
        <v/>
      </c>
      <c r="AE31" s="76" t="str">
        <f>IF(AA31=0,0,IF($F31&amp;"/Día"=AC$9,ROUND(AF31/AA31,4),""))</f>
        <v/>
      </c>
      <c r="AF31" s="40" t="str">
        <f>IF(AA31&lt;&gt;"",$P31,"")</f>
        <v/>
      </c>
      <c r="AG31" s="50"/>
    </row>
    <row r="32" spans="1:33" x14ac:dyDescent="0.2">
      <c r="A32" s="23" t="s">
        <v>28</v>
      </c>
      <c r="B32" s="24" t="s">
        <v>167</v>
      </c>
      <c r="C32" s="57" t="s">
        <v>31</v>
      </c>
      <c r="D32" s="25" t="s">
        <v>30</v>
      </c>
      <c r="E32" s="57" t="s">
        <v>101</v>
      </c>
      <c r="F32" s="236" t="s">
        <v>56</v>
      </c>
      <c r="G32" s="215"/>
      <c r="H32" s="215"/>
      <c r="I32" s="217"/>
      <c r="J32" s="217"/>
      <c r="K32" s="215"/>
      <c r="L32" s="222"/>
      <c r="M32" s="222"/>
      <c r="N32" s="215"/>
      <c r="O32" s="224">
        <f>ROUND(G32*I32,2)+ROUND(H32*J32,2)-K32-L32-M32-N32</f>
        <v>0</v>
      </c>
      <c r="P32" s="222">
        <f t="shared" si="10"/>
        <v>0</v>
      </c>
      <c r="Q32" s="222">
        <f>ROUND($O32*R32,2)</f>
        <v>0</v>
      </c>
      <c r="R32" s="258">
        <v>3.7499999999999999E-2</v>
      </c>
      <c r="S32" s="222">
        <f t="shared" si="1"/>
        <v>0</v>
      </c>
      <c r="T32" s="223">
        <v>0.15</v>
      </c>
      <c r="U32" s="40" t="str">
        <f>IF($F32&amp;"/Día"=W$9,SUM($G32:$H32),"")</f>
        <v/>
      </c>
      <c r="V32" s="40" t="str">
        <f t="shared" si="12"/>
        <v/>
      </c>
      <c r="W32" s="75" t="str">
        <f>IF($F32&amp;"/Día"=W$9,ROUND(U32/$W$1,1),"")</f>
        <v/>
      </c>
      <c r="X32" s="76" t="str">
        <f>IF(U32=0,0,IF($F32&amp;"/Día"=W$9,ROUND(V32/U32,4),""))</f>
        <v/>
      </c>
      <c r="Y32" s="76" t="str">
        <f>IF(U32=0,0,IF($F32&amp;"/Día"=W$9,ROUND(Z32/U32,4),""))</f>
        <v/>
      </c>
      <c r="Z32" s="40" t="str">
        <f>IF(U32&lt;&gt;"",$P32,"")</f>
        <v/>
      </c>
      <c r="AA32" s="40">
        <f>IF($F32&amp;"/Día"=AC$9,SUM($G32:$H32),"")</f>
        <v>0</v>
      </c>
      <c r="AB32" s="40">
        <f t="shared" si="14"/>
        <v>0</v>
      </c>
      <c r="AC32" s="75">
        <f>IF($F32&amp;"/Día"=AC$9,ROUND(AA32/$W$1,1),"")</f>
        <v>0</v>
      </c>
      <c r="AD32" s="76">
        <f>IF(AA32=0,0,IF($F32&amp;"/Día"=AC$9,ROUND(AB32/AA32,4),""))</f>
        <v>0</v>
      </c>
      <c r="AE32" s="76">
        <f>IF(AA32=0,0,IF($F32&amp;"/Día"=AC$9,ROUND(AF32/AA32,4),""))</f>
        <v>0</v>
      </c>
      <c r="AF32" s="40">
        <f>IF(AA32&lt;&gt;"",$P32,"")</f>
        <v>0</v>
      </c>
      <c r="AG32" s="50"/>
    </row>
    <row r="33" spans="1:33" x14ac:dyDescent="0.2">
      <c r="A33" s="26" t="s">
        <v>28</v>
      </c>
      <c r="B33" s="245" t="s">
        <v>171</v>
      </c>
      <c r="C33" s="236" t="s">
        <v>29</v>
      </c>
      <c r="D33" s="243" t="s">
        <v>21</v>
      </c>
      <c r="E33" s="236" t="s">
        <v>98</v>
      </c>
      <c r="F33" s="236" t="s">
        <v>37</v>
      </c>
      <c r="G33" s="215"/>
      <c r="H33" s="215">
        <f>5522+28988</f>
        <v>34510</v>
      </c>
      <c r="I33" s="217"/>
      <c r="J33" s="217">
        <v>59.056100000000001</v>
      </c>
      <c r="K33" s="215"/>
      <c r="L33" s="222"/>
      <c r="M33" s="222"/>
      <c r="N33" s="215">
        <v>2349.3200000000002</v>
      </c>
      <c r="O33" s="224">
        <f>ROUND(G33*I33,2)+ROUND(H33*J33,2)-K33-L33-M33-N33</f>
        <v>2035676.69</v>
      </c>
      <c r="P33" s="222">
        <f t="shared" si="10"/>
        <v>381689.38</v>
      </c>
      <c r="Q33" s="222">
        <f>ROUND($O33*R33,2)</f>
        <v>305351.5</v>
      </c>
      <c r="R33" s="225">
        <v>0.15</v>
      </c>
      <c r="S33" s="222">
        <f t="shared" si="1"/>
        <v>76337.88</v>
      </c>
      <c r="T33" s="258">
        <v>3.7499999999999999E-2</v>
      </c>
      <c r="U33" s="40">
        <f>IF($F33&amp;"/Día"=W$9,SUM($G33:$H33),"")</f>
        <v>34510</v>
      </c>
      <c r="V33" s="40">
        <f t="shared" si="12"/>
        <v>2035676.69</v>
      </c>
      <c r="W33" s="75">
        <f>IF($F33&amp;"/Día"=W$9,ROUND(U33/$W$1,1),"")</f>
        <v>1113.2</v>
      </c>
      <c r="X33" s="76">
        <f>IF(U33=0,0,IF($F33&amp;"/Día"=W$9,ROUND(V33/U33,4),""))</f>
        <v>58.988</v>
      </c>
      <c r="Y33" s="76">
        <f>IF(U33=0,0,IF($F33&amp;"/Día"=W$9,ROUND(Z33/U33,4),""))</f>
        <v>11.0603</v>
      </c>
      <c r="Z33" s="40">
        <f>IF(U33&lt;&gt;"",$P33,"")</f>
        <v>381689.38</v>
      </c>
      <c r="AA33" s="40" t="str">
        <f>IF($F33&amp;"/Día"=AC$9,SUM($G33:$H33),"")</f>
        <v/>
      </c>
      <c r="AB33" s="40" t="str">
        <f t="shared" si="14"/>
        <v/>
      </c>
      <c r="AC33" s="75" t="str">
        <f>IF($F33&amp;"/Día"=AC$9,ROUND(AA33/$W$1,1),"")</f>
        <v/>
      </c>
      <c r="AD33" s="76" t="str">
        <f>IF(AA33=0,0,IF($F33&amp;"/Día"=AC$9,ROUND(AB33/AA33,4),""))</f>
        <v/>
      </c>
      <c r="AE33" s="76" t="str">
        <f>IF(AA33=0,0,IF($F33&amp;"/Día"=AC$9,ROUND(AF33/AA33,4),""))</f>
        <v/>
      </c>
      <c r="AF33" s="40" t="str">
        <f>IF(AA33&lt;&gt;"",$P33,"")</f>
        <v/>
      </c>
      <c r="AG33" s="50"/>
    </row>
    <row r="34" spans="1:33" x14ac:dyDescent="0.2">
      <c r="A34" s="26" t="s">
        <v>28</v>
      </c>
      <c r="B34" s="24" t="s">
        <v>174</v>
      </c>
      <c r="C34" s="57" t="s">
        <v>31</v>
      </c>
      <c r="D34" s="25" t="s">
        <v>30</v>
      </c>
      <c r="E34" s="57" t="s">
        <v>101</v>
      </c>
      <c r="F34" s="236" t="s">
        <v>56</v>
      </c>
      <c r="G34" s="215"/>
      <c r="H34" s="215"/>
      <c r="I34" s="217"/>
      <c r="J34" s="217"/>
      <c r="K34" s="215"/>
      <c r="L34" s="222"/>
      <c r="M34" s="222"/>
      <c r="N34" s="215"/>
      <c r="O34" s="224">
        <f>ROUND(G34*I34,2)+ROUND(H34*J34,2)-K34-L34-M34-N34</f>
        <v>0</v>
      </c>
      <c r="P34" s="222">
        <f t="shared" si="10"/>
        <v>0</v>
      </c>
      <c r="Q34" s="222">
        <f>ROUND($O34*R34,2)</f>
        <v>0</v>
      </c>
      <c r="R34" s="248">
        <v>0.15</v>
      </c>
      <c r="S34" s="222">
        <f t="shared" si="1"/>
        <v>0</v>
      </c>
      <c r="T34" s="258">
        <v>3.7499999999999999E-2</v>
      </c>
      <c r="U34" s="40"/>
      <c r="V34" s="40"/>
      <c r="W34" s="75"/>
      <c r="X34" s="76"/>
      <c r="Y34" s="76"/>
      <c r="Z34" s="40"/>
      <c r="AA34" s="40"/>
      <c r="AB34" s="40"/>
      <c r="AC34" s="75"/>
      <c r="AD34" s="76"/>
      <c r="AE34" s="76"/>
      <c r="AF34" s="40"/>
      <c r="AG34" s="50"/>
    </row>
    <row r="35" spans="1:33" x14ac:dyDescent="0.2">
      <c r="A35" s="26" t="s">
        <v>28</v>
      </c>
      <c r="B35" s="29" t="s">
        <v>52</v>
      </c>
      <c r="C35" s="56"/>
      <c r="D35" s="56"/>
      <c r="E35" s="27"/>
      <c r="F35" s="236"/>
      <c r="G35" s="222"/>
      <c r="H35" s="222"/>
      <c r="I35" s="216"/>
      <c r="J35" s="216"/>
      <c r="K35" s="222"/>
      <c r="L35" s="222"/>
      <c r="M35" s="222"/>
      <c r="N35" s="222"/>
      <c r="O35" s="224">
        <f>+O149</f>
        <v>-23595.169999999925</v>
      </c>
      <c r="P35" s="222">
        <f t="shared" si="10"/>
        <v>-4424.09</v>
      </c>
      <c r="Q35" s="224">
        <f>+Q149</f>
        <v>-3539.2800000000279</v>
      </c>
      <c r="R35" s="248"/>
      <c r="S35" s="224">
        <f>+S149</f>
        <v>-884.82000000000698</v>
      </c>
      <c r="T35" s="223"/>
      <c r="U35" s="40" t="str">
        <f>IF($F35&amp;"/Día"=W$9,SUM($G35:$H35),"")</f>
        <v/>
      </c>
      <c r="V35" s="40" t="str">
        <f t="shared" si="12"/>
        <v/>
      </c>
      <c r="W35" s="75" t="str">
        <f>IF($F35&amp;"/Día"=W$9,ROUND(U35/$W$1,1),"")</f>
        <v/>
      </c>
      <c r="X35" s="76" t="str">
        <f>IF(U35=0,0,IF($F35&amp;"/Día"=W$9,ROUND(V35/U35,4),""))</f>
        <v/>
      </c>
      <c r="Y35" s="76" t="str">
        <f>IF(U35=0,0,IF($F35&amp;"/Día"=W$9,ROUND(Z35/U35,4),""))</f>
        <v/>
      </c>
      <c r="Z35" s="40" t="str">
        <f>IF(U35&lt;&gt;"",$P35,"")</f>
        <v/>
      </c>
      <c r="AA35" s="40" t="str">
        <f>IF($F35&amp;"/Día"=AC$9,SUM($G35:$H35),"")</f>
        <v/>
      </c>
      <c r="AB35" s="40" t="str">
        <f t="shared" si="14"/>
        <v/>
      </c>
      <c r="AC35" s="75" t="str">
        <f>IF($F35&amp;"/Día"=AC$9,ROUND(AA35/$W$1,1),"")</f>
        <v/>
      </c>
      <c r="AD35" s="76" t="str">
        <f>IF(AA35=0,0,IF($F35&amp;"/Día"=AC$9,ROUND(AB35/AA35,4),""))</f>
        <v/>
      </c>
      <c r="AE35" s="76" t="str">
        <f>IF(AA35=0,0,IF($F35&amp;"/Día"=AC$9,ROUND(AF35/AA35,4),""))</f>
        <v/>
      </c>
      <c r="AF35" s="40" t="str">
        <f>IF(AA35&lt;&gt;"",$P35,"")</f>
        <v/>
      </c>
      <c r="AG35" s="50"/>
    </row>
    <row r="36" spans="1:33" x14ac:dyDescent="0.2">
      <c r="A36" s="30"/>
      <c r="B36" s="153" t="s">
        <v>108</v>
      </c>
      <c r="C36" s="31" t="str">
        <f>TEXT(A$9,)&amp;" US$"</f>
        <v>Piura / Tumbes US$</v>
      </c>
      <c r="D36" s="38"/>
      <c r="E36" s="39"/>
      <c r="F36" s="244"/>
      <c r="G36" s="218"/>
      <c r="H36" s="218"/>
      <c r="I36" s="219"/>
      <c r="J36" s="219"/>
      <c r="K36" s="218"/>
      <c r="L36" s="218"/>
      <c r="M36" s="218"/>
      <c r="N36" s="218"/>
      <c r="O36" s="227">
        <f>SUM(O10:O35)</f>
        <v>67371406.939999998</v>
      </c>
      <c r="P36" s="227">
        <f>SUM(P10:P35)</f>
        <v>12632138.790000001</v>
      </c>
      <c r="Q36" s="228">
        <f>SUM(Q10:Q35)</f>
        <v>10099533.290000001</v>
      </c>
      <c r="R36" s="229"/>
      <c r="S36" s="230">
        <f>SUM(S10:S35)</f>
        <v>2532605.5</v>
      </c>
      <c r="T36" s="229"/>
      <c r="U36" s="77">
        <f>SUM(U10:U35)</f>
        <v>960035</v>
      </c>
      <c r="V36" s="77">
        <f>SUM(V10:V35)</f>
        <v>63261916.859999999</v>
      </c>
      <c r="W36" s="78">
        <f>SUM(W10:W35)</f>
        <v>30969.100000000002</v>
      </c>
      <c r="X36" s="79">
        <f>ROUND(V36/U36,4)</f>
        <v>65.895399999999995</v>
      </c>
      <c r="Y36" s="79">
        <f>ROUND(Z36/U36,4)</f>
        <v>12.355399999999999</v>
      </c>
      <c r="Z36" s="77">
        <f>SUM(Z10:Z35)</f>
        <v>11861609.4</v>
      </c>
      <c r="AA36" s="77">
        <f>SUM(AA10:AA35)</f>
        <v>1539785.7726000003</v>
      </c>
      <c r="AB36" s="77">
        <f>SUM(AB10:AB35)</f>
        <v>4133085.25</v>
      </c>
      <c r="AC36" s="78">
        <f>SUM(AC10:AC35)</f>
        <v>49670.5</v>
      </c>
      <c r="AD36" s="79">
        <f>ROUND(AB36/AA36,4)</f>
        <v>2.6842000000000001</v>
      </c>
      <c r="AE36" s="79">
        <f>ROUND(AF36/AA36,4)</f>
        <v>0.50329999999999997</v>
      </c>
      <c r="AF36" s="77">
        <f>SUM(AF10:AF35)</f>
        <v>774953.48</v>
      </c>
      <c r="AG36" s="43">
        <f>P36-Z36-AF36</f>
        <v>-4424.0899999993853</v>
      </c>
    </row>
    <row r="37" spans="1:33" x14ac:dyDescent="0.2">
      <c r="A37" s="125"/>
      <c r="B37" s="126"/>
      <c r="C37" s="31" t="str">
        <f>TEXT(A$9,)&amp;" S/."</f>
        <v>Piura / Tumbes S/.</v>
      </c>
      <c r="D37" s="56"/>
      <c r="E37" s="56"/>
      <c r="F37" s="137"/>
      <c r="G37" s="177"/>
      <c r="H37" s="177"/>
      <c r="I37" s="202"/>
      <c r="J37" s="202"/>
      <c r="K37" s="177"/>
      <c r="L37" s="177"/>
      <c r="M37" s="177"/>
      <c r="N37" s="177"/>
      <c r="O37" s="209"/>
      <c r="P37" s="210">
        <f>ROUND($F$1*P36,2)</f>
        <v>0</v>
      </c>
      <c r="Q37" s="210">
        <f>ROUND($F$1*Q36,2)</f>
        <v>0</v>
      </c>
      <c r="R37" s="139"/>
      <c r="S37" s="211">
        <f>ROUND($F$1*S36,2)</f>
        <v>0</v>
      </c>
      <c r="T37" s="160"/>
      <c r="U37" s="140"/>
      <c r="V37" s="140"/>
      <c r="W37" s="141"/>
      <c r="X37" s="142"/>
      <c r="Y37" s="142"/>
      <c r="Z37" s="140"/>
      <c r="AA37" s="140"/>
      <c r="AB37" s="140"/>
      <c r="AC37" s="141"/>
      <c r="AD37" s="142"/>
      <c r="AE37" s="142"/>
      <c r="AF37" s="140"/>
      <c r="AG37" s="140"/>
    </row>
    <row r="38" spans="1:33" x14ac:dyDescent="0.2">
      <c r="A38" s="15" t="s">
        <v>22</v>
      </c>
      <c r="B38" s="16"/>
      <c r="C38" s="58"/>
      <c r="D38" s="58"/>
      <c r="E38" s="17"/>
      <c r="F38" s="34"/>
      <c r="G38" s="220"/>
      <c r="H38" s="220"/>
      <c r="I38" s="221"/>
      <c r="J38" s="221"/>
      <c r="K38" s="220"/>
      <c r="L38" s="220"/>
      <c r="M38" s="220"/>
      <c r="N38" s="220"/>
      <c r="O38" s="231"/>
      <c r="P38" s="220"/>
      <c r="Q38" s="232" t="s">
        <v>49</v>
      </c>
      <c r="R38" s="214"/>
      <c r="S38" s="275"/>
      <c r="T38" s="276"/>
      <c r="U38" s="49"/>
      <c r="V38" s="49"/>
      <c r="W38" s="80"/>
      <c r="X38" s="81"/>
      <c r="Y38" s="81"/>
      <c r="Z38" s="81"/>
      <c r="AA38" s="49"/>
      <c r="AB38" s="49"/>
      <c r="AC38" s="80"/>
      <c r="AD38" s="81"/>
      <c r="AE38" s="81"/>
      <c r="AF38" s="81"/>
      <c r="AG38" s="46"/>
    </row>
    <row r="39" spans="1:33" x14ac:dyDescent="0.2">
      <c r="A39" s="26" t="s">
        <v>28</v>
      </c>
      <c r="B39" s="24" t="s">
        <v>11</v>
      </c>
      <c r="C39" s="57" t="s">
        <v>31</v>
      </c>
      <c r="D39" s="25" t="s">
        <v>30</v>
      </c>
      <c r="E39" s="57" t="s">
        <v>101</v>
      </c>
      <c r="F39" s="35" t="s">
        <v>37</v>
      </c>
      <c r="G39" s="215"/>
      <c r="H39" s="215">
        <v>2156</v>
      </c>
      <c r="I39" s="217"/>
      <c r="J39" s="217">
        <v>68.201400000000007</v>
      </c>
      <c r="K39" s="222"/>
      <c r="L39" s="222"/>
      <c r="M39" s="222"/>
      <c r="N39" s="215">
        <v>1112.44</v>
      </c>
      <c r="O39" s="224">
        <f>ROUND(G39*I39,2)+ROUND(H39*J39,2)-K39-L39-M39-N39</f>
        <v>145929.78</v>
      </c>
      <c r="P39" s="222">
        <f>ROUND(15%*O39,2)</f>
        <v>21889.47</v>
      </c>
      <c r="Q39" s="222">
        <f>ROUND($O39*R39,2)</f>
        <v>21889.47</v>
      </c>
      <c r="R39" s="223">
        <v>0.15</v>
      </c>
      <c r="S39" s="226"/>
      <c r="T39" s="225"/>
      <c r="U39" s="40">
        <f>IF($F39&amp;"/Día"=W$9,SUM($G39:$H39),"")</f>
        <v>2156</v>
      </c>
      <c r="V39" s="40">
        <f>IF(U39&lt;&gt;"",$O39,"")</f>
        <v>145929.78</v>
      </c>
      <c r="W39" s="75">
        <f t="shared" si="13"/>
        <v>69.5</v>
      </c>
      <c r="X39" s="76">
        <f>IF(U39=0,0,IF($F39&amp;"/Día"=W$9,ROUND(V39/U39,4),""))</f>
        <v>67.685400000000001</v>
      </c>
      <c r="Y39" s="76">
        <f>IF(U39=0,0,IF($F39&amp;"/Día"=W$9,ROUND(Z39/U39,4),""))</f>
        <v>10.152799999999999</v>
      </c>
      <c r="Z39" s="40">
        <f>IF(U39&lt;&gt;"",$P39,"")</f>
        <v>21889.47</v>
      </c>
      <c r="AA39" s="40" t="str">
        <f>IF($F39&amp;"/Día"=AC$9,SUM($G39:$H39),"")</f>
        <v/>
      </c>
      <c r="AB39" s="40" t="str">
        <f>IF(AA39&lt;&gt;"",$O39,"")</f>
        <v/>
      </c>
      <c r="AC39" s="75" t="str">
        <f t="shared" si="15"/>
        <v/>
      </c>
      <c r="AD39" s="76" t="str">
        <f>IF(AA39=0,0,IF($F39&amp;"/Día"=AC$9,ROUND(AB39/AA39,4),""))</f>
        <v/>
      </c>
      <c r="AE39" s="76" t="str">
        <f>IF(AA39=0,0,IF($F39&amp;"/Día"=AC$9,ROUND(AF39/AA39,4),""))</f>
        <v/>
      </c>
      <c r="AF39" s="40" t="str">
        <f>IF(AA39&lt;&gt;"",$P39,"")</f>
        <v/>
      </c>
      <c r="AG39" s="50"/>
    </row>
    <row r="40" spans="1:33" x14ac:dyDescent="0.2">
      <c r="A40" s="26" t="s">
        <v>28</v>
      </c>
      <c r="B40" s="28">
        <v>131</v>
      </c>
      <c r="C40" s="57" t="s">
        <v>31</v>
      </c>
      <c r="D40" s="25" t="s">
        <v>30</v>
      </c>
      <c r="E40" s="57" t="s">
        <v>101</v>
      </c>
      <c r="F40" s="35" t="s">
        <v>37</v>
      </c>
      <c r="G40" s="215">
        <v>41943</v>
      </c>
      <c r="H40" s="215">
        <v>45761</v>
      </c>
      <c r="I40" s="217">
        <v>64.135000000000005</v>
      </c>
      <c r="J40" s="217">
        <v>64.826400000000007</v>
      </c>
      <c r="K40" s="222"/>
      <c r="L40" s="222"/>
      <c r="M40" s="222"/>
      <c r="N40" s="215">
        <v>9444.89</v>
      </c>
      <c r="O40" s="224">
        <f>ROUND(G40*I40,2)+ROUND(H40*J40,2)-K40-L40-M40-N40</f>
        <v>5647090.3100000005</v>
      </c>
      <c r="P40" s="222">
        <f>ROUND(15%*O40,2)</f>
        <v>847063.55</v>
      </c>
      <c r="Q40" s="222">
        <f>ROUND($O40*R40,2)</f>
        <v>847063.55</v>
      </c>
      <c r="R40" s="223">
        <v>0.15</v>
      </c>
      <c r="S40" s="226"/>
      <c r="T40" s="225"/>
      <c r="U40" s="40">
        <f>IF($F40&amp;"/Día"=W$9,SUM($G40:$H40),"")</f>
        <v>87704</v>
      </c>
      <c r="V40" s="40">
        <f>IF(U40&lt;&gt;"",$O40,"")</f>
        <v>5647090.3100000005</v>
      </c>
      <c r="W40" s="75">
        <f t="shared" si="13"/>
        <v>2829.2</v>
      </c>
      <c r="X40" s="76">
        <f>IF(U40=0,0,IF($F40&amp;"/Día"=W$9,ROUND(V40/U40,4),""))</f>
        <v>64.388099999999994</v>
      </c>
      <c r="Y40" s="76">
        <f>IF(U40=0,0,IF($F40&amp;"/Día"=W$9,ROUND(Z40/U40,4),""))</f>
        <v>9.6582000000000008</v>
      </c>
      <c r="Z40" s="40">
        <f>IF(U40&lt;&gt;"",$P40,"")</f>
        <v>847063.55</v>
      </c>
      <c r="AA40" s="40" t="str">
        <f>IF($F40&amp;"/Día"=AC$9,SUM($G40:$H40),"")</f>
        <v/>
      </c>
      <c r="AB40" s="40" t="str">
        <f>IF(AA40&lt;&gt;"",$O40,"")</f>
        <v/>
      </c>
      <c r="AC40" s="75" t="str">
        <f t="shared" si="15"/>
        <v/>
      </c>
      <c r="AD40" s="76" t="str">
        <f>IF(AA40=0,0,IF($F40&amp;"/Día"=AC$9,ROUND(AB40/AA40,4),""))</f>
        <v/>
      </c>
      <c r="AE40" s="76" t="str">
        <f>IF(AA40=0,0,IF($F40&amp;"/Día"=AC$9,ROUND(AF40/AA40,4),""))</f>
        <v/>
      </c>
      <c r="AF40" s="40" t="str">
        <f>IF(AA40&lt;&gt;"",$P40,"")</f>
        <v/>
      </c>
      <c r="AG40" s="50"/>
    </row>
    <row r="41" spans="1:33" x14ac:dyDescent="0.2">
      <c r="A41" s="26" t="s">
        <v>28</v>
      </c>
      <c r="B41" s="29" t="s">
        <v>53</v>
      </c>
      <c r="C41" s="56"/>
      <c r="D41" s="56"/>
      <c r="E41" s="5"/>
      <c r="F41" s="33"/>
      <c r="G41" s="222"/>
      <c r="H41" s="222"/>
      <c r="I41" s="216"/>
      <c r="J41" s="216"/>
      <c r="K41" s="222"/>
      <c r="L41" s="222"/>
      <c r="M41" s="222"/>
      <c r="N41" s="222"/>
      <c r="O41" s="222"/>
      <c r="P41" s="222"/>
      <c r="Q41" s="224"/>
      <c r="R41" s="225"/>
      <c r="S41" s="226"/>
      <c r="T41" s="225"/>
      <c r="U41" s="40" t="str">
        <f>IF($F41&amp;"/Día"=W$9,SUM($G41:$H41),"")</f>
        <v/>
      </c>
      <c r="V41" s="40" t="str">
        <f>IF(U41&lt;&gt;"",$O41,"")</f>
        <v/>
      </c>
      <c r="W41" s="75" t="str">
        <f t="shared" si="13"/>
        <v/>
      </c>
      <c r="X41" s="76" t="str">
        <f>IF(U41=0,0,IF($F41&amp;"/Día"=W$9,ROUND(V41/U41,4),""))</f>
        <v/>
      </c>
      <c r="Y41" s="76" t="str">
        <f>IF(U41=0,0,IF($F41&amp;"/Día"=W$9,ROUND(Z41/U41,4),""))</f>
        <v/>
      </c>
      <c r="Z41" s="40" t="str">
        <f>IF(U41&lt;&gt;"",$P41,"")</f>
        <v/>
      </c>
      <c r="AA41" s="40" t="str">
        <f>IF($F41&amp;"/Día"=AC$9,SUM($G41:$H41),"")</f>
        <v/>
      </c>
      <c r="AB41" s="40" t="str">
        <f>IF(AA41&lt;&gt;"",$O41,"")</f>
        <v/>
      </c>
      <c r="AC41" s="75" t="str">
        <f t="shared" si="15"/>
        <v/>
      </c>
      <c r="AD41" s="76" t="str">
        <f>IF(AA41=0,0,IF($F41&amp;"/Día"=AC$9,ROUND(AB41/AA41,4),""))</f>
        <v/>
      </c>
      <c r="AE41" s="76" t="str">
        <f>IF(AA41=0,0,IF($F41&amp;"/Día"=AC$9,ROUND(AF41/AA41,4),""))</f>
        <v/>
      </c>
      <c r="AF41" s="40" t="str">
        <f>IF(AA41&lt;&gt;"",$P41,"")</f>
        <v/>
      </c>
      <c r="AG41" s="50"/>
    </row>
    <row r="42" spans="1:33" x14ac:dyDescent="0.2">
      <c r="A42" s="30"/>
      <c r="B42" s="153" t="s">
        <v>108</v>
      </c>
      <c r="C42" s="31" t="str">
        <f>TEXT(A$38,)&amp;" US$"</f>
        <v>Provincia Puerto Inca Huanuco US$</v>
      </c>
      <c r="D42" s="38"/>
      <c r="E42" s="39"/>
      <c r="F42" s="38"/>
      <c r="G42" s="218"/>
      <c r="H42" s="218"/>
      <c r="I42" s="219"/>
      <c r="J42" s="219"/>
      <c r="K42" s="218"/>
      <c r="L42" s="218"/>
      <c r="M42" s="218"/>
      <c r="N42" s="218"/>
      <c r="O42" s="227">
        <f>SUM(O39:O41)</f>
        <v>5793020.0900000008</v>
      </c>
      <c r="P42" s="227">
        <f>SUM(P39:P41)</f>
        <v>868953.02</v>
      </c>
      <c r="Q42" s="227">
        <f>SUM(Q39:Q41)</f>
        <v>868953.02</v>
      </c>
      <c r="R42" s="229"/>
      <c r="S42" s="227">
        <f>SUM(S39:S41)</f>
        <v>0</v>
      </c>
      <c r="T42" s="229"/>
      <c r="U42" s="43">
        <f>SUM(U39:U41)</f>
        <v>89860</v>
      </c>
      <c r="V42" s="43">
        <f>SUM(V39:V41)</f>
        <v>5793020.0900000008</v>
      </c>
      <c r="W42" s="82">
        <f>SUM(W39:W41)</f>
        <v>2898.7</v>
      </c>
      <c r="X42" s="83">
        <f>ROUND(V42/U42,4)</f>
        <v>64.467200000000005</v>
      </c>
      <c r="Y42" s="83">
        <f>ROUND(Z42/U42,4)</f>
        <v>9.6700999999999997</v>
      </c>
      <c r="Z42" s="43">
        <f>SUM(Z39:Z41)</f>
        <v>868953.02</v>
      </c>
      <c r="AA42" s="43">
        <f>SUM(AA39:AA41)</f>
        <v>0</v>
      </c>
      <c r="AB42" s="43">
        <f>SUM(AB39:AB41)</f>
        <v>0</v>
      </c>
      <c r="AC42" s="82">
        <f>SUM(AC39:AC41)</f>
        <v>0</v>
      </c>
      <c r="AD42" s="83">
        <f>IF(AA42=0,0,ROUND(AB42/AA42,4))</f>
        <v>0</v>
      </c>
      <c r="AE42" s="83">
        <f>IF(AA42=0,0,ROUND(AF42/AA42,4))</f>
        <v>0</v>
      </c>
      <c r="AF42" s="43">
        <f>SUM(AF39:AF41)</f>
        <v>0</v>
      </c>
      <c r="AG42" s="77">
        <f>P42-Z42-AF42</f>
        <v>0</v>
      </c>
    </row>
    <row r="43" spans="1:33" x14ac:dyDescent="0.2">
      <c r="A43" s="125"/>
      <c r="B43" s="126"/>
      <c r="C43" s="31" t="str">
        <f>TEXT(A$38,)&amp;" S/."</f>
        <v>Provincia Puerto Inca Huanuco S/.</v>
      </c>
      <c r="D43" s="56"/>
      <c r="E43" s="56"/>
      <c r="F43" s="137"/>
      <c r="G43" s="177"/>
      <c r="H43" s="177"/>
      <c r="I43" s="202"/>
      <c r="J43" s="202"/>
      <c r="K43" s="177"/>
      <c r="L43" s="177"/>
      <c r="M43" s="177"/>
      <c r="N43" s="177"/>
      <c r="O43" s="209"/>
      <c r="P43" s="210">
        <f>ROUND($F$1*P42,2)</f>
        <v>0</v>
      </c>
      <c r="Q43" s="210">
        <f>ROUND($F$1*Q42,2)</f>
        <v>0</v>
      </c>
      <c r="R43" s="139"/>
      <c r="S43" s="210">
        <f>ROUND($F$1*S42,2)</f>
        <v>0</v>
      </c>
      <c r="T43" s="139"/>
      <c r="U43" s="140"/>
      <c r="V43" s="140"/>
      <c r="W43" s="141"/>
      <c r="X43" s="142"/>
      <c r="Y43" s="142"/>
      <c r="Z43" s="140"/>
      <c r="AA43" s="140"/>
      <c r="AB43" s="140"/>
      <c r="AC43" s="141"/>
      <c r="AD43" s="142"/>
      <c r="AE43" s="142"/>
      <c r="AF43" s="140"/>
      <c r="AG43" s="140"/>
    </row>
    <row r="44" spans="1:33" x14ac:dyDescent="0.2">
      <c r="A44" s="15" t="s">
        <v>24</v>
      </c>
      <c r="B44" s="16"/>
      <c r="C44" s="58"/>
      <c r="D44" s="58"/>
      <c r="E44" s="17"/>
      <c r="F44" s="234"/>
      <c r="G44" s="220"/>
      <c r="H44" s="220"/>
      <c r="I44" s="221"/>
      <c r="J44" s="221"/>
      <c r="K44" s="220"/>
      <c r="L44" s="220"/>
      <c r="M44" s="220"/>
      <c r="N44" s="220"/>
      <c r="O44" s="231"/>
      <c r="P44" s="220"/>
      <c r="Q44" s="232" t="s">
        <v>47</v>
      </c>
      <c r="R44" s="214"/>
      <c r="S44" s="235" t="s">
        <v>48</v>
      </c>
      <c r="T44" s="214"/>
      <c r="U44" s="46"/>
      <c r="V44" s="46"/>
      <c r="W44" s="73"/>
      <c r="X44" s="74"/>
      <c r="Y44" s="74"/>
      <c r="Z44" s="74"/>
      <c r="AA44" s="46"/>
      <c r="AB44" s="46"/>
      <c r="AC44" s="73"/>
      <c r="AD44" s="74"/>
      <c r="AE44" s="74"/>
      <c r="AF44" s="74"/>
      <c r="AG44" s="46"/>
    </row>
    <row r="45" spans="1:33" x14ac:dyDescent="0.2">
      <c r="A45" s="23" t="s">
        <v>28</v>
      </c>
      <c r="B45" s="24" t="s">
        <v>164</v>
      </c>
      <c r="C45" s="57" t="s">
        <v>31</v>
      </c>
      <c r="D45" s="57" t="s">
        <v>21</v>
      </c>
      <c r="E45" s="123" t="s">
        <v>101</v>
      </c>
      <c r="F45" s="237" t="s">
        <v>37</v>
      </c>
      <c r="G45" s="215"/>
      <c r="H45" s="215">
        <v>1460</v>
      </c>
      <c r="I45" s="217"/>
      <c r="J45" s="217">
        <v>57.582500000000003</v>
      </c>
      <c r="K45" s="215"/>
      <c r="L45" s="222"/>
      <c r="M45" s="222"/>
      <c r="N45" s="215">
        <v>513.71</v>
      </c>
      <c r="O45" s="224">
        <f>ROUND(G45*I45,2)+ROUND(H45*J45,2)-K45-L45-M45-N45</f>
        <v>83556.739999999991</v>
      </c>
      <c r="P45" s="222">
        <f>ROUND(18.75%*O45,2)</f>
        <v>15666.89</v>
      </c>
      <c r="Q45" s="222">
        <f t="shared" ref="Q45:Q51" si="16">ROUND($O45*R45,2)</f>
        <v>12533.51</v>
      </c>
      <c r="R45" s="223">
        <v>0.15</v>
      </c>
      <c r="S45" s="222">
        <f t="shared" ref="S45:S51" si="17">ROUND($O45*T45,2)</f>
        <v>3133.38</v>
      </c>
      <c r="T45" s="258">
        <v>3.7499999999999999E-2</v>
      </c>
      <c r="U45" s="40">
        <f t="shared" ref="U45:U55" si="18">IF($F45&amp;"/Día"=W$9,SUM($G45:$H45),"")</f>
        <v>1460</v>
      </c>
      <c r="V45" s="40">
        <f t="shared" ref="V45:V55" si="19">IF(U45&lt;&gt;"",$O45,"")</f>
        <v>83556.739999999991</v>
      </c>
      <c r="W45" s="75">
        <f t="shared" ref="W45:W55" si="20">IF($F45&amp;"/Día"=W$9,ROUND(U45/$W$1,1),"")</f>
        <v>47.1</v>
      </c>
      <c r="X45" s="76">
        <f t="shared" ref="X45:X55" si="21">IF(U45=0,0,IF($F45&amp;"/Día"=W$9,ROUND(V45/U45,4),""))</f>
        <v>57.230600000000003</v>
      </c>
      <c r="Y45" s="76">
        <f t="shared" ref="Y45:Y55" si="22">IF(U45=0,0,IF($F45&amp;"/Día"=W$9,ROUND(Z45/U45,4),""))</f>
        <v>10.730700000000001</v>
      </c>
      <c r="Z45" s="40">
        <f t="shared" ref="Z45:Z55" si="23">IF(U45&lt;&gt;"",$P45,"")</f>
        <v>15666.89</v>
      </c>
      <c r="AA45" s="40" t="str">
        <f t="shared" ref="AA45:AA55" si="24">IF($F45&amp;"/Día"=AC$9,SUM($G45:$H45),"")</f>
        <v/>
      </c>
      <c r="AB45" s="40" t="str">
        <f t="shared" ref="AB45:AB55" si="25">IF(AA45&lt;&gt;"",$O45,"")</f>
        <v/>
      </c>
      <c r="AC45" s="75" t="str">
        <f t="shared" ref="AC45:AC55" si="26">IF($F45&amp;"/Día"=AC$9,ROUND(AA45/$W$1,1),"")</f>
        <v/>
      </c>
      <c r="AD45" s="76" t="str">
        <f t="shared" ref="AD45:AD55" si="27">IF(AA45=0,0,IF($F45&amp;"/Día"=AC$9,ROUND(AB45/AA45,4),""))</f>
        <v/>
      </c>
      <c r="AE45" s="76" t="str">
        <f t="shared" ref="AE45:AE55" si="28">IF(AA45=0,0,IF($F45&amp;"/Día"=AC$9,ROUND(AF45/AA45,4),""))</f>
        <v/>
      </c>
      <c r="AF45" s="40" t="str">
        <f t="shared" ref="AF45:AF55" si="29">IF(AA45&lt;&gt;"",$P45,"")</f>
        <v/>
      </c>
      <c r="AG45" s="50"/>
    </row>
    <row r="46" spans="1:33" x14ac:dyDescent="0.2">
      <c r="A46" s="23" t="s">
        <v>28</v>
      </c>
      <c r="B46" s="246">
        <v>192</v>
      </c>
      <c r="C46" s="57" t="s">
        <v>29</v>
      </c>
      <c r="D46" s="57" t="s">
        <v>21</v>
      </c>
      <c r="E46" s="57" t="s">
        <v>98</v>
      </c>
      <c r="F46" s="237" t="s">
        <v>37</v>
      </c>
      <c r="G46" s="215">
        <v>56090</v>
      </c>
      <c r="H46" s="215">
        <f>253581</f>
        <v>253581</v>
      </c>
      <c r="I46" s="217">
        <f>62.879+0.55</f>
        <v>63.428999999999995</v>
      </c>
      <c r="J46" s="217">
        <v>50.774900000000002</v>
      </c>
      <c r="K46" s="215"/>
      <c r="L46" s="222"/>
      <c r="M46" s="222">
        <v>488728.87</v>
      </c>
      <c r="N46" s="222">
        <v>10608.43</v>
      </c>
      <c r="O46" s="224">
        <f t="shared" ref="O46:O51" si="30">ROUND(G46*I46,2)+ROUND(H46*J46,2)-K46-L46-M46-N46</f>
        <v>15933945.23</v>
      </c>
      <c r="P46" s="222">
        <f t="shared" ref="P46:P51" si="31">ROUND(18.75%*O46,2)</f>
        <v>2987614.73</v>
      </c>
      <c r="Q46" s="222">
        <f t="shared" si="16"/>
        <v>2390091.7799999998</v>
      </c>
      <c r="R46" s="223">
        <v>0.15</v>
      </c>
      <c r="S46" s="222">
        <f t="shared" si="17"/>
        <v>597522.94999999995</v>
      </c>
      <c r="T46" s="258">
        <v>3.7499999999999999E-2</v>
      </c>
      <c r="U46" s="40">
        <f t="shared" si="18"/>
        <v>309671</v>
      </c>
      <c r="V46" s="40">
        <f t="shared" si="19"/>
        <v>15933945.23</v>
      </c>
      <c r="W46" s="75">
        <f t="shared" si="20"/>
        <v>9989.4</v>
      </c>
      <c r="X46" s="76">
        <f t="shared" si="21"/>
        <v>51.4544</v>
      </c>
      <c r="Y46" s="76">
        <f t="shared" si="22"/>
        <v>9.6477000000000004</v>
      </c>
      <c r="Z46" s="40">
        <f t="shared" si="23"/>
        <v>2987614.73</v>
      </c>
      <c r="AA46" s="40" t="str">
        <f t="shared" si="24"/>
        <v/>
      </c>
      <c r="AB46" s="40" t="str">
        <f t="shared" si="25"/>
        <v/>
      </c>
      <c r="AC46" s="75" t="str">
        <f t="shared" si="26"/>
        <v/>
      </c>
      <c r="AD46" s="76" t="str">
        <f t="shared" si="27"/>
        <v/>
      </c>
      <c r="AE46" s="76" t="str">
        <f t="shared" si="28"/>
        <v/>
      </c>
      <c r="AF46" s="40" t="str">
        <f t="shared" si="29"/>
        <v/>
      </c>
      <c r="AG46" s="50"/>
    </row>
    <row r="47" spans="1:33" x14ac:dyDescent="0.2">
      <c r="A47" s="23" t="s">
        <v>28</v>
      </c>
      <c r="B47" s="28">
        <v>8</v>
      </c>
      <c r="C47" s="57" t="s">
        <v>31</v>
      </c>
      <c r="D47" s="57" t="s">
        <v>30</v>
      </c>
      <c r="E47" s="57" t="s">
        <v>101</v>
      </c>
      <c r="F47" s="237" t="s">
        <v>37</v>
      </c>
      <c r="G47" s="222">
        <v>83109</v>
      </c>
      <c r="H47" s="215">
        <v>105805</v>
      </c>
      <c r="I47" s="216">
        <v>50.730699999999999</v>
      </c>
      <c r="J47" s="217">
        <v>52.156599999999997</v>
      </c>
      <c r="K47" s="222"/>
      <c r="L47" s="222"/>
      <c r="M47" s="222"/>
      <c r="N47" s="222">
        <v>12654.24</v>
      </c>
      <c r="O47" s="224">
        <f t="shared" si="30"/>
        <v>9721952.5699999984</v>
      </c>
      <c r="P47" s="222">
        <f t="shared" si="31"/>
        <v>1822866.11</v>
      </c>
      <c r="Q47" s="222">
        <f t="shared" si="16"/>
        <v>1458292.89</v>
      </c>
      <c r="R47" s="223">
        <v>0.15</v>
      </c>
      <c r="S47" s="222">
        <f t="shared" si="17"/>
        <v>364573.22</v>
      </c>
      <c r="T47" s="258">
        <v>3.7499999999999999E-2</v>
      </c>
      <c r="U47" s="40">
        <f t="shared" si="18"/>
        <v>188914</v>
      </c>
      <c r="V47" s="40">
        <f t="shared" si="19"/>
        <v>9721952.5699999984</v>
      </c>
      <c r="W47" s="75">
        <f t="shared" si="20"/>
        <v>6094</v>
      </c>
      <c r="X47" s="76">
        <f t="shared" si="21"/>
        <v>51.462299999999999</v>
      </c>
      <c r="Y47" s="76">
        <f t="shared" si="22"/>
        <v>9.6492000000000004</v>
      </c>
      <c r="Z47" s="40">
        <f t="shared" si="23"/>
        <v>1822866.11</v>
      </c>
      <c r="AA47" s="40" t="str">
        <f t="shared" si="24"/>
        <v/>
      </c>
      <c r="AB47" s="40" t="str">
        <f t="shared" si="25"/>
        <v/>
      </c>
      <c r="AC47" s="75" t="str">
        <f t="shared" si="26"/>
        <v/>
      </c>
      <c r="AD47" s="76" t="str">
        <f t="shared" si="27"/>
        <v/>
      </c>
      <c r="AE47" s="76" t="str">
        <f t="shared" si="28"/>
        <v/>
      </c>
      <c r="AF47" s="40" t="str">
        <f t="shared" si="29"/>
        <v/>
      </c>
      <c r="AG47" s="50"/>
    </row>
    <row r="48" spans="1:33" x14ac:dyDescent="0.2">
      <c r="A48" s="23" t="s">
        <v>28</v>
      </c>
      <c r="B48" s="24" t="s">
        <v>10</v>
      </c>
      <c r="C48" s="57" t="s">
        <v>31</v>
      </c>
      <c r="D48" s="57" t="s">
        <v>30</v>
      </c>
      <c r="E48" s="57" t="s">
        <v>101</v>
      </c>
      <c r="F48" s="237" t="s">
        <v>37</v>
      </c>
      <c r="G48" s="215"/>
      <c r="H48" s="215">
        <v>1293</v>
      </c>
      <c r="I48" s="217"/>
      <c r="J48" s="217">
        <v>68.201400000000007</v>
      </c>
      <c r="K48" s="222"/>
      <c r="L48" s="222"/>
      <c r="M48" s="222"/>
      <c r="N48" s="215">
        <v>657.07</v>
      </c>
      <c r="O48" s="224">
        <f>ROUND(G48*I48,2)+ROUND(H48*J48,2)-K48-L48-M48-N48</f>
        <v>87527.34</v>
      </c>
      <c r="P48" s="222">
        <f t="shared" si="31"/>
        <v>16411.38</v>
      </c>
      <c r="Q48" s="222">
        <f>ROUND($O48*R48,2)</f>
        <v>13129.1</v>
      </c>
      <c r="R48" s="223">
        <v>0.15</v>
      </c>
      <c r="S48" s="222">
        <f t="shared" si="17"/>
        <v>3282.28</v>
      </c>
      <c r="T48" s="258">
        <v>3.7499999999999999E-2</v>
      </c>
      <c r="U48" s="40">
        <f t="shared" si="18"/>
        <v>1293</v>
      </c>
      <c r="V48" s="40">
        <f t="shared" si="19"/>
        <v>87527.34</v>
      </c>
      <c r="W48" s="75">
        <f t="shared" si="20"/>
        <v>41.7</v>
      </c>
      <c r="X48" s="76">
        <f t="shared" si="21"/>
        <v>67.693200000000004</v>
      </c>
      <c r="Y48" s="76">
        <f t="shared" si="22"/>
        <v>12.692500000000001</v>
      </c>
      <c r="Z48" s="40">
        <f t="shared" si="23"/>
        <v>16411.38</v>
      </c>
      <c r="AA48" s="40" t="str">
        <f t="shared" si="24"/>
        <v/>
      </c>
      <c r="AB48" s="40" t="str">
        <f t="shared" si="25"/>
        <v/>
      </c>
      <c r="AC48" s="75" t="str">
        <f t="shared" si="26"/>
        <v/>
      </c>
      <c r="AD48" s="76" t="str">
        <f t="shared" si="27"/>
        <v/>
      </c>
      <c r="AE48" s="76" t="str">
        <f t="shared" si="28"/>
        <v/>
      </c>
      <c r="AF48" s="40" t="str">
        <f t="shared" si="29"/>
        <v/>
      </c>
      <c r="AG48" s="50"/>
    </row>
    <row r="49" spans="1:33" x14ac:dyDescent="0.2">
      <c r="A49" s="23" t="s">
        <v>28</v>
      </c>
      <c r="B49" s="24" t="s">
        <v>12</v>
      </c>
      <c r="C49" s="57" t="s">
        <v>31</v>
      </c>
      <c r="D49" s="57" t="s">
        <v>30</v>
      </c>
      <c r="E49" s="57" t="s">
        <v>101</v>
      </c>
      <c r="F49" s="238" t="s">
        <v>56</v>
      </c>
      <c r="G49" s="215">
        <v>997.64459999999997</v>
      </c>
      <c r="H49" s="215">
        <v>112703.94</v>
      </c>
      <c r="I49" s="217">
        <v>3.7465000000000002</v>
      </c>
      <c r="J49" s="217">
        <v>3.7467000000000001</v>
      </c>
      <c r="K49" s="222"/>
      <c r="L49" s="222"/>
      <c r="M49" s="222"/>
      <c r="N49" s="215">
        <v>1184.26</v>
      </c>
      <c r="O49" s="224">
        <f t="shared" si="30"/>
        <v>424821.26999999996</v>
      </c>
      <c r="P49" s="222">
        <f t="shared" si="31"/>
        <v>79653.990000000005</v>
      </c>
      <c r="Q49" s="222">
        <f t="shared" si="16"/>
        <v>15930.8</v>
      </c>
      <c r="R49" s="258">
        <v>3.7499999999999999E-2</v>
      </c>
      <c r="S49" s="222">
        <f t="shared" si="17"/>
        <v>63723.19</v>
      </c>
      <c r="T49" s="223">
        <v>0.15</v>
      </c>
      <c r="U49" s="40" t="str">
        <f t="shared" si="18"/>
        <v/>
      </c>
      <c r="V49" s="40" t="str">
        <f t="shared" si="19"/>
        <v/>
      </c>
      <c r="W49" s="75" t="str">
        <f t="shared" si="20"/>
        <v/>
      </c>
      <c r="X49" s="76" t="str">
        <f t="shared" si="21"/>
        <v/>
      </c>
      <c r="Y49" s="76" t="str">
        <f t="shared" si="22"/>
        <v/>
      </c>
      <c r="Z49" s="40" t="str">
        <f t="shared" si="23"/>
        <v/>
      </c>
      <c r="AA49" s="40">
        <f t="shared" si="24"/>
        <v>113701.5846</v>
      </c>
      <c r="AB49" s="40">
        <f t="shared" si="25"/>
        <v>424821.26999999996</v>
      </c>
      <c r="AC49" s="75">
        <f t="shared" si="26"/>
        <v>3667.8</v>
      </c>
      <c r="AD49" s="76">
        <f t="shared" si="27"/>
        <v>3.7363</v>
      </c>
      <c r="AE49" s="76">
        <f t="shared" si="28"/>
        <v>0.7006</v>
      </c>
      <c r="AF49" s="40">
        <f t="shared" si="29"/>
        <v>79653.990000000005</v>
      </c>
      <c r="AG49" s="50"/>
    </row>
    <row r="50" spans="1:33" x14ac:dyDescent="0.2">
      <c r="A50" s="23" t="s">
        <v>28</v>
      </c>
      <c r="B50" s="24" t="s">
        <v>75</v>
      </c>
      <c r="C50" s="57" t="s">
        <v>31</v>
      </c>
      <c r="D50" s="57" t="s">
        <v>30</v>
      </c>
      <c r="E50" s="57" t="s">
        <v>103</v>
      </c>
      <c r="F50" s="237" t="s">
        <v>37</v>
      </c>
      <c r="G50" s="215">
        <v>17616</v>
      </c>
      <c r="H50" s="215">
        <v>18887</v>
      </c>
      <c r="I50" s="217">
        <v>57.373399999999997</v>
      </c>
      <c r="J50" s="217">
        <v>57.320500000000003</v>
      </c>
      <c r="K50" s="222"/>
      <c r="L50" s="222"/>
      <c r="M50" s="222"/>
      <c r="N50" s="222">
        <v>5359.58</v>
      </c>
      <c r="O50" s="224">
        <f t="shared" si="30"/>
        <v>2087942.51</v>
      </c>
      <c r="P50" s="222">
        <f t="shared" si="31"/>
        <v>391489.22</v>
      </c>
      <c r="Q50" s="222">
        <f t="shared" si="16"/>
        <v>78297.84</v>
      </c>
      <c r="R50" s="258">
        <v>3.7499999999999999E-2</v>
      </c>
      <c r="S50" s="222">
        <f t="shared" si="17"/>
        <v>313191.38</v>
      </c>
      <c r="T50" s="223">
        <v>0.15</v>
      </c>
      <c r="U50" s="40">
        <f t="shared" si="18"/>
        <v>36503</v>
      </c>
      <c r="V50" s="40">
        <f t="shared" si="19"/>
        <v>2087942.51</v>
      </c>
      <c r="W50" s="75">
        <f t="shared" si="20"/>
        <v>1177.5</v>
      </c>
      <c r="X50" s="76">
        <f t="shared" si="21"/>
        <v>57.199199999999998</v>
      </c>
      <c r="Y50" s="76">
        <f t="shared" si="22"/>
        <v>10.7249</v>
      </c>
      <c r="Z50" s="40">
        <f t="shared" si="23"/>
        <v>391489.22</v>
      </c>
      <c r="AA50" s="40" t="str">
        <f t="shared" si="24"/>
        <v/>
      </c>
      <c r="AB50" s="40" t="str">
        <f t="shared" si="25"/>
        <v/>
      </c>
      <c r="AC50" s="75" t="str">
        <f t="shared" si="26"/>
        <v/>
      </c>
      <c r="AD50" s="76" t="str">
        <f t="shared" si="27"/>
        <v/>
      </c>
      <c r="AE50" s="76" t="str">
        <f t="shared" si="28"/>
        <v/>
      </c>
      <c r="AF50" s="40" t="str">
        <f t="shared" si="29"/>
        <v/>
      </c>
      <c r="AG50" s="50"/>
    </row>
    <row r="51" spans="1:33" x14ac:dyDescent="0.2">
      <c r="A51" s="23" t="s">
        <v>28</v>
      </c>
      <c r="B51" s="24" t="s">
        <v>32</v>
      </c>
      <c r="C51" s="57" t="s">
        <v>31</v>
      </c>
      <c r="D51" s="57" t="s">
        <v>30</v>
      </c>
      <c r="E51" s="57" t="s">
        <v>101</v>
      </c>
      <c r="F51" s="237" t="s">
        <v>37</v>
      </c>
      <c r="G51" s="222"/>
      <c r="H51" s="222"/>
      <c r="I51" s="217"/>
      <c r="J51" s="217"/>
      <c r="K51" s="222"/>
      <c r="L51" s="222"/>
      <c r="M51" s="222"/>
      <c r="N51" s="222"/>
      <c r="O51" s="224">
        <f t="shared" si="30"/>
        <v>0</v>
      </c>
      <c r="P51" s="222">
        <f t="shared" si="31"/>
        <v>0</v>
      </c>
      <c r="Q51" s="222">
        <f t="shared" si="16"/>
        <v>0</v>
      </c>
      <c r="R51" s="258">
        <v>3.7499999999999999E-2</v>
      </c>
      <c r="S51" s="222">
        <f t="shared" si="17"/>
        <v>0</v>
      </c>
      <c r="T51" s="223">
        <v>0.15</v>
      </c>
      <c r="U51" s="40">
        <f t="shared" si="18"/>
        <v>0</v>
      </c>
      <c r="V51" s="40">
        <f t="shared" si="19"/>
        <v>0</v>
      </c>
      <c r="W51" s="75">
        <f t="shared" si="20"/>
        <v>0</v>
      </c>
      <c r="X51" s="76">
        <f t="shared" si="21"/>
        <v>0</v>
      </c>
      <c r="Y51" s="76">
        <f t="shared" si="22"/>
        <v>0</v>
      </c>
      <c r="Z51" s="40">
        <f t="shared" si="23"/>
        <v>0</v>
      </c>
      <c r="AA51" s="40" t="str">
        <f t="shared" si="24"/>
        <v/>
      </c>
      <c r="AB51" s="40" t="str">
        <f t="shared" si="25"/>
        <v/>
      </c>
      <c r="AC51" s="75" t="str">
        <f t="shared" si="26"/>
        <v/>
      </c>
      <c r="AD51" s="76" t="str">
        <f t="shared" si="27"/>
        <v/>
      </c>
      <c r="AE51" s="76" t="str">
        <f t="shared" si="28"/>
        <v/>
      </c>
      <c r="AF51" s="40" t="str">
        <f t="shared" si="29"/>
        <v/>
      </c>
      <c r="AG51" s="50"/>
    </row>
    <row r="52" spans="1:33" x14ac:dyDescent="0.2">
      <c r="A52" s="23" t="s">
        <v>28</v>
      </c>
      <c r="B52" s="28">
        <v>102</v>
      </c>
      <c r="C52" s="57" t="s">
        <v>31</v>
      </c>
      <c r="D52" s="57" t="s">
        <v>30</v>
      </c>
      <c r="E52" s="57" t="s">
        <v>101</v>
      </c>
      <c r="F52" s="237" t="s">
        <v>37</v>
      </c>
      <c r="G52" s="215"/>
      <c r="H52" s="215"/>
      <c r="I52" s="217"/>
      <c r="J52" s="217"/>
      <c r="K52" s="215"/>
      <c r="L52" s="222"/>
      <c r="M52" s="222"/>
      <c r="N52" s="215"/>
      <c r="O52" s="224">
        <f>ROUND(G52*I52,2)+ROUND(H52*J52,2)-K52-L52-M52-N52</f>
        <v>0</v>
      </c>
      <c r="P52" s="222">
        <f>ROUND(18.75%*O52,2)</f>
        <v>0</v>
      </c>
      <c r="Q52" s="222">
        <f>P52-S52</f>
        <v>0</v>
      </c>
      <c r="R52" s="223">
        <v>0.15</v>
      </c>
      <c r="S52" s="222">
        <f>ROUND($O52*T52,2)</f>
        <v>0</v>
      </c>
      <c r="T52" s="258">
        <v>3.7499999999999999E-2</v>
      </c>
      <c r="U52" s="40">
        <f>IF($F52&amp;"/Día"=W$9,SUM($G52:$H52),"")</f>
        <v>0</v>
      </c>
      <c r="V52" s="40">
        <f>IF(U52&lt;&gt;"",$O52,"")</f>
        <v>0</v>
      </c>
      <c r="W52" s="75">
        <f>IF($F52&amp;"/Día"=W$9,ROUND(U52/$W$1,1),"")</f>
        <v>0</v>
      </c>
      <c r="X52" s="76">
        <f>IF(U52=0,0,IF($F52&amp;"/Día"=W$9,ROUND(V52/U52,4),""))</f>
        <v>0</v>
      </c>
      <c r="Y52" s="76">
        <f>IF(U52=0,0,IF($F52&amp;"/Día"=W$9,ROUND(Z52/U52,4),""))</f>
        <v>0</v>
      </c>
      <c r="Z52" s="40">
        <f>IF(U52&lt;&gt;"",$P52,"")</f>
        <v>0</v>
      </c>
      <c r="AA52" s="40" t="str">
        <f>IF($F52&amp;"/Día"=AC$9,SUM($G52:$H52),"")</f>
        <v/>
      </c>
      <c r="AB52" s="40" t="str">
        <f>IF(AA52&lt;&gt;"",$O52,"")</f>
        <v/>
      </c>
      <c r="AC52" s="75" t="str">
        <f>IF($F52&amp;"/Día"=AC$9,ROUND(AA52/$W$1,1),"")</f>
        <v/>
      </c>
      <c r="AD52" s="76" t="str">
        <f>IF(AA52=0,0,IF($F52&amp;"/Día"=AC$9,ROUND(AB52/AA52,4),""))</f>
        <v/>
      </c>
      <c r="AE52" s="76" t="str">
        <f>IF(AA52=0,0,IF($F52&amp;"/Día"=AC$9,ROUND(AF52/AA52,4),""))</f>
        <v/>
      </c>
      <c r="AF52" s="40" t="str">
        <f>IF(AA52&lt;&gt;"",$P52,"")</f>
        <v/>
      </c>
      <c r="AG52" s="50"/>
    </row>
    <row r="53" spans="1:33" x14ac:dyDescent="0.2">
      <c r="A53" s="23" t="s">
        <v>28</v>
      </c>
      <c r="B53" s="28">
        <v>95</v>
      </c>
      <c r="C53" s="57" t="s">
        <v>31</v>
      </c>
      <c r="D53" s="57" t="s">
        <v>30</v>
      </c>
      <c r="E53" s="57" t="s">
        <v>101</v>
      </c>
      <c r="F53" s="237" t="s">
        <v>37</v>
      </c>
      <c r="G53" s="215"/>
      <c r="H53" s="215"/>
      <c r="I53" s="217"/>
      <c r="J53" s="217"/>
      <c r="K53" s="215"/>
      <c r="L53" s="222"/>
      <c r="M53" s="222"/>
      <c r="N53" s="215"/>
      <c r="O53" s="224">
        <f>ROUND(G53*I53,2)+ROUND(H53*J53,2)-K53-L53-M53-N53</f>
        <v>0</v>
      </c>
      <c r="P53" s="222">
        <f>ROUND(18.75%*O53,2)</f>
        <v>0</v>
      </c>
      <c r="Q53" s="222">
        <f>P53-S53</f>
        <v>0</v>
      </c>
      <c r="R53" s="223">
        <v>0.15</v>
      </c>
      <c r="S53" s="222">
        <f>ROUND($O53*T53,2)</f>
        <v>0</v>
      </c>
      <c r="T53" s="258">
        <v>3.7499999999999999E-2</v>
      </c>
      <c r="U53" s="40">
        <f>IF($F53&amp;"/Día"=W$9,SUM($G53:$H53),"")</f>
        <v>0</v>
      </c>
      <c r="V53" s="40">
        <f>IF(U53&lt;&gt;"",$O53,"")</f>
        <v>0</v>
      </c>
      <c r="W53" s="75">
        <f>IF($F53&amp;"/Día"=W$9,ROUND(U53/$W$1,1),"")</f>
        <v>0</v>
      </c>
      <c r="X53" s="76">
        <f>IF(U53=0,0,IF($F53&amp;"/Día"=W$9,ROUND(V53/U53,4),""))</f>
        <v>0</v>
      </c>
      <c r="Y53" s="76">
        <f>IF(U53=0,0,IF($F53&amp;"/Día"=W$9,ROUND(Z53/U53,4),""))</f>
        <v>0</v>
      </c>
      <c r="Z53" s="40">
        <f>IF(U53&lt;&gt;"",$P53,"")</f>
        <v>0</v>
      </c>
      <c r="AA53" s="40" t="str">
        <f>IF($F53&amp;"/Día"=AC$9,SUM($G53:$H53),"")</f>
        <v/>
      </c>
      <c r="AB53" s="40" t="str">
        <f>IF(AA53&lt;&gt;"",$O53,"")</f>
        <v/>
      </c>
      <c r="AC53" s="75" t="str">
        <f>IF($F53&amp;"/Día"=AC$9,ROUND(AA53/$W$1,1),"")</f>
        <v/>
      </c>
      <c r="AD53" s="76" t="str">
        <f>IF(AA53=0,0,IF($F53&amp;"/Día"=AC$9,ROUND(AB53/AA53,4),""))</f>
        <v/>
      </c>
      <c r="AE53" s="76" t="str">
        <f>IF(AA53=0,0,IF($F53&amp;"/Día"=AC$9,ROUND(AF53/AA53,4),""))</f>
        <v/>
      </c>
      <c r="AF53" s="40" t="str">
        <f>IF(AA53&lt;&gt;"",$P53,"")</f>
        <v/>
      </c>
      <c r="AG53" s="50"/>
    </row>
    <row r="54" spans="1:33" x14ac:dyDescent="0.2">
      <c r="A54" s="23" t="s">
        <v>28</v>
      </c>
      <c r="B54" s="272">
        <v>67</v>
      </c>
      <c r="C54" s="57" t="s">
        <v>31</v>
      </c>
      <c r="D54" s="57" t="s">
        <v>30</v>
      </c>
      <c r="E54" s="57" t="s">
        <v>101</v>
      </c>
      <c r="F54" s="237" t="s">
        <v>37</v>
      </c>
      <c r="G54" s="215"/>
      <c r="H54" s="215"/>
      <c r="I54" s="217"/>
      <c r="J54" s="217"/>
      <c r="K54" s="215"/>
      <c r="L54" s="222"/>
      <c r="M54" s="222"/>
      <c r="N54" s="215"/>
      <c r="O54" s="224">
        <f>ROUND(G54*I54,2)+ROUND(H54*J54,2)-K54-L54-M54-N54</f>
        <v>0</v>
      </c>
      <c r="P54" s="222">
        <f>ROUND(18.75%*O54,2)</f>
        <v>0</v>
      </c>
      <c r="Q54" s="222">
        <f>P54-S54</f>
        <v>0</v>
      </c>
      <c r="R54" s="223">
        <v>0.15</v>
      </c>
      <c r="S54" s="222">
        <f>ROUND($O54*T54,2)</f>
        <v>0</v>
      </c>
      <c r="T54" s="258">
        <v>3.7499999999999999E-2</v>
      </c>
      <c r="U54" s="40">
        <f>IF($F54&amp;"/Día"=W$9,SUM($G54:$H54),"")</f>
        <v>0</v>
      </c>
      <c r="V54" s="40">
        <f>IF(U54&lt;&gt;"",$O54,"")</f>
        <v>0</v>
      </c>
      <c r="W54" s="75">
        <f>IF($F54&amp;"/Día"=W$9,ROUND(U54/$W$1,1),"")</f>
        <v>0</v>
      </c>
      <c r="X54" s="76">
        <f>IF(U54=0,0,IF($F54&amp;"/Día"=W$9,ROUND(V54/U54,4),""))</f>
        <v>0</v>
      </c>
      <c r="Y54" s="76">
        <f>IF(U54=0,0,IF($F54&amp;"/Día"=W$9,ROUND(Z54/U54,4),""))</f>
        <v>0</v>
      </c>
      <c r="Z54" s="40">
        <f>IF(U54&lt;&gt;"",$P54,"")</f>
        <v>0</v>
      </c>
      <c r="AA54" s="40" t="str">
        <f>IF($F54&amp;"/Día"=AC$9,SUM($G54:$H54),"")</f>
        <v/>
      </c>
      <c r="AB54" s="40" t="str">
        <f>IF(AA54&lt;&gt;"",$O54,"")</f>
        <v/>
      </c>
      <c r="AC54" s="75" t="str">
        <f>IF($F54&amp;"/Día"=AC$9,ROUND(AA54/$W$1,1),"")</f>
        <v/>
      </c>
      <c r="AD54" s="76" t="str">
        <f>IF(AA54=0,0,IF($F54&amp;"/Día"=AC$9,ROUND(AB54/AA54,4),""))</f>
        <v/>
      </c>
      <c r="AE54" s="76" t="str">
        <f>IF(AA54=0,0,IF($F54&amp;"/Día"=AC$9,ROUND(AF54/AA54,4),""))</f>
        <v/>
      </c>
      <c r="AF54" s="40" t="str">
        <f>IF(AA54&lt;&gt;"",$P54,"")</f>
        <v/>
      </c>
      <c r="AG54" s="50"/>
    </row>
    <row r="55" spans="1:33" x14ac:dyDescent="0.2">
      <c r="A55" s="18" t="s">
        <v>28</v>
      </c>
      <c r="B55" s="29" t="s">
        <v>54</v>
      </c>
      <c r="C55" s="56"/>
      <c r="D55" s="27"/>
      <c r="E55" s="27"/>
      <c r="F55" s="238"/>
      <c r="G55" s="222"/>
      <c r="H55" s="222"/>
      <c r="I55" s="216"/>
      <c r="J55" s="216"/>
      <c r="K55" s="222"/>
      <c r="L55" s="222"/>
      <c r="M55" s="222"/>
      <c r="N55" s="222"/>
      <c r="O55" s="222">
        <f>+O152</f>
        <v>1253.6399999999994</v>
      </c>
      <c r="P55" s="222">
        <f>ROUND(18.75%*O55,2)</f>
        <v>235.06</v>
      </c>
      <c r="Q55" s="222">
        <f>+Q152</f>
        <v>188.05000000000109</v>
      </c>
      <c r="R55" s="223"/>
      <c r="S55" s="222">
        <f>+S152</f>
        <v>47.009999999999764</v>
      </c>
      <c r="T55" s="223"/>
      <c r="U55" s="40" t="str">
        <f t="shared" si="18"/>
        <v/>
      </c>
      <c r="V55" s="40" t="str">
        <f t="shared" si="19"/>
        <v/>
      </c>
      <c r="W55" s="75" t="str">
        <f t="shared" si="20"/>
        <v/>
      </c>
      <c r="X55" s="76" t="str">
        <f t="shared" si="21"/>
        <v/>
      </c>
      <c r="Y55" s="76" t="str">
        <f t="shared" si="22"/>
        <v/>
      </c>
      <c r="Z55" s="40" t="str">
        <f t="shared" si="23"/>
        <v/>
      </c>
      <c r="AA55" s="40" t="str">
        <f t="shared" si="24"/>
        <v/>
      </c>
      <c r="AB55" s="40" t="str">
        <f t="shared" si="25"/>
        <v/>
      </c>
      <c r="AC55" s="75" t="str">
        <f t="shared" si="26"/>
        <v/>
      </c>
      <c r="AD55" s="76" t="str">
        <f t="shared" si="27"/>
        <v/>
      </c>
      <c r="AE55" s="76" t="str">
        <f t="shared" si="28"/>
        <v/>
      </c>
      <c r="AF55" s="40" t="str">
        <f t="shared" si="29"/>
        <v/>
      </c>
      <c r="AG55" s="50"/>
    </row>
    <row r="56" spans="1:33" x14ac:dyDescent="0.2">
      <c r="A56" s="30"/>
      <c r="B56" s="153" t="s">
        <v>108</v>
      </c>
      <c r="C56" s="31" t="str">
        <f>TEXT(A$44,)&amp;" US$"</f>
        <v>Loreto / Ucayali US$</v>
      </c>
      <c r="D56" s="19"/>
      <c r="E56" s="19"/>
      <c r="F56" s="251"/>
      <c r="G56" s="249"/>
      <c r="H56" s="249"/>
      <c r="I56" s="250"/>
      <c r="J56" s="240"/>
      <c r="K56" s="239"/>
      <c r="L56" s="239"/>
      <c r="M56" s="239"/>
      <c r="N56" s="227"/>
      <c r="O56" s="227">
        <f>SUM(O45:O55)</f>
        <v>28340999.300000001</v>
      </c>
      <c r="P56" s="227">
        <f>SUM(P45:P55)</f>
        <v>5313937.38</v>
      </c>
      <c r="Q56" s="227">
        <f>SUM(Q45:Q55)</f>
        <v>3968463.9699999993</v>
      </c>
      <c r="R56" s="241"/>
      <c r="S56" s="227">
        <f>SUM(S45:S55)</f>
        <v>1345473.41</v>
      </c>
      <c r="T56" s="229"/>
      <c r="U56" s="77">
        <f>SUM(U45:U55)</f>
        <v>537841</v>
      </c>
      <c r="V56" s="77">
        <f>SUM(V45:V55)</f>
        <v>27914924.390000001</v>
      </c>
      <c r="W56" s="78">
        <f>SUM(W45:W55)</f>
        <v>17349.7</v>
      </c>
      <c r="X56" s="79">
        <f>ROUND(V56/U56,4)</f>
        <v>51.901800000000001</v>
      </c>
      <c r="Y56" s="79">
        <f>ROUND(Z56/U56,4)</f>
        <v>9.7316000000000003</v>
      </c>
      <c r="Z56" s="77">
        <f>SUM(Z45:Z55)</f>
        <v>5234048.33</v>
      </c>
      <c r="AA56" s="77">
        <f>SUM(AA45:AA55)</f>
        <v>113701.5846</v>
      </c>
      <c r="AB56" s="77">
        <f>SUM(AB45:AB55)</f>
        <v>424821.26999999996</v>
      </c>
      <c r="AC56" s="78">
        <f>SUM(AC45:AC55)</f>
        <v>3667.8</v>
      </c>
      <c r="AD56" s="79">
        <f>ROUND(AB56/AA56,4)</f>
        <v>3.7363</v>
      </c>
      <c r="AE56" s="79">
        <f>ROUND(AF56/AA56,4)</f>
        <v>0.7006</v>
      </c>
      <c r="AF56" s="77">
        <f>SUM(AF45:AF55)</f>
        <v>79653.990000000005</v>
      </c>
      <c r="AG56" s="77">
        <f>P56-Z56-AF56</f>
        <v>235.0599999998085</v>
      </c>
    </row>
    <row r="57" spans="1:33" x14ac:dyDescent="0.2">
      <c r="A57" s="145"/>
      <c r="B57" s="146"/>
      <c r="C57" s="31" t="str">
        <f>TEXT(A$44,)&amp;" S/."</f>
        <v>Loreto / Ucayali S/.</v>
      </c>
      <c r="D57" s="103"/>
      <c r="E57" s="103"/>
      <c r="F57" s="145"/>
      <c r="G57" s="208"/>
      <c r="H57" s="208"/>
      <c r="I57" s="205"/>
      <c r="J57" s="205"/>
      <c r="K57" s="208"/>
      <c r="L57" s="208"/>
      <c r="M57" s="208"/>
      <c r="N57" s="208"/>
      <c r="O57" s="211"/>
      <c r="P57" s="211">
        <f>ROUND($F$1*P56,2)</f>
        <v>0</v>
      </c>
      <c r="Q57" s="211">
        <f>ROUND($F$1*Q56,2)</f>
        <v>0</v>
      </c>
      <c r="R57" s="160"/>
      <c r="S57" s="211">
        <f>ROUND($F$1*S56,2)</f>
        <v>0</v>
      </c>
      <c r="T57" s="148"/>
      <c r="U57" s="149"/>
      <c r="V57" s="149"/>
      <c r="W57" s="150"/>
      <c r="X57" s="151"/>
      <c r="Y57" s="151"/>
      <c r="Z57" s="149"/>
      <c r="AA57" s="149"/>
      <c r="AB57" s="149"/>
      <c r="AC57" s="150"/>
      <c r="AD57" s="151"/>
      <c r="AE57" s="151"/>
      <c r="AF57" s="149"/>
      <c r="AG57" s="149"/>
    </row>
    <row r="58" spans="1:33" x14ac:dyDescent="0.2">
      <c r="A58" s="15" t="s">
        <v>161</v>
      </c>
      <c r="B58" s="16"/>
      <c r="C58" s="16"/>
      <c r="D58" s="16"/>
      <c r="E58" s="21"/>
      <c r="F58" s="15"/>
      <c r="G58" s="206"/>
      <c r="H58" s="207"/>
      <c r="I58" s="203"/>
      <c r="J58" s="204"/>
      <c r="K58" s="206"/>
      <c r="L58" s="206"/>
      <c r="M58" s="206"/>
      <c r="N58" s="206"/>
      <c r="O58" s="206"/>
      <c r="P58" s="213" t="s">
        <v>163</v>
      </c>
      <c r="Q58" s="213" t="s">
        <v>161</v>
      </c>
      <c r="R58" s="169"/>
      <c r="S58" s="212"/>
      <c r="T58" s="180"/>
      <c r="U58" s="149"/>
      <c r="V58" s="149"/>
      <c r="W58" s="150"/>
      <c r="X58" s="151"/>
      <c r="Y58" s="151"/>
      <c r="Z58" s="149"/>
      <c r="AA58" s="149"/>
      <c r="AB58" s="149"/>
      <c r="AC58" s="150"/>
      <c r="AD58" s="151"/>
      <c r="AE58" s="151"/>
      <c r="AF58" s="149"/>
      <c r="AG58" s="149"/>
    </row>
    <row r="59" spans="1:33" x14ac:dyDescent="0.2">
      <c r="A59" s="23" t="s">
        <v>28</v>
      </c>
      <c r="B59" s="24" t="s">
        <v>160</v>
      </c>
      <c r="C59" s="57" t="s">
        <v>31</v>
      </c>
      <c r="D59" s="57" t="s">
        <v>30</v>
      </c>
      <c r="E59" s="57" t="s">
        <v>158</v>
      </c>
      <c r="F59" s="237" t="s">
        <v>37</v>
      </c>
      <c r="G59" s="222">
        <v>755338</v>
      </c>
      <c r="H59" s="222">
        <v>820304</v>
      </c>
      <c r="I59" s="216">
        <v>43.116300000000003</v>
      </c>
      <c r="J59" s="216">
        <v>42.268700000000003</v>
      </c>
      <c r="K59" s="222"/>
      <c r="L59" s="222"/>
      <c r="M59" s="222"/>
      <c r="N59" s="222"/>
      <c r="O59" s="224">
        <f>G59*I59+H59*J59</f>
        <v>67240563.494200006</v>
      </c>
      <c r="P59" s="222">
        <f>ROUND(37.24%*(G59*I59+H59*J59),2)</f>
        <v>25040385.850000001</v>
      </c>
      <c r="Q59" s="222">
        <f t="shared" ref="Q59:Q67" si="32">ROUND(R59*P59,2)</f>
        <v>12520192.93</v>
      </c>
      <c r="R59" s="223">
        <v>0.5</v>
      </c>
      <c r="S59" s="222"/>
      <c r="T59" s="258"/>
      <c r="U59" s="40">
        <f t="shared" ref="U59:U68" si="33">IF($F59&amp;"/Día"=W$9,SUM($G59:$H59),"")</f>
        <v>1575642</v>
      </c>
      <c r="V59" s="40">
        <f t="shared" ref="V59:V68" si="34">IF(U59&lt;&gt;"",$O59,"")</f>
        <v>67240563.494200006</v>
      </c>
      <c r="W59" s="75">
        <f t="shared" ref="W59:W68" si="35">IF($F59&amp;"/Día"=W$9,ROUND(U59/$W$1,1),"")</f>
        <v>50827.199999999997</v>
      </c>
      <c r="X59" s="76">
        <f t="shared" ref="X59:X68" si="36">IF(U59=0,0,IF($F59&amp;"/Día"=W$9,ROUND(V59/U59,4),""))</f>
        <v>42.674999999999997</v>
      </c>
      <c r="Y59" s="76">
        <f t="shared" ref="Y59:Y68" si="37">IF(U59=0,0,IF($F59&amp;"/Día"=W$9,ROUND(Z59/U59,4),""))</f>
        <v>7.9461000000000004</v>
      </c>
      <c r="Z59" s="40">
        <f t="shared" ref="Z59:Z68" si="38">IF(U59&lt;&gt;"",$Q59,"")</f>
        <v>12520192.93</v>
      </c>
      <c r="AA59" s="40" t="str">
        <f t="shared" ref="AA59:AA68" si="39">IF($F59&amp;"/Día"=AC$9,SUM($G59:$H59),"")</f>
        <v/>
      </c>
      <c r="AB59" s="40" t="str">
        <f t="shared" ref="AB59:AB68" si="40">IF(AA59&lt;&gt;"",$O59,"")</f>
        <v/>
      </c>
      <c r="AC59" s="75" t="str">
        <f t="shared" ref="AC59:AC68" si="41">IF($F59&amp;"/Día"=AC$9,ROUND(AA59/$W$1,1),"")</f>
        <v/>
      </c>
      <c r="AD59" s="76" t="str">
        <f t="shared" ref="AD59:AD68" si="42">IF(AA59=0,0,IF($F59&amp;"/Día"=AC$9,ROUND(AB59/AA59,4),""))</f>
        <v/>
      </c>
      <c r="AE59" s="76" t="str">
        <f t="shared" ref="AE59:AE68" si="43">IF(AA59=0,0,IF($F59&amp;"/Día"=AC$9,ROUND(AF59/AA59,4),""))</f>
        <v/>
      </c>
      <c r="AF59" s="40" t="str">
        <f t="shared" ref="AF59:AF68" si="44">IF(AA59&lt;&gt;"",$Q59,"")</f>
        <v/>
      </c>
      <c r="AG59" s="149"/>
    </row>
    <row r="60" spans="1:33" x14ac:dyDescent="0.2">
      <c r="A60" s="23" t="s">
        <v>28</v>
      </c>
      <c r="B60" s="24" t="s">
        <v>159</v>
      </c>
      <c r="C60" s="57" t="s">
        <v>31</v>
      </c>
      <c r="D60" s="57" t="s">
        <v>30</v>
      </c>
      <c r="E60" s="57" t="s">
        <v>158</v>
      </c>
      <c r="F60" s="238" t="s">
        <v>56</v>
      </c>
      <c r="G60" s="222">
        <v>7816183.6699999999</v>
      </c>
      <c r="H60" s="222">
        <v>8555912.25</v>
      </c>
      <c r="I60" s="216">
        <v>1.9641</v>
      </c>
      <c r="J60" s="216">
        <v>1.9641</v>
      </c>
      <c r="K60" s="222"/>
      <c r="L60" s="222"/>
      <c r="M60" s="222"/>
      <c r="N60" s="222"/>
      <c r="O60" s="224">
        <f>G60*I60+H60*J60</f>
        <v>32156433.596471999</v>
      </c>
      <c r="P60" s="222">
        <f>ROUND(37.24%*(G60*I60+H60*J60),2)</f>
        <v>11975055.869999999</v>
      </c>
      <c r="Q60" s="222">
        <f t="shared" si="32"/>
        <v>5987527.9400000004</v>
      </c>
      <c r="R60" s="223">
        <v>0.5</v>
      </c>
      <c r="S60" s="222"/>
      <c r="T60" s="223"/>
      <c r="U60" s="40" t="str">
        <f t="shared" si="33"/>
        <v/>
      </c>
      <c r="V60" s="40" t="str">
        <f t="shared" si="34"/>
        <v/>
      </c>
      <c r="W60" s="75" t="str">
        <f t="shared" si="35"/>
        <v/>
      </c>
      <c r="X60" s="76" t="str">
        <f t="shared" si="36"/>
        <v/>
      </c>
      <c r="Y60" s="76" t="str">
        <f t="shared" si="37"/>
        <v/>
      </c>
      <c r="Z60" s="40" t="str">
        <f t="shared" si="38"/>
        <v/>
      </c>
      <c r="AA60" s="40">
        <f t="shared" si="39"/>
        <v>16372095.92</v>
      </c>
      <c r="AB60" s="40">
        <f t="shared" si="40"/>
        <v>32156433.596471999</v>
      </c>
      <c r="AC60" s="75">
        <f t="shared" si="41"/>
        <v>528132.1</v>
      </c>
      <c r="AD60" s="76">
        <f t="shared" si="42"/>
        <v>1.9641</v>
      </c>
      <c r="AE60" s="76">
        <f t="shared" si="43"/>
        <v>0.36570000000000003</v>
      </c>
      <c r="AF60" s="40">
        <f t="shared" si="44"/>
        <v>5987527.9400000004</v>
      </c>
      <c r="AG60" s="149"/>
    </row>
    <row r="61" spans="1:33" x14ac:dyDescent="0.2">
      <c r="A61" s="23" t="s">
        <v>28</v>
      </c>
      <c r="B61" s="24" t="s">
        <v>177</v>
      </c>
      <c r="C61" s="57" t="s">
        <v>31</v>
      </c>
      <c r="D61" s="57" t="s">
        <v>30</v>
      </c>
      <c r="E61" s="57" t="s">
        <v>158</v>
      </c>
      <c r="F61" s="238" t="s">
        <v>56</v>
      </c>
      <c r="G61" s="222">
        <v>21481.439999999999</v>
      </c>
      <c r="H61" s="222">
        <v>31441.16</v>
      </c>
      <c r="I61" s="216">
        <v>2.7627999999999999</v>
      </c>
      <c r="J61" s="216">
        <v>2.7627999999999999</v>
      </c>
      <c r="K61" s="222"/>
      <c r="L61" s="222"/>
      <c r="M61" s="222"/>
      <c r="N61" s="222"/>
      <c r="O61" s="224">
        <f t="shared" ref="O61:O67" si="45">G61*I61+H61*J61</f>
        <v>146214.55927999999</v>
      </c>
      <c r="P61" s="222">
        <f>ROUND(37.24%*O61,2)</f>
        <v>54450.3</v>
      </c>
      <c r="Q61" s="222">
        <f t="shared" si="32"/>
        <v>27225.15</v>
      </c>
      <c r="R61" s="223">
        <v>0.5</v>
      </c>
      <c r="S61" s="222"/>
      <c r="T61" s="223"/>
      <c r="U61" s="40" t="str">
        <f>IF($F61&amp;"/Día"=W$9,SUM($G61:$H61),"")</f>
        <v/>
      </c>
      <c r="V61" s="40" t="str">
        <f>IF(U61&lt;&gt;"",$O61,"")</f>
        <v/>
      </c>
      <c r="W61" s="75" t="str">
        <f>IF($F61&amp;"/Día"=W$9,ROUND(U61/$W$1,1),"")</f>
        <v/>
      </c>
      <c r="X61" s="76" t="str">
        <f>IF(U61=0,0,IF($F61&amp;"/Día"=W$9,ROUND(V61/U61,4),""))</f>
        <v/>
      </c>
      <c r="Y61" s="76" t="str">
        <f>IF(U61=0,0,IF($F61&amp;"/Día"=W$9,ROUND(Z61/U61,4),""))</f>
        <v/>
      </c>
      <c r="Z61" s="40" t="str">
        <f>IF(U61&lt;&gt;"",$Q61,"")</f>
        <v/>
      </c>
      <c r="AA61" s="40">
        <f t="shared" si="39"/>
        <v>52922.6</v>
      </c>
      <c r="AB61" s="40">
        <f>IF(AA61&lt;&gt;"",$O61,"")</f>
        <v>146214.55927999999</v>
      </c>
      <c r="AC61" s="75">
        <f t="shared" si="41"/>
        <v>1707.2</v>
      </c>
      <c r="AD61" s="76">
        <f>IF(AA61=0,0,IF($F61&amp;"/Día"=AC$9,ROUND(AB61/AA61,4),""))</f>
        <v>2.7627999999999999</v>
      </c>
      <c r="AE61" s="76">
        <f t="shared" si="43"/>
        <v>0.51439999999999997</v>
      </c>
      <c r="AF61" s="40">
        <f t="shared" si="44"/>
        <v>27225.15</v>
      </c>
      <c r="AG61" s="149"/>
    </row>
    <row r="62" spans="1:33" ht="12" customHeight="1" x14ac:dyDescent="0.2">
      <c r="A62" s="23" t="s">
        <v>28</v>
      </c>
      <c r="B62" s="24" t="s">
        <v>178</v>
      </c>
      <c r="C62" s="57" t="s">
        <v>31</v>
      </c>
      <c r="D62" s="57" t="s">
        <v>30</v>
      </c>
      <c r="E62" s="57" t="s">
        <v>158</v>
      </c>
      <c r="F62" s="238" t="s">
        <v>56</v>
      </c>
      <c r="G62" s="222">
        <v>736346.49</v>
      </c>
      <c r="H62" s="222">
        <v>923857.55</v>
      </c>
      <c r="I62" s="216">
        <v>1.798</v>
      </c>
      <c r="J62" s="216">
        <v>3.3090000000000002</v>
      </c>
      <c r="K62" s="222"/>
      <c r="L62" s="222"/>
      <c r="M62" s="222"/>
      <c r="N62" s="222"/>
      <c r="O62" s="224">
        <f t="shared" si="45"/>
        <v>4380995.6219700007</v>
      </c>
      <c r="P62" s="222">
        <f>ROUND(38%*G62*I62,2)+ROUND(38%*H62*J62,2)</f>
        <v>1664778.3399999999</v>
      </c>
      <c r="Q62" s="222">
        <f t="shared" si="32"/>
        <v>832389.17</v>
      </c>
      <c r="R62" s="274">
        <v>0.5</v>
      </c>
      <c r="S62" s="222"/>
      <c r="T62" s="223"/>
      <c r="U62" s="40" t="str">
        <f>IF($F62&amp;"/Día"=W$9,SUM($G62:$H62),"")</f>
        <v/>
      </c>
      <c r="V62" s="40" t="str">
        <f>IF(U62&lt;&gt;"",$O62,"")</f>
        <v/>
      </c>
      <c r="W62" s="75" t="str">
        <f>IF($F62&amp;"/Día"=W$9,ROUND(U62/$W$1,1),"")</f>
        <v/>
      </c>
      <c r="X62" s="76" t="str">
        <f>IF(U62=0,0,IF($F62&amp;"/Día"=W$9,ROUND(V62/U62,4),""))</f>
        <v/>
      </c>
      <c r="Y62" s="76" t="str">
        <f>IF(U62=0,0,IF($F62&amp;"/Día"=W$9,ROUND(Z62/U62,4),""))</f>
        <v/>
      </c>
      <c r="Z62" s="40" t="str">
        <f>IF(U62&lt;&gt;"",$Q62,"")</f>
        <v/>
      </c>
      <c r="AA62" s="40">
        <f t="shared" si="39"/>
        <v>1660204.04</v>
      </c>
      <c r="AB62" s="40">
        <f>IF(AA62&lt;&gt;"",$O62,"")</f>
        <v>4380995.6219700007</v>
      </c>
      <c r="AC62" s="75">
        <f t="shared" si="41"/>
        <v>53555</v>
      </c>
      <c r="AD62" s="76">
        <f>IF(AA62=0,0,IF($F62&amp;"/Día"=AC$9,ROUND(AB62/AA62,4),""))</f>
        <v>2.6387999999999998</v>
      </c>
      <c r="AE62" s="76">
        <f t="shared" si="43"/>
        <v>0.50139999999999996</v>
      </c>
      <c r="AF62" s="40">
        <f t="shared" si="44"/>
        <v>832389.17</v>
      </c>
      <c r="AG62" s="149"/>
    </row>
    <row r="63" spans="1:33" x14ac:dyDescent="0.2">
      <c r="A63" s="23" t="s">
        <v>28</v>
      </c>
      <c r="B63" s="24" t="s">
        <v>168</v>
      </c>
      <c r="C63" s="57" t="s">
        <v>31</v>
      </c>
      <c r="D63" s="57" t="s">
        <v>30</v>
      </c>
      <c r="E63" s="57" t="s">
        <v>158</v>
      </c>
      <c r="F63" s="237" t="s">
        <v>37</v>
      </c>
      <c r="G63" s="222">
        <v>304982</v>
      </c>
      <c r="H63" s="222">
        <v>452645</v>
      </c>
      <c r="I63" s="216">
        <v>43.069099999999999</v>
      </c>
      <c r="J63" s="216">
        <v>42.268999999999998</v>
      </c>
      <c r="K63" s="222"/>
      <c r="L63" s="222"/>
      <c r="M63" s="222"/>
      <c r="N63" s="222"/>
      <c r="O63" s="224">
        <f t="shared" si="45"/>
        <v>32268151.761199996</v>
      </c>
      <c r="P63" s="222">
        <f>ROUND(40%*G63*I63,2)+ROUND(40%*H63*J63,2)</f>
        <v>12907260.699999999</v>
      </c>
      <c r="Q63" s="222">
        <f t="shared" si="32"/>
        <v>6453630.3499999996</v>
      </c>
      <c r="R63" s="223">
        <v>0.5</v>
      </c>
      <c r="S63" s="222"/>
      <c r="T63" s="223"/>
      <c r="U63" s="40">
        <f t="shared" si="33"/>
        <v>757627</v>
      </c>
      <c r="V63" s="40">
        <f t="shared" si="34"/>
        <v>32268151.761199996</v>
      </c>
      <c r="W63" s="75">
        <f t="shared" si="35"/>
        <v>24439.599999999999</v>
      </c>
      <c r="X63" s="76">
        <f t="shared" si="36"/>
        <v>42.591099999999997</v>
      </c>
      <c r="Y63" s="76">
        <f t="shared" si="37"/>
        <v>8.5182000000000002</v>
      </c>
      <c r="Z63" s="40">
        <f t="shared" si="38"/>
        <v>6453630.3499999996</v>
      </c>
      <c r="AA63" s="40" t="str">
        <f t="shared" si="39"/>
        <v/>
      </c>
      <c r="AB63" s="40" t="str">
        <f t="shared" si="40"/>
        <v/>
      </c>
      <c r="AC63" s="75" t="str">
        <f t="shared" si="41"/>
        <v/>
      </c>
      <c r="AD63" s="76" t="str">
        <f t="shared" si="42"/>
        <v/>
      </c>
      <c r="AE63" s="76" t="str">
        <f t="shared" si="43"/>
        <v/>
      </c>
      <c r="AF63" s="40" t="str">
        <f t="shared" si="44"/>
        <v/>
      </c>
      <c r="AG63" s="149"/>
    </row>
    <row r="64" spans="1:33" x14ac:dyDescent="0.2">
      <c r="A64" s="23" t="s">
        <v>28</v>
      </c>
      <c r="B64" s="24" t="s">
        <v>169</v>
      </c>
      <c r="C64" s="57" t="s">
        <v>31</v>
      </c>
      <c r="D64" s="57" t="s">
        <v>30</v>
      </c>
      <c r="E64" s="57" t="s">
        <v>158</v>
      </c>
      <c r="F64" s="237" t="s">
        <v>56</v>
      </c>
      <c r="G64" s="222">
        <v>4773948.47</v>
      </c>
      <c r="H64" s="222">
        <v>6910967.5199999996</v>
      </c>
      <c r="I64" s="216">
        <v>1.798</v>
      </c>
      <c r="J64" s="216">
        <v>3.3090000000000002</v>
      </c>
      <c r="K64" s="222"/>
      <c r="L64" s="222"/>
      <c r="M64" s="222"/>
      <c r="N64" s="222"/>
      <c r="O64" s="224">
        <f t="shared" si="45"/>
        <v>31451950.87274</v>
      </c>
      <c r="P64" s="222">
        <f>ROUND(38%*G64*I64,2)+ROUND(38%*H64*J64,2)</f>
        <v>11951741.329999998</v>
      </c>
      <c r="Q64" s="222">
        <f t="shared" si="32"/>
        <v>5975870.6699999999</v>
      </c>
      <c r="R64" s="223">
        <v>0.5</v>
      </c>
      <c r="S64" s="222"/>
      <c r="T64" s="223"/>
      <c r="U64" s="40" t="str">
        <f t="shared" si="33"/>
        <v/>
      </c>
      <c r="V64" s="40" t="str">
        <f t="shared" si="34"/>
        <v/>
      </c>
      <c r="W64" s="75" t="str">
        <f t="shared" si="35"/>
        <v/>
      </c>
      <c r="X64" s="76" t="str">
        <f t="shared" si="36"/>
        <v/>
      </c>
      <c r="Y64" s="76" t="str">
        <f t="shared" si="37"/>
        <v/>
      </c>
      <c r="Z64" s="40" t="str">
        <f t="shared" si="38"/>
        <v/>
      </c>
      <c r="AA64" s="40">
        <f t="shared" si="39"/>
        <v>11684915.989999998</v>
      </c>
      <c r="AB64" s="40">
        <f t="shared" si="40"/>
        <v>31451950.87274</v>
      </c>
      <c r="AC64" s="75">
        <f t="shared" si="41"/>
        <v>376932.8</v>
      </c>
      <c r="AD64" s="76">
        <f t="shared" si="42"/>
        <v>2.6917</v>
      </c>
      <c r="AE64" s="76">
        <f t="shared" si="43"/>
        <v>0.51139999999999997</v>
      </c>
      <c r="AF64" s="40">
        <f t="shared" si="44"/>
        <v>5975870.6699999999</v>
      </c>
      <c r="AG64" s="149"/>
    </row>
    <row r="65" spans="1:33" x14ac:dyDescent="0.2">
      <c r="A65" s="23" t="s">
        <v>28</v>
      </c>
      <c r="B65" s="28" t="s">
        <v>173</v>
      </c>
      <c r="C65" s="57" t="s">
        <v>31</v>
      </c>
      <c r="D65" s="57" t="s">
        <v>30</v>
      </c>
      <c r="E65" s="57" t="s">
        <v>158</v>
      </c>
      <c r="F65" s="237" t="s">
        <v>56</v>
      </c>
      <c r="G65" s="222">
        <v>191112.54</v>
      </c>
      <c r="H65" s="222">
        <v>282162.15000000002</v>
      </c>
      <c r="I65" s="216">
        <v>1.8266</v>
      </c>
      <c r="J65" s="216">
        <v>1.8266</v>
      </c>
      <c r="K65" s="215"/>
      <c r="L65" s="222"/>
      <c r="M65" s="222"/>
      <c r="N65" s="215"/>
      <c r="O65" s="224">
        <f t="shared" si="45"/>
        <v>864483.5487540001</v>
      </c>
      <c r="P65" s="222">
        <f>ROUND(37.24%*(G65*I65+H65*J65),2)</f>
        <v>321933.67</v>
      </c>
      <c r="Q65" s="222">
        <f t="shared" si="32"/>
        <v>160966.84</v>
      </c>
      <c r="R65" s="223">
        <v>0.5</v>
      </c>
      <c r="S65" s="222"/>
      <c r="T65" s="258"/>
      <c r="U65" s="40" t="str">
        <f t="shared" si="33"/>
        <v/>
      </c>
      <c r="V65" s="40" t="str">
        <f t="shared" si="34"/>
        <v/>
      </c>
      <c r="W65" s="75" t="str">
        <f t="shared" si="35"/>
        <v/>
      </c>
      <c r="X65" s="76" t="str">
        <f t="shared" si="36"/>
        <v/>
      </c>
      <c r="Y65" s="76" t="str">
        <f t="shared" si="37"/>
        <v/>
      </c>
      <c r="Z65" s="40" t="str">
        <f t="shared" si="38"/>
        <v/>
      </c>
      <c r="AA65" s="40">
        <f t="shared" si="39"/>
        <v>473274.69000000006</v>
      </c>
      <c r="AB65" s="40">
        <f t="shared" si="40"/>
        <v>864483.5487540001</v>
      </c>
      <c r="AC65" s="75">
        <f t="shared" si="41"/>
        <v>15266.9</v>
      </c>
      <c r="AD65" s="76">
        <f t="shared" si="42"/>
        <v>1.8266</v>
      </c>
      <c r="AE65" s="76">
        <f t="shared" si="43"/>
        <v>0.34010000000000001</v>
      </c>
      <c r="AF65" s="40">
        <f t="shared" si="44"/>
        <v>160966.84</v>
      </c>
      <c r="AG65" s="149"/>
    </row>
    <row r="66" spans="1:33" x14ac:dyDescent="0.2">
      <c r="A66" s="23" t="s">
        <v>28</v>
      </c>
      <c r="B66" s="28" t="s">
        <v>175</v>
      </c>
      <c r="C66" s="57" t="s">
        <v>31</v>
      </c>
      <c r="D66" s="57" t="s">
        <v>30</v>
      </c>
      <c r="E66" s="57" t="s">
        <v>158</v>
      </c>
      <c r="F66" s="237" t="s">
        <v>37</v>
      </c>
      <c r="G66" s="222">
        <v>152939</v>
      </c>
      <c r="H66" s="222">
        <v>223448</v>
      </c>
      <c r="I66" s="216">
        <v>38.984499999999997</v>
      </c>
      <c r="J66" s="216">
        <v>38.186799999999998</v>
      </c>
      <c r="K66" s="215"/>
      <c r="L66" s="222"/>
      <c r="M66" s="222"/>
      <c r="N66" s="215"/>
      <c r="O66" s="224">
        <f t="shared" si="45"/>
        <v>14495014.5319</v>
      </c>
      <c r="P66" s="253">
        <f>ROUND(G66*I66,2)*6.22%+ROUND(H66*J66,2)*6.42%</f>
        <v>918655.43256799993</v>
      </c>
      <c r="Q66" s="222">
        <f t="shared" si="32"/>
        <v>459327.72</v>
      </c>
      <c r="R66" s="223">
        <v>0.5</v>
      </c>
      <c r="S66" s="222"/>
      <c r="T66" s="258"/>
      <c r="U66" s="40">
        <f>IF($F66&amp;"/Día"=W$9,SUM($G66:$H66),"")</f>
        <v>376387</v>
      </c>
      <c r="V66" s="40">
        <f t="shared" si="34"/>
        <v>14495014.5319</v>
      </c>
      <c r="W66" s="75">
        <f t="shared" si="35"/>
        <v>12141.5</v>
      </c>
      <c r="X66" s="76">
        <f t="shared" si="36"/>
        <v>38.510899999999999</v>
      </c>
      <c r="Y66" s="76">
        <f>IF(U66=0,0,IF($F66&amp;"/Día"=W$9,ROUND(Z66/U66,4),""))</f>
        <v>1.2203999999999999</v>
      </c>
      <c r="Z66" s="40">
        <f>IF(U66&lt;&gt;"",$Q66,"")</f>
        <v>459327.72</v>
      </c>
      <c r="AA66" s="40" t="str">
        <f t="shared" si="39"/>
        <v/>
      </c>
      <c r="AB66" s="40" t="str">
        <f t="shared" si="40"/>
        <v/>
      </c>
      <c r="AC66" s="75" t="str">
        <f t="shared" si="41"/>
        <v/>
      </c>
      <c r="AD66" s="76" t="str">
        <f t="shared" si="42"/>
        <v/>
      </c>
      <c r="AE66" s="76" t="str">
        <f>IF(AA66=0,0,IF($F66&amp;"/Día"=AC$9,ROUND(AF66/AA66,4),""))</f>
        <v/>
      </c>
      <c r="AF66" s="40" t="str">
        <f>IF(AA66&lt;&gt;"",$Q66,"")</f>
        <v/>
      </c>
      <c r="AG66" s="149"/>
    </row>
    <row r="67" spans="1:33" x14ac:dyDescent="0.2">
      <c r="A67" s="23" t="s">
        <v>28</v>
      </c>
      <c r="B67" s="272" t="s">
        <v>176</v>
      </c>
      <c r="C67" s="57" t="s">
        <v>31</v>
      </c>
      <c r="D67" s="57" t="s">
        <v>30</v>
      </c>
      <c r="E67" s="57" t="s">
        <v>158</v>
      </c>
      <c r="F67" s="237" t="s">
        <v>56</v>
      </c>
      <c r="G67" s="222">
        <v>2377392.5499999998</v>
      </c>
      <c r="H67" s="222">
        <v>3455909.84</v>
      </c>
      <c r="I67" s="216">
        <v>3.1179999999999999</v>
      </c>
      <c r="J67" s="216">
        <v>3.1179999999999999</v>
      </c>
      <c r="K67" s="351"/>
      <c r="L67" s="222"/>
      <c r="M67" s="222"/>
      <c r="N67" s="215"/>
      <c r="O67" s="224">
        <f t="shared" si="45"/>
        <v>18188236.852019999</v>
      </c>
      <c r="P67" s="253">
        <f>ROUND(G67*I67,2)*9.42%+ROUND(H67*J67,2)*9.89%</f>
        <v>1763976.8876060001</v>
      </c>
      <c r="Q67" s="222">
        <f t="shared" si="32"/>
        <v>881988.44</v>
      </c>
      <c r="R67" s="223">
        <v>0.5</v>
      </c>
      <c r="S67" s="222"/>
      <c r="T67" s="258"/>
      <c r="U67" s="40" t="str">
        <f>IF($F67&amp;"/Día"=W$9,SUM($G67:$H67),"")</f>
        <v/>
      </c>
      <c r="V67" s="40" t="str">
        <f t="shared" si="34"/>
        <v/>
      </c>
      <c r="W67" s="75" t="str">
        <f t="shared" si="35"/>
        <v/>
      </c>
      <c r="X67" s="76" t="str">
        <f t="shared" si="36"/>
        <v/>
      </c>
      <c r="Y67" s="76" t="str">
        <f>IF(U67=0,0,IF($F67&amp;"/Día"=W$9,ROUND(Z67/U67,4),""))</f>
        <v/>
      </c>
      <c r="Z67" s="40" t="str">
        <f>IF(U67&lt;&gt;"",$Q67,"")</f>
        <v/>
      </c>
      <c r="AA67" s="40">
        <f t="shared" si="39"/>
        <v>5833302.3899999997</v>
      </c>
      <c r="AB67" s="40">
        <f t="shared" si="40"/>
        <v>18188236.852019999</v>
      </c>
      <c r="AC67" s="75">
        <f t="shared" si="41"/>
        <v>188171</v>
      </c>
      <c r="AD67" s="76">
        <f t="shared" si="42"/>
        <v>3.1179999999999999</v>
      </c>
      <c r="AE67" s="76">
        <f>IF(AA67=0,0,IF($F67&amp;"/Día"=AC$9,ROUND(AF67/AA67,4),""))</f>
        <v>0.1512</v>
      </c>
      <c r="AF67" s="40">
        <f>IF(AA67&lt;&gt;"",$Q67,"")</f>
        <v>881988.44</v>
      </c>
      <c r="AG67" s="149"/>
    </row>
    <row r="68" spans="1:33" x14ac:dyDescent="0.2">
      <c r="A68" s="181" t="s">
        <v>28</v>
      </c>
      <c r="B68" s="182" t="s">
        <v>162</v>
      </c>
      <c r="C68" s="183"/>
      <c r="D68" s="183"/>
      <c r="E68" s="184"/>
      <c r="F68" s="33"/>
      <c r="G68" s="261"/>
      <c r="H68" s="262"/>
      <c r="I68" s="262"/>
      <c r="J68" s="263"/>
      <c r="K68" s="263"/>
      <c r="L68" s="263"/>
      <c r="M68" s="187"/>
      <c r="N68" s="187"/>
      <c r="O68" s="198">
        <f>+O159</f>
        <v>7563365.7415325306</v>
      </c>
      <c r="P68" s="198">
        <f>+P159</f>
        <v>990126.66385300073</v>
      </c>
      <c r="Q68" s="198">
        <f>+Q159</f>
        <v>495063.34000000049</v>
      </c>
      <c r="R68" s="148"/>
      <c r="S68" s="188"/>
      <c r="T68" s="148"/>
      <c r="U68" s="40" t="str">
        <f t="shared" si="33"/>
        <v/>
      </c>
      <c r="V68" s="40" t="str">
        <f t="shared" si="34"/>
        <v/>
      </c>
      <c r="W68" s="75" t="str">
        <f t="shared" si="35"/>
        <v/>
      </c>
      <c r="X68" s="76" t="str">
        <f t="shared" si="36"/>
        <v/>
      </c>
      <c r="Y68" s="76" t="str">
        <f t="shared" si="37"/>
        <v/>
      </c>
      <c r="Z68" s="40" t="str">
        <f t="shared" si="38"/>
        <v/>
      </c>
      <c r="AA68" s="40" t="str">
        <f t="shared" si="39"/>
        <v/>
      </c>
      <c r="AB68" s="40" t="str">
        <f t="shared" si="40"/>
        <v/>
      </c>
      <c r="AC68" s="75" t="str">
        <f t="shared" si="41"/>
        <v/>
      </c>
      <c r="AD68" s="76" t="str">
        <f t="shared" si="42"/>
        <v/>
      </c>
      <c r="AE68" s="76" t="str">
        <f t="shared" si="43"/>
        <v/>
      </c>
      <c r="AF68" s="40" t="str">
        <f t="shared" si="44"/>
        <v/>
      </c>
      <c r="AG68" s="149"/>
    </row>
    <row r="69" spans="1:33" x14ac:dyDescent="0.2">
      <c r="A69" s="30"/>
      <c r="B69" s="153" t="s">
        <v>108</v>
      </c>
      <c r="C69" s="31" t="str">
        <f>TEXT(A$58,)&amp;" US$"</f>
        <v>Cusco US$</v>
      </c>
      <c r="D69" s="19"/>
      <c r="E69" s="19"/>
      <c r="F69" s="268"/>
      <c r="G69" s="254">
        <f>SUM(G64:G65)</f>
        <v>4965061.01</v>
      </c>
      <c r="H69" s="254">
        <f>SUM(H64:H65)</f>
        <v>7193129.6699999999</v>
      </c>
      <c r="I69" s="304"/>
      <c r="J69" s="254"/>
      <c r="K69" s="265"/>
      <c r="L69" s="259"/>
      <c r="M69" s="303"/>
      <c r="N69" s="201"/>
      <c r="O69" s="201">
        <f>SUM(O59:O68)</f>
        <v>208755410.58006853</v>
      </c>
      <c r="P69" s="201">
        <f>SUM(P59:P68)</f>
        <v>67588365.044027001</v>
      </c>
      <c r="Q69" s="201">
        <f>SUM(Q59:Q68)</f>
        <v>33794182.550000004</v>
      </c>
      <c r="R69" s="186"/>
      <c r="S69" s="192"/>
      <c r="T69" s="148"/>
      <c r="U69" s="77">
        <f>SUM(U59:U68)</f>
        <v>2709656</v>
      </c>
      <c r="V69" s="77">
        <f>SUM(V59:V68)</f>
        <v>114003729.78730001</v>
      </c>
      <c r="W69" s="78">
        <f>SUM(W59:W68)</f>
        <v>87408.299999999988</v>
      </c>
      <c r="X69" s="79">
        <f>ROUND(V69/U69,4)</f>
        <v>42.073099999999997</v>
      </c>
      <c r="Y69" s="79">
        <f>ROUND(Z69/U69,4)</f>
        <v>7.1718000000000002</v>
      </c>
      <c r="Z69" s="77">
        <f>SUM(Z59:Z68)</f>
        <v>19433151</v>
      </c>
      <c r="AA69" s="77">
        <f>SUM(AA59:AA68)</f>
        <v>36076715.629999995</v>
      </c>
      <c r="AB69" s="77">
        <f>SUM(AB59:AB68)</f>
        <v>87188315.051236004</v>
      </c>
      <c r="AC69" s="78">
        <f>SUM(AC59:AC68)</f>
        <v>1163765</v>
      </c>
      <c r="AD69" s="79">
        <f>ROUND(AB69/AA69,4)</f>
        <v>2.4167000000000001</v>
      </c>
      <c r="AE69" s="79">
        <f>ROUND(AF69/AA69,4)</f>
        <v>0.38429999999999997</v>
      </c>
      <c r="AF69" s="77">
        <f>SUM(AF59:AF68)</f>
        <v>13865968.209999999</v>
      </c>
      <c r="AG69" s="77">
        <f>Q69-Z69-AF69</f>
        <v>495063.34000000544</v>
      </c>
    </row>
    <row r="70" spans="1:33" x14ac:dyDescent="0.2">
      <c r="A70" s="145"/>
      <c r="B70" s="146"/>
      <c r="C70" s="31" t="str">
        <f>TEXT(A$58,)&amp;" S/."</f>
        <v>Cusco S/.</v>
      </c>
      <c r="D70" s="103"/>
      <c r="E70" s="103"/>
      <c r="F70" s="268"/>
      <c r="G70" s="255">
        <f>SUMPRODUCT(I64:I65,G64:G65)/SUM(G64:G65)</f>
        <v>1.7991008562901829</v>
      </c>
      <c r="H70" s="255">
        <f>SUMPRODUCT(J64:J65,H64:H65)/SUM(H64:H65)</f>
        <v>3.2508504614334304</v>
      </c>
      <c r="I70" s="305"/>
      <c r="J70" s="254"/>
      <c r="K70" s="266"/>
      <c r="L70" s="260"/>
      <c r="M70" s="357"/>
      <c r="N70" s="358"/>
      <c r="O70" s="358"/>
      <c r="P70" s="194"/>
      <c r="Q70" s="194">
        <f>Q69*F1</f>
        <v>0</v>
      </c>
      <c r="R70" s="185"/>
      <c r="S70" s="192"/>
      <c r="T70" s="148"/>
      <c r="U70" s="149"/>
      <c r="V70" s="149"/>
      <c r="W70" s="150"/>
      <c r="X70" s="151"/>
      <c r="Y70" s="151"/>
      <c r="Z70" s="149"/>
      <c r="AA70" s="149"/>
      <c r="AB70" s="149"/>
      <c r="AC70" s="150"/>
      <c r="AD70" s="151"/>
      <c r="AE70" s="151"/>
      <c r="AF70" s="149"/>
      <c r="AG70" s="149"/>
    </row>
    <row r="71" spans="1:33" x14ac:dyDescent="0.2">
      <c r="A71" s="7" t="s">
        <v>55</v>
      </c>
      <c r="B71" s="8"/>
      <c r="C71" s="8"/>
      <c r="D71" s="8"/>
      <c r="E71" s="8"/>
      <c r="F71" s="269"/>
      <c r="G71" s="256">
        <f>G69*G70</f>
        <v>8932645.5146239996</v>
      </c>
      <c r="H71" s="256">
        <f>H69*H70</f>
        <v>23383788.90687</v>
      </c>
      <c r="I71" s="254">
        <f>H71+G71</f>
        <v>32316434.421494</v>
      </c>
      <c r="J71" s="254">
        <f>O64+O65</f>
        <v>32316434.421494</v>
      </c>
      <c r="K71" s="306">
        <f>I71-J71</f>
        <v>0</v>
      </c>
      <c r="L71" s="307"/>
      <c r="M71" s="211">
        <f>SUM(M10:M67)</f>
        <v>488728.87</v>
      </c>
      <c r="N71" s="211">
        <f>SUM(N10:N67)</f>
        <v>79794.420000000013</v>
      </c>
      <c r="O71" s="211">
        <f>O36+O42+O56+O69</f>
        <v>310260836.91006851</v>
      </c>
      <c r="P71" s="211">
        <f>Q69+P56+P42+P36</f>
        <v>52609211.74000001</v>
      </c>
      <c r="Q71" s="196">
        <f>Q70+P57+P43+P37</f>
        <v>0</v>
      </c>
      <c r="R71" s="55"/>
      <c r="S71" s="196"/>
      <c r="T71" s="55"/>
      <c r="U71" s="84">
        <f>U36+U42+U56+U69</f>
        <v>4297392</v>
      </c>
      <c r="V71" s="84">
        <f>V36+V42+V56+V69</f>
        <v>210973591.12730002</v>
      </c>
      <c r="W71" s="85">
        <f>W36+W42+W56+W69</f>
        <v>138625.79999999999</v>
      </c>
      <c r="X71" s="86">
        <f>ROUND(V71/U71,4)</f>
        <v>49.093400000000003</v>
      </c>
      <c r="Y71" s="86">
        <f>ROUND(Z71/U71,4)</f>
        <v>8.7024000000000008</v>
      </c>
      <c r="Z71" s="84">
        <f>Z36+Z42+Z56+Z69</f>
        <v>37397761.75</v>
      </c>
      <c r="AA71" s="84">
        <f>AA36+AA42+AA56+AA69</f>
        <v>37730202.987199992</v>
      </c>
      <c r="AB71" s="84">
        <f>AB36+AB42+AB56+AB69</f>
        <v>91746221.571235999</v>
      </c>
      <c r="AC71" s="84">
        <f>AC36+AC42+AC56+AC69</f>
        <v>1217103.3</v>
      </c>
      <c r="AD71" s="86">
        <f>ROUND(AB71/AA71,4)</f>
        <v>2.4316</v>
      </c>
      <c r="AE71" s="86">
        <f>ROUND(AF71/AA71,4)</f>
        <v>0.39019999999999999</v>
      </c>
      <c r="AF71" s="84">
        <f>AF36+AF42+AF56+AF69</f>
        <v>14720575.68</v>
      </c>
      <c r="AG71" s="84">
        <f>P71-Z71-AF71</f>
        <v>490874.31000000983</v>
      </c>
    </row>
    <row r="72" spans="1:33" x14ac:dyDescent="0.2">
      <c r="G72" s="1"/>
      <c r="H72" s="1"/>
      <c r="I72" s="1"/>
      <c r="J72" s="1"/>
      <c r="K72" s="1"/>
      <c r="Z72" s="51"/>
      <c r="AA72" s="51"/>
      <c r="AB72" s="51"/>
      <c r="AC72" s="51"/>
      <c r="AD72" s="51"/>
      <c r="AE72" s="51"/>
    </row>
    <row r="73" spans="1:33" x14ac:dyDescent="0.2">
      <c r="A73" s="4" t="s">
        <v>93</v>
      </c>
      <c r="B73" s="1" t="s">
        <v>76</v>
      </c>
      <c r="G73" s="1"/>
      <c r="H73" s="4" t="s">
        <v>77</v>
      </c>
      <c r="I73" s="1"/>
      <c r="J73" s="65"/>
      <c r="K73" s="65"/>
      <c r="N73" s="179"/>
      <c r="O73" s="308">
        <f>114343802.37+0.82-0.01+151152570.31+0.2+0.01+0.01+0.01-152.04-42861.83+7541024.21-488728.87-79794.42+37804126.66+30849.5</f>
        <v>310260836.92999995</v>
      </c>
      <c r="P73" s="257"/>
      <c r="Q73" s="179"/>
      <c r="U73" s="51" t="s">
        <v>189</v>
      </c>
      <c r="V73" s="143">
        <v>5444409.790000001</v>
      </c>
      <c r="W73" s="143">
        <f>P36</f>
        <v>12632138.790000001</v>
      </c>
      <c r="X73" s="143" t="s">
        <v>23</v>
      </c>
    </row>
    <row r="74" spans="1:33" x14ac:dyDescent="0.2">
      <c r="B74" s="115" t="s">
        <v>78</v>
      </c>
      <c r="C74" s="116" t="s">
        <v>79</v>
      </c>
      <c r="D74" s="117"/>
      <c r="E74" s="118" t="s">
        <v>35</v>
      </c>
      <c r="F74" s="118" t="s">
        <v>80</v>
      </c>
      <c r="G74" s="1"/>
      <c r="H74" s="89" t="s">
        <v>35</v>
      </c>
      <c r="I74" s="8"/>
      <c r="J74" s="8"/>
      <c r="K74" s="8"/>
      <c r="L74" s="90"/>
      <c r="N74" s="335"/>
      <c r="O74" s="326">
        <f>+O73-O71</f>
        <v>1.9931435585021973E-2</v>
      </c>
      <c r="U74" s="51" t="s">
        <v>190</v>
      </c>
      <c r="V74" s="143">
        <f>7125040.18-V82</f>
        <v>6318288.6399999997</v>
      </c>
      <c r="W74" s="143">
        <f>P56</f>
        <v>5313937.38</v>
      </c>
      <c r="X74" s="143" t="s">
        <v>24</v>
      </c>
    </row>
    <row r="75" spans="1:33" x14ac:dyDescent="0.2">
      <c r="B75" s="91" t="s">
        <v>81</v>
      </c>
      <c r="C75" s="92" t="s">
        <v>82</v>
      </c>
      <c r="D75" s="93"/>
      <c r="E75" s="94"/>
      <c r="F75" s="94"/>
      <c r="G75" s="1"/>
      <c r="H75" s="95" t="str">
        <f>"=  ("&amp;TEXT(E75,"0.0000")&amp;" * "&amp;TEXT(E78,"0.00%")&amp;" + ("&amp;TEXT(E76,"0.0000")&amp;" - "&amp;TEXT(E77,"0.0000")&amp;" - "&amp;TEXT(E80,"0.0000")&amp;") * (1 - "&amp;TEXT(E78,"0.00%")&amp;"))"</f>
        <v>=  (0.0000 * 0.00% + (0.0000 - 0.0000 - 0.0000) * (1 - 0.00%))</v>
      </c>
      <c r="I75" s="1"/>
      <c r="J75" s="1"/>
      <c r="K75" s="1"/>
      <c r="L75" s="96"/>
      <c r="M75" s="323">
        <f>370851.98/5962250.45</f>
        <v>6.2200000337121024E-2</v>
      </c>
      <c r="N75" s="323">
        <f>547803.45/8532764.09</f>
        <v>6.4199999463479832E-2</v>
      </c>
      <c r="P75" s="179"/>
      <c r="U75" s="51" t="s">
        <v>29</v>
      </c>
      <c r="V75" s="143">
        <v>6998362.8481250005</v>
      </c>
      <c r="W75" s="143">
        <f>P42</f>
        <v>868953.02</v>
      </c>
      <c r="X75" s="143" t="s">
        <v>191</v>
      </c>
    </row>
    <row r="76" spans="1:33" x14ac:dyDescent="0.2">
      <c r="B76" s="97" t="s">
        <v>83</v>
      </c>
      <c r="C76" s="98" t="s">
        <v>84</v>
      </c>
      <c r="D76" s="99"/>
      <c r="E76" s="100"/>
      <c r="F76" s="101"/>
      <c r="G76" s="1"/>
      <c r="H76" s="102">
        <f>((85.98%*E75+4.4221)*E78+(E76-E77-E80)*(1-E78))</f>
        <v>0</v>
      </c>
      <c r="I76" s="103"/>
      <c r="J76" s="103"/>
      <c r="K76" s="103"/>
      <c r="L76" s="104"/>
      <c r="M76" s="323">
        <f>698277.28/7412709.99</f>
        <v>9.4199999857272176E-2</v>
      </c>
      <c r="N76" s="323">
        <f>1065699.61/10775526.87</f>
        <v>9.8900000237297003E-2</v>
      </c>
      <c r="O76" s="327"/>
      <c r="P76" s="179"/>
      <c r="U76" s="51"/>
      <c r="V76" s="138">
        <f>SUM(V73:V75)</f>
        <v>18761061.278124999</v>
      </c>
      <c r="W76" s="138">
        <f>SUM(W73:W75)</f>
        <v>18815029.190000001</v>
      </c>
      <c r="X76" s="143">
        <f>V76-W76</f>
        <v>-53967.911875002086</v>
      </c>
      <c r="Y76" s="1">
        <v>16411.38</v>
      </c>
    </row>
    <row r="77" spans="1:33" x14ac:dyDescent="0.2">
      <c r="B77" s="97" t="s">
        <v>85</v>
      </c>
      <c r="C77" s="98" t="s">
        <v>86</v>
      </c>
      <c r="D77" s="99"/>
      <c r="E77" s="100"/>
      <c r="F77" s="100"/>
      <c r="G77" s="1"/>
      <c r="H77" s="1"/>
      <c r="I77" s="105"/>
      <c r="J77" s="1"/>
      <c r="K77" s="1"/>
      <c r="M77" s="323">
        <f>5254120.1/13135300.26</f>
        <v>0.39999999969547706</v>
      </c>
      <c r="N77" s="323">
        <f>7653140.6/19132851.51</f>
        <v>0.39999999979093542</v>
      </c>
      <c r="O77" s="325"/>
      <c r="U77" s="51" t="s">
        <v>192</v>
      </c>
      <c r="V77" s="143">
        <v>4324077.9400000004</v>
      </c>
      <c r="W77" s="143"/>
      <c r="X77" s="143"/>
      <c r="Y77" s="1">
        <v>21889.47</v>
      </c>
    </row>
    <row r="78" spans="1:33" x14ac:dyDescent="0.2">
      <c r="B78" s="97" t="s">
        <v>87</v>
      </c>
      <c r="C78" s="98" t="s">
        <v>88</v>
      </c>
      <c r="D78" s="99"/>
      <c r="E78" s="106"/>
      <c r="F78" s="106"/>
      <c r="G78" s="1"/>
      <c r="H78" s="89" t="s">
        <v>80</v>
      </c>
      <c r="I78" s="107"/>
      <c r="J78" s="8"/>
      <c r="K78" s="8"/>
      <c r="L78" s="90"/>
      <c r="M78" s="323">
        <f>503101.38/1323950.99</f>
        <v>0.38000000287019686</v>
      </c>
      <c r="N78" s="323"/>
      <c r="O78" s="325"/>
      <c r="U78" s="51" t="s">
        <v>193</v>
      </c>
      <c r="V78" s="143">
        <v>9393842.4600000009</v>
      </c>
      <c r="W78" s="143"/>
      <c r="X78" s="143"/>
      <c r="Y78" s="1">
        <v>15666.89</v>
      </c>
    </row>
    <row r="79" spans="1:33" x14ac:dyDescent="0.2">
      <c r="B79" s="97" t="s">
        <v>89</v>
      </c>
      <c r="C79" s="98" t="s">
        <v>90</v>
      </c>
      <c r="D79" s="99"/>
      <c r="E79" s="108"/>
      <c r="F79" s="101"/>
      <c r="G79" s="1"/>
      <c r="H79" s="95" t="str">
        <f>"=  ("&amp;TEXT(F75,"0.0000")&amp;" * "&amp;TEXT(F78,"0.00%")&amp;" + ("&amp;TEXT(F76,"0.0000")&amp;" - "&amp;TEXT(F77,"0.0000")&amp;" - "&amp;TEXT(F80,"0.0000")&amp;") * (1 - "&amp;TEXT(F78,"0.00%")&amp;"))"</f>
        <v>=  (0.0000 * 0.00% + (0.0000 - 0.0000 - 0.0000) * (1 - 0.00%))</v>
      </c>
      <c r="I79" s="105"/>
      <c r="J79" s="1"/>
      <c r="K79" s="1"/>
      <c r="L79" s="96"/>
      <c r="N79" s="352"/>
      <c r="O79" s="325"/>
      <c r="U79" s="51" t="s">
        <v>194</v>
      </c>
      <c r="V79" s="143">
        <v>819790.22</v>
      </c>
      <c r="W79" s="143"/>
      <c r="X79" s="143"/>
      <c r="Y79" s="1">
        <f>SUM(Y76:Y78)</f>
        <v>53967.740000000005</v>
      </c>
      <c r="Z79" s="1" t="s">
        <v>214</v>
      </c>
    </row>
    <row r="80" spans="1:33" x14ac:dyDescent="0.2">
      <c r="B80" s="109" t="s">
        <v>91</v>
      </c>
      <c r="C80" s="110" t="s">
        <v>92</v>
      </c>
      <c r="D80" s="111"/>
      <c r="E80" s="112"/>
      <c r="F80" s="112"/>
      <c r="G80" s="1"/>
      <c r="H80" s="102">
        <f>((85.98%*F75+4.4221)*F78+(F76-F77-F80)*(1-F78))</f>
        <v>0</v>
      </c>
      <c r="I80" s="113"/>
      <c r="J80" s="103"/>
      <c r="K80" s="103"/>
      <c r="L80" s="104"/>
      <c r="M80" s="325"/>
      <c r="N80" s="325"/>
      <c r="O80" s="325"/>
      <c r="U80" s="51" t="s">
        <v>195</v>
      </c>
      <c r="V80" s="143">
        <v>8267531.6900000004</v>
      </c>
      <c r="W80" s="143"/>
      <c r="X80" s="143"/>
      <c r="Y80" s="360" t="s">
        <v>215</v>
      </c>
      <c r="Z80" s="5" t="s">
        <v>216</v>
      </c>
    </row>
    <row r="81" spans="1:27" x14ac:dyDescent="0.2">
      <c r="A81" s="4"/>
      <c r="G81" s="1"/>
      <c r="H81" s="177"/>
      <c r="I81" s="1"/>
      <c r="J81" s="1"/>
      <c r="K81" s="1"/>
      <c r="M81" s="325"/>
      <c r="N81" s="325"/>
      <c r="O81" s="325"/>
      <c r="U81" s="51" t="s">
        <v>196</v>
      </c>
      <c r="V81" s="143">
        <v>10182188.710000001</v>
      </c>
      <c r="W81" s="143"/>
      <c r="X81" s="143"/>
      <c r="Y81" s="1">
        <v>88184.41</v>
      </c>
      <c r="Z81" s="1">
        <v>-657.06</v>
      </c>
    </row>
    <row r="82" spans="1:27" x14ac:dyDescent="0.2">
      <c r="G82" s="1"/>
      <c r="H82" s="1"/>
      <c r="I82" s="1"/>
      <c r="J82" s="1"/>
      <c r="K82" s="1"/>
      <c r="U82" s="51" t="s">
        <v>197</v>
      </c>
      <c r="V82" s="143">
        <v>806751.54</v>
      </c>
      <c r="W82" s="143"/>
      <c r="X82" s="143"/>
      <c r="Y82" s="1">
        <v>147042.22</v>
      </c>
      <c r="Z82" s="1">
        <v>-1112.44</v>
      </c>
    </row>
    <row r="83" spans="1:27" ht="18" x14ac:dyDescent="0.25">
      <c r="A83" s="271" t="str">
        <f>"AJUSTES PARA "&amp;UPPER(TEXT(E1,"MMMMMMM YYYY"))</f>
        <v>AJUSTES PARA ENERO 2018</v>
      </c>
      <c r="B83" s="271"/>
      <c r="C83" s="271"/>
      <c r="D83" s="271"/>
      <c r="E83" s="271"/>
      <c r="F83" s="271"/>
      <c r="G83" s="271"/>
      <c r="H83" s="271"/>
      <c r="I83" s="271"/>
      <c r="J83" s="271"/>
      <c r="K83" s="271"/>
      <c r="L83" s="271"/>
      <c r="M83" s="271"/>
      <c r="N83" s="271"/>
      <c r="O83" s="356">
        <v>37804126.659999996</v>
      </c>
      <c r="P83" s="1" t="s">
        <v>213</v>
      </c>
      <c r="Q83" s="271"/>
      <c r="R83" s="271"/>
      <c r="S83" s="271"/>
      <c r="T83" s="271"/>
      <c r="U83" s="51"/>
      <c r="V83" s="138">
        <f>SUM(V77:V82)</f>
        <v>33794182.560000002</v>
      </c>
      <c r="W83" s="138">
        <f>Q69</f>
        <v>33794182.550000004</v>
      </c>
      <c r="X83" s="143">
        <f>V83-W83</f>
        <v>9.9999979138374329E-3</v>
      </c>
      <c r="Y83" s="1">
        <v>84070.45</v>
      </c>
      <c r="Z83" s="1">
        <v>-513.71</v>
      </c>
    </row>
    <row r="84" spans="1:27" x14ac:dyDescent="0.2">
      <c r="Y84" s="65">
        <f>SUM(Y81:Y83)</f>
        <v>319297.08</v>
      </c>
      <c r="Z84" s="65">
        <f>SUM(Z81:Z83)</f>
        <v>-2283.21</v>
      </c>
      <c r="AA84" s="65">
        <f>+Z84+Y84</f>
        <v>317013.87</v>
      </c>
    </row>
    <row r="85" spans="1:27" x14ac:dyDescent="0.2">
      <c r="A85" s="336" t="s">
        <v>183</v>
      </c>
      <c r="B85" s="126" t="s">
        <v>205</v>
      </c>
      <c r="C85" s="316"/>
      <c r="G85" s="1"/>
      <c r="H85" s="1"/>
      <c r="I85" s="1"/>
      <c r="J85" s="1"/>
      <c r="K85" s="1"/>
      <c r="U85" s="51"/>
      <c r="V85" s="143">
        <f>+V73+V77+V78+V79</f>
        <v>19982120.41</v>
      </c>
      <c r="W85" s="143"/>
      <c r="X85" s="51"/>
    </row>
    <row r="86" spans="1:27" x14ac:dyDescent="0.2">
      <c r="A86" s="15" t="s">
        <v>161</v>
      </c>
      <c r="B86" s="8"/>
      <c r="C86" s="277"/>
      <c r="D86" s="11" t="s">
        <v>19</v>
      </c>
      <c r="E86" s="64" t="s">
        <v>59</v>
      </c>
      <c r="F86" s="11" t="s">
        <v>27</v>
      </c>
      <c r="G86" s="12" t="s">
        <v>35</v>
      </c>
      <c r="H86" s="13" t="s">
        <v>36</v>
      </c>
      <c r="I86" s="13" t="s">
        <v>35</v>
      </c>
      <c r="J86" s="12" t="s">
        <v>36</v>
      </c>
      <c r="K86" s="12" t="s">
        <v>39</v>
      </c>
      <c r="L86" s="12" t="s">
        <v>40</v>
      </c>
      <c r="M86" s="12" t="s">
        <v>42</v>
      </c>
      <c r="N86" s="12" t="s">
        <v>2</v>
      </c>
      <c r="O86" s="278" t="s">
        <v>180</v>
      </c>
      <c r="P86" s="287" t="s">
        <v>163</v>
      </c>
      <c r="Q86" s="287" t="s">
        <v>184</v>
      </c>
      <c r="R86" s="175"/>
      <c r="U86" s="51"/>
      <c r="V86" s="143">
        <f>+V74+V80+V81+V82</f>
        <v>25574760.579999998</v>
      </c>
      <c r="W86" s="138"/>
      <c r="X86" s="143"/>
    </row>
    <row r="87" spans="1:27" x14ac:dyDescent="0.2">
      <c r="A87" s="279" t="s">
        <v>28</v>
      </c>
      <c r="B87" s="280" t="s">
        <v>173</v>
      </c>
      <c r="C87" s="288" t="s">
        <v>31</v>
      </c>
      <c r="D87" s="289" t="s">
        <v>185</v>
      </c>
      <c r="E87" s="289"/>
      <c r="F87" s="297" t="s">
        <v>56</v>
      </c>
      <c r="G87" s="222">
        <v>178674.45</v>
      </c>
      <c r="H87" s="222">
        <v>212775.22</v>
      </c>
      <c r="I87" s="216">
        <v>1.8093999999999999</v>
      </c>
      <c r="J87" s="216">
        <v>1.8093999999999999</v>
      </c>
      <c r="K87" s="215"/>
      <c r="L87" s="222"/>
      <c r="M87" s="222"/>
      <c r="N87" s="215"/>
      <c r="O87" s="337">
        <f>G87*I87+H87*J87</f>
        <v>708289.03289799998</v>
      </c>
      <c r="P87" s="220">
        <f>ROUND(37.24%*(G87*I87+H87*J87),2)</f>
        <v>263766.84000000003</v>
      </c>
      <c r="Q87" s="220">
        <f>ROUND(R87*P87,2)</f>
        <v>131883.42000000001</v>
      </c>
      <c r="R87" s="338">
        <v>0.5</v>
      </c>
      <c r="U87" s="65"/>
      <c r="V87" s="143">
        <f>+V75</f>
        <v>6998362.8481250005</v>
      </c>
      <c r="W87" s="65"/>
    </row>
    <row r="88" spans="1:27" x14ac:dyDescent="0.2">
      <c r="A88" s="281" t="s">
        <v>28</v>
      </c>
      <c r="B88" s="280" t="s">
        <v>173</v>
      </c>
      <c r="C88" s="291" t="s">
        <v>31</v>
      </c>
      <c r="D88" s="292" t="s">
        <v>186</v>
      </c>
      <c r="E88" s="292"/>
      <c r="F88" s="296" t="str">
        <f>F87</f>
        <v xml:space="preserve"> MM BTU</v>
      </c>
      <c r="G88" s="318">
        <f>+G87</f>
        <v>178674.45</v>
      </c>
      <c r="H88" s="318">
        <f>+H87</f>
        <v>212775.22</v>
      </c>
      <c r="I88" s="283">
        <v>1.8102</v>
      </c>
      <c r="J88" s="283">
        <v>1.8102</v>
      </c>
      <c r="K88" s="283"/>
      <c r="L88" s="283"/>
      <c r="M88" s="283"/>
      <c r="N88" s="282"/>
      <c r="O88" s="346">
        <f>G88*I88+H88*J88</f>
        <v>708602.19263399998</v>
      </c>
      <c r="P88" s="282">
        <f>ROUND(37.24%*(G88*I88+H88*J88),2)</f>
        <v>263883.46000000002</v>
      </c>
      <c r="Q88" s="282">
        <f>ROUND(R88*P88,2)</f>
        <v>131941.73000000001</v>
      </c>
      <c r="R88" s="45">
        <v>0.5</v>
      </c>
      <c r="U88" s="65"/>
      <c r="V88" s="302">
        <f>SUM(V85:V87)</f>
        <v>52555243.838124998</v>
      </c>
      <c r="W88" s="65"/>
      <c r="X88" s="65">
        <f>+V88-P71</f>
        <v>-53967.901875011623</v>
      </c>
    </row>
    <row r="89" spans="1:27" x14ac:dyDescent="0.2">
      <c r="A89" s="284"/>
      <c r="B89" s="103" t="s">
        <v>181</v>
      </c>
      <c r="C89" s="89"/>
      <c r="D89" s="195"/>
      <c r="E89" s="195"/>
      <c r="F89" s="284"/>
      <c r="G89" s="317">
        <f t="shared" ref="G89:Q89" si="46">G88-G87</f>
        <v>0</v>
      </c>
      <c r="H89" s="319">
        <f t="shared" si="46"/>
        <v>0</v>
      </c>
      <c r="I89" s="293">
        <f t="shared" si="46"/>
        <v>8.0000000000013394E-4</v>
      </c>
      <c r="J89" s="293">
        <f t="shared" si="46"/>
        <v>8.0000000000013394E-4</v>
      </c>
      <c r="K89" s="293">
        <f t="shared" si="46"/>
        <v>0</v>
      </c>
      <c r="L89" s="293">
        <f t="shared" si="46"/>
        <v>0</v>
      </c>
      <c r="M89" s="293">
        <f t="shared" si="46"/>
        <v>0</v>
      </c>
      <c r="N89" s="294">
        <f t="shared" si="46"/>
        <v>0</v>
      </c>
      <c r="O89" s="285">
        <f t="shared" si="46"/>
        <v>313.15973600000143</v>
      </c>
      <c r="P89" s="286">
        <f t="shared" si="46"/>
        <v>116.61999999999534</v>
      </c>
      <c r="Q89" s="285">
        <f t="shared" si="46"/>
        <v>58.309999999997672</v>
      </c>
      <c r="R89" s="295"/>
      <c r="S89" s="1" t="s">
        <v>182</v>
      </c>
    </row>
    <row r="91" spans="1:27" x14ac:dyDescent="0.2">
      <c r="A91" s="336"/>
      <c r="B91" s="126" t="s">
        <v>206</v>
      </c>
      <c r="C91" s="316"/>
      <c r="G91" s="1"/>
      <c r="H91" s="1"/>
      <c r="I91" s="1"/>
      <c r="J91" s="1"/>
      <c r="K91" s="1"/>
      <c r="U91" s="51"/>
      <c r="V91" s="143"/>
      <c r="W91" s="143"/>
      <c r="X91" s="51"/>
    </row>
    <row r="92" spans="1:27" x14ac:dyDescent="0.2">
      <c r="A92" s="15" t="s">
        <v>161</v>
      </c>
      <c r="B92" s="8"/>
      <c r="C92" s="277"/>
      <c r="D92" s="11" t="s">
        <v>19</v>
      </c>
      <c r="E92" s="64" t="s">
        <v>59</v>
      </c>
      <c r="F92" s="11" t="s">
        <v>27</v>
      </c>
      <c r="G92" s="12" t="s">
        <v>35</v>
      </c>
      <c r="H92" s="13" t="s">
        <v>36</v>
      </c>
      <c r="I92" s="13" t="s">
        <v>35</v>
      </c>
      <c r="J92" s="12" t="s">
        <v>36</v>
      </c>
      <c r="K92" s="12" t="s">
        <v>39</v>
      </c>
      <c r="L92" s="12" t="s">
        <v>40</v>
      </c>
      <c r="M92" s="12" t="s">
        <v>42</v>
      </c>
      <c r="N92" s="12" t="s">
        <v>2</v>
      </c>
      <c r="O92" s="278" t="s">
        <v>180</v>
      </c>
      <c r="P92" s="287" t="s">
        <v>163</v>
      </c>
      <c r="Q92" s="287" t="s">
        <v>184</v>
      </c>
      <c r="R92" s="175"/>
      <c r="U92" s="51"/>
      <c r="V92" s="143"/>
      <c r="W92" s="138"/>
      <c r="X92" s="143"/>
    </row>
    <row r="93" spans="1:27" x14ac:dyDescent="0.2">
      <c r="A93" s="279" t="s">
        <v>28</v>
      </c>
      <c r="B93" s="280" t="s">
        <v>173</v>
      </c>
      <c r="C93" s="288" t="s">
        <v>31</v>
      </c>
      <c r="D93" s="289" t="s">
        <v>185</v>
      </c>
      <c r="E93" s="289"/>
      <c r="F93" s="297" t="s">
        <v>56</v>
      </c>
      <c r="G93" s="222">
        <v>264856.53000000003</v>
      </c>
      <c r="H93" s="222">
        <v>282980.90999999997</v>
      </c>
      <c r="I93" s="216">
        <v>1.8103</v>
      </c>
      <c r="J93" s="216">
        <v>1.8103</v>
      </c>
      <c r="K93" s="215"/>
      <c r="L93" s="222"/>
      <c r="M93" s="222"/>
      <c r="N93" s="215"/>
      <c r="O93" s="337">
        <f>G93*I93+H93*J93</f>
        <v>991750.11763200001</v>
      </c>
      <c r="P93" s="220">
        <f>ROUND(37.24%*(G93*I93+H93*J93),2)</f>
        <v>369327.74</v>
      </c>
      <c r="Q93" s="220">
        <f>ROUND(R93*P93,2)</f>
        <v>184663.87</v>
      </c>
      <c r="R93" s="338">
        <v>0.5</v>
      </c>
      <c r="U93" s="65"/>
      <c r="V93" s="65"/>
      <c r="W93" s="65"/>
    </row>
    <row r="94" spans="1:27" x14ac:dyDescent="0.2">
      <c r="A94" s="281" t="s">
        <v>28</v>
      </c>
      <c r="B94" s="290" t="str">
        <f>B93</f>
        <v>56 GAS-Mlocal</v>
      </c>
      <c r="C94" s="291" t="s">
        <v>31</v>
      </c>
      <c r="D94" s="292" t="s">
        <v>186</v>
      </c>
      <c r="E94" s="292"/>
      <c r="F94" s="296" t="str">
        <f>F93</f>
        <v xml:space="preserve"> MM BTU</v>
      </c>
      <c r="G94" s="318">
        <f>+G93</f>
        <v>264856.53000000003</v>
      </c>
      <c r="H94" s="318">
        <f>+H93</f>
        <v>282980.90999999997</v>
      </c>
      <c r="I94" s="283">
        <v>1.8121</v>
      </c>
      <c r="J94" s="283">
        <v>1.8121</v>
      </c>
      <c r="K94" s="283"/>
      <c r="L94" s="283"/>
      <c r="M94" s="283"/>
      <c r="N94" s="282"/>
      <c r="O94" s="346">
        <f>G94*I94+H94*J94</f>
        <v>992736.22502400004</v>
      </c>
      <c r="P94" s="282">
        <f>ROUND(37.24%*(G94*I94+H94*J94),2)</f>
        <v>369694.97</v>
      </c>
      <c r="Q94" s="282">
        <f>ROUND(R94*P94,2)</f>
        <v>184847.49</v>
      </c>
      <c r="R94" s="45">
        <v>0.5</v>
      </c>
      <c r="U94" s="65"/>
      <c r="V94" s="65"/>
      <c r="W94" s="65"/>
      <c r="X94" s="65"/>
    </row>
    <row r="95" spans="1:27" x14ac:dyDescent="0.2">
      <c r="A95" s="284"/>
      <c r="B95" s="103" t="s">
        <v>181</v>
      </c>
      <c r="C95" s="89"/>
      <c r="D95" s="195"/>
      <c r="E95" s="195"/>
      <c r="F95" s="284"/>
      <c r="G95" s="317">
        <f t="shared" ref="G95:Q95" si="47">G94-G93</f>
        <v>0</v>
      </c>
      <c r="H95" s="319">
        <f t="shared" si="47"/>
        <v>0</v>
      </c>
      <c r="I95" s="293">
        <f t="shared" si="47"/>
        <v>1.8000000000000238E-3</v>
      </c>
      <c r="J95" s="293">
        <f>J94-J93</f>
        <v>1.8000000000000238E-3</v>
      </c>
      <c r="K95" s="293">
        <f t="shared" si="47"/>
        <v>0</v>
      </c>
      <c r="L95" s="293">
        <f t="shared" si="47"/>
        <v>0</v>
      </c>
      <c r="M95" s="293">
        <f t="shared" si="47"/>
        <v>0</v>
      </c>
      <c r="N95" s="294">
        <f t="shared" si="47"/>
        <v>0</v>
      </c>
      <c r="O95" s="285">
        <f>O94-O93</f>
        <v>986.10739200003445</v>
      </c>
      <c r="P95" s="286">
        <f>P94-P93</f>
        <v>367.22999999998137</v>
      </c>
      <c r="Q95" s="285">
        <f t="shared" si="47"/>
        <v>183.61999999999534</v>
      </c>
      <c r="R95" s="295"/>
      <c r="S95" s="1" t="s">
        <v>182</v>
      </c>
    </row>
    <row r="97" spans="1:25" x14ac:dyDescent="0.2">
      <c r="A97" s="336"/>
      <c r="B97" s="126" t="s">
        <v>207</v>
      </c>
      <c r="C97" s="316"/>
      <c r="G97" s="1"/>
      <c r="H97" s="1"/>
      <c r="I97" s="1"/>
      <c r="J97" s="1"/>
      <c r="K97" s="1"/>
      <c r="U97" s="51"/>
      <c r="V97" s="143"/>
      <c r="W97" s="143"/>
      <c r="X97" s="51"/>
    </row>
    <row r="98" spans="1:25" x14ac:dyDescent="0.2">
      <c r="A98" s="15" t="s">
        <v>161</v>
      </c>
      <c r="B98" s="8"/>
      <c r="C98" s="277"/>
      <c r="D98" s="11" t="s">
        <v>19</v>
      </c>
      <c r="E98" s="64" t="s">
        <v>59</v>
      </c>
      <c r="F98" s="11" t="s">
        <v>27</v>
      </c>
      <c r="G98" s="12" t="s">
        <v>35</v>
      </c>
      <c r="H98" s="13" t="s">
        <v>36</v>
      </c>
      <c r="I98" s="13" t="s">
        <v>35</v>
      </c>
      <c r="J98" s="12" t="s">
        <v>36</v>
      </c>
      <c r="K98" s="12" t="s">
        <v>39</v>
      </c>
      <c r="L98" s="12" t="s">
        <v>40</v>
      </c>
      <c r="M98" s="12" t="s">
        <v>42</v>
      </c>
      <c r="N98" s="12" t="s">
        <v>2</v>
      </c>
      <c r="O98" s="278" t="s">
        <v>180</v>
      </c>
      <c r="P98" s="287" t="s">
        <v>163</v>
      </c>
      <c r="Q98" s="287" t="s">
        <v>184</v>
      </c>
      <c r="R98" s="175"/>
      <c r="U98" s="51"/>
      <c r="V98" s="143"/>
      <c r="W98" s="138"/>
      <c r="X98" s="143"/>
    </row>
    <row r="99" spans="1:25" x14ac:dyDescent="0.2">
      <c r="A99" s="279" t="s">
        <v>28</v>
      </c>
      <c r="B99" s="280" t="s">
        <v>173</v>
      </c>
      <c r="C99" s="288" t="s">
        <v>31</v>
      </c>
      <c r="D99" s="289" t="s">
        <v>185</v>
      </c>
      <c r="E99" s="289"/>
      <c r="F99" s="297" t="s">
        <v>56</v>
      </c>
      <c r="G99" s="222">
        <v>229509.74</v>
      </c>
      <c r="H99" s="222">
        <v>282759.39</v>
      </c>
      <c r="I99" s="216">
        <v>1.8121</v>
      </c>
      <c r="J99" s="216">
        <v>1.8121</v>
      </c>
      <c r="K99" s="215"/>
      <c r="L99" s="222"/>
      <c r="M99" s="222"/>
      <c r="N99" s="215"/>
      <c r="O99" s="337">
        <f>G99*I99+H99*J99</f>
        <v>928282.89047300001</v>
      </c>
      <c r="P99" s="220">
        <f>ROUND(37.24%*(G99*I99+H99*J99),2)</f>
        <v>345692.55</v>
      </c>
      <c r="Q99" s="220">
        <f>ROUND(R99*P99,2)</f>
        <v>172846.28</v>
      </c>
      <c r="R99" s="338">
        <v>0.5</v>
      </c>
      <c r="U99" s="65"/>
      <c r="V99" s="143"/>
      <c r="W99" s="65"/>
    </row>
    <row r="100" spans="1:25" x14ac:dyDescent="0.2">
      <c r="A100" s="281" t="s">
        <v>28</v>
      </c>
      <c r="B100" s="290" t="str">
        <f>B99</f>
        <v>56 GAS-Mlocal</v>
      </c>
      <c r="C100" s="291" t="s">
        <v>31</v>
      </c>
      <c r="D100" s="292" t="s">
        <v>186</v>
      </c>
      <c r="E100" s="292"/>
      <c r="F100" s="296" t="str">
        <f>F99</f>
        <v xml:space="preserve"> MM BTU</v>
      </c>
      <c r="G100" s="318">
        <f>+G99</f>
        <v>229509.74</v>
      </c>
      <c r="H100" s="318">
        <f>+H99</f>
        <v>282759.39</v>
      </c>
      <c r="I100" s="283">
        <v>1.8149</v>
      </c>
      <c r="J100" s="283">
        <v>1.8149</v>
      </c>
      <c r="K100" s="283"/>
      <c r="L100" s="283"/>
      <c r="M100" s="283"/>
      <c r="N100" s="282"/>
      <c r="O100" s="346">
        <f>G100*I100+H100*J100</f>
        <v>929717.244037</v>
      </c>
      <c r="P100" s="282">
        <f>ROUND(37.24%*(G100*I100+H100*J100),2)</f>
        <v>346226.7</v>
      </c>
      <c r="Q100" s="282">
        <f>ROUND(R100*P100,2)</f>
        <v>173113.35</v>
      </c>
      <c r="R100" s="45">
        <v>0.5</v>
      </c>
      <c r="U100" s="65"/>
      <c r="V100" s="302"/>
      <c r="W100" s="65"/>
      <c r="X100" s="65"/>
    </row>
    <row r="101" spans="1:25" x14ac:dyDescent="0.2">
      <c r="A101" s="284"/>
      <c r="B101" s="103" t="s">
        <v>181</v>
      </c>
      <c r="C101" s="89"/>
      <c r="D101" s="195"/>
      <c r="E101" s="195"/>
      <c r="F101" s="284"/>
      <c r="G101" s="317">
        <f t="shared" ref="G101:Q101" si="48">G100-G99</f>
        <v>0</v>
      </c>
      <c r="H101" s="319">
        <f t="shared" si="48"/>
        <v>0</v>
      </c>
      <c r="I101" s="293">
        <f t="shared" si="48"/>
        <v>2.7999999999999137E-3</v>
      </c>
      <c r="J101" s="293">
        <f t="shared" si="48"/>
        <v>2.7999999999999137E-3</v>
      </c>
      <c r="K101" s="293">
        <f t="shared" si="48"/>
        <v>0</v>
      </c>
      <c r="L101" s="293">
        <f t="shared" si="48"/>
        <v>0</v>
      </c>
      <c r="M101" s="293">
        <f t="shared" si="48"/>
        <v>0</v>
      </c>
      <c r="N101" s="294">
        <f t="shared" si="48"/>
        <v>0</v>
      </c>
      <c r="O101" s="285">
        <f t="shared" si="48"/>
        <v>1434.35356399999</v>
      </c>
      <c r="P101" s="286">
        <f t="shared" si="48"/>
        <v>534.15000000002328</v>
      </c>
      <c r="Q101" s="285">
        <f t="shared" si="48"/>
        <v>267.07000000000698</v>
      </c>
      <c r="R101" s="295"/>
      <c r="S101" s="1" t="s">
        <v>182</v>
      </c>
      <c r="V101" s="308"/>
      <c r="W101" s="308"/>
      <c r="X101" s="308"/>
      <c r="Y101" s="308"/>
    </row>
    <row r="103" spans="1:25" x14ac:dyDescent="0.2">
      <c r="A103" s="336"/>
      <c r="B103" s="126" t="s">
        <v>208</v>
      </c>
      <c r="C103" s="316"/>
      <c r="G103" s="1"/>
      <c r="H103" s="1"/>
      <c r="I103" s="1"/>
      <c r="J103" s="1"/>
      <c r="K103" s="1"/>
      <c r="U103" s="51"/>
      <c r="V103" s="143"/>
      <c r="W103" s="143"/>
      <c r="X103" s="51"/>
    </row>
    <row r="104" spans="1:25" x14ac:dyDescent="0.2">
      <c r="A104" s="15" t="s">
        <v>161</v>
      </c>
      <c r="B104" s="8"/>
      <c r="C104" s="277"/>
      <c r="D104" s="11" t="s">
        <v>19</v>
      </c>
      <c r="E104" s="64" t="s">
        <v>59</v>
      </c>
      <c r="F104" s="11" t="s">
        <v>27</v>
      </c>
      <c r="G104" s="12" t="s">
        <v>35</v>
      </c>
      <c r="H104" s="13" t="s">
        <v>36</v>
      </c>
      <c r="I104" s="13" t="s">
        <v>35</v>
      </c>
      <c r="J104" s="12" t="s">
        <v>36</v>
      </c>
      <c r="K104" s="12" t="s">
        <v>39</v>
      </c>
      <c r="L104" s="12" t="s">
        <v>40</v>
      </c>
      <c r="M104" s="12" t="s">
        <v>42</v>
      </c>
      <c r="N104" s="12" t="s">
        <v>2</v>
      </c>
      <c r="O104" s="278" t="s">
        <v>180</v>
      </c>
      <c r="P104" s="287" t="s">
        <v>163</v>
      </c>
      <c r="Q104" s="287" t="s">
        <v>184</v>
      </c>
      <c r="R104" s="175"/>
      <c r="U104" s="51"/>
      <c r="V104" s="143"/>
      <c r="W104" s="138"/>
      <c r="X104" s="143"/>
    </row>
    <row r="105" spans="1:25" x14ac:dyDescent="0.2">
      <c r="A105" s="279" t="s">
        <v>28</v>
      </c>
      <c r="B105" s="280" t="s">
        <v>173</v>
      </c>
      <c r="C105" s="288" t="s">
        <v>31</v>
      </c>
      <c r="D105" s="289" t="s">
        <v>185</v>
      </c>
      <c r="E105" s="289"/>
      <c r="F105" s="297" t="s">
        <v>56</v>
      </c>
      <c r="G105" s="222">
        <v>275481.21000000002</v>
      </c>
      <c r="H105" s="222">
        <v>272627.36</v>
      </c>
      <c r="I105" s="216">
        <v>1.8204</v>
      </c>
      <c r="J105" s="216">
        <v>1.8204</v>
      </c>
      <c r="K105" s="215"/>
      <c r="L105" s="222"/>
      <c r="M105" s="222"/>
      <c r="N105" s="215"/>
      <c r="O105" s="224">
        <f>G105*I105+H105*J105</f>
        <v>997776.84082799999</v>
      </c>
      <c r="P105" s="222">
        <f>ROUND(37.24%*(G105*I105+H105*J105),2)</f>
        <v>371572.1</v>
      </c>
      <c r="Q105" s="222">
        <f>ROUND(R105*P105,2)</f>
        <v>185786.05</v>
      </c>
      <c r="R105" s="223">
        <v>0.5</v>
      </c>
      <c r="U105" s="65"/>
      <c r="V105" s="143"/>
      <c r="W105" s="65"/>
    </row>
    <row r="106" spans="1:25" x14ac:dyDescent="0.2">
      <c r="A106" s="281" t="s">
        <v>28</v>
      </c>
      <c r="B106" s="290" t="str">
        <f>B105</f>
        <v>56 GAS-Mlocal</v>
      </c>
      <c r="C106" s="291" t="s">
        <v>31</v>
      </c>
      <c r="D106" s="292" t="s">
        <v>186</v>
      </c>
      <c r="E106" s="292"/>
      <c r="F106" s="296" t="str">
        <f>F105</f>
        <v xml:space="preserve"> MM BTU</v>
      </c>
      <c r="G106" s="318">
        <f>+G105</f>
        <v>275481.21000000002</v>
      </c>
      <c r="H106" s="318">
        <f>+H105</f>
        <v>272627.36</v>
      </c>
      <c r="I106" s="283">
        <v>1.8266</v>
      </c>
      <c r="J106" s="283">
        <v>1.8266</v>
      </c>
      <c r="K106" s="283"/>
      <c r="L106" s="283"/>
      <c r="M106" s="283"/>
      <c r="N106" s="282"/>
      <c r="O106" s="346">
        <f>G106*I106+H106*J106</f>
        <v>1001175.113962</v>
      </c>
      <c r="P106" s="282">
        <f>ROUND(37.24%*(G106*I106+H106*J106),2)</f>
        <v>372837.61</v>
      </c>
      <c r="Q106" s="282">
        <f>ROUND(R106*P106,2)</f>
        <v>186418.81</v>
      </c>
      <c r="R106" s="45">
        <v>0.5</v>
      </c>
      <c r="U106" s="65"/>
      <c r="V106" s="302"/>
      <c r="W106" s="65"/>
      <c r="X106" s="65"/>
    </row>
    <row r="107" spans="1:25" x14ac:dyDescent="0.2">
      <c r="A107" s="284"/>
      <c r="B107" s="103" t="s">
        <v>181</v>
      </c>
      <c r="C107" s="89"/>
      <c r="D107" s="195"/>
      <c r="E107" s="195"/>
      <c r="F107" s="284"/>
      <c r="G107" s="317">
        <f t="shared" ref="G107:Q107" si="49">G106-G105</f>
        <v>0</v>
      </c>
      <c r="H107" s="319">
        <f t="shared" si="49"/>
        <v>0</v>
      </c>
      <c r="I107" s="293">
        <f t="shared" si="49"/>
        <v>6.1999999999999833E-3</v>
      </c>
      <c r="J107" s="293">
        <f t="shared" si="49"/>
        <v>6.1999999999999833E-3</v>
      </c>
      <c r="K107" s="293">
        <f t="shared" si="49"/>
        <v>0</v>
      </c>
      <c r="L107" s="293">
        <f t="shared" si="49"/>
        <v>0</v>
      </c>
      <c r="M107" s="293">
        <f t="shared" si="49"/>
        <v>0</v>
      </c>
      <c r="N107" s="294">
        <f t="shared" si="49"/>
        <v>0</v>
      </c>
      <c r="O107" s="285">
        <f t="shared" si="49"/>
        <v>3398.2731340000173</v>
      </c>
      <c r="P107" s="286">
        <f t="shared" si="49"/>
        <v>1265.5100000000093</v>
      </c>
      <c r="Q107" s="285">
        <f t="shared" si="49"/>
        <v>632.76000000000931</v>
      </c>
      <c r="R107" s="295"/>
      <c r="S107" s="1" t="s">
        <v>182</v>
      </c>
      <c r="T107" s="339"/>
      <c r="V107" s="308"/>
      <c r="W107" s="308"/>
      <c r="X107" s="308"/>
      <c r="Y107" s="308"/>
    </row>
    <row r="108" spans="1:25" x14ac:dyDescent="0.2">
      <c r="S108" s="257">
        <f>+P89+P95+P101+P107</f>
        <v>2283.5100000000093</v>
      </c>
    </row>
    <row r="109" spans="1:25" x14ac:dyDescent="0.2">
      <c r="A109" s="324" t="s">
        <v>183</v>
      </c>
      <c r="B109" s="126" t="s">
        <v>208</v>
      </c>
      <c r="C109" s="316"/>
      <c r="G109" s="1"/>
      <c r="H109" s="1"/>
      <c r="I109" s="1"/>
      <c r="J109" s="1"/>
      <c r="K109" s="1"/>
      <c r="U109" s="51"/>
      <c r="V109" s="143"/>
      <c r="W109" s="143"/>
      <c r="X109" s="51"/>
    </row>
    <row r="110" spans="1:25" x14ac:dyDescent="0.2">
      <c r="A110" s="15" t="s">
        <v>161</v>
      </c>
      <c r="B110" s="8"/>
      <c r="C110" s="277"/>
      <c r="D110" s="11" t="s">
        <v>19</v>
      </c>
      <c r="E110" s="64" t="s">
        <v>59</v>
      </c>
      <c r="F110" s="11" t="s">
        <v>27</v>
      </c>
      <c r="G110" s="12" t="s">
        <v>35</v>
      </c>
      <c r="H110" s="13" t="s">
        <v>36</v>
      </c>
      <c r="I110" s="13" t="s">
        <v>35</v>
      </c>
      <c r="J110" s="12" t="s">
        <v>36</v>
      </c>
      <c r="K110" s="12" t="s">
        <v>39</v>
      </c>
      <c r="L110" s="12" t="s">
        <v>40</v>
      </c>
      <c r="M110" s="12" t="s">
        <v>42</v>
      </c>
      <c r="N110" s="12" t="s">
        <v>2</v>
      </c>
      <c r="O110" s="278" t="s">
        <v>180</v>
      </c>
      <c r="P110" s="287" t="s">
        <v>163</v>
      </c>
      <c r="Q110" s="287" t="s">
        <v>184</v>
      </c>
      <c r="R110" s="175"/>
      <c r="U110" s="51"/>
      <c r="V110" s="143"/>
      <c r="W110" s="138"/>
      <c r="X110" s="143"/>
    </row>
    <row r="111" spans="1:25" x14ac:dyDescent="0.2">
      <c r="A111" s="23" t="s">
        <v>28</v>
      </c>
      <c r="B111" s="272" t="s">
        <v>176</v>
      </c>
      <c r="C111" s="57" t="s">
        <v>31</v>
      </c>
      <c r="D111" s="57" t="s">
        <v>30</v>
      </c>
      <c r="E111" s="57" t="s">
        <v>158</v>
      </c>
      <c r="F111" s="238" t="s">
        <v>56</v>
      </c>
      <c r="G111" s="222">
        <v>2724943.05</v>
      </c>
      <c r="H111" s="222">
        <v>2811643.4</v>
      </c>
      <c r="I111" s="216">
        <v>1.974</v>
      </c>
      <c r="J111" s="216">
        <v>1.974</v>
      </c>
      <c r="K111" s="348"/>
      <c r="L111" s="342"/>
      <c r="M111" s="342"/>
      <c r="N111" s="348"/>
      <c r="O111" s="340">
        <f>G111*I111+H111*J111</f>
        <v>10929221.6523</v>
      </c>
      <c r="P111" s="341">
        <f>ROUND(G111*I111,2)*8.99%+ROUND(H111*J111,2)*8.83%</f>
        <v>973656.73182300013</v>
      </c>
      <c r="Q111" s="342">
        <f>ROUND(R111*P111,2)</f>
        <v>486828.37</v>
      </c>
      <c r="R111" s="248">
        <v>0.5</v>
      </c>
    </row>
    <row r="112" spans="1:25" x14ac:dyDescent="0.2">
      <c r="A112" s="281" t="s">
        <v>28</v>
      </c>
      <c r="B112" s="290" t="str">
        <f>B111</f>
        <v>57 GAS</v>
      </c>
      <c r="C112" s="291" t="s">
        <v>31</v>
      </c>
      <c r="D112" s="292" t="s">
        <v>186</v>
      </c>
      <c r="E112" s="292"/>
      <c r="F112" s="296" t="str">
        <f>F111</f>
        <v xml:space="preserve"> MM BTU</v>
      </c>
      <c r="G112" s="318">
        <f>+G111</f>
        <v>2724943.05</v>
      </c>
      <c r="H112" s="318">
        <f>+H111</f>
        <v>2811643.4</v>
      </c>
      <c r="I112" s="283">
        <v>3.1179999999999999</v>
      </c>
      <c r="J112" s="283">
        <v>3.1179999999999999</v>
      </c>
      <c r="K112" s="349"/>
      <c r="L112" s="282"/>
      <c r="M112" s="282"/>
      <c r="N112" s="349"/>
      <c r="O112" s="346">
        <f>G112*I112+H112*J112</f>
        <v>17263076.551100001</v>
      </c>
      <c r="P112" s="350">
        <f>ROUND(G112*I112,2)*8.99%+ROUND(H112*J112,2)*8.83%</f>
        <v>1537923.855253</v>
      </c>
      <c r="Q112" s="282">
        <f>ROUND(R112*P112,2)</f>
        <v>768961.93</v>
      </c>
      <c r="R112" s="45">
        <v>0.5</v>
      </c>
    </row>
    <row r="113" spans="1:24" x14ac:dyDescent="0.2">
      <c r="A113" s="284"/>
      <c r="B113" s="103" t="s">
        <v>181</v>
      </c>
      <c r="C113" s="89"/>
      <c r="D113" s="195"/>
      <c r="E113" s="195"/>
      <c r="F113" s="284"/>
      <c r="G113" s="317">
        <f t="shared" ref="G113:P113" si="50">G112-G111</f>
        <v>0</v>
      </c>
      <c r="H113" s="319">
        <f t="shared" si="50"/>
        <v>0</v>
      </c>
      <c r="I113" s="293">
        <f t="shared" si="50"/>
        <v>1.1439999999999999</v>
      </c>
      <c r="J113" s="293">
        <f t="shared" si="50"/>
        <v>1.1439999999999999</v>
      </c>
      <c r="K113" s="293">
        <f t="shared" si="50"/>
        <v>0</v>
      </c>
      <c r="L113" s="293">
        <f t="shared" si="50"/>
        <v>0</v>
      </c>
      <c r="M113" s="293">
        <f t="shared" si="50"/>
        <v>0</v>
      </c>
      <c r="N113" s="294">
        <f t="shared" si="50"/>
        <v>0</v>
      </c>
      <c r="O113" s="211">
        <f t="shared" si="50"/>
        <v>6333854.8988000005</v>
      </c>
      <c r="P113" s="343">
        <f t="shared" si="50"/>
        <v>564267.12342999992</v>
      </c>
      <c r="Q113" s="211">
        <f>Q112-Q111</f>
        <v>282133.56000000006</v>
      </c>
      <c r="R113" s="344"/>
      <c r="S113" s="1" t="s">
        <v>182</v>
      </c>
    </row>
    <row r="115" spans="1:24" x14ac:dyDescent="0.2">
      <c r="A115" s="324" t="s">
        <v>183</v>
      </c>
      <c r="B115" s="126" t="s">
        <v>209</v>
      </c>
      <c r="C115" s="316"/>
      <c r="G115" s="1"/>
      <c r="H115" s="1"/>
      <c r="I115" s="1"/>
      <c r="J115" s="1"/>
      <c r="K115" s="1"/>
      <c r="U115" s="51"/>
      <c r="V115" s="143"/>
      <c r="W115" s="143"/>
      <c r="X115" s="51"/>
    </row>
    <row r="116" spans="1:24" x14ac:dyDescent="0.2">
      <c r="A116" s="15" t="s">
        <v>161</v>
      </c>
      <c r="B116" s="8"/>
      <c r="C116" s="277"/>
      <c r="D116" s="11" t="s">
        <v>19</v>
      </c>
      <c r="E116" s="64" t="s">
        <v>59</v>
      </c>
      <c r="F116" s="11" t="s">
        <v>27</v>
      </c>
      <c r="G116" s="12" t="s">
        <v>35</v>
      </c>
      <c r="H116" s="13" t="s">
        <v>36</v>
      </c>
      <c r="I116" s="13" t="s">
        <v>35</v>
      </c>
      <c r="J116" s="12" t="s">
        <v>36</v>
      </c>
      <c r="K116" s="12" t="s">
        <v>39</v>
      </c>
      <c r="L116" s="12" t="s">
        <v>40</v>
      </c>
      <c r="M116" s="12" t="s">
        <v>42</v>
      </c>
      <c r="N116" s="12" t="s">
        <v>2</v>
      </c>
      <c r="O116" s="278" t="s">
        <v>180</v>
      </c>
      <c r="P116" s="287" t="s">
        <v>163</v>
      </c>
      <c r="Q116" s="287" t="s">
        <v>184</v>
      </c>
      <c r="R116" s="175"/>
      <c r="U116" s="51"/>
      <c r="V116" s="143"/>
      <c r="W116" s="138"/>
      <c r="X116" s="143"/>
    </row>
    <row r="117" spans="1:24" x14ac:dyDescent="0.2">
      <c r="A117" s="23" t="s">
        <v>28</v>
      </c>
      <c r="B117" s="24" t="s">
        <v>159</v>
      </c>
      <c r="C117" s="57" t="s">
        <v>31</v>
      </c>
      <c r="D117" s="57" t="s">
        <v>30</v>
      </c>
      <c r="E117" s="57" t="s">
        <v>158</v>
      </c>
      <c r="F117" s="238" t="s">
        <v>56</v>
      </c>
      <c r="G117" s="222">
        <v>10667901.2116</v>
      </c>
      <c r="H117" s="222">
        <v>10565974.9606</v>
      </c>
      <c r="I117" s="216">
        <v>1.9083000000000001</v>
      </c>
      <c r="J117" s="216">
        <v>1.9083000000000001</v>
      </c>
      <c r="K117" s="222"/>
      <c r="L117" s="222"/>
      <c r="M117" s="222"/>
      <c r="N117" s="222"/>
      <c r="O117" s="224">
        <f>G117*I117+H117*J117</f>
        <v>40520605.899409264</v>
      </c>
      <c r="P117" s="222">
        <f>ROUND(37.24%*(G117*I117+H117*J117),2)</f>
        <v>15089873.640000001</v>
      </c>
      <c r="Q117" s="222">
        <f>ROUND(R117*P117,2)</f>
        <v>7544936.8200000003</v>
      </c>
      <c r="R117" s="223">
        <v>0.5</v>
      </c>
      <c r="U117" s="65"/>
      <c r="V117" s="65"/>
      <c r="W117" s="65"/>
    </row>
    <row r="118" spans="1:24" x14ac:dyDescent="0.2">
      <c r="A118" s="281" t="s">
        <v>28</v>
      </c>
      <c r="B118" s="290" t="str">
        <f>B117</f>
        <v>88 GAS</v>
      </c>
      <c r="C118" s="291" t="s">
        <v>31</v>
      </c>
      <c r="D118" s="292" t="s">
        <v>186</v>
      </c>
      <c r="E118" s="292"/>
      <c r="F118" s="296" t="str">
        <f>F117</f>
        <v xml:space="preserve"> MM BTU</v>
      </c>
      <c r="G118" s="318">
        <f>+G117</f>
        <v>10667901.2116</v>
      </c>
      <c r="H118" s="318">
        <f>+H117</f>
        <v>10565974.9606</v>
      </c>
      <c r="I118" s="283">
        <v>1.909</v>
      </c>
      <c r="J118" s="283">
        <v>1.909</v>
      </c>
      <c r="K118" s="283"/>
      <c r="L118" s="283"/>
      <c r="M118" s="283"/>
      <c r="N118" s="282"/>
      <c r="O118" s="346">
        <f>G118*I118+H118*J118</f>
        <v>40535469.612729803</v>
      </c>
      <c r="P118" s="282">
        <f>ROUND(37.24%*(G118*I118+H118*J118),2)</f>
        <v>15095408.880000001</v>
      </c>
      <c r="Q118" s="282">
        <f>ROUND(R118*P118,2)</f>
        <v>7547704.4400000004</v>
      </c>
      <c r="R118" s="45">
        <v>0.5</v>
      </c>
      <c r="U118" s="65"/>
      <c r="V118" s="65"/>
      <c r="W118" s="65"/>
      <c r="X118" s="65"/>
    </row>
    <row r="119" spans="1:24" x14ac:dyDescent="0.2">
      <c r="A119" s="284"/>
      <c r="B119" s="103" t="s">
        <v>181</v>
      </c>
      <c r="C119" s="89"/>
      <c r="D119" s="195"/>
      <c r="E119" s="195"/>
      <c r="F119" s="284"/>
      <c r="G119" s="317">
        <f t="shared" ref="G119:Q119" si="51">G118-G117</f>
        <v>0</v>
      </c>
      <c r="H119" s="319">
        <f t="shared" si="51"/>
        <v>0</v>
      </c>
      <c r="I119" s="293">
        <f t="shared" si="51"/>
        <v>6.9999999999992291E-4</v>
      </c>
      <c r="J119" s="293">
        <f t="shared" si="51"/>
        <v>6.9999999999992291E-4</v>
      </c>
      <c r="K119" s="293">
        <f t="shared" si="51"/>
        <v>0</v>
      </c>
      <c r="L119" s="293">
        <f t="shared" si="51"/>
        <v>0</v>
      </c>
      <c r="M119" s="293">
        <f t="shared" si="51"/>
        <v>0</v>
      </c>
      <c r="N119" s="294">
        <f t="shared" si="51"/>
        <v>0</v>
      </c>
      <c r="O119" s="211">
        <f t="shared" si="51"/>
        <v>14863.713320538402</v>
      </c>
      <c r="P119" s="343">
        <f t="shared" si="51"/>
        <v>5535.2400000002235</v>
      </c>
      <c r="Q119" s="211">
        <f t="shared" si="51"/>
        <v>2767.6200000001118</v>
      </c>
      <c r="R119" s="344"/>
      <c r="S119" s="1" t="s">
        <v>182</v>
      </c>
    </row>
    <row r="121" spans="1:24" x14ac:dyDescent="0.2">
      <c r="A121" s="324"/>
      <c r="B121" s="126" t="s">
        <v>208</v>
      </c>
      <c r="C121" s="316"/>
      <c r="G121" s="1"/>
      <c r="H121" s="1"/>
      <c r="I121" s="1"/>
      <c r="J121" s="1"/>
      <c r="K121" s="1"/>
      <c r="U121" s="51"/>
      <c r="V121" s="143"/>
      <c r="W121" s="143"/>
      <c r="X121" s="51"/>
    </row>
    <row r="122" spans="1:24" x14ac:dyDescent="0.2">
      <c r="A122" s="15" t="s">
        <v>161</v>
      </c>
      <c r="B122" s="8"/>
      <c r="C122" s="277"/>
      <c r="D122" s="11" t="s">
        <v>19</v>
      </c>
      <c r="E122" s="64" t="s">
        <v>59</v>
      </c>
      <c r="F122" s="11" t="s">
        <v>27</v>
      </c>
      <c r="G122" s="12" t="s">
        <v>35</v>
      </c>
      <c r="H122" s="13" t="s">
        <v>36</v>
      </c>
      <c r="I122" s="13" t="s">
        <v>35</v>
      </c>
      <c r="J122" s="12" t="s">
        <v>36</v>
      </c>
      <c r="K122" s="12" t="s">
        <v>39</v>
      </c>
      <c r="L122" s="12" t="s">
        <v>40</v>
      </c>
      <c r="M122" s="12" t="s">
        <v>42</v>
      </c>
      <c r="N122" s="12" t="s">
        <v>2</v>
      </c>
      <c r="O122" s="278" t="s">
        <v>180</v>
      </c>
      <c r="P122" s="287" t="s">
        <v>163</v>
      </c>
      <c r="Q122" s="287" t="s">
        <v>184</v>
      </c>
      <c r="R122" s="175"/>
      <c r="U122" s="51"/>
      <c r="V122" s="143"/>
      <c r="W122" s="138"/>
      <c r="X122" s="143"/>
    </row>
    <row r="123" spans="1:24" x14ac:dyDescent="0.2">
      <c r="A123" s="23" t="s">
        <v>28</v>
      </c>
      <c r="B123" s="24" t="s">
        <v>159</v>
      </c>
      <c r="C123" s="57" t="s">
        <v>31</v>
      </c>
      <c r="D123" s="57" t="s">
        <v>30</v>
      </c>
      <c r="E123" s="57" t="s">
        <v>158</v>
      </c>
      <c r="F123" s="238" t="s">
        <v>56</v>
      </c>
      <c r="G123" s="222">
        <v>10073302.630000001</v>
      </c>
      <c r="H123" s="222">
        <v>9746635.0399999991</v>
      </c>
      <c r="I123" s="216">
        <v>1.9083000000000001</v>
      </c>
      <c r="J123" s="216">
        <v>1.9083000000000001</v>
      </c>
      <c r="K123" s="222"/>
      <c r="L123" s="222"/>
      <c r="M123" s="222"/>
      <c r="N123" s="222"/>
      <c r="O123" s="340">
        <f>G123*I123+H123*J123</f>
        <v>37822387.055661008</v>
      </c>
      <c r="P123" s="342">
        <f>ROUND(37.24%*(G123*I123+H123*J123),2)</f>
        <v>14085056.939999999</v>
      </c>
      <c r="Q123" s="342">
        <f>ROUND(R123*P123,2)</f>
        <v>7042528.4699999997</v>
      </c>
      <c r="R123" s="248">
        <v>0.5</v>
      </c>
      <c r="U123" s="65"/>
      <c r="V123" s="65"/>
      <c r="W123" s="65"/>
    </row>
    <row r="124" spans="1:24" x14ac:dyDescent="0.2">
      <c r="A124" s="281" t="s">
        <v>28</v>
      </c>
      <c r="B124" s="290" t="str">
        <f>B123</f>
        <v>88 GAS</v>
      </c>
      <c r="C124" s="291" t="s">
        <v>31</v>
      </c>
      <c r="D124" s="292" t="s">
        <v>186</v>
      </c>
      <c r="E124" s="292"/>
      <c r="F124" s="296" t="str">
        <f>F123</f>
        <v xml:space="preserve"> MM BTU</v>
      </c>
      <c r="G124" s="318">
        <f>+G123</f>
        <v>10073302.630000001</v>
      </c>
      <c r="H124" s="318">
        <f>+H123</f>
        <v>9746635.0399999991</v>
      </c>
      <c r="I124" s="283">
        <v>1.9641</v>
      </c>
      <c r="J124" s="283">
        <v>1.9641</v>
      </c>
      <c r="K124" s="283"/>
      <c r="L124" s="283"/>
      <c r="M124" s="283"/>
      <c r="N124" s="282"/>
      <c r="O124" s="346">
        <f>G124*I124+H124*J124</f>
        <v>38928339.577647001</v>
      </c>
      <c r="P124" s="282">
        <f>ROUND(37.24%*(G124*I124+H124*J124),2)</f>
        <v>14496913.66</v>
      </c>
      <c r="Q124" s="282">
        <f>ROUND(R124*P124,2)</f>
        <v>7248456.8300000001</v>
      </c>
      <c r="R124" s="45">
        <v>0.5</v>
      </c>
      <c r="U124" s="65"/>
      <c r="V124" s="65"/>
      <c r="W124" s="65"/>
      <c r="X124" s="65"/>
    </row>
    <row r="125" spans="1:24" x14ac:dyDescent="0.2">
      <c r="A125" s="284"/>
      <c r="B125" s="103" t="s">
        <v>181</v>
      </c>
      <c r="C125" s="89"/>
      <c r="D125" s="195"/>
      <c r="E125" s="195"/>
      <c r="F125" s="284"/>
      <c r="G125" s="317">
        <f t="shared" ref="G125:Q125" si="52">G124-G123</f>
        <v>0</v>
      </c>
      <c r="H125" s="319">
        <f t="shared" si="52"/>
        <v>0</v>
      </c>
      <c r="I125" s="293">
        <f t="shared" si="52"/>
        <v>5.579999999999985E-2</v>
      </c>
      <c r="J125" s="293">
        <f t="shared" si="52"/>
        <v>5.579999999999985E-2</v>
      </c>
      <c r="K125" s="293">
        <f t="shared" si="52"/>
        <v>0</v>
      </c>
      <c r="L125" s="293">
        <f t="shared" si="52"/>
        <v>0</v>
      </c>
      <c r="M125" s="293">
        <f t="shared" si="52"/>
        <v>0</v>
      </c>
      <c r="N125" s="294">
        <f t="shared" si="52"/>
        <v>0</v>
      </c>
      <c r="O125" s="211">
        <f t="shared" si="52"/>
        <v>1105952.5219859928</v>
      </c>
      <c r="P125" s="343">
        <f t="shared" si="52"/>
        <v>411856.72000000067</v>
      </c>
      <c r="Q125" s="211">
        <f t="shared" si="52"/>
        <v>205928.36000000034</v>
      </c>
      <c r="R125" s="344"/>
      <c r="S125" s="1" t="s">
        <v>182</v>
      </c>
    </row>
    <row r="126" spans="1:24" x14ac:dyDescent="0.2">
      <c r="S126" s="257">
        <f>+P119+P125</f>
        <v>417391.96000000089</v>
      </c>
    </row>
    <row r="127" spans="1:24" x14ac:dyDescent="0.2">
      <c r="A127" s="324" t="s">
        <v>183</v>
      </c>
      <c r="B127" s="126" t="s">
        <v>208</v>
      </c>
      <c r="C127" s="316"/>
      <c r="G127" s="1"/>
      <c r="H127" s="1"/>
      <c r="I127" s="1"/>
      <c r="J127" s="1"/>
      <c r="K127" s="1"/>
      <c r="U127" s="51"/>
      <c r="V127" s="143"/>
      <c r="W127" s="143"/>
      <c r="X127" s="51"/>
    </row>
    <row r="128" spans="1:24" x14ac:dyDescent="0.2">
      <c r="A128" s="15" t="s">
        <v>161</v>
      </c>
      <c r="B128" s="8"/>
      <c r="C128" s="277"/>
      <c r="D128" s="11" t="s">
        <v>19</v>
      </c>
      <c r="E128" s="64" t="s">
        <v>59</v>
      </c>
      <c r="F128" s="11" t="s">
        <v>27</v>
      </c>
      <c r="G128" s="12" t="s">
        <v>35</v>
      </c>
      <c r="H128" s="13" t="s">
        <v>36</v>
      </c>
      <c r="I128" s="13" t="s">
        <v>35</v>
      </c>
      <c r="J128" s="12" t="s">
        <v>36</v>
      </c>
      <c r="K128" s="12" t="s">
        <v>39</v>
      </c>
      <c r="L128" s="12" t="s">
        <v>40</v>
      </c>
      <c r="M128" s="12" t="s">
        <v>42</v>
      </c>
      <c r="N128" s="12" t="s">
        <v>2</v>
      </c>
      <c r="O128" s="278" t="s">
        <v>180</v>
      </c>
      <c r="P128" s="287" t="s">
        <v>163</v>
      </c>
      <c r="Q128" s="287" t="s">
        <v>184</v>
      </c>
      <c r="R128" s="175"/>
      <c r="U128" s="51"/>
      <c r="V128" s="143"/>
      <c r="W128" s="138"/>
      <c r="X128" s="143"/>
    </row>
    <row r="129" spans="1:21" x14ac:dyDescent="0.2">
      <c r="A129" s="23" t="s">
        <v>28</v>
      </c>
      <c r="B129" s="28" t="s">
        <v>175</v>
      </c>
      <c r="C129" s="57" t="s">
        <v>31</v>
      </c>
      <c r="D129" s="57" t="s">
        <v>30</v>
      </c>
      <c r="E129" s="57" t="s">
        <v>158</v>
      </c>
      <c r="F129" s="238" t="s">
        <v>37</v>
      </c>
      <c r="G129" s="222">
        <v>174422</v>
      </c>
      <c r="H129" s="222">
        <v>182442</v>
      </c>
      <c r="I129" s="216">
        <v>37.166200000000003</v>
      </c>
      <c r="J129" s="216">
        <v>39.107700000000001</v>
      </c>
      <c r="K129" s="348"/>
      <c r="L129" s="342"/>
      <c r="M129" s="342"/>
      <c r="N129" s="348"/>
      <c r="O129" s="340">
        <f>G129*I129+H129*J129</f>
        <v>13617489.939800002</v>
      </c>
      <c r="P129" s="341">
        <f>ROUND(G129*I129,2)*6.05%+ROUND(H129*J129,2)*6.01%</f>
        <v>821004.18657000002</v>
      </c>
      <c r="Q129" s="342">
        <f>ROUND(R129*P129,2)</f>
        <v>410502.09</v>
      </c>
      <c r="R129" s="248">
        <v>0.5</v>
      </c>
    </row>
    <row r="130" spans="1:21" x14ac:dyDescent="0.2">
      <c r="A130" s="281" t="s">
        <v>28</v>
      </c>
      <c r="B130" s="290" t="str">
        <f>B129</f>
        <v>57 LGN</v>
      </c>
      <c r="C130" s="291" t="s">
        <v>31</v>
      </c>
      <c r="D130" s="292" t="s">
        <v>186</v>
      </c>
      <c r="E130" s="292"/>
      <c r="F130" s="296" t="str">
        <f>F129</f>
        <v>Bls</v>
      </c>
      <c r="G130" s="318">
        <f>+G129</f>
        <v>174422</v>
      </c>
      <c r="H130" s="318">
        <f>+H129</f>
        <v>182442</v>
      </c>
      <c r="I130" s="283">
        <v>37.453600000000002</v>
      </c>
      <c r="J130" s="283">
        <v>39.395099999999999</v>
      </c>
      <c r="K130" s="349"/>
      <c r="L130" s="282"/>
      <c r="M130" s="282"/>
      <c r="N130" s="349"/>
      <c r="O130" s="346">
        <f>G130*I130+H130*J130</f>
        <v>13720052.6534</v>
      </c>
      <c r="P130" s="350">
        <f>ROUND(G130*I130,2)*6.05%+ROUND(H130*J130,2)*6.01%</f>
        <v>827188.25699299993</v>
      </c>
      <c r="Q130" s="282">
        <f>ROUND(R130*P130,2)</f>
        <v>413594.13</v>
      </c>
      <c r="R130" s="45">
        <v>0.5</v>
      </c>
    </row>
    <row r="131" spans="1:21" x14ac:dyDescent="0.2">
      <c r="A131" s="284"/>
      <c r="B131" s="103" t="s">
        <v>181</v>
      </c>
      <c r="C131" s="89"/>
      <c r="D131" s="195"/>
      <c r="E131" s="195"/>
      <c r="F131" s="284"/>
      <c r="G131" s="317">
        <f t="shared" ref="G131:P131" si="53">G130-G129</f>
        <v>0</v>
      </c>
      <c r="H131" s="319">
        <f t="shared" si="53"/>
        <v>0</v>
      </c>
      <c r="I131" s="293">
        <f t="shared" si="53"/>
        <v>0.2873999999999981</v>
      </c>
      <c r="J131" s="293">
        <f t="shared" si="53"/>
        <v>0.2873999999999981</v>
      </c>
      <c r="K131" s="293">
        <f t="shared" si="53"/>
        <v>0</v>
      </c>
      <c r="L131" s="293">
        <f t="shared" si="53"/>
        <v>0</v>
      </c>
      <c r="M131" s="293">
        <f t="shared" si="53"/>
        <v>0</v>
      </c>
      <c r="N131" s="294">
        <f t="shared" si="53"/>
        <v>0</v>
      </c>
      <c r="O131" s="211">
        <f t="shared" si="53"/>
        <v>102562.7135999985</v>
      </c>
      <c r="P131" s="343">
        <f t="shared" si="53"/>
        <v>6184.0704229999101</v>
      </c>
      <c r="Q131" s="211">
        <f>Q130-Q129</f>
        <v>3092.039999999979</v>
      </c>
      <c r="R131" s="344"/>
      <c r="S131" s="1" t="s">
        <v>182</v>
      </c>
    </row>
    <row r="133" spans="1:21" x14ac:dyDescent="0.2">
      <c r="A133" s="324" t="s">
        <v>201</v>
      </c>
      <c r="B133" s="126" t="s">
        <v>208</v>
      </c>
      <c r="G133" s="1"/>
      <c r="H133" s="1"/>
      <c r="I133" s="1"/>
      <c r="J133" s="1"/>
      <c r="K133" s="1"/>
    </row>
    <row r="134" spans="1:21" x14ac:dyDescent="0.2">
      <c r="A134" s="15" t="s">
        <v>161</v>
      </c>
      <c r="B134" s="8"/>
      <c r="C134" s="277"/>
      <c r="D134" s="11" t="s">
        <v>19</v>
      </c>
      <c r="E134" s="64" t="s">
        <v>59</v>
      </c>
      <c r="F134" s="11" t="s">
        <v>27</v>
      </c>
      <c r="G134" s="12"/>
      <c r="H134" s="13"/>
      <c r="I134" s="13"/>
      <c r="J134" s="12"/>
      <c r="K134" s="12" t="s">
        <v>39</v>
      </c>
      <c r="L134" s="12" t="s">
        <v>40</v>
      </c>
      <c r="M134" s="12" t="s">
        <v>42</v>
      </c>
      <c r="N134" s="12" t="s">
        <v>2</v>
      </c>
      <c r="O134" s="278" t="s">
        <v>180</v>
      </c>
      <c r="P134" s="287" t="s">
        <v>163</v>
      </c>
      <c r="Q134" s="287" t="s">
        <v>43</v>
      </c>
      <c r="R134" s="175"/>
      <c r="S134" s="287" t="s">
        <v>44</v>
      </c>
      <c r="T134" s="175"/>
    </row>
    <row r="135" spans="1:21" x14ac:dyDescent="0.2">
      <c r="A135" s="279" t="s">
        <v>28</v>
      </c>
      <c r="B135" s="280" t="s">
        <v>210</v>
      </c>
      <c r="C135" s="57" t="s">
        <v>31</v>
      </c>
      <c r="D135" s="57" t="s">
        <v>21</v>
      </c>
      <c r="E135" s="57" t="s">
        <v>101</v>
      </c>
      <c r="F135" s="236" t="s">
        <v>37</v>
      </c>
      <c r="G135" s="215">
        <v>46539</v>
      </c>
      <c r="H135" s="215">
        <v>63257</v>
      </c>
      <c r="I135" s="353">
        <v>61.026800000000001</v>
      </c>
      <c r="J135" s="354">
        <v>62.637700000000002</v>
      </c>
      <c r="K135" s="222"/>
      <c r="L135" s="222"/>
      <c r="M135" s="222"/>
      <c r="N135" s="215"/>
      <c r="O135" s="340">
        <f>ROUND(G135*I135,2)+ROUND(H135*J135,2)-K135-L135-M135-N135</f>
        <v>6802399.2400000002</v>
      </c>
      <c r="P135" s="342">
        <f>ROUND(18.75%*O135,2)</f>
        <v>1275449.8600000001</v>
      </c>
      <c r="Q135" s="342">
        <f>ROUND($O135*R135,2)</f>
        <v>1020359.89</v>
      </c>
      <c r="R135" s="248">
        <v>0.15</v>
      </c>
      <c r="S135" s="342">
        <f>ROUND($O135*T135,2)</f>
        <v>255089.97</v>
      </c>
      <c r="T135" s="345">
        <v>3.7499999999999999E-2</v>
      </c>
    </row>
    <row r="136" spans="1:21" x14ac:dyDescent="0.2">
      <c r="A136" s="281" t="s">
        <v>28</v>
      </c>
      <c r="B136" s="290" t="str">
        <f>B135</f>
        <v>VII-VI Petroleo</v>
      </c>
      <c r="C136" s="57" t="s">
        <v>31</v>
      </c>
      <c r="D136" s="57" t="s">
        <v>21</v>
      </c>
      <c r="E136" s="57" t="s">
        <v>101</v>
      </c>
      <c r="F136" s="296" t="str">
        <f>F135</f>
        <v>Bls</v>
      </c>
      <c r="G136" s="282">
        <f>+G135</f>
        <v>46539</v>
      </c>
      <c r="H136" s="282">
        <f>+H135</f>
        <v>63257</v>
      </c>
      <c r="I136" s="355">
        <v>60.811900000000001</v>
      </c>
      <c r="J136" s="355">
        <v>62.422800000000002</v>
      </c>
      <c r="K136" s="283"/>
      <c r="L136" s="283"/>
      <c r="M136" s="283"/>
      <c r="N136" s="282"/>
      <c r="O136" s="346">
        <f>ROUND(G136*I136,2)+ROUND(H136*J136,2)-K136-L136-M136-N136</f>
        <v>6778804.0700000003</v>
      </c>
      <c r="P136" s="282">
        <f>ROUND(18.75%*O136,2)</f>
        <v>1271025.76</v>
      </c>
      <c r="Q136" s="282">
        <f>ROUND($O136*R136,2)</f>
        <v>1016820.61</v>
      </c>
      <c r="R136" s="45">
        <v>0.15</v>
      </c>
      <c r="S136" s="282">
        <f>ROUND($O136*T136,2)</f>
        <v>254205.15</v>
      </c>
      <c r="T136" s="347">
        <v>3.7499999999999999E-2</v>
      </c>
    </row>
    <row r="137" spans="1:21" x14ac:dyDescent="0.2">
      <c r="A137" s="284"/>
      <c r="B137" s="103" t="s">
        <v>181</v>
      </c>
      <c r="C137" s="89"/>
      <c r="D137" s="195"/>
      <c r="E137" s="195"/>
      <c r="F137" s="284"/>
      <c r="G137" s="317">
        <f>+G136-G135</f>
        <v>0</v>
      </c>
      <c r="H137" s="317">
        <f>+H136-H135</f>
        <v>0</v>
      </c>
      <c r="I137" s="285">
        <f>+I136-I135</f>
        <v>-0.21490000000000009</v>
      </c>
      <c r="J137" s="285">
        <f>+J136-J135</f>
        <v>-0.21490000000000009</v>
      </c>
      <c r="K137" s="320">
        <f t="shared" ref="K137:Q137" si="54">K136-K135</f>
        <v>0</v>
      </c>
      <c r="L137" s="320">
        <f t="shared" si="54"/>
        <v>0</v>
      </c>
      <c r="M137" s="320">
        <f t="shared" si="54"/>
        <v>0</v>
      </c>
      <c r="N137" s="211">
        <f t="shared" si="54"/>
        <v>0</v>
      </c>
      <c r="O137" s="285">
        <f t="shared" si="54"/>
        <v>-23595.169999999925</v>
      </c>
      <c r="P137" s="286">
        <f t="shared" si="54"/>
        <v>-4424.1000000000931</v>
      </c>
      <c r="Q137" s="285">
        <f t="shared" si="54"/>
        <v>-3539.2800000000279</v>
      </c>
      <c r="R137" s="295"/>
      <c r="S137" s="315">
        <f>+S136-S135</f>
        <v>-884.82000000000698</v>
      </c>
      <c r="T137" s="313"/>
      <c r="U137" s="1" t="s">
        <v>182</v>
      </c>
    </row>
    <row r="139" spans="1:21" x14ac:dyDescent="0.2">
      <c r="A139" s="324" t="s">
        <v>199</v>
      </c>
      <c r="B139" s="126" t="s">
        <v>211</v>
      </c>
      <c r="G139" s="1"/>
      <c r="H139" s="1"/>
      <c r="I139" s="1"/>
      <c r="J139" s="1"/>
      <c r="K139" s="1"/>
    </row>
    <row r="140" spans="1:21" x14ac:dyDescent="0.2">
      <c r="A140" s="15" t="s">
        <v>191</v>
      </c>
      <c r="B140" s="8"/>
      <c r="C140" s="277"/>
      <c r="D140" s="11" t="s">
        <v>19</v>
      </c>
      <c r="E140" s="64" t="s">
        <v>59</v>
      </c>
      <c r="F140" s="11" t="s">
        <v>27</v>
      </c>
      <c r="G140" s="12" t="s">
        <v>35</v>
      </c>
      <c r="H140" s="13" t="s">
        <v>36</v>
      </c>
      <c r="I140" s="13" t="s">
        <v>35</v>
      </c>
      <c r="J140" s="12" t="s">
        <v>36</v>
      </c>
      <c r="K140" s="12" t="s">
        <v>39</v>
      </c>
      <c r="L140" s="12" t="s">
        <v>40</v>
      </c>
      <c r="M140" s="12" t="s">
        <v>42</v>
      </c>
      <c r="N140" s="12" t="s">
        <v>2</v>
      </c>
      <c r="O140" s="278" t="s">
        <v>180</v>
      </c>
      <c r="P140" s="287" t="s">
        <v>163</v>
      </c>
      <c r="Q140" s="287" t="s">
        <v>47</v>
      </c>
      <c r="R140" s="175"/>
      <c r="S140" s="287" t="s">
        <v>48</v>
      </c>
      <c r="T140" s="175"/>
    </row>
    <row r="141" spans="1:21" x14ac:dyDescent="0.2">
      <c r="A141" s="279" t="s">
        <v>28</v>
      </c>
      <c r="B141" s="280" t="s">
        <v>164</v>
      </c>
      <c r="C141" s="57" t="s">
        <v>31</v>
      </c>
      <c r="D141" s="57" t="s">
        <v>21</v>
      </c>
      <c r="E141" s="57" t="s">
        <v>101</v>
      </c>
      <c r="F141" s="236" t="s">
        <v>37</v>
      </c>
      <c r="G141" s="215">
        <v>1368</v>
      </c>
      <c r="H141" s="215"/>
      <c r="I141" s="217">
        <v>50.715499999999999</v>
      </c>
      <c r="J141" s="216"/>
      <c r="K141" s="222"/>
      <c r="L141" s="222"/>
      <c r="M141" s="222"/>
      <c r="N141" s="215"/>
      <c r="O141" s="224">
        <f>ROUND(G141*I141,2)+ROUND(H141*J141,2)-K141-L141-M141-N141</f>
        <v>69378.8</v>
      </c>
      <c r="P141" s="222">
        <f>ROUND(18.75%*O141,2)</f>
        <v>13008.53</v>
      </c>
      <c r="Q141" s="222">
        <f>ROUND($O141*R141,2)</f>
        <v>10406.82</v>
      </c>
      <c r="R141" s="223">
        <v>0.15</v>
      </c>
      <c r="S141" s="222">
        <f>ROUND($O141*T141,2)</f>
        <v>2601.71</v>
      </c>
      <c r="T141" s="258">
        <v>3.7499999999999999E-2</v>
      </c>
    </row>
    <row r="142" spans="1:21" x14ac:dyDescent="0.2">
      <c r="A142" s="281" t="s">
        <v>28</v>
      </c>
      <c r="B142" s="290" t="str">
        <f>+B141</f>
        <v>31-E</v>
      </c>
      <c r="C142" s="57" t="s">
        <v>31</v>
      </c>
      <c r="D142" s="57" t="s">
        <v>186</v>
      </c>
      <c r="E142" s="57"/>
      <c r="F142" s="296" t="str">
        <f>F141</f>
        <v>Bls</v>
      </c>
      <c r="G142" s="282">
        <f>+G141</f>
        <v>1368</v>
      </c>
      <c r="H142" s="282"/>
      <c r="I142" s="355">
        <v>51.631900000000002</v>
      </c>
      <c r="J142" s="355"/>
      <c r="K142" s="283"/>
      <c r="L142" s="283"/>
      <c r="M142" s="283"/>
      <c r="N142" s="282"/>
      <c r="O142" s="346">
        <f>ROUND(G142*I142,2)+ROUND(H142*J142,2)-K142-L142-M142-N142</f>
        <v>70632.44</v>
      </c>
      <c r="P142" s="282">
        <f>ROUND(18.75%*O142,2)</f>
        <v>13243.58</v>
      </c>
      <c r="Q142" s="282">
        <f>ROUND($O142*R142,2)</f>
        <v>10594.87</v>
      </c>
      <c r="R142" s="45">
        <v>0.15</v>
      </c>
      <c r="S142" s="282">
        <f>ROUND($O142*T142,2)</f>
        <v>2648.72</v>
      </c>
      <c r="T142" s="347">
        <v>3.7499999999999999E-2</v>
      </c>
    </row>
    <row r="143" spans="1:21" x14ac:dyDescent="0.2">
      <c r="A143" s="284"/>
      <c r="B143" s="103"/>
      <c r="C143" s="89"/>
      <c r="D143" s="195"/>
      <c r="E143" s="195"/>
      <c r="F143" s="284"/>
      <c r="G143" s="317">
        <f>+G142-G141</f>
        <v>0</v>
      </c>
      <c r="H143" s="317">
        <f>+H142-H141</f>
        <v>0</v>
      </c>
      <c r="I143" s="285">
        <f>+I142-I141</f>
        <v>0.91640000000000299</v>
      </c>
      <c r="J143" s="285">
        <f>+J142-J141</f>
        <v>0</v>
      </c>
      <c r="K143" s="320"/>
      <c r="L143" s="320"/>
      <c r="M143" s="320"/>
      <c r="N143" s="211"/>
      <c r="O143" s="285">
        <f>+O142-O141</f>
        <v>1253.6399999999994</v>
      </c>
      <c r="P143" s="286">
        <f>+P142-P141</f>
        <v>235.04999999999927</v>
      </c>
      <c r="Q143" s="285">
        <f>+Q142-Q141</f>
        <v>188.05000000000109</v>
      </c>
      <c r="R143" s="295"/>
      <c r="S143" s="315">
        <f>+S142-S141</f>
        <v>47.009999999999764</v>
      </c>
      <c r="T143" s="313"/>
      <c r="U143" s="1" t="s">
        <v>182</v>
      </c>
    </row>
    <row r="144" spans="1:21" x14ac:dyDescent="0.2">
      <c r="A144" s="114"/>
      <c r="C144" s="114"/>
      <c r="D144" s="114"/>
      <c r="E144" s="114"/>
      <c r="F144" s="114"/>
      <c r="G144" s="209"/>
      <c r="H144" s="209"/>
      <c r="I144" s="209"/>
      <c r="J144" s="209"/>
      <c r="K144" s="359"/>
      <c r="L144" s="359"/>
      <c r="M144" s="359"/>
      <c r="N144" s="209"/>
      <c r="O144" s="209"/>
      <c r="P144" s="361"/>
      <c r="Q144" s="209"/>
      <c r="R144" s="362"/>
      <c r="S144" s="314"/>
    </row>
    <row r="146" spans="14:19" x14ac:dyDescent="0.2">
      <c r="N146" s="1" t="s">
        <v>1</v>
      </c>
      <c r="O146" s="179">
        <f>+O89+O95+O101+O107+O113+O119+O125+O131+O137+O143</f>
        <v>7541024.2115325304</v>
      </c>
      <c r="P146" s="179">
        <f>+P89+P95+P101+P107+P113+P119+P125+P131+P137+P143</f>
        <v>985937.61385300069</v>
      </c>
      <c r="Q146" s="179">
        <f>+Q89+Q95+Q101+Q107+Q113+Q119+Q125+Q131+Q137+Q143</f>
        <v>491712.11000000045</v>
      </c>
      <c r="R146" s="179"/>
      <c r="S146" s="179">
        <f>+S137+S143</f>
        <v>-837.81000000000722</v>
      </c>
    </row>
    <row r="149" spans="14:19" x14ac:dyDescent="0.2">
      <c r="N149" s="1" t="s">
        <v>202</v>
      </c>
      <c r="O149" s="309">
        <f>+O137</f>
        <v>-23595.169999999925</v>
      </c>
      <c r="P149" s="309">
        <f>+P137</f>
        <v>-4424.1000000000931</v>
      </c>
      <c r="Q149" s="309">
        <f>+Q137</f>
        <v>-3539.2800000000279</v>
      </c>
      <c r="R149" s="309"/>
      <c r="S149" s="309">
        <f>+S137</f>
        <v>-884.82000000000698</v>
      </c>
    </row>
    <row r="150" spans="14:19" x14ac:dyDescent="0.2">
      <c r="O150" s="300">
        <f>+O149</f>
        <v>-23595.169999999925</v>
      </c>
      <c r="P150" s="300">
        <f>+P149</f>
        <v>-4424.1000000000931</v>
      </c>
      <c r="Q150" s="300">
        <f>+Q149</f>
        <v>-3539.2800000000279</v>
      </c>
      <c r="R150" s="300"/>
      <c r="S150" s="300">
        <f>+S149</f>
        <v>-884.82000000000698</v>
      </c>
    </row>
    <row r="151" spans="14:19" x14ac:dyDescent="0.2">
      <c r="O151" s="300"/>
      <c r="P151" s="300"/>
      <c r="Q151" s="300"/>
      <c r="R151" s="300"/>
      <c r="S151" s="300"/>
    </row>
    <row r="152" spans="14:19" x14ac:dyDescent="0.2">
      <c r="N152" s="1" t="s">
        <v>212</v>
      </c>
      <c r="O152" s="309">
        <f>+O143</f>
        <v>1253.6399999999994</v>
      </c>
      <c r="P152" s="309">
        <f>+P143</f>
        <v>235.04999999999927</v>
      </c>
      <c r="Q152" s="309">
        <f>+Q143</f>
        <v>188.05000000000109</v>
      </c>
      <c r="R152" s="309"/>
      <c r="S152" s="309">
        <f>+S143</f>
        <v>47.009999999999764</v>
      </c>
    </row>
    <row r="153" spans="14:19" x14ac:dyDescent="0.2">
      <c r="O153" s="300">
        <f>+O152</f>
        <v>1253.6399999999994</v>
      </c>
      <c r="P153" s="300">
        <f>+P152</f>
        <v>235.04999999999927</v>
      </c>
      <c r="Q153" s="300">
        <f>+Q152</f>
        <v>188.05000000000109</v>
      </c>
      <c r="R153" s="300"/>
      <c r="S153" s="300">
        <f>+S152</f>
        <v>47.009999999999764</v>
      </c>
    </row>
    <row r="154" spans="14:19" x14ac:dyDescent="0.2">
      <c r="O154" s="300"/>
      <c r="P154" s="300"/>
      <c r="Q154" s="300"/>
      <c r="R154" s="300"/>
      <c r="S154" s="300"/>
    </row>
    <row r="155" spans="14:19" x14ac:dyDescent="0.2">
      <c r="N155" s="1" t="s">
        <v>203</v>
      </c>
      <c r="O155" s="179">
        <f>+O89+O95+O101+O107</f>
        <v>6131.8938260000432</v>
      </c>
      <c r="P155" s="179">
        <f>+P89+P95+P101+P107</f>
        <v>2283.5100000000093</v>
      </c>
      <c r="Q155" s="179">
        <f>+Q89+Q95+Q101+Q107</f>
        <v>1141.7600000000093</v>
      </c>
      <c r="R155" s="179"/>
      <c r="S155" s="179"/>
    </row>
    <row r="156" spans="14:19" x14ac:dyDescent="0.2">
      <c r="N156" s="1" t="s">
        <v>188</v>
      </c>
      <c r="O156" s="257">
        <f>+O113</f>
        <v>6333854.8988000005</v>
      </c>
      <c r="P156" s="257">
        <f>+P113</f>
        <v>564267.12342999992</v>
      </c>
      <c r="Q156" s="257">
        <f>+Q113</f>
        <v>282133.56000000006</v>
      </c>
      <c r="R156" s="322"/>
      <c r="S156" s="322"/>
    </row>
    <row r="157" spans="14:19" x14ac:dyDescent="0.2">
      <c r="N157" s="1" t="s">
        <v>200</v>
      </c>
      <c r="O157" s="179">
        <f>+O131</f>
        <v>102562.7135999985</v>
      </c>
      <c r="P157" s="179">
        <f>+P131</f>
        <v>6184.0704229999101</v>
      </c>
      <c r="Q157" s="179">
        <f>+Q131</f>
        <v>3092.039999999979</v>
      </c>
      <c r="R157" s="179"/>
      <c r="S157" s="179"/>
    </row>
    <row r="158" spans="14:19" x14ac:dyDescent="0.2">
      <c r="N158" s="1" t="s">
        <v>198</v>
      </c>
      <c r="O158" s="299">
        <f>+O119+O125</f>
        <v>1120816.2353065312</v>
      </c>
      <c r="P158" s="299">
        <f>+P119+P125</f>
        <v>417391.96000000089</v>
      </c>
      <c r="Q158" s="299">
        <f>+Q119+Q125</f>
        <v>208695.98000000045</v>
      </c>
      <c r="R158" s="257"/>
      <c r="S158" s="257"/>
    </row>
    <row r="159" spans="14:19" x14ac:dyDescent="0.2">
      <c r="O159" s="300">
        <f>SUM(O155:O158)</f>
        <v>7563365.7415325306</v>
      </c>
      <c r="P159" s="300">
        <f>SUM(P155:P158)</f>
        <v>990126.66385300073</v>
      </c>
      <c r="Q159" s="300">
        <f>SUM(Q155:Q158)</f>
        <v>495063.34000000049</v>
      </c>
    </row>
    <row r="161" spans="14:20" x14ac:dyDescent="0.2">
      <c r="N161" s="1" t="s">
        <v>1</v>
      </c>
      <c r="O161" s="65">
        <f>+O159+O150+O153</f>
        <v>7541024.2115325304</v>
      </c>
      <c r="P161" s="65">
        <f>+P159+P150+P153</f>
        <v>985937.61385300069</v>
      </c>
      <c r="Q161" s="65">
        <f>+Q159+Q150+Q153</f>
        <v>491712.11000000045</v>
      </c>
      <c r="R161" s="65"/>
      <c r="S161" s="65">
        <f>+S159+S150+S153</f>
        <v>-837.81000000000722</v>
      </c>
      <c r="T161" s="65"/>
    </row>
    <row r="163" spans="14:20" x14ac:dyDescent="0.2">
      <c r="N163" s="1" t="s">
        <v>204</v>
      </c>
      <c r="O163" s="257">
        <f>+O161-O146</f>
        <v>0</v>
      </c>
      <c r="P163" s="257">
        <f>+P161-P146</f>
        <v>0</v>
      </c>
      <c r="Q163" s="257">
        <f>+Q161-Q146</f>
        <v>0</v>
      </c>
      <c r="R163" s="257"/>
      <c r="S163" s="257">
        <f>+S161-S146</f>
        <v>0</v>
      </c>
    </row>
    <row r="165" spans="14:20" ht="15" customHeight="1" x14ac:dyDescent="0.2"/>
  </sheetData>
  <mergeCells count="2">
    <mergeCell ref="C7:C8"/>
    <mergeCell ref="O7:O8"/>
  </mergeCells>
  <printOptions horizontalCentered="1" verticalCentered="1"/>
  <pageMargins left="0.23622047244094491" right="0.23622047244094491" top="0.51181102362204722" bottom="0.51181102362204722" header="0" footer="0"/>
  <pageSetup paperSize="9" scale="54"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513"/>
  <sheetViews>
    <sheetView view="pageBreakPreview" zoomScale="160" zoomScaleNormal="95" zoomScaleSheetLayoutView="160" workbookViewId="0">
      <selection activeCell="G10" sqref="G10"/>
    </sheetView>
  </sheetViews>
  <sheetFormatPr baseColWidth="10" defaultColWidth="8.77734375" defaultRowHeight="12.75" x14ac:dyDescent="0.2"/>
  <cols>
    <col min="1" max="1" width="3" style="1" customWidth="1"/>
    <col min="2" max="2" width="16.109375" style="1" customWidth="1"/>
    <col min="3" max="3" width="7.77734375" style="1" customWidth="1"/>
    <col min="4" max="4" width="8.109375" style="1" customWidth="1"/>
    <col min="5" max="5" width="8.77734375" style="1" customWidth="1"/>
    <col min="6" max="6" width="8.44140625" style="1" customWidth="1"/>
    <col min="7" max="8" width="11.77734375" style="199" customWidth="1"/>
    <col min="9" max="9" width="12.109375" style="199" customWidth="1"/>
    <col min="10" max="10" width="10.44140625" style="199" customWidth="1"/>
    <col min="11" max="11" width="10.44140625" style="199" hidden="1" customWidth="1"/>
    <col min="12" max="13" width="10.44140625" style="1" hidden="1" customWidth="1"/>
    <col min="14" max="14" width="10.44140625" style="1" customWidth="1"/>
    <col min="15" max="15" width="13.109375" style="1" customWidth="1"/>
    <col min="16" max="17" width="11.5546875" style="1" customWidth="1"/>
    <col min="18" max="18" width="5.77734375" style="1" customWidth="1"/>
    <col min="19" max="19" width="11.5546875" style="1" customWidth="1"/>
    <col min="20" max="20" width="5.77734375" style="1" customWidth="1"/>
    <col min="21" max="21" width="11.109375" style="1" hidden="1" customWidth="1"/>
    <col min="22" max="23" width="10.77734375" style="1" hidden="1" customWidth="1"/>
    <col min="24" max="24" width="10.5546875" style="1" hidden="1" customWidth="1"/>
    <col min="25" max="25" width="8.77734375" style="1" hidden="1" customWidth="1"/>
    <col min="26" max="26" width="9.5546875" style="1" hidden="1" customWidth="1"/>
    <col min="27" max="34" width="8.77734375" style="1" hidden="1" customWidth="1"/>
    <col min="35" max="35" width="10.109375" style="1" hidden="1" customWidth="1"/>
    <col min="36" max="36" width="9.109375" style="1" customWidth="1"/>
    <col min="37" max="37" width="11.109375" style="1" customWidth="1"/>
    <col min="38" max="38" width="10.77734375" style="1" customWidth="1"/>
    <col min="39" max="16384" width="8.77734375" style="1"/>
  </cols>
  <sheetData>
    <row r="1" spans="1:37" ht="12.75" customHeight="1" x14ac:dyDescent="0.2">
      <c r="A1" s="1" t="s">
        <v>332</v>
      </c>
      <c r="C1" s="3"/>
      <c r="D1" s="3"/>
      <c r="E1" s="6">
        <v>45597</v>
      </c>
      <c r="F1" s="462"/>
      <c r="S1" s="1" t="s">
        <v>179</v>
      </c>
      <c r="U1" s="51" t="s">
        <v>60</v>
      </c>
      <c r="V1" s="51"/>
      <c r="W1" s="67">
        <f>DATE(YEAR(E1),MONTH(E1)+1,1)-DATE(YEAR(E1),MONTH(E1),1)</f>
        <v>30</v>
      </c>
    </row>
    <row r="2" spans="1:37" x14ac:dyDescent="0.2">
      <c r="A2" s="3" t="s">
        <v>0</v>
      </c>
    </row>
    <row r="3" spans="1:37" x14ac:dyDescent="0.2">
      <c r="A3" s="133" t="s">
        <v>109</v>
      </c>
      <c r="B3" s="133"/>
      <c r="C3" s="133"/>
      <c r="D3" s="133"/>
      <c r="E3" s="133"/>
      <c r="F3" s="133"/>
      <c r="G3" s="133"/>
      <c r="H3" s="133"/>
      <c r="I3" s="133"/>
      <c r="J3" s="133"/>
      <c r="K3" s="133"/>
      <c r="L3" s="133"/>
      <c r="M3" s="133"/>
      <c r="N3" s="133"/>
      <c r="O3" s="133"/>
      <c r="P3" s="133"/>
      <c r="Q3" s="133"/>
      <c r="R3" s="133"/>
      <c r="S3" s="133"/>
      <c r="T3" s="133"/>
    </row>
    <row r="4" spans="1:37" x14ac:dyDescent="0.2">
      <c r="A4" s="132" t="str">
        <f>"Correspondiente a  "&amp;TEXT(E1,"MMMMMMM YYYY")</f>
        <v>Correspondiente a  Noviembre 2024</v>
      </c>
      <c r="B4" s="132"/>
      <c r="C4" s="132"/>
      <c r="D4" s="132"/>
      <c r="E4" s="132"/>
      <c r="F4" s="132"/>
      <c r="G4" s="132"/>
      <c r="H4" s="132"/>
      <c r="I4" s="132"/>
      <c r="J4" s="132"/>
      <c r="K4" s="132"/>
      <c r="L4" s="132"/>
      <c r="M4" s="132"/>
      <c r="N4" s="132"/>
      <c r="O4" s="132"/>
      <c r="P4" s="132"/>
      <c r="Q4" s="132"/>
      <c r="R4" s="132"/>
      <c r="S4" s="132"/>
      <c r="T4" s="132"/>
    </row>
    <row r="5" spans="1:37"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c r="U5" s="65"/>
      <c r="V5" s="65"/>
    </row>
    <row r="6" spans="1:37" x14ac:dyDescent="0.2">
      <c r="E6" s="65"/>
      <c r="F6" s="65"/>
      <c r="G6" s="264"/>
      <c r="H6" s="200"/>
      <c r="Q6" s="385"/>
      <c r="U6" s="65"/>
      <c r="W6" s="65"/>
    </row>
    <row r="7" spans="1:37"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7"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7"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7" x14ac:dyDescent="0.2">
      <c r="A10" s="23" t="s">
        <v>28</v>
      </c>
      <c r="B10" s="24" t="s">
        <v>13</v>
      </c>
      <c r="C10" s="57" t="s">
        <v>29</v>
      </c>
      <c r="D10" s="25" t="s">
        <v>21</v>
      </c>
      <c r="E10" s="57" t="s">
        <v>98</v>
      </c>
      <c r="F10" s="236" t="s">
        <v>37</v>
      </c>
      <c r="G10" s="215">
        <v>4624</v>
      </c>
      <c r="H10" s="215">
        <v>9359</v>
      </c>
      <c r="I10" s="217"/>
      <c r="J10" s="217">
        <v>73.297700000000006</v>
      </c>
      <c r="K10" s="222"/>
      <c r="L10" s="222"/>
      <c r="M10" s="222"/>
      <c r="N10" s="386">
        <v>93.41</v>
      </c>
      <c r="O10" s="215">
        <f>ROUND(G10*I10,2)+ROUND(H10*J10,2)-K10-L10-M10-N10</f>
        <v>685899.76</v>
      </c>
      <c r="P10" s="321">
        <f>ROUND(18.75%*O10,2)</f>
        <v>128606.21</v>
      </c>
      <c r="Q10" s="222">
        <f>ROUND($O10*R10,2)</f>
        <v>102884.96</v>
      </c>
      <c r="R10" s="223">
        <v>0.15</v>
      </c>
      <c r="S10" s="222">
        <f t="shared" ref="S10:S26" si="0">ROUND($O10*T10,2)</f>
        <v>25721.24</v>
      </c>
      <c r="T10" s="258">
        <v>3.7499999999999999E-2</v>
      </c>
      <c r="U10" s="66">
        <f t="shared" ref="U10:U28" si="1">IF($F10&amp;"/Día"=W$9,SUM($G10:$H10),"")</f>
        <v>13983</v>
      </c>
      <c r="V10" s="66">
        <f>IF(U10&lt;&gt;"",$O10,"")</f>
        <v>685899.76</v>
      </c>
      <c r="W10" s="73">
        <f>IF($F10&amp;"/Día"=W$9,ROUND(U10/$W$1,1),"")</f>
        <v>466.1</v>
      </c>
      <c r="X10" s="74">
        <f t="shared" ref="X10:X28" si="2">IF(U10=0,0,IF($F10&amp;"/Día"=W$9,ROUND(V10/U10,4),""))</f>
        <v>49.052399999999999</v>
      </c>
      <c r="Y10" s="74">
        <f t="shared" ref="Y10:Y28" si="3">IF(U10=0,0,IF($F10&amp;"/Día"=W$9,ROUND(Z10/U10,4),""))</f>
        <v>9.1973000000000003</v>
      </c>
      <c r="Z10" s="66">
        <f t="shared" ref="Z10:Z28" si="4">IF(U10&lt;&gt;"",$P10,"")</f>
        <v>128606.21</v>
      </c>
      <c r="AA10" s="66" t="str">
        <f t="shared" ref="AA10:AA28" si="5">IF($F10&amp;"/Día"=AC$9,SUM($G10:$H10),"")</f>
        <v/>
      </c>
      <c r="AB10" s="66" t="str">
        <f>IF(AA10&lt;&gt;"",$O10,"")</f>
        <v/>
      </c>
      <c r="AC10" s="73" t="str">
        <f>IF($F10&amp;"/Día"=AC$9,ROUND(AA10/$W$1,1),"")</f>
        <v/>
      </c>
      <c r="AD10" s="74" t="str">
        <f t="shared" ref="AD10:AD28" si="6">IF(AA10=0,0,IF($F10&amp;"/Día"=AC$9,ROUND(AB10/AA10,4),""))</f>
        <v/>
      </c>
      <c r="AE10" s="74" t="str">
        <f t="shared" ref="AE10:AE28" si="7">IF(AA10=0,0,IF($F10&amp;"/Día"=AC$9,ROUND(AF10/AA10,4),""))</f>
        <v/>
      </c>
      <c r="AF10" s="66" t="str">
        <f t="shared" ref="AF10:AF28" si="8">IF(AA10&lt;&gt;"",$P10,"")</f>
        <v/>
      </c>
      <c r="AG10" s="49"/>
    </row>
    <row r="11" spans="1:37" ht="12.75" customHeight="1" x14ac:dyDescent="0.2">
      <c r="A11" s="23" t="s">
        <v>28</v>
      </c>
      <c r="B11" s="24" t="s">
        <v>14</v>
      </c>
      <c r="C11" s="57" t="s">
        <v>29</v>
      </c>
      <c r="D11" s="25" t="s">
        <v>21</v>
      </c>
      <c r="E11" s="57" t="s">
        <v>98</v>
      </c>
      <c r="F11" s="236" t="s">
        <v>56</v>
      </c>
      <c r="G11" s="215">
        <v>43341.480300000003</v>
      </c>
      <c r="H11" s="215">
        <v>44253.289199999999</v>
      </c>
      <c r="I11" s="217"/>
      <c r="J11" s="217">
        <v>3.9319999999999999</v>
      </c>
      <c r="K11" s="222"/>
      <c r="L11" s="222"/>
      <c r="M11" s="222"/>
      <c r="N11" s="386">
        <v>264.11</v>
      </c>
      <c r="O11" s="215">
        <f>ROUND(G11*I11,2)+ROUND(H11*J11,2)-K11-L11-M11-N11</f>
        <v>173739.82</v>
      </c>
      <c r="P11" s="672">
        <f t="shared" ref="P11:P27" si="9">ROUND(18.75%*O11,2)</f>
        <v>32576.22</v>
      </c>
      <c r="Q11" s="222">
        <f t="shared" ref="Q11:Q26" si="10">ROUND($O11*R11,2)</f>
        <v>26060.97</v>
      </c>
      <c r="R11" s="223">
        <v>0.15</v>
      </c>
      <c r="S11" s="222">
        <f t="shared" si="0"/>
        <v>6515.24</v>
      </c>
      <c r="T11" s="258">
        <v>3.7499999999999999E-2</v>
      </c>
      <c r="U11" s="40" t="str">
        <f t="shared" si="1"/>
        <v/>
      </c>
      <c r="V11" s="40" t="str">
        <f t="shared" ref="V11:V34" si="11">IF(U11&lt;&gt;"",$O11,"")</f>
        <v/>
      </c>
      <c r="W11" s="75" t="str">
        <f t="shared" ref="W11:W39" si="12">IF($F11&amp;"/Día"=W$9,ROUND(U11/$W$1,1),"")</f>
        <v/>
      </c>
      <c r="X11" s="76" t="str">
        <f t="shared" si="2"/>
        <v/>
      </c>
      <c r="Y11" s="76" t="str">
        <f t="shared" si="3"/>
        <v/>
      </c>
      <c r="Z11" s="40" t="str">
        <f t="shared" si="4"/>
        <v/>
      </c>
      <c r="AA11" s="40">
        <f t="shared" si="5"/>
        <v>87594.769499999995</v>
      </c>
      <c r="AB11" s="40">
        <f t="shared" ref="AB11:AB34" si="13">IF(AA11&lt;&gt;"",$O11,"")</f>
        <v>173739.82</v>
      </c>
      <c r="AC11" s="75">
        <f t="shared" ref="AC11:AC39" si="14">IF($F11&amp;"/Día"=AC$9,ROUND(AA11/$W$1,1),"")</f>
        <v>2919.8</v>
      </c>
      <c r="AD11" s="76">
        <f t="shared" si="6"/>
        <v>1.9834000000000001</v>
      </c>
      <c r="AE11" s="76">
        <f t="shared" si="7"/>
        <v>0.37190000000000001</v>
      </c>
      <c r="AF11" s="40">
        <f t="shared" si="8"/>
        <v>32576.22</v>
      </c>
      <c r="AG11" s="50"/>
      <c r="AJ11" s="257">
        <f>AK11-P11</f>
        <v>-1.0000000002037268E-2</v>
      </c>
      <c r="AK11" s="1">
        <v>32576.21</v>
      </c>
    </row>
    <row r="12" spans="1:37" x14ac:dyDescent="0.2">
      <c r="A12" s="23" t="s">
        <v>28</v>
      </c>
      <c r="B12" s="24" t="s">
        <v>3</v>
      </c>
      <c r="C12" s="57" t="s">
        <v>31</v>
      </c>
      <c r="D12" s="25" t="s">
        <v>30</v>
      </c>
      <c r="E12" s="57" t="s">
        <v>101</v>
      </c>
      <c r="F12" s="236" t="s">
        <v>37</v>
      </c>
      <c r="G12" s="215">
        <v>5026</v>
      </c>
      <c r="H12" s="215">
        <v>5243</v>
      </c>
      <c r="I12" s="371"/>
      <c r="J12" s="217">
        <v>73.033199999999994</v>
      </c>
      <c r="K12" s="222"/>
      <c r="L12" s="222"/>
      <c r="M12" s="222"/>
      <c r="N12" s="386">
        <v>756.92</v>
      </c>
      <c r="O12" s="215">
        <f t="shared" ref="O12:O26" si="15">ROUND(G12*I12,2)+ROUND(H12*J12,2)-K12-L12-M12-N12</f>
        <v>382156.15</v>
      </c>
      <c r="P12" s="321">
        <f t="shared" si="9"/>
        <v>71654.28</v>
      </c>
      <c r="Q12" s="222">
        <f>ROUND($O12*R12,2)</f>
        <v>57323.42</v>
      </c>
      <c r="R12" s="223">
        <v>0.15</v>
      </c>
      <c r="S12" s="222">
        <f t="shared" si="0"/>
        <v>14330.86</v>
      </c>
      <c r="T12" s="258">
        <v>3.7499999999999999E-2</v>
      </c>
      <c r="U12" s="40">
        <f>IF($F12&amp;"/Día"=W$9,SUM($G12:$I12),"")</f>
        <v>10269</v>
      </c>
      <c r="V12" s="40">
        <f t="shared" si="11"/>
        <v>382156.15</v>
      </c>
      <c r="W12" s="75">
        <f t="shared" si="12"/>
        <v>342.3</v>
      </c>
      <c r="X12" s="76">
        <f t="shared" si="2"/>
        <v>37.214500000000001</v>
      </c>
      <c r="Y12" s="76">
        <f t="shared" si="3"/>
        <v>6.9776999999999996</v>
      </c>
      <c r="Z12" s="40">
        <f t="shared" si="4"/>
        <v>71654.28</v>
      </c>
      <c r="AA12" s="40" t="str">
        <f>IF($F12&amp;"/Día"=AC$9,SUM($G12:$I12),"")</f>
        <v/>
      </c>
      <c r="AB12" s="40" t="str">
        <f t="shared" si="13"/>
        <v/>
      </c>
      <c r="AC12" s="75" t="str">
        <f t="shared" si="14"/>
        <v/>
      </c>
      <c r="AD12" s="76" t="str">
        <f t="shared" si="6"/>
        <v/>
      </c>
      <c r="AE12" s="76" t="str">
        <f t="shared" si="7"/>
        <v/>
      </c>
      <c r="AF12" s="40" t="str">
        <f t="shared" si="8"/>
        <v/>
      </c>
      <c r="AG12" s="50"/>
    </row>
    <row r="13" spans="1:37" x14ac:dyDescent="0.2">
      <c r="A13" s="242" t="s">
        <v>28</v>
      </c>
      <c r="B13" s="245" t="s">
        <v>172</v>
      </c>
      <c r="C13" s="236" t="s">
        <v>29</v>
      </c>
      <c r="D13" s="243" t="s">
        <v>21</v>
      </c>
      <c r="E13" s="236" t="s">
        <v>98</v>
      </c>
      <c r="F13" s="236" t="s">
        <v>56</v>
      </c>
      <c r="G13" s="215">
        <v>18137.092100000002</v>
      </c>
      <c r="H13" s="215">
        <v>9380.4372000000003</v>
      </c>
      <c r="I13" s="217"/>
      <c r="J13" s="217">
        <v>2.8113999999999999</v>
      </c>
      <c r="K13" s="222"/>
      <c r="L13" s="222"/>
      <c r="M13" s="222"/>
      <c r="N13" s="386">
        <v>808.45</v>
      </c>
      <c r="O13" s="215">
        <f>ROUND(G13*I13,2)+ROUND(H13*J13,2)-K13-L13-M13-N13</f>
        <v>25563.71</v>
      </c>
      <c r="P13" s="321">
        <f t="shared" si="9"/>
        <v>4793.2</v>
      </c>
      <c r="Q13" s="222">
        <f>ROUND($O13*R13,2)</f>
        <v>3834.56</v>
      </c>
      <c r="R13" s="223">
        <v>0.15</v>
      </c>
      <c r="S13" s="222">
        <f t="shared" si="0"/>
        <v>958.64</v>
      </c>
      <c r="T13" s="258">
        <v>3.7499999999999999E-2</v>
      </c>
      <c r="U13" s="40" t="str">
        <f t="shared" si="1"/>
        <v/>
      </c>
      <c r="V13" s="40" t="str">
        <f t="shared" si="11"/>
        <v/>
      </c>
      <c r="W13" s="75" t="str">
        <f t="shared" si="12"/>
        <v/>
      </c>
      <c r="X13" s="76" t="str">
        <f t="shared" si="2"/>
        <v/>
      </c>
      <c r="Y13" s="76" t="str">
        <f t="shared" si="3"/>
        <v/>
      </c>
      <c r="Z13" s="40" t="str">
        <f t="shared" si="4"/>
        <v/>
      </c>
      <c r="AA13" s="40">
        <f t="shared" si="5"/>
        <v>27517.529300000002</v>
      </c>
      <c r="AB13" s="40">
        <f t="shared" si="13"/>
        <v>25563.71</v>
      </c>
      <c r="AC13" s="75">
        <f t="shared" si="14"/>
        <v>917.3</v>
      </c>
      <c r="AD13" s="76">
        <f t="shared" si="6"/>
        <v>0.92900000000000005</v>
      </c>
      <c r="AE13" s="76">
        <f t="shared" si="7"/>
        <v>0.17419999999999999</v>
      </c>
      <c r="AF13" s="40">
        <f t="shared" si="8"/>
        <v>4793.2</v>
      </c>
      <c r="AG13" s="50"/>
    </row>
    <row r="14" spans="1:37" x14ac:dyDescent="0.2">
      <c r="A14" s="23" t="s">
        <v>28</v>
      </c>
      <c r="B14" s="24" t="s">
        <v>4</v>
      </c>
      <c r="C14" s="57" t="s">
        <v>31</v>
      </c>
      <c r="D14" s="25" t="s">
        <v>30</v>
      </c>
      <c r="E14" s="57" t="s">
        <v>101</v>
      </c>
      <c r="F14" s="236" t="s">
        <v>37</v>
      </c>
      <c r="G14" s="215">
        <v>28111</v>
      </c>
      <c r="H14" s="215">
        <v>27624</v>
      </c>
      <c r="I14" s="217"/>
      <c r="J14" s="217">
        <v>73.297700000000006</v>
      </c>
      <c r="K14" s="222"/>
      <c r="L14" s="222"/>
      <c r="M14" s="222"/>
      <c r="N14" s="386">
        <v>1139.5899999999999</v>
      </c>
      <c r="O14" s="215">
        <f t="shared" si="15"/>
        <v>2023636.0699999998</v>
      </c>
      <c r="P14" s="321">
        <f t="shared" si="9"/>
        <v>379431.76</v>
      </c>
      <c r="Q14" s="222">
        <f t="shared" si="10"/>
        <v>303545.40999999997</v>
      </c>
      <c r="R14" s="223">
        <v>0.15</v>
      </c>
      <c r="S14" s="222">
        <f t="shared" si="0"/>
        <v>75886.350000000006</v>
      </c>
      <c r="T14" s="258">
        <v>3.7499999999999999E-2</v>
      </c>
      <c r="U14" s="40">
        <f t="shared" si="1"/>
        <v>55735</v>
      </c>
      <c r="V14" s="40">
        <f t="shared" si="11"/>
        <v>2023636.0699999998</v>
      </c>
      <c r="W14" s="75">
        <f t="shared" si="12"/>
        <v>1857.8</v>
      </c>
      <c r="X14" s="76">
        <f t="shared" si="2"/>
        <v>36.308199999999999</v>
      </c>
      <c r="Y14" s="76">
        <f t="shared" si="3"/>
        <v>6.8078000000000003</v>
      </c>
      <c r="Z14" s="40">
        <f t="shared" si="4"/>
        <v>379431.76</v>
      </c>
      <c r="AA14" s="40" t="str">
        <f t="shared" si="5"/>
        <v/>
      </c>
      <c r="AB14" s="40" t="str">
        <f t="shared" si="13"/>
        <v/>
      </c>
      <c r="AC14" s="75" t="str">
        <f t="shared" si="14"/>
        <v/>
      </c>
      <c r="AD14" s="76" t="str">
        <f t="shared" si="6"/>
        <v/>
      </c>
      <c r="AE14" s="76" t="str">
        <f t="shared" si="7"/>
        <v/>
      </c>
      <c r="AF14" s="40" t="str">
        <f t="shared" si="8"/>
        <v/>
      </c>
      <c r="AG14" s="50"/>
    </row>
    <row r="15" spans="1:37" x14ac:dyDescent="0.2">
      <c r="A15" s="23" t="s">
        <v>28</v>
      </c>
      <c r="B15" s="24" t="s">
        <v>307</v>
      </c>
      <c r="C15" s="236" t="s">
        <v>29</v>
      </c>
      <c r="D15" s="243" t="s">
        <v>21</v>
      </c>
      <c r="E15" s="236" t="s">
        <v>98</v>
      </c>
      <c r="F15" s="236" t="s">
        <v>56</v>
      </c>
      <c r="G15" s="215">
        <v>13798.9611</v>
      </c>
      <c r="H15" s="215">
        <v>8492.0514999999996</v>
      </c>
      <c r="I15" s="217"/>
      <c r="J15" s="217">
        <v>3.2</v>
      </c>
      <c r="K15" s="222"/>
      <c r="L15" s="222"/>
      <c r="M15" s="222"/>
      <c r="N15" s="222"/>
      <c r="O15" s="224">
        <f t="shared" si="15"/>
        <v>27174.560000000001</v>
      </c>
      <c r="P15" s="321">
        <f t="shared" si="9"/>
        <v>5095.2299999999996</v>
      </c>
      <c r="Q15" s="222">
        <f t="shared" si="10"/>
        <v>4076.18</v>
      </c>
      <c r="R15" s="223">
        <v>0.15</v>
      </c>
      <c r="S15" s="222">
        <f t="shared" si="0"/>
        <v>1019.05</v>
      </c>
      <c r="T15" s="258">
        <v>3.7499999999999999E-2</v>
      </c>
      <c r="U15" s="40" t="str">
        <f t="shared" si="1"/>
        <v/>
      </c>
      <c r="V15" s="40" t="str">
        <f t="shared" si="11"/>
        <v/>
      </c>
      <c r="W15" s="75" t="str">
        <f t="shared" si="12"/>
        <v/>
      </c>
      <c r="X15" s="76" t="str">
        <f t="shared" si="2"/>
        <v/>
      </c>
      <c r="Y15" s="76" t="str">
        <f t="shared" si="3"/>
        <v/>
      </c>
      <c r="Z15" s="40" t="str">
        <f t="shared" si="4"/>
        <v/>
      </c>
      <c r="AA15" s="40">
        <f t="shared" si="5"/>
        <v>22291.012600000002</v>
      </c>
      <c r="AB15" s="40">
        <f t="shared" si="13"/>
        <v>27174.560000000001</v>
      </c>
      <c r="AC15" s="75">
        <f t="shared" si="14"/>
        <v>743</v>
      </c>
      <c r="AD15" s="76">
        <f t="shared" si="6"/>
        <v>1.2191000000000001</v>
      </c>
      <c r="AE15" s="76">
        <f t="shared" si="7"/>
        <v>0.2286</v>
      </c>
      <c r="AF15" s="40">
        <f t="shared" si="8"/>
        <v>5095.2299999999996</v>
      </c>
      <c r="AG15" s="50"/>
    </row>
    <row r="16" spans="1:37" x14ac:dyDescent="0.2">
      <c r="A16" s="23" t="s">
        <v>28</v>
      </c>
      <c r="B16" s="24" t="s">
        <v>5</v>
      </c>
      <c r="C16" s="57" t="s">
        <v>31</v>
      </c>
      <c r="D16" s="25" t="s">
        <v>30</v>
      </c>
      <c r="E16" s="57" t="s">
        <v>101</v>
      </c>
      <c r="F16" s="236" t="s">
        <v>37</v>
      </c>
      <c r="G16" s="215">
        <v>43248</v>
      </c>
      <c r="H16" s="215">
        <v>43588</v>
      </c>
      <c r="I16" s="217"/>
      <c r="J16" s="217">
        <v>73.297700000000006</v>
      </c>
      <c r="K16" s="222"/>
      <c r="L16" s="222"/>
      <c r="M16" s="222"/>
      <c r="N16" s="386">
        <v>1993.13</v>
      </c>
      <c r="O16" s="215">
        <f t="shared" si="15"/>
        <v>3192907.02</v>
      </c>
      <c r="P16" s="321">
        <f t="shared" si="9"/>
        <v>598670.06999999995</v>
      </c>
      <c r="Q16" s="222">
        <f t="shared" si="10"/>
        <v>478936.05</v>
      </c>
      <c r="R16" s="223">
        <v>0.15</v>
      </c>
      <c r="S16" s="222">
        <f t="shared" si="0"/>
        <v>119734.01</v>
      </c>
      <c r="T16" s="258">
        <v>3.7499999999999999E-2</v>
      </c>
      <c r="U16" s="40">
        <f t="shared" si="1"/>
        <v>86836</v>
      </c>
      <c r="V16" s="40">
        <f t="shared" si="11"/>
        <v>3192907.02</v>
      </c>
      <c r="W16" s="75">
        <f t="shared" si="12"/>
        <v>2894.5</v>
      </c>
      <c r="X16" s="76">
        <f t="shared" si="2"/>
        <v>36.769399999999997</v>
      </c>
      <c r="Y16" s="76">
        <f t="shared" si="3"/>
        <v>6.8943000000000003</v>
      </c>
      <c r="Z16" s="40">
        <f t="shared" si="4"/>
        <v>598670.06999999995</v>
      </c>
      <c r="AA16" s="40" t="str">
        <f t="shared" si="5"/>
        <v/>
      </c>
      <c r="AB16" s="40" t="str">
        <f t="shared" si="13"/>
        <v/>
      </c>
      <c r="AC16" s="75" t="str">
        <f t="shared" si="14"/>
        <v/>
      </c>
      <c r="AD16" s="76" t="str">
        <f t="shared" si="6"/>
        <v/>
      </c>
      <c r="AE16" s="76" t="str">
        <f t="shared" si="7"/>
        <v/>
      </c>
      <c r="AF16" s="40" t="str">
        <f t="shared" si="8"/>
        <v/>
      </c>
      <c r="AG16" s="50"/>
    </row>
    <row r="17" spans="1:35" x14ac:dyDescent="0.2">
      <c r="A17" s="23" t="s">
        <v>28</v>
      </c>
      <c r="B17" s="24" t="s">
        <v>221</v>
      </c>
      <c r="C17" s="57" t="s">
        <v>31</v>
      </c>
      <c r="D17" s="25" t="s">
        <v>30</v>
      </c>
      <c r="E17" s="57" t="s">
        <v>101</v>
      </c>
      <c r="F17" s="236" t="s">
        <v>37</v>
      </c>
      <c r="G17" s="215">
        <v>71572.007299999997</v>
      </c>
      <c r="H17" s="215">
        <v>44180.073299999996</v>
      </c>
      <c r="I17" s="217"/>
      <c r="J17" s="217">
        <v>3.1332</v>
      </c>
      <c r="K17" s="222"/>
      <c r="L17" s="222"/>
      <c r="M17" s="222"/>
      <c r="N17" s="386">
        <v>601.69000000000005</v>
      </c>
      <c r="O17" s="215">
        <f t="shared" si="15"/>
        <v>137823.32</v>
      </c>
      <c r="P17" s="321">
        <f t="shared" si="9"/>
        <v>25841.87</v>
      </c>
      <c r="Q17" s="222">
        <f t="shared" si="10"/>
        <v>20673.5</v>
      </c>
      <c r="R17" s="223">
        <v>0.15</v>
      </c>
      <c r="S17" s="222">
        <f t="shared" si="0"/>
        <v>5168.37</v>
      </c>
      <c r="T17" s="258">
        <v>3.7499999999999999E-2</v>
      </c>
      <c r="U17" s="40">
        <f t="shared" si="1"/>
        <v>115752.08059999999</v>
      </c>
      <c r="V17" s="40">
        <f t="shared" si="11"/>
        <v>137823.32</v>
      </c>
      <c r="W17" s="75">
        <f t="shared" si="12"/>
        <v>3858.4</v>
      </c>
      <c r="X17" s="76">
        <f t="shared" si="2"/>
        <v>1.1907000000000001</v>
      </c>
      <c r="Y17" s="76">
        <f t="shared" si="3"/>
        <v>0.2233</v>
      </c>
      <c r="Z17" s="40">
        <f t="shared" si="4"/>
        <v>25841.87</v>
      </c>
      <c r="AA17" s="40" t="str">
        <f t="shared" si="5"/>
        <v/>
      </c>
      <c r="AB17" s="40" t="str">
        <f t="shared" si="13"/>
        <v/>
      </c>
      <c r="AC17" s="75" t="str">
        <f t="shared" si="14"/>
        <v/>
      </c>
      <c r="AD17" s="76" t="str">
        <f t="shared" si="6"/>
        <v/>
      </c>
      <c r="AE17" s="76" t="str">
        <f t="shared" si="7"/>
        <v/>
      </c>
      <c r="AF17" s="40" t="str">
        <f t="shared" si="8"/>
        <v/>
      </c>
      <c r="AG17" s="50"/>
    </row>
    <row r="18" spans="1:35" x14ac:dyDescent="0.2">
      <c r="A18" s="23" t="s">
        <v>28</v>
      </c>
      <c r="B18" s="24" t="s">
        <v>17</v>
      </c>
      <c r="C18" s="57" t="s">
        <v>29</v>
      </c>
      <c r="D18" s="25" t="s">
        <v>21</v>
      </c>
      <c r="E18" s="57" t="s">
        <v>98</v>
      </c>
      <c r="F18" s="236" t="s">
        <v>37</v>
      </c>
      <c r="G18" s="215">
        <v>3037</v>
      </c>
      <c r="H18" s="215">
        <v>5045</v>
      </c>
      <c r="I18" s="217"/>
      <c r="J18" s="217">
        <v>73.059600000000003</v>
      </c>
      <c r="K18" s="222"/>
      <c r="L18" s="222"/>
      <c r="M18" s="222"/>
      <c r="N18" s="386">
        <v>492.8</v>
      </c>
      <c r="O18" s="224">
        <f t="shared" si="15"/>
        <v>368092.88</v>
      </c>
      <c r="P18" s="321">
        <f t="shared" si="9"/>
        <v>69017.42</v>
      </c>
      <c r="Q18" s="222">
        <f t="shared" si="10"/>
        <v>55213.93</v>
      </c>
      <c r="R18" s="223">
        <v>0.15</v>
      </c>
      <c r="S18" s="222">
        <f t="shared" si="0"/>
        <v>13803.48</v>
      </c>
      <c r="T18" s="258">
        <v>3.7499999999999999E-2</v>
      </c>
      <c r="U18" s="40">
        <f t="shared" si="1"/>
        <v>8082</v>
      </c>
      <c r="V18" s="40">
        <f t="shared" si="11"/>
        <v>368092.88</v>
      </c>
      <c r="W18" s="75">
        <f t="shared" si="12"/>
        <v>269.39999999999998</v>
      </c>
      <c r="X18" s="76">
        <f t="shared" si="2"/>
        <v>45.544800000000002</v>
      </c>
      <c r="Y18" s="76">
        <f t="shared" si="3"/>
        <v>8.5396000000000001</v>
      </c>
      <c r="Z18" s="40">
        <f t="shared" si="4"/>
        <v>69017.42</v>
      </c>
      <c r="AA18" s="40" t="str">
        <f t="shared" si="5"/>
        <v/>
      </c>
      <c r="AB18" s="40" t="str">
        <f t="shared" si="13"/>
        <v/>
      </c>
      <c r="AC18" s="75" t="str">
        <f t="shared" si="14"/>
        <v/>
      </c>
      <c r="AD18" s="76" t="str">
        <f t="shared" si="6"/>
        <v/>
      </c>
      <c r="AE18" s="76" t="str">
        <f t="shared" si="7"/>
        <v/>
      </c>
      <c r="AF18" s="40" t="str">
        <f t="shared" si="8"/>
        <v/>
      </c>
      <c r="AG18" s="50"/>
    </row>
    <row r="19" spans="1:35" x14ac:dyDescent="0.2">
      <c r="A19" s="376" t="s">
        <v>28</v>
      </c>
      <c r="B19" s="377" t="s">
        <v>237</v>
      </c>
      <c r="C19" s="378" t="s">
        <v>31</v>
      </c>
      <c r="D19" s="379" t="s">
        <v>30</v>
      </c>
      <c r="E19" s="378" t="s">
        <v>98</v>
      </c>
      <c r="F19" s="236" t="s">
        <v>37</v>
      </c>
      <c r="G19" s="215">
        <v>23227</v>
      </c>
      <c r="H19" s="215">
        <v>25415</v>
      </c>
      <c r="I19" s="216"/>
      <c r="J19" s="217">
        <v>73.297700000000006</v>
      </c>
      <c r="K19" s="222"/>
      <c r="L19" s="222"/>
      <c r="M19" s="222"/>
      <c r="N19" s="386">
        <v>592.65</v>
      </c>
      <c r="O19" s="224">
        <f t="shared" si="15"/>
        <v>1862268.4000000001</v>
      </c>
      <c r="P19" s="321">
        <f t="shared" si="9"/>
        <v>349175.33</v>
      </c>
      <c r="Q19" s="222">
        <f t="shared" si="10"/>
        <v>279340.26</v>
      </c>
      <c r="R19" s="223">
        <v>0.15</v>
      </c>
      <c r="S19" s="222">
        <f t="shared" si="0"/>
        <v>69835.070000000007</v>
      </c>
      <c r="T19" s="258">
        <v>3.7499999999999999E-2</v>
      </c>
      <c r="U19" s="40">
        <f t="shared" si="1"/>
        <v>48642</v>
      </c>
      <c r="V19" s="40">
        <f t="shared" si="11"/>
        <v>1862268.4000000001</v>
      </c>
      <c r="W19" s="75">
        <f t="shared" si="12"/>
        <v>1621.4</v>
      </c>
      <c r="X19" s="76">
        <f t="shared" si="2"/>
        <v>38.285200000000003</v>
      </c>
      <c r="Y19" s="76">
        <f t="shared" si="3"/>
        <v>7.1784999999999997</v>
      </c>
      <c r="Z19" s="40">
        <f t="shared" si="4"/>
        <v>349175.33</v>
      </c>
      <c r="AA19" s="40" t="str">
        <f t="shared" si="5"/>
        <v/>
      </c>
      <c r="AB19" s="40" t="str">
        <f t="shared" si="13"/>
        <v/>
      </c>
      <c r="AC19" s="75" t="str">
        <f t="shared" si="14"/>
        <v/>
      </c>
      <c r="AD19" s="76" t="str">
        <f t="shared" si="6"/>
        <v/>
      </c>
      <c r="AE19" s="76" t="str">
        <f t="shared" si="7"/>
        <v/>
      </c>
      <c r="AF19" s="40" t="str">
        <f t="shared" si="8"/>
        <v/>
      </c>
      <c r="AG19" s="50"/>
    </row>
    <row r="20" spans="1:35" x14ac:dyDescent="0.2">
      <c r="A20" s="376" t="s">
        <v>28</v>
      </c>
      <c r="B20" s="377" t="s">
        <v>239</v>
      </c>
      <c r="C20" s="378" t="s">
        <v>31</v>
      </c>
      <c r="D20" s="379" t="s">
        <v>30</v>
      </c>
      <c r="E20" s="378" t="s">
        <v>98</v>
      </c>
      <c r="F20" s="236" t="s">
        <v>56</v>
      </c>
      <c r="G20" s="215">
        <v>59288.897900000004</v>
      </c>
      <c r="H20" s="215">
        <v>62901.239399999999</v>
      </c>
      <c r="I20" s="216"/>
      <c r="J20" s="217">
        <v>3.8210999999999999</v>
      </c>
      <c r="K20" s="222"/>
      <c r="L20" s="222"/>
      <c r="M20" s="222"/>
      <c r="N20" s="386">
        <v>254.45</v>
      </c>
      <c r="O20" s="224">
        <f t="shared" si="15"/>
        <v>240097.47999999998</v>
      </c>
      <c r="P20" s="321">
        <f t="shared" si="9"/>
        <v>45018.28</v>
      </c>
      <c r="Q20" s="222">
        <f t="shared" si="10"/>
        <v>36014.620000000003</v>
      </c>
      <c r="R20" s="223">
        <v>0.15</v>
      </c>
      <c r="S20" s="222">
        <f t="shared" si="0"/>
        <v>9003.66</v>
      </c>
      <c r="T20" s="258">
        <v>3.7499999999999999E-2</v>
      </c>
      <c r="U20" s="40" t="str">
        <f t="shared" si="1"/>
        <v/>
      </c>
      <c r="V20" s="40" t="str">
        <f t="shared" si="11"/>
        <v/>
      </c>
      <c r="W20" s="75" t="str">
        <f t="shared" si="12"/>
        <v/>
      </c>
      <c r="X20" s="76" t="str">
        <f t="shared" si="2"/>
        <v/>
      </c>
      <c r="Y20" s="76" t="str">
        <f t="shared" si="3"/>
        <v/>
      </c>
      <c r="Z20" s="40" t="str">
        <f t="shared" si="4"/>
        <v/>
      </c>
      <c r="AA20" s="40">
        <f t="shared" si="5"/>
        <v>122190.1373</v>
      </c>
      <c r="AB20" s="40">
        <f t="shared" si="13"/>
        <v>240097.47999999998</v>
      </c>
      <c r="AC20" s="75">
        <f t="shared" si="14"/>
        <v>4073</v>
      </c>
      <c r="AD20" s="76">
        <f t="shared" si="6"/>
        <v>1.9649000000000001</v>
      </c>
      <c r="AE20" s="76">
        <f t="shared" si="7"/>
        <v>0.36840000000000001</v>
      </c>
      <c r="AF20" s="40">
        <f t="shared" si="8"/>
        <v>45018.28</v>
      </c>
      <c r="AG20" s="50"/>
    </row>
    <row r="21" spans="1:35" x14ac:dyDescent="0.2">
      <c r="A21" s="376" t="s">
        <v>28</v>
      </c>
      <c r="B21" s="377" t="s">
        <v>238</v>
      </c>
      <c r="C21" s="378" t="s">
        <v>31</v>
      </c>
      <c r="D21" s="379" t="s">
        <v>30</v>
      </c>
      <c r="E21" s="378" t="s">
        <v>98</v>
      </c>
      <c r="F21" s="236" t="s">
        <v>37</v>
      </c>
      <c r="G21" s="215">
        <v>15639</v>
      </c>
      <c r="H21" s="215">
        <v>16938</v>
      </c>
      <c r="I21" s="216"/>
      <c r="J21" s="217">
        <v>73.059600000000003</v>
      </c>
      <c r="K21" s="222"/>
      <c r="L21" s="222"/>
      <c r="M21" s="222"/>
      <c r="N21" s="386">
        <v>293.11</v>
      </c>
      <c r="O21" s="224">
        <f t="shared" si="15"/>
        <v>1237190.3899999999</v>
      </c>
      <c r="P21" s="321">
        <f t="shared" si="9"/>
        <v>231973.2</v>
      </c>
      <c r="Q21" s="222">
        <f t="shared" si="10"/>
        <v>185578.56</v>
      </c>
      <c r="R21" s="223">
        <v>0.15</v>
      </c>
      <c r="S21" s="222">
        <f t="shared" si="0"/>
        <v>46394.64</v>
      </c>
      <c r="T21" s="258">
        <v>3.7499999999999999E-2</v>
      </c>
      <c r="U21" s="40">
        <f t="shared" si="1"/>
        <v>32577</v>
      </c>
      <c r="V21" s="40">
        <f t="shared" si="11"/>
        <v>1237190.3899999999</v>
      </c>
      <c r="W21" s="75">
        <f t="shared" si="12"/>
        <v>1085.9000000000001</v>
      </c>
      <c r="X21" s="76">
        <f t="shared" si="2"/>
        <v>37.977400000000003</v>
      </c>
      <c r="Y21" s="76">
        <f t="shared" si="3"/>
        <v>7.1208</v>
      </c>
      <c r="Z21" s="40">
        <f t="shared" si="4"/>
        <v>231973.2</v>
      </c>
      <c r="AA21" s="40" t="str">
        <f t="shared" si="5"/>
        <v/>
      </c>
      <c r="AB21" s="40" t="str">
        <f t="shared" si="13"/>
        <v/>
      </c>
      <c r="AC21" s="75" t="str">
        <f t="shared" si="14"/>
        <v/>
      </c>
      <c r="AD21" s="76" t="str">
        <f t="shared" si="6"/>
        <v/>
      </c>
      <c r="AE21" s="76" t="str">
        <f t="shared" si="7"/>
        <v/>
      </c>
      <c r="AF21" s="40" t="str">
        <f t="shared" si="8"/>
        <v/>
      </c>
      <c r="AG21" s="50"/>
    </row>
    <row r="22" spans="1:35" x14ac:dyDescent="0.2">
      <c r="A22" s="376" t="s">
        <v>28</v>
      </c>
      <c r="B22" s="24" t="s">
        <v>6</v>
      </c>
      <c r="C22" s="57" t="s">
        <v>31</v>
      </c>
      <c r="D22" s="25" t="s">
        <v>30</v>
      </c>
      <c r="E22" s="57" t="s">
        <v>101</v>
      </c>
      <c r="F22" s="236" t="s">
        <v>37</v>
      </c>
      <c r="G22" s="215"/>
      <c r="H22" s="215"/>
      <c r="I22" s="216"/>
      <c r="J22" s="217"/>
      <c r="K22" s="222"/>
      <c r="L22" s="222"/>
      <c r="M22" s="222"/>
      <c r="N22" s="386"/>
      <c r="O22" s="224">
        <f t="shared" si="15"/>
        <v>0</v>
      </c>
      <c r="P22" s="222">
        <f>ROUND(18.75%*O22,2)</f>
        <v>0</v>
      </c>
      <c r="Q22" s="222">
        <f>ROUND($O22*R22,2)</f>
        <v>0</v>
      </c>
      <c r="R22" s="223">
        <v>0.15</v>
      </c>
      <c r="S22" s="222">
        <f>ROUND($O22*T22,2)</f>
        <v>0</v>
      </c>
      <c r="T22" s="258">
        <v>3.7499999999999999E-2</v>
      </c>
      <c r="U22" s="40"/>
      <c r="V22" s="40"/>
      <c r="W22" s="75"/>
      <c r="X22" s="76"/>
      <c r="Y22" s="76"/>
      <c r="Z22" s="40"/>
      <c r="AA22" s="40"/>
      <c r="AB22" s="40"/>
      <c r="AC22" s="75"/>
      <c r="AD22" s="76"/>
      <c r="AE22" s="76"/>
      <c r="AF22" s="40"/>
      <c r="AG22" s="50"/>
      <c r="AI22" s="257"/>
    </row>
    <row r="23" spans="1:35" x14ac:dyDescent="0.2">
      <c r="A23" s="23" t="s">
        <v>28</v>
      </c>
      <c r="B23" s="24" t="s">
        <v>18</v>
      </c>
      <c r="C23" s="57" t="s">
        <v>31</v>
      </c>
      <c r="D23" s="25" t="s">
        <v>30</v>
      </c>
      <c r="E23" s="57" t="s">
        <v>101</v>
      </c>
      <c r="F23" s="236" t="s">
        <v>37</v>
      </c>
      <c r="G23" s="215">
        <v>1870</v>
      </c>
      <c r="H23" s="215">
        <v>2633</v>
      </c>
      <c r="I23" s="217"/>
      <c r="J23" s="217">
        <v>73.297700000000006</v>
      </c>
      <c r="K23" s="222"/>
      <c r="L23" s="222"/>
      <c r="M23" s="222"/>
      <c r="N23" s="386">
        <v>315.64999999999998</v>
      </c>
      <c r="O23" s="224">
        <f t="shared" si="15"/>
        <v>192677.19</v>
      </c>
      <c r="P23" s="321">
        <f t="shared" si="9"/>
        <v>36126.97</v>
      </c>
      <c r="Q23" s="222">
        <f t="shared" si="10"/>
        <v>28901.58</v>
      </c>
      <c r="R23" s="223">
        <v>0.15</v>
      </c>
      <c r="S23" s="222">
        <f t="shared" si="0"/>
        <v>7225.39</v>
      </c>
      <c r="T23" s="258">
        <v>3.7499999999999999E-2</v>
      </c>
      <c r="U23" s="40">
        <f t="shared" si="1"/>
        <v>4503</v>
      </c>
      <c r="V23" s="40">
        <f t="shared" si="11"/>
        <v>192677.19</v>
      </c>
      <c r="W23" s="75">
        <f t="shared" si="12"/>
        <v>150.1</v>
      </c>
      <c r="X23" s="76">
        <f t="shared" si="2"/>
        <v>42.788600000000002</v>
      </c>
      <c r="Y23" s="76">
        <f t="shared" si="3"/>
        <v>8.0228999999999999</v>
      </c>
      <c r="Z23" s="40">
        <f t="shared" si="4"/>
        <v>36126.97</v>
      </c>
      <c r="AA23" s="40" t="str">
        <f t="shared" si="5"/>
        <v/>
      </c>
      <c r="AB23" s="40" t="str">
        <f t="shared" si="13"/>
        <v/>
      </c>
      <c r="AC23" s="75" t="str">
        <f t="shared" si="14"/>
        <v/>
      </c>
      <c r="AD23" s="76" t="str">
        <f t="shared" si="6"/>
        <v/>
      </c>
      <c r="AE23" s="76" t="str">
        <f t="shared" si="7"/>
        <v/>
      </c>
      <c r="AF23" s="40" t="str">
        <f t="shared" si="8"/>
        <v/>
      </c>
      <c r="AG23" s="50"/>
    </row>
    <row r="24" spans="1:35" x14ac:dyDescent="0.2">
      <c r="A24" s="23" t="s">
        <v>28</v>
      </c>
      <c r="B24" s="24" t="s">
        <v>20</v>
      </c>
      <c r="C24" s="57" t="s">
        <v>31</v>
      </c>
      <c r="D24" s="25" t="s">
        <v>30</v>
      </c>
      <c r="E24" s="57" t="s">
        <v>101</v>
      </c>
      <c r="F24" s="236" t="s">
        <v>37</v>
      </c>
      <c r="G24" s="215">
        <v>118972</v>
      </c>
      <c r="H24" s="215">
        <v>117901</v>
      </c>
      <c r="I24" s="217"/>
      <c r="J24" s="217">
        <v>74.8523</v>
      </c>
      <c r="K24" s="222"/>
      <c r="L24" s="222"/>
      <c r="M24" s="222"/>
      <c r="N24" s="386">
        <v>1318.19</v>
      </c>
      <c r="O24" s="224">
        <f t="shared" si="15"/>
        <v>8823842.8300000001</v>
      </c>
      <c r="P24" s="321">
        <f t="shared" si="9"/>
        <v>1654470.53</v>
      </c>
      <c r="Q24" s="222">
        <f t="shared" si="10"/>
        <v>1323576.42</v>
      </c>
      <c r="R24" s="223">
        <v>0.15</v>
      </c>
      <c r="S24" s="222">
        <f t="shared" si="0"/>
        <v>330894.11</v>
      </c>
      <c r="T24" s="258">
        <v>3.7499999999999999E-2</v>
      </c>
      <c r="U24" s="40">
        <f t="shared" si="1"/>
        <v>236873</v>
      </c>
      <c r="V24" s="40">
        <f t="shared" si="11"/>
        <v>8823842.8300000001</v>
      </c>
      <c r="W24" s="75">
        <f t="shared" si="12"/>
        <v>7895.8</v>
      </c>
      <c r="X24" s="76">
        <f t="shared" si="2"/>
        <v>37.251399999999997</v>
      </c>
      <c r="Y24" s="76">
        <f t="shared" si="3"/>
        <v>6.9846000000000004</v>
      </c>
      <c r="Z24" s="40">
        <f t="shared" si="4"/>
        <v>1654470.53</v>
      </c>
      <c r="AA24" s="40" t="str">
        <f t="shared" si="5"/>
        <v/>
      </c>
      <c r="AB24" s="40" t="str">
        <f t="shared" si="13"/>
        <v/>
      </c>
      <c r="AC24" s="75" t="str">
        <f t="shared" si="14"/>
        <v/>
      </c>
      <c r="AD24" s="76" t="str">
        <f t="shared" si="6"/>
        <v/>
      </c>
      <c r="AE24" s="76" t="str">
        <f t="shared" si="7"/>
        <v/>
      </c>
      <c r="AF24" s="40" t="str">
        <f t="shared" si="8"/>
        <v/>
      </c>
      <c r="AG24" s="50"/>
    </row>
    <row r="25" spans="1:35" x14ac:dyDescent="0.2">
      <c r="A25" s="23" t="s">
        <v>28</v>
      </c>
      <c r="B25" s="24" t="s">
        <v>8</v>
      </c>
      <c r="C25" s="57" t="s">
        <v>31</v>
      </c>
      <c r="D25" s="25" t="s">
        <v>21</v>
      </c>
      <c r="E25" s="57" t="s">
        <v>101</v>
      </c>
      <c r="F25" s="236" t="s">
        <v>56</v>
      </c>
      <c r="G25" s="215">
        <v>193471.59</v>
      </c>
      <c r="H25" s="215">
        <v>195754.86</v>
      </c>
      <c r="I25" s="217"/>
      <c r="J25" s="217">
        <v>2.8096999999999999</v>
      </c>
      <c r="K25" s="222"/>
      <c r="L25" s="222"/>
      <c r="M25" s="222"/>
      <c r="N25" s="386">
        <v>970.33</v>
      </c>
      <c r="O25" s="224">
        <f t="shared" si="15"/>
        <v>549042.10000000009</v>
      </c>
      <c r="P25" s="321">
        <f t="shared" si="9"/>
        <v>102945.39</v>
      </c>
      <c r="Q25" s="222">
        <f t="shared" si="10"/>
        <v>82356.320000000007</v>
      </c>
      <c r="R25" s="223">
        <v>0.15</v>
      </c>
      <c r="S25" s="222">
        <f t="shared" si="0"/>
        <v>20589.080000000002</v>
      </c>
      <c r="T25" s="258">
        <v>3.7499999999999999E-2</v>
      </c>
      <c r="U25" s="40" t="str">
        <f t="shared" si="1"/>
        <v/>
      </c>
      <c r="V25" s="40" t="str">
        <f t="shared" si="11"/>
        <v/>
      </c>
      <c r="W25" s="75" t="str">
        <f t="shared" si="12"/>
        <v/>
      </c>
      <c r="X25" s="76" t="str">
        <f t="shared" si="2"/>
        <v/>
      </c>
      <c r="Y25" s="76" t="str">
        <f t="shared" si="3"/>
        <v/>
      </c>
      <c r="Z25" s="40" t="str">
        <f t="shared" si="4"/>
        <v/>
      </c>
      <c r="AA25" s="40">
        <f t="shared" si="5"/>
        <v>389226.44999999995</v>
      </c>
      <c r="AB25" s="40">
        <f t="shared" si="13"/>
        <v>549042.10000000009</v>
      </c>
      <c r="AC25" s="75">
        <f t="shared" si="14"/>
        <v>12974.2</v>
      </c>
      <c r="AD25" s="76">
        <f t="shared" si="6"/>
        <v>1.4106000000000001</v>
      </c>
      <c r="AE25" s="76">
        <f t="shared" si="7"/>
        <v>0.26450000000000001</v>
      </c>
      <c r="AF25" s="40">
        <f t="shared" si="8"/>
        <v>102945.39</v>
      </c>
      <c r="AG25" s="50"/>
    </row>
    <row r="26" spans="1:35" x14ac:dyDescent="0.2">
      <c r="A26" s="23" t="s">
        <v>28</v>
      </c>
      <c r="B26" s="24" t="s">
        <v>9</v>
      </c>
      <c r="C26" s="57" t="s">
        <v>31</v>
      </c>
      <c r="D26" s="25" t="s">
        <v>30</v>
      </c>
      <c r="E26" s="57" t="s">
        <v>101</v>
      </c>
      <c r="F26" s="236" t="s">
        <v>37</v>
      </c>
      <c r="G26" s="215">
        <v>284</v>
      </c>
      <c r="H26" s="215">
        <v>270</v>
      </c>
      <c r="I26" s="217"/>
      <c r="J26" s="217">
        <v>73.059600000000003</v>
      </c>
      <c r="K26" s="222"/>
      <c r="L26" s="222"/>
      <c r="M26" s="222"/>
      <c r="N26" s="386">
        <v>344.64</v>
      </c>
      <c r="O26" s="224">
        <f t="shared" si="15"/>
        <v>19381.45</v>
      </c>
      <c r="P26" s="321">
        <f t="shared" si="9"/>
        <v>3634.02</v>
      </c>
      <c r="Q26" s="222">
        <f t="shared" si="10"/>
        <v>2907.22</v>
      </c>
      <c r="R26" s="223">
        <v>0.15</v>
      </c>
      <c r="S26" s="222">
        <f t="shared" si="0"/>
        <v>726.8</v>
      </c>
      <c r="T26" s="258">
        <v>3.7499999999999999E-2</v>
      </c>
      <c r="U26" s="40">
        <f t="shared" si="1"/>
        <v>554</v>
      </c>
      <c r="V26" s="40">
        <f t="shared" si="11"/>
        <v>19381.45</v>
      </c>
      <c r="W26" s="75">
        <f t="shared" si="12"/>
        <v>18.5</v>
      </c>
      <c r="X26" s="76">
        <f t="shared" si="2"/>
        <v>34.9846</v>
      </c>
      <c r="Y26" s="76">
        <f t="shared" si="3"/>
        <v>6.5595999999999997</v>
      </c>
      <c r="Z26" s="40">
        <f t="shared" si="4"/>
        <v>3634.02</v>
      </c>
      <c r="AA26" s="40" t="str">
        <f t="shared" si="5"/>
        <v/>
      </c>
      <c r="AB26" s="40" t="str">
        <f t="shared" si="13"/>
        <v/>
      </c>
      <c r="AC26" s="75" t="str">
        <f t="shared" si="14"/>
        <v/>
      </c>
      <c r="AD26" s="76" t="str">
        <f t="shared" si="6"/>
        <v/>
      </c>
      <c r="AE26" s="76" t="str">
        <f t="shared" si="7"/>
        <v/>
      </c>
      <c r="AF26" s="40" t="str">
        <f t="shared" si="8"/>
        <v/>
      </c>
      <c r="AG26" s="50"/>
    </row>
    <row r="27" spans="1:35" x14ac:dyDescent="0.2">
      <c r="A27" s="23" t="s">
        <v>28</v>
      </c>
      <c r="B27" s="24" t="s">
        <v>165</v>
      </c>
      <c r="C27" s="57" t="s">
        <v>31</v>
      </c>
      <c r="D27" s="25" t="s">
        <v>30</v>
      </c>
      <c r="E27" s="57" t="s">
        <v>101</v>
      </c>
      <c r="F27" s="236" t="s">
        <v>37</v>
      </c>
      <c r="G27" s="215">
        <v>14931</v>
      </c>
      <c r="H27" s="584">
        <v>14937</v>
      </c>
      <c r="I27" s="217"/>
      <c r="J27" s="370">
        <v>73.237700000000004</v>
      </c>
      <c r="K27" s="222"/>
      <c r="L27" s="222"/>
      <c r="M27" s="222"/>
      <c r="N27" s="386">
        <v>3262.8</v>
      </c>
      <c r="O27" s="224">
        <f>ROUND(G27*I27,2)+ROUND(H27*J27,2)-K27-L27-M27-N27</f>
        <v>1090688.72</v>
      </c>
      <c r="P27" s="321">
        <f t="shared" si="9"/>
        <v>204504.14</v>
      </c>
      <c r="Q27" s="222">
        <f>ROUND($O27*R27,2)</f>
        <v>163603.31</v>
      </c>
      <c r="R27" s="223">
        <v>0.15</v>
      </c>
      <c r="S27" s="222">
        <f>ROUND($O27*T27,2)</f>
        <v>40900.83</v>
      </c>
      <c r="T27" s="258">
        <v>3.7499999999999999E-2</v>
      </c>
      <c r="U27" s="40">
        <f>IF($F27&amp;"/Día"=W$9,SUM($G27:$H27),"")</f>
        <v>29868</v>
      </c>
      <c r="V27" s="40">
        <f t="shared" si="11"/>
        <v>1090688.72</v>
      </c>
      <c r="W27" s="75">
        <f>IF($F27&amp;"/Día"=W$9,ROUND(U27/$W$1,1),"")</f>
        <v>995.6</v>
      </c>
      <c r="X27" s="76">
        <f>IF(U27=0,0,IF($F27&amp;"/Día"=W$9,ROUND(V27/U27,4),""))</f>
        <v>36.517000000000003</v>
      </c>
      <c r="Y27" s="76">
        <f>IF(U27=0,0,IF($F27&amp;"/Día"=W$9,ROUND(Z27/U27,4),""))</f>
        <v>6.8468999999999998</v>
      </c>
      <c r="Z27" s="40">
        <f>IF(U27&lt;&gt;"",$P27,"")</f>
        <v>204504.14</v>
      </c>
      <c r="AA27" s="40" t="str">
        <f>IF($F27&amp;"/Día"=AC$9,SUM($G27:$H27),"")</f>
        <v/>
      </c>
      <c r="AB27" s="40" t="str">
        <f t="shared" si="13"/>
        <v/>
      </c>
      <c r="AC27" s="75" t="str">
        <f>IF($F27&amp;"/Día"=AC$9,ROUND(AA27/$W$1,1),"")</f>
        <v/>
      </c>
      <c r="AD27" s="76" t="str">
        <f>IF(AA27=0,0,IF($F27&amp;"/Día"=AC$9,ROUND(AB27/AA27,4),""))</f>
        <v/>
      </c>
      <c r="AE27" s="76" t="str">
        <f>IF(AA27=0,0,IF($F27&amp;"/Día"=AC$9,ROUND(AF27/AA27,4),""))</f>
        <v/>
      </c>
      <c r="AF27" s="40" t="str">
        <f>IF(AA27&lt;&gt;"",$P27,"")</f>
        <v/>
      </c>
      <c r="AG27" s="50"/>
    </row>
    <row r="28" spans="1:35" x14ac:dyDescent="0.2">
      <c r="A28" s="23" t="s">
        <v>28</v>
      </c>
      <c r="B28" s="24" t="s">
        <v>157</v>
      </c>
      <c r="C28" s="57" t="s">
        <v>31</v>
      </c>
      <c r="D28" s="25" t="s">
        <v>30</v>
      </c>
      <c r="E28" s="57" t="s">
        <v>101</v>
      </c>
      <c r="F28" s="236" t="s">
        <v>56</v>
      </c>
      <c r="G28" s="386">
        <f>G448</f>
        <v>391300.81040000002</v>
      </c>
      <c r="H28" s="512">
        <f>H459</f>
        <v>396292.72899999999</v>
      </c>
      <c r="I28" s="216"/>
      <c r="J28" s="417">
        <f>J459</f>
        <v>3.334060893153556</v>
      </c>
      <c r="K28" s="222"/>
      <c r="L28" s="222"/>
      <c r="M28" s="222"/>
      <c r="N28" s="648">
        <f>N438</f>
        <v>1356.01</v>
      </c>
      <c r="O28" s="648">
        <f>O438</f>
        <v>2589083.17</v>
      </c>
      <c r="P28" s="648">
        <f>P438</f>
        <v>485453.10000000003</v>
      </c>
      <c r="Q28" s="648">
        <f>Q438</f>
        <v>388362.48</v>
      </c>
      <c r="R28" s="223">
        <v>0.15</v>
      </c>
      <c r="S28" s="648">
        <f>S438</f>
        <v>97090.61</v>
      </c>
      <c r="T28" s="258">
        <v>3.7499999999999999E-2</v>
      </c>
      <c r="U28" s="40" t="str">
        <f t="shared" si="1"/>
        <v/>
      </c>
      <c r="V28" s="40" t="str">
        <f t="shared" si="11"/>
        <v/>
      </c>
      <c r="W28" s="75" t="str">
        <f t="shared" si="12"/>
        <v/>
      </c>
      <c r="X28" s="76" t="str">
        <f t="shared" si="2"/>
        <v/>
      </c>
      <c r="Y28" s="76" t="str">
        <f t="shared" si="3"/>
        <v/>
      </c>
      <c r="Z28" s="40" t="str">
        <f t="shared" si="4"/>
        <v/>
      </c>
      <c r="AA28" s="40">
        <f t="shared" si="5"/>
        <v>787593.53940000001</v>
      </c>
      <c r="AB28" s="40">
        <f t="shared" si="13"/>
        <v>2589083.17</v>
      </c>
      <c r="AC28" s="75">
        <f t="shared" si="14"/>
        <v>26253.1</v>
      </c>
      <c r="AD28" s="76">
        <f t="shared" si="6"/>
        <v>3.2873000000000001</v>
      </c>
      <c r="AE28" s="76">
        <f t="shared" si="7"/>
        <v>0.61639999999999995</v>
      </c>
      <c r="AF28" s="40">
        <f t="shared" si="8"/>
        <v>485453.10000000003</v>
      </c>
      <c r="AG28" s="50"/>
    </row>
    <row r="29" spans="1:35" x14ac:dyDescent="0.2">
      <c r="A29" s="23" t="s">
        <v>28</v>
      </c>
      <c r="B29" s="24" t="s">
        <v>170</v>
      </c>
      <c r="C29" s="57" t="s">
        <v>31</v>
      </c>
      <c r="D29" s="25" t="s">
        <v>30</v>
      </c>
      <c r="E29" s="57" t="s">
        <v>101</v>
      </c>
      <c r="F29" s="236" t="s">
        <v>37</v>
      </c>
      <c r="G29" s="215">
        <v>161</v>
      </c>
      <c r="H29" s="215">
        <v>180</v>
      </c>
      <c r="I29" s="217"/>
      <c r="J29" s="217">
        <v>73.297700000000006</v>
      </c>
      <c r="K29" s="222"/>
      <c r="L29" s="222"/>
      <c r="M29" s="222"/>
      <c r="N29" s="386">
        <v>202.92</v>
      </c>
      <c r="O29" s="224">
        <f>ROUND(G29*I29,2)+ROUND(H29*J29,2)-K29-L29-M29-N29</f>
        <v>12990.67</v>
      </c>
      <c r="P29" s="321">
        <f>ROUND(18.75%*O29,2)</f>
        <v>2435.75</v>
      </c>
      <c r="Q29" s="222">
        <f>ROUND($O29*R29,2)</f>
        <v>487.15</v>
      </c>
      <c r="R29" s="258">
        <v>3.7499999999999999E-2</v>
      </c>
      <c r="S29" s="222">
        <f>ROUND($O29*T29,2)</f>
        <v>1948.6</v>
      </c>
      <c r="T29" s="223">
        <v>0.15</v>
      </c>
      <c r="U29" s="40">
        <f>IF($F29&amp;"/Día"=W$9,SUM($G29:$H29),"")</f>
        <v>341</v>
      </c>
      <c r="V29" s="40">
        <f t="shared" si="11"/>
        <v>12990.67</v>
      </c>
      <c r="W29" s="75">
        <f>IF($F29&amp;"/Día"=W$9,ROUND(U29/$W$1,1),"")</f>
        <v>11.4</v>
      </c>
      <c r="X29" s="76">
        <f>IF(U29=0,0,IF($F29&amp;"/Día"=W$9,ROUND(V29/U29,4),""))</f>
        <v>38.095799999999997</v>
      </c>
      <c r="Y29" s="76">
        <f>IF(U29=0,0,IF($F29&amp;"/Día"=W$9,ROUND(Z29/U29,4),""))</f>
        <v>7.1429999999999998</v>
      </c>
      <c r="Z29" s="40">
        <f>IF(U29&lt;&gt;"",$P29,"")</f>
        <v>2435.75</v>
      </c>
      <c r="AA29" s="40" t="str">
        <f>IF($F29&amp;"/Día"=AC$9,SUM($G29:$H29),"")</f>
        <v/>
      </c>
      <c r="AB29" s="40" t="str">
        <f t="shared" si="13"/>
        <v/>
      </c>
      <c r="AC29" s="75" t="str">
        <f>IF($F29&amp;"/Día"=AC$9,ROUND(AA29/$W$1,1),"")</f>
        <v/>
      </c>
      <c r="AD29" s="76" t="str">
        <f>IF(AA29=0,0,IF($F29&amp;"/Día"=AC$9,ROUND(AB29/AA29,4),""))</f>
        <v/>
      </c>
      <c r="AE29" s="76" t="str">
        <f>IF(AA29=0,0,IF($F29&amp;"/Día"=AC$9,ROUND(AF29/AA29,4),""))</f>
        <v/>
      </c>
      <c r="AF29" s="40" t="str">
        <f>IF(AA29&lt;&gt;"",$P29,"")</f>
        <v/>
      </c>
      <c r="AG29" s="50"/>
    </row>
    <row r="30" spans="1:35" x14ac:dyDescent="0.2">
      <c r="A30" s="23" t="s">
        <v>28</v>
      </c>
      <c r="B30" s="24" t="s">
        <v>166</v>
      </c>
      <c r="C30" s="57" t="s">
        <v>31</v>
      </c>
      <c r="D30" s="25" t="s">
        <v>30</v>
      </c>
      <c r="E30" s="57" t="s">
        <v>101</v>
      </c>
      <c r="F30" s="236" t="s">
        <v>37</v>
      </c>
      <c r="G30" s="215">
        <v>59744</v>
      </c>
      <c r="H30" s="215"/>
      <c r="I30" s="217"/>
      <c r="J30" s="217"/>
      <c r="K30" s="222"/>
      <c r="L30" s="222"/>
      <c r="M30" s="222"/>
      <c r="N30" s="386">
        <v>1027.48</v>
      </c>
      <c r="O30" s="224">
        <f>ROUND(G30*I30,2)+ROUND(H30*J30,2)-K30-L30-M30-N30</f>
        <v>-1027.48</v>
      </c>
      <c r="P30" s="222">
        <f>ROUND(18.75%*O30,2)</f>
        <v>-192.65</v>
      </c>
      <c r="Q30" s="222">
        <f>ROUND($O30*R30,2)</f>
        <v>-38.53</v>
      </c>
      <c r="R30" s="258">
        <v>3.7499999999999999E-2</v>
      </c>
      <c r="S30" s="222">
        <f>ROUND($O30*T30,2)</f>
        <v>-154.12</v>
      </c>
      <c r="T30" s="223">
        <v>0.15</v>
      </c>
      <c r="U30" s="40"/>
      <c r="V30" s="40"/>
      <c r="W30" s="75"/>
      <c r="X30" s="76"/>
      <c r="Y30" s="76"/>
      <c r="Z30" s="40"/>
      <c r="AA30" s="40"/>
      <c r="AB30" s="40"/>
      <c r="AC30" s="75"/>
      <c r="AD30" s="76"/>
      <c r="AE30" s="76"/>
      <c r="AF30" s="40"/>
      <c r="AG30" s="50"/>
      <c r="AI30" s="257"/>
    </row>
    <row r="31" spans="1:35" x14ac:dyDescent="0.2">
      <c r="A31" s="26" t="s">
        <v>28</v>
      </c>
      <c r="B31" s="29" t="s">
        <v>302</v>
      </c>
      <c r="C31" s="57" t="s">
        <v>31</v>
      </c>
      <c r="D31" s="25" t="s">
        <v>30</v>
      </c>
      <c r="E31" s="57" t="s">
        <v>101</v>
      </c>
      <c r="F31" s="236" t="s">
        <v>37</v>
      </c>
      <c r="G31" s="386">
        <v>50058</v>
      </c>
      <c r="H31" s="386">
        <v>74952</v>
      </c>
      <c r="I31" s="217"/>
      <c r="J31" s="217">
        <v>73.369</v>
      </c>
      <c r="K31" s="215"/>
      <c r="L31" s="222"/>
      <c r="M31" s="222"/>
      <c r="N31" s="386">
        <v>525.01</v>
      </c>
      <c r="O31" s="224">
        <f>ROUND(G31*I31,2)+ROUND(H31*J31,2)-K31-L31-M31-N31</f>
        <v>5498628.2800000003</v>
      </c>
      <c r="P31" s="321">
        <f>ROUND(18.75%*O31,2)</f>
        <v>1030992.8</v>
      </c>
      <c r="Q31" s="222">
        <f>ROUND($O31*R31,2)</f>
        <v>824794.24</v>
      </c>
      <c r="R31" s="248">
        <v>0.15</v>
      </c>
      <c r="S31" s="222">
        <f>ROUND($O31*T31,2)</f>
        <v>206198.56</v>
      </c>
      <c r="T31" s="258">
        <v>3.7499999999999999E-2</v>
      </c>
      <c r="U31" s="40"/>
      <c r="V31" s="40"/>
      <c r="W31" s="75"/>
      <c r="X31" s="76"/>
      <c r="Y31" s="76"/>
      <c r="Z31" s="40"/>
      <c r="AA31" s="40"/>
      <c r="AB31" s="40"/>
      <c r="AC31" s="75"/>
      <c r="AD31" s="76"/>
      <c r="AE31" s="76"/>
      <c r="AF31" s="40"/>
      <c r="AG31" s="50"/>
    </row>
    <row r="32" spans="1:35" x14ac:dyDescent="0.2">
      <c r="A32" s="26" t="s">
        <v>28</v>
      </c>
      <c r="B32" s="29" t="s">
        <v>303</v>
      </c>
      <c r="C32" s="57" t="s">
        <v>31</v>
      </c>
      <c r="D32" s="25" t="s">
        <v>30</v>
      </c>
      <c r="E32" s="57" t="s">
        <v>101</v>
      </c>
      <c r="F32" s="236" t="s">
        <v>56</v>
      </c>
      <c r="G32" s="386">
        <f>G504</f>
        <v>146872.70000000001</v>
      </c>
      <c r="H32" s="386">
        <f>H513</f>
        <v>140602.21000000002</v>
      </c>
      <c r="I32" s="216"/>
      <c r="J32" s="217">
        <f>J513</f>
        <v>2.8168665343169215</v>
      </c>
      <c r="K32" s="215"/>
      <c r="L32" s="222"/>
      <c r="M32" s="222"/>
      <c r="N32" s="386">
        <v>463.82</v>
      </c>
      <c r="O32" s="224">
        <f>ROUND(G32*I32,2)+ROUND(H32*J32,2)-K32-L32-M32-N32</f>
        <v>395593.83999999997</v>
      </c>
      <c r="P32" s="321">
        <f>ROUND(18.75%*O32,2)</f>
        <v>74173.850000000006</v>
      </c>
      <c r="Q32" s="222">
        <f>ROUND($O32*R32,2)</f>
        <v>59339.08</v>
      </c>
      <c r="R32" s="248">
        <v>0.15</v>
      </c>
      <c r="S32" s="222">
        <f>ROUND($O32*T32,2)</f>
        <v>14834.77</v>
      </c>
      <c r="T32" s="258">
        <v>3.7499999999999999E-2</v>
      </c>
      <c r="U32" s="40"/>
      <c r="V32" s="40"/>
      <c r="W32" s="75"/>
      <c r="X32" s="76"/>
      <c r="Y32" s="76"/>
      <c r="Z32" s="40"/>
      <c r="AA32" s="40"/>
      <c r="AB32" s="40"/>
      <c r="AC32" s="75"/>
      <c r="AD32" s="76"/>
      <c r="AE32" s="76"/>
      <c r="AF32" s="40"/>
      <c r="AG32" s="50"/>
    </row>
    <row r="33" spans="1:35" x14ac:dyDescent="0.2">
      <c r="A33" s="26" t="s">
        <v>28</v>
      </c>
      <c r="B33" s="29" t="s">
        <v>304</v>
      </c>
      <c r="C33" s="57" t="s">
        <v>31</v>
      </c>
      <c r="D33" s="25" t="s">
        <v>30</v>
      </c>
      <c r="E33" s="57" t="s">
        <v>101</v>
      </c>
      <c r="F33" s="236" t="s">
        <v>37</v>
      </c>
      <c r="G33" s="386">
        <v>9427</v>
      </c>
      <c r="H33" s="386">
        <v>9336</v>
      </c>
      <c r="I33" s="217"/>
      <c r="J33" s="217">
        <v>61.404899999999998</v>
      </c>
      <c r="K33" s="215"/>
      <c r="L33" s="222"/>
      <c r="M33" s="222"/>
      <c r="N33" s="386">
        <v>502.46</v>
      </c>
      <c r="O33" s="224">
        <f>ROUND(G33*I33,2)+ROUND(H33*J33,2)-K33-L33-M33-N33</f>
        <v>572773.69000000006</v>
      </c>
      <c r="P33" s="321">
        <f>ROUND(18.75%*O33,2)</f>
        <v>107395.07</v>
      </c>
      <c r="Q33" s="222">
        <f>ROUND($O33*R33,2)</f>
        <v>85916.05</v>
      </c>
      <c r="R33" s="248">
        <v>0.15</v>
      </c>
      <c r="S33" s="222">
        <f>ROUND($O33*T33,2)</f>
        <v>21479.01</v>
      </c>
      <c r="T33" s="258">
        <v>3.7499999999999999E-2</v>
      </c>
      <c r="U33" s="40"/>
      <c r="V33" s="40"/>
      <c r="W33" s="75"/>
      <c r="X33" s="76"/>
      <c r="Y33" s="76"/>
      <c r="Z33" s="40"/>
      <c r="AA33" s="40"/>
      <c r="AB33" s="40"/>
      <c r="AC33" s="75"/>
      <c r="AD33" s="76"/>
      <c r="AE33" s="76"/>
      <c r="AF33" s="40"/>
      <c r="AG33" s="50"/>
    </row>
    <row r="34" spans="1:35" x14ac:dyDescent="0.2">
      <c r="A34" s="26" t="s">
        <v>28</v>
      </c>
      <c r="B34" s="29" t="s">
        <v>52</v>
      </c>
      <c r="C34" s="56"/>
      <c r="D34" s="56"/>
      <c r="E34" s="27"/>
      <c r="F34" s="236"/>
      <c r="G34" s="222"/>
      <c r="H34" s="222"/>
      <c r="I34" s="216"/>
      <c r="J34" s="216"/>
      <c r="K34" s="222"/>
      <c r="L34" s="222"/>
      <c r="M34" s="577"/>
      <c r="N34" s="222"/>
      <c r="O34" s="224">
        <f>O304</f>
        <v>-2401687.9700000002</v>
      </c>
      <c r="P34" s="224">
        <f>P304</f>
        <v>-450316.52</v>
      </c>
      <c r="Q34" s="224">
        <f>Q304</f>
        <v>-360253.18999999994</v>
      </c>
      <c r="R34" s="248"/>
      <c r="S34" s="224">
        <f>S304</f>
        <v>-90063.270000000019</v>
      </c>
      <c r="T34" s="223"/>
      <c r="U34" s="40" t="str">
        <f>IF($F34&amp;"/Día"=W$9,SUM($G34:$H34),"")</f>
        <v/>
      </c>
      <c r="V34" s="40" t="str">
        <f t="shared" si="11"/>
        <v/>
      </c>
      <c r="W34" s="75" t="str">
        <f>IF($F34&amp;"/Día"=W$9,ROUND(U34/$W$1,1),"")</f>
        <v/>
      </c>
      <c r="X34" s="76" t="str">
        <f>IF(U34=0,0,IF($F34&amp;"/Día"=W$9,ROUND(V34/U34,4),""))</f>
        <v/>
      </c>
      <c r="Y34" s="76" t="str">
        <f>IF(U34=0,0,IF($F34&amp;"/Día"=W$9,ROUND(Z34/U34,4),""))</f>
        <v/>
      </c>
      <c r="Z34" s="40" t="str">
        <f>IF(U34&lt;&gt;"",$P34,"")</f>
        <v/>
      </c>
      <c r="AA34" s="40" t="str">
        <f>IF($F34&amp;"/Día"=AC$9,SUM($G34:$H34),"")</f>
        <v/>
      </c>
      <c r="AB34" s="40" t="str">
        <f t="shared" si="13"/>
        <v/>
      </c>
      <c r="AC34" s="75" t="str">
        <f>IF($F34&amp;"/Día"=AC$9,ROUND(AA34/$W$1,1),"")</f>
        <v/>
      </c>
      <c r="AD34" s="76" t="str">
        <f>IF(AA34=0,0,IF($F34&amp;"/Día"=AC$9,ROUND(AB34/AA34,4),""))</f>
        <v/>
      </c>
      <c r="AE34" s="76" t="str">
        <f>IF(AA34=0,0,IF($F34&amp;"/Día"=AC$9,ROUND(AF34/AA34,4),""))</f>
        <v/>
      </c>
      <c r="AF34" s="40" t="str">
        <f>IF(AA34&lt;&gt;"",$P34,"")</f>
        <v/>
      </c>
      <c r="AG34" s="50"/>
      <c r="AI34" s="179"/>
    </row>
    <row r="35" spans="1:35" x14ac:dyDescent="0.2">
      <c r="A35" s="30"/>
      <c r="B35" s="153" t="s">
        <v>108</v>
      </c>
      <c r="C35" s="31" t="str">
        <f>TEXT(A$9,)&amp;" US$"</f>
        <v>Piura / Tumbes US$</v>
      </c>
      <c r="D35" s="38"/>
      <c r="E35" s="39"/>
      <c r="F35" s="244"/>
      <c r="G35" s="218"/>
      <c r="H35" s="218"/>
      <c r="I35" s="219"/>
      <c r="J35" s="219"/>
      <c r="K35" s="218"/>
      <c r="L35" s="218"/>
      <c r="M35" s="218"/>
      <c r="N35" s="227"/>
      <c r="O35" s="228">
        <f>SUM(O10:O34)</f>
        <v>27698536.050000001</v>
      </c>
      <c r="P35" s="228">
        <f>SUM(P10:P34)</f>
        <v>5193475.5199999996</v>
      </c>
      <c r="Q35" s="228">
        <f>SUM(Q10:Q34)</f>
        <v>4153434.5500000003</v>
      </c>
      <c r="R35" s="229"/>
      <c r="S35" s="228">
        <f>SUM(S10:S34)</f>
        <v>1040040.98</v>
      </c>
      <c r="T35" s="511">
        <v>0</v>
      </c>
      <c r="U35" s="77">
        <f>SUM(U10:U34)</f>
        <v>644015.08059999999</v>
      </c>
      <c r="V35" s="77">
        <f>SUM(V10:V34)</f>
        <v>20029554.849999998</v>
      </c>
      <c r="W35" s="78">
        <f>SUM(W10:W34)</f>
        <v>21467.200000000001</v>
      </c>
      <c r="X35" s="79">
        <f>ROUND(V35/U35,4)</f>
        <v>31.101099999999999</v>
      </c>
      <c r="Y35" s="79">
        <f>ROUND(Z35/U35,4)</f>
        <v>5.8314000000000004</v>
      </c>
      <c r="Z35" s="77">
        <f>SUM(Z10:Z34)</f>
        <v>3755541.55</v>
      </c>
      <c r="AA35" s="77">
        <f>SUM(AA10:AA34)</f>
        <v>1436413.4380999999</v>
      </c>
      <c r="AB35" s="77">
        <f>SUM(AB10:AB34)</f>
        <v>3604700.84</v>
      </c>
      <c r="AC35" s="78">
        <f>SUM(AC10:AC34)</f>
        <v>47880.4</v>
      </c>
      <c r="AD35" s="79">
        <f>ROUND(AB35/AA35,4)</f>
        <v>2.5095000000000001</v>
      </c>
      <c r="AE35" s="79">
        <f>ROUND(AF35/AA35,4)</f>
        <v>0.47049999999999997</v>
      </c>
      <c r="AF35" s="77">
        <f>SUM(AF10:AF34)</f>
        <v>675881.42</v>
      </c>
      <c r="AG35" s="43">
        <f>P35-Z35-AF35</f>
        <v>762052.5499999997</v>
      </c>
      <c r="AI35" s="472"/>
    </row>
    <row r="36" spans="1:35" x14ac:dyDescent="0.2">
      <c r="A36" s="125"/>
      <c r="B36" s="126"/>
      <c r="C36" s="31" t="str">
        <f>TEXT(A$9,)&amp;" S/."</f>
        <v>Piura / Tumbes S/.</v>
      </c>
      <c r="D36" s="56"/>
      <c r="E36" s="56"/>
      <c r="F36" s="137"/>
      <c r="G36" s="177"/>
      <c r="H36" s="177"/>
      <c r="I36" s="202"/>
      <c r="J36" s="202"/>
      <c r="K36" s="177"/>
      <c r="L36" s="177"/>
      <c r="M36" s="177"/>
      <c r="N36" s="177"/>
      <c r="O36" s="209"/>
      <c r="P36" s="210">
        <f>ROUND($F$1*P35,2)</f>
        <v>0</v>
      </c>
      <c r="Q36" s="364">
        <f>ROUND($F$1*Q35,2)</f>
        <v>0</v>
      </c>
      <c r="R36" s="139"/>
      <c r="S36" s="622">
        <f>ROUND($F$1*S35,2)</f>
        <v>0</v>
      </c>
      <c r="T36" s="148"/>
      <c r="U36" s="140"/>
      <c r="V36" s="140"/>
      <c r="W36" s="141"/>
      <c r="X36" s="142"/>
      <c r="Y36" s="142"/>
      <c r="Z36" s="140"/>
      <c r="AA36" s="140"/>
      <c r="AB36" s="140"/>
      <c r="AC36" s="141"/>
      <c r="AD36" s="142"/>
      <c r="AE36" s="142"/>
      <c r="AF36" s="140"/>
      <c r="AG36" s="140"/>
      <c r="AI36" s="472"/>
    </row>
    <row r="37" spans="1:35" x14ac:dyDescent="0.2">
      <c r="A37" s="15" t="s">
        <v>22</v>
      </c>
      <c r="B37" s="16"/>
      <c r="C37" s="58"/>
      <c r="D37" s="58"/>
      <c r="E37" s="17"/>
      <c r="F37" s="34"/>
      <c r="G37" s="220"/>
      <c r="H37" s="220"/>
      <c r="I37" s="221"/>
      <c r="J37" s="221"/>
      <c r="K37" s="220"/>
      <c r="L37" s="220"/>
      <c r="M37" s="220"/>
      <c r="N37" s="220"/>
      <c r="O37" s="231"/>
      <c r="P37" s="220"/>
      <c r="Q37" s="232" t="s">
        <v>49</v>
      </c>
      <c r="R37" s="214"/>
      <c r="S37" s="275"/>
      <c r="T37" s="276"/>
      <c r="U37" s="49"/>
      <c r="V37" s="49"/>
      <c r="W37" s="80"/>
      <c r="X37" s="81"/>
      <c r="Y37" s="81"/>
      <c r="Z37" s="81"/>
      <c r="AA37" s="49"/>
      <c r="AB37" s="49"/>
      <c r="AC37" s="80"/>
      <c r="AD37" s="81"/>
      <c r="AE37" s="81"/>
      <c r="AF37" s="81"/>
      <c r="AG37" s="46"/>
    </row>
    <row r="38" spans="1:35" x14ac:dyDescent="0.2">
      <c r="A38" s="26" t="s">
        <v>28</v>
      </c>
      <c r="B38" s="28">
        <v>131</v>
      </c>
      <c r="C38" s="57" t="s">
        <v>31</v>
      </c>
      <c r="D38" s="25" t="s">
        <v>30</v>
      </c>
      <c r="E38" s="57" t="s">
        <v>101</v>
      </c>
      <c r="F38" s="33" t="s">
        <v>37</v>
      </c>
      <c r="G38" s="215">
        <v>8410</v>
      </c>
      <c r="H38" s="215">
        <v>9414</v>
      </c>
      <c r="I38" s="217"/>
      <c r="J38" s="217">
        <v>62.317</v>
      </c>
      <c r="K38" s="222"/>
      <c r="L38" s="222"/>
      <c r="M38" s="222"/>
      <c r="N38" s="386">
        <v>4055.16</v>
      </c>
      <c r="O38" s="224">
        <f>ROUND(G38*I38,2)+ROUND(H38*J38,2)-K38-L38-M38-N38</f>
        <v>582597.07999999996</v>
      </c>
      <c r="P38" s="321">
        <f>ROUND(15%*O38,2)</f>
        <v>87389.56</v>
      </c>
      <c r="Q38" s="222">
        <f>ROUND($O38*R38,2)</f>
        <v>87389.56</v>
      </c>
      <c r="R38" s="223">
        <v>0.15</v>
      </c>
      <c r="S38" s="226"/>
      <c r="T38" s="225"/>
      <c r="U38" s="40">
        <f>IF($F38&amp;"/Día"=W$9,SUM($G38:$H38),"")</f>
        <v>17824</v>
      </c>
      <c r="V38" s="40">
        <f>IF(U38&lt;&gt;"",$O38,"")</f>
        <v>582597.07999999996</v>
      </c>
      <c r="W38" s="75">
        <f t="shared" si="12"/>
        <v>594.1</v>
      </c>
      <c r="X38" s="76">
        <f>IF(U38=0,0,IF($F38&amp;"/Día"=W$9,ROUND(V38/U38,4),""))</f>
        <v>32.686100000000003</v>
      </c>
      <c r="Y38" s="76">
        <f>IF(U38=0,0,IF($F38&amp;"/Día"=W$9,ROUND(Z38/U38,4),""))</f>
        <v>4.9028999999999998</v>
      </c>
      <c r="Z38" s="40">
        <f>IF(U38&lt;&gt;"",$P38,"")</f>
        <v>87389.56</v>
      </c>
      <c r="AA38" s="40" t="str">
        <f>IF($F38&amp;"/Día"=AC$9,SUM($G38:$H38),"")</f>
        <v/>
      </c>
      <c r="AB38" s="40" t="str">
        <f>IF(AA38&lt;&gt;"",$O38,"")</f>
        <v/>
      </c>
      <c r="AC38" s="75" t="str">
        <f t="shared" si="14"/>
        <v/>
      </c>
      <c r="AD38" s="76" t="str">
        <f>IF(AA38=0,0,IF($F38&amp;"/Día"=AC$9,ROUND(AB38/AA38,4),""))</f>
        <v/>
      </c>
      <c r="AE38" s="76" t="str">
        <f>IF(AA38=0,0,IF($F38&amp;"/Día"=AC$9,ROUND(AF38/AA38,4),""))</f>
        <v/>
      </c>
      <c r="AF38" s="40" t="str">
        <f>IF(AA38&lt;&gt;"",$P38,"")</f>
        <v/>
      </c>
      <c r="AG38" s="50"/>
    </row>
    <row r="39" spans="1:35" x14ac:dyDescent="0.2">
      <c r="A39" s="26" t="s">
        <v>28</v>
      </c>
      <c r="B39" s="29" t="s">
        <v>53</v>
      </c>
      <c r="C39" s="56"/>
      <c r="D39" s="56"/>
      <c r="E39" s="5"/>
      <c r="F39" s="33"/>
      <c r="G39" s="222"/>
      <c r="H39" s="222"/>
      <c r="I39" s="216"/>
      <c r="J39" s="216"/>
      <c r="K39" s="222"/>
      <c r="L39" s="222"/>
      <c r="M39" s="222"/>
      <c r="N39" s="222"/>
      <c r="O39" s="224"/>
      <c r="P39" s="224"/>
      <c r="Q39" s="224"/>
      <c r="R39" s="225"/>
      <c r="S39" s="224"/>
      <c r="T39" s="225"/>
      <c r="U39" s="40" t="str">
        <f>IF($F39&amp;"/Día"=W$9,SUM($G39:$H39),"")</f>
        <v/>
      </c>
      <c r="V39" s="40" t="str">
        <f>IF(U39&lt;&gt;"",$O39,"")</f>
        <v/>
      </c>
      <c r="W39" s="75" t="str">
        <f t="shared" si="12"/>
        <v/>
      </c>
      <c r="X39" s="76" t="str">
        <f>IF(U39=0,0,IF($F39&amp;"/Día"=W$9,ROUND(V39/U39,4),""))</f>
        <v/>
      </c>
      <c r="Y39" s="76" t="str">
        <f>IF(U39=0,0,IF($F39&amp;"/Día"=W$9,ROUND(Z39/U39,4),""))</f>
        <v/>
      </c>
      <c r="Z39" s="40" t="str">
        <f>IF(U39&lt;&gt;"",$P39,"")</f>
        <v/>
      </c>
      <c r="AA39" s="40" t="str">
        <f>IF($F39&amp;"/Día"=AC$9,SUM($G39:$H39),"")</f>
        <v/>
      </c>
      <c r="AB39" s="40" t="str">
        <f>IF(AA39&lt;&gt;"",$O39,"")</f>
        <v/>
      </c>
      <c r="AC39" s="75" t="str">
        <f t="shared" si="14"/>
        <v/>
      </c>
      <c r="AD39" s="76" t="str">
        <f>IF(AA39=0,0,IF($F39&amp;"/Día"=AC$9,ROUND(AB39/AA39,4),""))</f>
        <v/>
      </c>
      <c r="AE39" s="76" t="str">
        <f>IF(AA39=0,0,IF($F39&amp;"/Día"=AC$9,ROUND(AF39/AA39,4),""))</f>
        <v/>
      </c>
      <c r="AF39" s="40" t="str">
        <f>IF(AA39&lt;&gt;"",$P39,"")</f>
        <v/>
      </c>
      <c r="AG39" s="50"/>
      <c r="AI39" s="257"/>
    </row>
    <row r="40" spans="1:35" x14ac:dyDescent="0.2">
      <c r="A40" s="30"/>
      <c r="B40" s="153" t="s">
        <v>108</v>
      </c>
      <c r="C40" s="31" t="str">
        <f>TEXT(A$37,)&amp;" US$"</f>
        <v>Provincia Puerto Inca Huanuco US$</v>
      </c>
      <c r="D40" s="38"/>
      <c r="E40" s="39"/>
      <c r="F40" s="38"/>
      <c r="G40" s="218"/>
      <c r="H40" s="218"/>
      <c r="I40" s="219"/>
      <c r="J40" s="219"/>
      <c r="K40" s="218"/>
      <c r="L40" s="218"/>
      <c r="M40" s="218"/>
      <c r="N40" s="218"/>
      <c r="O40" s="227">
        <f>SUM(O38:O39)</f>
        <v>582597.07999999996</v>
      </c>
      <c r="P40" s="227">
        <f>SUM(P38:P39)</f>
        <v>87389.56</v>
      </c>
      <c r="Q40" s="227">
        <f>SUM(Q38:Q39)</f>
        <v>87389.56</v>
      </c>
      <c r="R40" s="229"/>
      <c r="S40" s="227">
        <f>SUM(S38:S39)</f>
        <v>0</v>
      </c>
      <c r="T40" s="229"/>
      <c r="U40" s="43">
        <f>SUM(U38:U39)</f>
        <v>17824</v>
      </c>
      <c r="V40" s="43">
        <f>SUM(V38:V39)</f>
        <v>582597.07999999996</v>
      </c>
      <c r="W40" s="82">
        <f>SUM(W38:W39)</f>
        <v>594.1</v>
      </c>
      <c r="X40" s="83">
        <f>ROUND(V40/U40,4)</f>
        <v>32.686100000000003</v>
      </c>
      <c r="Y40" s="83">
        <f>ROUND(Z40/U40,4)</f>
        <v>4.9028999999999998</v>
      </c>
      <c r="Z40" s="43">
        <f>SUM(Z38:Z39)</f>
        <v>87389.56</v>
      </c>
      <c r="AA40" s="43">
        <f>SUM(AA38:AA39)</f>
        <v>0</v>
      </c>
      <c r="AB40" s="43">
        <f>SUM(AB38:AB39)</f>
        <v>0</v>
      </c>
      <c r="AC40" s="82">
        <f>SUM(AC38:AC39)</f>
        <v>0</v>
      </c>
      <c r="AD40" s="83">
        <f>IF(AA40=0,0,ROUND(AB40/AA40,4))</f>
        <v>0</v>
      </c>
      <c r="AE40" s="83">
        <f>IF(AA40=0,0,ROUND(AF40/AA40,4))</f>
        <v>0</v>
      </c>
      <c r="AF40" s="43">
        <f>SUM(AF38:AF39)</f>
        <v>0</v>
      </c>
      <c r="AG40" s="77">
        <f>P40-Z40-AF40</f>
        <v>0</v>
      </c>
    </row>
    <row r="41" spans="1:35" x14ac:dyDescent="0.2">
      <c r="A41" s="125"/>
      <c r="B41" s="126"/>
      <c r="C41" s="31" t="str">
        <f>TEXT(A$37,)&amp;" S/."</f>
        <v>Provincia Puerto Inca Huanuco S/.</v>
      </c>
      <c r="D41" s="56"/>
      <c r="E41" s="56"/>
      <c r="F41" s="137"/>
      <c r="G41" s="177"/>
      <c r="H41" s="177"/>
      <c r="I41" s="202"/>
      <c r="J41" s="202"/>
      <c r="K41" s="177"/>
      <c r="L41" s="177"/>
      <c r="M41" s="177"/>
      <c r="N41" s="177"/>
      <c r="O41" s="209"/>
      <c r="P41" s="210">
        <f>ROUND($F$1*P40,2)</f>
        <v>0</v>
      </c>
      <c r="Q41" s="364">
        <f>ROUND($F$1*Q40,2)</f>
        <v>0</v>
      </c>
      <c r="R41" s="139"/>
      <c r="S41" s="210">
        <f>ROUND($F$1*S40,2)</f>
        <v>0</v>
      </c>
      <c r="T41" s="139"/>
      <c r="U41" s="140"/>
      <c r="V41" s="140"/>
      <c r="W41" s="141"/>
      <c r="X41" s="142"/>
      <c r="Y41" s="142"/>
      <c r="Z41" s="140"/>
      <c r="AA41" s="140"/>
      <c r="AB41" s="140"/>
      <c r="AC41" s="141"/>
      <c r="AD41" s="142"/>
      <c r="AE41" s="142"/>
      <c r="AF41" s="140"/>
      <c r="AG41" s="140"/>
      <c r="AI41" s="257"/>
    </row>
    <row r="42" spans="1:35" x14ac:dyDescent="0.2">
      <c r="A42" s="15" t="s">
        <v>24</v>
      </c>
      <c r="B42" s="16"/>
      <c r="C42" s="58"/>
      <c r="D42" s="58"/>
      <c r="E42" s="17"/>
      <c r="F42" s="234"/>
      <c r="G42" s="220"/>
      <c r="H42" s="220"/>
      <c r="I42" s="221"/>
      <c r="J42" s="221"/>
      <c r="K42" s="220"/>
      <c r="L42" s="220"/>
      <c r="M42" s="220"/>
      <c r="N42" s="220"/>
      <c r="O42" s="231"/>
      <c r="P42" s="220"/>
      <c r="Q42" s="232" t="s">
        <v>47</v>
      </c>
      <c r="R42" s="214"/>
      <c r="S42" s="235" t="s">
        <v>48</v>
      </c>
      <c r="T42" s="214"/>
      <c r="U42" s="46"/>
      <c r="V42" s="46"/>
      <c r="W42" s="73"/>
      <c r="X42" s="74"/>
      <c r="Y42" s="74"/>
      <c r="Z42" s="74"/>
      <c r="AA42" s="46"/>
      <c r="AB42" s="46"/>
      <c r="AC42" s="73"/>
      <c r="AD42" s="74"/>
      <c r="AE42" s="74"/>
      <c r="AF42" s="74"/>
      <c r="AG42" s="46"/>
      <c r="AI42" s="257"/>
    </row>
    <row r="43" spans="1:35" x14ac:dyDescent="0.2">
      <c r="A43" s="23" t="s">
        <v>28</v>
      </c>
      <c r="B43" s="246">
        <v>192</v>
      </c>
      <c r="C43" s="57" t="s">
        <v>29</v>
      </c>
      <c r="D43" s="57" t="s">
        <v>21</v>
      </c>
      <c r="E43" s="57" t="s">
        <v>98</v>
      </c>
      <c r="F43" s="238" t="s">
        <v>37</v>
      </c>
      <c r="G43" s="215"/>
      <c r="H43" s="215"/>
      <c r="I43" s="217"/>
      <c r="J43" s="217"/>
      <c r="K43" s="215"/>
      <c r="L43" s="222"/>
      <c r="M43" s="222"/>
      <c r="N43" s="222"/>
      <c r="O43" s="224">
        <f t="shared" ref="O43:O50" si="16">ROUND(G43*I43,2)+ROUND(H43*J43,2)-K43-L43-M43-N43</f>
        <v>0</v>
      </c>
      <c r="P43" s="222">
        <f t="shared" ref="P43:P50" si="17">ROUND(18.75%*O43,2)</f>
        <v>0</v>
      </c>
      <c r="Q43" s="222">
        <f>ROUND($O43*R43,2)</f>
        <v>0</v>
      </c>
      <c r="R43" s="223">
        <v>0.15</v>
      </c>
      <c r="S43" s="222">
        <f t="shared" ref="S43:S50" si="18">ROUND($O43*T43,2)</f>
        <v>0</v>
      </c>
      <c r="T43" s="258">
        <v>3.7499999999999999E-2</v>
      </c>
      <c r="U43" s="40">
        <f t="shared" ref="U43:U51" si="19">IF($F43&amp;"/Día"=W$9,SUM($G43:$H43),"")</f>
        <v>0</v>
      </c>
      <c r="V43" s="40">
        <f t="shared" ref="V43:V51" si="20">IF(U43&lt;&gt;"",$O43,"")</f>
        <v>0</v>
      </c>
      <c r="W43" s="75">
        <f t="shared" ref="W43:W51" si="21">IF($F43&amp;"/Día"=W$9,ROUND(U43/$W$1,1),"")</f>
        <v>0</v>
      </c>
      <c r="X43" s="76">
        <f t="shared" ref="X43:X51" si="22">IF(U43=0,0,IF($F43&amp;"/Día"=W$9,ROUND(V43/U43,4),""))</f>
        <v>0</v>
      </c>
      <c r="Y43" s="76">
        <f t="shared" ref="Y43:Y51" si="23">IF(U43=0,0,IF($F43&amp;"/Día"=W$9,ROUND(Z43/U43,4),""))</f>
        <v>0</v>
      </c>
      <c r="Z43" s="40">
        <f t="shared" ref="Z43:Z51" si="24">IF(U43&lt;&gt;"",$P43,"")</f>
        <v>0</v>
      </c>
      <c r="AA43" s="40" t="str">
        <f t="shared" ref="AA43:AA51" si="25">IF($F43&amp;"/Día"=AC$9,SUM($G43:$H43),"")</f>
        <v/>
      </c>
      <c r="AB43" s="40" t="str">
        <f t="shared" ref="AB43:AB51" si="26">IF(AA43&lt;&gt;"",$O43,"")</f>
        <v/>
      </c>
      <c r="AC43" s="75" t="str">
        <f t="shared" ref="AC43:AC51" si="27">IF($F43&amp;"/Día"=AC$9,ROUND(AA43/$W$1,1),"")</f>
        <v/>
      </c>
      <c r="AD43" s="76" t="str">
        <f t="shared" ref="AD43:AD51" si="28">IF(AA43=0,0,IF($F43&amp;"/Día"=AC$9,ROUND(AB43/AA43,4),""))</f>
        <v/>
      </c>
      <c r="AE43" s="76" t="str">
        <f t="shared" ref="AE43:AE51" si="29">IF(AA43=0,0,IF($F43&amp;"/Día"=AC$9,ROUND(AF43/AA43,4),""))</f>
        <v/>
      </c>
      <c r="AF43" s="40" t="str">
        <f t="shared" ref="AF43:AF51" si="30">IF(AA43&lt;&gt;"",$P43,"")</f>
        <v/>
      </c>
      <c r="AG43" s="50"/>
      <c r="AI43" s="257"/>
    </row>
    <row r="44" spans="1:35" x14ac:dyDescent="0.2">
      <c r="A44" s="23" t="s">
        <v>28</v>
      </c>
      <c r="B44" s="28">
        <v>8</v>
      </c>
      <c r="C44" s="57" t="s">
        <v>31</v>
      </c>
      <c r="D44" s="57" t="s">
        <v>30</v>
      </c>
      <c r="E44" s="57" t="s">
        <v>101</v>
      </c>
      <c r="F44" s="238" t="s">
        <v>37</v>
      </c>
      <c r="G44" s="222"/>
      <c r="H44" s="215"/>
      <c r="I44" s="217"/>
      <c r="J44" s="217"/>
      <c r="K44" s="222"/>
      <c r="L44" s="222"/>
      <c r="M44" s="222"/>
      <c r="N44" s="222"/>
      <c r="O44" s="224">
        <f t="shared" si="16"/>
        <v>0</v>
      </c>
      <c r="P44" s="222">
        <f t="shared" si="17"/>
        <v>0</v>
      </c>
      <c r="Q44" s="222">
        <f>ROUND($O44*R44,2)</f>
        <v>0</v>
      </c>
      <c r="R44" s="223">
        <v>0.15</v>
      </c>
      <c r="S44" s="222">
        <f t="shared" si="18"/>
        <v>0</v>
      </c>
      <c r="T44" s="258">
        <v>3.7499999999999999E-2</v>
      </c>
      <c r="U44" s="40">
        <f t="shared" si="19"/>
        <v>0</v>
      </c>
      <c r="V44" s="40">
        <f t="shared" si="20"/>
        <v>0</v>
      </c>
      <c r="W44" s="75">
        <f t="shared" si="21"/>
        <v>0</v>
      </c>
      <c r="X44" s="76">
        <f t="shared" si="22"/>
        <v>0</v>
      </c>
      <c r="Y44" s="76">
        <f t="shared" si="23"/>
        <v>0</v>
      </c>
      <c r="Z44" s="40">
        <f t="shared" si="24"/>
        <v>0</v>
      </c>
      <c r="AA44" s="40" t="str">
        <f t="shared" si="25"/>
        <v/>
      </c>
      <c r="AB44" s="40" t="str">
        <f t="shared" si="26"/>
        <v/>
      </c>
      <c r="AC44" s="75" t="str">
        <f t="shared" si="27"/>
        <v/>
      </c>
      <c r="AD44" s="76" t="str">
        <f t="shared" si="28"/>
        <v/>
      </c>
      <c r="AE44" s="76" t="str">
        <f t="shared" si="29"/>
        <v/>
      </c>
      <c r="AF44" s="40" t="str">
        <f t="shared" si="30"/>
        <v/>
      </c>
      <c r="AG44" s="50"/>
    </row>
    <row r="45" spans="1:35" x14ac:dyDescent="0.2">
      <c r="A45" s="23" t="s">
        <v>28</v>
      </c>
      <c r="B45" s="24" t="s">
        <v>12</v>
      </c>
      <c r="C45" s="57" t="s">
        <v>31</v>
      </c>
      <c r="D45" s="57" t="s">
        <v>30</v>
      </c>
      <c r="E45" s="57" t="s">
        <v>101</v>
      </c>
      <c r="F45" s="238" t="s">
        <v>56</v>
      </c>
      <c r="G45" s="215">
        <v>159353.63939999999</v>
      </c>
      <c r="H45" s="215">
        <v>8113.0945000000002</v>
      </c>
      <c r="I45" s="217"/>
      <c r="J45" s="217">
        <v>3.6053999999999999</v>
      </c>
      <c r="K45" s="222"/>
      <c r="L45" s="222"/>
      <c r="M45" s="222"/>
      <c r="N45" s="386">
        <v>1712.3</v>
      </c>
      <c r="O45" s="224">
        <f t="shared" si="16"/>
        <v>27538.65</v>
      </c>
      <c r="P45" s="321">
        <f t="shared" si="17"/>
        <v>5163.5</v>
      </c>
      <c r="Q45" s="222">
        <f>ROUND($O45*R45,2)</f>
        <v>1032.7</v>
      </c>
      <c r="R45" s="258">
        <v>3.7499999999999999E-2</v>
      </c>
      <c r="S45" s="222">
        <f t="shared" si="18"/>
        <v>4130.8</v>
      </c>
      <c r="T45" s="223">
        <v>0.15</v>
      </c>
      <c r="U45" s="40" t="str">
        <f t="shared" si="19"/>
        <v/>
      </c>
      <c r="V45" s="40" t="str">
        <f t="shared" si="20"/>
        <v/>
      </c>
      <c r="W45" s="75" t="str">
        <f t="shared" si="21"/>
        <v/>
      </c>
      <c r="X45" s="76" t="str">
        <f t="shared" si="22"/>
        <v/>
      </c>
      <c r="Y45" s="76" t="str">
        <f t="shared" si="23"/>
        <v/>
      </c>
      <c r="Z45" s="40" t="str">
        <f t="shared" si="24"/>
        <v/>
      </c>
      <c r="AA45" s="40">
        <f t="shared" si="25"/>
        <v>167466.73389999999</v>
      </c>
      <c r="AB45" s="40">
        <f t="shared" si="26"/>
        <v>27538.65</v>
      </c>
      <c r="AC45" s="75">
        <f t="shared" si="27"/>
        <v>5582.2</v>
      </c>
      <c r="AD45" s="76">
        <f t="shared" si="28"/>
        <v>0.16439999999999999</v>
      </c>
      <c r="AE45" s="76">
        <f t="shared" si="29"/>
        <v>3.0800000000000001E-2</v>
      </c>
      <c r="AF45" s="40">
        <f t="shared" si="30"/>
        <v>5163.5</v>
      </c>
      <c r="AG45" s="50"/>
      <c r="AI45" s="257"/>
    </row>
    <row r="46" spans="1:35" x14ac:dyDescent="0.2">
      <c r="A46" s="23" t="s">
        <v>28</v>
      </c>
      <c r="B46" s="24" t="s">
        <v>75</v>
      </c>
      <c r="C46" s="57" t="s">
        <v>31</v>
      </c>
      <c r="D46" s="57" t="s">
        <v>30</v>
      </c>
      <c r="E46" s="57" t="s">
        <v>103</v>
      </c>
      <c r="F46" s="238" t="s">
        <v>37</v>
      </c>
      <c r="G46" s="215">
        <v>1119</v>
      </c>
      <c r="H46" s="215">
        <v>82</v>
      </c>
      <c r="I46" s="217"/>
      <c r="J46" s="217">
        <v>58.711199999999998</v>
      </c>
      <c r="K46" s="222"/>
      <c r="L46" s="222"/>
      <c r="M46" s="222"/>
      <c r="N46" s="386">
        <v>3506.36</v>
      </c>
      <c r="O46" s="224">
        <f t="shared" si="16"/>
        <v>1307.9599999999996</v>
      </c>
      <c r="P46" s="321">
        <f t="shared" si="17"/>
        <v>245.24</v>
      </c>
      <c r="Q46" s="222">
        <f>ROUND($O46*R46,2)</f>
        <v>49.05</v>
      </c>
      <c r="R46" s="258">
        <v>3.7499999999999999E-2</v>
      </c>
      <c r="S46" s="222">
        <f t="shared" si="18"/>
        <v>196.19</v>
      </c>
      <c r="T46" s="223">
        <v>0.15</v>
      </c>
      <c r="U46" s="40">
        <f t="shared" si="19"/>
        <v>1201</v>
      </c>
      <c r="V46" s="40">
        <f t="shared" si="20"/>
        <v>1307.9599999999996</v>
      </c>
      <c r="W46" s="75">
        <f t="shared" si="21"/>
        <v>40</v>
      </c>
      <c r="X46" s="76">
        <f t="shared" si="22"/>
        <v>1.0891</v>
      </c>
      <c r="Y46" s="76">
        <f t="shared" si="23"/>
        <v>0.20419999999999999</v>
      </c>
      <c r="Z46" s="40">
        <f t="shared" si="24"/>
        <v>245.24</v>
      </c>
      <c r="AA46" s="40" t="str">
        <f t="shared" si="25"/>
        <v/>
      </c>
      <c r="AB46" s="40" t="str">
        <f t="shared" si="26"/>
        <v/>
      </c>
      <c r="AC46" s="75" t="str">
        <f t="shared" si="27"/>
        <v/>
      </c>
      <c r="AD46" s="76" t="str">
        <f t="shared" si="28"/>
        <v/>
      </c>
      <c r="AE46" s="76" t="str">
        <f t="shared" si="29"/>
        <v/>
      </c>
      <c r="AF46" s="40" t="str">
        <f t="shared" si="30"/>
        <v/>
      </c>
      <c r="AG46" s="50"/>
    </row>
    <row r="47" spans="1:35" x14ac:dyDescent="0.2">
      <c r="A47" s="23" t="s">
        <v>28</v>
      </c>
      <c r="B47" s="24" t="s">
        <v>32</v>
      </c>
      <c r="C47" s="57" t="s">
        <v>31</v>
      </c>
      <c r="D47" s="57" t="s">
        <v>30</v>
      </c>
      <c r="E47" s="57" t="s">
        <v>101</v>
      </c>
      <c r="F47" s="238" t="s">
        <v>37</v>
      </c>
      <c r="G47" s="222"/>
      <c r="H47" s="222"/>
      <c r="I47" s="217"/>
      <c r="J47" s="217"/>
      <c r="K47" s="222"/>
      <c r="L47" s="222"/>
      <c r="M47" s="222"/>
      <c r="N47" s="222"/>
      <c r="O47" s="224">
        <f t="shared" si="16"/>
        <v>0</v>
      </c>
      <c r="P47" s="222">
        <f t="shared" si="17"/>
        <v>0</v>
      </c>
      <c r="Q47" s="222">
        <f>ROUND($O47*R47,2)</f>
        <v>0</v>
      </c>
      <c r="R47" s="258">
        <v>3.7499999999999999E-2</v>
      </c>
      <c r="S47" s="222">
        <f t="shared" si="18"/>
        <v>0</v>
      </c>
      <c r="T47" s="223">
        <v>0.15</v>
      </c>
      <c r="U47" s="40">
        <f t="shared" si="19"/>
        <v>0</v>
      </c>
      <c r="V47" s="40">
        <f t="shared" si="20"/>
        <v>0</v>
      </c>
      <c r="W47" s="75">
        <f t="shared" si="21"/>
        <v>0</v>
      </c>
      <c r="X47" s="76">
        <f t="shared" si="22"/>
        <v>0</v>
      </c>
      <c r="Y47" s="76">
        <f t="shared" si="23"/>
        <v>0</v>
      </c>
      <c r="Z47" s="40">
        <f t="shared" si="24"/>
        <v>0</v>
      </c>
      <c r="AA47" s="40" t="str">
        <f t="shared" si="25"/>
        <v/>
      </c>
      <c r="AB47" s="40" t="str">
        <f t="shared" si="26"/>
        <v/>
      </c>
      <c r="AC47" s="75" t="str">
        <f t="shared" si="27"/>
        <v/>
      </c>
      <c r="AD47" s="76" t="str">
        <f t="shared" si="28"/>
        <v/>
      </c>
      <c r="AE47" s="76" t="str">
        <f t="shared" si="29"/>
        <v/>
      </c>
      <c r="AF47" s="40" t="str">
        <f t="shared" si="30"/>
        <v/>
      </c>
      <c r="AG47" s="50"/>
    </row>
    <row r="48" spans="1:35" x14ac:dyDescent="0.2">
      <c r="A48" s="23" t="s">
        <v>28</v>
      </c>
      <c r="B48" s="28">
        <v>102</v>
      </c>
      <c r="C48" s="57" t="s">
        <v>31</v>
      </c>
      <c r="D48" s="57" t="s">
        <v>30</v>
      </c>
      <c r="E48" s="57" t="s">
        <v>101</v>
      </c>
      <c r="F48" s="238" t="s">
        <v>37</v>
      </c>
      <c r="G48" s="215"/>
      <c r="H48" s="215"/>
      <c r="I48" s="217"/>
      <c r="J48" s="217"/>
      <c r="K48" s="215"/>
      <c r="L48" s="222"/>
      <c r="M48" s="222"/>
      <c r="N48" s="215"/>
      <c r="O48" s="224">
        <f t="shared" si="16"/>
        <v>0</v>
      </c>
      <c r="P48" s="222">
        <f t="shared" si="17"/>
        <v>0</v>
      </c>
      <c r="Q48" s="222">
        <f>P48-S48</f>
        <v>0</v>
      </c>
      <c r="R48" s="223">
        <v>0.15</v>
      </c>
      <c r="S48" s="222">
        <f t="shared" si="18"/>
        <v>0</v>
      </c>
      <c r="T48" s="258">
        <v>3.7499999999999999E-2</v>
      </c>
      <c r="U48" s="40">
        <f>IF($F48&amp;"/Día"=W$9,SUM($G48:$H48),"")</f>
        <v>0</v>
      </c>
      <c r="V48" s="40">
        <f>IF(U48&lt;&gt;"",$O48,"")</f>
        <v>0</v>
      </c>
      <c r="W48" s="75">
        <f>IF($F48&amp;"/Día"=W$9,ROUND(U48/$W$1,1),"")</f>
        <v>0</v>
      </c>
      <c r="X48" s="76">
        <f>IF(U48=0,0,IF($F48&amp;"/Día"=W$9,ROUND(V48/U48,4),""))</f>
        <v>0</v>
      </c>
      <c r="Y48" s="76">
        <f>IF(U48=0,0,IF($F48&amp;"/Día"=W$9,ROUND(Z48/U48,4),""))</f>
        <v>0</v>
      </c>
      <c r="Z48" s="40">
        <f>IF(U48&lt;&gt;"",$P48,"")</f>
        <v>0</v>
      </c>
      <c r="AA48" s="40" t="str">
        <f>IF($F48&amp;"/Día"=AC$9,SUM($G48:$H48),"")</f>
        <v/>
      </c>
      <c r="AB48" s="40" t="str">
        <f>IF(AA48&lt;&gt;"",$O48,"")</f>
        <v/>
      </c>
      <c r="AC48" s="75" t="str">
        <f>IF($F48&amp;"/Día"=AC$9,ROUND(AA48/$W$1,1),"")</f>
        <v/>
      </c>
      <c r="AD48" s="76" t="str">
        <f>IF(AA48=0,0,IF($F48&amp;"/Día"=AC$9,ROUND(AB48/AA48,4),""))</f>
        <v/>
      </c>
      <c r="AE48" s="76" t="str">
        <f>IF(AA48=0,0,IF($F48&amp;"/Día"=AC$9,ROUND(AF48/AA48,4),""))</f>
        <v/>
      </c>
      <c r="AF48" s="40" t="str">
        <f>IF(AA48&lt;&gt;"",$P48,"")</f>
        <v/>
      </c>
      <c r="AG48" s="50"/>
    </row>
    <row r="49" spans="1:39" x14ac:dyDescent="0.2">
      <c r="A49" s="23" t="s">
        <v>28</v>
      </c>
      <c r="B49" s="28">
        <v>95</v>
      </c>
      <c r="C49" s="57" t="s">
        <v>31</v>
      </c>
      <c r="D49" s="57" t="s">
        <v>30</v>
      </c>
      <c r="E49" s="57" t="s">
        <v>101</v>
      </c>
      <c r="F49" s="238" t="s">
        <v>37</v>
      </c>
      <c r="G49" s="215">
        <v>314179</v>
      </c>
      <c r="H49" s="215">
        <v>309598</v>
      </c>
      <c r="I49" s="217"/>
      <c r="J49" s="217">
        <v>52.616</v>
      </c>
      <c r="K49" s="215"/>
      <c r="L49" s="222"/>
      <c r="M49" s="222"/>
      <c r="N49" s="386">
        <v>5430.5</v>
      </c>
      <c r="O49" s="224">
        <f t="shared" si="16"/>
        <v>16284377.869999999</v>
      </c>
      <c r="P49" s="672">
        <f t="shared" si="17"/>
        <v>3053320.85</v>
      </c>
      <c r="Q49" s="222">
        <f>P49-S49</f>
        <v>2442656.6800000002</v>
      </c>
      <c r="R49" s="223">
        <v>0.15</v>
      </c>
      <c r="S49" s="222">
        <f t="shared" si="18"/>
        <v>610664.17000000004</v>
      </c>
      <c r="T49" s="258">
        <v>3.7499999999999999E-2</v>
      </c>
      <c r="U49" s="40">
        <f>IF($F49&amp;"/Día"=W$9,SUM($G49:$H49),"")</f>
        <v>623777</v>
      </c>
      <c r="V49" s="40">
        <f>IF(U49&lt;&gt;"",$O49,"")</f>
        <v>16284377.869999999</v>
      </c>
      <c r="W49" s="75">
        <f>IF($F49&amp;"/Día"=W$9,ROUND(U49/$W$1,1),"")</f>
        <v>20792.599999999999</v>
      </c>
      <c r="X49" s="76">
        <f>IF(U49=0,0,IF($F49&amp;"/Día"=W$9,ROUND(V49/U49,4),""))</f>
        <v>26.106100000000001</v>
      </c>
      <c r="Y49" s="76">
        <f>IF(U49=0,0,IF($F49&amp;"/Día"=W$9,ROUND(Z49/U49,4),""))</f>
        <v>4.8948999999999998</v>
      </c>
      <c r="Z49" s="40">
        <f>IF(U49&lt;&gt;"",$P49,"")</f>
        <v>3053320.85</v>
      </c>
      <c r="AA49" s="40" t="str">
        <f>IF($F49&amp;"/Día"=AC$9,SUM($G49:$H49),"")</f>
        <v/>
      </c>
      <c r="AB49" s="40" t="str">
        <f>IF(AA49&lt;&gt;"",$O49,"")</f>
        <v/>
      </c>
      <c r="AC49" s="75" t="str">
        <f>IF($F49&amp;"/Día"=AC$9,ROUND(AA49/$W$1,1),"")</f>
        <v/>
      </c>
      <c r="AD49" s="76" t="str">
        <f>IF(AA49=0,0,IF($F49&amp;"/Día"=AC$9,ROUND(AB49/AA49,4),""))</f>
        <v/>
      </c>
      <c r="AE49" s="76" t="str">
        <f>IF(AA49=0,0,IF($F49&amp;"/Día"=AC$9,ROUND(AF49/AA49,4),""))</f>
        <v/>
      </c>
      <c r="AF49" s="40" t="str">
        <f>IF(AA49&lt;&gt;"",$P49,"")</f>
        <v/>
      </c>
      <c r="AG49" s="50"/>
      <c r="AJ49" s="257">
        <f>AK49-P49</f>
        <v>-0.85999999986961484</v>
      </c>
      <c r="AK49" s="1">
        <v>3053319.99</v>
      </c>
    </row>
    <row r="50" spans="1:39" x14ac:dyDescent="0.2">
      <c r="A50" s="23" t="s">
        <v>28</v>
      </c>
      <c r="B50" s="272">
        <v>67</v>
      </c>
      <c r="C50" s="57" t="s">
        <v>31</v>
      </c>
      <c r="D50" s="57" t="s">
        <v>30</v>
      </c>
      <c r="E50" s="57" t="s">
        <v>101</v>
      </c>
      <c r="F50" s="238" t="s">
        <v>37</v>
      </c>
      <c r="G50" s="215"/>
      <c r="H50" s="215"/>
      <c r="I50" s="217"/>
      <c r="J50" s="217"/>
      <c r="K50" s="215"/>
      <c r="L50" s="222"/>
      <c r="M50" s="577"/>
      <c r="N50" s="222"/>
      <c r="O50" s="224">
        <f t="shared" si="16"/>
        <v>0</v>
      </c>
      <c r="P50" s="222">
        <f t="shared" si="17"/>
        <v>0</v>
      </c>
      <c r="Q50" s="222">
        <f>P50-S50</f>
        <v>0</v>
      </c>
      <c r="R50" s="223">
        <v>0.15</v>
      </c>
      <c r="S50" s="222">
        <f t="shared" si="18"/>
        <v>0</v>
      </c>
      <c r="T50" s="258">
        <v>3.7499999999999999E-2</v>
      </c>
      <c r="U50" s="40">
        <f>IF($F50&amp;"/Día"=W$9,SUM($G50:$H50),"")</f>
        <v>0</v>
      </c>
      <c r="V50" s="40">
        <f>IF(U50&lt;&gt;"",$O50,"")</f>
        <v>0</v>
      </c>
      <c r="W50" s="75">
        <f>IF($F50&amp;"/Día"=W$9,ROUND(U50/$W$1,1),"")</f>
        <v>0</v>
      </c>
      <c r="X50" s="76">
        <f>IF(U50=0,0,IF($F50&amp;"/Día"=W$9,ROUND(V50/U50,4),""))</f>
        <v>0</v>
      </c>
      <c r="Y50" s="76">
        <f>IF(U50=0,0,IF($F50&amp;"/Día"=W$9,ROUND(Z50/U50,4),""))</f>
        <v>0</v>
      </c>
      <c r="Z50" s="40">
        <f>IF(U50&lt;&gt;"",$P50,"")</f>
        <v>0</v>
      </c>
      <c r="AA50" s="40" t="str">
        <f>IF($F50&amp;"/Día"=AC$9,SUM($G50:$H50),"")</f>
        <v/>
      </c>
      <c r="AB50" s="40" t="str">
        <f>IF(AA50&lt;&gt;"",$O50,"")</f>
        <v/>
      </c>
      <c r="AC50" s="75" t="str">
        <f>IF($F50&amp;"/Día"=AC$9,ROUND(AA50/$W$1,1),"")</f>
        <v/>
      </c>
      <c r="AD50" s="76" t="str">
        <f>IF(AA50=0,0,IF($F50&amp;"/Día"=AC$9,ROUND(AB50/AA50,4),""))</f>
        <v/>
      </c>
      <c r="AE50" s="76" t="str">
        <f>IF(AA50=0,0,IF($F50&amp;"/Día"=AC$9,ROUND(AF50/AA50,4),""))</f>
        <v/>
      </c>
      <c r="AF50" s="40" t="str">
        <f>IF(AA50&lt;&gt;"",$P50,"")</f>
        <v/>
      </c>
      <c r="AG50" s="50"/>
    </row>
    <row r="51" spans="1:39" x14ac:dyDescent="0.2">
      <c r="A51" s="18" t="s">
        <v>28</v>
      </c>
      <c r="B51" s="29" t="s">
        <v>54</v>
      </c>
      <c r="C51" s="56"/>
      <c r="D51" s="27"/>
      <c r="E51" s="27"/>
      <c r="F51" s="238"/>
      <c r="G51" s="222"/>
      <c r="H51" s="222"/>
      <c r="I51" s="216"/>
      <c r="J51" s="216"/>
      <c r="K51" s="222"/>
      <c r="L51" s="222"/>
      <c r="M51" s="222"/>
      <c r="N51" s="222"/>
      <c r="O51" s="222"/>
      <c r="P51" s="222"/>
      <c r="Q51" s="222"/>
      <c r="R51" s="222"/>
      <c r="S51" s="222"/>
      <c r="T51" s="223"/>
      <c r="U51" s="40" t="str">
        <f t="shared" si="19"/>
        <v/>
      </c>
      <c r="V51" s="40" t="str">
        <f t="shared" si="20"/>
        <v/>
      </c>
      <c r="W51" s="75" t="str">
        <f t="shared" si="21"/>
        <v/>
      </c>
      <c r="X51" s="76" t="str">
        <f t="shared" si="22"/>
        <v/>
      </c>
      <c r="Y51" s="76" t="str">
        <f t="shared" si="23"/>
        <v/>
      </c>
      <c r="Z51" s="40" t="str">
        <f t="shared" si="24"/>
        <v/>
      </c>
      <c r="AA51" s="40" t="str">
        <f t="shared" si="25"/>
        <v/>
      </c>
      <c r="AB51" s="40" t="str">
        <f t="shared" si="26"/>
        <v/>
      </c>
      <c r="AC51" s="75" t="str">
        <f t="shared" si="27"/>
        <v/>
      </c>
      <c r="AD51" s="76" t="str">
        <f t="shared" si="28"/>
        <v/>
      </c>
      <c r="AE51" s="76" t="str">
        <f t="shared" si="29"/>
        <v/>
      </c>
      <c r="AF51" s="40" t="str">
        <f t="shared" si="30"/>
        <v/>
      </c>
      <c r="AG51" s="50"/>
    </row>
    <row r="52" spans="1:39" x14ac:dyDescent="0.2">
      <c r="A52" s="30"/>
      <c r="B52" s="153" t="s">
        <v>108</v>
      </c>
      <c r="C52" s="31" t="str">
        <f>TEXT(A$42,)&amp;" US$"</f>
        <v>Loreto / Ucayali US$</v>
      </c>
      <c r="D52" s="19"/>
      <c r="E52" s="19"/>
      <c r="F52" s="251"/>
      <c r="G52" s="249"/>
      <c r="H52" s="249"/>
      <c r="I52" s="250"/>
      <c r="J52" s="240"/>
      <c r="K52" s="239"/>
      <c r="L52" s="239"/>
      <c r="M52" s="239"/>
      <c r="N52" s="227"/>
      <c r="O52" s="227">
        <f>SUM(O43:O51)</f>
        <v>16313224.479999999</v>
      </c>
      <c r="P52" s="227">
        <f>SUM(P43:P51)</f>
        <v>3058729.5900000003</v>
      </c>
      <c r="Q52" s="227">
        <f>SUM(Q43:Q51)</f>
        <v>2443738.4300000002</v>
      </c>
      <c r="R52" s="241"/>
      <c r="S52" s="227">
        <f>SUM(S43:S51)</f>
        <v>614991.16</v>
      </c>
      <c r="T52" s="229"/>
      <c r="U52" s="77">
        <f>SUM(U43:U51)</f>
        <v>624978</v>
      </c>
      <c r="V52" s="77">
        <f>SUM(V43:V51)</f>
        <v>16285685.83</v>
      </c>
      <c r="W52" s="78">
        <f>SUM(W43:W51)</f>
        <v>20832.599999999999</v>
      </c>
      <c r="X52" s="79">
        <f>ROUND(V52/U52,4)</f>
        <v>26.058</v>
      </c>
      <c r="Y52" s="79">
        <f>ROUND(Z52/U52,4)</f>
        <v>4.8859000000000004</v>
      </c>
      <c r="Z52" s="77">
        <f>SUM(Z43:Z51)</f>
        <v>3053566.0900000003</v>
      </c>
      <c r="AA52" s="77">
        <f>SUM(AA43:AA51)</f>
        <v>167466.73389999999</v>
      </c>
      <c r="AB52" s="77">
        <f>SUM(AB43:AB51)</f>
        <v>27538.65</v>
      </c>
      <c r="AC52" s="78">
        <f>SUM(AC43:AC51)</f>
        <v>5582.2</v>
      </c>
      <c r="AD52" s="79">
        <f>ROUND(AB52/AA52,4)</f>
        <v>0.16439999999999999</v>
      </c>
      <c r="AE52" s="79">
        <f>ROUND(AF52/AA52,4)</f>
        <v>3.0800000000000001E-2</v>
      </c>
      <c r="AF52" s="77">
        <f>SUM(AF43:AF51)</f>
        <v>5163.5</v>
      </c>
      <c r="AG52" s="77">
        <f>P52-Z52-AF52</f>
        <v>0</v>
      </c>
    </row>
    <row r="53" spans="1:39" x14ac:dyDescent="0.2">
      <c r="A53" s="145"/>
      <c r="B53" s="146"/>
      <c r="C53" s="31" t="str">
        <f>TEXT(A$42,)&amp;" S/."</f>
        <v>Loreto / Ucayali S/.</v>
      </c>
      <c r="D53" s="103"/>
      <c r="E53" s="103"/>
      <c r="F53" s="145"/>
      <c r="G53" s="208"/>
      <c r="H53" s="208"/>
      <c r="I53" s="205"/>
      <c r="J53" s="205"/>
      <c r="K53" s="208"/>
      <c r="L53" s="208"/>
      <c r="M53" s="208"/>
      <c r="N53" s="208"/>
      <c r="O53" s="211"/>
      <c r="P53" s="211">
        <f>ROUND($F$1*P52,2)</f>
        <v>0</v>
      </c>
      <c r="Q53" s="363">
        <f>ROUND($F$1*Q52,2)</f>
        <v>0</v>
      </c>
      <c r="R53" s="160"/>
      <c r="S53" s="363">
        <f>ROUND($F$1*S52,2)</f>
        <v>0</v>
      </c>
      <c r="T53" s="148"/>
      <c r="U53" s="149"/>
      <c r="V53" s="149"/>
      <c r="W53" s="150"/>
      <c r="X53" s="151"/>
      <c r="Y53" s="151"/>
      <c r="Z53" s="149"/>
      <c r="AA53" s="149"/>
      <c r="AB53" s="149"/>
      <c r="AC53" s="150"/>
      <c r="AD53" s="151"/>
      <c r="AE53" s="151"/>
      <c r="AF53" s="149"/>
      <c r="AG53" s="149"/>
    </row>
    <row r="54" spans="1:39" x14ac:dyDescent="0.2">
      <c r="A54" s="15" t="s">
        <v>161</v>
      </c>
      <c r="B54" s="16"/>
      <c r="C54" s="16"/>
      <c r="D54" s="16"/>
      <c r="E54" s="21"/>
      <c r="F54" s="15"/>
      <c r="G54" s="206"/>
      <c r="H54" s="207"/>
      <c r="I54" s="203"/>
      <c r="J54" s="204"/>
      <c r="K54" s="206"/>
      <c r="L54" s="206"/>
      <c r="M54" s="206"/>
      <c r="N54" s="206"/>
      <c r="O54" s="206"/>
      <c r="P54" s="213" t="s">
        <v>163</v>
      </c>
      <c r="Q54" s="213" t="s">
        <v>161</v>
      </c>
      <c r="R54" s="169"/>
      <c r="S54" s="212"/>
      <c r="T54" s="180"/>
      <c r="U54" s="149"/>
      <c r="V54" s="149"/>
      <c r="W54" s="150"/>
      <c r="X54" s="151"/>
      <c r="Y54" s="151"/>
      <c r="Z54" s="149"/>
      <c r="AA54" s="149"/>
      <c r="AB54" s="149"/>
      <c r="AC54" s="150"/>
      <c r="AD54" s="151"/>
      <c r="AE54" s="151"/>
      <c r="AF54" s="149"/>
      <c r="AG54" s="149"/>
    </row>
    <row r="55" spans="1:39" x14ac:dyDescent="0.2">
      <c r="A55" s="23" t="s">
        <v>28</v>
      </c>
      <c r="B55" s="24" t="s">
        <v>160</v>
      </c>
      <c r="C55" s="57" t="s">
        <v>31</v>
      </c>
      <c r="D55" s="57" t="s">
        <v>30</v>
      </c>
      <c r="E55" s="57" t="s">
        <v>158</v>
      </c>
      <c r="F55" s="238" t="s">
        <v>37</v>
      </c>
      <c r="G55" s="222">
        <v>717572</v>
      </c>
      <c r="H55" s="222">
        <v>710328</v>
      </c>
      <c r="I55" s="216"/>
      <c r="J55" s="216">
        <v>43.050800000000002</v>
      </c>
      <c r="K55" s="222"/>
      <c r="L55" s="222"/>
      <c r="M55" s="222"/>
      <c r="N55" s="222"/>
      <c r="O55" s="224">
        <f>G55*I55+H55*J55</f>
        <v>30580188.662400004</v>
      </c>
      <c r="P55" s="585">
        <f>ROUND(37.24%*(G55*I55+H55*J55),2)</f>
        <v>11388062.26</v>
      </c>
      <c r="Q55" s="585">
        <f t="shared" ref="Q55:Q60" si="31">ROUND(R55*P55,2)</f>
        <v>5694031.1299999999</v>
      </c>
      <c r="R55" s="223">
        <v>0.5</v>
      </c>
      <c r="S55" s="222"/>
      <c r="T55" s="258"/>
      <c r="U55" s="40">
        <f t="shared" ref="U55:U61" si="32">IF($F55&amp;"/Día"=W$9,SUM($G55:$H55),"")</f>
        <v>1427900</v>
      </c>
      <c r="V55" s="40">
        <f t="shared" ref="V55:V61" si="33">IF(U55&lt;&gt;"",$O55,"")</f>
        <v>30580188.662400004</v>
      </c>
      <c r="W55" s="75">
        <f t="shared" ref="W55:W61" si="34">IF($F55&amp;"/Día"=W$9,ROUND(U55/$W$1,1),"")</f>
        <v>47596.7</v>
      </c>
      <c r="X55" s="76">
        <f t="shared" ref="X55:X61" si="35">IF(U55=0,0,IF($F55&amp;"/Día"=W$9,ROUND(V55/U55,4),""))</f>
        <v>21.4162</v>
      </c>
      <c r="Y55" s="76">
        <f t="shared" ref="Y55:Y61" si="36">IF(U55=0,0,IF($F55&amp;"/Día"=W$9,ROUND(Z55/U55,4),""))</f>
        <v>3.9876999999999998</v>
      </c>
      <c r="Z55" s="40">
        <f t="shared" ref="Z55:Z61" si="37">IF(U55&lt;&gt;"",$Q55,"")</f>
        <v>5694031.1299999999</v>
      </c>
      <c r="AA55" s="40" t="str">
        <f t="shared" ref="AA55:AA61" si="38">IF($F55&amp;"/Día"=AC$9,SUM($G55:$H55),"")</f>
        <v/>
      </c>
      <c r="AB55" s="40" t="str">
        <f t="shared" ref="AB55:AB61" si="39">IF(AA55&lt;&gt;"",$O55,"")</f>
        <v/>
      </c>
      <c r="AC55" s="75" t="str">
        <f t="shared" ref="AC55:AC61" si="40">IF($F55&amp;"/Día"=AC$9,ROUND(AA55/$W$1,1),"")</f>
        <v/>
      </c>
      <c r="AD55" s="76" t="str">
        <f t="shared" ref="AD55:AD61" si="41">IF(AA55=0,0,IF($F55&amp;"/Día"=AC$9,ROUND(AB55/AA55,4),""))</f>
        <v/>
      </c>
      <c r="AE55" s="76" t="str">
        <f t="shared" ref="AE55:AE61" si="42">IF(AA55=0,0,IF($F55&amp;"/Día"=AC$9,ROUND(AF55/AA55,4),""))</f>
        <v/>
      </c>
      <c r="AF55" s="40" t="str">
        <f t="shared" ref="AF55:AF61" si="43">IF(AA55&lt;&gt;"",$Q55,"")</f>
        <v/>
      </c>
      <c r="AG55" s="149"/>
    </row>
    <row r="56" spans="1:39" x14ac:dyDescent="0.2">
      <c r="A56" s="23" t="s">
        <v>28</v>
      </c>
      <c r="B56" s="24" t="s">
        <v>159</v>
      </c>
      <c r="C56" s="57" t="s">
        <v>31</v>
      </c>
      <c r="D56" s="57" t="s">
        <v>30</v>
      </c>
      <c r="E56" s="57" t="s">
        <v>158</v>
      </c>
      <c r="F56" s="238" t="s">
        <v>56</v>
      </c>
      <c r="G56" s="222">
        <f>G413</f>
        <v>14403588.9497</v>
      </c>
      <c r="H56" s="222">
        <f>H421</f>
        <v>12762904.465799998</v>
      </c>
      <c r="I56" s="216"/>
      <c r="J56" s="216">
        <f>J421</f>
        <v>2.6288999999999998</v>
      </c>
      <c r="K56" s="222"/>
      <c r="L56" s="222"/>
      <c r="M56" s="222"/>
      <c r="N56" s="222"/>
      <c r="O56" s="253">
        <f>O405</f>
        <v>74052895.769999996</v>
      </c>
      <c r="P56" s="253">
        <f>P405</f>
        <v>27636036.690000001</v>
      </c>
      <c r="Q56" s="253">
        <f>Q405</f>
        <v>13818018.360000001</v>
      </c>
      <c r="R56" s="223">
        <v>0.5</v>
      </c>
      <c r="S56" s="222"/>
      <c r="T56" s="223"/>
      <c r="U56" s="40" t="str">
        <f t="shared" si="32"/>
        <v/>
      </c>
      <c r="V56" s="40" t="str">
        <f t="shared" si="33"/>
        <v/>
      </c>
      <c r="W56" s="75" t="str">
        <f t="shared" si="34"/>
        <v/>
      </c>
      <c r="X56" s="76" t="str">
        <f t="shared" si="35"/>
        <v/>
      </c>
      <c r="Y56" s="76" t="str">
        <f t="shared" si="36"/>
        <v/>
      </c>
      <c r="Z56" s="40" t="str">
        <f t="shared" si="37"/>
        <v/>
      </c>
      <c r="AA56" s="40">
        <f t="shared" si="38"/>
        <v>27166493.4155</v>
      </c>
      <c r="AB56" s="40">
        <f t="shared" si="39"/>
        <v>74052895.769999996</v>
      </c>
      <c r="AC56" s="75">
        <f t="shared" si="40"/>
        <v>905549.8</v>
      </c>
      <c r="AD56" s="76">
        <f t="shared" si="41"/>
        <v>2.7259000000000002</v>
      </c>
      <c r="AE56" s="76">
        <f t="shared" si="42"/>
        <v>0.50860000000000005</v>
      </c>
      <c r="AF56" s="40">
        <f t="shared" si="43"/>
        <v>13818018.360000001</v>
      </c>
      <c r="AG56" s="149"/>
    </row>
    <row r="57" spans="1:39" x14ac:dyDescent="0.2">
      <c r="A57" s="23" t="s">
        <v>28</v>
      </c>
      <c r="B57" s="24" t="s">
        <v>168</v>
      </c>
      <c r="C57" s="57" t="s">
        <v>31</v>
      </c>
      <c r="D57" s="57" t="s">
        <v>30</v>
      </c>
      <c r="E57" s="57" t="s">
        <v>158</v>
      </c>
      <c r="F57" s="238" t="s">
        <v>37</v>
      </c>
      <c r="G57" s="222">
        <v>178347</v>
      </c>
      <c r="H57" s="222">
        <v>177661</v>
      </c>
      <c r="I57" s="216"/>
      <c r="J57" s="216">
        <v>43.0503</v>
      </c>
      <c r="K57" s="222"/>
      <c r="L57" s="222"/>
      <c r="M57" s="222"/>
      <c r="N57" s="222"/>
      <c r="O57" s="224">
        <f>G57*I57+H57*J57</f>
        <v>7648359.3482999997</v>
      </c>
      <c r="P57" s="585">
        <f>ROUND(40%*G57*I57,2)+ROUND(40%*H57*J57,2)</f>
        <v>3059343.74</v>
      </c>
      <c r="Q57" s="253">
        <f t="shared" si="31"/>
        <v>1529671.87</v>
      </c>
      <c r="R57" s="223">
        <v>0.5</v>
      </c>
      <c r="S57" s="222"/>
      <c r="T57" s="223"/>
      <c r="U57" s="40">
        <f t="shared" si="32"/>
        <v>356008</v>
      </c>
      <c r="V57" s="40">
        <f t="shared" si="33"/>
        <v>7648359.3482999997</v>
      </c>
      <c r="W57" s="75">
        <f t="shared" si="34"/>
        <v>11866.9</v>
      </c>
      <c r="X57" s="76">
        <f t="shared" si="35"/>
        <v>21.483699999999999</v>
      </c>
      <c r="Y57" s="76">
        <f t="shared" si="36"/>
        <v>4.2967000000000004</v>
      </c>
      <c r="Z57" s="40">
        <f t="shared" si="37"/>
        <v>1529671.87</v>
      </c>
      <c r="AA57" s="40" t="str">
        <f t="shared" si="38"/>
        <v/>
      </c>
      <c r="AB57" s="40" t="str">
        <f t="shared" si="39"/>
        <v/>
      </c>
      <c r="AC57" s="75" t="str">
        <f t="shared" si="40"/>
        <v/>
      </c>
      <c r="AD57" s="76" t="str">
        <f t="shared" si="41"/>
        <v/>
      </c>
      <c r="AE57" s="76" t="str">
        <f t="shared" si="42"/>
        <v/>
      </c>
      <c r="AF57" s="40" t="str">
        <f t="shared" si="43"/>
        <v/>
      </c>
      <c r="AG57" s="149"/>
    </row>
    <row r="58" spans="1:39" x14ac:dyDescent="0.2">
      <c r="A58" s="23" t="s">
        <v>28</v>
      </c>
      <c r="B58" s="24" t="s">
        <v>169</v>
      </c>
      <c r="C58" s="57" t="s">
        <v>31</v>
      </c>
      <c r="D58" s="57" t="s">
        <v>30</v>
      </c>
      <c r="E58" s="57" t="s">
        <v>158</v>
      </c>
      <c r="F58" s="238" t="s">
        <v>56</v>
      </c>
      <c r="G58" s="222">
        <v>5247656.3360000001</v>
      </c>
      <c r="H58" s="222">
        <v>5344313.6826999998</v>
      </c>
      <c r="I58" s="558"/>
      <c r="J58" s="216">
        <v>2.7309999999999999</v>
      </c>
      <c r="K58" s="222"/>
      <c r="L58" s="222"/>
      <c r="M58" s="222"/>
      <c r="N58" s="222"/>
      <c r="O58" s="224">
        <f>G58*I58+H58*J58</f>
        <v>14595320.667453699</v>
      </c>
      <c r="P58" s="629">
        <f>ROUND(38%*G58*I58,2)+ROUND(38%*H58*J58,2)</f>
        <v>5546221.8499999996</v>
      </c>
      <c r="Q58" s="621">
        <f t="shared" si="31"/>
        <v>2773110.93</v>
      </c>
      <c r="R58" s="223">
        <v>0.5</v>
      </c>
      <c r="S58" s="222"/>
      <c r="T58" s="223"/>
      <c r="U58" s="40" t="str">
        <f t="shared" si="32"/>
        <v/>
      </c>
      <c r="V58" s="40" t="str">
        <f t="shared" si="33"/>
        <v/>
      </c>
      <c r="W58" s="75" t="str">
        <f t="shared" si="34"/>
        <v/>
      </c>
      <c r="X58" s="76" t="str">
        <f t="shared" si="35"/>
        <v/>
      </c>
      <c r="Y58" s="76" t="str">
        <f t="shared" si="36"/>
        <v/>
      </c>
      <c r="Z58" s="40" t="str">
        <f t="shared" si="37"/>
        <v/>
      </c>
      <c r="AA58" s="40">
        <f t="shared" si="38"/>
        <v>10591970.0187</v>
      </c>
      <c r="AB58" s="40">
        <f t="shared" si="39"/>
        <v>14595320.667453699</v>
      </c>
      <c r="AC58" s="75">
        <f t="shared" si="40"/>
        <v>353065.7</v>
      </c>
      <c r="AD58" s="76">
        <f t="shared" si="41"/>
        <v>1.3779999999999999</v>
      </c>
      <c r="AE58" s="76">
        <f t="shared" si="42"/>
        <v>0.26179999999999998</v>
      </c>
      <c r="AF58" s="40">
        <f t="shared" si="43"/>
        <v>2773110.93</v>
      </c>
      <c r="AG58" s="149"/>
    </row>
    <row r="59" spans="1:39" x14ac:dyDescent="0.2">
      <c r="A59" s="23" t="s">
        <v>28</v>
      </c>
      <c r="B59" s="28" t="s">
        <v>175</v>
      </c>
      <c r="C59" s="57" t="s">
        <v>31</v>
      </c>
      <c r="D59" s="57" t="s">
        <v>30</v>
      </c>
      <c r="E59" s="57" t="s">
        <v>158</v>
      </c>
      <c r="F59" s="238" t="s">
        <v>37</v>
      </c>
      <c r="G59" s="222">
        <v>249009</v>
      </c>
      <c r="H59" s="222">
        <v>239293</v>
      </c>
      <c r="I59" s="216"/>
      <c r="J59" s="216">
        <v>41.470300000000002</v>
      </c>
      <c r="K59" s="215"/>
      <c r="L59" s="222"/>
      <c r="M59" s="222"/>
      <c r="N59" s="215"/>
      <c r="O59" s="224">
        <f>G59*I59+H59*J59</f>
        <v>9923552.4978999998</v>
      </c>
      <c r="P59" s="628">
        <f>ROUND(G59*I59,2)*6.83%+ROUND(H59*J59,2)*6.73%</f>
        <v>667855.08325000003</v>
      </c>
      <c r="Q59" s="253">
        <f t="shared" si="31"/>
        <v>333927.53999999998</v>
      </c>
      <c r="R59" s="223">
        <v>0.5</v>
      </c>
      <c r="S59" s="222"/>
      <c r="T59" s="258"/>
      <c r="U59" s="40">
        <f>IF($F59&amp;"/Día"=W$9,SUM($G59:$H59),"")</f>
        <v>488302</v>
      </c>
      <c r="V59" s="40">
        <f t="shared" si="33"/>
        <v>9923552.4978999998</v>
      </c>
      <c r="W59" s="75">
        <f t="shared" si="34"/>
        <v>16276.7</v>
      </c>
      <c r="X59" s="76">
        <f t="shared" si="35"/>
        <v>20.322600000000001</v>
      </c>
      <c r="Y59" s="76">
        <f>IF(U59=0,0,IF($F59&amp;"/Día"=W$9,ROUND(Z59/U59,4),""))</f>
        <v>0.68389999999999995</v>
      </c>
      <c r="Z59" s="40">
        <f>IF(U59&lt;&gt;"",$Q59,"")</f>
        <v>333927.53999999998</v>
      </c>
      <c r="AA59" s="40" t="str">
        <f t="shared" si="38"/>
        <v/>
      </c>
      <c r="AB59" s="40" t="str">
        <f t="shared" si="39"/>
        <v/>
      </c>
      <c r="AC59" s="75" t="str">
        <f t="shared" si="40"/>
        <v/>
      </c>
      <c r="AD59" s="76" t="str">
        <f t="shared" si="41"/>
        <v/>
      </c>
      <c r="AE59" s="76" t="str">
        <f>IF(AA59=0,0,IF($F59&amp;"/Día"=AC$9,ROUND(AF59/AA59,4),""))</f>
        <v/>
      </c>
      <c r="AF59" s="40" t="str">
        <f>IF(AA59&lt;&gt;"",$Q59,"")</f>
        <v/>
      </c>
      <c r="AG59" s="149"/>
    </row>
    <row r="60" spans="1:39" x14ac:dyDescent="0.2">
      <c r="A60" s="23" t="s">
        <v>28</v>
      </c>
      <c r="B60" s="272" t="s">
        <v>176</v>
      </c>
      <c r="C60" s="57" t="s">
        <v>31</v>
      </c>
      <c r="D60" s="57" t="s">
        <v>30</v>
      </c>
      <c r="E60" s="57" t="s">
        <v>158</v>
      </c>
      <c r="F60" s="238" t="s">
        <v>56</v>
      </c>
      <c r="G60" s="222">
        <v>4227519.0322000002</v>
      </c>
      <c r="H60" s="222">
        <v>4064039.8777000001</v>
      </c>
      <c r="I60" s="216"/>
      <c r="J60" s="216">
        <v>5.2439999999999998</v>
      </c>
      <c r="K60" s="559"/>
      <c r="L60" s="222"/>
      <c r="M60" s="222"/>
      <c r="N60" s="215"/>
      <c r="O60" s="224">
        <f>G60*I60+H60*J60</f>
        <v>21311825.1186588</v>
      </c>
      <c r="P60" s="628">
        <f>ROUND(G60*I60,2)*11.62%+ROUND(H60*J60,2)*11.33%</f>
        <v>2414629.7860960001</v>
      </c>
      <c r="Q60" s="253">
        <f t="shared" si="31"/>
        <v>1207314.8899999999</v>
      </c>
      <c r="R60" s="223">
        <v>0.5</v>
      </c>
      <c r="S60" s="222"/>
      <c r="T60" s="258"/>
      <c r="U60" s="40" t="str">
        <f>IF($F60&amp;"/Día"=W$9,SUM($G60:$H60),"")</f>
        <v/>
      </c>
      <c r="V60" s="40" t="str">
        <f t="shared" si="33"/>
        <v/>
      </c>
      <c r="W60" s="75" t="str">
        <f t="shared" si="34"/>
        <v/>
      </c>
      <c r="X60" s="76" t="str">
        <f t="shared" si="35"/>
        <v/>
      </c>
      <c r="Y60" s="76" t="str">
        <f>IF(U60=0,0,IF($F60&amp;"/Día"=W$9,ROUND(Z60/U60,4),""))</f>
        <v/>
      </c>
      <c r="Z60" s="40" t="str">
        <f>IF(U60&lt;&gt;"",$Q60,"")</f>
        <v/>
      </c>
      <c r="AA60" s="40">
        <f t="shared" si="38"/>
        <v>8291558.9099000003</v>
      </c>
      <c r="AB60" s="40">
        <f t="shared" si="39"/>
        <v>21311825.1186588</v>
      </c>
      <c r="AC60" s="75">
        <f t="shared" si="40"/>
        <v>276385.3</v>
      </c>
      <c r="AD60" s="76">
        <f t="shared" si="41"/>
        <v>2.5703</v>
      </c>
      <c r="AE60" s="76">
        <f>IF(AA60=0,0,IF($F60&amp;"/Día"=AC$9,ROUND(AF60/AA60,4),""))</f>
        <v>0.14560000000000001</v>
      </c>
      <c r="AF60" s="40">
        <f>IF(AA60&lt;&gt;"",$Q60,"")</f>
        <v>1207314.8899999999</v>
      </c>
      <c r="AG60" s="149"/>
    </row>
    <row r="61" spans="1:39" x14ac:dyDescent="0.2">
      <c r="A61" s="181" t="s">
        <v>28</v>
      </c>
      <c r="B61" s="182" t="s">
        <v>162</v>
      </c>
      <c r="C61" s="183"/>
      <c r="D61" s="183"/>
      <c r="E61" s="184"/>
      <c r="F61" s="33"/>
      <c r="G61" s="261"/>
      <c r="H61" s="262"/>
      <c r="I61" s="262"/>
      <c r="J61" s="263"/>
      <c r="K61" s="263"/>
      <c r="L61" s="263"/>
      <c r="M61" s="187"/>
      <c r="N61" s="187"/>
      <c r="O61" s="198">
        <f>O317</f>
        <v>-1669118.0703099766</v>
      </c>
      <c r="P61" s="198">
        <f>P317</f>
        <v>-263808.19224899675</v>
      </c>
      <c r="Q61" s="198">
        <f>Q317</f>
        <v>-131904.07999999818</v>
      </c>
      <c r="R61" s="148"/>
      <c r="S61" s="188"/>
      <c r="T61" s="148"/>
      <c r="U61" s="40" t="str">
        <f t="shared" si="32"/>
        <v/>
      </c>
      <c r="V61" s="40" t="str">
        <f t="shared" si="33"/>
        <v/>
      </c>
      <c r="W61" s="75" t="str">
        <f t="shared" si="34"/>
        <v/>
      </c>
      <c r="X61" s="76" t="str">
        <f t="shared" si="35"/>
        <v/>
      </c>
      <c r="Y61" s="76" t="str">
        <f t="shared" si="36"/>
        <v/>
      </c>
      <c r="Z61" s="40" t="str">
        <f t="shared" si="37"/>
        <v/>
      </c>
      <c r="AA61" s="40" t="str">
        <f t="shared" si="38"/>
        <v/>
      </c>
      <c r="AB61" s="40" t="str">
        <f t="shared" si="39"/>
        <v/>
      </c>
      <c r="AC61" s="75" t="str">
        <f t="shared" si="40"/>
        <v/>
      </c>
      <c r="AD61" s="76" t="str">
        <f t="shared" si="41"/>
        <v/>
      </c>
      <c r="AE61" s="76" t="str">
        <f t="shared" si="42"/>
        <v/>
      </c>
      <c r="AF61" s="40" t="str">
        <f t="shared" si="43"/>
        <v/>
      </c>
      <c r="AG61" s="149"/>
    </row>
    <row r="62" spans="1:39" x14ac:dyDescent="0.2">
      <c r="A62" s="30"/>
      <c r="B62" s="153" t="s">
        <v>108</v>
      </c>
      <c r="C62" s="31" t="str">
        <f>TEXT(A$54,)&amp;" US$"</f>
        <v>Cusco US$</v>
      </c>
      <c r="D62" s="19"/>
      <c r="E62" s="19"/>
      <c r="F62" s="268"/>
      <c r="G62" s="254"/>
      <c r="H62" s="254"/>
      <c r="I62" s="304"/>
      <c r="J62" s="254"/>
      <c r="K62" s="265"/>
      <c r="L62" s="259"/>
      <c r="M62" s="303"/>
      <c r="N62" s="201"/>
      <c r="O62" s="201">
        <f>SUM(O55:O61)</f>
        <v>156443023.99440256</v>
      </c>
      <c r="P62" s="201">
        <f>SUM(P55:P61)</f>
        <v>50448341.217097007</v>
      </c>
      <c r="Q62" s="201">
        <f>SUM(Q55:Q61)</f>
        <v>25224170.640000004</v>
      </c>
      <c r="R62" s="560"/>
      <c r="S62" s="192"/>
      <c r="T62" s="148"/>
      <c r="U62" s="77">
        <f>SUM(U55:U61)</f>
        <v>2272210</v>
      </c>
      <c r="V62" s="77">
        <f>SUM(V55:V61)</f>
        <v>48152100.508600004</v>
      </c>
      <c r="W62" s="78">
        <f>SUM(W55:W61)</f>
        <v>75740.3</v>
      </c>
      <c r="X62" s="79">
        <f>ROUND(V62/U62,4)</f>
        <v>21.191700000000001</v>
      </c>
      <c r="Y62" s="79">
        <f>ROUND(Z62/U62,4)</f>
        <v>3.3260999999999998</v>
      </c>
      <c r="Z62" s="77">
        <f>SUM(Z55:Z61)</f>
        <v>7557630.54</v>
      </c>
      <c r="AA62" s="77">
        <f>SUM(AA55:AA61)</f>
        <v>46050022.344100006</v>
      </c>
      <c r="AB62" s="77">
        <f>SUM(AB55:AB61)</f>
        <v>109960041.55611248</v>
      </c>
      <c r="AC62" s="78">
        <f>SUM(AC55:AC61)</f>
        <v>1535000.8</v>
      </c>
      <c r="AD62" s="79">
        <f>ROUND(AB62/AA62,4)</f>
        <v>2.3877999999999999</v>
      </c>
      <c r="AE62" s="79">
        <f>ROUND(AF62/AA62,4)</f>
        <v>0.38650000000000001</v>
      </c>
      <c r="AF62" s="77">
        <f>SUM(AF55:AF61)</f>
        <v>17798444.18</v>
      </c>
      <c r="AG62" s="77">
        <f>Q62-Z62-AF62</f>
        <v>-131904.07999999449</v>
      </c>
    </row>
    <row r="63" spans="1:39" x14ac:dyDescent="0.2">
      <c r="A63" s="145"/>
      <c r="B63" s="146"/>
      <c r="C63" s="31" t="str">
        <f>TEXT(A$54,)&amp;" S/."</f>
        <v>Cusco S/.</v>
      </c>
      <c r="D63" s="103"/>
      <c r="E63" s="103"/>
      <c r="F63" s="268"/>
      <c r="G63" s="255" t="e">
        <f>SUMPRODUCT(I58:I58,G58:G58)/SUM(G58:G58)</f>
        <v>#VALUE!</v>
      </c>
      <c r="H63" s="255">
        <f>SUMPRODUCT(J58:J58,H58:H58)/SUM(H58:H58)</f>
        <v>2.7309999999999999</v>
      </c>
      <c r="I63" s="305"/>
      <c r="J63" s="254"/>
      <c r="K63" s="266"/>
      <c r="L63" s="260"/>
      <c r="M63" s="357"/>
      <c r="N63" s="358"/>
      <c r="O63" s="358"/>
      <c r="P63" s="194"/>
      <c r="Q63" s="194">
        <f>Q62*F1</f>
        <v>0</v>
      </c>
      <c r="R63" s="185"/>
      <c r="S63" s="192"/>
      <c r="T63" s="148"/>
      <c r="U63" s="149"/>
      <c r="V63" s="149"/>
      <c r="W63" s="150"/>
      <c r="X63" s="151"/>
      <c r="Y63" s="151"/>
      <c r="Z63" s="149"/>
      <c r="AA63" s="149"/>
      <c r="AB63" s="149"/>
      <c r="AC63" s="150"/>
      <c r="AD63" s="151"/>
      <c r="AE63" s="151"/>
      <c r="AF63" s="149"/>
      <c r="AG63" s="149"/>
      <c r="AJ63" s="51" t="s">
        <v>189</v>
      </c>
      <c r="AK63" s="143">
        <v>8616391.870000001</v>
      </c>
      <c r="AL63" s="143">
        <f>P35</f>
        <v>5193475.5199999996</v>
      </c>
      <c r="AM63" s="143" t="s">
        <v>23</v>
      </c>
    </row>
    <row r="64" spans="1:39" x14ac:dyDescent="0.2">
      <c r="A64" s="7" t="s">
        <v>55</v>
      </c>
      <c r="B64" s="8"/>
      <c r="C64" s="8"/>
      <c r="D64" s="8"/>
      <c r="E64" s="8"/>
      <c r="F64" s="269"/>
      <c r="G64" s="256" t="e">
        <f>G62*G63</f>
        <v>#VALUE!</v>
      </c>
      <c r="H64" s="256">
        <f>H62*H63</f>
        <v>0</v>
      </c>
      <c r="I64" s="254" t="e">
        <f>H64+G64</f>
        <v>#VALUE!</v>
      </c>
      <c r="J64" s="254" t="e">
        <f>O58+#REF!</f>
        <v>#REF!</v>
      </c>
      <c r="K64" s="306" t="e">
        <f>I64-J64</f>
        <v>#VALUE!</v>
      </c>
      <c r="L64" s="307"/>
      <c r="M64" s="211">
        <f>SUM(M10:M60)</f>
        <v>0</v>
      </c>
      <c r="N64" s="211">
        <f>SUM(N10:N60)</f>
        <v>32283.939999999995</v>
      </c>
      <c r="O64" s="211">
        <f>O35+O40+O52+O62</f>
        <v>201037381.60440254</v>
      </c>
      <c r="P64" s="363">
        <f>Q62+P52+P40+P35</f>
        <v>33563765.310000002</v>
      </c>
      <c r="Q64" s="196">
        <f>Q36+S36+Q41+Q53+S53+Q63</f>
        <v>0</v>
      </c>
      <c r="R64" s="55"/>
      <c r="S64" s="196"/>
      <c r="T64" s="55"/>
      <c r="U64" s="84">
        <f>U35+U40+U52+U62</f>
        <v>3559027.0806</v>
      </c>
      <c r="V64" s="84">
        <f>V35+V40+V52+V62</f>
        <v>85049938.268600002</v>
      </c>
      <c r="W64" s="85">
        <f>W35+W40+W52+W62</f>
        <v>118634.2</v>
      </c>
      <c r="X64" s="86">
        <f>ROUND(V64/U64,4)</f>
        <v>23.896999999999998</v>
      </c>
      <c r="Y64" s="86">
        <f>ROUND(Z64/U64,4)</f>
        <v>4.0613000000000001</v>
      </c>
      <c r="Z64" s="84">
        <f>Z35+Z40+Z52+Z62</f>
        <v>14454127.74</v>
      </c>
      <c r="AA64" s="84">
        <f>AA35+AA40+AA52+AA62</f>
        <v>47653902.516100004</v>
      </c>
      <c r="AB64" s="84">
        <f>AB35+AB40+AB52+AB62</f>
        <v>113592281.04611248</v>
      </c>
      <c r="AC64" s="84">
        <f>AC35+AC40+AC52+AC62</f>
        <v>1588463.4000000001</v>
      </c>
      <c r="AD64" s="86">
        <f>ROUND(AB64/AA64,4)</f>
        <v>2.3837000000000002</v>
      </c>
      <c r="AE64" s="86">
        <f>ROUND(AF64/AA64,4)</f>
        <v>0.38779999999999998</v>
      </c>
      <c r="AF64" s="84">
        <f>AF35+AF40+AF52+AF62</f>
        <v>18479489.100000001</v>
      </c>
      <c r="AG64" s="84">
        <f>P64-Z64-AF64</f>
        <v>630148.46999999881</v>
      </c>
      <c r="AI64" s="1">
        <v>57</v>
      </c>
      <c r="AJ64" s="51" t="s">
        <v>190</v>
      </c>
      <c r="AK64" s="143">
        <v>8552748.5700000022</v>
      </c>
      <c r="AL64" s="143">
        <f>P52</f>
        <v>3058729.5900000003</v>
      </c>
      <c r="AM64" s="143" t="s">
        <v>24</v>
      </c>
    </row>
    <row r="65" spans="1:39" x14ac:dyDescent="0.2">
      <c r="G65" s="1"/>
      <c r="H65" s="1"/>
      <c r="I65" s="1"/>
      <c r="J65" s="1"/>
      <c r="K65" s="1"/>
      <c r="N65" s="509"/>
      <c r="O65" s="252"/>
      <c r="S65" s="257"/>
      <c r="Z65" s="51"/>
      <c r="AA65" s="51"/>
      <c r="AB65" s="51"/>
      <c r="AC65" s="51"/>
      <c r="AD65" s="51"/>
      <c r="AE65" s="51"/>
      <c r="AI65" s="1">
        <v>56</v>
      </c>
      <c r="AJ65" s="51"/>
      <c r="AK65" s="143"/>
      <c r="AL65" s="143">
        <f>P40</f>
        <v>87389.56</v>
      </c>
      <c r="AM65" s="143" t="s">
        <v>191</v>
      </c>
    </row>
    <row r="66" spans="1:39" x14ac:dyDescent="0.2">
      <c r="A66" s="4" t="s">
        <v>93</v>
      </c>
      <c r="B66" s="1" t="s">
        <v>76</v>
      </c>
      <c r="G66" s="1"/>
      <c r="H66" s="4" t="s">
        <v>77</v>
      </c>
      <c r="I66" s="1"/>
      <c r="J66" s="65"/>
      <c r="K66" s="65"/>
      <c r="N66" s="509"/>
      <c r="O66" s="509"/>
      <c r="P66" s="257"/>
      <c r="Q66" s="65"/>
      <c r="S66" s="65"/>
      <c r="U66" s="51"/>
      <c r="V66" s="143"/>
      <c r="W66" s="143"/>
      <c r="X66" s="143"/>
      <c r="AI66" s="1">
        <v>88</v>
      </c>
      <c r="AJ66" s="51"/>
      <c r="AK66" s="138">
        <f>SUM(AK63:AK65)</f>
        <v>17169140.440000005</v>
      </c>
      <c r="AL66" s="138">
        <f>SUM(AL63:AL65)</f>
        <v>8339594.669999999</v>
      </c>
      <c r="AM66" s="143">
        <f>+AK66-AL66</f>
        <v>8829545.770000007</v>
      </c>
    </row>
    <row r="67" spans="1:39" x14ac:dyDescent="0.2">
      <c r="B67" s="115" t="s">
        <v>78</v>
      </c>
      <c r="C67" s="116" t="s">
        <v>79</v>
      </c>
      <c r="D67" s="117"/>
      <c r="E67" s="118" t="s">
        <v>35</v>
      </c>
      <c r="F67" s="118" t="s">
        <v>80</v>
      </c>
      <c r="G67" s="1"/>
      <c r="H67" s="89" t="s">
        <v>35</v>
      </c>
      <c r="I67" s="8"/>
      <c r="J67" s="8"/>
      <c r="K67" s="8"/>
      <c r="L67" s="90"/>
      <c r="N67" s="509"/>
      <c r="O67" s="509"/>
      <c r="P67" s="257"/>
      <c r="Q67" s="65"/>
      <c r="S67" s="65"/>
      <c r="U67" s="51"/>
      <c r="V67" s="143"/>
      <c r="W67" s="143"/>
      <c r="X67" s="143"/>
      <c r="AJ67" s="51"/>
    </row>
    <row r="68" spans="1:39" x14ac:dyDescent="0.2">
      <c r="B68" s="91" t="s">
        <v>81</v>
      </c>
      <c r="C68" s="92" t="s">
        <v>82</v>
      </c>
      <c r="D68" s="93"/>
      <c r="E68" s="94"/>
      <c r="F68" s="94"/>
      <c r="G68" s="1"/>
      <c r="H68" s="95" t="str">
        <f>"=  ("&amp;TEXT(E68,"0.0000")&amp;" * "&amp;TEXT(E71,"0.00%")&amp;" + ("&amp;TEXT(E69,"0.0000")&amp;" - "&amp;TEXT(E70,"0.0000")&amp;" - "&amp;TEXT(E73,"0.0000")&amp;") * (1 - "&amp;TEXT(E71,"0.00%")&amp;"))"</f>
        <v>=  (0.0000 * 0.00% + (0.0000 - 0.0000 - 0.0000) * (1 - 0.00%))</v>
      </c>
      <c r="I68" s="1"/>
      <c r="J68" s="1"/>
      <c r="K68" s="1"/>
      <c r="L68" s="96"/>
      <c r="M68" s="561"/>
      <c r="N68" s="561">
        <f>547803.45/8532764.09</f>
        <v>6.4199999463479832E-2</v>
      </c>
      <c r="O68" s="65"/>
      <c r="P68" s="668"/>
      <c r="Q68" s="314"/>
      <c r="S68" s="314"/>
      <c r="U68" s="51"/>
      <c r="V68" s="143"/>
      <c r="W68" s="143"/>
      <c r="X68" s="143"/>
      <c r="AJ68" s="51" t="s">
        <v>194</v>
      </c>
      <c r="AK68" s="143">
        <v>1620125.43</v>
      </c>
      <c r="AL68" s="143"/>
      <c r="AM68" s="143"/>
    </row>
    <row r="69" spans="1:39" x14ac:dyDescent="0.2">
      <c r="B69" s="97" t="s">
        <v>83</v>
      </c>
      <c r="C69" s="98" t="s">
        <v>84</v>
      </c>
      <c r="D69" s="99"/>
      <c r="E69" s="100"/>
      <c r="F69" s="101"/>
      <c r="G69" s="1"/>
      <c r="H69" s="102">
        <f>((85.98%*E68+4.4221)*E71+(E69-E70-E73)*(1-E71))</f>
        <v>0</v>
      </c>
      <c r="I69" s="103"/>
      <c r="J69" s="103"/>
      <c r="K69" s="103"/>
      <c r="L69" s="104"/>
      <c r="M69" s="561">
        <f>698277.28/7412709.99</f>
        <v>9.4199999857272176E-2</v>
      </c>
      <c r="N69" s="561">
        <f>1065699.61/10775526.87</f>
        <v>9.8900000237297003E-2</v>
      </c>
      <c r="O69" s="65"/>
      <c r="P69" s="314"/>
      <c r="Q69" s="314"/>
      <c r="S69" s="314"/>
      <c r="U69" s="51"/>
      <c r="V69" s="138"/>
      <c r="W69" s="138"/>
      <c r="X69" s="143"/>
      <c r="Y69" s="65"/>
      <c r="Z69" s="65"/>
      <c r="AA69" s="65"/>
      <c r="AB69" s="65"/>
      <c r="AC69" s="65"/>
      <c r="AJ69" s="51" t="s">
        <v>192</v>
      </c>
      <c r="AK69" s="143">
        <v>7235876.9500000002</v>
      </c>
      <c r="AL69" s="143"/>
      <c r="AM69" s="143"/>
    </row>
    <row r="70" spans="1:39" x14ac:dyDescent="0.2">
      <c r="B70" s="97" t="s">
        <v>85</v>
      </c>
      <c r="C70" s="98" t="s">
        <v>86</v>
      </c>
      <c r="D70" s="99"/>
      <c r="E70" s="100"/>
      <c r="F70" s="100"/>
      <c r="G70" s="1"/>
      <c r="H70" s="1"/>
      <c r="I70" s="105"/>
      <c r="J70" s="1"/>
      <c r="K70" s="1"/>
      <c r="M70" s="561">
        <f>5254120.1/13135300.26</f>
        <v>0.39999999969547706</v>
      </c>
      <c r="N70" s="561">
        <f>7653140.6/19132851.51</f>
        <v>0.39999999979093542</v>
      </c>
      <c r="O70" s="257"/>
      <c r="P70" s="257"/>
      <c r="Q70" s="257"/>
      <c r="U70" s="51"/>
      <c r="V70" s="143"/>
      <c r="W70" s="143"/>
      <c r="X70" s="143"/>
      <c r="Y70" s="65"/>
      <c r="Z70" s="65"/>
      <c r="AA70" s="65"/>
      <c r="AB70" s="65"/>
      <c r="AJ70" s="51" t="s">
        <v>193</v>
      </c>
      <c r="AK70" s="143">
        <v>13473138.699999999</v>
      </c>
      <c r="AL70" s="143"/>
      <c r="AM70" s="143"/>
    </row>
    <row r="71" spans="1:39" x14ac:dyDescent="0.2">
      <c r="B71" s="97" t="s">
        <v>87</v>
      </c>
      <c r="C71" s="98" t="s">
        <v>88</v>
      </c>
      <c r="D71" s="99"/>
      <c r="E71" s="106"/>
      <c r="F71" s="106"/>
      <c r="G71" s="1"/>
      <c r="H71" s="89" t="s">
        <v>80</v>
      </c>
      <c r="I71" s="107"/>
      <c r="J71" s="8"/>
      <c r="K71" s="8"/>
      <c r="L71" s="90"/>
      <c r="M71" s="561">
        <f>503101.38/1323950.99</f>
        <v>0.38000000287019686</v>
      </c>
      <c r="N71" s="561"/>
      <c r="O71" s="325"/>
      <c r="U71" s="51"/>
      <c r="V71" s="143"/>
      <c r="W71" s="143"/>
      <c r="X71" s="143"/>
      <c r="Y71" s="65"/>
      <c r="Z71" s="65"/>
      <c r="AA71" s="65"/>
      <c r="AB71" s="65"/>
      <c r="AC71" s="65"/>
      <c r="AJ71" s="51" t="s">
        <v>197</v>
      </c>
      <c r="AK71" s="143">
        <v>1512806.39</v>
      </c>
      <c r="AL71" s="143"/>
      <c r="AM71" s="143"/>
    </row>
    <row r="72" spans="1:39" x14ac:dyDescent="0.2">
      <c r="B72" s="97" t="s">
        <v>89</v>
      </c>
      <c r="C72" s="98" t="s">
        <v>90</v>
      </c>
      <c r="D72" s="99"/>
      <c r="E72" s="108"/>
      <c r="F72" s="101"/>
      <c r="G72" s="1"/>
      <c r="H72" s="95" t="str">
        <f>"=  ("&amp;TEXT(F68,"0.0000")&amp;" * "&amp;TEXT(F71,"0.00%")&amp;" + ("&amp;TEXT(F69,"0.0000")&amp;" - "&amp;TEXT(F70,"0.0000")&amp;" - "&amp;TEXT(F73,"0.0000")&amp;") * (1 - "&amp;TEXT(F71,"0.00%")&amp;"))"</f>
        <v>=  (0.0000 * 0.00% + (0.0000 - 0.0000 - 0.0000) * (1 - 0.00%))</v>
      </c>
      <c r="I72" s="105"/>
      <c r="J72" s="1"/>
      <c r="K72" s="1"/>
      <c r="L72" s="96"/>
      <c r="N72" s="562"/>
      <c r="O72" s="325"/>
      <c r="U72" s="51"/>
      <c r="V72" s="143"/>
      <c r="W72" s="143"/>
      <c r="X72" s="143"/>
      <c r="Y72" s="65"/>
      <c r="Z72" s="65"/>
      <c r="AA72" s="65"/>
      <c r="AB72" s="65"/>
      <c r="AC72" s="65"/>
      <c r="AJ72" s="51" t="s">
        <v>195</v>
      </c>
      <c r="AK72" s="143">
        <v>4201246.7</v>
      </c>
      <c r="AL72" s="143"/>
      <c r="AM72" s="143"/>
    </row>
    <row r="73" spans="1:39" x14ac:dyDescent="0.2">
      <c r="B73" s="109" t="s">
        <v>91</v>
      </c>
      <c r="C73" s="110" t="s">
        <v>92</v>
      </c>
      <c r="D73" s="111"/>
      <c r="E73" s="112"/>
      <c r="F73" s="112"/>
      <c r="G73" s="1"/>
      <c r="H73" s="102">
        <f>((85.98%*F68+4.4221)*F71+(F69-F70-F73)*(1-F71))</f>
        <v>0</v>
      </c>
      <c r="I73" s="113"/>
      <c r="J73" s="103"/>
      <c r="K73" s="103"/>
      <c r="L73" s="104"/>
      <c r="M73" s="325"/>
      <c r="N73" s="325"/>
      <c r="O73" s="325"/>
      <c r="U73" s="51"/>
      <c r="V73" s="143"/>
      <c r="W73" s="143"/>
      <c r="X73" s="143"/>
      <c r="Y73" s="65"/>
      <c r="Z73" s="65"/>
      <c r="AA73" s="65"/>
      <c r="AB73" s="65"/>
      <c r="AC73" s="65"/>
      <c r="AJ73" s="51" t="s">
        <v>196</v>
      </c>
      <c r="AK73" s="143">
        <v>11926715.699999999</v>
      </c>
      <c r="AL73" s="143"/>
      <c r="AM73" s="143"/>
    </row>
    <row r="74" spans="1:39" x14ac:dyDescent="0.2">
      <c r="A74" s="4"/>
      <c r="G74" s="1"/>
      <c r="H74" s="177"/>
      <c r="I74" s="1"/>
      <c r="J74" s="1"/>
      <c r="K74" s="1"/>
      <c r="M74" s="325"/>
      <c r="N74" s="325"/>
      <c r="O74" s="325"/>
      <c r="U74" s="51"/>
      <c r="V74" s="143"/>
      <c r="W74" s="143"/>
      <c r="X74" s="143"/>
      <c r="Y74" s="65"/>
      <c r="Z74" s="65"/>
      <c r="AA74" s="65"/>
      <c r="AB74" s="65"/>
      <c r="AC74" s="65"/>
      <c r="AJ74" s="51"/>
      <c r="AK74" s="138">
        <f>SUM(AK68:AK73)</f>
        <v>39969909.869999997</v>
      </c>
      <c r="AL74" s="138">
        <f>Q62</f>
        <v>25224170.640000004</v>
      </c>
      <c r="AM74" s="143">
        <f>AK74-AL74</f>
        <v>14745739.229999993</v>
      </c>
    </row>
    <row r="75" spans="1:39" x14ac:dyDescent="0.2">
      <c r="A75" s="406"/>
      <c r="G75" s="1"/>
      <c r="H75" s="1"/>
      <c r="I75" s="1"/>
      <c r="J75" s="1"/>
      <c r="K75" s="1"/>
      <c r="U75" s="51"/>
      <c r="V75" s="143"/>
      <c r="W75" s="143"/>
      <c r="X75" s="143"/>
      <c r="Y75" s="65"/>
      <c r="Z75" s="65"/>
      <c r="AA75" s="65"/>
      <c r="AB75" s="65"/>
      <c r="AC75" s="65"/>
      <c r="AK75" s="143">
        <f>+AK63+AK68+AK69+AK70</f>
        <v>30945532.949999999</v>
      </c>
    </row>
    <row r="76" spans="1:39" x14ac:dyDescent="0.2">
      <c r="G76" s="1"/>
      <c r="H76" s="1"/>
      <c r="I76" s="1"/>
      <c r="J76" s="1"/>
      <c r="K76" s="1"/>
      <c r="O76" s="65">
        <f>69441.84+67862.67</f>
        <v>137304.51</v>
      </c>
      <c r="P76" s="65"/>
      <c r="Q76" s="65"/>
      <c r="U76" s="51"/>
      <c r="V76" s="138"/>
      <c r="W76" s="138"/>
      <c r="X76" s="143"/>
      <c r="Y76" s="65"/>
      <c r="Z76" s="65"/>
      <c r="AA76" s="65"/>
      <c r="AB76" s="65"/>
      <c r="AC76" s="65"/>
      <c r="AJ76" s="51"/>
      <c r="AK76" s="143">
        <f>+AK64+AK71+AK72+AK73</f>
        <v>26193517.360000003</v>
      </c>
      <c r="AL76" s="143"/>
      <c r="AM76" s="51"/>
    </row>
    <row r="77" spans="1:39" ht="18" x14ac:dyDescent="0.25">
      <c r="A77" s="271" t="str">
        <f>"AJUSTES PARA "&amp;UPPER(TEXT(E1,"MMMMMMM YYYY"))</f>
        <v>AJUSTES PARA NOVIEMBRE 2024</v>
      </c>
      <c r="B77" s="156"/>
      <c r="C77" s="156"/>
      <c r="D77" s="156"/>
      <c r="E77" s="156"/>
      <c r="F77" s="156"/>
      <c r="G77" s="156"/>
      <c r="H77" s="156"/>
      <c r="I77" s="156"/>
      <c r="J77" s="156"/>
      <c r="K77" s="156"/>
      <c r="L77" s="156"/>
      <c r="M77" s="156"/>
      <c r="N77" s="156"/>
      <c r="O77" s="156"/>
      <c r="P77" s="563"/>
      <c r="Q77" s="563"/>
      <c r="R77" s="156"/>
      <c r="S77" s="564"/>
      <c r="T77" s="156"/>
      <c r="U77" s="51"/>
      <c r="V77" s="374"/>
      <c r="W77" s="374"/>
      <c r="X77" s="143"/>
      <c r="Y77" s="360"/>
      <c r="Z77" s="360"/>
      <c r="AA77" s="65"/>
      <c r="AB77" s="65"/>
      <c r="AJ77" s="65"/>
      <c r="AK77" s="407">
        <f>SUM(AK75:AK76)</f>
        <v>57139050.310000002</v>
      </c>
      <c r="AL77" s="65"/>
      <c r="AM77" s="65"/>
    </row>
    <row r="78" spans="1:39" ht="18" x14ac:dyDescent="0.25">
      <c r="A78" s="271"/>
      <c r="B78" s="156"/>
      <c r="C78" s="156"/>
      <c r="D78" s="156"/>
      <c r="E78" s="156"/>
      <c r="F78" s="156"/>
      <c r="G78" s="156"/>
      <c r="H78" s="156"/>
      <c r="I78" s="156"/>
      <c r="J78" s="156"/>
      <c r="K78" s="156"/>
      <c r="L78" s="156"/>
      <c r="M78" s="156"/>
      <c r="N78" s="156"/>
      <c r="O78" s="156"/>
      <c r="P78" s="156"/>
      <c r="Q78" s="156"/>
      <c r="R78" s="156"/>
      <c r="S78" s="156"/>
      <c r="T78" s="156"/>
      <c r="U78" s="51"/>
      <c r="V78" s="374"/>
      <c r="W78" s="374"/>
      <c r="X78" s="143"/>
      <c r="Y78" s="360"/>
      <c r="Z78" s="360"/>
      <c r="AA78" s="65"/>
      <c r="AB78" s="65"/>
    </row>
    <row r="79" spans="1:39" s="65" customFormat="1" ht="15" customHeight="1" x14ac:dyDescent="0.25">
      <c r="A79" s="529"/>
      <c r="B79" s="407" t="s">
        <v>339</v>
      </c>
      <c r="J79" s="569"/>
      <c r="P79" s="570"/>
      <c r="R79" s="571"/>
      <c r="T79" s="566"/>
    </row>
    <row r="80" spans="1:39" s="65" customFormat="1" ht="14.85" customHeight="1" x14ac:dyDescent="0.2">
      <c r="A80" s="400" t="s">
        <v>161</v>
      </c>
      <c r="B80" s="401"/>
      <c r="C80" s="543"/>
      <c r="D80" s="392" t="s">
        <v>19</v>
      </c>
      <c r="E80" s="393" t="s">
        <v>59</v>
      </c>
      <c r="F80" s="392" t="s">
        <v>27</v>
      </c>
      <c r="G80" s="394" t="s">
        <v>35</v>
      </c>
      <c r="H80" s="395" t="s">
        <v>36</v>
      </c>
      <c r="I80" s="395" t="s">
        <v>35</v>
      </c>
      <c r="J80" s="394" t="s">
        <v>36</v>
      </c>
      <c r="K80" s="394" t="s">
        <v>39</v>
      </c>
      <c r="L80" s="394" t="s">
        <v>40</v>
      </c>
      <c r="M80" s="394" t="s">
        <v>42</v>
      </c>
      <c r="N80" s="394" t="s">
        <v>2</v>
      </c>
      <c r="O80" s="394" t="s">
        <v>180</v>
      </c>
      <c r="P80" s="544" t="s">
        <v>163</v>
      </c>
      <c r="Q80" s="544" t="s">
        <v>184</v>
      </c>
      <c r="R80" s="572"/>
      <c r="T80" s="566"/>
    </row>
    <row r="81" spans="1:20" s="65" customFormat="1" x14ac:dyDescent="0.2">
      <c r="A81" s="531" t="s">
        <v>28</v>
      </c>
      <c r="B81" s="399" t="s">
        <v>325</v>
      </c>
      <c r="C81" s="397" t="s">
        <v>31</v>
      </c>
      <c r="D81" s="397" t="s">
        <v>30</v>
      </c>
      <c r="E81" s="397" t="s">
        <v>158</v>
      </c>
      <c r="F81" s="532" t="s">
        <v>56</v>
      </c>
      <c r="G81" s="222">
        <v>3897088.3073</v>
      </c>
      <c r="H81" s="222">
        <v>1923805.6618999999</v>
      </c>
      <c r="I81" s="216">
        <v>5.4219999999999997</v>
      </c>
      <c r="J81" s="216">
        <v>5.4219999999999997</v>
      </c>
      <c r="K81" s="559"/>
      <c r="L81" s="222"/>
      <c r="M81" s="222"/>
      <c r="N81" s="410"/>
      <c r="O81" s="224">
        <f>G81*I81+H81*J81</f>
        <v>31560887.101002399</v>
      </c>
      <c r="P81" s="583">
        <f>ROUND(G81*I81,2)*11.53%+ROUND(H81*J81,2)*11.44%</f>
        <v>3629582.4957600003</v>
      </c>
      <c r="Q81" s="253">
        <f>ROUND(R81*P81,2)</f>
        <v>1814791.25</v>
      </c>
      <c r="R81" s="223">
        <v>0.5</v>
      </c>
      <c r="T81" s="566"/>
    </row>
    <row r="82" spans="1:20" s="65" customFormat="1" x14ac:dyDescent="0.2">
      <c r="A82" s="533" t="s">
        <v>28</v>
      </c>
      <c r="B82" s="534" t="str">
        <f>B81</f>
        <v xml:space="preserve">57 Gas    </v>
      </c>
      <c r="C82" s="535" t="s">
        <v>31</v>
      </c>
      <c r="D82" s="536" t="s">
        <v>186</v>
      </c>
      <c r="E82" s="536"/>
      <c r="F82" s="535" t="str">
        <f>F81</f>
        <v xml:space="preserve"> MM BTU</v>
      </c>
      <c r="G82" s="218">
        <f>G81</f>
        <v>3897088.3073</v>
      </c>
      <c r="H82" s="218">
        <f>H81</f>
        <v>1923805.6618999999</v>
      </c>
      <c r="I82" s="216">
        <v>5.2930000000000001</v>
      </c>
      <c r="J82" s="216">
        <v>5.2930000000000001</v>
      </c>
      <c r="K82" s="559"/>
      <c r="L82" s="222"/>
      <c r="M82" s="222"/>
      <c r="N82" s="410"/>
      <c r="O82" s="224">
        <f>G82*I82+H82*J82</f>
        <v>30809991.778975599</v>
      </c>
      <c r="P82" s="583">
        <f>ROUND(G82*I82,2)*11.53%+ROUND(H82*J82,2)*11.44%</f>
        <v>3543227.6192009998</v>
      </c>
      <c r="Q82" s="253">
        <f>ROUND(R82*P82,2)</f>
        <v>1771613.81</v>
      </c>
      <c r="R82" s="223">
        <v>0.5</v>
      </c>
      <c r="T82" s="566"/>
    </row>
    <row r="83" spans="1:20" s="65" customFormat="1" x14ac:dyDescent="0.2">
      <c r="A83" s="537"/>
      <c r="B83" s="390" t="s">
        <v>181</v>
      </c>
      <c r="C83" s="402"/>
      <c r="D83" s="538"/>
      <c r="E83" s="538"/>
      <c r="F83" s="537"/>
      <c r="G83" s="539">
        <f t="shared" ref="G83:N83" si="44">G82-G81</f>
        <v>0</v>
      </c>
      <c r="H83" s="539">
        <f t="shared" si="44"/>
        <v>0</v>
      </c>
      <c r="I83" s="540">
        <f>I82-I81</f>
        <v>-0.12899999999999956</v>
      </c>
      <c r="J83" s="540">
        <f t="shared" si="44"/>
        <v>-0.12899999999999956</v>
      </c>
      <c r="K83" s="541">
        <f t="shared" si="44"/>
        <v>0</v>
      </c>
      <c r="L83" s="541">
        <f t="shared" si="44"/>
        <v>0</v>
      </c>
      <c r="M83" s="541">
        <f t="shared" si="44"/>
        <v>0</v>
      </c>
      <c r="N83" s="541">
        <f t="shared" si="44"/>
        <v>0</v>
      </c>
      <c r="O83" s="196">
        <f>O82-O81</f>
        <v>-750895.32202680036</v>
      </c>
      <c r="P83" s="196">
        <f>P82-P81</f>
        <v>-86354.876559000462</v>
      </c>
      <c r="Q83" s="196">
        <f>Q82-Q81</f>
        <v>-43177.439999999944</v>
      </c>
      <c r="R83" s="573"/>
      <c r="S83" s="65" t="s">
        <v>182</v>
      </c>
      <c r="T83" s="566"/>
    </row>
    <row r="85" spans="1:20" ht="15" x14ac:dyDescent="0.25">
      <c r="A85" s="529"/>
      <c r="B85" s="407" t="s">
        <v>340</v>
      </c>
      <c r="C85" s="65"/>
      <c r="D85" s="65"/>
      <c r="E85" s="65"/>
      <c r="F85" s="65"/>
      <c r="G85" s="65"/>
      <c r="H85" s="65"/>
      <c r="I85" s="65"/>
      <c r="J85" s="569"/>
      <c r="K85" s="65"/>
      <c r="L85" s="65"/>
      <c r="M85" s="65"/>
      <c r="N85" s="65"/>
      <c r="O85" s="65"/>
      <c r="P85" s="65"/>
      <c r="Q85" s="65"/>
      <c r="R85" s="571"/>
    </row>
    <row r="86" spans="1:20" x14ac:dyDescent="0.2">
      <c r="A86" s="400" t="s">
        <v>161</v>
      </c>
      <c r="B86" s="401"/>
      <c r="C86" s="543"/>
      <c r="D86" s="392" t="s">
        <v>19</v>
      </c>
      <c r="E86" s="393" t="s">
        <v>59</v>
      </c>
      <c r="F86" s="392" t="s">
        <v>27</v>
      </c>
      <c r="G86" s="394" t="s">
        <v>35</v>
      </c>
      <c r="H86" s="395" t="s">
        <v>36</v>
      </c>
      <c r="I86" s="395" t="s">
        <v>35</v>
      </c>
      <c r="J86" s="394" t="s">
        <v>36</v>
      </c>
      <c r="K86" s="394" t="s">
        <v>39</v>
      </c>
      <c r="L86" s="394" t="s">
        <v>40</v>
      </c>
      <c r="M86" s="394" t="s">
        <v>42</v>
      </c>
      <c r="N86" s="394" t="s">
        <v>2</v>
      </c>
      <c r="O86" s="394" t="s">
        <v>180</v>
      </c>
      <c r="P86" s="544" t="s">
        <v>163</v>
      </c>
      <c r="Q86" s="544" t="s">
        <v>184</v>
      </c>
      <c r="R86" s="572"/>
    </row>
    <row r="87" spans="1:20" x14ac:dyDescent="0.2">
      <c r="A87" s="531" t="s">
        <v>28</v>
      </c>
      <c r="B87" s="399" t="s">
        <v>318</v>
      </c>
      <c r="C87" s="397" t="s">
        <v>31</v>
      </c>
      <c r="D87" s="397" t="s">
        <v>30</v>
      </c>
      <c r="E87" s="397" t="s">
        <v>158</v>
      </c>
      <c r="F87" s="532" t="s">
        <v>56</v>
      </c>
      <c r="G87" s="220">
        <v>14234433.8959</v>
      </c>
      <c r="H87" s="220">
        <v>13910732.969799999</v>
      </c>
      <c r="I87" s="216">
        <v>2.6154000000000002</v>
      </c>
      <c r="J87" s="216">
        <v>2.6154000000000002</v>
      </c>
      <c r="K87" s="222"/>
      <c r="L87" s="222"/>
      <c r="M87" s="222"/>
      <c r="N87" s="409"/>
      <c r="O87" s="220">
        <f>ROUND(G87*I87+H87*J87,2)</f>
        <v>73610869.420000002</v>
      </c>
      <c r="P87" s="420">
        <f>ROUND(37.24%*(G87*I87+H87*J87),2)</f>
        <v>27412687.77</v>
      </c>
      <c r="Q87" s="220">
        <f>ROUND(R87*P87,2)</f>
        <v>13706343.890000001</v>
      </c>
      <c r="R87" s="223">
        <v>0.5</v>
      </c>
    </row>
    <row r="88" spans="1:20" x14ac:dyDescent="0.2">
      <c r="A88" s="533" t="s">
        <v>28</v>
      </c>
      <c r="B88" s="534" t="str">
        <f>B87</f>
        <v xml:space="preserve">88 GAS </v>
      </c>
      <c r="C88" s="535" t="s">
        <v>31</v>
      </c>
      <c r="D88" s="536" t="s">
        <v>186</v>
      </c>
      <c r="E88" s="536"/>
      <c r="F88" s="535" t="str">
        <f>F87</f>
        <v xml:space="preserve"> MM BTU</v>
      </c>
      <c r="G88" s="218">
        <f>G87</f>
        <v>14234433.8959</v>
      </c>
      <c r="H88" s="218">
        <f>H87</f>
        <v>13910732.969799999</v>
      </c>
      <c r="I88" s="216">
        <v>2.6284999999999998</v>
      </c>
      <c r="J88" s="216">
        <v>2.6284999999999998</v>
      </c>
      <c r="K88" s="559"/>
      <c r="L88" s="222"/>
      <c r="M88" s="222"/>
      <c r="N88" s="410"/>
      <c r="O88" s="224">
        <f>G88*I88+H88*J88</f>
        <v>73979571.10649243</v>
      </c>
      <c r="P88" s="253">
        <f>ROUND(37.24%*(G88*I88+H88*J88),2)</f>
        <v>27549992.280000001</v>
      </c>
      <c r="Q88" s="253">
        <f>ROUND(R88*P88,2)</f>
        <v>13774996.140000001</v>
      </c>
      <c r="R88" s="223">
        <v>0.5</v>
      </c>
    </row>
    <row r="89" spans="1:20" x14ac:dyDescent="0.2">
      <c r="A89" s="537"/>
      <c r="B89" s="390" t="s">
        <v>181</v>
      </c>
      <c r="C89" s="402"/>
      <c r="D89" s="538"/>
      <c r="E89" s="538"/>
      <c r="F89" s="537"/>
      <c r="G89" s="539">
        <f t="shared" ref="G89:N89" si="45">G88-G87</f>
        <v>0</v>
      </c>
      <c r="H89" s="539">
        <f t="shared" si="45"/>
        <v>0</v>
      </c>
      <c r="I89" s="540">
        <f t="shared" si="45"/>
        <v>1.3099999999999667E-2</v>
      </c>
      <c r="J89" s="540">
        <f t="shared" si="45"/>
        <v>1.3099999999999667E-2</v>
      </c>
      <c r="K89" s="541">
        <f t="shared" si="45"/>
        <v>0</v>
      </c>
      <c r="L89" s="541">
        <f t="shared" si="45"/>
        <v>0</v>
      </c>
      <c r="M89" s="541">
        <f t="shared" si="45"/>
        <v>0</v>
      </c>
      <c r="N89" s="541">
        <f t="shared" si="45"/>
        <v>0</v>
      </c>
      <c r="O89" s="196">
        <f>O88-O87</f>
        <v>368701.68649242818</v>
      </c>
      <c r="P89" s="196">
        <f>P88-P87</f>
        <v>137304.51000000164</v>
      </c>
      <c r="Q89" s="196">
        <f>Q88-Q87</f>
        <v>68652.25</v>
      </c>
      <c r="R89" s="573"/>
      <c r="S89" s="1" t="s">
        <v>182</v>
      </c>
    </row>
    <row r="91" spans="1:20" ht="15" x14ac:dyDescent="0.25">
      <c r="A91" s="529"/>
      <c r="B91" s="407" t="s">
        <v>341</v>
      </c>
      <c r="C91" s="65"/>
      <c r="D91" s="65"/>
      <c r="E91" s="65"/>
      <c r="F91" s="65"/>
      <c r="G91" s="65"/>
      <c r="H91" s="65"/>
      <c r="I91" s="65"/>
      <c r="J91" s="569"/>
      <c r="K91" s="65"/>
      <c r="L91" s="65"/>
      <c r="M91" s="65"/>
      <c r="N91" s="65"/>
      <c r="O91" s="65"/>
      <c r="P91" s="65"/>
      <c r="Q91" s="65"/>
      <c r="R91" s="571"/>
    </row>
    <row r="92" spans="1:20" x14ac:dyDescent="0.2">
      <c r="A92" s="400" t="s">
        <v>161</v>
      </c>
      <c r="B92" s="401"/>
      <c r="C92" s="543"/>
      <c r="D92" s="392" t="s">
        <v>19</v>
      </c>
      <c r="E92" s="393" t="s">
        <v>59</v>
      </c>
      <c r="F92" s="392" t="s">
        <v>27</v>
      </c>
      <c r="G92" s="394" t="s">
        <v>35</v>
      </c>
      <c r="H92" s="395" t="s">
        <v>36</v>
      </c>
      <c r="I92" s="395" t="s">
        <v>35</v>
      </c>
      <c r="J92" s="394" t="s">
        <v>36</v>
      </c>
      <c r="K92" s="394" t="s">
        <v>39</v>
      </c>
      <c r="L92" s="394" t="s">
        <v>40</v>
      </c>
      <c r="M92" s="394" t="s">
        <v>42</v>
      </c>
      <c r="N92" s="394" t="s">
        <v>2</v>
      </c>
      <c r="O92" s="394" t="s">
        <v>180</v>
      </c>
      <c r="P92" s="544" t="s">
        <v>163</v>
      </c>
      <c r="Q92" s="544" t="s">
        <v>184</v>
      </c>
      <c r="R92" s="572"/>
    </row>
    <row r="93" spans="1:20" x14ac:dyDescent="0.2">
      <c r="A93" s="531" t="s">
        <v>28</v>
      </c>
      <c r="B93" s="399" t="s">
        <v>318</v>
      </c>
      <c r="C93" s="397" t="s">
        <v>31</v>
      </c>
      <c r="D93" s="397" t="s">
        <v>30</v>
      </c>
      <c r="E93" s="397" t="s">
        <v>158</v>
      </c>
      <c r="F93" s="532" t="s">
        <v>56</v>
      </c>
      <c r="G93" s="220">
        <v>13438808.1394</v>
      </c>
      <c r="H93" s="220">
        <v>14272478.596799999</v>
      </c>
      <c r="I93" s="216">
        <v>2.6154000000000002</v>
      </c>
      <c r="J93" s="216">
        <v>2.6154000000000002</v>
      </c>
      <c r="K93" s="222"/>
      <c r="L93" s="222"/>
      <c r="M93" s="222"/>
      <c r="N93" s="409"/>
      <c r="O93" s="220">
        <f>ROUND(G93*I93+H93*J93,2)</f>
        <v>72476099.329999998</v>
      </c>
      <c r="P93" s="420">
        <f>ROUND(37.24%*(G93*I93+H93*J93),2)</f>
        <v>26990099.390000001</v>
      </c>
      <c r="Q93" s="220">
        <f>ROUND(R93*P93,2)</f>
        <v>13495049.699999999</v>
      </c>
      <c r="R93" s="223">
        <v>0.5</v>
      </c>
    </row>
    <row r="94" spans="1:20" x14ac:dyDescent="0.2">
      <c r="A94" s="533" t="s">
        <v>28</v>
      </c>
      <c r="B94" s="534" t="str">
        <f>B93</f>
        <v xml:space="preserve">88 GAS </v>
      </c>
      <c r="C94" s="535" t="s">
        <v>31</v>
      </c>
      <c r="D94" s="536" t="s">
        <v>186</v>
      </c>
      <c r="E94" s="536"/>
      <c r="F94" s="535" t="str">
        <f>F93</f>
        <v xml:space="preserve"> MM BTU</v>
      </c>
      <c r="G94" s="218">
        <f>G93</f>
        <v>13438808.1394</v>
      </c>
      <c r="H94" s="218">
        <f>H93</f>
        <v>14272478.596799999</v>
      </c>
      <c r="I94" s="216">
        <v>2.6158000000000001</v>
      </c>
      <c r="J94" s="216">
        <v>2.6158000000000001</v>
      </c>
      <c r="K94" s="559"/>
      <c r="L94" s="222"/>
      <c r="M94" s="222"/>
      <c r="N94" s="410"/>
      <c r="O94" s="224">
        <f>G94*I94+H94*J94</f>
        <v>72487183.844551951</v>
      </c>
      <c r="P94" s="253">
        <f>ROUND(37.24%*(G94*I94+H94*J94),2)</f>
        <v>26994227.260000002</v>
      </c>
      <c r="Q94" s="253">
        <f>ROUND(R94*P94,2)</f>
        <v>13497113.630000001</v>
      </c>
      <c r="R94" s="223">
        <v>0.5</v>
      </c>
    </row>
    <row r="95" spans="1:20" x14ac:dyDescent="0.2">
      <c r="A95" s="537"/>
      <c r="B95" s="390" t="s">
        <v>181</v>
      </c>
      <c r="C95" s="402"/>
      <c r="D95" s="538"/>
      <c r="E95" s="538"/>
      <c r="F95" s="537"/>
      <c r="G95" s="539">
        <f t="shared" ref="G95:N95" si="46">G94-G93</f>
        <v>0</v>
      </c>
      <c r="H95" s="539">
        <f t="shared" si="46"/>
        <v>0</v>
      </c>
      <c r="I95" s="540">
        <f>I94-I93</f>
        <v>3.9999999999995595E-4</v>
      </c>
      <c r="J95" s="540">
        <f t="shared" si="46"/>
        <v>3.9999999999995595E-4</v>
      </c>
      <c r="K95" s="541">
        <f t="shared" si="46"/>
        <v>0</v>
      </c>
      <c r="L95" s="541">
        <f t="shared" si="46"/>
        <v>0</v>
      </c>
      <c r="M95" s="541">
        <f t="shared" si="46"/>
        <v>0</v>
      </c>
      <c r="N95" s="541">
        <f t="shared" si="46"/>
        <v>0</v>
      </c>
      <c r="O95" s="196">
        <f>O94-O93</f>
        <v>11084.514551952481</v>
      </c>
      <c r="P95" s="196">
        <f>P94-P93</f>
        <v>4127.8700000010431</v>
      </c>
      <c r="Q95" s="196">
        <f>Q94-Q93</f>
        <v>2063.9300000015646</v>
      </c>
      <c r="R95" s="573"/>
      <c r="S95" s="1" t="s">
        <v>182</v>
      </c>
    </row>
    <row r="97" spans="1:20" ht="15" x14ac:dyDescent="0.25">
      <c r="A97" s="529"/>
      <c r="B97" s="407" t="s">
        <v>340</v>
      </c>
      <c r="C97" s="65"/>
      <c r="D97" s="65"/>
      <c r="E97" s="65"/>
      <c r="F97" s="65"/>
      <c r="G97" s="65"/>
      <c r="H97" s="65"/>
      <c r="I97" s="65"/>
      <c r="J97" s="569"/>
      <c r="K97" s="65"/>
      <c r="L97" s="65"/>
      <c r="M97" s="65"/>
      <c r="N97" s="65"/>
      <c r="O97" s="65"/>
      <c r="P97" s="65"/>
      <c r="Q97" s="65"/>
      <c r="R97" s="571"/>
    </row>
    <row r="98" spans="1:20" x14ac:dyDescent="0.2">
      <c r="A98" s="400" t="s">
        <v>161</v>
      </c>
      <c r="B98" s="401"/>
      <c r="C98" s="543"/>
      <c r="D98" s="392" t="s">
        <v>19</v>
      </c>
      <c r="E98" s="393" t="s">
        <v>59</v>
      </c>
      <c r="F98" s="392" t="s">
        <v>27</v>
      </c>
      <c r="G98" s="394" t="s">
        <v>35</v>
      </c>
      <c r="H98" s="395" t="s">
        <v>36</v>
      </c>
      <c r="I98" s="395" t="s">
        <v>35</v>
      </c>
      <c r="J98" s="394" t="s">
        <v>36</v>
      </c>
      <c r="K98" s="394" t="s">
        <v>39</v>
      </c>
      <c r="L98" s="394" t="s">
        <v>40</v>
      </c>
      <c r="M98" s="394" t="s">
        <v>42</v>
      </c>
      <c r="N98" s="394" t="s">
        <v>2</v>
      </c>
      <c r="O98" s="394" t="s">
        <v>180</v>
      </c>
      <c r="P98" s="544" t="s">
        <v>163</v>
      </c>
      <c r="Q98" s="544" t="s">
        <v>184</v>
      </c>
      <c r="R98" s="572"/>
    </row>
    <row r="99" spans="1:20" x14ac:dyDescent="0.2">
      <c r="A99" s="531" t="s">
        <v>28</v>
      </c>
      <c r="B99" s="399" t="s">
        <v>321</v>
      </c>
      <c r="C99" s="397" t="s">
        <v>31</v>
      </c>
      <c r="D99" s="397" t="s">
        <v>30</v>
      </c>
      <c r="E99" s="397" t="s">
        <v>158</v>
      </c>
      <c r="F99" s="532" t="s">
        <v>56</v>
      </c>
      <c r="G99" s="220">
        <v>33040.905899999998</v>
      </c>
      <c r="H99" s="220">
        <v>34294.392099999997</v>
      </c>
      <c r="I99" s="216">
        <v>3.6208999999999998</v>
      </c>
      <c r="J99" s="216">
        <v>3.6208999999999998</v>
      </c>
      <c r="K99" s="222"/>
      <c r="L99" s="222"/>
      <c r="M99" s="222"/>
      <c r="N99" s="409"/>
      <c r="O99" s="224">
        <f>G99*I99+H99*J99</f>
        <v>243814.38052819995</v>
      </c>
      <c r="P99" s="253">
        <f>ROUND(37.24%*O99,2)</f>
        <v>90796.479999999996</v>
      </c>
      <c r="Q99" s="222">
        <f>ROUND(R99*P99,2)</f>
        <v>45398.239999999998</v>
      </c>
      <c r="R99" s="223">
        <v>0.5</v>
      </c>
    </row>
    <row r="100" spans="1:20" x14ac:dyDescent="0.2">
      <c r="A100" s="533" t="s">
        <v>28</v>
      </c>
      <c r="B100" s="534" t="str">
        <f>B99</f>
        <v>88 Gas Planta Pisco</v>
      </c>
      <c r="C100" s="535" t="s">
        <v>31</v>
      </c>
      <c r="D100" s="536" t="s">
        <v>186</v>
      </c>
      <c r="E100" s="536"/>
      <c r="F100" s="535" t="str">
        <f>F99</f>
        <v xml:space="preserve"> MM BTU</v>
      </c>
      <c r="G100" s="218">
        <f>G99</f>
        <v>33040.905899999998</v>
      </c>
      <c r="H100" s="218">
        <f>H99</f>
        <v>34294.392099999997</v>
      </c>
      <c r="I100" s="216">
        <v>3.6190000000000002</v>
      </c>
      <c r="J100" s="216">
        <v>3.6190000000000002</v>
      </c>
      <c r="K100" s="559"/>
      <c r="L100" s="222"/>
      <c r="M100" s="222"/>
      <c r="N100" s="410"/>
      <c r="O100" s="224">
        <f>G100*I100+H100*J100</f>
        <v>243686.443462</v>
      </c>
      <c r="P100" s="253">
        <f>ROUND(37.24%*O100,2)</f>
        <v>90748.83</v>
      </c>
      <c r="Q100" s="253">
        <f>ROUND(R100*P100,2)</f>
        <v>45374.42</v>
      </c>
      <c r="R100" s="223">
        <v>0.5</v>
      </c>
    </row>
    <row r="101" spans="1:20" x14ac:dyDescent="0.2">
      <c r="A101" s="537"/>
      <c r="B101" s="390" t="s">
        <v>181</v>
      </c>
      <c r="C101" s="402"/>
      <c r="D101" s="538"/>
      <c r="E101" s="538"/>
      <c r="F101" s="537"/>
      <c r="G101" s="539">
        <f t="shared" ref="G101:N101" si="47">G100-G99</f>
        <v>0</v>
      </c>
      <c r="H101" s="539">
        <f t="shared" si="47"/>
        <v>0</v>
      </c>
      <c r="I101" s="540">
        <f t="shared" si="47"/>
        <v>-1.8999999999995687E-3</v>
      </c>
      <c r="J101" s="540">
        <f t="shared" si="47"/>
        <v>-1.8999999999995687E-3</v>
      </c>
      <c r="K101" s="541">
        <f t="shared" si="47"/>
        <v>0</v>
      </c>
      <c r="L101" s="541">
        <f t="shared" si="47"/>
        <v>0</v>
      </c>
      <c r="M101" s="541">
        <f t="shared" si="47"/>
        <v>0</v>
      </c>
      <c r="N101" s="541">
        <f t="shared" si="47"/>
        <v>0</v>
      </c>
      <c r="O101" s="196">
        <f>O100-O99</f>
        <v>-127.93706619995646</v>
      </c>
      <c r="P101" s="196">
        <f>P100-P99</f>
        <v>-47.649999999994179</v>
      </c>
      <c r="Q101" s="196">
        <f>Q100-Q99</f>
        <v>-23.819999999999709</v>
      </c>
      <c r="R101" s="573"/>
      <c r="S101" s="1" t="s">
        <v>182</v>
      </c>
    </row>
    <row r="103" spans="1:20" ht="15" x14ac:dyDescent="0.25">
      <c r="A103" s="529"/>
      <c r="B103" s="407" t="s">
        <v>341</v>
      </c>
      <c r="C103" s="65"/>
      <c r="D103" s="65"/>
      <c r="E103" s="65"/>
      <c r="F103" s="65"/>
      <c r="G103" s="65"/>
      <c r="H103" s="65"/>
      <c r="I103" s="65"/>
      <c r="J103" s="569"/>
      <c r="K103" s="65"/>
      <c r="L103" s="65"/>
      <c r="M103" s="65"/>
      <c r="N103" s="65"/>
      <c r="O103" s="65"/>
      <c r="P103" s="65"/>
      <c r="Q103" s="65"/>
      <c r="R103" s="571"/>
    </row>
    <row r="104" spans="1:20" x14ac:dyDescent="0.2">
      <c r="A104" s="400" t="s">
        <v>161</v>
      </c>
      <c r="B104" s="401"/>
      <c r="C104" s="543"/>
      <c r="D104" s="392" t="s">
        <v>19</v>
      </c>
      <c r="E104" s="393" t="s">
        <v>59</v>
      </c>
      <c r="F104" s="392" t="s">
        <v>27</v>
      </c>
      <c r="G104" s="394" t="s">
        <v>35</v>
      </c>
      <c r="H104" s="395" t="s">
        <v>36</v>
      </c>
      <c r="I104" s="395" t="s">
        <v>35</v>
      </c>
      <c r="J104" s="394" t="s">
        <v>36</v>
      </c>
      <c r="K104" s="394" t="s">
        <v>39</v>
      </c>
      <c r="L104" s="394" t="s">
        <v>40</v>
      </c>
      <c r="M104" s="394" t="s">
        <v>42</v>
      </c>
      <c r="N104" s="394" t="s">
        <v>2</v>
      </c>
      <c r="O104" s="394" t="s">
        <v>180</v>
      </c>
      <c r="P104" s="544" t="s">
        <v>163</v>
      </c>
      <c r="Q104" s="544" t="s">
        <v>184</v>
      </c>
      <c r="R104" s="572"/>
    </row>
    <row r="105" spans="1:20" x14ac:dyDescent="0.2">
      <c r="A105" s="531" t="s">
        <v>28</v>
      </c>
      <c r="B105" s="399" t="s">
        <v>321</v>
      </c>
      <c r="C105" s="397" t="s">
        <v>31</v>
      </c>
      <c r="D105" s="397" t="s">
        <v>30</v>
      </c>
      <c r="E105" s="397" t="s">
        <v>158</v>
      </c>
      <c r="F105" s="532" t="s">
        <v>56</v>
      </c>
      <c r="G105" s="220">
        <v>31501.491099999999</v>
      </c>
      <c r="H105" s="220">
        <v>15335.297500000001</v>
      </c>
      <c r="I105" s="216">
        <v>3.6208999999999998</v>
      </c>
      <c r="J105" s="216">
        <v>3.6208999999999998</v>
      </c>
      <c r="K105" s="222"/>
      <c r="L105" s="222"/>
      <c r="M105" s="222"/>
      <c r="N105" s="409"/>
      <c r="O105" s="224">
        <f>G105*I105+H105*J105</f>
        <v>169591.32784173999</v>
      </c>
      <c r="P105" s="253">
        <f>ROUND(37.24%*O105,2)</f>
        <v>63155.81</v>
      </c>
      <c r="Q105" s="222">
        <f>ROUND(R105*P105,2)</f>
        <v>31577.91</v>
      </c>
      <c r="R105" s="223">
        <v>0.5</v>
      </c>
    </row>
    <row r="106" spans="1:20" x14ac:dyDescent="0.2">
      <c r="A106" s="533" t="s">
        <v>28</v>
      </c>
      <c r="B106" s="534" t="str">
        <f>B105</f>
        <v>88 Gas Planta Pisco</v>
      </c>
      <c r="C106" s="535" t="s">
        <v>31</v>
      </c>
      <c r="D106" s="536" t="s">
        <v>186</v>
      </c>
      <c r="E106" s="536"/>
      <c r="F106" s="535" t="str">
        <f>F105</f>
        <v xml:space="preserve"> MM BTU</v>
      </c>
      <c r="G106" s="218">
        <f>G105</f>
        <v>31501.491099999999</v>
      </c>
      <c r="H106" s="624">
        <f>H105</f>
        <v>15335.297500000001</v>
      </c>
      <c r="I106" s="216">
        <v>3.6248</v>
      </c>
      <c r="J106" s="216">
        <v>3.6248</v>
      </c>
      <c r="K106" s="559"/>
      <c r="L106" s="222"/>
      <c r="M106" s="222"/>
      <c r="N106" s="410"/>
      <c r="O106" s="224">
        <f>G106*I106+H106*J106</f>
        <v>169773.99131728002</v>
      </c>
      <c r="P106" s="253">
        <f>ROUND(37.24%*O106,2)</f>
        <v>63223.83</v>
      </c>
      <c r="Q106" s="253">
        <f>ROUND(R106*P106,2)</f>
        <v>31611.919999999998</v>
      </c>
      <c r="R106" s="223">
        <v>0.5</v>
      </c>
    </row>
    <row r="107" spans="1:20" x14ac:dyDescent="0.2">
      <c r="A107" s="537"/>
      <c r="B107" s="390" t="s">
        <v>181</v>
      </c>
      <c r="C107" s="402"/>
      <c r="D107" s="538"/>
      <c r="E107" s="538"/>
      <c r="F107" s="537"/>
      <c r="G107" s="539">
        <f t="shared" ref="G107:N107" si="48">G106-G105</f>
        <v>0</v>
      </c>
      <c r="H107" s="539">
        <f t="shared" si="48"/>
        <v>0</v>
      </c>
      <c r="I107" s="540">
        <f t="shared" si="48"/>
        <v>3.9000000000002366E-3</v>
      </c>
      <c r="J107" s="540">
        <f t="shared" si="48"/>
        <v>3.9000000000002366E-3</v>
      </c>
      <c r="K107" s="541">
        <f t="shared" si="48"/>
        <v>0</v>
      </c>
      <c r="L107" s="541">
        <f t="shared" si="48"/>
        <v>0</v>
      </c>
      <c r="M107" s="541">
        <f t="shared" si="48"/>
        <v>0</v>
      </c>
      <c r="N107" s="541">
        <f t="shared" si="48"/>
        <v>0</v>
      </c>
      <c r="O107" s="196">
        <f>O106-O105</f>
        <v>182.66347554003005</v>
      </c>
      <c r="P107" s="196">
        <f>P106-P105</f>
        <v>68.020000000004075</v>
      </c>
      <c r="Q107" s="196">
        <f>Q106-Q105</f>
        <v>34.009999999998399</v>
      </c>
      <c r="R107" s="573"/>
      <c r="S107" s="1" t="s">
        <v>182</v>
      </c>
      <c r="T107" s="65"/>
    </row>
    <row r="109" spans="1:20" ht="15" x14ac:dyDescent="0.25">
      <c r="A109" s="529"/>
      <c r="B109" s="407" t="s">
        <v>340</v>
      </c>
      <c r="C109" s="65"/>
      <c r="D109" s="65"/>
      <c r="E109" s="65"/>
      <c r="F109" s="65"/>
      <c r="G109" s="65"/>
      <c r="H109" s="65"/>
      <c r="I109" s="65"/>
      <c r="J109" s="569"/>
      <c r="K109" s="65"/>
      <c r="L109" s="65"/>
      <c r="M109" s="65"/>
      <c r="N109" s="65"/>
      <c r="O109" s="65"/>
      <c r="P109" s="65"/>
      <c r="Q109" s="65"/>
      <c r="R109" s="571"/>
    </row>
    <row r="110" spans="1:20" x14ac:dyDescent="0.2">
      <c r="A110" s="400" t="s">
        <v>161</v>
      </c>
      <c r="B110" s="401"/>
      <c r="C110" s="543"/>
      <c r="D110" s="392" t="s">
        <v>19</v>
      </c>
      <c r="E110" s="393" t="s">
        <v>59</v>
      </c>
      <c r="F110" s="392" t="s">
        <v>27</v>
      </c>
      <c r="G110" s="394" t="s">
        <v>35</v>
      </c>
      <c r="H110" s="395" t="s">
        <v>36</v>
      </c>
      <c r="I110" s="395" t="s">
        <v>35</v>
      </c>
      <c r="J110" s="394" t="s">
        <v>36</v>
      </c>
      <c r="K110" s="394" t="s">
        <v>39</v>
      </c>
      <c r="L110" s="394" t="s">
        <v>40</v>
      </c>
      <c r="M110" s="394" t="s">
        <v>42</v>
      </c>
      <c r="N110" s="394" t="s">
        <v>2</v>
      </c>
      <c r="O110" s="394" t="s">
        <v>180</v>
      </c>
      <c r="P110" s="544" t="s">
        <v>163</v>
      </c>
      <c r="Q110" s="544" t="s">
        <v>184</v>
      </c>
      <c r="R110" s="572"/>
    </row>
    <row r="111" spans="1:20" x14ac:dyDescent="0.2">
      <c r="A111" s="531" t="s">
        <v>28</v>
      </c>
      <c r="B111" s="399" t="s">
        <v>322</v>
      </c>
      <c r="C111" s="397" t="s">
        <v>31</v>
      </c>
      <c r="D111" s="397" t="s">
        <v>30</v>
      </c>
      <c r="E111" s="397" t="s">
        <v>158</v>
      </c>
      <c r="F111" s="532" t="s">
        <v>56</v>
      </c>
      <c r="G111" s="220">
        <v>24186.880000000001</v>
      </c>
      <c r="H111" s="220">
        <v>25068.03</v>
      </c>
      <c r="I111" s="216">
        <v>3.6208999999999998</v>
      </c>
      <c r="J111" s="216">
        <v>3.6208999999999998</v>
      </c>
      <c r="K111" s="222"/>
      <c r="L111" s="222"/>
      <c r="M111" s="222"/>
      <c r="N111" s="409"/>
      <c r="O111" s="224">
        <f>G111*I111+H111*J111</f>
        <v>178347.103619</v>
      </c>
      <c r="P111" s="253">
        <f>ROUND(37.24%*O111,2)</f>
        <v>66416.460000000006</v>
      </c>
      <c r="Q111" s="222">
        <f>ROUND(R111*P111,2)</f>
        <v>33208.230000000003</v>
      </c>
      <c r="R111" s="223">
        <v>0.5</v>
      </c>
    </row>
    <row r="112" spans="1:20" x14ac:dyDescent="0.2">
      <c r="A112" s="533" t="s">
        <v>28</v>
      </c>
      <c r="B112" s="399" t="str">
        <f>B111</f>
        <v>88 Gas P.Pisco Lt 56</v>
      </c>
      <c r="C112" s="535" t="s">
        <v>31</v>
      </c>
      <c r="D112" s="536" t="s">
        <v>186</v>
      </c>
      <c r="E112" s="536"/>
      <c r="F112" s="535" t="str">
        <f>F111</f>
        <v xml:space="preserve"> MM BTU</v>
      </c>
      <c r="G112" s="218">
        <f>G111</f>
        <v>24186.880000000001</v>
      </c>
      <c r="H112" s="218">
        <f>H111</f>
        <v>25068.03</v>
      </c>
      <c r="I112" s="216">
        <v>3.6190000000000002</v>
      </c>
      <c r="J112" s="216">
        <v>3.6190000000000002</v>
      </c>
      <c r="K112" s="559"/>
      <c r="L112" s="222"/>
      <c r="M112" s="222"/>
      <c r="N112" s="410"/>
      <c r="O112" s="224">
        <f>G112*I112+H112*J112</f>
        <v>178253.51929000003</v>
      </c>
      <c r="P112" s="253">
        <f>ROUND(37.24%*O112,2)</f>
        <v>66381.61</v>
      </c>
      <c r="Q112" s="222">
        <f>ROUND(R112*P112,2)</f>
        <v>33190.81</v>
      </c>
      <c r="R112" s="223">
        <v>0.5</v>
      </c>
    </row>
    <row r="113" spans="1:19" x14ac:dyDescent="0.2">
      <c r="A113" s="537"/>
      <c r="B113" s="390" t="s">
        <v>181</v>
      </c>
      <c r="C113" s="402"/>
      <c r="D113" s="538"/>
      <c r="E113" s="538"/>
      <c r="F113" s="537"/>
      <c r="G113" s="539">
        <f t="shared" ref="G113:N113" si="49">G112-G111</f>
        <v>0</v>
      </c>
      <c r="H113" s="539">
        <f t="shared" si="49"/>
        <v>0</v>
      </c>
      <c r="I113" s="540">
        <f t="shared" si="49"/>
        <v>-1.8999999999995687E-3</v>
      </c>
      <c r="J113" s="540">
        <f t="shared" si="49"/>
        <v>-1.8999999999995687E-3</v>
      </c>
      <c r="K113" s="541">
        <f t="shared" si="49"/>
        <v>0</v>
      </c>
      <c r="L113" s="541">
        <f t="shared" si="49"/>
        <v>0</v>
      </c>
      <c r="M113" s="541">
        <f t="shared" si="49"/>
        <v>0</v>
      </c>
      <c r="N113" s="541">
        <f t="shared" si="49"/>
        <v>0</v>
      </c>
      <c r="O113" s="196">
        <f>O112-O111</f>
        <v>-93.584328999975696</v>
      </c>
      <c r="P113" s="196">
        <f>P112-P111</f>
        <v>-34.850000000005821</v>
      </c>
      <c r="Q113" s="196">
        <f>Q112-Q111</f>
        <v>-17.42000000000553</v>
      </c>
      <c r="R113" s="573"/>
      <c r="S113" s="1" t="s">
        <v>182</v>
      </c>
    </row>
    <row r="115" spans="1:19" ht="15" x14ac:dyDescent="0.25">
      <c r="A115" s="529"/>
      <c r="B115" s="407" t="s">
        <v>341</v>
      </c>
      <c r="C115" s="65"/>
      <c r="D115" s="65"/>
      <c r="E115" s="65"/>
      <c r="F115" s="65"/>
      <c r="G115" s="65"/>
      <c r="H115" s="65"/>
      <c r="I115" s="65"/>
      <c r="J115" s="569"/>
      <c r="K115" s="65"/>
      <c r="L115" s="65"/>
      <c r="M115" s="65"/>
      <c r="N115" s="65"/>
      <c r="O115" s="65"/>
      <c r="P115" s="65"/>
      <c r="Q115" s="65"/>
      <c r="R115" s="571"/>
    </row>
    <row r="116" spans="1:19" x14ac:dyDescent="0.2">
      <c r="A116" s="400" t="s">
        <v>161</v>
      </c>
      <c r="B116" s="401"/>
      <c r="C116" s="543"/>
      <c r="D116" s="392" t="s">
        <v>19</v>
      </c>
      <c r="E116" s="393" t="s">
        <v>59</v>
      </c>
      <c r="F116" s="392" t="s">
        <v>27</v>
      </c>
      <c r="G116" s="394" t="s">
        <v>35</v>
      </c>
      <c r="H116" s="395" t="s">
        <v>36</v>
      </c>
      <c r="I116" s="395" t="s">
        <v>35</v>
      </c>
      <c r="J116" s="394" t="s">
        <v>36</v>
      </c>
      <c r="K116" s="394" t="s">
        <v>39</v>
      </c>
      <c r="L116" s="394" t="s">
        <v>40</v>
      </c>
      <c r="M116" s="394" t="s">
        <v>42</v>
      </c>
      <c r="N116" s="394" t="s">
        <v>2</v>
      </c>
      <c r="O116" s="394" t="s">
        <v>180</v>
      </c>
      <c r="P116" s="544" t="s">
        <v>163</v>
      </c>
      <c r="Q116" s="544" t="s">
        <v>184</v>
      </c>
      <c r="R116" s="572"/>
    </row>
    <row r="117" spans="1:19" x14ac:dyDescent="0.2">
      <c r="A117" s="531" t="s">
        <v>28</v>
      </c>
      <c r="B117" s="399" t="s">
        <v>322</v>
      </c>
      <c r="C117" s="397" t="s">
        <v>31</v>
      </c>
      <c r="D117" s="397" t="s">
        <v>30</v>
      </c>
      <c r="E117" s="397" t="s">
        <v>158</v>
      </c>
      <c r="F117" s="532" t="s">
        <v>56</v>
      </c>
      <c r="G117" s="220">
        <v>22712.32</v>
      </c>
      <c r="H117" s="220">
        <v>25755.88</v>
      </c>
      <c r="I117" s="216">
        <v>3.6208999999999998</v>
      </c>
      <c r="J117" s="216">
        <v>3.6208999999999998</v>
      </c>
      <c r="K117" s="222"/>
      <c r="L117" s="222"/>
      <c r="M117" s="222"/>
      <c r="N117" s="409"/>
      <c r="O117" s="224">
        <f>G117*I117+H117*J117</f>
        <v>175498.50537999999</v>
      </c>
      <c r="P117" s="253">
        <f>ROUND(37.24%*O117,2)</f>
        <v>65355.64</v>
      </c>
      <c r="Q117" s="222">
        <f>ROUND(R117*P117,2)</f>
        <v>32677.82</v>
      </c>
      <c r="R117" s="223">
        <v>0.5</v>
      </c>
    </row>
    <row r="118" spans="1:19" x14ac:dyDescent="0.2">
      <c r="A118" s="533" t="s">
        <v>28</v>
      </c>
      <c r="B118" s="399" t="str">
        <f>B117</f>
        <v>88 Gas P.Pisco Lt 56</v>
      </c>
      <c r="C118" s="535" t="s">
        <v>31</v>
      </c>
      <c r="D118" s="536" t="s">
        <v>186</v>
      </c>
      <c r="E118" s="536"/>
      <c r="F118" s="535" t="str">
        <f>F117</f>
        <v xml:space="preserve"> MM BTU</v>
      </c>
      <c r="G118" s="218">
        <f>G117</f>
        <v>22712.32</v>
      </c>
      <c r="H118" s="624">
        <f>H117</f>
        <v>25755.88</v>
      </c>
      <c r="I118" s="216">
        <v>3.6248</v>
      </c>
      <c r="J118" s="216">
        <v>3.6248</v>
      </c>
      <c r="K118" s="559"/>
      <c r="L118" s="222"/>
      <c r="M118" s="222"/>
      <c r="N118" s="410"/>
      <c r="O118" s="224">
        <f>G118*I118+H118*J118</f>
        <v>175687.53136000002</v>
      </c>
      <c r="P118" s="253">
        <f>ROUND(37.24%*O118,2)</f>
        <v>65426.04</v>
      </c>
      <c r="Q118" s="253">
        <f>ROUND(R118*P118,2)</f>
        <v>32713.02</v>
      </c>
      <c r="R118" s="223">
        <v>0.5</v>
      </c>
    </row>
    <row r="119" spans="1:19" x14ac:dyDescent="0.2">
      <c r="A119" s="537"/>
      <c r="B119" s="390" t="s">
        <v>181</v>
      </c>
      <c r="C119" s="402"/>
      <c r="D119" s="538"/>
      <c r="E119" s="538"/>
      <c r="F119" s="537"/>
      <c r="G119" s="539">
        <f t="shared" ref="G119:N119" si="50">G118-G117</f>
        <v>0</v>
      </c>
      <c r="H119" s="539">
        <f t="shared" si="50"/>
        <v>0</v>
      </c>
      <c r="I119" s="540">
        <f t="shared" si="50"/>
        <v>3.9000000000002366E-3</v>
      </c>
      <c r="J119" s="540">
        <f t="shared" si="50"/>
        <v>3.9000000000002366E-3</v>
      </c>
      <c r="K119" s="541">
        <f t="shared" si="50"/>
        <v>0</v>
      </c>
      <c r="L119" s="541">
        <f t="shared" si="50"/>
        <v>0</v>
      </c>
      <c r="M119" s="541">
        <f t="shared" si="50"/>
        <v>0</v>
      </c>
      <c r="N119" s="541">
        <f t="shared" si="50"/>
        <v>0</v>
      </c>
      <c r="O119" s="196">
        <f>O118-O117</f>
        <v>189.02598000003491</v>
      </c>
      <c r="P119" s="196">
        <f>P118-P117</f>
        <v>70.400000000001455</v>
      </c>
      <c r="Q119" s="196">
        <f>Q118-Q117</f>
        <v>35.200000000000728</v>
      </c>
      <c r="R119" s="573"/>
      <c r="S119" s="1" t="s">
        <v>182</v>
      </c>
    </row>
    <row r="121" spans="1:19" ht="15" x14ac:dyDescent="0.25">
      <c r="A121" s="529"/>
      <c r="B121" s="407" t="s">
        <v>350</v>
      </c>
      <c r="C121" s="65"/>
      <c r="D121" s="65"/>
      <c r="E121" s="65"/>
      <c r="F121" s="65"/>
      <c r="G121" s="65"/>
      <c r="H121" s="65"/>
      <c r="I121" s="65"/>
      <c r="J121" s="569"/>
      <c r="K121" s="65"/>
      <c r="L121" s="65"/>
      <c r="M121" s="65"/>
      <c r="N121" s="65"/>
      <c r="O121" s="65"/>
      <c r="P121" s="570"/>
      <c r="Q121" s="65"/>
      <c r="R121" s="571"/>
    </row>
    <row r="122" spans="1:19" x14ac:dyDescent="0.2">
      <c r="A122" s="400" t="s">
        <v>161</v>
      </c>
      <c r="B122" s="401"/>
      <c r="C122" s="543"/>
      <c r="D122" s="392" t="s">
        <v>19</v>
      </c>
      <c r="E122" s="393" t="s">
        <v>59</v>
      </c>
      <c r="F122" s="392" t="s">
        <v>27</v>
      </c>
      <c r="G122" s="394" t="s">
        <v>35</v>
      </c>
      <c r="H122" s="395" t="s">
        <v>36</v>
      </c>
      <c r="I122" s="395" t="s">
        <v>35</v>
      </c>
      <c r="J122" s="394" t="s">
        <v>36</v>
      </c>
      <c r="K122" s="394" t="s">
        <v>39</v>
      </c>
      <c r="L122" s="394" t="s">
        <v>40</v>
      </c>
      <c r="M122" s="394" t="s">
        <v>42</v>
      </c>
      <c r="N122" s="394" t="s">
        <v>2</v>
      </c>
      <c r="O122" s="394" t="s">
        <v>180</v>
      </c>
      <c r="P122" s="544" t="s">
        <v>163</v>
      </c>
      <c r="Q122" s="544" t="s">
        <v>184</v>
      </c>
      <c r="R122" s="572"/>
    </row>
    <row r="123" spans="1:19" x14ac:dyDescent="0.2">
      <c r="A123" s="531" t="s">
        <v>28</v>
      </c>
      <c r="B123" s="399" t="s">
        <v>327</v>
      </c>
      <c r="C123" s="397" t="s">
        <v>31</v>
      </c>
      <c r="D123" s="397" t="s">
        <v>30</v>
      </c>
      <c r="E123" s="397" t="s">
        <v>158</v>
      </c>
      <c r="F123" s="532" t="s">
        <v>56</v>
      </c>
      <c r="G123" s="222">
        <v>239702</v>
      </c>
      <c r="H123" s="222">
        <v>112543</v>
      </c>
      <c r="I123" s="216">
        <v>44.915500000000002</v>
      </c>
      <c r="J123" s="216">
        <v>42.538699999999999</v>
      </c>
      <c r="K123" s="559"/>
      <c r="L123" s="222"/>
      <c r="M123" s="222"/>
      <c r="N123" s="410"/>
      <c r="O123" s="224">
        <f>G123*I123+H123*J123</f>
        <v>15553768.095100001</v>
      </c>
      <c r="P123" s="583">
        <f>ROUND(G123*I123,2)*6.91%+ROUND(H123*J123,2)*6.75%</f>
        <v>1067105.482363</v>
      </c>
      <c r="Q123" s="253">
        <f>ROUND(R123*P123,2)</f>
        <v>533552.74</v>
      </c>
      <c r="R123" s="223">
        <v>0.5</v>
      </c>
    </row>
    <row r="124" spans="1:19" x14ac:dyDescent="0.2">
      <c r="A124" s="533" t="s">
        <v>28</v>
      </c>
      <c r="B124" s="534" t="str">
        <f>B123</f>
        <v>57 - LGN</v>
      </c>
      <c r="C124" s="535" t="s">
        <v>31</v>
      </c>
      <c r="D124" s="536" t="s">
        <v>186</v>
      </c>
      <c r="E124" s="536"/>
      <c r="F124" s="535" t="str">
        <f>F123</f>
        <v xml:space="preserve"> MM BTU</v>
      </c>
      <c r="G124" s="218">
        <f>G123</f>
        <v>239702</v>
      </c>
      <c r="H124" s="218">
        <f>H123</f>
        <v>112543</v>
      </c>
      <c r="I124" s="216">
        <v>44.513199999999998</v>
      </c>
      <c r="J124" s="216">
        <v>42.136400000000002</v>
      </c>
      <c r="K124" s="559"/>
      <c r="L124" s="222"/>
      <c r="M124" s="222"/>
      <c r="N124" s="410"/>
      <c r="O124" s="224">
        <f>G124*I124+H124*J124</f>
        <v>15412059.931599999</v>
      </c>
      <c r="P124" s="583">
        <f>ROUND(G124*I124,2)*6.91%+ROUND(H124*J124,2)*6.75%</f>
        <v>1057385.8908620002</v>
      </c>
      <c r="Q124" s="253">
        <f>ROUND(R124*P124,2)</f>
        <v>528692.94999999995</v>
      </c>
      <c r="R124" s="223">
        <v>0.5</v>
      </c>
    </row>
    <row r="125" spans="1:19" x14ac:dyDescent="0.2">
      <c r="A125" s="537"/>
      <c r="B125" s="390" t="s">
        <v>181</v>
      </c>
      <c r="C125" s="402"/>
      <c r="D125" s="538"/>
      <c r="E125" s="538"/>
      <c r="F125" s="537"/>
      <c r="G125" s="539">
        <f t="shared" ref="G125:N125" si="51">G124-G123</f>
        <v>0</v>
      </c>
      <c r="H125" s="539">
        <f t="shared" si="51"/>
        <v>0</v>
      </c>
      <c r="I125" s="540">
        <f t="shared" si="51"/>
        <v>-0.40230000000000388</v>
      </c>
      <c r="J125" s="540">
        <f t="shared" si="51"/>
        <v>-0.40229999999999677</v>
      </c>
      <c r="K125" s="541">
        <f t="shared" si="51"/>
        <v>0</v>
      </c>
      <c r="L125" s="541">
        <f t="shared" si="51"/>
        <v>0</v>
      </c>
      <c r="M125" s="541">
        <f t="shared" si="51"/>
        <v>0</v>
      </c>
      <c r="N125" s="541">
        <f t="shared" si="51"/>
        <v>0</v>
      </c>
      <c r="O125" s="196">
        <f>O124-O123</f>
        <v>-141708.16350000165</v>
      </c>
      <c r="P125" s="196">
        <f>P124-P123</f>
        <v>-9719.5915009998716</v>
      </c>
      <c r="Q125" s="196">
        <f>Q124-Q123</f>
        <v>-4859.7900000000373</v>
      </c>
      <c r="R125" s="573"/>
      <c r="S125" s="1" t="s">
        <v>182</v>
      </c>
    </row>
    <row r="130" spans="1:34" s="65" customFormat="1" ht="16.350000000000001" customHeight="1" x14ac:dyDescent="0.25">
      <c r="A130" s="620"/>
      <c r="B130" s="407" t="s">
        <v>339</v>
      </c>
      <c r="J130" s="569"/>
      <c r="R130" s="571"/>
      <c r="T130" s="574"/>
      <c r="V130" s="138"/>
      <c r="W130" s="143"/>
      <c r="X130" s="143"/>
    </row>
    <row r="131" spans="1:34" s="65" customFormat="1" x14ac:dyDescent="0.2">
      <c r="A131" s="396" t="s">
        <v>312</v>
      </c>
      <c r="B131" s="401"/>
      <c r="C131" s="543"/>
      <c r="D131" s="392" t="s">
        <v>19</v>
      </c>
      <c r="E131" s="393" t="s">
        <v>59</v>
      </c>
      <c r="F131" s="392" t="s">
        <v>27</v>
      </c>
      <c r="G131" s="394" t="s">
        <v>35</v>
      </c>
      <c r="H131" s="395" t="s">
        <v>36</v>
      </c>
      <c r="I131" s="395" t="s">
        <v>35</v>
      </c>
      <c r="J131" s="394" t="s">
        <v>36</v>
      </c>
      <c r="K131" s="394" t="s">
        <v>39</v>
      </c>
      <c r="L131" s="394" t="s">
        <v>40</v>
      </c>
      <c r="M131" s="394" t="s">
        <v>42</v>
      </c>
      <c r="N131" s="394" t="s">
        <v>2</v>
      </c>
      <c r="O131" s="394" t="s">
        <v>180</v>
      </c>
      <c r="P131" s="544" t="s">
        <v>313</v>
      </c>
      <c r="Q131" s="544" t="s">
        <v>43</v>
      </c>
      <c r="R131" s="572"/>
      <c r="S131" s="1194" t="s">
        <v>44</v>
      </c>
      <c r="T131" s="1195"/>
      <c r="U131" s="547"/>
      <c r="V131" s="143"/>
      <c r="W131" s="143"/>
      <c r="X131" s="143"/>
    </row>
    <row r="132" spans="1:34" s="65" customFormat="1" x14ac:dyDescent="0.2">
      <c r="A132" s="531" t="s">
        <v>28</v>
      </c>
      <c r="B132" s="548" t="s">
        <v>338</v>
      </c>
      <c r="C132" s="398" t="s">
        <v>31</v>
      </c>
      <c r="D132" s="549" t="s">
        <v>30</v>
      </c>
      <c r="E132" s="549" t="s">
        <v>101</v>
      </c>
      <c r="F132" s="398" t="s">
        <v>56</v>
      </c>
      <c r="G132" s="215">
        <v>43917.498599999999</v>
      </c>
      <c r="H132" s="215">
        <v>46484.160300000003</v>
      </c>
      <c r="I132" s="217">
        <v>3.8824000000000001</v>
      </c>
      <c r="J132" s="217">
        <v>3.8824000000000001</v>
      </c>
      <c r="K132" s="222"/>
      <c r="L132" s="222"/>
      <c r="M132" s="222"/>
      <c r="N132" s="386"/>
      <c r="O132" s="224">
        <f>ROUND(G132*I132,2)+ROUND(H132*J132,2)-K132-L132-M132-N132</f>
        <v>350975.4</v>
      </c>
      <c r="P132" s="222">
        <f>ROUND(18.75%*O132,2)</f>
        <v>65807.89</v>
      </c>
      <c r="Q132" s="222">
        <f>ROUND($O132*R132,2)</f>
        <v>52646.31</v>
      </c>
      <c r="R132" s="223">
        <v>0.15</v>
      </c>
      <c r="S132" s="222">
        <f>ROUND($O132*T132,2)</f>
        <v>13161.58</v>
      </c>
      <c r="T132" s="258">
        <v>3.7499999999999999E-2</v>
      </c>
      <c r="U132" s="143"/>
      <c r="V132" s="143"/>
      <c r="W132" s="143"/>
      <c r="X132" s="143"/>
      <c r="AH132" s="553"/>
    </row>
    <row r="133" spans="1:34" s="65" customFormat="1" x14ac:dyDescent="0.2">
      <c r="A133" s="533" t="s">
        <v>28</v>
      </c>
      <c r="B133" s="550" t="str">
        <f>B132</f>
        <v>I - Gas</v>
      </c>
      <c r="C133" s="397" t="s">
        <v>31</v>
      </c>
      <c r="D133" s="536" t="s">
        <v>186</v>
      </c>
      <c r="E133" s="536"/>
      <c r="F133" s="535" t="str">
        <f>F132</f>
        <v xml:space="preserve"> MM BTU</v>
      </c>
      <c r="G133" s="408">
        <f>G132</f>
        <v>43917.498599999999</v>
      </c>
      <c r="H133" s="408">
        <f>H132</f>
        <v>46484.160300000003</v>
      </c>
      <c r="I133" s="217">
        <v>3.9319999999999999</v>
      </c>
      <c r="J133" s="217">
        <v>3.9319999999999999</v>
      </c>
      <c r="K133" s="409"/>
      <c r="L133" s="409"/>
      <c r="M133" s="410"/>
      <c r="N133" s="386"/>
      <c r="O133" s="410">
        <f>ROUND(G133*I133,2)+ROUND(H133*J133,2)-K133-L133-M133-N133</f>
        <v>355459.32</v>
      </c>
      <c r="P133" s="409">
        <f>ROUND(18.75%*O133,2)</f>
        <v>66648.62</v>
      </c>
      <c r="Q133" s="409">
        <f>ROUND($O133*R133,2)</f>
        <v>53318.9</v>
      </c>
      <c r="R133" s="575">
        <v>0.15</v>
      </c>
      <c r="S133" s="409">
        <f>ROUND($O133*T133,2)</f>
        <v>13329.72</v>
      </c>
      <c r="T133" s="576">
        <v>3.7499999999999999E-2</v>
      </c>
      <c r="U133" s="143"/>
      <c r="V133" s="143"/>
      <c r="W133" s="143"/>
      <c r="X133" s="143"/>
      <c r="Y133" s="360"/>
      <c r="Z133" s="360"/>
    </row>
    <row r="134" spans="1:34" s="65" customFormat="1" x14ac:dyDescent="0.2">
      <c r="A134" s="537"/>
      <c r="B134" s="390" t="s">
        <v>181</v>
      </c>
      <c r="C134" s="402"/>
      <c r="D134" s="538"/>
      <c r="E134" s="538"/>
      <c r="F134" s="537"/>
      <c r="G134" s="539">
        <f t="shared" ref="G134:O134" si="52">G133-G132</f>
        <v>0</v>
      </c>
      <c r="H134" s="539">
        <f t="shared" si="52"/>
        <v>0</v>
      </c>
      <c r="I134" s="196">
        <f t="shared" si="52"/>
        <v>4.9599999999999866E-2</v>
      </c>
      <c r="J134" s="196">
        <f t="shared" si="52"/>
        <v>4.9599999999999866E-2</v>
      </c>
      <c r="K134" s="541">
        <f t="shared" si="52"/>
        <v>0</v>
      </c>
      <c r="L134" s="541">
        <f t="shared" si="52"/>
        <v>0</v>
      </c>
      <c r="M134" s="541">
        <f t="shared" si="52"/>
        <v>0</v>
      </c>
      <c r="N134" s="541">
        <f t="shared" si="52"/>
        <v>0</v>
      </c>
      <c r="O134" s="196">
        <f t="shared" si="52"/>
        <v>4483.9199999999837</v>
      </c>
      <c r="P134" s="196">
        <f>P133-P132</f>
        <v>840.72999999999593</v>
      </c>
      <c r="Q134" s="196">
        <f>Q133-Q132</f>
        <v>672.59000000000378</v>
      </c>
      <c r="R134" s="196"/>
      <c r="S134" s="196">
        <f>S133-S132</f>
        <v>168.13999999999942</v>
      </c>
      <c r="T134" s="196"/>
    </row>
    <row r="136" spans="1:34" ht="15" x14ac:dyDescent="0.25">
      <c r="A136" s="529"/>
      <c r="B136" s="407" t="s">
        <v>341</v>
      </c>
      <c r="C136" s="65"/>
      <c r="D136" s="65"/>
      <c r="E136" s="65"/>
      <c r="F136" s="65"/>
      <c r="G136" s="65"/>
      <c r="H136" s="65"/>
      <c r="I136" s="65"/>
      <c r="J136" s="569"/>
      <c r="K136" s="65"/>
      <c r="L136" s="65"/>
      <c r="M136" s="65"/>
      <c r="N136" s="65"/>
      <c r="O136" s="65"/>
      <c r="P136" s="65"/>
      <c r="Q136" s="65"/>
      <c r="R136" s="571"/>
      <c r="S136" s="65"/>
      <c r="T136" s="574"/>
    </row>
    <row r="137" spans="1:34" x14ac:dyDescent="0.2">
      <c r="A137" s="396" t="s">
        <v>312</v>
      </c>
      <c r="B137" s="401"/>
      <c r="C137" s="543"/>
      <c r="D137" s="392" t="s">
        <v>19</v>
      </c>
      <c r="E137" s="393" t="s">
        <v>59</v>
      </c>
      <c r="F137" s="392" t="s">
        <v>27</v>
      </c>
      <c r="G137" s="394" t="s">
        <v>35</v>
      </c>
      <c r="H137" s="395" t="s">
        <v>36</v>
      </c>
      <c r="I137" s="395" t="s">
        <v>35</v>
      </c>
      <c r="J137" s="394" t="s">
        <v>36</v>
      </c>
      <c r="K137" s="394" t="s">
        <v>39</v>
      </c>
      <c r="L137" s="394" t="s">
        <v>40</v>
      </c>
      <c r="M137" s="394" t="s">
        <v>42</v>
      </c>
      <c r="N137" s="394" t="s">
        <v>2</v>
      </c>
      <c r="O137" s="394" t="s">
        <v>180</v>
      </c>
      <c r="P137" s="544" t="s">
        <v>313</v>
      </c>
      <c r="Q137" s="544" t="s">
        <v>43</v>
      </c>
      <c r="R137" s="572"/>
      <c r="S137" s="1194" t="s">
        <v>44</v>
      </c>
      <c r="T137" s="1195"/>
    </row>
    <row r="138" spans="1:34" x14ac:dyDescent="0.2">
      <c r="A138" s="531" t="s">
        <v>28</v>
      </c>
      <c r="B138" s="548" t="s">
        <v>314</v>
      </c>
      <c r="C138" s="398" t="s">
        <v>31</v>
      </c>
      <c r="D138" s="549" t="s">
        <v>30</v>
      </c>
      <c r="E138" s="549" t="s">
        <v>101</v>
      </c>
      <c r="F138" s="398" t="s">
        <v>56</v>
      </c>
      <c r="G138" s="215">
        <v>39981.730300000003</v>
      </c>
      <c r="H138" s="215">
        <v>59788.8632</v>
      </c>
      <c r="I138" s="217">
        <v>3.0889000000000002</v>
      </c>
      <c r="J138" s="217">
        <v>3.0889000000000002</v>
      </c>
      <c r="K138" s="222"/>
      <c r="L138" s="222"/>
      <c r="M138" s="222"/>
      <c r="N138" s="409"/>
      <c r="O138" s="224">
        <f>ROUND(G138*I138,2)+ROUND(H138*J138,2)-K138-L138-M138-N138</f>
        <v>308181.39</v>
      </c>
      <c r="P138" s="321">
        <f>ROUND(18.75%*O138,2)</f>
        <v>57784.01</v>
      </c>
      <c r="Q138" s="222">
        <f>ROUND($O138*R138,2)</f>
        <v>46227.21</v>
      </c>
      <c r="R138" s="223">
        <v>0.15</v>
      </c>
      <c r="S138" s="222">
        <f>ROUND($O138*T138,2)</f>
        <v>11556.8</v>
      </c>
      <c r="T138" s="258">
        <v>3.7499999999999999E-2</v>
      </c>
    </row>
    <row r="139" spans="1:34" x14ac:dyDescent="0.2">
      <c r="A139" s="533" t="s">
        <v>28</v>
      </c>
      <c r="B139" s="550" t="str">
        <f>B138</f>
        <v>IV - Gas</v>
      </c>
      <c r="C139" s="397" t="s">
        <v>31</v>
      </c>
      <c r="D139" s="536" t="s">
        <v>186</v>
      </c>
      <c r="E139" s="536"/>
      <c r="F139" s="535" t="str">
        <f>F138</f>
        <v xml:space="preserve"> MM BTU</v>
      </c>
      <c r="G139" s="408">
        <f>G138</f>
        <v>39981.730300000003</v>
      </c>
      <c r="H139" s="408">
        <f>H138</f>
        <v>59788.8632</v>
      </c>
      <c r="I139" s="217">
        <v>3.1332</v>
      </c>
      <c r="J139" s="217">
        <v>3.1332</v>
      </c>
      <c r="K139" s="409"/>
      <c r="L139" s="409"/>
      <c r="M139" s="410"/>
      <c r="N139" s="410"/>
      <c r="O139" s="410">
        <f>ROUND(G139*I139,2)+ROUND(H139*J139,2)-K139-L139-M139-N139</f>
        <v>312601.23</v>
      </c>
      <c r="P139" s="552">
        <f>ROUND(18.75%*O139,2)</f>
        <v>58612.73</v>
      </c>
      <c r="Q139" s="409">
        <f>ROUND($O139*R139,2)</f>
        <v>46890.18</v>
      </c>
      <c r="R139" s="575">
        <v>0.15</v>
      </c>
      <c r="S139" s="409">
        <f>ROUND($O139*T139,2)</f>
        <v>11722.55</v>
      </c>
      <c r="T139" s="576">
        <v>3.7499999999999999E-2</v>
      </c>
    </row>
    <row r="140" spans="1:34" x14ac:dyDescent="0.2">
      <c r="A140" s="537"/>
      <c r="B140" s="390" t="s">
        <v>181</v>
      </c>
      <c r="C140" s="402"/>
      <c r="D140" s="538"/>
      <c r="E140" s="538"/>
      <c r="F140" s="537"/>
      <c r="G140" s="539">
        <f t="shared" ref="G140:P140" si="53">G139-G138</f>
        <v>0</v>
      </c>
      <c r="H140" s="539">
        <f t="shared" si="53"/>
        <v>0</v>
      </c>
      <c r="I140" s="196">
        <f t="shared" si="53"/>
        <v>4.4299999999999784E-2</v>
      </c>
      <c r="J140" s="196">
        <f t="shared" si="53"/>
        <v>4.4299999999999784E-2</v>
      </c>
      <c r="K140" s="541">
        <f t="shared" si="53"/>
        <v>0</v>
      </c>
      <c r="L140" s="541">
        <f t="shared" si="53"/>
        <v>0</v>
      </c>
      <c r="M140" s="541">
        <f t="shared" si="53"/>
        <v>0</v>
      </c>
      <c r="N140" s="541">
        <f t="shared" si="53"/>
        <v>0</v>
      </c>
      <c r="O140" s="196">
        <f t="shared" si="53"/>
        <v>4419.8399999999674</v>
      </c>
      <c r="P140" s="196">
        <f t="shared" si="53"/>
        <v>828.72000000000116</v>
      </c>
      <c r="Q140" s="196">
        <f>Q139-Q138</f>
        <v>662.97000000000116</v>
      </c>
      <c r="R140" s="196"/>
      <c r="S140" s="196">
        <f>S139-S138</f>
        <v>165.75</v>
      </c>
      <c r="T140" s="196"/>
    </row>
    <row r="142" spans="1:34" ht="15" x14ac:dyDescent="0.25">
      <c r="A142" s="529"/>
      <c r="B142" s="407" t="s">
        <v>342</v>
      </c>
      <c r="C142" s="65"/>
      <c r="D142" s="65"/>
      <c r="E142" s="65"/>
      <c r="F142" s="65"/>
      <c r="G142" s="65"/>
      <c r="H142" s="65"/>
      <c r="I142" s="65"/>
      <c r="J142" s="569"/>
      <c r="K142" s="65"/>
      <c r="L142" s="65"/>
      <c r="M142" s="65"/>
      <c r="N142" s="65"/>
      <c r="O142" s="65"/>
      <c r="P142" s="65"/>
      <c r="Q142" s="65"/>
      <c r="R142" s="571"/>
      <c r="S142" s="65"/>
      <c r="T142" s="574"/>
    </row>
    <row r="143" spans="1:34" x14ac:dyDescent="0.2">
      <c r="A143" s="396" t="s">
        <v>312</v>
      </c>
      <c r="B143" s="401"/>
      <c r="C143" s="543"/>
      <c r="D143" s="392" t="s">
        <v>19</v>
      </c>
      <c r="E143" s="393" t="s">
        <v>59</v>
      </c>
      <c r="F143" s="392" t="s">
        <v>27</v>
      </c>
      <c r="G143" s="394" t="s">
        <v>35</v>
      </c>
      <c r="H143" s="395" t="s">
        <v>36</v>
      </c>
      <c r="I143" s="395" t="s">
        <v>35</v>
      </c>
      <c r="J143" s="394" t="s">
        <v>36</v>
      </c>
      <c r="K143" s="394" t="s">
        <v>39</v>
      </c>
      <c r="L143" s="394" t="s">
        <v>40</v>
      </c>
      <c r="M143" s="394" t="s">
        <v>42</v>
      </c>
      <c r="N143" s="394" t="s">
        <v>2</v>
      </c>
      <c r="O143" s="394" t="s">
        <v>180</v>
      </c>
      <c r="P143" s="544" t="s">
        <v>313</v>
      </c>
      <c r="Q143" s="544" t="s">
        <v>43</v>
      </c>
      <c r="R143" s="572"/>
      <c r="S143" s="1194" t="s">
        <v>44</v>
      </c>
      <c r="T143" s="1195"/>
    </row>
    <row r="144" spans="1:34" x14ac:dyDescent="0.2">
      <c r="A144" s="531" t="s">
        <v>28</v>
      </c>
      <c r="B144" s="548" t="s">
        <v>336</v>
      </c>
      <c r="C144" s="398" t="s">
        <v>31</v>
      </c>
      <c r="D144" s="549" t="s">
        <v>30</v>
      </c>
      <c r="E144" s="549" t="s">
        <v>101</v>
      </c>
      <c r="F144" s="398" t="s">
        <v>56</v>
      </c>
      <c r="G144" s="215"/>
      <c r="H144" s="215">
        <v>54723.288700000005</v>
      </c>
      <c r="I144" s="217"/>
      <c r="J144" s="217">
        <v>4</v>
      </c>
      <c r="K144" s="222"/>
      <c r="L144" s="222"/>
      <c r="M144" s="222"/>
      <c r="N144" s="409"/>
      <c r="O144" s="224">
        <f>ROUND(G144*I144,2)+ROUND(H144*J144,2)-K144-L144-M144-N144</f>
        <v>218893.15</v>
      </c>
      <c r="P144" s="321">
        <f>ROUND(18.75%*O144,2)</f>
        <v>41042.47</v>
      </c>
      <c r="Q144" s="222">
        <f>ROUND($O144*R144,2)</f>
        <v>32833.97</v>
      </c>
      <c r="R144" s="223">
        <v>0.15</v>
      </c>
      <c r="S144" s="222">
        <f>ROUND($O144*T144,2)</f>
        <v>8208.49</v>
      </c>
      <c r="T144" s="258">
        <v>3.7499999999999999E-2</v>
      </c>
    </row>
    <row r="145" spans="1:20" x14ac:dyDescent="0.2">
      <c r="A145" s="533" t="s">
        <v>28</v>
      </c>
      <c r="B145" s="550" t="str">
        <f>B144</f>
        <v>VI - Gas</v>
      </c>
      <c r="C145" s="397" t="s">
        <v>31</v>
      </c>
      <c r="D145" s="536" t="s">
        <v>186</v>
      </c>
      <c r="E145" s="536"/>
      <c r="F145" s="535" t="str">
        <f>F144</f>
        <v xml:space="preserve"> MM BTU</v>
      </c>
      <c r="G145" s="408">
        <f>G144</f>
        <v>0</v>
      </c>
      <c r="H145" s="408">
        <f>H144</f>
        <v>54723.288700000005</v>
      </c>
      <c r="I145" s="217"/>
      <c r="J145" s="217">
        <v>3.1086999999999998</v>
      </c>
      <c r="K145" s="409"/>
      <c r="L145" s="409"/>
      <c r="M145" s="410"/>
      <c r="N145" s="410"/>
      <c r="O145" s="410">
        <f>ROUND(G145*I145,2)+ROUND(H145*J145,2)-K145-L145-M145-N145</f>
        <v>170118.29</v>
      </c>
      <c r="P145" s="552">
        <f>ROUND(18.75%*O145,2)</f>
        <v>31897.18</v>
      </c>
      <c r="Q145" s="409">
        <f>ROUND($O145*R145,2)</f>
        <v>25517.74</v>
      </c>
      <c r="R145" s="575">
        <v>0.15</v>
      </c>
      <c r="S145" s="409">
        <f>ROUND($O145*T145,2)</f>
        <v>6379.44</v>
      </c>
      <c r="T145" s="576">
        <v>3.7499999999999999E-2</v>
      </c>
    </row>
    <row r="146" spans="1:20" x14ac:dyDescent="0.2">
      <c r="A146" s="537"/>
      <c r="B146" s="390" t="s">
        <v>181</v>
      </c>
      <c r="C146" s="402"/>
      <c r="D146" s="538"/>
      <c r="E146" s="538"/>
      <c r="F146" s="537"/>
      <c r="G146" s="539">
        <f t="shared" ref="G146:P146" si="54">G145-G144</f>
        <v>0</v>
      </c>
      <c r="H146" s="539">
        <f t="shared" si="54"/>
        <v>0</v>
      </c>
      <c r="I146" s="196">
        <f>I145-I144</f>
        <v>0</v>
      </c>
      <c r="J146" s="196">
        <f>J145-J144</f>
        <v>-0.8913000000000002</v>
      </c>
      <c r="K146" s="541">
        <f t="shared" si="54"/>
        <v>0</v>
      </c>
      <c r="L146" s="541">
        <f t="shared" si="54"/>
        <v>0</v>
      </c>
      <c r="M146" s="541">
        <f t="shared" si="54"/>
        <v>0</v>
      </c>
      <c r="N146" s="541">
        <f t="shared" si="54"/>
        <v>0</v>
      </c>
      <c r="O146" s="196">
        <f t="shared" si="54"/>
        <v>-48774.859999999986</v>
      </c>
      <c r="P146" s="196">
        <f t="shared" si="54"/>
        <v>-9145.2900000000009</v>
      </c>
      <c r="Q146" s="196">
        <f>Q145-Q144</f>
        <v>-7316.23</v>
      </c>
      <c r="R146" s="196"/>
      <c r="S146" s="196">
        <f>S145-S144</f>
        <v>-1829.0500000000002</v>
      </c>
      <c r="T146" s="196"/>
    </row>
    <row r="148" spans="1:20" ht="15" x14ac:dyDescent="0.25">
      <c r="A148" s="529"/>
      <c r="B148" s="407" t="s">
        <v>343</v>
      </c>
      <c r="C148" s="65"/>
      <c r="D148" s="65"/>
      <c r="E148" s="65"/>
      <c r="F148" s="65"/>
      <c r="G148" s="65"/>
      <c r="H148" s="65"/>
      <c r="I148" s="65"/>
      <c r="J148" s="569"/>
      <c r="K148" s="65"/>
      <c r="L148" s="65"/>
      <c r="M148" s="65"/>
      <c r="N148" s="65"/>
      <c r="O148" s="65"/>
      <c r="P148" s="65"/>
      <c r="Q148" s="65"/>
      <c r="R148" s="571"/>
      <c r="S148" s="65"/>
      <c r="T148" s="574"/>
    </row>
    <row r="149" spans="1:20" x14ac:dyDescent="0.2">
      <c r="A149" s="396" t="s">
        <v>312</v>
      </c>
      <c r="B149" s="401"/>
      <c r="C149" s="543"/>
      <c r="D149" s="392" t="s">
        <v>19</v>
      </c>
      <c r="E149" s="393" t="s">
        <v>59</v>
      </c>
      <c r="F149" s="392" t="s">
        <v>27</v>
      </c>
      <c r="G149" s="394" t="s">
        <v>35</v>
      </c>
      <c r="H149" s="395" t="s">
        <v>36</v>
      </c>
      <c r="I149" s="395" t="s">
        <v>35</v>
      </c>
      <c r="J149" s="394" t="s">
        <v>36</v>
      </c>
      <c r="K149" s="394" t="s">
        <v>39</v>
      </c>
      <c r="L149" s="394" t="s">
        <v>40</v>
      </c>
      <c r="M149" s="394" t="s">
        <v>42</v>
      </c>
      <c r="N149" s="394" t="s">
        <v>2</v>
      </c>
      <c r="O149" s="394" t="s">
        <v>180</v>
      </c>
      <c r="P149" s="544" t="s">
        <v>313</v>
      </c>
      <c r="Q149" s="544" t="s">
        <v>43</v>
      </c>
      <c r="R149" s="572"/>
      <c r="S149" s="1194" t="s">
        <v>44</v>
      </c>
      <c r="T149" s="1195"/>
    </row>
    <row r="150" spans="1:20" x14ac:dyDescent="0.2">
      <c r="A150" s="531" t="s">
        <v>28</v>
      </c>
      <c r="B150" s="548" t="s">
        <v>336</v>
      </c>
      <c r="C150" s="398" t="s">
        <v>31</v>
      </c>
      <c r="D150" s="549" t="s">
        <v>30</v>
      </c>
      <c r="E150" s="549" t="s">
        <v>101</v>
      </c>
      <c r="F150" s="398" t="s">
        <v>56</v>
      </c>
      <c r="G150" s="215">
        <v>56036.113499999999</v>
      </c>
      <c r="H150" s="215">
        <v>59333.58</v>
      </c>
      <c r="I150" s="217">
        <v>4</v>
      </c>
      <c r="J150" s="217">
        <v>4</v>
      </c>
      <c r="K150" s="222"/>
      <c r="L150" s="222"/>
      <c r="M150" s="222"/>
      <c r="N150" s="409"/>
      <c r="O150" s="224">
        <f>ROUND(G150*I150,2)+ROUND(H150*J150,2)-K150-L150-M150-N150</f>
        <v>461478.77</v>
      </c>
      <c r="P150" s="321">
        <f>ROUND(18.75%*O150,2)</f>
        <v>86527.27</v>
      </c>
      <c r="Q150" s="222">
        <f>ROUND($O150*R150,2)</f>
        <v>69221.820000000007</v>
      </c>
      <c r="R150" s="223">
        <v>0.15</v>
      </c>
      <c r="S150" s="222">
        <f>ROUND($O150*T150,2)</f>
        <v>17305.45</v>
      </c>
      <c r="T150" s="258">
        <v>3.7499999999999999E-2</v>
      </c>
    </row>
    <row r="151" spans="1:20" x14ac:dyDescent="0.2">
      <c r="A151" s="533" t="s">
        <v>28</v>
      </c>
      <c r="B151" s="550" t="str">
        <f>B150</f>
        <v>VI - Gas</v>
      </c>
      <c r="C151" s="397" t="s">
        <v>31</v>
      </c>
      <c r="D151" s="536" t="s">
        <v>186</v>
      </c>
      <c r="E151" s="536"/>
      <c r="F151" s="535" t="str">
        <f>F150</f>
        <v xml:space="preserve"> MM BTU</v>
      </c>
      <c r="G151" s="408">
        <f>G150</f>
        <v>56036.113499999999</v>
      </c>
      <c r="H151" s="408">
        <f>H150</f>
        <v>59333.58</v>
      </c>
      <c r="I151" s="217">
        <v>3.1353</v>
      </c>
      <c r="J151" s="217">
        <v>3.1353</v>
      </c>
      <c r="K151" s="409"/>
      <c r="L151" s="409"/>
      <c r="M151" s="410"/>
      <c r="N151" s="410"/>
      <c r="O151" s="410">
        <f>ROUND(G151*I151,2)+ROUND(H151*J151,2)-K151-L151-M151-N151</f>
        <v>361718.6</v>
      </c>
      <c r="P151" s="552">
        <f>ROUND(18.75%*O151,2)</f>
        <v>67822.240000000005</v>
      </c>
      <c r="Q151" s="409">
        <f>ROUND($O151*R151,2)</f>
        <v>54257.79</v>
      </c>
      <c r="R151" s="575">
        <v>0.15</v>
      </c>
      <c r="S151" s="409">
        <f>ROUND($O151*T151,2)</f>
        <v>13564.45</v>
      </c>
      <c r="T151" s="576">
        <v>3.7499999999999999E-2</v>
      </c>
    </row>
    <row r="152" spans="1:20" x14ac:dyDescent="0.2">
      <c r="A152" s="537"/>
      <c r="B152" s="390" t="s">
        <v>181</v>
      </c>
      <c r="C152" s="402"/>
      <c r="D152" s="538"/>
      <c r="E152" s="538"/>
      <c r="F152" s="537"/>
      <c r="G152" s="539">
        <f t="shared" ref="G152:P152" si="55">G151-G150</f>
        <v>0</v>
      </c>
      <c r="H152" s="539">
        <f t="shared" si="55"/>
        <v>0</v>
      </c>
      <c r="I152" s="196">
        <f t="shared" si="55"/>
        <v>-0.86470000000000002</v>
      </c>
      <c r="J152" s="196">
        <f t="shared" si="55"/>
        <v>-0.86470000000000002</v>
      </c>
      <c r="K152" s="541">
        <f t="shared" si="55"/>
        <v>0</v>
      </c>
      <c r="L152" s="541">
        <f t="shared" si="55"/>
        <v>0</v>
      </c>
      <c r="M152" s="541">
        <f t="shared" si="55"/>
        <v>0</v>
      </c>
      <c r="N152" s="541">
        <f t="shared" si="55"/>
        <v>0</v>
      </c>
      <c r="O152" s="196">
        <f t="shared" si="55"/>
        <v>-99760.170000000042</v>
      </c>
      <c r="P152" s="196">
        <f t="shared" si="55"/>
        <v>-18705.03</v>
      </c>
      <c r="Q152" s="196">
        <f>Q151-Q150</f>
        <v>-14964.030000000006</v>
      </c>
      <c r="R152" s="196"/>
      <c r="S152" s="196">
        <f>S151-S150</f>
        <v>-3741</v>
      </c>
      <c r="T152" s="196"/>
    </row>
    <row r="154" spans="1:20" ht="15" x14ac:dyDescent="0.25">
      <c r="A154" s="529"/>
      <c r="B154" s="407" t="s">
        <v>344</v>
      </c>
      <c r="C154" s="65"/>
      <c r="D154" s="65"/>
      <c r="E154" s="65"/>
      <c r="F154" s="65"/>
      <c r="G154" s="65"/>
      <c r="H154" s="65"/>
      <c r="I154" s="65"/>
      <c r="J154" s="569"/>
      <c r="K154" s="65"/>
      <c r="L154" s="65"/>
      <c r="M154" s="65"/>
      <c r="N154" s="65"/>
      <c r="O154" s="65"/>
      <c r="P154" s="65"/>
      <c r="Q154" s="65"/>
      <c r="R154" s="571"/>
      <c r="S154" s="65"/>
      <c r="T154" s="574"/>
    </row>
    <row r="155" spans="1:20" x14ac:dyDescent="0.2">
      <c r="A155" s="396" t="s">
        <v>312</v>
      </c>
      <c r="B155" s="401"/>
      <c r="C155" s="543"/>
      <c r="D155" s="392" t="s">
        <v>19</v>
      </c>
      <c r="E155" s="393" t="s">
        <v>59</v>
      </c>
      <c r="F155" s="392" t="s">
        <v>27</v>
      </c>
      <c r="G155" s="394" t="s">
        <v>35</v>
      </c>
      <c r="H155" s="395" t="s">
        <v>36</v>
      </c>
      <c r="I155" s="395" t="s">
        <v>35</v>
      </c>
      <c r="J155" s="394" t="s">
        <v>36</v>
      </c>
      <c r="K155" s="394" t="s">
        <v>39</v>
      </c>
      <c r="L155" s="394" t="s">
        <v>40</v>
      </c>
      <c r="M155" s="394" t="s">
        <v>42</v>
      </c>
      <c r="N155" s="394" t="s">
        <v>2</v>
      </c>
      <c r="O155" s="394" t="s">
        <v>180</v>
      </c>
      <c r="P155" s="544" t="s">
        <v>313</v>
      </c>
      <c r="Q155" s="544" t="s">
        <v>43</v>
      </c>
      <c r="R155" s="572"/>
      <c r="S155" s="1194" t="s">
        <v>44</v>
      </c>
      <c r="T155" s="1195"/>
    </row>
    <row r="156" spans="1:20" x14ac:dyDescent="0.2">
      <c r="A156" s="531" t="s">
        <v>28</v>
      </c>
      <c r="B156" s="548" t="s">
        <v>336</v>
      </c>
      <c r="C156" s="398" t="s">
        <v>31</v>
      </c>
      <c r="D156" s="549" t="s">
        <v>30</v>
      </c>
      <c r="E156" s="549" t="s">
        <v>101</v>
      </c>
      <c r="F156" s="398" t="s">
        <v>56</v>
      </c>
      <c r="G156" s="215">
        <v>57353.288399999998</v>
      </c>
      <c r="H156" s="215">
        <v>60657.671199999997</v>
      </c>
      <c r="I156" s="217">
        <v>4</v>
      </c>
      <c r="J156" s="217">
        <v>4</v>
      </c>
      <c r="K156" s="222"/>
      <c r="L156" s="222"/>
      <c r="M156" s="222"/>
      <c r="N156" s="409"/>
      <c r="O156" s="224">
        <f>ROUND(G156*I156,2)+ROUND(H156*J156,2)-K156-L156-M156-N156</f>
        <v>472043.82999999996</v>
      </c>
      <c r="P156" s="321">
        <f>ROUND(18.75%*O156,2)</f>
        <v>88508.22</v>
      </c>
      <c r="Q156" s="222">
        <f>ROUND($O156*R156,2)</f>
        <v>70806.570000000007</v>
      </c>
      <c r="R156" s="223">
        <v>0.15</v>
      </c>
      <c r="S156" s="222">
        <f>ROUND($O156*T156,2)</f>
        <v>17701.64</v>
      </c>
      <c r="T156" s="258">
        <v>3.7499999999999999E-2</v>
      </c>
    </row>
    <row r="157" spans="1:20" x14ac:dyDescent="0.2">
      <c r="A157" s="533" t="s">
        <v>28</v>
      </c>
      <c r="B157" s="550" t="str">
        <f>B156</f>
        <v>VI - Gas</v>
      </c>
      <c r="C157" s="397" t="s">
        <v>31</v>
      </c>
      <c r="D157" s="536" t="s">
        <v>186</v>
      </c>
      <c r="E157" s="536"/>
      <c r="F157" s="535" t="str">
        <f>F156</f>
        <v xml:space="preserve"> MM BTU</v>
      </c>
      <c r="G157" s="408">
        <f>G156</f>
        <v>57353.288399999998</v>
      </c>
      <c r="H157" s="408">
        <f>H156</f>
        <v>60657.671199999997</v>
      </c>
      <c r="I157" s="217">
        <v>3.0792000000000002</v>
      </c>
      <c r="J157" s="217">
        <v>3.0792000000000002</v>
      </c>
      <c r="K157" s="409"/>
      <c r="L157" s="409"/>
      <c r="M157" s="410"/>
      <c r="N157" s="410"/>
      <c r="O157" s="410">
        <f>ROUND(G157*I157,2)+ROUND(H157*J157,2)-K157-L157-M157-N157</f>
        <v>363379.35</v>
      </c>
      <c r="P157" s="552">
        <f>ROUND(18.75%*O157,2)</f>
        <v>68133.63</v>
      </c>
      <c r="Q157" s="409">
        <f>ROUND($O157*R157,2)</f>
        <v>54506.9</v>
      </c>
      <c r="R157" s="575">
        <v>0.15</v>
      </c>
      <c r="S157" s="409">
        <f>ROUND($O157*T157,2)</f>
        <v>13626.73</v>
      </c>
      <c r="T157" s="576">
        <v>3.7499999999999999E-2</v>
      </c>
    </row>
    <row r="158" spans="1:20" x14ac:dyDescent="0.2">
      <c r="A158" s="537"/>
      <c r="B158" s="390" t="s">
        <v>181</v>
      </c>
      <c r="C158" s="402"/>
      <c r="D158" s="538"/>
      <c r="E158" s="538"/>
      <c r="F158" s="537"/>
      <c r="G158" s="539">
        <f t="shared" ref="G158:P158" si="56">G157-G156</f>
        <v>0</v>
      </c>
      <c r="H158" s="539">
        <f t="shared" si="56"/>
        <v>0</v>
      </c>
      <c r="I158" s="196">
        <f t="shared" si="56"/>
        <v>-0.92079999999999984</v>
      </c>
      <c r="J158" s="196">
        <f t="shared" si="56"/>
        <v>-0.92079999999999984</v>
      </c>
      <c r="K158" s="541">
        <f t="shared" si="56"/>
        <v>0</v>
      </c>
      <c r="L158" s="541">
        <f t="shared" si="56"/>
        <v>0</v>
      </c>
      <c r="M158" s="541">
        <f t="shared" si="56"/>
        <v>0</v>
      </c>
      <c r="N158" s="541">
        <f t="shared" si="56"/>
        <v>0</v>
      </c>
      <c r="O158" s="196">
        <f t="shared" si="56"/>
        <v>-108664.47999999998</v>
      </c>
      <c r="P158" s="196">
        <f t="shared" si="56"/>
        <v>-20374.589999999997</v>
      </c>
      <c r="Q158" s="196">
        <f>Q157-Q156</f>
        <v>-16299.670000000006</v>
      </c>
      <c r="R158" s="196"/>
      <c r="S158" s="196">
        <f>S157-S156</f>
        <v>-4074.91</v>
      </c>
      <c r="T158" s="196"/>
    </row>
    <row r="160" spans="1:20" ht="15" x14ac:dyDescent="0.25">
      <c r="A160" s="529"/>
      <c r="B160" s="407" t="s">
        <v>345</v>
      </c>
      <c r="C160" s="65"/>
      <c r="D160" s="65"/>
      <c r="E160" s="65"/>
      <c r="F160" s="65"/>
      <c r="G160" s="65"/>
      <c r="H160" s="65"/>
      <c r="I160" s="65"/>
      <c r="J160" s="569"/>
      <c r="K160" s="65"/>
      <c r="L160" s="65"/>
      <c r="M160" s="65"/>
      <c r="N160" s="65"/>
      <c r="O160" s="65"/>
      <c r="P160" s="65"/>
      <c r="Q160" s="65"/>
      <c r="R160" s="571"/>
      <c r="S160" s="65"/>
      <c r="T160" s="574"/>
    </row>
    <row r="161" spans="1:20" x14ac:dyDescent="0.2">
      <c r="A161" s="396" t="s">
        <v>312</v>
      </c>
      <c r="B161" s="401"/>
      <c r="C161" s="543"/>
      <c r="D161" s="392" t="s">
        <v>19</v>
      </c>
      <c r="E161" s="393" t="s">
        <v>59</v>
      </c>
      <c r="F161" s="392" t="s">
        <v>27</v>
      </c>
      <c r="G161" s="394" t="s">
        <v>35</v>
      </c>
      <c r="H161" s="395" t="s">
        <v>36</v>
      </c>
      <c r="I161" s="395" t="s">
        <v>35</v>
      </c>
      <c r="J161" s="394" t="s">
        <v>36</v>
      </c>
      <c r="K161" s="394" t="s">
        <v>39</v>
      </c>
      <c r="L161" s="394" t="s">
        <v>40</v>
      </c>
      <c r="M161" s="394" t="s">
        <v>42</v>
      </c>
      <c r="N161" s="394" t="s">
        <v>2</v>
      </c>
      <c r="O161" s="394" t="s">
        <v>180</v>
      </c>
      <c r="P161" s="544" t="s">
        <v>313</v>
      </c>
      <c r="Q161" s="544" t="s">
        <v>43</v>
      </c>
      <c r="R161" s="572"/>
      <c r="S161" s="1194" t="s">
        <v>44</v>
      </c>
      <c r="T161" s="1195"/>
    </row>
    <row r="162" spans="1:20" x14ac:dyDescent="0.2">
      <c r="A162" s="531" t="s">
        <v>28</v>
      </c>
      <c r="B162" s="548" t="s">
        <v>336</v>
      </c>
      <c r="C162" s="398" t="s">
        <v>31</v>
      </c>
      <c r="D162" s="549" t="s">
        <v>30</v>
      </c>
      <c r="E162" s="549" t="s">
        <v>101</v>
      </c>
      <c r="F162" s="398" t="s">
        <v>56</v>
      </c>
      <c r="G162" s="215">
        <v>52434.260999999999</v>
      </c>
      <c r="H162" s="215">
        <v>55252.6783</v>
      </c>
      <c r="I162" s="216">
        <v>4</v>
      </c>
      <c r="J162" s="217">
        <v>4</v>
      </c>
      <c r="K162" s="222"/>
      <c r="L162" s="222"/>
      <c r="M162" s="222"/>
      <c r="N162" s="409"/>
      <c r="O162" s="224">
        <f>ROUND(G162*I162,2)+ROUND(H162*J162,2)-K162-L162-M162-N162</f>
        <v>430747.75</v>
      </c>
      <c r="P162" s="321">
        <f>ROUND(18.75%*O162,2)</f>
        <v>80765.2</v>
      </c>
      <c r="Q162" s="222">
        <f>ROUND($O162*R162,2)</f>
        <v>64612.160000000003</v>
      </c>
      <c r="R162" s="223">
        <v>0.15</v>
      </c>
      <c r="S162" s="222">
        <f>ROUND($O162*T162,2)</f>
        <v>16153.04</v>
      </c>
      <c r="T162" s="258">
        <v>3.7499999999999999E-2</v>
      </c>
    </row>
    <row r="163" spans="1:20" x14ac:dyDescent="0.2">
      <c r="A163" s="533" t="s">
        <v>28</v>
      </c>
      <c r="B163" s="550" t="str">
        <f>B162</f>
        <v>VI - Gas</v>
      </c>
      <c r="C163" s="397" t="s">
        <v>31</v>
      </c>
      <c r="D163" s="536" t="s">
        <v>186</v>
      </c>
      <c r="E163" s="536"/>
      <c r="F163" s="535" t="str">
        <f>F162</f>
        <v xml:space="preserve"> MM BTU</v>
      </c>
      <c r="G163" s="408">
        <f>G162</f>
        <v>52434.260999999999</v>
      </c>
      <c r="H163" s="408">
        <f>H162</f>
        <v>55252.6783</v>
      </c>
      <c r="I163" s="217">
        <v>3.3309000000000002</v>
      </c>
      <c r="J163" s="217">
        <v>3.3309000000000002</v>
      </c>
      <c r="K163" s="409"/>
      <c r="L163" s="409"/>
      <c r="M163" s="410"/>
      <c r="N163" s="410"/>
      <c r="O163" s="410">
        <f>ROUND(G163*I163,2)+ROUND(H163*J163,2)-K163-L163-M163-N163</f>
        <v>358694.43</v>
      </c>
      <c r="P163" s="552">
        <f>ROUND(18.75%*O163,2)</f>
        <v>67255.210000000006</v>
      </c>
      <c r="Q163" s="409">
        <f>ROUND($O163*R163,2)</f>
        <v>53804.160000000003</v>
      </c>
      <c r="R163" s="575">
        <v>0.15</v>
      </c>
      <c r="S163" s="409">
        <f>ROUND($O163*T163,2)</f>
        <v>13451.04</v>
      </c>
      <c r="T163" s="576">
        <v>3.7499999999999999E-2</v>
      </c>
    </row>
    <row r="164" spans="1:20" x14ac:dyDescent="0.2">
      <c r="A164" s="537"/>
      <c r="B164" s="390" t="s">
        <v>181</v>
      </c>
      <c r="C164" s="402"/>
      <c r="D164" s="538"/>
      <c r="E164" s="538"/>
      <c r="F164" s="537"/>
      <c r="G164" s="539">
        <f t="shared" ref="G164:P164" si="57">G163-G162</f>
        <v>0</v>
      </c>
      <c r="H164" s="539">
        <f t="shared" si="57"/>
        <v>0</v>
      </c>
      <c r="I164" s="196">
        <f t="shared" si="57"/>
        <v>-0.66909999999999981</v>
      </c>
      <c r="J164" s="196">
        <f t="shared" si="57"/>
        <v>-0.66909999999999981</v>
      </c>
      <c r="K164" s="541">
        <f t="shared" si="57"/>
        <v>0</v>
      </c>
      <c r="L164" s="541">
        <f t="shared" si="57"/>
        <v>0</v>
      </c>
      <c r="M164" s="541">
        <f t="shared" si="57"/>
        <v>0</v>
      </c>
      <c r="N164" s="541">
        <f t="shared" si="57"/>
        <v>0</v>
      </c>
      <c r="O164" s="196">
        <f t="shared" si="57"/>
        <v>-72053.320000000007</v>
      </c>
      <c r="P164" s="196">
        <f t="shared" si="57"/>
        <v>-13509.989999999991</v>
      </c>
      <c r="Q164" s="196">
        <f>Q163-Q162</f>
        <v>-10808</v>
      </c>
      <c r="R164" s="196"/>
      <c r="S164" s="196">
        <f>S163-S162</f>
        <v>-2702</v>
      </c>
      <c r="T164" s="196"/>
    </row>
    <row r="166" spans="1:20" ht="15" x14ac:dyDescent="0.25">
      <c r="A166" s="529"/>
      <c r="B166" s="407" t="s">
        <v>346</v>
      </c>
      <c r="C166" s="65"/>
      <c r="D166" s="65"/>
      <c r="E166" s="65"/>
      <c r="F166" s="65"/>
      <c r="G166" s="65"/>
      <c r="H166" s="65"/>
      <c r="I166" s="65"/>
      <c r="J166" s="569"/>
      <c r="K166" s="65"/>
      <c r="L166" s="65"/>
      <c r="M166" s="65"/>
      <c r="N166" s="65"/>
      <c r="O166" s="65"/>
      <c r="P166" s="65"/>
      <c r="Q166" s="65"/>
      <c r="R166" s="571"/>
      <c r="S166" s="65"/>
      <c r="T166" s="574"/>
    </row>
    <row r="167" spans="1:20" x14ac:dyDescent="0.2">
      <c r="A167" s="396" t="s">
        <v>312</v>
      </c>
      <c r="B167" s="401"/>
      <c r="C167" s="543"/>
      <c r="D167" s="392" t="s">
        <v>19</v>
      </c>
      <c r="E167" s="393" t="s">
        <v>59</v>
      </c>
      <c r="F167" s="392" t="s">
        <v>27</v>
      </c>
      <c r="G167" s="394" t="s">
        <v>35</v>
      </c>
      <c r="H167" s="395" t="s">
        <v>36</v>
      </c>
      <c r="I167" s="395" t="s">
        <v>35</v>
      </c>
      <c r="J167" s="394" t="s">
        <v>36</v>
      </c>
      <c r="K167" s="394" t="s">
        <v>39</v>
      </c>
      <c r="L167" s="394" t="s">
        <v>40</v>
      </c>
      <c r="M167" s="394" t="s">
        <v>42</v>
      </c>
      <c r="N167" s="394" t="s">
        <v>2</v>
      </c>
      <c r="O167" s="394" t="s">
        <v>180</v>
      </c>
      <c r="P167" s="544" t="s">
        <v>313</v>
      </c>
      <c r="Q167" s="544" t="s">
        <v>43</v>
      </c>
      <c r="R167" s="572"/>
      <c r="S167" s="1194" t="s">
        <v>44</v>
      </c>
      <c r="T167" s="1195"/>
    </row>
    <row r="168" spans="1:20" x14ac:dyDescent="0.2">
      <c r="A168" s="531" t="s">
        <v>28</v>
      </c>
      <c r="B168" s="548" t="s">
        <v>336</v>
      </c>
      <c r="C168" s="398" t="s">
        <v>31</v>
      </c>
      <c r="D168" s="549" t="s">
        <v>30</v>
      </c>
      <c r="E168" s="549" t="s">
        <v>101</v>
      </c>
      <c r="F168" s="398" t="s">
        <v>56</v>
      </c>
      <c r="G168" s="215">
        <v>58501.504300000001</v>
      </c>
      <c r="H168" s="215">
        <v>58881.293400000002</v>
      </c>
      <c r="I168" s="216">
        <v>4</v>
      </c>
      <c r="J168" s="217">
        <v>4</v>
      </c>
      <c r="K168" s="222"/>
      <c r="L168" s="222"/>
      <c r="M168" s="222"/>
      <c r="N168" s="409"/>
      <c r="O168" s="224">
        <f>ROUND(G168*I168,2)+ROUND(H168*J168,2)-K168-L168-M168-N168</f>
        <v>469531.19</v>
      </c>
      <c r="P168" s="321">
        <f>ROUND(18.75%*O168,2)</f>
        <v>88037.1</v>
      </c>
      <c r="Q168" s="222">
        <f>ROUND($O168*R168,2)</f>
        <v>70429.679999999993</v>
      </c>
      <c r="R168" s="223">
        <v>0.15</v>
      </c>
      <c r="S168" s="222">
        <f>ROUND($O168*T168,2)</f>
        <v>17607.419999999998</v>
      </c>
      <c r="T168" s="258">
        <v>3.7499999999999999E-2</v>
      </c>
    </row>
    <row r="169" spans="1:20" x14ac:dyDescent="0.2">
      <c r="A169" s="533" t="s">
        <v>28</v>
      </c>
      <c r="B169" s="550" t="str">
        <f>B168</f>
        <v>VI - Gas</v>
      </c>
      <c r="C169" s="397" t="s">
        <v>31</v>
      </c>
      <c r="D169" s="536" t="s">
        <v>186</v>
      </c>
      <c r="E169" s="536"/>
      <c r="F169" s="535" t="str">
        <f>F168</f>
        <v xml:space="preserve"> MM BTU</v>
      </c>
      <c r="G169" s="408">
        <f>G168</f>
        <v>58501.504300000001</v>
      </c>
      <c r="H169" s="408">
        <f>H168</f>
        <v>58881.293400000002</v>
      </c>
      <c r="I169" s="217">
        <v>3.4502999999999999</v>
      </c>
      <c r="J169" s="217">
        <v>3.4502999999999999</v>
      </c>
      <c r="K169" s="409"/>
      <c r="L169" s="409"/>
      <c r="M169" s="410"/>
      <c r="N169" s="410"/>
      <c r="O169" s="410">
        <f>ROUND(G169*I169,2)+ROUND(H169*J169,2)-K169-L169-M169-N169</f>
        <v>405005.87</v>
      </c>
      <c r="P169" s="552">
        <f>ROUND(18.75%*O169,2)</f>
        <v>75938.600000000006</v>
      </c>
      <c r="Q169" s="409">
        <f>ROUND($O169*R169,2)</f>
        <v>60750.879999999997</v>
      </c>
      <c r="R169" s="575">
        <v>0.15</v>
      </c>
      <c r="S169" s="409">
        <f>ROUND($O169*T169,2)</f>
        <v>15187.72</v>
      </c>
      <c r="T169" s="576">
        <v>3.7499999999999999E-2</v>
      </c>
    </row>
    <row r="170" spans="1:20" x14ac:dyDescent="0.2">
      <c r="A170" s="537"/>
      <c r="B170" s="390" t="s">
        <v>181</v>
      </c>
      <c r="C170" s="402"/>
      <c r="D170" s="538"/>
      <c r="E170" s="538"/>
      <c r="F170" s="537"/>
      <c r="G170" s="539">
        <f t="shared" ref="G170:P170" si="58">G169-G168</f>
        <v>0</v>
      </c>
      <c r="H170" s="539">
        <f t="shared" si="58"/>
        <v>0</v>
      </c>
      <c r="I170" s="196">
        <f t="shared" si="58"/>
        <v>-0.54970000000000008</v>
      </c>
      <c r="J170" s="196">
        <f t="shared" si="58"/>
        <v>-0.54970000000000008</v>
      </c>
      <c r="K170" s="541">
        <f t="shared" si="58"/>
        <v>0</v>
      </c>
      <c r="L170" s="541">
        <f t="shared" si="58"/>
        <v>0</v>
      </c>
      <c r="M170" s="541">
        <f t="shared" si="58"/>
        <v>0</v>
      </c>
      <c r="N170" s="541">
        <f t="shared" si="58"/>
        <v>0</v>
      </c>
      <c r="O170" s="196">
        <f t="shared" si="58"/>
        <v>-64525.320000000007</v>
      </c>
      <c r="P170" s="196">
        <f t="shared" si="58"/>
        <v>-12098.5</v>
      </c>
      <c r="Q170" s="196">
        <f>Q169-Q168</f>
        <v>-9678.7999999999956</v>
      </c>
      <c r="R170" s="196"/>
      <c r="S170" s="196">
        <f>S169-S168</f>
        <v>-2419.6999999999989</v>
      </c>
      <c r="T170" s="196"/>
    </row>
    <row r="172" spans="1:20" ht="15" x14ac:dyDescent="0.25">
      <c r="A172" s="529"/>
      <c r="B172" s="407" t="s">
        <v>347</v>
      </c>
      <c r="C172" s="65"/>
      <c r="D172" s="65"/>
      <c r="E172" s="65"/>
      <c r="F172" s="65"/>
      <c r="G172" s="65"/>
      <c r="H172" s="65"/>
      <c r="I172" s="65"/>
      <c r="J172" s="569"/>
      <c r="K172" s="65"/>
      <c r="L172" s="65"/>
      <c r="M172" s="65"/>
      <c r="N172" s="65"/>
      <c r="O172" s="65"/>
      <c r="P172" s="65"/>
      <c r="Q172" s="65"/>
      <c r="R172" s="571"/>
      <c r="S172" s="65"/>
      <c r="T172" s="574"/>
    </row>
    <row r="173" spans="1:20" x14ac:dyDescent="0.2">
      <c r="A173" s="396" t="s">
        <v>312</v>
      </c>
      <c r="B173" s="401"/>
      <c r="C173" s="543"/>
      <c r="D173" s="392" t="s">
        <v>19</v>
      </c>
      <c r="E173" s="393" t="s">
        <v>59</v>
      </c>
      <c r="F173" s="392" t="s">
        <v>27</v>
      </c>
      <c r="G173" s="394" t="s">
        <v>35</v>
      </c>
      <c r="H173" s="395" t="s">
        <v>36</v>
      </c>
      <c r="I173" s="395" t="s">
        <v>35</v>
      </c>
      <c r="J173" s="394" t="s">
        <v>36</v>
      </c>
      <c r="K173" s="394" t="s">
        <v>39</v>
      </c>
      <c r="L173" s="394" t="s">
        <v>40</v>
      </c>
      <c r="M173" s="394" t="s">
        <v>42</v>
      </c>
      <c r="N173" s="394" t="s">
        <v>2</v>
      </c>
      <c r="O173" s="394" t="s">
        <v>180</v>
      </c>
      <c r="P173" s="544" t="s">
        <v>313</v>
      </c>
      <c r="Q173" s="544" t="s">
        <v>43</v>
      </c>
      <c r="R173" s="572"/>
      <c r="S173" s="1194" t="s">
        <v>44</v>
      </c>
      <c r="T173" s="1195"/>
    </row>
    <row r="174" spans="1:20" x14ac:dyDescent="0.2">
      <c r="A174" s="531" t="s">
        <v>28</v>
      </c>
      <c r="B174" s="548" t="s">
        <v>336</v>
      </c>
      <c r="C174" s="398" t="s">
        <v>31</v>
      </c>
      <c r="D174" s="549" t="s">
        <v>30</v>
      </c>
      <c r="E174" s="549" t="s">
        <v>101</v>
      </c>
      <c r="F174" s="398" t="s">
        <v>56</v>
      </c>
      <c r="G174" s="215">
        <v>53603.179300000003</v>
      </c>
      <c r="H174" s="215">
        <v>60555.836499999998</v>
      </c>
      <c r="I174" s="216">
        <v>4</v>
      </c>
      <c r="J174" s="216">
        <v>4</v>
      </c>
      <c r="K174" s="222"/>
      <c r="L174" s="222"/>
      <c r="M174" s="222"/>
      <c r="N174" s="409"/>
      <c r="O174" s="224">
        <f>ROUND(G174*I174,2)+ROUND(H174*J174,2)-K174-L174-M174-N174</f>
        <v>456636.07</v>
      </c>
      <c r="P174" s="321">
        <f>ROUND(18.75%*O174,2)</f>
        <v>85619.26</v>
      </c>
      <c r="Q174" s="222">
        <f>ROUND($O174*R174,2)</f>
        <v>68495.41</v>
      </c>
      <c r="R174" s="223">
        <v>0.15</v>
      </c>
      <c r="S174" s="222">
        <f>ROUND($O174*T174,2)</f>
        <v>17123.849999999999</v>
      </c>
      <c r="T174" s="258">
        <v>3.7499999999999999E-2</v>
      </c>
    </row>
    <row r="175" spans="1:20" x14ac:dyDescent="0.2">
      <c r="A175" s="533" t="s">
        <v>28</v>
      </c>
      <c r="B175" s="550" t="str">
        <f>B174</f>
        <v>VI - Gas</v>
      </c>
      <c r="C175" s="397" t="s">
        <v>31</v>
      </c>
      <c r="D175" s="536" t="s">
        <v>186</v>
      </c>
      <c r="E175" s="536"/>
      <c r="F175" s="535" t="str">
        <f>F174</f>
        <v xml:space="preserve"> MM BTU</v>
      </c>
      <c r="G175" s="408">
        <f>G174</f>
        <v>53603.179300000003</v>
      </c>
      <c r="H175" s="408">
        <f>H174</f>
        <v>60555.836499999998</v>
      </c>
      <c r="I175" s="217">
        <v>3.3631000000000002</v>
      </c>
      <c r="J175" s="217">
        <v>3.3631000000000002</v>
      </c>
      <c r="K175" s="409"/>
      <c r="L175" s="409"/>
      <c r="M175" s="410"/>
      <c r="N175" s="410"/>
      <c r="O175" s="410">
        <f>ROUND(G175*I175,2)+ROUND(H175*J175,2)-K175-L175-M175-N175</f>
        <v>383928.18</v>
      </c>
      <c r="P175" s="552">
        <f>ROUND(18.75%*O175,2)</f>
        <v>71986.53</v>
      </c>
      <c r="Q175" s="409">
        <f>ROUND($O175*R175,2)</f>
        <v>57589.23</v>
      </c>
      <c r="R175" s="575">
        <v>0.15</v>
      </c>
      <c r="S175" s="409">
        <f>ROUND($O175*T175,2)</f>
        <v>14397.31</v>
      </c>
      <c r="T175" s="576">
        <v>3.7499999999999999E-2</v>
      </c>
    </row>
    <row r="176" spans="1:20" x14ac:dyDescent="0.2">
      <c r="A176" s="537"/>
      <c r="B176" s="390" t="s">
        <v>181</v>
      </c>
      <c r="C176" s="402"/>
      <c r="D176" s="538"/>
      <c r="E176" s="538"/>
      <c r="F176" s="537"/>
      <c r="G176" s="539">
        <f t="shared" ref="G176:P176" si="59">G175-G174</f>
        <v>0</v>
      </c>
      <c r="H176" s="539">
        <f t="shared" si="59"/>
        <v>0</v>
      </c>
      <c r="I176" s="196">
        <f t="shared" si="59"/>
        <v>-0.6368999999999998</v>
      </c>
      <c r="J176" s="196">
        <f t="shared" si="59"/>
        <v>-0.6368999999999998</v>
      </c>
      <c r="K176" s="541">
        <f t="shared" si="59"/>
        <v>0</v>
      </c>
      <c r="L176" s="541">
        <f t="shared" si="59"/>
        <v>0</v>
      </c>
      <c r="M176" s="541">
        <f t="shared" si="59"/>
        <v>0</v>
      </c>
      <c r="N176" s="541">
        <f t="shared" si="59"/>
        <v>0</v>
      </c>
      <c r="O176" s="196">
        <f t="shared" si="59"/>
        <v>-72707.890000000014</v>
      </c>
      <c r="P176" s="196">
        <f t="shared" si="59"/>
        <v>-13632.729999999996</v>
      </c>
      <c r="Q176" s="196">
        <f>Q175-Q174</f>
        <v>-10906.18</v>
      </c>
      <c r="R176" s="196"/>
      <c r="S176" s="196">
        <f>S175-S174</f>
        <v>-2726.5399999999991</v>
      </c>
      <c r="T176" s="196"/>
    </row>
    <row r="178" spans="1:20" ht="15" x14ac:dyDescent="0.25">
      <c r="A178" s="529"/>
      <c r="B178" s="407" t="s">
        <v>348</v>
      </c>
      <c r="C178" s="65"/>
      <c r="D178" s="65"/>
      <c r="E178" s="65"/>
      <c r="F178" s="65"/>
      <c r="G178" s="65"/>
      <c r="H178" s="65"/>
      <c r="I178" s="65"/>
      <c r="J178" s="569"/>
      <c r="K178" s="65"/>
      <c r="L178" s="65"/>
      <c r="M178" s="65"/>
      <c r="N178" s="65"/>
      <c r="O178" s="65"/>
      <c r="P178" s="65"/>
      <c r="Q178" s="65"/>
      <c r="R178" s="571"/>
      <c r="S178" s="65"/>
      <c r="T178" s="574"/>
    </row>
    <row r="179" spans="1:20" x14ac:dyDescent="0.2">
      <c r="A179" s="396" t="s">
        <v>312</v>
      </c>
      <c r="B179" s="401"/>
      <c r="C179" s="543"/>
      <c r="D179" s="392" t="s">
        <v>19</v>
      </c>
      <c r="E179" s="393" t="s">
        <v>59</v>
      </c>
      <c r="F179" s="392" t="s">
        <v>27</v>
      </c>
      <c r="G179" s="394" t="s">
        <v>35</v>
      </c>
      <c r="H179" s="395" t="s">
        <v>36</v>
      </c>
      <c r="I179" s="395" t="s">
        <v>35</v>
      </c>
      <c r="J179" s="394" t="s">
        <v>36</v>
      </c>
      <c r="K179" s="394" t="s">
        <v>39</v>
      </c>
      <c r="L179" s="394" t="s">
        <v>40</v>
      </c>
      <c r="M179" s="394" t="s">
        <v>42</v>
      </c>
      <c r="N179" s="394" t="s">
        <v>2</v>
      </c>
      <c r="O179" s="394" t="s">
        <v>180</v>
      </c>
      <c r="P179" s="544" t="s">
        <v>313</v>
      </c>
      <c r="Q179" s="544" t="s">
        <v>43</v>
      </c>
      <c r="R179" s="572"/>
      <c r="S179" s="1194" t="s">
        <v>44</v>
      </c>
      <c r="T179" s="1195"/>
    </row>
    <row r="180" spans="1:20" x14ac:dyDescent="0.2">
      <c r="A180" s="531" t="s">
        <v>28</v>
      </c>
      <c r="B180" s="548" t="s">
        <v>336</v>
      </c>
      <c r="C180" s="398" t="s">
        <v>31</v>
      </c>
      <c r="D180" s="549" t="s">
        <v>30</v>
      </c>
      <c r="E180" s="549" t="s">
        <v>101</v>
      </c>
      <c r="F180" s="398" t="s">
        <v>56</v>
      </c>
      <c r="G180" s="215">
        <v>50554.381600000001</v>
      </c>
      <c r="H180" s="215">
        <v>67834.183999999994</v>
      </c>
      <c r="I180" s="216">
        <v>4</v>
      </c>
      <c r="J180" s="217">
        <v>4</v>
      </c>
      <c r="K180" s="222"/>
      <c r="L180" s="222"/>
      <c r="M180" s="222"/>
      <c r="N180" s="409"/>
      <c r="O180" s="224">
        <f>ROUND(G180*I180,2)+ROUND(H180*J180,2)-K180-L180-M180-N180</f>
        <v>473554.27</v>
      </c>
      <c r="P180" s="321">
        <f>ROUND(18.75%*O180,2)</f>
        <v>88791.43</v>
      </c>
      <c r="Q180" s="222">
        <f>ROUND($O180*R180,2)</f>
        <v>71033.14</v>
      </c>
      <c r="R180" s="223">
        <v>0.15</v>
      </c>
      <c r="S180" s="222">
        <f>ROUND($O180*T180,2)</f>
        <v>17758.29</v>
      </c>
      <c r="T180" s="258">
        <v>3.7499999999999999E-2</v>
      </c>
    </row>
    <row r="181" spans="1:20" x14ac:dyDescent="0.2">
      <c r="A181" s="533" t="s">
        <v>28</v>
      </c>
      <c r="B181" s="550" t="str">
        <f>B180</f>
        <v>VI - Gas</v>
      </c>
      <c r="C181" s="397" t="s">
        <v>31</v>
      </c>
      <c r="D181" s="536" t="s">
        <v>186</v>
      </c>
      <c r="E181" s="536"/>
      <c r="F181" s="535" t="str">
        <f>F180</f>
        <v xml:space="preserve"> MM BTU</v>
      </c>
      <c r="G181" s="408">
        <f>G180</f>
        <v>50554.381600000001</v>
      </c>
      <c r="H181" s="408">
        <f>H180</f>
        <v>67834.183999999994</v>
      </c>
      <c r="I181" s="217">
        <v>3.5358999999999998</v>
      </c>
      <c r="J181" s="217">
        <v>3.5358999999999998</v>
      </c>
      <c r="K181" s="409"/>
      <c r="L181" s="409"/>
      <c r="M181" s="410"/>
      <c r="N181" s="410"/>
      <c r="O181" s="410">
        <f>ROUND(G181*I181,2)+ROUND(H181*J181,2)-K181-L181-M181-N181</f>
        <v>418610.13</v>
      </c>
      <c r="P181" s="552">
        <f>ROUND(18.75%*O181,2)</f>
        <v>78489.399999999994</v>
      </c>
      <c r="Q181" s="409">
        <f>ROUND($O181*R181,2)</f>
        <v>62791.519999999997</v>
      </c>
      <c r="R181" s="575">
        <v>0.15</v>
      </c>
      <c r="S181" s="409">
        <f>ROUND($O181*T181,2)</f>
        <v>15697.88</v>
      </c>
      <c r="T181" s="576">
        <v>3.7499999999999999E-2</v>
      </c>
    </row>
    <row r="182" spans="1:20" x14ac:dyDescent="0.2">
      <c r="A182" s="537"/>
      <c r="B182" s="390" t="s">
        <v>181</v>
      </c>
      <c r="C182" s="402"/>
      <c r="D182" s="538"/>
      <c r="E182" s="538"/>
      <c r="F182" s="537"/>
      <c r="G182" s="539">
        <f t="shared" ref="G182:P182" si="60">G181-G180</f>
        <v>0</v>
      </c>
      <c r="H182" s="539">
        <f t="shared" si="60"/>
        <v>0</v>
      </c>
      <c r="I182" s="196">
        <f t="shared" si="60"/>
        <v>-0.46410000000000018</v>
      </c>
      <c r="J182" s="196">
        <f t="shared" si="60"/>
        <v>-0.46410000000000018</v>
      </c>
      <c r="K182" s="541">
        <f t="shared" si="60"/>
        <v>0</v>
      </c>
      <c r="L182" s="541">
        <f t="shared" si="60"/>
        <v>0</v>
      </c>
      <c r="M182" s="541">
        <f t="shared" si="60"/>
        <v>0</v>
      </c>
      <c r="N182" s="541">
        <f t="shared" si="60"/>
        <v>0</v>
      </c>
      <c r="O182" s="196">
        <f t="shared" si="60"/>
        <v>-54944.140000000014</v>
      </c>
      <c r="P182" s="196">
        <f t="shared" si="60"/>
        <v>-10302.029999999999</v>
      </c>
      <c r="Q182" s="196">
        <f>Q181-Q180</f>
        <v>-8241.6200000000026</v>
      </c>
      <c r="R182" s="196"/>
      <c r="S182" s="196">
        <f>S181-S180</f>
        <v>-2060.4100000000017</v>
      </c>
      <c r="T182" s="196"/>
    </row>
    <row r="184" spans="1:20" ht="15" x14ac:dyDescent="0.25">
      <c r="A184" s="529"/>
      <c r="B184" s="407" t="s">
        <v>341</v>
      </c>
      <c r="C184" s="65"/>
      <c r="D184" s="65"/>
      <c r="E184" s="65"/>
      <c r="F184" s="65"/>
      <c r="G184" s="65"/>
      <c r="H184" s="65"/>
      <c r="I184" s="65"/>
      <c r="J184" s="569"/>
      <c r="K184" s="65"/>
      <c r="L184" s="65"/>
      <c r="M184" s="65"/>
      <c r="N184" s="65"/>
      <c r="O184" s="65"/>
      <c r="P184" s="65"/>
      <c r="Q184" s="65"/>
      <c r="R184" s="571"/>
      <c r="S184" s="65"/>
      <c r="T184" s="574"/>
    </row>
    <row r="185" spans="1:20" x14ac:dyDescent="0.2">
      <c r="A185" s="396" t="s">
        <v>312</v>
      </c>
      <c r="B185" s="401"/>
      <c r="C185" s="543"/>
      <c r="D185" s="392" t="s">
        <v>19</v>
      </c>
      <c r="E185" s="393" t="s">
        <v>59</v>
      </c>
      <c r="F185" s="392" t="s">
        <v>27</v>
      </c>
      <c r="G185" s="394" t="s">
        <v>35</v>
      </c>
      <c r="H185" s="395" t="s">
        <v>36</v>
      </c>
      <c r="I185" s="395" t="s">
        <v>35</v>
      </c>
      <c r="J185" s="394" t="s">
        <v>36</v>
      </c>
      <c r="K185" s="394" t="s">
        <v>39</v>
      </c>
      <c r="L185" s="394" t="s">
        <v>40</v>
      </c>
      <c r="M185" s="394" t="s">
        <v>42</v>
      </c>
      <c r="N185" s="394" t="s">
        <v>2</v>
      </c>
      <c r="O185" s="394" t="s">
        <v>180</v>
      </c>
      <c r="P185" s="544" t="s">
        <v>313</v>
      </c>
      <c r="Q185" s="544" t="s">
        <v>43</v>
      </c>
      <c r="R185" s="572"/>
      <c r="S185" s="1194" t="s">
        <v>44</v>
      </c>
      <c r="T185" s="1195"/>
    </row>
    <row r="186" spans="1:20" x14ac:dyDescent="0.2">
      <c r="A186" s="531" t="s">
        <v>28</v>
      </c>
      <c r="B186" s="548" t="s">
        <v>336</v>
      </c>
      <c r="C186" s="398" t="s">
        <v>31</v>
      </c>
      <c r="D186" s="549" t="s">
        <v>30</v>
      </c>
      <c r="E186" s="549" t="s">
        <v>101</v>
      </c>
      <c r="F186" s="398" t="s">
        <v>56</v>
      </c>
      <c r="G186" s="215">
        <v>66669.057100000005</v>
      </c>
      <c r="H186" s="215">
        <v>70689.000100000005</v>
      </c>
      <c r="I186" s="216">
        <v>3.7212999999999998</v>
      </c>
      <c r="J186" s="217">
        <v>3.7212999999999998</v>
      </c>
      <c r="K186" s="222"/>
      <c r="L186" s="222"/>
      <c r="M186" s="222"/>
      <c r="N186" s="409"/>
      <c r="O186" s="224">
        <f>ROUND(G186*I186,2)+ROUND(H186*J186,2)-K186-L186-M186-N186</f>
        <v>511150.54</v>
      </c>
      <c r="P186" s="321">
        <f>ROUND(18.75%*O186,2)</f>
        <v>95840.73</v>
      </c>
      <c r="Q186" s="222">
        <f>ROUND($O186*R186,2)</f>
        <v>76672.58</v>
      </c>
      <c r="R186" s="223">
        <v>0.15</v>
      </c>
      <c r="S186" s="222">
        <f>ROUND($O186*T186,2)</f>
        <v>19168.150000000001</v>
      </c>
      <c r="T186" s="258">
        <v>3.7499999999999999E-2</v>
      </c>
    </row>
    <row r="187" spans="1:20" x14ac:dyDescent="0.2">
      <c r="A187" s="533" t="s">
        <v>28</v>
      </c>
      <c r="B187" s="550" t="str">
        <f>B186</f>
        <v>VI - Gas</v>
      </c>
      <c r="C187" s="397" t="s">
        <v>31</v>
      </c>
      <c r="D187" s="536" t="s">
        <v>186</v>
      </c>
      <c r="E187" s="536"/>
      <c r="F187" s="535" t="str">
        <f>F186</f>
        <v xml:space="preserve"> MM BTU</v>
      </c>
      <c r="G187" s="408">
        <f>G186</f>
        <v>66669.057100000005</v>
      </c>
      <c r="H187" s="408">
        <f>H186</f>
        <v>70689.000100000005</v>
      </c>
      <c r="I187" s="217">
        <v>3.8210999999999999</v>
      </c>
      <c r="J187" s="217">
        <v>3.8210999999999999</v>
      </c>
      <c r="K187" s="409"/>
      <c r="L187" s="409"/>
      <c r="M187" s="410"/>
      <c r="N187" s="410"/>
      <c r="O187" s="410">
        <f>ROUND(G187*I187,2)+ROUND(H187*J187,2)-K187-L187-M187-N187</f>
        <v>524858.87</v>
      </c>
      <c r="P187" s="552">
        <f>ROUND(18.75%*O187,2)</f>
        <v>98411.04</v>
      </c>
      <c r="Q187" s="409">
        <f>ROUND($O187*R187,2)</f>
        <v>78728.83</v>
      </c>
      <c r="R187" s="575">
        <v>0.15</v>
      </c>
      <c r="S187" s="409">
        <f>ROUND($O187*T187,2)</f>
        <v>19682.21</v>
      </c>
      <c r="T187" s="576">
        <v>3.7499999999999999E-2</v>
      </c>
    </row>
    <row r="188" spans="1:20" x14ac:dyDescent="0.2">
      <c r="A188" s="537"/>
      <c r="B188" s="390" t="s">
        <v>181</v>
      </c>
      <c r="C188" s="402"/>
      <c r="D188" s="538"/>
      <c r="E188" s="538"/>
      <c r="F188" s="537"/>
      <c r="G188" s="539">
        <f t="shared" ref="G188:P188" si="61">G187-G186</f>
        <v>0</v>
      </c>
      <c r="H188" s="539">
        <f t="shared" si="61"/>
        <v>0</v>
      </c>
      <c r="I188" s="196">
        <f t="shared" si="61"/>
        <v>9.9800000000000111E-2</v>
      </c>
      <c r="J188" s="196">
        <f t="shared" si="61"/>
        <v>9.9800000000000111E-2</v>
      </c>
      <c r="K188" s="541">
        <f t="shared" si="61"/>
        <v>0</v>
      </c>
      <c r="L188" s="541">
        <f t="shared" si="61"/>
        <v>0</v>
      </c>
      <c r="M188" s="541">
        <f t="shared" si="61"/>
        <v>0</v>
      </c>
      <c r="N188" s="541">
        <f t="shared" si="61"/>
        <v>0</v>
      </c>
      <c r="O188" s="196">
        <f t="shared" si="61"/>
        <v>13708.330000000016</v>
      </c>
      <c r="P188" s="196">
        <f t="shared" si="61"/>
        <v>2570.3099999999977</v>
      </c>
      <c r="Q188" s="196">
        <f>Q187-Q186</f>
        <v>2056.25</v>
      </c>
      <c r="R188" s="196"/>
      <c r="S188" s="196">
        <f>S187-S186</f>
        <v>514.05999999999767</v>
      </c>
      <c r="T188" s="196"/>
    </row>
    <row r="190" spans="1:20" ht="15" x14ac:dyDescent="0.25">
      <c r="A190" s="529"/>
      <c r="B190" s="407" t="s">
        <v>349</v>
      </c>
      <c r="C190" s="65"/>
      <c r="D190" s="65"/>
      <c r="E190" s="65"/>
      <c r="F190" s="65"/>
      <c r="G190" s="65"/>
      <c r="H190" s="65"/>
      <c r="I190" s="65"/>
      <c r="J190" s="569"/>
      <c r="K190" s="65"/>
      <c r="L190" s="65"/>
      <c r="M190" s="65"/>
      <c r="N190" s="65"/>
      <c r="O190" s="65"/>
      <c r="P190" s="65"/>
      <c r="Q190" s="65"/>
      <c r="R190" s="571"/>
      <c r="S190" s="65"/>
      <c r="T190" s="574"/>
    </row>
    <row r="191" spans="1:20" x14ac:dyDescent="0.2">
      <c r="A191" s="396" t="s">
        <v>312</v>
      </c>
      <c r="B191" s="401"/>
      <c r="C191" s="543"/>
      <c r="D191" s="392" t="s">
        <v>19</v>
      </c>
      <c r="E191" s="393" t="s">
        <v>59</v>
      </c>
      <c r="F191" s="392" t="s">
        <v>27</v>
      </c>
      <c r="G191" s="394" t="s">
        <v>35</v>
      </c>
      <c r="H191" s="395" t="s">
        <v>36</v>
      </c>
      <c r="I191" s="395" t="s">
        <v>35</v>
      </c>
      <c r="J191" s="394" t="s">
        <v>36</v>
      </c>
      <c r="K191" s="394" t="s">
        <v>39</v>
      </c>
      <c r="L191" s="394" t="s">
        <v>40</v>
      </c>
      <c r="M191" s="394" t="s">
        <v>42</v>
      </c>
      <c r="N191" s="394" t="s">
        <v>2</v>
      </c>
      <c r="O191" s="394" t="s">
        <v>180</v>
      </c>
      <c r="P191" s="544" t="s">
        <v>313</v>
      </c>
      <c r="Q191" s="544" t="s">
        <v>43</v>
      </c>
      <c r="R191" s="572"/>
      <c r="S191" s="1194" t="s">
        <v>44</v>
      </c>
      <c r="T191" s="1195"/>
    </row>
    <row r="192" spans="1:20" x14ac:dyDescent="0.2">
      <c r="A192" s="531" t="s">
        <v>28</v>
      </c>
      <c r="B192" s="548" t="s">
        <v>316</v>
      </c>
      <c r="C192" s="398" t="s">
        <v>31</v>
      </c>
      <c r="D192" s="549" t="s">
        <v>30</v>
      </c>
      <c r="E192" s="549" t="s">
        <v>101</v>
      </c>
      <c r="F192" s="398" t="s">
        <v>56</v>
      </c>
      <c r="G192" s="215"/>
      <c r="H192" s="215">
        <v>32541.4643</v>
      </c>
      <c r="I192" s="217"/>
      <c r="J192" s="217">
        <v>3.71</v>
      </c>
      <c r="K192" s="222"/>
      <c r="L192" s="222"/>
      <c r="M192" s="222"/>
      <c r="N192" s="409"/>
      <c r="O192" s="224">
        <f>ROUND(G192*I192,2)+ROUND(H192*J192,2)-K192-L192-M192-N192</f>
        <v>120728.83</v>
      </c>
      <c r="P192" s="222">
        <f>ROUND(18.75%*O192,2)</f>
        <v>22636.66</v>
      </c>
      <c r="Q192" s="222">
        <f>ROUND($O192*R192,2)</f>
        <v>18109.32</v>
      </c>
      <c r="R192" s="223">
        <v>0.15</v>
      </c>
      <c r="S192" s="222">
        <f>ROUND($O192*T192,2)</f>
        <v>4527.33</v>
      </c>
      <c r="T192" s="258">
        <v>3.7499999999999999E-2</v>
      </c>
    </row>
    <row r="193" spans="1:20" x14ac:dyDescent="0.2">
      <c r="A193" s="533" t="s">
        <v>28</v>
      </c>
      <c r="B193" s="550" t="str">
        <f>B192</f>
        <v>XIII Gas - Paita 2</v>
      </c>
      <c r="C193" s="397" t="s">
        <v>31</v>
      </c>
      <c r="D193" s="536" t="s">
        <v>186</v>
      </c>
      <c r="E193" s="536"/>
      <c r="F193" s="535" t="str">
        <f>F192</f>
        <v xml:space="preserve"> MM BTU</v>
      </c>
      <c r="G193" s="408">
        <f>G192</f>
        <v>0</v>
      </c>
      <c r="H193" s="408">
        <f>H192</f>
        <v>32541.4643</v>
      </c>
      <c r="I193" s="217"/>
      <c r="J193" s="217">
        <v>3.996</v>
      </c>
      <c r="K193" s="409"/>
      <c r="L193" s="409"/>
      <c r="M193" s="410"/>
      <c r="N193" s="410"/>
      <c r="O193" s="410">
        <f>ROUND(G193*I193,2)+ROUND(H193*J193,2)-K193-L193-M193-N193</f>
        <v>130035.69</v>
      </c>
      <c r="P193" s="409">
        <f>ROUND(18.75%*O193,2)</f>
        <v>24381.69</v>
      </c>
      <c r="Q193" s="409">
        <f>ROUND($O193*R193,2)</f>
        <v>19505.349999999999</v>
      </c>
      <c r="R193" s="575">
        <v>0.15</v>
      </c>
      <c r="S193" s="409">
        <f>ROUND($O193*T193,2)</f>
        <v>4876.34</v>
      </c>
      <c r="T193" s="576">
        <v>3.7499999999999999E-2</v>
      </c>
    </row>
    <row r="194" spans="1:20" x14ac:dyDescent="0.2">
      <c r="A194" s="537"/>
      <c r="B194" s="390" t="s">
        <v>181</v>
      </c>
      <c r="C194" s="402"/>
      <c r="D194" s="538"/>
      <c r="E194" s="538"/>
      <c r="F194" s="537"/>
      <c r="G194" s="539">
        <f t="shared" ref="G194:P194" si="62">G193-G192</f>
        <v>0</v>
      </c>
      <c r="H194" s="539">
        <f t="shared" si="62"/>
        <v>0</v>
      </c>
      <c r="I194" s="196">
        <f t="shared" si="62"/>
        <v>0</v>
      </c>
      <c r="J194" s="196">
        <f t="shared" si="62"/>
        <v>0.28600000000000003</v>
      </c>
      <c r="K194" s="541">
        <f t="shared" si="62"/>
        <v>0</v>
      </c>
      <c r="L194" s="541">
        <f t="shared" si="62"/>
        <v>0</v>
      </c>
      <c r="M194" s="541">
        <f t="shared" si="62"/>
        <v>0</v>
      </c>
      <c r="N194" s="541">
        <f t="shared" si="62"/>
        <v>0</v>
      </c>
      <c r="O194" s="196">
        <f t="shared" si="62"/>
        <v>9306.86</v>
      </c>
      <c r="P194" s="196">
        <f t="shared" si="62"/>
        <v>1745.0299999999988</v>
      </c>
      <c r="Q194" s="196">
        <f>Q193-Q192</f>
        <v>1396.0299999999988</v>
      </c>
      <c r="R194" s="196"/>
      <c r="S194" s="196">
        <f>S193-S192</f>
        <v>349.01000000000022</v>
      </c>
      <c r="T194" s="196"/>
    </row>
    <row r="196" spans="1:20" ht="15" x14ac:dyDescent="0.25">
      <c r="A196" s="529"/>
      <c r="B196" s="407" t="s">
        <v>351</v>
      </c>
      <c r="C196" s="65"/>
      <c r="D196" s="65"/>
      <c r="E196" s="65"/>
      <c r="F196" s="65"/>
      <c r="G196" s="65"/>
      <c r="H196" s="65"/>
      <c r="I196" s="65"/>
      <c r="J196" s="569"/>
      <c r="K196" s="65"/>
      <c r="L196" s="65"/>
      <c r="M196" s="65"/>
      <c r="N196" s="65"/>
      <c r="O196" s="65"/>
      <c r="P196" s="65"/>
      <c r="Q196" s="65"/>
      <c r="R196" s="571"/>
      <c r="S196" s="65"/>
      <c r="T196" s="574"/>
    </row>
    <row r="197" spans="1:20" x14ac:dyDescent="0.2">
      <c r="A197" s="396" t="s">
        <v>312</v>
      </c>
      <c r="B197" s="401"/>
      <c r="C197" s="543"/>
      <c r="D197" s="392" t="s">
        <v>19</v>
      </c>
      <c r="E197" s="393" t="s">
        <v>59</v>
      </c>
      <c r="F197" s="392" t="s">
        <v>27</v>
      </c>
      <c r="G197" s="394" t="s">
        <v>35</v>
      </c>
      <c r="H197" s="395" t="s">
        <v>36</v>
      </c>
      <c r="I197" s="395" t="s">
        <v>35</v>
      </c>
      <c r="J197" s="394" t="s">
        <v>36</v>
      </c>
      <c r="K197" s="394" t="s">
        <v>39</v>
      </c>
      <c r="L197" s="394" t="s">
        <v>40</v>
      </c>
      <c r="M197" s="394" t="s">
        <v>42</v>
      </c>
      <c r="N197" s="394" t="s">
        <v>2</v>
      </c>
      <c r="O197" s="394" t="s">
        <v>180</v>
      </c>
      <c r="P197" s="544" t="s">
        <v>313</v>
      </c>
      <c r="Q197" s="544" t="s">
        <v>43</v>
      </c>
      <c r="R197" s="572"/>
      <c r="S197" s="1194" t="s">
        <v>44</v>
      </c>
      <c r="T197" s="1195"/>
    </row>
    <row r="198" spans="1:20" x14ac:dyDescent="0.2">
      <c r="A198" s="531" t="s">
        <v>28</v>
      </c>
      <c r="B198" s="548" t="s">
        <v>331</v>
      </c>
      <c r="C198" s="398" t="s">
        <v>31</v>
      </c>
      <c r="D198" s="549" t="s">
        <v>30</v>
      </c>
      <c r="E198" s="549" t="s">
        <v>101</v>
      </c>
      <c r="F198" s="398" t="s">
        <v>56</v>
      </c>
      <c r="G198" s="215">
        <v>14775</v>
      </c>
      <c r="H198" s="215">
        <v>15836</v>
      </c>
      <c r="I198" s="217">
        <v>75.103899999999996</v>
      </c>
      <c r="J198" s="217">
        <v>73.400199999999998</v>
      </c>
      <c r="K198" s="222"/>
      <c r="L198" s="222"/>
      <c r="M198" s="222"/>
      <c r="N198" s="409"/>
      <c r="O198" s="224">
        <f>ROUND(G198*I198,2)+ROUND(H198*J198,2)-K198-L198-M198-N198</f>
        <v>2272025.6900000004</v>
      </c>
      <c r="P198" s="222">
        <f>ROUND(18.75%*O198,2)</f>
        <v>426004.82</v>
      </c>
      <c r="Q198" s="222">
        <f>ROUND($O198*R198,2)</f>
        <v>340803.85</v>
      </c>
      <c r="R198" s="223">
        <v>0.15</v>
      </c>
      <c r="S198" s="222">
        <f>ROUND($O198*T198,2)</f>
        <v>85200.960000000006</v>
      </c>
      <c r="T198" s="258">
        <v>3.7499999999999999E-2</v>
      </c>
    </row>
    <row r="199" spans="1:20" x14ac:dyDescent="0.2">
      <c r="A199" s="533" t="s">
        <v>28</v>
      </c>
      <c r="B199" s="550" t="str">
        <f>B198</f>
        <v>XIII - Petroleo</v>
      </c>
      <c r="C199" s="397" t="s">
        <v>31</v>
      </c>
      <c r="D199" s="536" t="s">
        <v>186</v>
      </c>
      <c r="E199" s="536"/>
      <c r="F199" s="535" t="str">
        <f>F198</f>
        <v xml:space="preserve"> MM BTU</v>
      </c>
      <c r="G199" s="408">
        <f>G198</f>
        <v>14775</v>
      </c>
      <c r="H199" s="408">
        <f>H198</f>
        <v>15836</v>
      </c>
      <c r="I199" s="217">
        <v>74.153899999999993</v>
      </c>
      <c r="J199" s="217">
        <v>70.750200000000007</v>
      </c>
      <c r="K199" s="409"/>
      <c r="L199" s="409"/>
      <c r="M199" s="410"/>
      <c r="N199" s="410"/>
      <c r="O199" s="410">
        <f>ROUND(G199*I199,2)+ROUND(H199*J199,2)-K199-L199-M199-N199</f>
        <v>2216024.04</v>
      </c>
      <c r="P199" s="409">
        <f>ROUND(18.75%*O199,2)</f>
        <v>415504.51</v>
      </c>
      <c r="Q199" s="409">
        <f>ROUND($O199*R199,2)</f>
        <v>332403.61</v>
      </c>
      <c r="R199" s="575">
        <v>0.15</v>
      </c>
      <c r="S199" s="409">
        <f>ROUND($O199*T199,2)</f>
        <v>83100.899999999994</v>
      </c>
      <c r="T199" s="576">
        <v>3.7499999999999999E-2</v>
      </c>
    </row>
    <row r="200" spans="1:20" x14ac:dyDescent="0.2">
      <c r="A200" s="537"/>
      <c r="B200" s="390" t="s">
        <v>181</v>
      </c>
      <c r="C200" s="402"/>
      <c r="D200" s="538"/>
      <c r="E200" s="538"/>
      <c r="F200" s="537"/>
      <c r="G200" s="539">
        <f t="shared" ref="G200:P200" si="63">G199-G198</f>
        <v>0</v>
      </c>
      <c r="H200" s="539">
        <f t="shared" si="63"/>
        <v>0</v>
      </c>
      <c r="I200" s="196">
        <f t="shared" si="63"/>
        <v>-0.95000000000000284</v>
      </c>
      <c r="J200" s="196">
        <f t="shared" si="63"/>
        <v>-2.6499999999999915</v>
      </c>
      <c r="K200" s="541">
        <f t="shared" si="63"/>
        <v>0</v>
      </c>
      <c r="L200" s="541">
        <f t="shared" si="63"/>
        <v>0</v>
      </c>
      <c r="M200" s="541">
        <f t="shared" si="63"/>
        <v>0</v>
      </c>
      <c r="N200" s="541">
        <f t="shared" si="63"/>
        <v>0</v>
      </c>
      <c r="O200" s="196">
        <f t="shared" si="63"/>
        <v>-56001.650000000373</v>
      </c>
      <c r="P200" s="196">
        <f t="shared" si="63"/>
        <v>-10500.309999999998</v>
      </c>
      <c r="Q200" s="196">
        <f>Q199-Q198</f>
        <v>-8400.2399999999907</v>
      </c>
      <c r="R200" s="196"/>
      <c r="S200" s="196">
        <f>S199-S198</f>
        <v>-2100.0600000000122</v>
      </c>
      <c r="T200" s="196"/>
    </row>
    <row r="202" spans="1:20" ht="15" x14ac:dyDescent="0.25">
      <c r="A202" s="529"/>
      <c r="B202" s="407" t="s">
        <v>352</v>
      </c>
      <c r="C202" s="65"/>
      <c r="D202" s="65"/>
      <c r="E202" s="65"/>
      <c r="F202" s="65"/>
      <c r="G202" s="65"/>
      <c r="H202" s="65"/>
      <c r="I202" s="65"/>
      <c r="J202" s="569"/>
      <c r="K202" s="65"/>
      <c r="L202" s="65"/>
      <c r="M202" s="65"/>
      <c r="N202" s="65"/>
      <c r="O202" s="65"/>
      <c r="P202" s="65"/>
      <c r="Q202" s="65"/>
      <c r="R202" s="571"/>
      <c r="S202" s="65"/>
      <c r="T202" s="574"/>
    </row>
    <row r="203" spans="1:20" x14ac:dyDescent="0.2">
      <c r="A203" s="396" t="s">
        <v>312</v>
      </c>
      <c r="B203" s="401"/>
      <c r="C203" s="543"/>
      <c r="D203" s="392" t="s">
        <v>19</v>
      </c>
      <c r="E203" s="393" t="s">
        <v>59</v>
      </c>
      <c r="F203" s="392" t="s">
        <v>27</v>
      </c>
      <c r="G203" s="394" t="s">
        <v>35</v>
      </c>
      <c r="H203" s="395" t="s">
        <v>36</v>
      </c>
      <c r="I203" s="395" t="s">
        <v>35</v>
      </c>
      <c r="J203" s="394" t="s">
        <v>36</v>
      </c>
      <c r="K203" s="394" t="s">
        <v>39</v>
      </c>
      <c r="L203" s="394" t="s">
        <v>40</v>
      </c>
      <c r="M203" s="394" t="s">
        <v>42</v>
      </c>
      <c r="N203" s="394" t="s">
        <v>2</v>
      </c>
      <c r="O203" s="394" t="s">
        <v>180</v>
      </c>
      <c r="P203" s="544" t="s">
        <v>313</v>
      </c>
      <c r="Q203" s="544" t="s">
        <v>43</v>
      </c>
      <c r="R203" s="572"/>
      <c r="S203" s="1194" t="s">
        <v>44</v>
      </c>
      <c r="T203" s="1195"/>
    </row>
    <row r="204" spans="1:20" x14ac:dyDescent="0.2">
      <c r="A204" s="531" t="s">
        <v>28</v>
      </c>
      <c r="B204" s="548" t="s">
        <v>337</v>
      </c>
      <c r="C204" s="398" t="s">
        <v>31</v>
      </c>
      <c r="D204" s="549" t="s">
        <v>30</v>
      </c>
      <c r="E204" s="549" t="s">
        <v>101</v>
      </c>
      <c r="F204" s="398" t="s">
        <v>56</v>
      </c>
      <c r="G204" s="215"/>
      <c r="H204" s="215">
        <v>103501.71</v>
      </c>
      <c r="I204" s="217"/>
      <c r="J204" s="217">
        <v>4</v>
      </c>
      <c r="K204" s="222"/>
      <c r="L204" s="222"/>
      <c r="M204" s="222"/>
      <c r="N204" s="409"/>
      <c r="O204" s="224">
        <f>ROUND(G204*I204,2)+ROUND(H204*J204,2)-K204-L204-M204-N204</f>
        <v>414006.84</v>
      </c>
      <c r="P204" s="222">
        <f>ROUND(18.75%*O204,2)</f>
        <v>77626.28</v>
      </c>
      <c r="Q204" s="222">
        <f>ROUND($O204*R204,2)</f>
        <v>62101.03</v>
      </c>
      <c r="R204" s="223">
        <v>0.15</v>
      </c>
      <c r="S204" s="222">
        <f>ROUND($O204*T204,2)</f>
        <v>15525.26</v>
      </c>
      <c r="T204" s="258">
        <v>3.7499999999999999E-2</v>
      </c>
    </row>
    <row r="205" spans="1:20" x14ac:dyDescent="0.2">
      <c r="A205" s="533" t="s">
        <v>28</v>
      </c>
      <c r="B205" s="550" t="str">
        <f>B204</f>
        <v>Z-69 P. Pariñas - GNA</v>
      </c>
      <c r="C205" s="397" t="s">
        <v>31</v>
      </c>
      <c r="D205" s="536" t="s">
        <v>186</v>
      </c>
      <c r="E205" s="536"/>
      <c r="F205" s="535" t="str">
        <f>F204</f>
        <v xml:space="preserve"> MM BTU</v>
      </c>
      <c r="G205" s="408">
        <f>G204</f>
        <v>0</v>
      </c>
      <c r="H205" s="408">
        <f>H204</f>
        <v>103501.71</v>
      </c>
      <c r="I205" s="217"/>
      <c r="J205" s="217">
        <v>2.3549000000000002</v>
      </c>
      <c r="K205" s="409"/>
      <c r="L205" s="409"/>
      <c r="M205" s="410"/>
      <c r="N205" s="410"/>
      <c r="O205" s="410">
        <f>ROUND(G205*I205,2)+ROUND(H205*J205,2)-K205-L205-M205-N205</f>
        <v>243736.18</v>
      </c>
      <c r="P205" s="409">
        <f>ROUND(18.75%*O205,2)</f>
        <v>45700.53</v>
      </c>
      <c r="Q205" s="409">
        <f>ROUND($O205*R205,2)</f>
        <v>36560.43</v>
      </c>
      <c r="R205" s="575">
        <v>0.15</v>
      </c>
      <c r="S205" s="409">
        <f>ROUND($O205*T205,2)</f>
        <v>9140.11</v>
      </c>
      <c r="T205" s="576">
        <v>3.7499999999999999E-2</v>
      </c>
    </row>
    <row r="206" spans="1:20" x14ac:dyDescent="0.2">
      <c r="A206" s="537"/>
      <c r="B206" s="390" t="s">
        <v>181</v>
      </c>
      <c r="C206" s="402"/>
      <c r="D206" s="538"/>
      <c r="E206" s="538"/>
      <c r="F206" s="537"/>
      <c r="G206" s="539">
        <f t="shared" ref="G206:P206" si="64">G205-G204</f>
        <v>0</v>
      </c>
      <c r="H206" s="539">
        <f t="shared" si="64"/>
        <v>0</v>
      </c>
      <c r="I206" s="196">
        <f t="shared" si="64"/>
        <v>0</v>
      </c>
      <c r="J206" s="196">
        <f t="shared" si="64"/>
        <v>-1.6450999999999998</v>
      </c>
      <c r="K206" s="541">
        <f t="shared" si="64"/>
        <v>0</v>
      </c>
      <c r="L206" s="541">
        <f t="shared" si="64"/>
        <v>0</v>
      </c>
      <c r="M206" s="541">
        <f t="shared" si="64"/>
        <v>0</v>
      </c>
      <c r="N206" s="541">
        <f t="shared" si="64"/>
        <v>0</v>
      </c>
      <c r="O206" s="196">
        <f t="shared" si="64"/>
        <v>-170270.66000000003</v>
      </c>
      <c r="P206" s="196">
        <f t="shared" si="64"/>
        <v>-31925.75</v>
      </c>
      <c r="Q206" s="196">
        <f>Q205-Q204</f>
        <v>-25540.6</v>
      </c>
      <c r="R206" s="196"/>
      <c r="S206" s="196">
        <f>S205-S204</f>
        <v>-6385.15</v>
      </c>
      <c r="T206" s="196"/>
    </row>
    <row r="208" spans="1:20" ht="15" x14ac:dyDescent="0.25">
      <c r="A208" s="529"/>
      <c r="B208" s="407" t="s">
        <v>343</v>
      </c>
      <c r="C208" s="65"/>
      <c r="D208" s="65"/>
      <c r="E208" s="65"/>
      <c r="F208" s="65"/>
      <c r="G208" s="65"/>
      <c r="H208" s="65"/>
      <c r="I208" s="65"/>
      <c r="J208" s="569"/>
      <c r="K208" s="65"/>
      <c r="L208" s="65"/>
      <c r="M208" s="65"/>
      <c r="N208" s="65"/>
      <c r="O208" s="65"/>
      <c r="P208" s="65"/>
      <c r="Q208" s="65"/>
      <c r="R208" s="571"/>
      <c r="S208" s="65"/>
      <c r="T208" s="574"/>
    </row>
    <row r="209" spans="1:20" x14ac:dyDescent="0.2">
      <c r="A209" s="396" t="s">
        <v>312</v>
      </c>
      <c r="B209" s="401"/>
      <c r="C209" s="543"/>
      <c r="D209" s="392" t="s">
        <v>19</v>
      </c>
      <c r="E209" s="393" t="s">
        <v>59</v>
      </c>
      <c r="F209" s="392" t="s">
        <v>27</v>
      </c>
      <c r="G209" s="394" t="s">
        <v>35</v>
      </c>
      <c r="H209" s="395" t="s">
        <v>36</v>
      </c>
      <c r="I209" s="395" t="s">
        <v>35</v>
      </c>
      <c r="J209" s="394" t="s">
        <v>36</v>
      </c>
      <c r="K209" s="394" t="s">
        <v>39</v>
      </c>
      <c r="L209" s="394" t="s">
        <v>40</v>
      </c>
      <c r="M209" s="394" t="s">
        <v>42</v>
      </c>
      <c r="N209" s="394" t="s">
        <v>2</v>
      </c>
      <c r="O209" s="394" t="s">
        <v>180</v>
      </c>
      <c r="P209" s="544" t="s">
        <v>313</v>
      </c>
      <c r="Q209" s="544" t="s">
        <v>43</v>
      </c>
      <c r="R209" s="572"/>
      <c r="S209" s="1194" t="s">
        <v>44</v>
      </c>
      <c r="T209" s="1195"/>
    </row>
    <row r="210" spans="1:20" x14ac:dyDescent="0.2">
      <c r="A210" s="531" t="s">
        <v>28</v>
      </c>
      <c r="B210" s="548" t="s">
        <v>337</v>
      </c>
      <c r="C210" s="398" t="s">
        <v>31</v>
      </c>
      <c r="D210" s="549" t="s">
        <v>30</v>
      </c>
      <c r="E210" s="549" t="s">
        <v>101</v>
      </c>
      <c r="F210" s="398" t="s">
        <v>56</v>
      </c>
      <c r="G210" s="429">
        <v>91723.733200000002</v>
      </c>
      <c r="H210" s="429">
        <v>91830.93</v>
      </c>
      <c r="I210" s="430">
        <v>4</v>
      </c>
      <c r="J210" s="430">
        <v>4</v>
      </c>
      <c r="K210" s="222"/>
      <c r="L210" s="222"/>
      <c r="M210" s="222"/>
      <c r="N210" s="409"/>
      <c r="O210" s="224">
        <f>ROUND(G210*I210,2)+ROUND(H210*J210,2)-K210-L210-M210-N210</f>
        <v>734218.64999999991</v>
      </c>
      <c r="P210" s="222">
        <f>ROUND(18.75%*O210,2)</f>
        <v>137666</v>
      </c>
      <c r="Q210" s="222">
        <f>ROUND($O210*R210,2)</f>
        <v>110132.8</v>
      </c>
      <c r="R210" s="223">
        <v>0.15</v>
      </c>
      <c r="S210" s="222">
        <f>ROUND($O210*T210,2)</f>
        <v>27533.200000000001</v>
      </c>
      <c r="T210" s="258">
        <v>3.7499999999999999E-2</v>
      </c>
    </row>
    <row r="211" spans="1:20" x14ac:dyDescent="0.2">
      <c r="A211" s="533" t="s">
        <v>28</v>
      </c>
      <c r="B211" s="550" t="str">
        <f>B210</f>
        <v>Z-69 P. Pariñas - GNA</v>
      </c>
      <c r="C211" s="397" t="s">
        <v>31</v>
      </c>
      <c r="D211" s="536" t="s">
        <v>186</v>
      </c>
      <c r="E211" s="536"/>
      <c r="F211" s="535" t="str">
        <f>F210</f>
        <v xml:space="preserve"> MM BTU</v>
      </c>
      <c r="G211" s="408">
        <f>G210</f>
        <v>91723.733200000002</v>
      </c>
      <c r="H211" s="408">
        <f>H210</f>
        <v>91830.93</v>
      </c>
      <c r="I211" s="217">
        <v>2.4108999999999998</v>
      </c>
      <c r="J211" s="217">
        <v>2.4108999999999998</v>
      </c>
      <c r="K211" s="409"/>
      <c r="L211" s="409"/>
      <c r="M211" s="410"/>
      <c r="N211" s="410"/>
      <c r="O211" s="410">
        <f>ROUND(G211*I211,2)+ROUND(H211*J211,2)-K211-L211-M211-N211</f>
        <v>442531.94</v>
      </c>
      <c r="P211" s="409">
        <f>ROUND(18.75%*O211,2)</f>
        <v>82974.740000000005</v>
      </c>
      <c r="Q211" s="409">
        <f>ROUND($O211*R211,2)</f>
        <v>66379.789999999994</v>
      </c>
      <c r="R211" s="575">
        <v>0.15</v>
      </c>
      <c r="S211" s="409">
        <f>ROUND($O211*T211,2)</f>
        <v>16594.95</v>
      </c>
      <c r="T211" s="576">
        <v>3.7499999999999999E-2</v>
      </c>
    </row>
    <row r="212" spans="1:20" x14ac:dyDescent="0.2">
      <c r="A212" s="537"/>
      <c r="B212" s="390" t="s">
        <v>181</v>
      </c>
      <c r="C212" s="402"/>
      <c r="D212" s="538"/>
      <c r="E212" s="538"/>
      <c r="F212" s="537"/>
      <c r="G212" s="539">
        <f t="shared" ref="G212:P212" si="65">G211-G210</f>
        <v>0</v>
      </c>
      <c r="H212" s="539">
        <f t="shared" si="65"/>
        <v>0</v>
      </c>
      <c r="I212" s="196">
        <f t="shared" si="65"/>
        <v>-1.5891000000000002</v>
      </c>
      <c r="J212" s="196">
        <f t="shared" si="65"/>
        <v>-1.5891000000000002</v>
      </c>
      <c r="K212" s="541">
        <f t="shared" si="65"/>
        <v>0</v>
      </c>
      <c r="L212" s="541">
        <f t="shared" si="65"/>
        <v>0</v>
      </c>
      <c r="M212" s="541">
        <f t="shared" si="65"/>
        <v>0</v>
      </c>
      <c r="N212" s="541">
        <f t="shared" si="65"/>
        <v>0</v>
      </c>
      <c r="O212" s="196">
        <f t="shared" si="65"/>
        <v>-291686.7099999999</v>
      </c>
      <c r="P212" s="196">
        <f t="shared" si="65"/>
        <v>-54691.259999999995</v>
      </c>
      <c r="Q212" s="196">
        <f>Q211-Q210</f>
        <v>-43753.010000000009</v>
      </c>
      <c r="R212" s="196"/>
      <c r="S212" s="196">
        <f>S211-S210</f>
        <v>-10938.25</v>
      </c>
      <c r="T212" s="196"/>
    </row>
    <row r="214" spans="1:20" ht="15" x14ac:dyDescent="0.25">
      <c r="A214" s="529"/>
      <c r="B214" s="407" t="s">
        <v>344</v>
      </c>
      <c r="C214" s="65"/>
      <c r="D214" s="65"/>
      <c r="E214" s="65"/>
      <c r="F214" s="65"/>
      <c r="G214" s="65"/>
      <c r="H214" s="65"/>
      <c r="I214" s="65"/>
      <c r="J214" s="569"/>
      <c r="K214" s="65"/>
      <c r="L214" s="65"/>
      <c r="M214" s="65"/>
      <c r="N214" s="65"/>
      <c r="O214" s="65"/>
      <c r="P214" s="65"/>
      <c r="Q214" s="65"/>
      <c r="R214" s="571"/>
      <c r="S214" s="65"/>
      <c r="T214" s="574"/>
    </row>
    <row r="215" spans="1:20" x14ac:dyDescent="0.2">
      <c r="A215" s="396" t="s">
        <v>312</v>
      </c>
      <c r="B215" s="401"/>
      <c r="C215" s="543"/>
      <c r="D215" s="392" t="s">
        <v>19</v>
      </c>
      <c r="E215" s="393" t="s">
        <v>59</v>
      </c>
      <c r="F215" s="392" t="s">
        <v>27</v>
      </c>
      <c r="G215" s="394" t="s">
        <v>35</v>
      </c>
      <c r="H215" s="395" t="s">
        <v>36</v>
      </c>
      <c r="I215" s="395" t="s">
        <v>35</v>
      </c>
      <c r="J215" s="394" t="s">
        <v>36</v>
      </c>
      <c r="K215" s="394" t="s">
        <v>39</v>
      </c>
      <c r="L215" s="394" t="s">
        <v>40</v>
      </c>
      <c r="M215" s="394" t="s">
        <v>42</v>
      </c>
      <c r="N215" s="394" t="s">
        <v>2</v>
      </c>
      <c r="O215" s="394" t="s">
        <v>180</v>
      </c>
      <c r="P215" s="544" t="s">
        <v>313</v>
      </c>
      <c r="Q215" s="544" t="s">
        <v>43</v>
      </c>
      <c r="R215" s="572"/>
      <c r="S215" s="1194" t="s">
        <v>44</v>
      </c>
      <c r="T215" s="1195"/>
    </row>
    <row r="216" spans="1:20" x14ac:dyDescent="0.2">
      <c r="A216" s="531" t="s">
        <v>28</v>
      </c>
      <c r="B216" s="548" t="s">
        <v>337</v>
      </c>
      <c r="C216" s="398" t="s">
        <v>31</v>
      </c>
      <c r="D216" s="549" t="s">
        <v>30</v>
      </c>
      <c r="E216" s="549" t="s">
        <v>101</v>
      </c>
      <c r="F216" s="398" t="s">
        <v>56</v>
      </c>
      <c r="G216" s="429">
        <v>85539.78</v>
      </c>
      <c r="H216" s="452">
        <v>92372.47</v>
      </c>
      <c r="I216" s="625">
        <v>4</v>
      </c>
      <c r="J216" s="626">
        <v>4</v>
      </c>
      <c r="K216" s="222"/>
      <c r="L216" s="222"/>
      <c r="M216" s="222"/>
      <c r="N216" s="409"/>
      <c r="O216" s="224">
        <f>ROUND(G216*I216,2)+ROUND(H216*J216,2)-K216-L216-M216-N216</f>
        <v>711649</v>
      </c>
      <c r="P216" s="222">
        <f>ROUND(18.75%*O216,2)</f>
        <v>133434.19</v>
      </c>
      <c r="Q216" s="222">
        <f>ROUND($O216*R216,2)</f>
        <v>106747.35</v>
      </c>
      <c r="R216" s="223">
        <v>0.15</v>
      </c>
      <c r="S216" s="222">
        <f>ROUND($O216*T216,2)</f>
        <v>26686.84</v>
      </c>
      <c r="T216" s="258">
        <v>3.7499999999999999E-2</v>
      </c>
    </row>
    <row r="217" spans="1:20" x14ac:dyDescent="0.2">
      <c r="A217" s="533" t="s">
        <v>28</v>
      </c>
      <c r="B217" s="550" t="str">
        <f>B216</f>
        <v>Z-69 P. Pariñas - GNA</v>
      </c>
      <c r="C217" s="397" t="s">
        <v>31</v>
      </c>
      <c r="D217" s="536" t="s">
        <v>186</v>
      </c>
      <c r="E217" s="536"/>
      <c r="F217" s="535" t="str">
        <f>F216</f>
        <v xml:space="preserve"> MM BTU</v>
      </c>
      <c r="G217" s="408">
        <f>G216</f>
        <v>85539.78</v>
      </c>
      <c r="H217" s="408">
        <f>H216</f>
        <v>92372.47</v>
      </c>
      <c r="I217" s="217">
        <v>2.3603000000000001</v>
      </c>
      <c r="J217" s="217">
        <v>2.3603000000000001</v>
      </c>
      <c r="K217" s="409"/>
      <c r="L217" s="409"/>
      <c r="M217" s="410"/>
      <c r="N217" s="410"/>
      <c r="O217" s="410">
        <f>ROUND(G217*I217,2)+ROUND(H217*J217,2)-K217-L217-M217-N217</f>
        <v>419926.28</v>
      </c>
      <c r="P217" s="409">
        <f>ROUND(18.75%*O217,2)</f>
        <v>78736.179999999993</v>
      </c>
      <c r="Q217" s="409">
        <f>ROUND($O217*R217,2)</f>
        <v>62988.94</v>
      </c>
      <c r="R217" s="575">
        <v>0.15</v>
      </c>
      <c r="S217" s="409">
        <f>ROUND($O217*T217,2)</f>
        <v>15747.24</v>
      </c>
      <c r="T217" s="576">
        <v>3.7499999999999999E-2</v>
      </c>
    </row>
    <row r="218" spans="1:20" x14ac:dyDescent="0.2">
      <c r="A218" s="537"/>
      <c r="B218" s="390" t="s">
        <v>181</v>
      </c>
      <c r="C218" s="402"/>
      <c r="D218" s="538"/>
      <c r="E218" s="538"/>
      <c r="F218" s="537"/>
      <c r="G218" s="539">
        <f t="shared" ref="G218:P218" si="66">G217-G216</f>
        <v>0</v>
      </c>
      <c r="H218" s="539">
        <f t="shared" si="66"/>
        <v>0</v>
      </c>
      <c r="I218" s="196">
        <f t="shared" si="66"/>
        <v>-1.6396999999999999</v>
      </c>
      <c r="J218" s="196">
        <f t="shared" si="66"/>
        <v>-1.6396999999999999</v>
      </c>
      <c r="K218" s="541">
        <f t="shared" si="66"/>
        <v>0</v>
      </c>
      <c r="L218" s="541">
        <f t="shared" si="66"/>
        <v>0</v>
      </c>
      <c r="M218" s="541">
        <f t="shared" si="66"/>
        <v>0</v>
      </c>
      <c r="N218" s="541">
        <f t="shared" si="66"/>
        <v>0</v>
      </c>
      <c r="O218" s="196">
        <f t="shared" si="66"/>
        <v>-291722.71999999997</v>
      </c>
      <c r="P218" s="196">
        <f t="shared" si="66"/>
        <v>-54698.010000000009</v>
      </c>
      <c r="Q218" s="196">
        <f>Q217-Q216</f>
        <v>-43758.41</v>
      </c>
      <c r="R218" s="196"/>
      <c r="S218" s="196">
        <f>S217-S216</f>
        <v>-10939.6</v>
      </c>
      <c r="T218" s="196"/>
    </row>
    <row r="220" spans="1:20" ht="15" x14ac:dyDescent="0.25">
      <c r="A220" s="529"/>
      <c r="B220" s="407" t="s">
        <v>345</v>
      </c>
      <c r="C220" s="65"/>
      <c r="D220" s="65"/>
      <c r="E220" s="65"/>
      <c r="F220" s="65"/>
      <c r="G220" s="65"/>
      <c r="H220" s="65"/>
      <c r="I220" s="65"/>
      <c r="J220" s="569"/>
      <c r="K220" s="65"/>
      <c r="L220" s="65"/>
      <c r="M220" s="65"/>
      <c r="N220" s="65"/>
      <c r="O220" s="65"/>
      <c r="P220" s="65"/>
      <c r="Q220" s="65"/>
      <c r="R220" s="571"/>
      <c r="S220" s="65"/>
      <c r="T220" s="574"/>
    </row>
    <row r="221" spans="1:20" x14ac:dyDescent="0.2">
      <c r="A221" s="396" t="s">
        <v>312</v>
      </c>
      <c r="B221" s="401"/>
      <c r="C221" s="543"/>
      <c r="D221" s="392" t="s">
        <v>19</v>
      </c>
      <c r="E221" s="393" t="s">
        <v>59</v>
      </c>
      <c r="F221" s="392" t="s">
        <v>27</v>
      </c>
      <c r="G221" s="394" t="s">
        <v>35</v>
      </c>
      <c r="H221" s="395" t="s">
        <v>36</v>
      </c>
      <c r="I221" s="395" t="s">
        <v>35</v>
      </c>
      <c r="J221" s="394" t="s">
        <v>36</v>
      </c>
      <c r="K221" s="394" t="s">
        <v>39</v>
      </c>
      <c r="L221" s="394" t="s">
        <v>40</v>
      </c>
      <c r="M221" s="394" t="s">
        <v>42</v>
      </c>
      <c r="N221" s="394" t="s">
        <v>2</v>
      </c>
      <c r="O221" s="394" t="s">
        <v>180</v>
      </c>
      <c r="P221" s="544" t="s">
        <v>313</v>
      </c>
      <c r="Q221" s="544" t="s">
        <v>43</v>
      </c>
      <c r="R221" s="572"/>
      <c r="S221" s="1194" t="s">
        <v>44</v>
      </c>
      <c r="T221" s="1195"/>
    </row>
    <row r="222" spans="1:20" x14ac:dyDescent="0.2">
      <c r="A222" s="531" t="s">
        <v>28</v>
      </c>
      <c r="B222" s="548" t="s">
        <v>337</v>
      </c>
      <c r="C222" s="398" t="s">
        <v>31</v>
      </c>
      <c r="D222" s="549" t="s">
        <v>30</v>
      </c>
      <c r="E222" s="549" t="s">
        <v>101</v>
      </c>
      <c r="F222" s="398" t="s">
        <v>56</v>
      </c>
      <c r="G222" s="429">
        <v>86127.1</v>
      </c>
      <c r="H222" s="452">
        <v>73920.83</v>
      </c>
      <c r="I222" s="430">
        <v>4</v>
      </c>
      <c r="J222" s="453">
        <v>4</v>
      </c>
      <c r="K222" s="222"/>
      <c r="L222" s="222"/>
      <c r="M222" s="222"/>
      <c r="N222" s="409"/>
      <c r="O222" s="224">
        <f>ROUND(G222*I222,2)+ROUND(H222*J222,2)-K222-L222-M222-N222</f>
        <v>640191.72</v>
      </c>
      <c r="P222" s="222">
        <f>ROUND(18.75%*O222,2)</f>
        <v>120035.95</v>
      </c>
      <c r="Q222" s="222">
        <f>ROUND($O222*R222,2)</f>
        <v>96028.76</v>
      </c>
      <c r="R222" s="223">
        <v>0.15</v>
      </c>
      <c r="S222" s="222">
        <f>ROUND($O222*T222,2)</f>
        <v>24007.19</v>
      </c>
      <c r="T222" s="258">
        <v>3.7499999999999999E-2</v>
      </c>
    </row>
    <row r="223" spans="1:20" x14ac:dyDescent="0.2">
      <c r="A223" s="533" t="s">
        <v>28</v>
      </c>
      <c r="B223" s="550" t="str">
        <f>B222</f>
        <v>Z-69 P. Pariñas - GNA</v>
      </c>
      <c r="C223" s="397" t="s">
        <v>31</v>
      </c>
      <c r="D223" s="536" t="s">
        <v>186</v>
      </c>
      <c r="E223" s="536"/>
      <c r="F223" s="535" t="str">
        <f>F222</f>
        <v xml:space="preserve"> MM BTU</v>
      </c>
      <c r="G223" s="408">
        <f>G222</f>
        <v>86127.1</v>
      </c>
      <c r="H223" s="408">
        <f>H222</f>
        <v>73920.83</v>
      </c>
      <c r="I223" s="217">
        <v>2.4794</v>
      </c>
      <c r="J223" s="217">
        <v>2.4794</v>
      </c>
      <c r="K223" s="409"/>
      <c r="L223" s="409"/>
      <c r="M223" s="410"/>
      <c r="N223" s="410"/>
      <c r="O223" s="410">
        <f>ROUND(G223*I223,2)+ROUND(H223*J223,2)-K223-L223-M223-N223</f>
        <v>396822.83999999997</v>
      </c>
      <c r="P223" s="409">
        <f>ROUND(18.75%*O223,2)</f>
        <v>74404.28</v>
      </c>
      <c r="Q223" s="409">
        <f>ROUND($O223*R223,2)</f>
        <v>59523.43</v>
      </c>
      <c r="R223" s="575">
        <v>0.15</v>
      </c>
      <c r="S223" s="409">
        <f>ROUND($O223*T223,2)</f>
        <v>14880.86</v>
      </c>
      <c r="T223" s="576">
        <v>3.7499999999999999E-2</v>
      </c>
    </row>
    <row r="224" spans="1:20" x14ac:dyDescent="0.2">
      <c r="A224" s="537"/>
      <c r="B224" s="390" t="s">
        <v>181</v>
      </c>
      <c r="C224" s="402"/>
      <c r="D224" s="538"/>
      <c r="E224" s="538"/>
      <c r="F224" s="537"/>
      <c r="G224" s="539">
        <f t="shared" ref="G224:P224" si="67">G223-G222</f>
        <v>0</v>
      </c>
      <c r="H224" s="539">
        <f t="shared" si="67"/>
        <v>0</v>
      </c>
      <c r="I224" s="196">
        <f t="shared" si="67"/>
        <v>-1.5206</v>
      </c>
      <c r="J224" s="196">
        <f t="shared" si="67"/>
        <v>-1.5206</v>
      </c>
      <c r="K224" s="541">
        <f t="shared" si="67"/>
        <v>0</v>
      </c>
      <c r="L224" s="541">
        <f t="shared" si="67"/>
        <v>0</v>
      </c>
      <c r="M224" s="541">
        <f t="shared" si="67"/>
        <v>0</v>
      </c>
      <c r="N224" s="541">
        <f t="shared" si="67"/>
        <v>0</v>
      </c>
      <c r="O224" s="196">
        <f t="shared" si="67"/>
        <v>-243368.88</v>
      </c>
      <c r="P224" s="196">
        <f t="shared" si="67"/>
        <v>-45631.67</v>
      </c>
      <c r="Q224" s="196">
        <f>Q223-Q222</f>
        <v>-36505.329999999994</v>
      </c>
      <c r="R224" s="196"/>
      <c r="S224" s="196">
        <f>S223-S222</f>
        <v>-9126.3299999999981</v>
      </c>
      <c r="T224" s="196"/>
    </row>
    <row r="226" spans="1:20" ht="15" x14ac:dyDescent="0.25">
      <c r="A226" s="529"/>
      <c r="B226" s="407" t="s">
        <v>346</v>
      </c>
      <c r="C226" s="65"/>
      <c r="D226" s="65"/>
      <c r="E226" s="65"/>
      <c r="F226" s="65"/>
      <c r="G226" s="65"/>
      <c r="H226" s="65"/>
      <c r="I226" s="65"/>
      <c r="J226" s="569"/>
      <c r="K226" s="65"/>
      <c r="L226" s="65"/>
      <c r="M226" s="65"/>
      <c r="N226" s="65"/>
      <c r="O226" s="65"/>
      <c r="P226" s="65"/>
      <c r="Q226" s="65"/>
      <c r="R226" s="571"/>
      <c r="S226" s="65"/>
      <c r="T226" s="574"/>
    </row>
    <row r="227" spans="1:20" x14ac:dyDescent="0.2">
      <c r="A227" s="396" t="s">
        <v>312</v>
      </c>
      <c r="B227" s="401"/>
      <c r="C227" s="543"/>
      <c r="D227" s="392" t="s">
        <v>19</v>
      </c>
      <c r="E227" s="393" t="s">
        <v>59</v>
      </c>
      <c r="F227" s="392" t="s">
        <v>27</v>
      </c>
      <c r="G227" s="394" t="s">
        <v>35</v>
      </c>
      <c r="H227" s="395" t="s">
        <v>36</v>
      </c>
      <c r="I227" s="395" t="s">
        <v>35</v>
      </c>
      <c r="J227" s="394" t="s">
        <v>36</v>
      </c>
      <c r="K227" s="394" t="s">
        <v>39</v>
      </c>
      <c r="L227" s="394" t="s">
        <v>40</v>
      </c>
      <c r="M227" s="394" t="s">
        <v>42</v>
      </c>
      <c r="N227" s="394" t="s">
        <v>2</v>
      </c>
      <c r="O227" s="394" t="s">
        <v>180</v>
      </c>
      <c r="P227" s="544" t="s">
        <v>313</v>
      </c>
      <c r="Q227" s="544" t="s">
        <v>43</v>
      </c>
      <c r="R227" s="572"/>
      <c r="S227" s="1194" t="s">
        <v>44</v>
      </c>
      <c r="T227" s="1195"/>
    </row>
    <row r="228" spans="1:20" x14ac:dyDescent="0.2">
      <c r="A228" s="531" t="s">
        <v>28</v>
      </c>
      <c r="B228" s="548" t="s">
        <v>337</v>
      </c>
      <c r="C228" s="398" t="s">
        <v>31</v>
      </c>
      <c r="D228" s="549" t="s">
        <v>30</v>
      </c>
      <c r="E228" s="549" t="s">
        <v>101</v>
      </c>
      <c r="F228" s="398" t="s">
        <v>56</v>
      </c>
      <c r="G228" s="429">
        <v>74794.399999999994</v>
      </c>
      <c r="H228" s="452">
        <v>85284.68</v>
      </c>
      <c r="I228" s="430">
        <v>4</v>
      </c>
      <c r="J228" s="453">
        <v>4</v>
      </c>
      <c r="K228" s="222"/>
      <c r="L228" s="222"/>
      <c r="M228" s="222"/>
      <c r="N228" s="409"/>
      <c r="O228" s="224">
        <f>ROUND(G228*I228,2)+ROUND(H228*J228,2)-K228-L228-M228-N228</f>
        <v>640316.31999999995</v>
      </c>
      <c r="P228" s="222">
        <f>ROUND(18.75%*O228,2)</f>
        <v>120059.31</v>
      </c>
      <c r="Q228" s="222">
        <f>ROUND($O228*R228,2)</f>
        <v>96047.45</v>
      </c>
      <c r="R228" s="223">
        <v>0.15</v>
      </c>
      <c r="S228" s="222">
        <f>ROUND($O228*T228,2)</f>
        <v>24011.86</v>
      </c>
      <c r="T228" s="258">
        <v>3.7499999999999999E-2</v>
      </c>
    </row>
    <row r="229" spans="1:20" x14ac:dyDescent="0.2">
      <c r="A229" s="533" t="s">
        <v>28</v>
      </c>
      <c r="B229" s="550" t="str">
        <f>B228</f>
        <v>Z-69 P. Pariñas - GNA</v>
      </c>
      <c r="C229" s="397" t="s">
        <v>31</v>
      </c>
      <c r="D229" s="536" t="s">
        <v>186</v>
      </c>
      <c r="E229" s="536"/>
      <c r="F229" s="535" t="str">
        <f>F228</f>
        <v xml:space="preserve"> MM BTU</v>
      </c>
      <c r="G229" s="408">
        <f>G228</f>
        <v>74794.399999999994</v>
      </c>
      <c r="H229" s="408">
        <f>H228</f>
        <v>85284.68</v>
      </c>
      <c r="I229" s="217">
        <v>2.5259</v>
      </c>
      <c r="J229" s="217">
        <v>2.5259</v>
      </c>
      <c r="K229" s="409"/>
      <c r="L229" s="409"/>
      <c r="M229" s="410"/>
      <c r="N229" s="410"/>
      <c r="O229" s="410">
        <f>ROUND(G229*I229,2)+ROUND(H229*J229,2)-K229-L229-M229-N229</f>
        <v>404343.74</v>
      </c>
      <c r="P229" s="409">
        <f>ROUND(18.75%*O229,2)</f>
        <v>75814.45</v>
      </c>
      <c r="Q229" s="409">
        <f>ROUND($O229*R229,2)</f>
        <v>60651.56</v>
      </c>
      <c r="R229" s="575">
        <v>0.15</v>
      </c>
      <c r="S229" s="409">
        <f>ROUND($O229*T229,2)</f>
        <v>15162.89</v>
      </c>
      <c r="T229" s="576">
        <v>3.7499999999999999E-2</v>
      </c>
    </row>
    <row r="230" spans="1:20" x14ac:dyDescent="0.2">
      <c r="A230" s="537"/>
      <c r="B230" s="390" t="s">
        <v>181</v>
      </c>
      <c r="C230" s="402"/>
      <c r="D230" s="538"/>
      <c r="E230" s="538"/>
      <c r="F230" s="537"/>
      <c r="G230" s="539">
        <f t="shared" ref="G230:P230" si="68">G229-G228</f>
        <v>0</v>
      </c>
      <c r="H230" s="539">
        <f t="shared" si="68"/>
        <v>0</v>
      </c>
      <c r="I230" s="196">
        <f t="shared" si="68"/>
        <v>-1.4741</v>
      </c>
      <c r="J230" s="196">
        <f t="shared" si="68"/>
        <v>-1.4741</v>
      </c>
      <c r="K230" s="541">
        <f t="shared" si="68"/>
        <v>0</v>
      </c>
      <c r="L230" s="541">
        <f t="shared" si="68"/>
        <v>0</v>
      </c>
      <c r="M230" s="541">
        <f t="shared" si="68"/>
        <v>0</v>
      </c>
      <c r="N230" s="541">
        <f t="shared" si="68"/>
        <v>0</v>
      </c>
      <c r="O230" s="196">
        <f t="shared" si="68"/>
        <v>-235972.57999999996</v>
      </c>
      <c r="P230" s="196">
        <f t="shared" si="68"/>
        <v>-44244.86</v>
      </c>
      <c r="Q230" s="196">
        <f>Q229-Q228</f>
        <v>-35395.89</v>
      </c>
      <c r="R230" s="196"/>
      <c r="S230" s="196">
        <f>S229-S228</f>
        <v>-8848.9700000000012</v>
      </c>
      <c r="T230" s="196"/>
    </row>
    <row r="232" spans="1:20" ht="15" x14ac:dyDescent="0.25">
      <c r="A232" s="529"/>
      <c r="B232" s="407" t="s">
        <v>347</v>
      </c>
      <c r="C232" s="65"/>
      <c r="D232" s="65"/>
      <c r="E232" s="65"/>
      <c r="F232" s="65"/>
      <c r="G232" s="65"/>
      <c r="H232" s="65"/>
      <c r="I232" s="65"/>
      <c r="J232" s="569"/>
      <c r="K232" s="65"/>
      <c r="L232" s="65"/>
      <c r="M232" s="65"/>
      <c r="N232" s="65"/>
      <c r="O232" s="65"/>
      <c r="P232" s="65"/>
      <c r="Q232" s="65"/>
      <c r="R232" s="571"/>
      <c r="S232" s="65"/>
      <c r="T232" s="574"/>
    </row>
    <row r="233" spans="1:20" x14ac:dyDescent="0.2">
      <c r="A233" s="396" t="s">
        <v>312</v>
      </c>
      <c r="B233" s="401"/>
      <c r="C233" s="543"/>
      <c r="D233" s="392" t="s">
        <v>19</v>
      </c>
      <c r="E233" s="393" t="s">
        <v>59</v>
      </c>
      <c r="F233" s="392" t="s">
        <v>27</v>
      </c>
      <c r="G233" s="394" t="s">
        <v>35</v>
      </c>
      <c r="H233" s="395" t="s">
        <v>36</v>
      </c>
      <c r="I233" s="395" t="s">
        <v>35</v>
      </c>
      <c r="J233" s="394" t="s">
        <v>36</v>
      </c>
      <c r="K233" s="394" t="s">
        <v>39</v>
      </c>
      <c r="L233" s="394" t="s">
        <v>40</v>
      </c>
      <c r="M233" s="394" t="s">
        <v>42</v>
      </c>
      <c r="N233" s="394" t="s">
        <v>2</v>
      </c>
      <c r="O233" s="394" t="s">
        <v>180</v>
      </c>
      <c r="P233" s="544" t="s">
        <v>313</v>
      </c>
      <c r="Q233" s="544" t="s">
        <v>43</v>
      </c>
      <c r="R233" s="572"/>
      <c r="S233" s="1194" t="s">
        <v>44</v>
      </c>
      <c r="T233" s="1195"/>
    </row>
    <row r="234" spans="1:20" x14ac:dyDescent="0.2">
      <c r="A234" s="531" t="s">
        <v>28</v>
      </c>
      <c r="B234" s="548" t="s">
        <v>337</v>
      </c>
      <c r="C234" s="398" t="s">
        <v>31</v>
      </c>
      <c r="D234" s="549" t="s">
        <v>30</v>
      </c>
      <c r="E234" s="549" t="s">
        <v>101</v>
      </c>
      <c r="F234" s="398" t="s">
        <v>56</v>
      </c>
      <c r="G234" s="429">
        <v>82294.490000000005</v>
      </c>
      <c r="H234" s="452">
        <v>80675.14</v>
      </c>
      <c r="I234" s="430">
        <v>4</v>
      </c>
      <c r="J234" s="453">
        <v>4</v>
      </c>
      <c r="K234" s="222"/>
      <c r="L234" s="222"/>
      <c r="M234" s="222"/>
      <c r="N234" s="409"/>
      <c r="O234" s="224">
        <f>ROUND(G234*I234,2)+ROUND(H234*J234,2)-K234-L234-M234-N234</f>
        <v>651878.52</v>
      </c>
      <c r="P234" s="222">
        <f>ROUND(18.75%*O234,2)</f>
        <v>122227.22</v>
      </c>
      <c r="Q234" s="222">
        <f>ROUND($O234*R234,2)</f>
        <v>97781.78</v>
      </c>
      <c r="R234" s="223">
        <v>0.15</v>
      </c>
      <c r="S234" s="222">
        <f>ROUND($O234*T234,2)</f>
        <v>24445.439999999999</v>
      </c>
      <c r="T234" s="258">
        <v>3.7499999999999999E-2</v>
      </c>
    </row>
    <row r="235" spans="1:20" x14ac:dyDescent="0.2">
      <c r="A235" s="533" t="s">
        <v>28</v>
      </c>
      <c r="B235" s="550" t="str">
        <f>B234</f>
        <v>Z-69 P. Pariñas - GNA</v>
      </c>
      <c r="C235" s="397" t="s">
        <v>31</v>
      </c>
      <c r="D235" s="536" t="s">
        <v>186</v>
      </c>
      <c r="E235" s="536"/>
      <c r="F235" s="535" t="str">
        <f>F234</f>
        <v xml:space="preserve"> MM BTU</v>
      </c>
      <c r="G235" s="408">
        <f>G234</f>
        <v>82294.490000000005</v>
      </c>
      <c r="H235" s="408">
        <f>H234</f>
        <v>80675.14</v>
      </c>
      <c r="I235" s="217">
        <v>2.4927000000000001</v>
      </c>
      <c r="J235" s="217">
        <v>2.4927000000000001</v>
      </c>
      <c r="K235" s="409"/>
      <c r="L235" s="409"/>
      <c r="M235" s="410"/>
      <c r="N235" s="410"/>
      <c r="O235" s="410">
        <f>ROUND(G235*I235,2)+ROUND(H235*J235,2)-K235-L235-M235-N235</f>
        <v>406234.4</v>
      </c>
      <c r="P235" s="409">
        <f>ROUND(18.75%*O235,2)</f>
        <v>76168.95</v>
      </c>
      <c r="Q235" s="409">
        <f>ROUND($O235*R235,2)</f>
        <v>60935.16</v>
      </c>
      <c r="R235" s="575">
        <v>0.15</v>
      </c>
      <c r="S235" s="409">
        <f>ROUND($O235*T235,2)</f>
        <v>15233.79</v>
      </c>
      <c r="T235" s="576">
        <v>3.7499999999999999E-2</v>
      </c>
    </row>
    <row r="236" spans="1:20" x14ac:dyDescent="0.2">
      <c r="A236" s="537"/>
      <c r="B236" s="390" t="s">
        <v>181</v>
      </c>
      <c r="C236" s="402"/>
      <c r="D236" s="538"/>
      <c r="E236" s="538"/>
      <c r="F236" s="537"/>
      <c r="G236" s="539">
        <f t="shared" ref="G236:P236" si="69">G235-G234</f>
        <v>0</v>
      </c>
      <c r="H236" s="539">
        <f t="shared" si="69"/>
        <v>0</v>
      </c>
      <c r="I236" s="196">
        <f t="shared" si="69"/>
        <v>-1.5072999999999999</v>
      </c>
      <c r="J236" s="196">
        <f t="shared" si="69"/>
        <v>-1.5072999999999999</v>
      </c>
      <c r="K236" s="541">
        <f t="shared" si="69"/>
        <v>0</v>
      </c>
      <c r="L236" s="541">
        <f t="shared" si="69"/>
        <v>0</v>
      </c>
      <c r="M236" s="541">
        <f t="shared" si="69"/>
        <v>0</v>
      </c>
      <c r="N236" s="541">
        <f t="shared" si="69"/>
        <v>0</v>
      </c>
      <c r="O236" s="196">
        <f t="shared" si="69"/>
        <v>-245644.12</v>
      </c>
      <c r="P236" s="196">
        <f t="shared" si="69"/>
        <v>-46058.270000000004</v>
      </c>
      <c r="Q236" s="196">
        <f>Q235-Q234</f>
        <v>-36846.619999999995</v>
      </c>
      <c r="R236" s="196"/>
      <c r="S236" s="196">
        <f>S235-S234</f>
        <v>-9211.6499999999978</v>
      </c>
      <c r="T236" s="196"/>
    </row>
    <row r="238" spans="1:20" ht="15" x14ac:dyDescent="0.25">
      <c r="A238" s="529"/>
      <c r="B238" s="407" t="s">
        <v>348</v>
      </c>
      <c r="C238" s="65"/>
      <c r="D238" s="65"/>
      <c r="E238" s="65"/>
      <c r="F238" s="65"/>
      <c r="G238" s="65"/>
      <c r="H238" s="65"/>
      <c r="I238" s="65"/>
      <c r="J238" s="569"/>
      <c r="K238" s="65"/>
      <c r="L238" s="65"/>
      <c r="M238" s="65"/>
      <c r="N238" s="65"/>
      <c r="O238" s="65"/>
      <c r="P238" s="65"/>
      <c r="Q238" s="65"/>
      <c r="R238" s="571"/>
      <c r="S238" s="65"/>
      <c r="T238" s="574"/>
    </row>
    <row r="239" spans="1:20" x14ac:dyDescent="0.2">
      <c r="A239" s="396" t="s">
        <v>312</v>
      </c>
      <c r="B239" s="401"/>
      <c r="C239" s="543"/>
      <c r="D239" s="392" t="s">
        <v>19</v>
      </c>
      <c r="E239" s="393" t="s">
        <v>59</v>
      </c>
      <c r="F239" s="392" t="s">
        <v>27</v>
      </c>
      <c r="G239" s="394" t="s">
        <v>35</v>
      </c>
      <c r="H239" s="395" t="s">
        <v>36</v>
      </c>
      <c r="I239" s="395" t="s">
        <v>35</v>
      </c>
      <c r="J239" s="394" t="s">
        <v>36</v>
      </c>
      <c r="K239" s="394" t="s">
        <v>39</v>
      </c>
      <c r="L239" s="394" t="s">
        <v>40</v>
      </c>
      <c r="M239" s="394" t="s">
        <v>42</v>
      </c>
      <c r="N239" s="394" t="s">
        <v>2</v>
      </c>
      <c r="O239" s="394" t="s">
        <v>180</v>
      </c>
      <c r="P239" s="544" t="s">
        <v>313</v>
      </c>
      <c r="Q239" s="544" t="s">
        <v>43</v>
      </c>
      <c r="R239" s="572"/>
      <c r="S239" s="1194" t="s">
        <v>44</v>
      </c>
      <c r="T239" s="1195"/>
    </row>
    <row r="240" spans="1:20" x14ac:dyDescent="0.2">
      <c r="A240" s="531" t="s">
        <v>28</v>
      </c>
      <c r="B240" s="548" t="s">
        <v>337</v>
      </c>
      <c r="C240" s="398" t="s">
        <v>31</v>
      </c>
      <c r="D240" s="549" t="s">
        <v>30</v>
      </c>
      <c r="E240" s="549" t="s">
        <v>101</v>
      </c>
      <c r="F240" s="398" t="s">
        <v>56</v>
      </c>
      <c r="G240" s="429">
        <v>135781.57999999999</v>
      </c>
      <c r="H240" s="452">
        <v>77448.81</v>
      </c>
      <c r="I240" s="430">
        <v>4</v>
      </c>
      <c r="J240" s="453">
        <v>4</v>
      </c>
      <c r="K240" s="222"/>
      <c r="L240" s="222"/>
      <c r="M240" s="222"/>
      <c r="N240" s="409"/>
      <c r="O240" s="224">
        <f>ROUND(G240*I240,2)+ROUND(H240*J240,2)-K240-L240-M240-N240</f>
        <v>852921.55999999994</v>
      </c>
      <c r="P240" s="222">
        <f>ROUND(18.75%*O240,2)</f>
        <v>159922.79</v>
      </c>
      <c r="Q240" s="222">
        <f>ROUND($O240*R240,2)</f>
        <v>127938.23</v>
      </c>
      <c r="R240" s="223">
        <v>0.15</v>
      </c>
      <c r="S240" s="222">
        <f>ROUND($O240*T240,2)</f>
        <v>31984.560000000001</v>
      </c>
      <c r="T240" s="258">
        <v>3.7499999999999999E-2</v>
      </c>
    </row>
    <row r="241" spans="1:20" x14ac:dyDescent="0.2">
      <c r="A241" s="533" t="s">
        <v>28</v>
      </c>
      <c r="B241" s="550" t="str">
        <f>B240</f>
        <v>Z-69 P. Pariñas - GNA</v>
      </c>
      <c r="C241" s="397" t="s">
        <v>31</v>
      </c>
      <c r="D241" s="536" t="s">
        <v>186</v>
      </c>
      <c r="E241" s="536"/>
      <c r="F241" s="535" t="str">
        <f>F240</f>
        <v xml:space="preserve"> MM BTU</v>
      </c>
      <c r="G241" s="408">
        <f>G240</f>
        <v>135781.57999999999</v>
      </c>
      <c r="H241" s="408">
        <f>H240</f>
        <v>77448.81</v>
      </c>
      <c r="I241" s="217">
        <v>2.7888999999999999</v>
      </c>
      <c r="J241" s="217">
        <v>2.7888999999999999</v>
      </c>
      <c r="K241" s="409"/>
      <c r="L241" s="409"/>
      <c r="M241" s="410"/>
      <c r="N241" s="410"/>
      <c r="O241" s="410">
        <f>ROUND(G241*I241,2)+ROUND(H241*J241,2)-K241-L241-M241-N241</f>
        <v>594678.24</v>
      </c>
      <c r="P241" s="409">
        <f>ROUND(18.75%*O241,2)</f>
        <v>111502.17</v>
      </c>
      <c r="Q241" s="409">
        <f>ROUND($O241*R241,2)</f>
        <v>89201.74</v>
      </c>
      <c r="R241" s="575">
        <v>0.15</v>
      </c>
      <c r="S241" s="409">
        <f>ROUND($O241*T241,2)</f>
        <v>22300.43</v>
      </c>
      <c r="T241" s="576">
        <v>3.7499999999999999E-2</v>
      </c>
    </row>
    <row r="242" spans="1:20" x14ac:dyDescent="0.2">
      <c r="A242" s="537"/>
      <c r="B242" s="390" t="s">
        <v>181</v>
      </c>
      <c r="C242" s="402"/>
      <c r="D242" s="538"/>
      <c r="E242" s="538"/>
      <c r="F242" s="537"/>
      <c r="G242" s="539">
        <f t="shared" ref="G242:P242" si="70">G241-G240</f>
        <v>0</v>
      </c>
      <c r="H242" s="539">
        <f t="shared" si="70"/>
        <v>0</v>
      </c>
      <c r="I242" s="196">
        <f t="shared" si="70"/>
        <v>-1.2111000000000001</v>
      </c>
      <c r="J242" s="196">
        <f t="shared" si="70"/>
        <v>-1.2111000000000001</v>
      </c>
      <c r="K242" s="541">
        <f t="shared" si="70"/>
        <v>0</v>
      </c>
      <c r="L242" s="541">
        <f t="shared" si="70"/>
        <v>0</v>
      </c>
      <c r="M242" s="541">
        <f t="shared" si="70"/>
        <v>0</v>
      </c>
      <c r="N242" s="541">
        <f t="shared" si="70"/>
        <v>0</v>
      </c>
      <c r="O242" s="196">
        <f t="shared" si="70"/>
        <v>-258243.31999999995</v>
      </c>
      <c r="P242" s="196">
        <f t="shared" si="70"/>
        <v>-48420.62000000001</v>
      </c>
      <c r="Q242" s="196">
        <f>Q241-Q240</f>
        <v>-38736.489999999991</v>
      </c>
      <c r="R242" s="196"/>
      <c r="S242" s="196">
        <f>S241-S240</f>
        <v>-9684.130000000001</v>
      </c>
      <c r="T242" s="196"/>
    </row>
    <row r="244" spans="1:20" ht="15" x14ac:dyDescent="0.25">
      <c r="A244" s="529"/>
      <c r="B244" s="407" t="s">
        <v>341</v>
      </c>
      <c r="C244" s="65"/>
      <c r="D244" s="65"/>
      <c r="E244" s="65"/>
      <c r="F244" s="65"/>
      <c r="G244" s="65"/>
      <c r="H244" s="65"/>
      <c r="I244" s="65"/>
      <c r="J244" s="569"/>
      <c r="K244" s="65"/>
      <c r="L244" s="65"/>
      <c r="M244" s="65"/>
      <c r="N244" s="65"/>
      <c r="O244" s="65"/>
      <c r="P244" s="65"/>
      <c r="Q244" s="65"/>
      <c r="R244" s="571"/>
      <c r="S244" s="65"/>
      <c r="T244" s="574"/>
    </row>
    <row r="245" spans="1:20" x14ac:dyDescent="0.2">
      <c r="A245" s="396" t="s">
        <v>312</v>
      </c>
      <c r="B245" s="401"/>
      <c r="C245" s="543"/>
      <c r="D245" s="392" t="s">
        <v>19</v>
      </c>
      <c r="E245" s="393" t="s">
        <v>59</v>
      </c>
      <c r="F245" s="392" t="s">
        <v>27</v>
      </c>
      <c r="G245" s="394" t="s">
        <v>35</v>
      </c>
      <c r="H245" s="395" t="s">
        <v>36</v>
      </c>
      <c r="I245" s="395" t="s">
        <v>35</v>
      </c>
      <c r="J245" s="394" t="s">
        <v>36</v>
      </c>
      <c r="K245" s="394" t="s">
        <v>39</v>
      </c>
      <c r="L245" s="394" t="s">
        <v>40</v>
      </c>
      <c r="M245" s="394" t="s">
        <v>42</v>
      </c>
      <c r="N245" s="394" t="s">
        <v>2</v>
      </c>
      <c r="O245" s="394" t="s">
        <v>180</v>
      </c>
      <c r="P245" s="544" t="s">
        <v>313</v>
      </c>
      <c r="Q245" s="544" t="s">
        <v>43</v>
      </c>
      <c r="R245" s="572"/>
      <c r="S245" s="1194" t="s">
        <v>44</v>
      </c>
      <c r="T245" s="1195"/>
    </row>
    <row r="246" spans="1:20" x14ac:dyDescent="0.2">
      <c r="A246" s="531" t="s">
        <v>28</v>
      </c>
      <c r="B246" s="548" t="s">
        <v>337</v>
      </c>
      <c r="C246" s="398" t="s">
        <v>31</v>
      </c>
      <c r="D246" s="549" t="s">
        <v>30</v>
      </c>
      <c r="E246" s="549" t="s">
        <v>101</v>
      </c>
      <c r="F246" s="398" t="s">
        <v>56</v>
      </c>
      <c r="G246" s="429">
        <v>44456.13</v>
      </c>
      <c r="H246" s="452">
        <v>47485.919999999998</v>
      </c>
      <c r="I246" s="430">
        <v>2.7837000000000001</v>
      </c>
      <c r="J246" s="430">
        <v>2.7837000000000001</v>
      </c>
      <c r="K246" s="222"/>
      <c r="L246" s="222"/>
      <c r="M246" s="222"/>
      <c r="N246" s="409"/>
      <c r="O246" s="224">
        <f>ROUND(G246*I246,2)+ROUND(H246*J246,2)-K246-L246-M246-N246</f>
        <v>255939.09</v>
      </c>
      <c r="P246" s="222">
        <f>ROUND(18.75%*O246,2)</f>
        <v>47988.58</v>
      </c>
      <c r="Q246" s="222">
        <f>ROUND($O246*R246,2)</f>
        <v>38390.86</v>
      </c>
      <c r="R246" s="223">
        <v>0.15</v>
      </c>
      <c r="S246" s="222">
        <f>ROUND($O246*T246,2)</f>
        <v>9597.7199999999993</v>
      </c>
      <c r="T246" s="258">
        <v>3.7499999999999999E-2</v>
      </c>
    </row>
    <row r="247" spans="1:20" x14ac:dyDescent="0.2">
      <c r="A247" s="533" t="s">
        <v>28</v>
      </c>
      <c r="B247" s="550" t="str">
        <f>B246</f>
        <v>Z-69 P. Pariñas - GNA</v>
      </c>
      <c r="C247" s="397" t="s">
        <v>31</v>
      </c>
      <c r="D247" s="536" t="s">
        <v>186</v>
      </c>
      <c r="E247" s="536"/>
      <c r="F247" s="535" t="str">
        <f>F246</f>
        <v xml:space="preserve"> MM BTU</v>
      </c>
      <c r="G247" s="408">
        <f>G246</f>
        <v>44456.13</v>
      </c>
      <c r="H247" s="408">
        <f>H246</f>
        <v>47485.919999999998</v>
      </c>
      <c r="I247" s="217"/>
      <c r="J247" s="217">
        <v>2.8090000000000002</v>
      </c>
      <c r="K247" s="409"/>
      <c r="L247" s="409"/>
      <c r="M247" s="410"/>
      <c r="N247" s="410"/>
      <c r="O247" s="410">
        <f>ROUND(G247*I247,2)+ROUND(H247*J247,2)-K247-L247-M247-N247</f>
        <v>133387.95000000001</v>
      </c>
      <c r="P247" s="409">
        <f>ROUND(18.75%*O247,2)</f>
        <v>25010.240000000002</v>
      </c>
      <c r="Q247" s="409">
        <f>ROUND($O247*R247,2)</f>
        <v>20008.189999999999</v>
      </c>
      <c r="R247" s="575">
        <v>0.15</v>
      </c>
      <c r="S247" s="409">
        <f>ROUND($O247*T247,2)</f>
        <v>5002.05</v>
      </c>
      <c r="T247" s="576">
        <v>3.7499999999999999E-2</v>
      </c>
    </row>
    <row r="248" spans="1:20" x14ac:dyDescent="0.2">
      <c r="A248" s="537"/>
      <c r="B248" s="390" t="s">
        <v>181</v>
      </c>
      <c r="C248" s="402"/>
      <c r="D248" s="538"/>
      <c r="E248" s="538"/>
      <c r="F248" s="537"/>
      <c r="G248" s="539">
        <f t="shared" ref="G248:P248" si="71">G247-G246</f>
        <v>0</v>
      </c>
      <c r="H248" s="539">
        <f t="shared" si="71"/>
        <v>0</v>
      </c>
      <c r="I248" s="196">
        <f t="shared" si="71"/>
        <v>-2.7837000000000001</v>
      </c>
      <c r="J248" s="196">
        <f t="shared" si="71"/>
        <v>2.53000000000001E-2</v>
      </c>
      <c r="K248" s="541">
        <f t="shared" si="71"/>
        <v>0</v>
      </c>
      <c r="L248" s="541">
        <f t="shared" si="71"/>
        <v>0</v>
      </c>
      <c r="M248" s="541">
        <f t="shared" si="71"/>
        <v>0</v>
      </c>
      <c r="N248" s="541">
        <f t="shared" si="71"/>
        <v>0</v>
      </c>
      <c r="O248" s="196">
        <f t="shared" si="71"/>
        <v>-122551.13999999998</v>
      </c>
      <c r="P248" s="196">
        <f t="shared" si="71"/>
        <v>-22978.34</v>
      </c>
      <c r="Q248" s="196">
        <f>Q247-Q246</f>
        <v>-18382.670000000002</v>
      </c>
      <c r="R248" s="196"/>
      <c r="S248" s="196">
        <f>S247-S246</f>
        <v>-4595.6699999999992</v>
      </c>
      <c r="T248" s="196"/>
    </row>
    <row r="249" spans="1:20" x14ac:dyDescent="0.2">
      <c r="A249" s="387"/>
      <c r="B249" s="65"/>
      <c r="C249" s="387"/>
      <c r="D249" s="387"/>
      <c r="E249" s="387"/>
      <c r="F249" s="387"/>
      <c r="G249" s="302"/>
      <c r="H249" s="302"/>
      <c r="I249" s="302"/>
      <c r="J249" s="302"/>
      <c r="K249" s="387"/>
      <c r="L249" s="387"/>
      <c r="M249" s="387"/>
      <c r="N249" s="387"/>
      <c r="O249" s="302"/>
      <c r="P249" s="302"/>
      <c r="Q249" s="302"/>
      <c r="R249" s="302"/>
      <c r="S249" s="302"/>
      <c r="T249" s="302"/>
    </row>
    <row r="250" spans="1:20" x14ac:dyDescent="0.2">
      <c r="A250" s="387"/>
      <c r="B250" s="65"/>
      <c r="C250" s="387"/>
      <c r="D250" s="387"/>
      <c r="E250" s="387"/>
      <c r="F250" s="387"/>
      <c r="G250" s="302"/>
      <c r="H250" s="302"/>
      <c r="I250" s="302"/>
      <c r="J250" s="302"/>
      <c r="K250" s="387"/>
      <c r="L250" s="387"/>
      <c r="M250" s="387"/>
      <c r="N250" s="387"/>
      <c r="O250" s="302"/>
      <c r="P250" s="302"/>
      <c r="Q250" s="302"/>
      <c r="R250" s="302"/>
      <c r="S250" s="302"/>
      <c r="T250" s="302"/>
    </row>
    <row r="251" spans="1:20" x14ac:dyDescent="0.2">
      <c r="A251" s="387"/>
      <c r="B251" s="65"/>
      <c r="C251" s="387"/>
      <c r="D251" s="387"/>
      <c r="E251" s="387"/>
      <c r="F251" s="387"/>
      <c r="G251" s="302"/>
      <c r="H251" s="302"/>
      <c r="I251" s="302"/>
      <c r="J251" s="302"/>
      <c r="K251" s="387"/>
      <c r="L251" s="387"/>
      <c r="M251" s="387"/>
      <c r="N251" s="387"/>
      <c r="O251" s="302"/>
      <c r="P251" s="302"/>
      <c r="Q251" s="302"/>
      <c r="R251" s="302"/>
      <c r="S251" s="302"/>
      <c r="T251" s="302"/>
    </row>
    <row r="252" spans="1:20" x14ac:dyDescent="0.2">
      <c r="A252" s="387"/>
      <c r="B252" s="65"/>
      <c r="C252" s="387"/>
      <c r="D252" s="387"/>
      <c r="E252" s="387"/>
      <c r="F252" s="387"/>
      <c r="G252" s="302"/>
      <c r="H252" s="302"/>
      <c r="I252" s="302"/>
      <c r="J252" s="302"/>
      <c r="K252" s="387"/>
      <c r="L252" s="387"/>
      <c r="M252" s="387"/>
      <c r="N252" s="387"/>
      <c r="O252" s="302"/>
      <c r="P252" s="302"/>
      <c r="Q252" s="302"/>
      <c r="R252" s="302"/>
      <c r="S252" s="302"/>
      <c r="T252" s="302"/>
    </row>
    <row r="253" spans="1:20" ht="15" x14ac:dyDescent="0.25">
      <c r="A253" s="529"/>
      <c r="B253" s="407" t="s">
        <v>354</v>
      </c>
      <c r="C253" s="65"/>
      <c r="D253" s="65"/>
      <c r="E253" s="65"/>
      <c r="F253" s="65"/>
      <c r="G253" s="65"/>
      <c r="H253" s="65"/>
      <c r="I253" s="65"/>
      <c r="J253" s="567"/>
      <c r="K253" s="65"/>
      <c r="L253" s="65"/>
      <c r="M253" s="65"/>
      <c r="N253" s="65"/>
      <c r="O253" s="65"/>
      <c r="P253" s="65"/>
      <c r="Q253" s="65"/>
      <c r="R253" s="571"/>
      <c r="S253" s="65"/>
      <c r="T253" s="302"/>
    </row>
    <row r="254" spans="1:20" x14ac:dyDescent="0.2">
      <c r="A254" s="400" t="s">
        <v>161</v>
      </c>
      <c r="B254" s="401"/>
      <c r="C254" s="543"/>
      <c r="D254" s="392" t="s">
        <v>19</v>
      </c>
      <c r="E254" s="393" t="s">
        <v>59</v>
      </c>
      <c r="F254" s="392" t="s">
        <v>27</v>
      </c>
      <c r="G254" s="394" t="s">
        <v>35</v>
      </c>
      <c r="H254" s="395" t="s">
        <v>36</v>
      </c>
      <c r="I254" s="395" t="s">
        <v>35</v>
      </c>
      <c r="J254" s="394" t="s">
        <v>36</v>
      </c>
      <c r="K254" s="394" t="s">
        <v>39</v>
      </c>
      <c r="L254" s="394" t="s">
        <v>40</v>
      </c>
      <c r="M254" s="394" t="s">
        <v>42</v>
      </c>
      <c r="N254" s="394" t="s">
        <v>2</v>
      </c>
      <c r="O254" s="394" t="s">
        <v>180</v>
      </c>
      <c r="P254" s="544" t="s">
        <v>163</v>
      </c>
      <c r="Q254" s="544" t="s">
        <v>184</v>
      </c>
      <c r="R254" s="572"/>
      <c r="S254" s="65"/>
      <c r="T254" s="302"/>
    </row>
    <row r="255" spans="1:20" x14ac:dyDescent="0.2">
      <c r="A255" s="531" t="s">
        <v>28</v>
      </c>
      <c r="B255" s="399" t="s">
        <v>328</v>
      </c>
      <c r="C255" s="397" t="s">
        <v>31</v>
      </c>
      <c r="D255" s="397" t="s">
        <v>30</v>
      </c>
      <c r="E255" s="397" t="s">
        <v>158</v>
      </c>
      <c r="F255" s="532" t="s">
        <v>56</v>
      </c>
      <c r="G255" s="222"/>
      <c r="H255" s="222">
        <v>2845752.15</v>
      </c>
      <c r="I255" s="216"/>
      <c r="J255" s="216">
        <v>5.5049999999999999</v>
      </c>
      <c r="K255" s="222"/>
      <c r="L255" s="222"/>
      <c r="M255" s="222"/>
      <c r="N255" s="409"/>
      <c r="O255" s="556">
        <f>G255*I255+H255*J255</f>
        <v>15665865.585749999</v>
      </c>
      <c r="P255" s="557">
        <f>ROUND(38%*G255*I255,2)+ROUND(38%*H255*J255,2)</f>
        <v>5953028.9199999999</v>
      </c>
      <c r="Q255" s="409">
        <f>ROUND(R255*P255,2)</f>
        <v>2976514.46</v>
      </c>
      <c r="R255" s="223">
        <v>0.5</v>
      </c>
      <c r="S255" s="65"/>
      <c r="T255" s="302"/>
    </row>
    <row r="256" spans="1:20" x14ac:dyDescent="0.2">
      <c r="A256" s="533" t="s">
        <v>28</v>
      </c>
      <c r="B256" s="534" t="str">
        <f>B255</f>
        <v xml:space="preserve">56 GAS </v>
      </c>
      <c r="C256" s="535" t="s">
        <v>31</v>
      </c>
      <c r="D256" s="536" t="s">
        <v>186</v>
      </c>
      <c r="E256" s="536"/>
      <c r="F256" s="535" t="str">
        <f>F255</f>
        <v xml:space="preserve"> MM BTU</v>
      </c>
      <c r="G256" s="218"/>
      <c r="H256" s="218">
        <f>H255</f>
        <v>2845752.15</v>
      </c>
      <c r="I256" s="216"/>
      <c r="J256" s="216">
        <v>5.367</v>
      </c>
      <c r="K256" s="559"/>
      <c r="L256" s="222"/>
      <c r="M256" s="222"/>
      <c r="N256" s="410"/>
      <c r="O256" s="224">
        <f>G256*I256+H256*J256</f>
        <v>15273151.78905</v>
      </c>
      <c r="P256" s="253">
        <f>ROUND(38%*G256*I256,2)+ROUND(38%*H256*J256,2)</f>
        <v>5803797.6799999997</v>
      </c>
      <c r="Q256" s="253">
        <f>ROUND(R256*P256,2)</f>
        <v>2901898.84</v>
      </c>
      <c r="R256" s="223">
        <v>0.5</v>
      </c>
      <c r="S256" s="65"/>
      <c r="T256" s="302"/>
    </row>
    <row r="257" spans="1:20" x14ac:dyDescent="0.2">
      <c r="A257" s="537"/>
      <c r="B257" s="390" t="s">
        <v>181</v>
      </c>
      <c r="C257" s="402"/>
      <c r="D257" s="538"/>
      <c r="E257" s="538"/>
      <c r="F257" s="537"/>
      <c r="G257" s="539">
        <f t="shared" ref="G257:Q257" si="72">G256-G255</f>
        <v>0</v>
      </c>
      <c r="H257" s="539">
        <f>H256-H255</f>
        <v>0</v>
      </c>
      <c r="I257" s="540">
        <f t="shared" si="72"/>
        <v>0</v>
      </c>
      <c r="J257" s="540">
        <f t="shared" si="72"/>
        <v>-0.1379999999999999</v>
      </c>
      <c r="K257" s="541">
        <f t="shared" si="72"/>
        <v>0</v>
      </c>
      <c r="L257" s="541">
        <f t="shared" si="72"/>
        <v>0</v>
      </c>
      <c r="M257" s="541">
        <f t="shared" si="72"/>
        <v>0</v>
      </c>
      <c r="N257" s="541">
        <f t="shared" si="72"/>
        <v>0</v>
      </c>
      <c r="O257" s="196">
        <f>O256-O255</f>
        <v>-392713.7966999989</v>
      </c>
      <c r="P257" s="196">
        <f t="shared" si="72"/>
        <v>-149231.24000000022</v>
      </c>
      <c r="Q257" s="196">
        <f t="shared" si="72"/>
        <v>-74615.620000000112</v>
      </c>
      <c r="R257" s="573"/>
      <c r="S257" s="65" t="s">
        <v>182</v>
      </c>
      <c r="T257" s="302"/>
    </row>
    <row r="258" spans="1:20" x14ac:dyDescent="0.2">
      <c r="A258" s="387"/>
      <c r="B258" s="65"/>
      <c r="C258" s="387"/>
      <c r="D258" s="387"/>
      <c r="E258" s="387"/>
      <c r="F258" s="387"/>
      <c r="G258" s="302"/>
      <c r="H258" s="302"/>
      <c r="I258" s="302"/>
      <c r="J258" s="302"/>
      <c r="K258" s="387"/>
      <c r="L258" s="387"/>
      <c r="M258" s="387"/>
      <c r="N258" s="387"/>
      <c r="O258" s="302"/>
      <c r="P258" s="302"/>
      <c r="Q258" s="302"/>
      <c r="R258" s="302"/>
      <c r="S258" s="302"/>
      <c r="T258" s="302"/>
    </row>
    <row r="259" spans="1:20" ht="15" x14ac:dyDescent="0.25">
      <c r="A259" s="529"/>
      <c r="B259" s="407" t="s">
        <v>355</v>
      </c>
      <c r="C259" s="65"/>
      <c r="D259" s="65"/>
      <c r="E259" s="65"/>
      <c r="F259" s="65"/>
      <c r="G259" s="65"/>
      <c r="H259" s="65"/>
      <c r="I259" s="65"/>
      <c r="J259" s="567"/>
      <c r="K259" s="65"/>
      <c r="L259" s="65"/>
      <c r="M259" s="65"/>
      <c r="N259" s="65"/>
      <c r="O259" s="65"/>
      <c r="P259" s="65"/>
      <c r="Q259" s="65"/>
      <c r="R259" s="571"/>
      <c r="S259" s="302"/>
      <c r="T259" s="302"/>
    </row>
    <row r="260" spans="1:20" x14ac:dyDescent="0.2">
      <c r="A260" s="400" t="s">
        <v>161</v>
      </c>
      <c r="B260" s="401"/>
      <c r="C260" s="543"/>
      <c r="D260" s="392" t="s">
        <v>19</v>
      </c>
      <c r="E260" s="393" t="s">
        <v>59</v>
      </c>
      <c r="F260" s="392" t="s">
        <v>27</v>
      </c>
      <c r="G260" s="394" t="s">
        <v>35</v>
      </c>
      <c r="H260" s="395" t="s">
        <v>36</v>
      </c>
      <c r="I260" s="395" t="s">
        <v>35</v>
      </c>
      <c r="J260" s="394" t="s">
        <v>36</v>
      </c>
      <c r="K260" s="394" t="s">
        <v>39</v>
      </c>
      <c r="L260" s="394" t="s">
        <v>40</v>
      </c>
      <c r="M260" s="394" t="s">
        <v>42</v>
      </c>
      <c r="N260" s="394" t="s">
        <v>2</v>
      </c>
      <c r="O260" s="394" t="s">
        <v>180</v>
      </c>
      <c r="P260" s="544" t="s">
        <v>163</v>
      </c>
      <c r="Q260" s="544" t="s">
        <v>184</v>
      </c>
      <c r="R260" s="572"/>
      <c r="S260" s="302"/>
      <c r="T260" s="302"/>
    </row>
    <row r="261" spans="1:20" x14ac:dyDescent="0.2">
      <c r="A261" s="531" t="s">
        <v>28</v>
      </c>
      <c r="B261" s="399" t="s">
        <v>328</v>
      </c>
      <c r="C261" s="397" t="s">
        <v>31</v>
      </c>
      <c r="D261" s="397" t="s">
        <v>30</v>
      </c>
      <c r="E261" s="397" t="s">
        <v>158</v>
      </c>
      <c r="F261" s="532" t="s">
        <v>56</v>
      </c>
      <c r="G261" s="222">
        <v>5247656.3360000001</v>
      </c>
      <c r="H261" s="558"/>
      <c r="I261" s="558">
        <v>5.6929999999999996</v>
      </c>
      <c r="J261" s="216"/>
      <c r="K261" s="222"/>
      <c r="L261" s="222"/>
      <c r="M261" s="222"/>
      <c r="N261" s="409"/>
      <c r="O261" s="556">
        <f>G261*I261+H261*J261</f>
        <v>29874907.520847999</v>
      </c>
      <c r="P261" s="557">
        <f>ROUND(38%*G261*I261,2)+ROUND(38%*H261*J261,2)</f>
        <v>11352464.859999999</v>
      </c>
      <c r="Q261" s="409">
        <f>ROUND(R261*P261,2)</f>
        <v>5676232.4299999997</v>
      </c>
      <c r="R261" s="223">
        <v>0.5</v>
      </c>
      <c r="S261" s="302"/>
      <c r="T261" s="302"/>
    </row>
    <row r="262" spans="1:20" x14ac:dyDescent="0.2">
      <c r="A262" s="533" t="s">
        <v>28</v>
      </c>
      <c r="B262" s="534" t="str">
        <f>B261</f>
        <v xml:space="preserve">56 GAS </v>
      </c>
      <c r="C262" s="535" t="s">
        <v>31</v>
      </c>
      <c r="D262" s="536" t="s">
        <v>186</v>
      </c>
      <c r="E262" s="536"/>
      <c r="F262" s="535" t="str">
        <f>F261</f>
        <v xml:space="preserve"> MM BTU</v>
      </c>
      <c r="G262" s="218">
        <f>G261</f>
        <v>5247656.3360000001</v>
      </c>
      <c r="H262" s="218">
        <f>H261</f>
        <v>0</v>
      </c>
      <c r="I262" s="558">
        <v>5.6660000000000004</v>
      </c>
      <c r="J262" s="216"/>
      <c r="K262" s="559"/>
      <c r="L262" s="222"/>
      <c r="M262" s="222"/>
      <c r="N262" s="410"/>
      <c r="O262" s="224">
        <f>G262*I262+H262*J262</f>
        <v>29733220.799776003</v>
      </c>
      <c r="P262" s="253">
        <f>ROUND(38%*G262*I262,2)+ROUND(38%*H262*J262,2)</f>
        <v>11298623.9</v>
      </c>
      <c r="Q262" s="253">
        <f>ROUND(R262*P262,2)</f>
        <v>5649311.9500000002</v>
      </c>
      <c r="R262" s="223">
        <v>0.5</v>
      </c>
      <c r="S262" s="302"/>
      <c r="T262" s="302"/>
    </row>
    <row r="263" spans="1:20" x14ac:dyDescent="0.2">
      <c r="A263" s="537"/>
      <c r="B263" s="390" t="s">
        <v>181</v>
      </c>
      <c r="C263" s="402"/>
      <c r="D263" s="538"/>
      <c r="E263" s="538"/>
      <c r="F263" s="537"/>
      <c r="G263" s="539">
        <f t="shared" ref="G263:N263" si="73">G262-G261</f>
        <v>0</v>
      </c>
      <c r="H263" s="539">
        <f t="shared" si="73"/>
        <v>0</v>
      </c>
      <c r="I263" s="540">
        <f t="shared" si="73"/>
        <v>-2.6999999999999247E-2</v>
      </c>
      <c r="J263" s="540">
        <f t="shared" si="73"/>
        <v>0</v>
      </c>
      <c r="K263" s="541">
        <f t="shared" si="73"/>
        <v>0</v>
      </c>
      <c r="L263" s="541">
        <f t="shared" si="73"/>
        <v>0</v>
      </c>
      <c r="M263" s="541">
        <f t="shared" si="73"/>
        <v>0</v>
      </c>
      <c r="N263" s="541">
        <f t="shared" si="73"/>
        <v>0</v>
      </c>
      <c r="O263" s="196">
        <f>O262-O261</f>
        <v>-141686.72107199579</v>
      </c>
      <c r="P263" s="196">
        <f>P262-P261</f>
        <v>-53840.959999999031</v>
      </c>
      <c r="Q263" s="196">
        <f>Q262-Q261</f>
        <v>-26920.479999999516</v>
      </c>
      <c r="R263" s="573"/>
      <c r="S263" s="302" t="s">
        <v>182</v>
      </c>
      <c r="T263" s="302"/>
    </row>
    <row r="264" spans="1:20" x14ac:dyDescent="0.2">
      <c r="A264" s="387"/>
      <c r="B264" s="65"/>
      <c r="C264" s="387"/>
      <c r="D264" s="387"/>
      <c r="E264" s="387"/>
      <c r="F264" s="387"/>
      <c r="G264" s="302"/>
      <c r="H264" s="302"/>
      <c r="I264" s="302"/>
      <c r="J264" s="302"/>
      <c r="K264" s="387"/>
      <c r="L264" s="387"/>
      <c r="M264" s="387"/>
      <c r="N264" s="387"/>
      <c r="O264" s="302"/>
      <c r="P264" s="302"/>
      <c r="Q264" s="302"/>
      <c r="R264" s="302"/>
      <c r="S264" s="302"/>
      <c r="T264" s="302"/>
    </row>
    <row r="265" spans="1:20" ht="15" x14ac:dyDescent="0.25">
      <c r="A265" s="529"/>
      <c r="B265" s="407" t="s">
        <v>356</v>
      </c>
      <c r="C265" s="65"/>
      <c r="D265" s="65"/>
      <c r="E265" s="65"/>
      <c r="F265" s="65"/>
      <c r="G265" s="65"/>
      <c r="H265" s="65"/>
      <c r="I265" s="65"/>
      <c r="J265" s="569"/>
      <c r="K265" s="65"/>
      <c r="L265" s="65"/>
      <c r="M265" s="65"/>
      <c r="N265" s="65"/>
      <c r="O265" s="65"/>
      <c r="P265" s="570"/>
      <c r="Q265" s="65"/>
      <c r="R265" s="571"/>
      <c r="S265" s="65"/>
      <c r="T265" s="302"/>
    </row>
    <row r="266" spans="1:20" x14ac:dyDescent="0.2">
      <c r="A266" s="400" t="s">
        <v>161</v>
      </c>
      <c r="B266" s="635"/>
      <c r="C266" s="636"/>
      <c r="D266" s="637" t="s">
        <v>19</v>
      </c>
      <c r="E266" s="638" t="s">
        <v>59</v>
      </c>
      <c r="F266" s="637" t="s">
        <v>27</v>
      </c>
      <c r="G266" s="639" t="s">
        <v>35</v>
      </c>
      <c r="H266" s="640" t="s">
        <v>36</v>
      </c>
      <c r="I266" s="640" t="s">
        <v>35</v>
      </c>
      <c r="J266" s="639" t="s">
        <v>36</v>
      </c>
      <c r="K266" s="639" t="s">
        <v>39</v>
      </c>
      <c r="L266" s="639" t="s">
        <v>40</v>
      </c>
      <c r="M266" s="639" t="s">
        <v>42</v>
      </c>
      <c r="N266" s="639" t="s">
        <v>2</v>
      </c>
      <c r="O266" s="639" t="s">
        <v>180</v>
      </c>
      <c r="P266" s="641" t="s">
        <v>163</v>
      </c>
      <c r="Q266" s="641" t="s">
        <v>184</v>
      </c>
      <c r="R266" s="642"/>
      <c r="S266" s="65"/>
      <c r="T266" s="302"/>
    </row>
    <row r="267" spans="1:20" x14ac:dyDescent="0.2">
      <c r="A267" s="531" t="s">
        <v>28</v>
      </c>
      <c r="B267" s="643" t="s">
        <v>325</v>
      </c>
      <c r="C267" s="644" t="s">
        <v>31</v>
      </c>
      <c r="D267" s="644" t="s">
        <v>30</v>
      </c>
      <c r="E267" s="644" t="s">
        <v>158</v>
      </c>
      <c r="F267" s="645" t="s">
        <v>56</v>
      </c>
      <c r="G267" s="367">
        <v>3897088.3073</v>
      </c>
      <c r="H267" s="367">
        <v>1923805.6618999999</v>
      </c>
      <c r="I267" s="417">
        <v>5.2930000000000001</v>
      </c>
      <c r="J267" s="417">
        <v>5.2930000000000001</v>
      </c>
      <c r="K267" s="646"/>
      <c r="L267" s="367"/>
      <c r="M267" s="367"/>
      <c r="N267" s="647"/>
      <c r="O267" s="648">
        <f>G267*I267+H267*J267</f>
        <v>30809991.778975599</v>
      </c>
      <c r="P267" s="367">
        <f>ROUND(G267*I267,2)*11.53%+ROUND(H267*J267,2)*11.44%</f>
        <v>3543227.6192009998</v>
      </c>
      <c r="Q267" s="367">
        <f>ROUND(R267*P267,2)</f>
        <v>1771613.81</v>
      </c>
      <c r="R267" s="649">
        <v>0.5</v>
      </c>
      <c r="S267" s="65"/>
      <c r="T267" s="302"/>
    </row>
    <row r="268" spans="1:20" x14ac:dyDescent="0.2">
      <c r="A268" s="533" t="s">
        <v>28</v>
      </c>
      <c r="B268" s="650" t="str">
        <f>B267</f>
        <v xml:space="preserve">57 Gas    </v>
      </c>
      <c r="C268" s="651" t="s">
        <v>31</v>
      </c>
      <c r="D268" s="652" t="s">
        <v>186</v>
      </c>
      <c r="E268" s="652"/>
      <c r="F268" s="651" t="str">
        <f>F267</f>
        <v xml:space="preserve"> MM BTU</v>
      </c>
      <c r="G268" s="653">
        <f>G267</f>
        <v>3897088.3073</v>
      </c>
      <c r="H268" s="653">
        <f>H267</f>
        <v>1923805.6618999999</v>
      </c>
      <c r="I268" s="417">
        <v>5.2439999999999998</v>
      </c>
      <c r="J268" s="417">
        <v>5.2439999999999998</v>
      </c>
      <c r="K268" s="646"/>
      <c r="L268" s="367"/>
      <c r="M268" s="367"/>
      <c r="N268" s="647"/>
      <c r="O268" s="648">
        <f>G268*I268+H268*J268</f>
        <v>30524767.974484801</v>
      </c>
      <c r="P268" s="367">
        <f>ROUND(G268*I268,2)*11.53%+ROUND(H268*J268,2)*11.44%</f>
        <v>3510426.15374</v>
      </c>
      <c r="Q268" s="367">
        <f>ROUND(R268*P268,2)</f>
        <v>1755213.08</v>
      </c>
      <c r="R268" s="649">
        <v>0.5</v>
      </c>
      <c r="S268" s="65"/>
      <c r="T268" s="302"/>
    </row>
    <row r="269" spans="1:20" x14ac:dyDescent="0.2">
      <c r="A269" s="537"/>
      <c r="B269" s="654" t="s">
        <v>181</v>
      </c>
      <c r="C269" s="655"/>
      <c r="D269" s="656"/>
      <c r="E269" s="656"/>
      <c r="F269" s="657"/>
      <c r="G269" s="658">
        <f t="shared" ref="G269:Q269" si="74">G268-G267</f>
        <v>0</v>
      </c>
      <c r="H269" s="658">
        <f t="shared" si="74"/>
        <v>0</v>
      </c>
      <c r="I269" s="659">
        <f t="shared" si="74"/>
        <v>-4.9000000000000377E-2</v>
      </c>
      <c r="J269" s="659">
        <f t="shared" si="74"/>
        <v>-4.9000000000000377E-2</v>
      </c>
      <c r="K269" s="660">
        <f t="shared" si="74"/>
        <v>0</v>
      </c>
      <c r="L269" s="660">
        <f t="shared" si="74"/>
        <v>0</v>
      </c>
      <c r="M269" s="660">
        <f t="shared" si="74"/>
        <v>0</v>
      </c>
      <c r="N269" s="660">
        <f t="shared" si="74"/>
        <v>0</v>
      </c>
      <c r="O269" s="661">
        <f t="shared" si="74"/>
        <v>-285223.80449079722</v>
      </c>
      <c r="P269" s="661">
        <f t="shared" si="74"/>
        <v>-32801.465460999869</v>
      </c>
      <c r="Q269" s="661">
        <f t="shared" si="74"/>
        <v>-16400.729999999981</v>
      </c>
      <c r="R269" s="662"/>
      <c r="S269" s="65" t="s">
        <v>182</v>
      </c>
      <c r="T269" s="302"/>
    </row>
    <row r="270" spans="1:20" x14ac:dyDescent="0.2">
      <c r="A270" s="387"/>
      <c r="B270" s="65"/>
      <c r="C270" s="387"/>
      <c r="D270" s="387"/>
      <c r="E270" s="387"/>
      <c r="F270" s="387"/>
      <c r="G270" s="302"/>
      <c r="H270" s="302"/>
      <c r="I270" s="302"/>
      <c r="J270" s="302"/>
      <c r="K270" s="387"/>
      <c r="L270" s="387"/>
      <c r="M270" s="387"/>
      <c r="N270" s="387"/>
      <c r="O270" s="302"/>
      <c r="P270" s="302"/>
      <c r="Q270" s="302"/>
      <c r="R270" s="302"/>
      <c r="S270" s="302"/>
      <c r="T270" s="302"/>
    </row>
    <row r="271" spans="1:20" ht="15" x14ac:dyDescent="0.25">
      <c r="A271" s="529"/>
      <c r="B271" s="407" t="s">
        <v>357</v>
      </c>
      <c r="C271" s="65"/>
      <c r="D271" s="65"/>
      <c r="E271" s="65"/>
      <c r="F271" s="65"/>
      <c r="G271" s="65"/>
      <c r="H271" s="65"/>
      <c r="I271" s="65"/>
      <c r="J271" s="569"/>
      <c r="K271" s="65"/>
      <c r="L271" s="65"/>
      <c r="M271" s="65"/>
      <c r="N271" s="65"/>
      <c r="O271" s="65"/>
      <c r="P271" s="570"/>
      <c r="Q271" s="65"/>
      <c r="R271" s="571"/>
      <c r="S271" s="302"/>
      <c r="T271" s="302"/>
    </row>
    <row r="272" spans="1:20" x14ac:dyDescent="0.2">
      <c r="A272" s="400" t="s">
        <v>161</v>
      </c>
      <c r="B272" s="401"/>
      <c r="C272" s="543"/>
      <c r="D272" s="392" t="s">
        <v>19</v>
      </c>
      <c r="E272" s="393" t="s">
        <v>59</v>
      </c>
      <c r="F272" s="392" t="s">
        <v>27</v>
      </c>
      <c r="G272" s="394" t="s">
        <v>35</v>
      </c>
      <c r="H272" s="395" t="s">
        <v>36</v>
      </c>
      <c r="I272" s="395" t="s">
        <v>35</v>
      </c>
      <c r="J272" s="394" t="s">
        <v>36</v>
      </c>
      <c r="K272" s="394" t="s">
        <v>39</v>
      </c>
      <c r="L272" s="394" t="s">
        <v>40</v>
      </c>
      <c r="M272" s="394" t="s">
        <v>42</v>
      </c>
      <c r="N272" s="394" t="s">
        <v>2</v>
      </c>
      <c r="O272" s="394" t="s">
        <v>180</v>
      </c>
      <c r="P272" s="544" t="s">
        <v>163</v>
      </c>
      <c r="Q272" s="544" t="s">
        <v>184</v>
      </c>
      <c r="R272" s="572"/>
      <c r="S272" s="302"/>
      <c r="T272" s="302"/>
    </row>
    <row r="273" spans="1:36" x14ac:dyDescent="0.2">
      <c r="A273" s="531" t="s">
        <v>28</v>
      </c>
      <c r="B273" s="399" t="s">
        <v>325</v>
      </c>
      <c r="C273" s="397" t="s">
        <v>31</v>
      </c>
      <c r="D273" s="397" t="s">
        <v>30</v>
      </c>
      <c r="E273" s="397" t="s">
        <v>158</v>
      </c>
      <c r="F273" s="532" t="s">
        <v>56</v>
      </c>
      <c r="G273" s="222">
        <v>4227519.0322000002</v>
      </c>
      <c r="H273" s="216"/>
      <c r="I273" s="216">
        <v>5.2930000000000001</v>
      </c>
      <c r="J273" s="216"/>
      <c r="K273" s="559"/>
      <c r="L273" s="222"/>
      <c r="M273" s="222"/>
      <c r="N273" s="410"/>
      <c r="O273" s="224">
        <f>G273*I273+H273*J273</f>
        <v>22376258.237434603</v>
      </c>
      <c r="P273" s="583">
        <f>ROUND(G273*I273,2)*11.62%+ROUND(H273*J273,2)*11.44%</f>
        <v>2600121.2074879999</v>
      </c>
      <c r="Q273" s="253">
        <f>ROUND(R273*P273,2)</f>
        <v>1300060.6000000001</v>
      </c>
      <c r="R273" s="223">
        <v>0.5</v>
      </c>
      <c r="S273" s="302"/>
      <c r="T273" s="302"/>
    </row>
    <row r="274" spans="1:36" x14ac:dyDescent="0.2">
      <c r="A274" s="533" t="s">
        <v>28</v>
      </c>
      <c r="B274" s="534" t="str">
        <f>B273</f>
        <v xml:space="preserve">57 Gas    </v>
      </c>
      <c r="C274" s="535" t="s">
        <v>31</v>
      </c>
      <c r="D274" s="536" t="s">
        <v>186</v>
      </c>
      <c r="E274" s="536"/>
      <c r="F274" s="535" t="str">
        <f>F273</f>
        <v xml:space="preserve"> MM BTU</v>
      </c>
      <c r="G274" s="218">
        <f>G273</f>
        <v>4227519.0322000002</v>
      </c>
      <c r="H274" s="218">
        <f>H273</f>
        <v>0</v>
      </c>
      <c r="I274" s="216">
        <v>5.2439999999999998</v>
      </c>
      <c r="J274" s="216"/>
      <c r="K274" s="559"/>
      <c r="L274" s="222"/>
      <c r="M274" s="222"/>
      <c r="N274" s="410"/>
      <c r="O274" s="224">
        <f>G274*I274+H274*J274</f>
        <v>22169109.8048568</v>
      </c>
      <c r="P274" s="583">
        <f>ROUND(G274*I274,2)*11.62%+ROUND(H274*J274,2)*11.44%</f>
        <v>2576050.5587599999</v>
      </c>
      <c r="Q274" s="253">
        <f>ROUND(R274*P274,2)</f>
        <v>1288025.28</v>
      </c>
      <c r="R274" s="223">
        <v>0.5</v>
      </c>
      <c r="S274" s="302"/>
      <c r="T274" s="302"/>
    </row>
    <row r="275" spans="1:36" x14ac:dyDescent="0.2">
      <c r="A275" s="537"/>
      <c r="B275" s="390" t="s">
        <v>181</v>
      </c>
      <c r="C275" s="402"/>
      <c r="D275" s="538"/>
      <c r="E275" s="538"/>
      <c r="F275" s="537"/>
      <c r="G275" s="539">
        <f t="shared" ref="G275:Q275" si="75">G274-G273</f>
        <v>0</v>
      </c>
      <c r="H275" s="539">
        <f t="shared" si="75"/>
        <v>0</v>
      </c>
      <c r="I275" s="540">
        <f t="shared" si="75"/>
        <v>-4.9000000000000377E-2</v>
      </c>
      <c r="J275" s="540">
        <f t="shared" si="75"/>
        <v>0</v>
      </c>
      <c r="K275" s="541">
        <f t="shared" si="75"/>
        <v>0</v>
      </c>
      <c r="L275" s="541">
        <f t="shared" si="75"/>
        <v>0</v>
      </c>
      <c r="M275" s="541">
        <f t="shared" si="75"/>
        <v>0</v>
      </c>
      <c r="N275" s="541">
        <f t="shared" si="75"/>
        <v>0</v>
      </c>
      <c r="O275" s="196">
        <f t="shared" si="75"/>
        <v>-207148.43257780373</v>
      </c>
      <c r="P275" s="196">
        <f t="shared" si="75"/>
        <v>-24070.648728</v>
      </c>
      <c r="Q275" s="196">
        <f t="shared" si="75"/>
        <v>-12035.320000000065</v>
      </c>
      <c r="R275" s="573"/>
      <c r="S275" s="302" t="s">
        <v>182</v>
      </c>
      <c r="T275" s="302"/>
      <c r="AJ275" s="65"/>
    </row>
    <row r="276" spans="1:36" x14ac:dyDescent="0.2">
      <c r="A276" s="387"/>
      <c r="B276" s="65"/>
      <c r="C276" s="387"/>
      <c r="D276" s="387"/>
      <c r="E276" s="387"/>
      <c r="F276" s="387"/>
      <c r="G276" s="302"/>
      <c r="H276" s="302"/>
      <c r="I276" s="302"/>
      <c r="J276" s="302"/>
      <c r="K276" s="387"/>
      <c r="L276" s="387"/>
      <c r="M276" s="387"/>
      <c r="N276" s="387"/>
      <c r="O276" s="302"/>
      <c r="P276" s="302"/>
      <c r="Q276" s="302"/>
      <c r="R276" s="302"/>
      <c r="S276" s="302"/>
      <c r="T276" s="302"/>
    </row>
    <row r="277" spans="1:36" ht="15" x14ac:dyDescent="0.25">
      <c r="A277" s="529"/>
      <c r="B277" s="407" t="s">
        <v>358</v>
      </c>
      <c r="C277" s="65"/>
      <c r="D277" s="65"/>
      <c r="E277" s="65"/>
      <c r="F277" s="65"/>
      <c r="G277" s="65"/>
      <c r="H277" s="65"/>
      <c r="I277" s="65"/>
      <c r="J277" s="569"/>
      <c r="K277" s="65"/>
      <c r="L277" s="65"/>
      <c r="M277" s="65"/>
      <c r="N277" s="65"/>
      <c r="O277" s="65"/>
      <c r="P277" s="65"/>
      <c r="Q277" s="65"/>
      <c r="R277" s="571"/>
      <c r="S277" s="65"/>
      <c r="T277" s="574"/>
    </row>
    <row r="278" spans="1:36" x14ac:dyDescent="0.2">
      <c r="A278" s="396" t="s">
        <v>312</v>
      </c>
      <c r="B278" s="401"/>
      <c r="C278" s="543"/>
      <c r="D278" s="392" t="s">
        <v>19</v>
      </c>
      <c r="E278" s="393" t="s">
        <v>59</v>
      </c>
      <c r="F278" s="392" t="s">
        <v>27</v>
      </c>
      <c r="G278" s="394" t="s">
        <v>35</v>
      </c>
      <c r="H278" s="395" t="s">
        <v>36</v>
      </c>
      <c r="I278" s="395" t="s">
        <v>35</v>
      </c>
      <c r="J278" s="394" t="s">
        <v>36</v>
      </c>
      <c r="K278" s="394" t="s">
        <v>39</v>
      </c>
      <c r="L278" s="394" t="s">
        <v>40</v>
      </c>
      <c r="M278" s="394" t="s">
        <v>42</v>
      </c>
      <c r="N278" s="394" t="s">
        <v>2</v>
      </c>
      <c r="O278" s="394" t="s">
        <v>180</v>
      </c>
      <c r="P278" s="544" t="s">
        <v>313</v>
      </c>
      <c r="Q278" s="544" t="s">
        <v>43</v>
      </c>
      <c r="R278" s="572"/>
      <c r="S278" s="1194" t="s">
        <v>44</v>
      </c>
      <c r="T278" s="1195"/>
    </row>
    <row r="279" spans="1:36" x14ac:dyDescent="0.2">
      <c r="A279" s="531" t="s">
        <v>28</v>
      </c>
      <c r="B279" s="548" t="s">
        <v>316</v>
      </c>
      <c r="C279" s="398" t="s">
        <v>31</v>
      </c>
      <c r="D279" s="549" t="s">
        <v>30</v>
      </c>
      <c r="E279" s="549" t="s">
        <v>101</v>
      </c>
      <c r="F279" s="398" t="s">
        <v>56</v>
      </c>
      <c r="G279" s="215">
        <v>35285.029600000002</v>
      </c>
      <c r="H279" s="437"/>
      <c r="I279" s="437">
        <v>3.71</v>
      </c>
      <c r="J279" s="217"/>
      <c r="K279" s="222"/>
      <c r="L279" s="222"/>
      <c r="M279" s="222"/>
      <c r="N279" s="409"/>
      <c r="O279" s="224">
        <f>ROUND(G279*I279,2)+ROUND(H279*J279,2)-K279-L279-M279-N279</f>
        <v>130907.46</v>
      </c>
      <c r="P279" s="222">
        <f>ROUND(18.75%*O279,2)</f>
        <v>24545.15</v>
      </c>
      <c r="Q279" s="222">
        <f>ROUND($O279*R279,2)</f>
        <v>19636.12</v>
      </c>
      <c r="R279" s="223">
        <v>0.15</v>
      </c>
      <c r="S279" s="222">
        <f>ROUND($O279*T279,2)</f>
        <v>4909.03</v>
      </c>
      <c r="T279" s="258">
        <v>3.7499999999999999E-2</v>
      </c>
    </row>
    <row r="280" spans="1:36" x14ac:dyDescent="0.2">
      <c r="A280" s="533" t="s">
        <v>28</v>
      </c>
      <c r="B280" s="550" t="str">
        <f>B279</f>
        <v>XIII Gas - Paita 2</v>
      </c>
      <c r="C280" s="397" t="s">
        <v>31</v>
      </c>
      <c r="D280" s="536" t="s">
        <v>186</v>
      </c>
      <c r="E280" s="536"/>
      <c r="F280" s="535" t="str">
        <f>F279</f>
        <v xml:space="preserve"> MM BTU</v>
      </c>
      <c r="G280" s="408">
        <f>G279</f>
        <v>35285.029600000002</v>
      </c>
      <c r="H280" s="408">
        <f>H279</f>
        <v>0</v>
      </c>
      <c r="I280" s="217">
        <v>3.8031000000000001</v>
      </c>
      <c r="J280" s="217"/>
      <c r="K280" s="409"/>
      <c r="L280" s="409"/>
      <c r="M280" s="410"/>
      <c r="N280" s="410"/>
      <c r="O280" s="410">
        <f>ROUND(G280*I280,2)+ROUND(H280*J280,2)-K280-L280-M280-N280</f>
        <v>134192.5</v>
      </c>
      <c r="P280" s="409">
        <f>ROUND(18.75%*O280,2)</f>
        <v>25161.09</v>
      </c>
      <c r="Q280" s="409">
        <f>ROUND($O280*R280,2)</f>
        <v>20128.88</v>
      </c>
      <c r="R280" s="575">
        <v>0.15</v>
      </c>
      <c r="S280" s="409">
        <f>ROUND($O280*T280,2)</f>
        <v>5032.22</v>
      </c>
      <c r="T280" s="576">
        <v>3.7499999999999999E-2</v>
      </c>
    </row>
    <row r="281" spans="1:36" x14ac:dyDescent="0.2">
      <c r="A281" s="537"/>
      <c r="B281" s="390" t="s">
        <v>181</v>
      </c>
      <c r="C281" s="402"/>
      <c r="D281" s="538"/>
      <c r="E281" s="538"/>
      <c r="F281" s="537"/>
      <c r="G281" s="539">
        <f t="shared" ref="G281:P281" si="76">G280-G279</f>
        <v>0</v>
      </c>
      <c r="H281" s="539">
        <f t="shared" si="76"/>
        <v>0</v>
      </c>
      <c r="I281" s="196">
        <f t="shared" si="76"/>
        <v>9.3100000000000183E-2</v>
      </c>
      <c r="J281" s="196">
        <f t="shared" si="76"/>
        <v>0</v>
      </c>
      <c r="K281" s="541">
        <f t="shared" si="76"/>
        <v>0</v>
      </c>
      <c r="L281" s="541">
        <f t="shared" si="76"/>
        <v>0</v>
      </c>
      <c r="M281" s="541">
        <f t="shared" si="76"/>
        <v>0</v>
      </c>
      <c r="N281" s="541">
        <f t="shared" si="76"/>
        <v>0</v>
      </c>
      <c r="O281" s="196">
        <f t="shared" si="76"/>
        <v>3285.0399999999936</v>
      </c>
      <c r="P281" s="196">
        <f t="shared" si="76"/>
        <v>615.93999999999869</v>
      </c>
      <c r="Q281" s="196">
        <f>Q280-Q279</f>
        <v>492.76000000000204</v>
      </c>
      <c r="R281" s="196"/>
      <c r="S281" s="196">
        <f>S280-S279</f>
        <v>123.19000000000051</v>
      </c>
      <c r="T281" s="196"/>
    </row>
    <row r="282" spans="1:36" x14ac:dyDescent="0.2">
      <c r="A282" s="387"/>
      <c r="B282" s="65"/>
      <c r="C282" s="387"/>
      <c r="D282" s="387"/>
      <c r="E282" s="387"/>
      <c r="F282" s="387"/>
      <c r="G282" s="302"/>
      <c r="H282" s="302"/>
      <c r="I282" s="302"/>
      <c r="J282" s="302"/>
      <c r="K282" s="387"/>
      <c r="L282" s="387"/>
      <c r="M282" s="387"/>
      <c r="N282" s="387"/>
      <c r="O282" s="302"/>
      <c r="P282" s="302"/>
      <c r="Q282" s="302"/>
      <c r="R282" s="302"/>
      <c r="S282" s="302"/>
      <c r="T282" s="302"/>
    </row>
    <row r="283" spans="1:36" ht="15" x14ac:dyDescent="0.25">
      <c r="A283" s="529"/>
      <c r="B283" s="407" t="s">
        <v>361</v>
      </c>
      <c r="C283" s="65"/>
      <c r="D283" s="65"/>
      <c r="E283" s="65"/>
      <c r="F283" s="65"/>
      <c r="G283" s="65"/>
      <c r="H283" s="65"/>
      <c r="I283" s="65"/>
      <c r="J283" s="569"/>
      <c r="K283" s="65"/>
      <c r="L283" s="65"/>
      <c r="M283" s="65"/>
      <c r="N283" s="65"/>
      <c r="O283" s="65"/>
      <c r="P283" s="65"/>
      <c r="Q283" s="65"/>
      <c r="R283" s="571"/>
      <c r="S283" s="302"/>
      <c r="T283" s="302"/>
    </row>
    <row r="284" spans="1:36" x14ac:dyDescent="0.2">
      <c r="A284" s="400" t="s">
        <v>161</v>
      </c>
      <c r="B284" s="401"/>
      <c r="C284" s="543"/>
      <c r="D284" s="392" t="s">
        <v>19</v>
      </c>
      <c r="E284" s="393" t="s">
        <v>59</v>
      </c>
      <c r="F284" s="392" t="s">
        <v>27</v>
      </c>
      <c r="G284" s="394" t="s">
        <v>35</v>
      </c>
      <c r="H284" s="395" t="s">
        <v>36</v>
      </c>
      <c r="I284" s="395" t="s">
        <v>35</v>
      </c>
      <c r="J284" s="394" t="s">
        <v>36</v>
      </c>
      <c r="K284" s="394" t="s">
        <v>39</v>
      </c>
      <c r="L284" s="394" t="s">
        <v>40</v>
      </c>
      <c r="M284" s="394" t="s">
        <v>42</v>
      </c>
      <c r="N284" s="394" t="s">
        <v>2</v>
      </c>
      <c r="O284" s="394" t="s">
        <v>180</v>
      </c>
      <c r="P284" s="544" t="s">
        <v>163</v>
      </c>
      <c r="Q284" s="544" t="s">
        <v>184</v>
      </c>
      <c r="R284" s="572"/>
      <c r="S284" s="302"/>
      <c r="T284" s="302"/>
    </row>
    <row r="285" spans="1:36" x14ac:dyDescent="0.2">
      <c r="A285" s="531" t="s">
        <v>28</v>
      </c>
      <c r="B285" s="399" t="s">
        <v>359</v>
      </c>
      <c r="C285" s="397" t="s">
        <v>31</v>
      </c>
      <c r="D285" s="397" t="s">
        <v>30</v>
      </c>
      <c r="E285" s="397" t="s">
        <v>158</v>
      </c>
      <c r="F285" s="532" t="s">
        <v>56</v>
      </c>
      <c r="G285" s="220"/>
      <c r="H285" s="220">
        <v>763911.25029999996</v>
      </c>
      <c r="I285" s="617"/>
      <c r="J285" s="617">
        <v>5.5049999999999999</v>
      </c>
      <c r="K285" s="222"/>
      <c r="L285" s="222"/>
      <c r="M285" s="222"/>
      <c r="N285" s="409"/>
      <c r="O285" s="224">
        <f>G285*I285+H285*J285</f>
        <v>4205331.4329014998</v>
      </c>
      <c r="P285" s="253">
        <f>ROUND(38%*O285,2)</f>
        <v>1598025.94</v>
      </c>
      <c r="Q285" s="222">
        <f>ROUND(R285*P285,2)</f>
        <v>799012.97</v>
      </c>
      <c r="R285" s="223">
        <v>0.5</v>
      </c>
      <c r="S285" s="302"/>
      <c r="T285" s="302"/>
    </row>
    <row r="286" spans="1:36" x14ac:dyDescent="0.2">
      <c r="A286" s="533" t="s">
        <v>28</v>
      </c>
      <c r="B286" s="399" t="str">
        <f>B285</f>
        <v>88 Gas - PM</v>
      </c>
      <c r="C286" s="535" t="s">
        <v>31</v>
      </c>
      <c r="D286" s="536" t="s">
        <v>186</v>
      </c>
      <c r="E286" s="536"/>
      <c r="F286" s="535" t="str">
        <f>F285</f>
        <v xml:space="preserve"> MM BTU</v>
      </c>
      <c r="G286" s="218">
        <f>G285</f>
        <v>0</v>
      </c>
      <c r="H286" s="624">
        <f>H285</f>
        <v>763911.25029999996</v>
      </c>
      <c r="I286" s="216"/>
      <c r="J286" s="216">
        <v>5.367</v>
      </c>
      <c r="K286" s="559"/>
      <c r="L286" s="222"/>
      <c r="M286" s="222"/>
      <c r="N286" s="410"/>
      <c r="O286" s="224">
        <f>G286*I286+H286*J286</f>
        <v>4099911.6803600998</v>
      </c>
      <c r="P286" s="253">
        <f>ROUND(38%*O286,2)</f>
        <v>1557966.44</v>
      </c>
      <c r="Q286" s="253">
        <f>ROUND(R286*P286,2)</f>
        <v>778983.22</v>
      </c>
      <c r="R286" s="223">
        <v>0.5</v>
      </c>
      <c r="S286" s="302"/>
      <c r="T286" s="302"/>
    </row>
    <row r="287" spans="1:36" x14ac:dyDescent="0.2">
      <c r="A287" s="537"/>
      <c r="B287" s="390" t="s">
        <v>181</v>
      </c>
      <c r="C287" s="402"/>
      <c r="D287" s="538"/>
      <c r="E287" s="538"/>
      <c r="F287" s="537"/>
      <c r="G287" s="539">
        <f t="shared" ref="G287:N287" si="77">G286-G285</f>
        <v>0</v>
      </c>
      <c r="H287" s="539">
        <f t="shared" si="77"/>
        <v>0</v>
      </c>
      <c r="I287" s="540">
        <f>I286-I285</f>
        <v>0</v>
      </c>
      <c r="J287" s="540">
        <f>J286-J285</f>
        <v>-0.1379999999999999</v>
      </c>
      <c r="K287" s="541">
        <f t="shared" si="77"/>
        <v>0</v>
      </c>
      <c r="L287" s="541">
        <f t="shared" si="77"/>
        <v>0</v>
      </c>
      <c r="M287" s="541">
        <f t="shared" si="77"/>
        <v>0</v>
      </c>
      <c r="N287" s="541">
        <f t="shared" si="77"/>
        <v>0</v>
      </c>
      <c r="O287" s="196">
        <f>O286-O285</f>
        <v>-105419.75254140003</v>
      </c>
      <c r="P287" s="196">
        <f>P286-P285</f>
        <v>-40059.5</v>
      </c>
      <c r="Q287" s="196">
        <f>Q286-Q285</f>
        <v>-20029.75</v>
      </c>
      <c r="R287" s="573"/>
      <c r="S287" s="302" t="s">
        <v>182</v>
      </c>
      <c r="T287" s="302"/>
    </row>
    <row r="288" spans="1:36" x14ac:dyDescent="0.2">
      <c r="A288" s="387"/>
      <c r="B288" s="65"/>
      <c r="C288" s="387"/>
      <c r="D288" s="387"/>
      <c r="E288" s="387"/>
      <c r="F288" s="387"/>
      <c r="G288" s="302"/>
      <c r="H288" s="302"/>
      <c r="I288" s="302"/>
      <c r="J288" s="302"/>
      <c r="K288" s="387"/>
      <c r="L288" s="387"/>
      <c r="M288" s="387"/>
      <c r="N288" s="387"/>
      <c r="O288" s="302"/>
      <c r="P288" s="302"/>
      <c r="Q288" s="302"/>
      <c r="R288" s="302"/>
      <c r="S288" s="302"/>
      <c r="T288" s="302"/>
    </row>
    <row r="289" spans="1:36" ht="15" x14ac:dyDescent="0.25">
      <c r="A289" s="529"/>
      <c r="B289" s="407" t="s">
        <v>360</v>
      </c>
      <c r="C289" s="65"/>
      <c r="D289" s="65"/>
      <c r="E289" s="65"/>
      <c r="F289" s="65"/>
      <c r="G289" s="65"/>
      <c r="H289" s="65"/>
      <c r="I289" s="65"/>
      <c r="J289" s="569"/>
      <c r="K289" s="65"/>
      <c r="L289" s="65"/>
      <c r="M289" s="65"/>
      <c r="N289" s="65"/>
      <c r="O289" s="65"/>
      <c r="P289" s="65"/>
      <c r="Q289" s="65"/>
      <c r="R289" s="571"/>
      <c r="S289" s="302"/>
      <c r="T289" s="302"/>
    </row>
    <row r="290" spans="1:36" x14ac:dyDescent="0.2">
      <c r="A290" s="400" t="s">
        <v>161</v>
      </c>
      <c r="B290" s="401"/>
      <c r="C290" s="543"/>
      <c r="D290" s="392" t="s">
        <v>19</v>
      </c>
      <c r="E290" s="393" t="s">
        <v>59</v>
      </c>
      <c r="F290" s="392" t="s">
        <v>27</v>
      </c>
      <c r="G290" s="394" t="s">
        <v>35</v>
      </c>
      <c r="H290" s="395" t="s">
        <v>36</v>
      </c>
      <c r="I290" s="395" t="s">
        <v>35</v>
      </c>
      <c r="J290" s="394" t="s">
        <v>36</v>
      </c>
      <c r="K290" s="394" t="s">
        <v>39</v>
      </c>
      <c r="L290" s="394" t="s">
        <v>40</v>
      </c>
      <c r="M290" s="394" t="s">
        <v>42</v>
      </c>
      <c r="N290" s="394" t="s">
        <v>2</v>
      </c>
      <c r="O290" s="394" t="s">
        <v>180</v>
      </c>
      <c r="P290" s="544" t="s">
        <v>163</v>
      </c>
      <c r="Q290" s="544" t="s">
        <v>184</v>
      </c>
      <c r="R290" s="572"/>
      <c r="S290" s="302"/>
      <c r="T290" s="302"/>
    </row>
    <row r="291" spans="1:36" x14ac:dyDescent="0.2">
      <c r="A291" s="531" t="s">
        <v>28</v>
      </c>
      <c r="B291" s="399" t="s">
        <v>359</v>
      </c>
      <c r="C291" s="397" t="s">
        <v>31</v>
      </c>
      <c r="D291" s="397" t="s">
        <v>30</v>
      </c>
      <c r="E291" s="397" t="s">
        <v>158</v>
      </c>
      <c r="F291" s="532" t="s">
        <v>56</v>
      </c>
      <c r="G291" s="220">
        <v>898460.9817</v>
      </c>
      <c r="H291" s="221"/>
      <c r="I291" s="221">
        <v>5.6929999999999996</v>
      </c>
      <c r="J291" s="221"/>
      <c r="K291" s="222"/>
      <c r="L291" s="222"/>
      <c r="M291" s="222"/>
      <c r="N291" s="409"/>
      <c r="O291" s="224">
        <f>G291*I291+H291*J291</f>
        <v>5114938.3688180996</v>
      </c>
      <c r="P291" s="253">
        <f>ROUND(38%*O291,2)</f>
        <v>1943676.58</v>
      </c>
      <c r="Q291" s="222">
        <f>ROUND(R291*P291,2)</f>
        <v>971838.29</v>
      </c>
      <c r="R291" s="223">
        <v>0.5</v>
      </c>
      <c r="S291" s="302"/>
      <c r="T291" s="302"/>
    </row>
    <row r="292" spans="1:36" x14ac:dyDescent="0.2">
      <c r="A292" s="533" t="s">
        <v>28</v>
      </c>
      <c r="B292" s="399" t="str">
        <f>B291</f>
        <v>88 Gas - PM</v>
      </c>
      <c r="C292" s="535" t="s">
        <v>31</v>
      </c>
      <c r="D292" s="536" t="s">
        <v>186</v>
      </c>
      <c r="E292" s="536"/>
      <c r="F292" s="535" t="str">
        <f>F291</f>
        <v xml:space="preserve"> MM BTU</v>
      </c>
      <c r="G292" s="218">
        <f>G291</f>
        <v>898460.9817</v>
      </c>
      <c r="H292" s="624">
        <f>H291</f>
        <v>0</v>
      </c>
      <c r="I292" s="216">
        <v>5.6660000000000004</v>
      </c>
      <c r="J292" s="386">
        <v>0</v>
      </c>
      <c r="K292" s="559"/>
      <c r="L292" s="222"/>
      <c r="M292" s="222"/>
      <c r="N292" s="410"/>
      <c r="O292" s="224">
        <f>G292*I292+H292*J292</f>
        <v>5090679.9223122001</v>
      </c>
      <c r="P292" s="253">
        <f>ROUND(38%*O292,2)</f>
        <v>1934458.37</v>
      </c>
      <c r="Q292" s="253">
        <f>ROUND(R292*P292,2)</f>
        <v>967229.19</v>
      </c>
      <c r="R292" s="223">
        <v>0.5</v>
      </c>
      <c r="S292" s="302"/>
      <c r="T292" s="302"/>
    </row>
    <row r="293" spans="1:36" x14ac:dyDescent="0.2">
      <c r="A293" s="537"/>
      <c r="B293" s="390" t="s">
        <v>181</v>
      </c>
      <c r="C293" s="402"/>
      <c r="D293" s="538"/>
      <c r="E293" s="538"/>
      <c r="F293" s="537"/>
      <c r="G293" s="539">
        <f t="shared" ref="G293:Q293" si="78">G292-G291</f>
        <v>0</v>
      </c>
      <c r="H293" s="539">
        <f t="shared" si="78"/>
        <v>0</v>
      </c>
      <c r="I293" s="540">
        <f t="shared" si="78"/>
        <v>-2.6999999999999247E-2</v>
      </c>
      <c r="J293" s="540">
        <f t="shared" si="78"/>
        <v>0</v>
      </c>
      <c r="K293" s="541">
        <f t="shared" si="78"/>
        <v>0</v>
      </c>
      <c r="L293" s="541">
        <f t="shared" si="78"/>
        <v>0</v>
      </c>
      <c r="M293" s="541">
        <f t="shared" si="78"/>
        <v>0</v>
      </c>
      <c r="N293" s="541">
        <f t="shared" si="78"/>
        <v>0</v>
      </c>
      <c r="O293" s="196">
        <f t="shared" si="78"/>
        <v>-24258.446505899541</v>
      </c>
      <c r="P293" s="196">
        <f t="shared" si="78"/>
        <v>-9218.2099999999627</v>
      </c>
      <c r="Q293" s="196">
        <f t="shared" si="78"/>
        <v>-4609.1000000000931</v>
      </c>
      <c r="R293" s="573"/>
      <c r="S293" s="302" t="s">
        <v>182</v>
      </c>
      <c r="T293" s="302"/>
    </row>
    <row r="294" spans="1:36" x14ac:dyDescent="0.2">
      <c r="A294" s="387"/>
      <c r="B294" s="65"/>
      <c r="C294" s="387"/>
      <c r="D294" s="387"/>
      <c r="E294" s="387"/>
      <c r="F294" s="387"/>
      <c r="G294" s="302"/>
      <c r="H294" s="302"/>
      <c r="I294" s="302"/>
      <c r="J294" s="302"/>
      <c r="K294" s="387"/>
      <c r="L294" s="387"/>
      <c r="M294" s="387"/>
      <c r="N294" s="387"/>
      <c r="O294" s="302"/>
      <c r="P294" s="302"/>
      <c r="Q294" s="302"/>
      <c r="R294" s="302"/>
      <c r="S294" s="302"/>
      <c r="T294" s="302"/>
    </row>
    <row r="296" spans="1:36" s="416" customFormat="1" x14ac:dyDescent="0.2">
      <c r="G296" s="418"/>
      <c r="H296" s="418"/>
      <c r="I296" s="418"/>
      <c r="J296" s="418"/>
      <c r="K296" s="418"/>
      <c r="M296" s="416" t="s">
        <v>353</v>
      </c>
      <c r="O296" s="407">
        <f>O248+O242+O236+O230+O224+O218+O212+O206+O200+O194+O188+O182+O176+O170+O164+O158+O152+O146+O140+O134+O125+O119+O113+O107+O101+O95+O89+O83+O257+O263+O269+O275+O281+O287+O293</f>
        <v>-4070806.0403099763</v>
      </c>
      <c r="P296" s="407">
        <f>P248+P242+P236+P230+P224+P218+P212+P206+P200+P194+P188+P182+P176+P170+P164+P158+P152+P146+P140+P134+P125+P119+P113+P107+P101+P95+P89+P83+P257+P263+P269+P275+P281+P287+P293</f>
        <v>-714124.71224899672</v>
      </c>
      <c r="Q296" s="407">
        <f>Q248+Q242+Q236+Q230+Q224+Q218+Q212+Q206+Q200+Q194+Q188+Q182+Q176+Q170+Q164+Q158+Q152+Q146+Q140+Q134+Q125+Q119+Q113+Q107+Q101+Q95+Q89+Q83+Q257+Q263+Q269+Q275+Q281+Q287+Q293</f>
        <v>-492157.26999999804</v>
      </c>
      <c r="S296" s="407">
        <f>S281+S248+S242+S236+S230+S224+S218+S212+S206+S200+S194+S188+S182+S176+S170+S158+S152+S146+S140+S134+S164</f>
        <v>-90063.270000000019</v>
      </c>
    </row>
    <row r="297" spans="1:36" x14ac:dyDescent="0.2">
      <c r="R297" s="65"/>
      <c r="S297" s="65"/>
    </row>
    <row r="298" spans="1:36" x14ac:dyDescent="0.2">
      <c r="M298" s="65" t="str">
        <f>B132</f>
        <v>I - Gas</v>
      </c>
      <c r="O298" s="65">
        <f>O134</f>
        <v>4483.9199999999837</v>
      </c>
      <c r="P298" s="65">
        <f>P134</f>
        <v>840.72999999999593</v>
      </c>
      <c r="Q298" s="65">
        <f>Q134</f>
        <v>672.59000000000378</v>
      </c>
      <c r="R298" s="65"/>
      <c r="S298" s="65">
        <f>S134</f>
        <v>168.13999999999942</v>
      </c>
    </row>
    <row r="299" spans="1:36" x14ac:dyDescent="0.2">
      <c r="M299" s="65" t="str">
        <f>B138</f>
        <v>IV - Gas</v>
      </c>
      <c r="O299" s="65">
        <f>O140</f>
        <v>4419.8399999999674</v>
      </c>
      <c r="P299" s="65">
        <f>P140</f>
        <v>828.72000000000116</v>
      </c>
      <c r="Q299" s="65">
        <f>Q140</f>
        <v>662.97000000000116</v>
      </c>
      <c r="R299" s="65"/>
      <c r="S299" s="65">
        <f>S140</f>
        <v>165.75</v>
      </c>
    </row>
    <row r="300" spans="1:36" x14ac:dyDescent="0.2">
      <c r="M300" s="65" t="str">
        <f>B144</f>
        <v>VI - Gas</v>
      </c>
      <c r="O300" s="65">
        <f>O146+O152+O158+O164+O170+O176+O182+O188</f>
        <v>-507721.85000000003</v>
      </c>
      <c r="P300" s="65">
        <f>P146+P152+P158+P164+P170+P176+P182+P188</f>
        <v>-95197.849999999991</v>
      </c>
      <c r="Q300" s="65">
        <f>Q146+Q152+Q158+Q164+Q170+Q176+Q182+Q188</f>
        <v>-76158.28</v>
      </c>
      <c r="R300" s="65"/>
      <c r="S300" s="65">
        <f>S146+S152+S158+S164+S170+S176+S182+S188</f>
        <v>-19039.550000000003</v>
      </c>
    </row>
    <row r="301" spans="1:36" x14ac:dyDescent="0.2">
      <c r="M301" s="65" t="str">
        <f>B192</f>
        <v>XIII Gas - Paita 2</v>
      </c>
      <c r="O301" s="65">
        <f>O194+O281</f>
        <v>12591.899999999994</v>
      </c>
      <c r="P301" s="65">
        <f>P194+P281</f>
        <v>2360.9699999999975</v>
      </c>
      <c r="Q301" s="65">
        <f>Q194+Q281</f>
        <v>1888.7900000000009</v>
      </c>
      <c r="R301" s="65"/>
      <c r="S301" s="65">
        <f>S194+S281</f>
        <v>472.20000000000073</v>
      </c>
    </row>
    <row r="302" spans="1:36" x14ac:dyDescent="0.2">
      <c r="M302" s="65" t="str">
        <f>B198</f>
        <v>XIII - Petroleo</v>
      </c>
      <c r="O302" s="65">
        <f>O200</f>
        <v>-56001.650000000373</v>
      </c>
      <c r="P302" s="65">
        <f>P200</f>
        <v>-10500.309999999998</v>
      </c>
      <c r="Q302" s="65">
        <f>Q200</f>
        <v>-8400.2399999999907</v>
      </c>
      <c r="R302" s="65"/>
      <c r="S302" s="65">
        <f>S200</f>
        <v>-2100.0600000000122</v>
      </c>
    </row>
    <row r="303" spans="1:36" x14ac:dyDescent="0.2">
      <c r="M303" s="65" t="str">
        <f>B204</f>
        <v>Z-69 P. Pariñas - GNA</v>
      </c>
      <c r="O303" s="65">
        <f>O206+O212+O218+O224+O230+O236+O242+O248</f>
        <v>-1859460.1299999997</v>
      </c>
      <c r="P303" s="65">
        <f>P206+P212+P218+P224+P230+P236+P242+P248</f>
        <v>-348648.78</v>
      </c>
      <c r="Q303" s="65">
        <f>Q206+Q212+Q218+Q224+Q230+Q236+Q242+Q248</f>
        <v>-278919.01999999996</v>
      </c>
      <c r="R303" s="65"/>
      <c r="S303" s="65">
        <f>S206+S212+S218+S224+S230+S236+S242+S248</f>
        <v>-69729.75</v>
      </c>
    </row>
    <row r="304" spans="1:36" x14ac:dyDescent="0.2">
      <c r="O304" s="369">
        <f>SUM(O297:O303)</f>
        <v>-2401687.9700000002</v>
      </c>
      <c r="P304" s="369">
        <f>SUM(P297:P303)</f>
        <v>-450316.52</v>
      </c>
      <c r="Q304" s="369">
        <f>SUM(Q297:Q303)</f>
        <v>-360253.18999999994</v>
      </c>
      <c r="R304" s="369"/>
      <c r="S304" s="369">
        <f>SUM(S297:S303)</f>
        <v>-90063.270000000019</v>
      </c>
      <c r="T304" s="627"/>
      <c r="AJ304" s="65">
        <f>S304-S296</f>
        <v>0</v>
      </c>
    </row>
    <row r="308" spans="13:20" x14ac:dyDescent="0.2">
      <c r="M308" s="65" t="str">
        <f>B81</f>
        <v xml:space="preserve">57 Gas    </v>
      </c>
      <c r="O308" s="65">
        <f>O83+O269+O275</f>
        <v>-1243267.5590954013</v>
      </c>
      <c r="P308" s="65">
        <f>P83+P269+P275</f>
        <v>-143226.99074800033</v>
      </c>
      <c r="Q308" s="65">
        <f>Q83+Q269+Q275</f>
        <v>-71613.489999999991</v>
      </c>
    </row>
    <row r="309" spans="13:20" x14ac:dyDescent="0.2">
      <c r="M309" s="65" t="str">
        <f>B123</f>
        <v>57 - LGN</v>
      </c>
      <c r="O309" s="65">
        <f>O125</f>
        <v>-141708.16350000165</v>
      </c>
      <c r="P309" s="65">
        <f>P125</f>
        <v>-9719.5915009998716</v>
      </c>
      <c r="Q309" s="65">
        <f>Q125</f>
        <v>-4859.7900000000373</v>
      </c>
    </row>
    <row r="310" spans="13:20" x14ac:dyDescent="0.2">
      <c r="M310" s="65" t="str">
        <f>B87</f>
        <v xml:space="preserve">88 GAS </v>
      </c>
      <c r="O310" s="65">
        <f>O89+O95</f>
        <v>379786.20104438066</v>
      </c>
      <c r="P310" s="65">
        <f>P89+P95</f>
        <v>141432.38000000268</v>
      </c>
      <c r="Q310" s="65">
        <f>Q89+Q95</f>
        <v>70716.180000001565</v>
      </c>
    </row>
    <row r="311" spans="13:20" x14ac:dyDescent="0.2">
      <c r="M311" s="65" t="str">
        <f>B99</f>
        <v>88 Gas Planta Pisco</v>
      </c>
      <c r="O311" s="65">
        <f>O101+O107</f>
        <v>54.726409340073587</v>
      </c>
      <c r="P311" s="65">
        <f>P101+P107</f>
        <v>20.370000000009895</v>
      </c>
      <c r="Q311" s="65">
        <f>Q101+Q107</f>
        <v>10.18999999999869</v>
      </c>
    </row>
    <row r="312" spans="13:20" x14ac:dyDescent="0.2">
      <c r="M312" s="65" t="str">
        <f>B111</f>
        <v>88 Gas P.Pisco Lt 56</v>
      </c>
      <c r="O312" s="65">
        <f>O113+O119</f>
        <v>95.44165100005921</v>
      </c>
      <c r="P312" s="65">
        <f>P113+P119</f>
        <v>35.549999999995634</v>
      </c>
      <c r="Q312" s="65">
        <f>Q113+Q119</f>
        <v>17.779999999995198</v>
      </c>
    </row>
    <row r="313" spans="13:20" x14ac:dyDescent="0.2">
      <c r="M313" s="65" t="str">
        <f>B285</f>
        <v>88 Gas - PM</v>
      </c>
      <c r="O313" s="65">
        <f>O287+O293</f>
        <v>-129678.19904729957</v>
      </c>
      <c r="P313" s="65">
        <f>P287+P293</f>
        <v>-49277.709999999963</v>
      </c>
      <c r="Q313" s="65">
        <f>Q287+Q293</f>
        <v>-24638.850000000093</v>
      </c>
    </row>
    <row r="314" spans="13:20" x14ac:dyDescent="0.2">
      <c r="M314" s="65" t="str">
        <f>B255</f>
        <v xml:space="preserve">56 GAS </v>
      </c>
      <c r="O314" s="65">
        <f>O257+O263</f>
        <v>-534400.5177719947</v>
      </c>
      <c r="P314" s="65">
        <f>P257+P263</f>
        <v>-203072.19999999925</v>
      </c>
      <c r="Q314" s="65">
        <f>Q257+Q263</f>
        <v>-101536.09999999963</v>
      </c>
    </row>
    <row r="315" spans="13:20" x14ac:dyDescent="0.2">
      <c r="M315" s="65"/>
      <c r="O315" s="65"/>
      <c r="P315" s="65"/>
      <c r="Q315" s="65"/>
    </row>
    <row r="316" spans="13:20" x14ac:dyDescent="0.2">
      <c r="M316" s="65"/>
      <c r="O316" s="65"/>
      <c r="P316" s="65"/>
      <c r="Q316" s="407"/>
    </row>
    <row r="317" spans="13:20" x14ac:dyDescent="0.2">
      <c r="O317" s="369">
        <f>SUM(O308:O315)</f>
        <v>-1669118.0703099766</v>
      </c>
      <c r="P317" s="369">
        <f>SUM(P308:P314)</f>
        <v>-263808.19224899675</v>
      </c>
      <c r="Q317" s="369">
        <f>SUM(Q308:Q314)</f>
        <v>-131904.07999999818</v>
      </c>
      <c r="R317" s="627"/>
      <c r="S317" s="627"/>
      <c r="T317" s="627"/>
    </row>
    <row r="320" spans="13:20"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spans="1:17" hidden="1" x14ac:dyDescent="0.2"/>
    <row r="386" spans="1:17" hidden="1" x14ac:dyDescent="0.2"/>
    <row r="387" spans="1:17" hidden="1" x14ac:dyDescent="0.2"/>
    <row r="388" spans="1:17" hidden="1" x14ac:dyDescent="0.2"/>
    <row r="389" spans="1:17" hidden="1" x14ac:dyDescent="0.2"/>
    <row r="390" spans="1:17" hidden="1" x14ac:dyDescent="0.2"/>
    <row r="391" spans="1:17" hidden="1" x14ac:dyDescent="0.2"/>
    <row r="392" spans="1:17" hidden="1" x14ac:dyDescent="0.2"/>
    <row r="393" spans="1:17" hidden="1" x14ac:dyDescent="0.2"/>
    <row r="394" spans="1:17" hidden="1" x14ac:dyDescent="0.2"/>
    <row r="395" spans="1:17" hidden="1" x14ac:dyDescent="0.2"/>
    <row r="396" spans="1:17" hidden="1" x14ac:dyDescent="0.2"/>
    <row r="397" spans="1:17" x14ac:dyDescent="0.2">
      <c r="P397" s="65">
        <f>P301+P459</f>
        <v>250097.99000000002</v>
      </c>
      <c r="Q397" s="65">
        <v>2615.2200000000303</v>
      </c>
    </row>
    <row r="399" spans="1:17" x14ac:dyDescent="0.2">
      <c r="A399" s="416" t="s">
        <v>231</v>
      </c>
      <c r="C399" s="1">
        <v>88</v>
      </c>
      <c r="N399" s="65"/>
    </row>
    <row r="400" spans="1:17" ht="15.75" x14ac:dyDescent="0.25">
      <c r="A400" s="412" t="s">
        <v>228</v>
      </c>
      <c r="G400" s="12" t="s">
        <v>35</v>
      </c>
      <c r="H400" s="13" t="s">
        <v>36</v>
      </c>
      <c r="I400" s="13" t="s">
        <v>35</v>
      </c>
      <c r="J400" s="12" t="s">
        <v>36</v>
      </c>
      <c r="K400" s="12" t="s">
        <v>39</v>
      </c>
      <c r="L400" s="12" t="s">
        <v>40</v>
      </c>
      <c r="M400" s="12" t="s">
        <v>42</v>
      </c>
      <c r="N400" s="12" t="s">
        <v>2</v>
      </c>
    </row>
    <row r="401" spans="1:19" x14ac:dyDescent="0.2">
      <c r="A401" s="279" t="s">
        <v>28</v>
      </c>
      <c r="B401" s="22" t="s">
        <v>159</v>
      </c>
      <c r="C401" s="366" t="s">
        <v>31</v>
      </c>
      <c r="D401" s="366" t="s">
        <v>30</v>
      </c>
      <c r="E401" s="366" t="s">
        <v>158</v>
      </c>
      <c r="F401" s="419" t="s">
        <v>56</v>
      </c>
      <c r="G401" s="222">
        <v>13446458.7279</v>
      </c>
      <c r="H401" s="634">
        <v>11749744.0087</v>
      </c>
      <c r="I401" s="631">
        <v>2.6158000000000001</v>
      </c>
      <c r="J401" s="618">
        <v>2.6158000000000001</v>
      </c>
      <c r="K401" s="222"/>
      <c r="L401" s="222"/>
      <c r="M401" s="222"/>
      <c r="N401" s="409"/>
      <c r="O401" s="506">
        <f>ROUND(G401*I401+H401*J401,2)</f>
        <v>65908227.119999997</v>
      </c>
      <c r="P401" s="253">
        <f>ROUND(37.24%*O401,2)</f>
        <v>24544223.780000001</v>
      </c>
      <c r="Q401" s="218">
        <f>ROUND(R401*P401,2)</f>
        <v>12272111.890000001</v>
      </c>
      <c r="R401" s="421">
        <v>0.5</v>
      </c>
      <c r="S401" s="179">
        <f>Q401</f>
        <v>12272111.890000001</v>
      </c>
    </row>
    <row r="402" spans="1:19" x14ac:dyDescent="0.2">
      <c r="A402" s="426" t="s">
        <v>28</v>
      </c>
      <c r="B402" s="422" t="s">
        <v>177</v>
      </c>
      <c r="C402" s="57" t="s">
        <v>31</v>
      </c>
      <c r="D402" s="57" t="s">
        <v>30</v>
      </c>
      <c r="E402" s="57" t="s">
        <v>158</v>
      </c>
      <c r="F402" s="236" t="s">
        <v>56</v>
      </c>
      <c r="G402" s="218">
        <v>34209.130100000002</v>
      </c>
      <c r="H402" s="218">
        <v>32047.783100000001</v>
      </c>
      <c r="I402" s="633">
        <v>3.6248</v>
      </c>
      <c r="J402" s="219">
        <v>3.6248</v>
      </c>
      <c r="K402" s="630"/>
      <c r="L402" s="218"/>
      <c r="M402" s="218"/>
      <c r="N402" s="411"/>
      <c r="O402" s="218">
        <f>ROUND(G402*I402+H402*J402,2)</f>
        <v>240168.06</v>
      </c>
      <c r="P402" s="616">
        <f>ROUND(37.24%*G402*I402,2)+ROUND(37.24%*H402*J402,2)</f>
        <v>89438.59</v>
      </c>
      <c r="Q402" s="218">
        <f>ROUND(R402*P402,2)</f>
        <v>44719.3</v>
      </c>
      <c r="R402" s="425">
        <v>0.5</v>
      </c>
    </row>
    <row r="403" spans="1:19" x14ac:dyDescent="0.2">
      <c r="A403" s="426" t="s">
        <v>28</v>
      </c>
      <c r="B403" s="422" t="s">
        <v>234</v>
      </c>
      <c r="C403" s="57" t="s">
        <v>31</v>
      </c>
      <c r="D403" s="57" t="s">
        <v>30</v>
      </c>
      <c r="E403" s="57" t="s">
        <v>158</v>
      </c>
      <c r="F403" s="236" t="s">
        <v>56</v>
      </c>
      <c r="G403" s="222">
        <v>24460.11</v>
      </c>
      <c r="H403" s="506">
        <v>24032.78</v>
      </c>
      <c r="I403" s="632">
        <v>3.6248</v>
      </c>
      <c r="J403" s="216">
        <v>3.6248</v>
      </c>
      <c r="K403" s="342"/>
      <c r="L403" s="342"/>
      <c r="M403" s="342"/>
      <c r="N403" s="474"/>
      <c r="O403" s="222">
        <f>ROUND(G403*I403+H403*J403,2)</f>
        <v>175777.03</v>
      </c>
      <c r="P403" s="253">
        <f>ROUND(37.24%*O403,2)</f>
        <v>65459.37</v>
      </c>
      <c r="Q403" s="222">
        <f>ROUND(R403*P403,2)</f>
        <v>32729.69</v>
      </c>
      <c r="R403" s="225">
        <v>0.5</v>
      </c>
      <c r="S403" s="257">
        <f>Q402+Q403</f>
        <v>77448.990000000005</v>
      </c>
    </row>
    <row r="404" spans="1:19" x14ac:dyDescent="0.2">
      <c r="A404" s="281" t="s">
        <v>28</v>
      </c>
      <c r="B404" s="423" t="s">
        <v>178</v>
      </c>
      <c r="C404" s="291" t="s">
        <v>31</v>
      </c>
      <c r="D404" s="291" t="s">
        <v>30</v>
      </c>
      <c r="E404" s="291" t="s">
        <v>158</v>
      </c>
      <c r="F404" s="244" t="s">
        <v>56</v>
      </c>
      <c r="G404" s="294">
        <v>898460.9817</v>
      </c>
      <c r="H404" s="294">
        <v>957079.89399999997</v>
      </c>
      <c r="I404" s="666">
        <v>5.6929999999999996</v>
      </c>
      <c r="J404" s="619">
        <v>2.7309999999999999</v>
      </c>
      <c r="K404" s="541"/>
      <c r="L404" s="294"/>
      <c r="M404" s="294"/>
      <c r="N404" s="541"/>
      <c r="O404" s="294">
        <f>ROUND(G404*I404+H404*J404,2)</f>
        <v>7728723.5599999996</v>
      </c>
      <c r="P404" s="667">
        <f>ROUND(38%*O404,2)</f>
        <v>2936914.95</v>
      </c>
      <c r="Q404" s="294">
        <f>ROUND(R404*P404,2)</f>
        <v>1468457.48</v>
      </c>
      <c r="R404" s="459">
        <v>0.5</v>
      </c>
      <c r="S404" s="179">
        <f>Q404</f>
        <v>1468457.48</v>
      </c>
    </row>
    <row r="405" spans="1:19" x14ac:dyDescent="0.2">
      <c r="G405" s="414">
        <f>SUM(G401:G403)</f>
        <v>13505127.968</v>
      </c>
      <c r="H405" s="414">
        <f>SUM(H401:H403)</f>
        <v>11805824.571799999</v>
      </c>
      <c r="N405" s="65"/>
      <c r="O405" s="179">
        <f>SUM(O401:O404)</f>
        <v>74052895.769999996</v>
      </c>
      <c r="P405" s="179">
        <f>SUM(P401:P404)</f>
        <v>27636036.690000001</v>
      </c>
      <c r="Q405" s="179">
        <f>SUM(Q401:Q404)</f>
        <v>13818018.360000001</v>
      </c>
      <c r="S405" s="65"/>
    </row>
    <row r="406" spans="1:19" x14ac:dyDescent="0.2">
      <c r="N406" s="65"/>
      <c r="P406" s="1">
        <f>P405/O405</f>
        <v>0.3731931939006739</v>
      </c>
      <c r="S406" s="257"/>
    </row>
    <row r="407" spans="1:19" x14ac:dyDescent="0.2">
      <c r="A407" s="416" t="s">
        <v>232</v>
      </c>
      <c r="N407" s="65"/>
      <c r="O407" s="257"/>
      <c r="P407" s="257"/>
    </row>
    <row r="408" spans="1:19" x14ac:dyDescent="0.2">
      <c r="N408" s="65"/>
    </row>
    <row r="409" spans="1:19" x14ac:dyDescent="0.2">
      <c r="A409" s="279" t="s">
        <v>28</v>
      </c>
      <c r="B409" s="22" t="s">
        <v>159</v>
      </c>
      <c r="C409" s="366" t="s">
        <v>31</v>
      </c>
      <c r="D409" s="366" t="s">
        <v>30</v>
      </c>
      <c r="E409" s="366" t="s">
        <v>158</v>
      </c>
      <c r="F409" s="419" t="s">
        <v>56</v>
      </c>
      <c r="G409" s="220">
        <f>G401</f>
        <v>13446458.7279</v>
      </c>
      <c r="H409" s="220"/>
      <c r="I409" s="221">
        <f>I401</f>
        <v>2.6158000000000001</v>
      </c>
      <c r="J409" s="221"/>
      <c r="K409" s="220"/>
      <c r="L409" s="220"/>
      <c r="M409" s="220"/>
      <c r="N409" s="473"/>
      <c r="O409" s="220">
        <f>ROUND(G409*I409+H409*J409,2)</f>
        <v>35173246.740000002</v>
      </c>
      <c r="P409" s="253">
        <f>ROUND(37.24%*O409,2)</f>
        <v>13098517.09</v>
      </c>
      <c r="Q409" s="220">
        <f>ROUND(R409*P409,2)</f>
        <v>6549258.5499999998</v>
      </c>
      <c r="R409" s="421">
        <v>0.5</v>
      </c>
    </row>
    <row r="410" spans="1:19" x14ac:dyDescent="0.2">
      <c r="A410" s="426" t="s">
        <v>28</v>
      </c>
      <c r="B410" s="422" t="s">
        <v>177</v>
      </c>
      <c r="C410" s="57" t="s">
        <v>31</v>
      </c>
      <c r="D410" s="57" t="s">
        <v>30</v>
      </c>
      <c r="E410" s="57" t="s">
        <v>158</v>
      </c>
      <c r="F410" s="236" t="s">
        <v>56</v>
      </c>
      <c r="G410" s="220">
        <f>G402</f>
        <v>34209.130100000002</v>
      </c>
      <c r="H410" s="222"/>
      <c r="I410" s="221">
        <f>I402</f>
        <v>3.6248</v>
      </c>
      <c r="J410" s="216"/>
      <c r="K410" s="222"/>
      <c r="L410" s="222"/>
      <c r="M410" s="222"/>
      <c r="N410" s="409"/>
      <c r="O410" s="222">
        <f>ROUND(G410*I410+H410*J410,2)</f>
        <v>124001.25</v>
      </c>
      <c r="P410" s="616">
        <f>ROUND(37.24%*G410*I410,2)+ROUND(37.24%*H410*J410,2)</f>
        <v>46178.07</v>
      </c>
      <c r="Q410" s="222">
        <f>ROUND(R410*P410,2)</f>
        <v>23089.040000000001</v>
      </c>
      <c r="R410" s="225">
        <v>0.5</v>
      </c>
    </row>
    <row r="411" spans="1:19" x14ac:dyDescent="0.2">
      <c r="A411" s="426" t="s">
        <v>28</v>
      </c>
      <c r="B411" s="422" t="s">
        <v>234</v>
      </c>
      <c r="C411" s="57" t="s">
        <v>31</v>
      </c>
      <c r="D411" s="57" t="s">
        <v>30</v>
      </c>
      <c r="E411" s="57" t="s">
        <v>158</v>
      </c>
      <c r="F411" s="236" t="s">
        <v>56</v>
      </c>
      <c r="G411" s="220">
        <f>G403</f>
        <v>24460.11</v>
      </c>
      <c r="H411" s="222"/>
      <c r="I411" s="221">
        <f>I403</f>
        <v>3.6248</v>
      </c>
      <c r="J411" s="216"/>
      <c r="K411" s="342"/>
      <c r="L411" s="342"/>
      <c r="M411" s="342"/>
      <c r="N411" s="474"/>
      <c r="O411" s="342">
        <f>ROUND(G411*I411+H411*J411,2)</f>
        <v>88663.01</v>
      </c>
      <c r="P411" s="253">
        <f>ROUND(37.24%*O411,2)</f>
        <v>33018.1</v>
      </c>
      <c r="Q411" s="222">
        <f>ROUND(R411*P411,2)</f>
        <v>16509.05</v>
      </c>
      <c r="R411" s="461">
        <v>0.5</v>
      </c>
    </row>
    <row r="412" spans="1:19" x14ac:dyDescent="0.2">
      <c r="A412" s="281" t="s">
        <v>28</v>
      </c>
      <c r="B412" s="423" t="s">
        <v>178</v>
      </c>
      <c r="C412" s="291" t="s">
        <v>31</v>
      </c>
      <c r="D412" s="291" t="s">
        <v>30</v>
      </c>
      <c r="E412" s="291" t="s">
        <v>158</v>
      </c>
      <c r="F412" s="244" t="s">
        <v>56</v>
      </c>
      <c r="G412" s="220">
        <f>G404</f>
        <v>898460.9817</v>
      </c>
      <c r="H412" s="218"/>
      <c r="I412" s="221">
        <f>I404</f>
        <v>5.6929999999999996</v>
      </c>
      <c r="J412" s="219"/>
      <c r="K412" s="218"/>
      <c r="L412" s="218"/>
      <c r="M412" s="218"/>
      <c r="N412" s="411"/>
      <c r="O412" s="218">
        <f>ROUND(G412*I412+H412*J412,2)</f>
        <v>5114938.37</v>
      </c>
      <c r="P412" s="667">
        <f>ROUND(38%*O412,2)</f>
        <v>1943676.58</v>
      </c>
      <c r="Q412" s="218">
        <f>ROUND(R412*P412,2)</f>
        <v>971838.29</v>
      </c>
      <c r="R412" s="425">
        <v>0.5</v>
      </c>
    </row>
    <row r="413" spans="1:19" x14ac:dyDescent="0.2">
      <c r="G413" s="414">
        <f>SUM(G409:G412)</f>
        <v>14403588.9497</v>
      </c>
      <c r="H413" s="414"/>
      <c r="I413" s="199">
        <f>ROUND(O413/G413,4)</f>
        <v>2.8119000000000001</v>
      </c>
      <c r="N413" s="65"/>
      <c r="O413" s="179">
        <f>SUM(O409:O412)</f>
        <v>40500849.369999997</v>
      </c>
      <c r="P413" s="179">
        <f>SUM(P409:P412)</f>
        <v>15121389.84</v>
      </c>
      <c r="Q413" s="179">
        <f>SUM(Q409:Q412)</f>
        <v>7560694.9299999997</v>
      </c>
    </row>
    <row r="414" spans="1:19" x14ac:dyDescent="0.2">
      <c r="N414" s="65"/>
    </row>
    <row r="415" spans="1:19" x14ac:dyDescent="0.2">
      <c r="A415" s="416" t="s">
        <v>233</v>
      </c>
      <c r="N415" s="65"/>
    </row>
    <row r="416" spans="1:19" x14ac:dyDescent="0.2">
      <c r="N416" s="65"/>
    </row>
    <row r="417" spans="1:20" x14ac:dyDescent="0.2">
      <c r="A417" s="279" t="s">
        <v>28</v>
      </c>
      <c r="B417" s="22" t="s">
        <v>159</v>
      </c>
      <c r="C417" s="366" t="s">
        <v>31</v>
      </c>
      <c r="D417" s="366" t="s">
        <v>30</v>
      </c>
      <c r="E417" s="366" t="s">
        <v>158</v>
      </c>
      <c r="F417" s="419" t="s">
        <v>56</v>
      </c>
      <c r="G417" s="220"/>
      <c r="H417" s="220">
        <f>H401</f>
        <v>11749744.0087</v>
      </c>
      <c r="I417" s="221"/>
      <c r="J417" s="665">
        <f>J401</f>
        <v>2.6158000000000001</v>
      </c>
      <c r="K417" s="220"/>
      <c r="L417" s="220"/>
      <c r="M417" s="220"/>
      <c r="N417" s="473"/>
      <c r="O417" s="220">
        <f>ROUND(G417*I417+H417*J417,2)</f>
        <v>30734980.379999999</v>
      </c>
      <c r="P417" s="253">
        <f>ROUND(37.24%*O417,2)</f>
        <v>11445706.689999999</v>
      </c>
      <c r="Q417" s="220">
        <f>ROUND(R417*P417,2)</f>
        <v>5722853.3499999996</v>
      </c>
      <c r="R417" s="421">
        <v>0.5</v>
      </c>
    </row>
    <row r="418" spans="1:20" x14ac:dyDescent="0.2">
      <c r="A418" s="426" t="s">
        <v>28</v>
      </c>
      <c r="B418" s="422" t="s">
        <v>177</v>
      </c>
      <c r="C418" s="57" t="s">
        <v>31</v>
      </c>
      <c r="D418" s="57" t="s">
        <v>30</v>
      </c>
      <c r="E418" s="57" t="s">
        <v>158</v>
      </c>
      <c r="F418" s="236" t="s">
        <v>56</v>
      </c>
      <c r="G418" s="222"/>
      <c r="H418" s="220">
        <f>H402</f>
        <v>32047.783100000001</v>
      </c>
      <c r="I418" s="216"/>
      <c r="J418" s="665">
        <f>J402</f>
        <v>3.6248</v>
      </c>
      <c r="K418" s="222"/>
      <c r="L418" s="222"/>
      <c r="M418" s="222"/>
      <c r="N418" s="409"/>
      <c r="O418" s="222">
        <f>ROUND(G418*I418+H418*J418,2)</f>
        <v>116166.8</v>
      </c>
      <c r="P418" s="616">
        <f>ROUND(37.24%*G418*I418,2)+ROUND(37.24%*H418*J418,2)</f>
        <v>43260.52</v>
      </c>
      <c r="Q418" s="222">
        <f>ROUND(R418*P418,2)</f>
        <v>21630.26</v>
      </c>
      <c r="R418" s="225">
        <v>0.5</v>
      </c>
    </row>
    <row r="419" spans="1:20" x14ac:dyDescent="0.2">
      <c r="A419" s="426" t="s">
        <v>28</v>
      </c>
      <c r="B419" s="422" t="s">
        <v>234</v>
      </c>
      <c r="C419" s="57" t="s">
        <v>31</v>
      </c>
      <c r="D419" s="57" t="s">
        <v>30</v>
      </c>
      <c r="E419" s="57" t="s">
        <v>158</v>
      </c>
      <c r="F419" s="236" t="s">
        <v>56</v>
      </c>
      <c r="G419" s="222"/>
      <c r="H419" s="220">
        <f>H403</f>
        <v>24032.78</v>
      </c>
      <c r="I419" s="216"/>
      <c r="J419" s="665">
        <f>J403</f>
        <v>3.6248</v>
      </c>
      <c r="K419" s="342"/>
      <c r="L419" s="342"/>
      <c r="M419" s="342"/>
      <c r="N419" s="474"/>
      <c r="O419" s="342">
        <f>ROUND(G419*I419+H419*J419,2)</f>
        <v>87114.02</v>
      </c>
      <c r="P419" s="253">
        <f>ROUND(37.24%*O419,2)</f>
        <v>32441.26</v>
      </c>
      <c r="Q419" s="222">
        <f>ROUND(R419*P419,2)</f>
        <v>16220.63</v>
      </c>
      <c r="R419" s="225">
        <v>0.5</v>
      </c>
    </row>
    <row r="420" spans="1:20" x14ac:dyDescent="0.2">
      <c r="A420" s="281" t="s">
        <v>28</v>
      </c>
      <c r="B420" s="423" t="s">
        <v>178</v>
      </c>
      <c r="C420" s="291" t="s">
        <v>31</v>
      </c>
      <c r="D420" s="291" t="s">
        <v>30</v>
      </c>
      <c r="E420" s="291" t="s">
        <v>158</v>
      </c>
      <c r="F420" s="244" t="s">
        <v>56</v>
      </c>
      <c r="G420" s="218"/>
      <c r="H420" s="220">
        <f>H404</f>
        <v>957079.89399999997</v>
      </c>
      <c r="I420" s="219"/>
      <c r="J420" s="665">
        <f>J404</f>
        <v>2.7309999999999999</v>
      </c>
      <c r="K420" s="218"/>
      <c r="L420" s="218"/>
      <c r="M420" s="218"/>
      <c r="N420" s="411"/>
      <c r="O420" s="218">
        <f>ROUND(G420*I420+H420*J420,2)</f>
        <v>2613785.19</v>
      </c>
      <c r="P420" s="667">
        <f>ROUND(38%*O420,2)</f>
        <v>993238.37</v>
      </c>
      <c r="Q420" s="218">
        <f>ROUND(R420*P420,2)</f>
        <v>496619.19</v>
      </c>
      <c r="R420" s="425">
        <v>0.5</v>
      </c>
    </row>
    <row r="421" spans="1:20" x14ac:dyDescent="0.2">
      <c r="G421" s="414"/>
      <c r="H421" s="414">
        <f>SUM(H417:H420)</f>
        <v>12762904.465799998</v>
      </c>
      <c r="J421" s="470">
        <f>ROUND(O421/H421,4)</f>
        <v>2.6288999999999998</v>
      </c>
      <c r="N421" s="65"/>
      <c r="O421" s="179">
        <f>SUM(O417:O420)</f>
        <v>33552046.390000001</v>
      </c>
      <c r="P421" s="179">
        <f>SUM(P417:P420)</f>
        <v>12514646.839999998</v>
      </c>
      <c r="Q421" s="179">
        <f>SUM(Q417:Q420)</f>
        <v>6257323.4299999997</v>
      </c>
    </row>
    <row r="422" spans="1:20" x14ac:dyDescent="0.2">
      <c r="G422" s="414"/>
      <c r="H422" s="414"/>
      <c r="N422" s="65"/>
      <c r="O422" s="179"/>
      <c r="P422" s="179"/>
      <c r="Q422" s="179"/>
    </row>
    <row r="423" spans="1:20" x14ac:dyDescent="0.2">
      <c r="G423" s="414"/>
      <c r="H423" s="414"/>
      <c r="N423" s="407" t="s">
        <v>235</v>
      </c>
      <c r="O423" s="224">
        <f>O421+O413</f>
        <v>74052895.75999999</v>
      </c>
      <c r="P423" s="224">
        <f>P421+P413</f>
        <v>27636036.68</v>
      </c>
      <c r="Q423" s="224">
        <f>Q421+Q413</f>
        <v>13818018.359999999</v>
      </c>
      <c r="R423" s="274">
        <v>0.5</v>
      </c>
    </row>
    <row r="424" spans="1:20" x14ac:dyDescent="0.2">
      <c r="G424" s="414"/>
      <c r="H424" s="414"/>
      <c r="N424" s="65"/>
    </row>
    <row r="425" spans="1:20" x14ac:dyDescent="0.2">
      <c r="G425" s="414"/>
      <c r="H425" s="414"/>
      <c r="N425" s="407" t="s">
        <v>236</v>
      </c>
      <c r="O425" s="407">
        <f>O423-O405</f>
        <v>-1.000000536441803E-2</v>
      </c>
      <c r="P425" s="407">
        <f>P423-P405</f>
        <v>-1.0000001639127731E-2</v>
      </c>
      <c r="Q425" s="407">
        <f>Q423-Q405</f>
        <v>0</v>
      </c>
    </row>
    <row r="426" spans="1:20" x14ac:dyDescent="0.2">
      <c r="G426" s="1"/>
      <c r="H426" s="1"/>
      <c r="I426" s="1"/>
      <c r="J426" s="1"/>
      <c r="K426" s="1"/>
      <c r="N426" s="65"/>
    </row>
    <row r="427" spans="1:20" x14ac:dyDescent="0.2">
      <c r="G427" s="1"/>
      <c r="H427" s="1"/>
      <c r="I427" s="1"/>
      <c r="J427" s="1"/>
      <c r="K427" s="1"/>
      <c r="N427" s="65"/>
    </row>
    <row r="428" spans="1:20" x14ac:dyDescent="0.2">
      <c r="A428" s="4"/>
      <c r="C428" s="56"/>
      <c r="D428" s="56"/>
      <c r="E428" s="56"/>
      <c r="F428" s="56"/>
      <c r="G428" s="601"/>
      <c r="H428" s="601"/>
      <c r="I428" s="602"/>
      <c r="J428" s="602"/>
      <c r="K428" s="177"/>
      <c r="L428" s="177"/>
      <c r="M428" s="177"/>
      <c r="N428" s="603"/>
      <c r="O428" s="177"/>
      <c r="P428" s="177"/>
      <c r="Q428" s="209"/>
      <c r="R428" s="604"/>
      <c r="S428" s="177"/>
      <c r="T428" s="368"/>
    </row>
    <row r="429" spans="1:20" x14ac:dyDescent="0.2">
      <c r="A429" s="416" t="s">
        <v>231</v>
      </c>
      <c r="B429" s="65"/>
      <c r="C429" s="65" t="s">
        <v>279</v>
      </c>
      <c r="D429" s="65"/>
      <c r="E429" s="65"/>
      <c r="F429" s="65"/>
      <c r="G429" s="65"/>
      <c r="H429" s="65"/>
      <c r="I429" s="65"/>
      <c r="J429" s="65"/>
      <c r="K429" s="65"/>
      <c r="L429" s="65"/>
      <c r="M429" s="65"/>
      <c r="N429" s="65"/>
      <c r="O429" s="65"/>
      <c r="P429" s="65"/>
      <c r="Q429" s="65"/>
      <c r="R429" s="565"/>
      <c r="S429" s="65"/>
      <c r="T429" s="566"/>
    </row>
    <row r="430" spans="1:20" ht="15.75" x14ac:dyDescent="0.25">
      <c r="A430" s="412" t="s">
        <v>228</v>
      </c>
      <c r="G430" s="12" t="s">
        <v>35</v>
      </c>
      <c r="H430" s="13" t="s">
        <v>36</v>
      </c>
      <c r="I430" s="13" t="s">
        <v>35</v>
      </c>
      <c r="J430" s="12" t="s">
        <v>36</v>
      </c>
      <c r="K430" s="12" t="s">
        <v>39</v>
      </c>
      <c r="L430" s="12" t="s">
        <v>40</v>
      </c>
      <c r="M430" s="12" t="s">
        <v>42</v>
      </c>
      <c r="N430" s="12" t="s">
        <v>2</v>
      </c>
    </row>
    <row r="431" spans="1:20" x14ac:dyDescent="0.2">
      <c r="A431" s="279" t="s">
        <v>28</v>
      </c>
      <c r="B431" s="22" t="s">
        <v>218</v>
      </c>
      <c r="C431" s="366" t="s">
        <v>31</v>
      </c>
      <c r="D431" s="366" t="s">
        <v>30</v>
      </c>
      <c r="E431" s="366" t="s">
        <v>101</v>
      </c>
      <c r="F431" s="419" t="s">
        <v>56</v>
      </c>
      <c r="G431" s="429">
        <v>58240.389199999998</v>
      </c>
      <c r="H431" s="452">
        <v>57981.885900000001</v>
      </c>
      <c r="I431" s="430">
        <v>1.77</v>
      </c>
      <c r="J431" s="453">
        <v>1.77</v>
      </c>
      <c r="K431" s="220"/>
      <c r="L431" s="220"/>
      <c r="M431" s="220"/>
      <c r="N431" s="663">
        <v>1356.01</v>
      </c>
      <c r="O431" s="623">
        <f t="shared" ref="O431:O437" si="79">ROUND(G431*I431,2)+ROUND(H431*J431,2)-K431-L431-M431-N431</f>
        <v>204357.41999999998</v>
      </c>
      <c r="P431" s="420">
        <f t="shared" ref="P431:P437" si="80">ROUND(18.75%*O431,2)</f>
        <v>38317.019999999997</v>
      </c>
      <c r="Q431" s="220">
        <f t="shared" ref="Q431:Q437" si="81">ROUND($O431*R431,2)</f>
        <v>30653.61</v>
      </c>
      <c r="R431" s="421">
        <v>0.15</v>
      </c>
      <c r="S431" s="220">
        <f t="shared" ref="S431:S437" si="82">ROUND($O431*T431,2)</f>
        <v>7663.4</v>
      </c>
      <c r="T431" s="454">
        <v>3.7499999999999999E-2</v>
      </c>
    </row>
    <row r="432" spans="1:20" x14ac:dyDescent="0.2">
      <c r="A432" s="426" t="s">
        <v>28</v>
      </c>
      <c r="B432" s="422" t="s">
        <v>219</v>
      </c>
      <c r="C432" s="57" t="s">
        <v>31</v>
      </c>
      <c r="D432" s="57" t="s">
        <v>30</v>
      </c>
      <c r="E432" s="57" t="s">
        <v>101</v>
      </c>
      <c r="F432" s="236" t="s">
        <v>56</v>
      </c>
      <c r="G432" s="215">
        <v>14949.09</v>
      </c>
      <c r="H432" s="215">
        <v>15646.6855</v>
      </c>
      <c r="I432" s="437">
        <v>4.72</v>
      </c>
      <c r="J432" s="217">
        <v>4.72</v>
      </c>
      <c r="K432" s="222"/>
      <c r="L432" s="222"/>
      <c r="M432" s="222"/>
      <c r="N432" s="409"/>
      <c r="O432" s="506">
        <f t="shared" si="79"/>
        <v>144412.06</v>
      </c>
      <c r="P432" s="253">
        <f t="shared" si="80"/>
        <v>27077.26</v>
      </c>
      <c r="Q432" s="222">
        <f t="shared" si="81"/>
        <v>21661.81</v>
      </c>
      <c r="R432" s="225">
        <v>0.15</v>
      </c>
      <c r="S432" s="222">
        <f t="shared" si="82"/>
        <v>5415.45</v>
      </c>
      <c r="T432" s="455">
        <v>3.7499999999999999E-2</v>
      </c>
    </row>
    <row r="433" spans="1:20" x14ac:dyDescent="0.2">
      <c r="A433" s="434" t="s">
        <v>28</v>
      </c>
      <c r="B433" s="435" t="s">
        <v>217</v>
      </c>
      <c r="C433" s="97" t="s">
        <v>31</v>
      </c>
      <c r="D433" s="97" t="s">
        <v>30</v>
      </c>
      <c r="E433" s="97" t="s">
        <v>101</v>
      </c>
      <c r="F433" s="97" t="s">
        <v>56</v>
      </c>
      <c r="G433" s="215"/>
      <c r="H433" s="215"/>
      <c r="I433" s="215"/>
      <c r="J433" s="217"/>
      <c r="K433" s="438"/>
      <c r="L433" s="438"/>
      <c r="M433" s="438"/>
      <c r="N433" s="476"/>
      <c r="O433" s="222">
        <f t="shared" si="79"/>
        <v>0</v>
      </c>
      <c r="P433" s="438">
        <f t="shared" si="80"/>
        <v>0</v>
      </c>
      <c r="Q433" s="438">
        <f t="shared" si="81"/>
        <v>0</v>
      </c>
      <c r="R433" s="439">
        <v>0.15</v>
      </c>
      <c r="S433" s="222">
        <f t="shared" si="82"/>
        <v>0</v>
      </c>
      <c r="T433" s="455">
        <v>3.7499999999999999E-2</v>
      </c>
    </row>
    <row r="434" spans="1:20" x14ac:dyDescent="0.2">
      <c r="A434" s="434" t="s">
        <v>28</v>
      </c>
      <c r="B434" s="435" t="s">
        <v>220</v>
      </c>
      <c r="C434" s="97" t="s">
        <v>31</v>
      </c>
      <c r="D434" s="97" t="s">
        <v>30</v>
      </c>
      <c r="E434" s="97" t="s">
        <v>101</v>
      </c>
      <c r="F434" s="97" t="s">
        <v>56</v>
      </c>
      <c r="G434" s="215"/>
      <c r="H434" s="215"/>
      <c r="I434" s="215"/>
      <c r="J434" s="217"/>
      <c r="K434" s="438"/>
      <c r="L434" s="438"/>
      <c r="M434" s="438"/>
      <c r="N434" s="476"/>
      <c r="O434" s="222">
        <f t="shared" si="79"/>
        <v>0</v>
      </c>
      <c r="P434" s="438">
        <f t="shared" si="80"/>
        <v>0</v>
      </c>
      <c r="Q434" s="438">
        <f t="shared" si="81"/>
        <v>0</v>
      </c>
      <c r="R434" s="439">
        <v>0.15</v>
      </c>
      <c r="S434" s="222">
        <f t="shared" si="82"/>
        <v>0</v>
      </c>
      <c r="T434" s="455">
        <v>3.7499999999999999E-2</v>
      </c>
    </row>
    <row r="435" spans="1:20" x14ac:dyDescent="0.2">
      <c r="A435" s="434" t="s">
        <v>28</v>
      </c>
      <c r="B435" s="435" t="s">
        <v>222</v>
      </c>
      <c r="C435" s="97" t="s">
        <v>31</v>
      </c>
      <c r="D435" s="97" t="s">
        <v>30</v>
      </c>
      <c r="E435" s="97" t="s">
        <v>101</v>
      </c>
      <c r="F435" s="97" t="s">
        <v>56</v>
      </c>
      <c r="G435" s="215">
        <v>35285.029600000002</v>
      </c>
      <c r="H435" s="215">
        <v>37768.080000000002</v>
      </c>
      <c r="I435" s="437">
        <v>3.71</v>
      </c>
      <c r="J435" s="437">
        <v>3.71</v>
      </c>
      <c r="K435" s="438"/>
      <c r="L435" s="438"/>
      <c r="M435" s="438"/>
      <c r="N435" s="477"/>
      <c r="O435" s="222">
        <f t="shared" si="79"/>
        <v>271027.03999999998</v>
      </c>
      <c r="P435" s="438">
        <f t="shared" si="80"/>
        <v>50817.57</v>
      </c>
      <c r="Q435" s="441">
        <f t="shared" si="81"/>
        <v>40654.06</v>
      </c>
      <c r="R435" s="439">
        <v>0.15</v>
      </c>
      <c r="S435" s="222">
        <f t="shared" si="82"/>
        <v>10163.51</v>
      </c>
      <c r="T435" s="455">
        <v>3.7499999999999999E-2</v>
      </c>
    </row>
    <row r="436" spans="1:20" x14ac:dyDescent="0.2">
      <c r="A436" s="434"/>
      <c r="B436" s="442" t="s">
        <v>226</v>
      </c>
      <c r="C436" s="97" t="s">
        <v>31</v>
      </c>
      <c r="D436" s="97" t="s">
        <v>30</v>
      </c>
      <c r="E436" s="97" t="s">
        <v>101</v>
      </c>
      <c r="F436" s="97" t="s">
        <v>56</v>
      </c>
      <c r="G436" s="215">
        <v>250930.5116</v>
      </c>
      <c r="H436" s="215">
        <v>254167.84760000001</v>
      </c>
      <c r="I436" s="437">
        <v>3.4958999999999998</v>
      </c>
      <c r="J436" s="217">
        <v>3.6215000000000002</v>
      </c>
      <c r="K436" s="438"/>
      <c r="L436" s="438"/>
      <c r="M436" s="438"/>
      <c r="N436" s="477"/>
      <c r="O436" s="222">
        <f t="shared" si="79"/>
        <v>1797696.8399999999</v>
      </c>
      <c r="P436" s="438">
        <f t="shared" si="80"/>
        <v>337068.16</v>
      </c>
      <c r="Q436" s="443">
        <f t="shared" si="81"/>
        <v>269654.53000000003</v>
      </c>
      <c r="R436" s="439">
        <v>0.15</v>
      </c>
      <c r="S436" s="222">
        <f t="shared" si="82"/>
        <v>67413.63</v>
      </c>
      <c r="T436" s="455">
        <v>3.7499999999999999E-2</v>
      </c>
    </row>
    <row r="437" spans="1:20" x14ac:dyDescent="0.2">
      <c r="A437" s="444"/>
      <c r="B437" s="445" t="s">
        <v>225</v>
      </c>
      <c r="C437" s="109" t="s">
        <v>31</v>
      </c>
      <c r="D437" s="109" t="s">
        <v>30</v>
      </c>
      <c r="E437" s="109" t="s">
        <v>101</v>
      </c>
      <c r="F437" s="109" t="s">
        <v>56</v>
      </c>
      <c r="G437" s="311">
        <v>31895.79</v>
      </c>
      <c r="H437" s="311">
        <v>30728.23</v>
      </c>
      <c r="I437" s="447">
        <v>2.74</v>
      </c>
      <c r="J437" s="312">
        <v>2.74</v>
      </c>
      <c r="K437" s="448"/>
      <c r="L437" s="448"/>
      <c r="M437" s="448"/>
      <c r="N437" s="478"/>
      <c r="O437" s="218">
        <f t="shared" si="79"/>
        <v>171589.81</v>
      </c>
      <c r="P437" s="448">
        <f t="shared" si="80"/>
        <v>32173.09</v>
      </c>
      <c r="Q437" s="449">
        <f t="shared" si="81"/>
        <v>25738.47</v>
      </c>
      <c r="R437" s="450">
        <v>0.15</v>
      </c>
      <c r="S437" s="218">
        <f t="shared" si="82"/>
        <v>6434.62</v>
      </c>
      <c r="T437" s="460">
        <v>3.7499999999999999E-2</v>
      </c>
    </row>
    <row r="438" spans="1:20" x14ac:dyDescent="0.2">
      <c r="G438" s="414">
        <f>SUM(G431:G437)</f>
        <v>391300.81040000002</v>
      </c>
      <c r="H438" s="414">
        <f>SUM(H431:H437)</f>
        <v>396292.72899999999</v>
      </c>
      <c r="N438" s="264">
        <f>SUM(N431:N437)</f>
        <v>1356.01</v>
      </c>
      <c r="O438" s="179">
        <f>SUM(O431:O437)</f>
        <v>2589083.17</v>
      </c>
      <c r="P438" s="179">
        <f>SUM(P431:P437)</f>
        <v>485453.10000000003</v>
      </c>
      <c r="Q438" s="179">
        <f>SUM(Q431:Q437)</f>
        <v>388362.48</v>
      </c>
      <c r="S438" s="179">
        <f>SUM(S431:S437)</f>
        <v>97090.61</v>
      </c>
    </row>
    <row r="439" spans="1:20" x14ac:dyDescent="0.2">
      <c r="N439" s="65"/>
      <c r="O439" s="257"/>
      <c r="P439" s="257"/>
      <c r="Q439" s="257">
        <f>SUM(Q436:Q437)</f>
        <v>295393</v>
      </c>
      <c r="S439" s="257">
        <f>SUM(S436:S437)</f>
        <v>73848.25</v>
      </c>
    </row>
    <row r="440" spans="1:20" ht="15.75" x14ac:dyDescent="0.25">
      <c r="A440" s="412" t="s">
        <v>229</v>
      </c>
      <c r="N440" s="65"/>
      <c r="Q440" s="257">
        <f>Q431+Q436+Q437</f>
        <v>326046.61</v>
      </c>
      <c r="S440" s="257">
        <f>S431+S436+S437</f>
        <v>81511.649999999994</v>
      </c>
    </row>
    <row r="441" spans="1:20" x14ac:dyDescent="0.2">
      <c r="A441" s="279" t="s">
        <v>28</v>
      </c>
      <c r="B441" s="22" t="s">
        <v>218</v>
      </c>
      <c r="C441" s="366" t="s">
        <v>31</v>
      </c>
      <c r="D441" s="366" t="s">
        <v>30</v>
      </c>
      <c r="E441" s="366" t="s">
        <v>101</v>
      </c>
      <c r="F441" s="419" t="s">
        <v>56</v>
      </c>
      <c r="G441" s="429">
        <f t="shared" ref="G441:G447" si="83">G431</f>
        <v>58240.389199999998</v>
      </c>
      <c r="H441" s="452"/>
      <c r="I441" s="430">
        <f t="shared" ref="I441:I447" si="84">I431</f>
        <v>1.77</v>
      </c>
      <c r="J441" s="453"/>
      <c r="K441" s="220"/>
      <c r="L441" s="220"/>
      <c r="M441" s="220"/>
      <c r="N441" s="473"/>
      <c r="O441" s="220">
        <f t="shared" ref="O441:O447" si="85">ROUND(G441*I441,2)+ROUND(H441*J441,2)-K441-L441-M441-N441</f>
        <v>103085.49</v>
      </c>
      <c r="P441" s="220">
        <f t="shared" ref="P441:P447" si="86">ROUND(18.75%*O441,2)</f>
        <v>19328.53</v>
      </c>
      <c r="Q441" s="220">
        <f t="shared" ref="Q441:Q447" si="87">ROUND($O441*R441,2)</f>
        <v>15462.82</v>
      </c>
      <c r="R441" s="421">
        <v>0.15</v>
      </c>
      <c r="S441" s="220">
        <f t="shared" ref="S441:S447" si="88">ROUND($O441*T441,2)</f>
        <v>3865.71</v>
      </c>
      <c r="T441" s="454">
        <v>3.7499999999999999E-2</v>
      </c>
    </row>
    <row r="442" spans="1:20" x14ac:dyDescent="0.2">
      <c r="A442" s="426" t="s">
        <v>28</v>
      </c>
      <c r="B442" s="422" t="s">
        <v>219</v>
      </c>
      <c r="C442" s="57" t="s">
        <v>31</v>
      </c>
      <c r="D442" s="57" t="s">
        <v>30</v>
      </c>
      <c r="E442" s="57" t="s">
        <v>101</v>
      </c>
      <c r="F442" s="236" t="s">
        <v>56</v>
      </c>
      <c r="G442" s="436">
        <f t="shared" si="83"/>
        <v>14949.09</v>
      </c>
      <c r="H442" s="215"/>
      <c r="I442" s="437">
        <f t="shared" si="84"/>
        <v>4.72</v>
      </c>
      <c r="J442" s="217"/>
      <c r="K442" s="222"/>
      <c r="L442" s="222"/>
      <c r="M442" s="222"/>
      <c r="N442" s="409"/>
      <c r="O442" s="222">
        <f t="shared" si="85"/>
        <v>70559.7</v>
      </c>
      <c r="P442" s="222">
        <f t="shared" si="86"/>
        <v>13229.94</v>
      </c>
      <c r="Q442" s="222">
        <f t="shared" si="87"/>
        <v>10583.96</v>
      </c>
      <c r="R442" s="225">
        <v>0.15</v>
      </c>
      <c r="S442" s="222">
        <f t="shared" si="88"/>
        <v>2645.99</v>
      </c>
      <c r="T442" s="455">
        <v>3.7499999999999999E-2</v>
      </c>
    </row>
    <row r="443" spans="1:20" x14ac:dyDescent="0.2">
      <c r="A443" s="426" t="s">
        <v>28</v>
      </c>
      <c r="B443" s="422" t="s">
        <v>217</v>
      </c>
      <c r="C443" s="57" t="s">
        <v>31</v>
      </c>
      <c r="D443" s="57" t="s">
        <v>30</v>
      </c>
      <c r="E443" s="57" t="s">
        <v>101</v>
      </c>
      <c r="F443" s="236" t="s">
        <v>56</v>
      </c>
      <c r="G443" s="436">
        <f t="shared" si="83"/>
        <v>0</v>
      </c>
      <c r="H443" s="215"/>
      <c r="I443" s="437">
        <f t="shared" si="84"/>
        <v>0</v>
      </c>
      <c r="J443" s="217"/>
      <c r="K443" s="222"/>
      <c r="L443" s="222"/>
      <c r="M443" s="222"/>
      <c r="N443" s="409"/>
      <c r="O443" s="222">
        <f t="shared" si="85"/>
        <v>0</v>
      </c>
      <c r="P443" s="222">
        <f t="shared" si="86"/>
        <v>0</v>
      </c>
      <c r="Q443" s="222">
        <f t="shared" si="87"/>
        <v>0</v>
      </c>
      <c r="R443" s="225">
        <v>0.15</v>
      </c>
      <c r="S443" s="222">
        <f t="shared" si="88"/>
        <v>0</v>
      </c>
      <c r="T443" s="455">
        <v>3.7499999999999999E-2</v>
      </c>
    </row>
    <row r="444" spans="1:20" x14ac:dyDescent="0.2">
      <c r="A444" s="426" t="s">
        <v>28</v>
      </c>
      <c r="B444" s="422" t="s">
        <v>220</v>
      </c>
      <c r="C444" s="57" t="s">
        <v>31</v>
      </c>
      <c r="D444" s="57" t="s">
        <v>30</v>
      </c>
      <c r="E444" s="57" t="s">
        <v>101</v>
      </c>
      <c r="F444" s="236" t="s">
        <v>56</v>
      </c>
      <c r="G444" s="436">
        <f t="shared" si="83"/>
        <v>0</v>
      </c>
      <c r="H444" s="215"/>
      <c r="I444" s="437">
        <f t="shared" si="84"/>
        <v>0</v>
      </c>
      <c r="J444" s="217"/>
      <c r="K444" s="222"/>
      <c r="L444" s="222"/>
      <c r="M444" s="222"/>
      <c r="N444" s="409"/>
      <c r="O444" s="222">
        <f t="shared" si="85"/>
        <v>0</v>
      </c>
      <c r="P444" s="222">
        <f t="shared" si="86"/>
        <v>0</v>
      </c>
      <c r="Q444" s="222">
        <f t="shared" si="87"/>
        <v>0</v>
      </c>
      <c r="R444" s="225">
        <v>0.15</v>
      </c>
      <c r="S444" s="222">
        <f t="shared" si="88"/>
        <v>0</v>
      </c>
      <c r="T444" s="455">
        <v>3.7499999999999999E-2</v>
      </c>
    </row>
    <row r="445" spans="1:20" x14ac:dyDescent="0.2">
      <c r="A445" s="426" t="s">
        <v>28</v>
      </c>
      <c r="B445" s="422" t="s">
        <v>222</v>
      </c>
      <c r="C445" s="57" t="s">
        <v>31</v>
      </c>
      <c r="D445" s="57" t="s">
        <v>30</v>
      </c>
      <c r="E445" s="57" t="s">
        <v>101</v>
      </c>
      <c r="F445" s="236" t="s">
        <v>56</v>
      </c>
      <c r="G445" s="436">
        <f t="shared" si="83"/>
        <v>35285.029600000002</v>
      </c>
      <c r="H445" s="215"/>
      <c r="I445" s="437">
        <f t="shared" si="84"/>
        <v>3.71</v>
      </c>
      <c r="J445" s="217"/>
      <c r="K445" s="222"/>
      <c r="L445" s="222"/>
      <c r="M445" s="222"/>
      <c r="N445" s="410"/>
      <c r="O445" s="222">
        <f t="shared" si="85"/>
        <v>130907.46</v>
      </c>
      <c r="P445" s="222">
        <f t="shared" si="86"/>
        <v>24545.15</v>
      </c>
      <c r="Q445" s="253">
        <f t="shared" si="87"/>
        <v>19636.12</v>
      </c>
      <c r="R445" s="225">
        <v>0.15</v>
      </c>
      <c r="S445" s="222">
        <f t="shared" si="88"/>
        <v>4909.03</v>
      </c>
      <c r="T445" s="455">
        <v>3.7499999999999999E-2</v>
      </c>
    </row>
    <row r="446" spans="1:20" x14ac:dyDescent="0.2">
      <c r="A446" s="426"/>
      <c r="B446" s="456" t="s">
        <v>226</v>
      </c>
      <c r="C446" s="57" t="s">
        <v>31</v>
      </c>
      <c r="D446" s="57" t="s">
        <v>30</v>
      </c>
      <c r="E446" s="57" t="s">
        <v>101</v>
      </c>
      <c r="F446" s="236" t="s">
        <v>56</v>
      </c>
      <c r="G446" s="436">
        <f t="shared" si="83"/>
        <v>250930.5116</v>
      </c>
      <c r="H446" s="215"/>
      <c r="I446" s="437">
        <f t="shared" si="84"/>
        <v>3.4958999999999998</v>
      </c>
      <c r="J446" s="217"/>
      <c r="K446" s="222"/>
      <c r="L446" s="222"/>
      <c r="M446" s="222"/>
      <c r="N446" s="410"/>
      <c r="O446" s="222">
        <f t="shared" si="85"/>
        <v>877227.98</v>
      </c>
      <c r="P446" s="222">
        <f t="shared" si="86"/>
        <v>164480.25</v>
      </c>
      <c r="Q446" s="413">
        <f t="shared" si="87"/>
        <v>131584.20000000001</v>
      </c>
      <c r="R446" s="225">
        <v>0.15</v>
      </c>
      <c r="S446" s="222">
        <f t="shared" si="88"/>
        <v>32896.050000000003</v>
      </c>
      <c r="T446" s="455">
        <v>3.7499999999999999E-2</v>
      </c>
    </row>
    <row r="447" spans="1:20" x14ac:dyDescent="0.2">
      <c r="A447" s="281"/>
      <c r="B447" s="457" t="s">
        <v>225</v>
      </c>
      <c r="C447" s="291" t="s">
        <v>31</v>
      </c>
      <c r="D447" s="291" t="s">
        <v>30</v>
      </c>
      <c r="E447" s="291" t="s">
        <v>101</v>
      </c>
      <c r="F447" s="244" t="s">
        <v>56</v>
      </c>
      <c r="G447" s="446">
        <f t="shared" si="83"/>
        <v>31895.79</v>
      </c>
      <c r="H447" s="311"/>
      <c r="I447" s="447">
        <f t="shared" si="84"/>
        <v>2.74</v>
      </c>
      <c r="J447" s="312"/>
      <c r="K447" s="218"/>
      <c r="L447" s="218"/>
      <c r="M447" s="218"/>
      <c r="N447" s="408"/>
      <c r="O447" s="218">
        <f t="shared" si="85"/>
        <v>87394.46</v>
      </c>
      <c r="P447" s="218">
        <f t="shared" si="86"/>
        <v>16386.46</v>
      </c>
      <c r="Q447" s="458">
        <f t="shared" si="87"/>
        <v>13109.17</v>
      </c>
      <c r="R447" s="459">
        <v>0.15</v>
      </c>
      <c r="S447" s="218">
        <f t="shared" si="88"/>
        <v>3277.29</v>
      </c>
      <c r="T447" s="460">
        <v>3.7499999999999999E-2</v>
      </c>
    </row>
    <row r="448" spans="1:20" x14ac:dyDescent="0.2">
      <c r="G448" s="414">
        <f>SUM(G441:G447)</f>
        <v>391300.81040000002</v>
      </c>
      <c r="H448" s="414"/>
      <c r="I448" s="415">
        <f>O448/G448</f>
        <v>3.2434767735405634</v>
      </c>
      <c r="J448" s="415"/>
      <c r="N448" s="264">
        <f>SUM(N441:N447)</f>
        <v>0</v>
      </c>
      <c r="O448" s="179">
        <f>SUM(O441:O447)</f>
        <v>1269175.0899999999</v>
      </c>
      <c r="P448" s="179">
        <f>SUM(P441:P447)</f>
        <v>237970.33</v>
      </c>
      <c r="Q448" s="179">
        <f>SUM(Q441:Q447)</f>
        <v>190376.27000000002</v>
      </c>
      <c r="S448" s="179">
        <f>SUM(S441:S447)</f>
        <v>47594.07</v>
      </c>
    </row>
    <row r="449" spans="1:37" x14ac:dyDescent="0.2">
      <c r="N449" s="65"/>
      <c r="O449" s="65">
        <f>+O448+O459</f>
        <v>2590439.1799999997</v>
      </c>
    </row>
    <row r="450" spans="1:37" x14ac:dyDescent="0.2">
      <c r="N450" s="65"/>
      <c r="O450" s="257">
        <f>+O449-O438</f>
        <v>1356.0099999997765</v>
      </c>
    </row>
    <row r="451" spans="1:37" ht="15.75" x14ac:dyDescent="0.25">
      <c r="A451" s="412" t="s">
        <v>230</v>
      </c>
      <c r="N451" s="65"/>
    </row>
    <row r="452" spans="1:37" x14ac:dyDescent="0.2">
      <c r="A452" s="279" t="s">
        <v>28</v>
      </c>
      <c r="B452" s="22" t="s">
        <v>218</v>
      </c>
      <c r="C452" s="366" t="s">
        <v>31</v>
      </c>
      <c r="D452" s="366" t="s">
        <v>30</v>
      </c>
      <c r="E452" s="366" t="s">
        <v>101</v>
      </c>
      <c r="F452" s="419" t="s">
        <v>56</v>
      </c>
      <c r="G452" s="429"/>
      <c r="H452" s="452">
        <f>H431</f>
        <v>57981.885900000001</v>
      </c>
      <c r="I452" s="430"/>
      <c r="J452" s="669">
        <f>J431</f>
        <v>1.77</v>
      </c>
      <c r="K452" s="220"/>
      <c r="L452" s="220"/>
      <c r="M452" s="220"/>
      <c r="N452" s="473"/>
      <c r="O452" s="220">
        <f t="shared" ref="O452:O458" si="89">ROUND(G452*I452,2)+ROUND(H452*J452,2)-K452-L452-M452-N452</f>
        <v>102627.94</v>
      </c>
      <c r="P452" s="220">
        <f t="shared" ref="P452:P458" si="90">ROUND(18.75%*O452,2)</f>
        <v>19242.740000000002</v>
      </c>
      <c r="Q452" s="220">
        <f t="shared" ref="Q452:Q458" si="91">ROUND($O452*R452,2)</f>
        <v>15394.19</v>
      </c>
      <c r="R452" s="421">
        <v>0.15</v>
      </c>
      <c r="S452" s="220">
        <f t="shared" ref="S452:S458" si="92">ROUND($O452*T452,2)</f>
        <v>3848.55</v>
      </c>
      <c r="T452" s="454">
        <v>3.7499999999999999E-2</v>
      </c>
    </row>
    <row r="453" spans="1:37" x14ac:dyDescent="0.2">
      <c r="A453" s="426" t="s">
        <v>28</v>
      </c>
      <c r="B453" s="422" t="s">
        <v>219</v>
      </c>
      <c r="C453" s="57" t="s">
        <v>31</v>
      </c>
      <c r="D453" s="57" t="s">
        <v>30</v>
      </c>
      <c r="E453" s="57" t="s">
        <v>101</v>
      </c>
      <c r="F453" s="236" t="s">
        <v>56</v>
      </c>
      <c r="G453" s="436"/>
      <c r="H453" s="215">
        <f t="shared" ref="H453:H458" si="93">H432</f>
        <v>15646.6855</v>
      </c>
      <c r="I453" s="437"/>
      <c r="J453" s="670">
        <f t="shared" ref="J453:J458" si="94">J432</f>
        <v>4.72</v>
      </c>
      <c r="K453" s="222"/>
      <c r="L453" s="222"/>
      <c r="M453" s="222"/>
      <c r="N453" s="409"/>
      <c r="O453" s="222">
        <f t="shared" si="89"/>
        <v>73852.36</v>
      </c>
      <c r="P453" s="222">
        <f t="shared" si="90"/>
        <v>13847.32</v>
      </c>
      <c r="Q453" s="222">
        <f t="shared" si="91"/>
        <v>11077.85</v>
      </c>
      <c r="R453" s="225">
        <v>0.15</v>
      </c>
      <c r="S453" s="222">
        <f t="shared" si="92"/>
        <v>2769.46</v>
      </c>
      <c r="T453" s="455">
        <v>3.7499999999999999E-2</v>
      </c>
    </row>
    <row r="454" spans="1:37" x14ac:dyDescent="0.2">
      <c r="A454" s="426" t="s">
        <v>28</v>
      </c>
      <c r="B454" s="422" t="s">
        <v>217</v>
      </c>
      <c r="C454" s="57" t="s">
        <v>31</v>
      </c>
      <c r="D454" s="57" t="s">
        <v>30</v>
      </c>
      <c r="E454" s="57" t="s">
        <v>101</v>
      </c>
      <c r="F454" s="236" t="s">
        <v>56</v>
      </c>
      <c r="G454" s="436"/>
      <c r="H454" s="215">
        <f t="shared" si="93"/>
        <v>0</v>
      </c>
      <c r="I454" s="437"/>
      <c r="J454" s="670">
        <f t="shared" si="94"/>
        <v>0</v>
      </c>
      <c r="K454" s="222"/>
      <c r="L454" s="222"/>
      <c r="M454" s="222"/>
      <c r="N454" s="409"/>
      <c r="O454" s="222">
        <f t="shared" si="89"/>
        <v>0</v>
      </c>
      <c r="P454" s="222">
        <f t="shared" si="90"/>
        <v>0</v>
      </c>
      <c r="Q454" s="222">
        <f t="shared" si="91"/>
        <v>0</v>
      </c>
      <c r="R454" s="225">
        <v>0.15</v>
      </c>
      <c r="S454" s="222">
        <f t="shared" si="92"/>
        <v>0</v>
      </c>
      <c r="T454" s="455">
        <v>3.7499999999999999E-2</v>
      </c>
      <c r="AK454" s="472"/>
    </row>
    <row r="455" spans="1:37" x14ac:dyDescent="0.2">
      <c r="A455" s="426" t="s">
        <v>28</v>
      </c>
      <c r="B455" s="422" t="s">
        <v>220</v>
      </c>
      <c r="C455" s="57" t="s">
        <v>31</v>
      </c>
      <c r="D455" s="57" t="s">
        <v>30</v>
      </c>
      <c r="E455" s="57" t="s">
        <v>101</v>
      </c>
      <c r="F455" s="236" t="s">
        <v>56</v>
      </c>
      <c r="G455" s="436"/>
      <c r="H455" s="215">
        <f t="shared" si="93"/>
        <v>0</v>
      </c>
      <c r="I455" s="437"/>
      <c r="J455" s="670">
        <f t="shared" si="94"/>
        <v>0</v>
      </c>
      <c r="K455" s="222"/>
      <c r="L455" s="222"/>
      <c r="M455" s="222"/>
      <c r="N455" s="409"/>
      <c r="O455" s="222">
        <f t="shared" si="89"/>
        <v>0</v>
      </c>
      <c r="P455" s="222">
        <f t="shared" si="90"/>
        <v>0</v>
      </c>
      <c r="Q455" s="222">
        <f t="shared" si="91"/>
        <v>0</v>
      </c>
      <c r="R455" s="225">
        <v>0.15</v>
      </c>
      <c r="S455" s="222">
        <f t="shared" si="92"/>
        <v>0</v>
      </c>
      <c r="T455" s="455">
        <v>3.7499999999999999E-2</v>
      </c>
    </row>
    <row r="456" spans="1:37" x14ac:dyDescent="0.2">
      <c r="A456" s="426" t="s">
        <v>28</v>
      </c>
      <c r="B456" s="422" t="s">
        <v>222</v>
      </c>
      <c r="C456" s="57" t="s">
        <v>31</v>
      </c>
      <c r="D456" s="57" t="s">
        <v>30</v>
      </c>
      <c r="E456" s="57" t="s">
        <v>101</v>
      </c>
      <c r="F456" s="236" t="s">
        <v>56</v>
      </c>
      <c r="G456" s="436"/>
      <c r="H456" s="215">
        <f t="shared" si="93"/>
        <v>37768.080000000002</v>
      </c>
      <c r="I456" s="437"/>
      <c r="J456" s="670">
        <f t="shared" si="94"/>
        <v>3.71</v>
      </c>
      <c r="K456" s="222"/>
      <c r="L456" s="222"/>
      <c r="M456" s="222"/>
      <c r="N456" s="410"/>
      <c r="O456" s="222">
        <f t="shared" si="89"/>
        <v>140119.57999999999</v>
      </c>
      <c r="P456" s="222">
        <f t="shared" si="90"/>
        <v>26272.42</v>
      </c>
      <c r="Q456" s="253">
        <f t="shared" si="91"/>
        <v>21017.94</v>
      </c>
      <c r="R456" s="225">
        <v>0.15</v>
      </c>
      <c r="S456" s="222">
        <f t="shared" si="92"/>
        <v>5254.48</v>
      </c>
      <c r="T456" s="455">
        <v>3.7499999999999999E-2</v>
      </c>
    </row>
    <row r="457" spans="1:37" x14ac:dyDescent="0.2">
      <c r="A457" s="426"/>
      <c r="B457" s="456" t="s">
        <v>226</v>
      </c>
      <c r="C457" s="57" t="s">
        <v>31</v>
      </c>
      <c r="D457" s="57" t="s">
        <v>30</v>
      </c>
      <c r="E457" s="57" t="s">
        <v>101</v>
      </c>
      <c r="F457" s="236" t="s">
        <v>56</v>
      </c>
      <c r="G457" s="436"/>
      <c r="H457" s="215">
        <f t="shared" si="93"/>
        <v>254167.84760000001</v>
      </c>
      <c r="I457" s="437"/>
      <c r="J457" s="670">
        <f t="shared" si="94"/>
        <v>3.6215000000000002</v>
      </c>
      <c r="K457" s="222"/>
      <c r="L457" s="222"/>
      <c r="M457" s="222"/>
      <c r="N457" s="410"/>
      <c r="O457" s="222">
        <f t="shared" si="89"/>
        <v>920468.86</v>
      </c>
      <c r="P457" s="222">
        <f t="shared" si="90"/>
        <v>172587.91</v>
      </c>
      <c r="Q457" s="413">
        <f t="shared" si="91"/>
        <v>138070.32999999999</v>
      </c>
      <c r="R457" s="225">
        <v>0.15</v>
      </c>
      <c r="S457" s="222">
        <f t="shared" si="92"/>
        <v>34517.58</v>
      </c>
      <c r="T457" s="455">
        <v>3.7499999999999999E-2</v>
      </c>
    </row>
    <row r="458" spans="1:37" x14ac:dyDescent="0.2">
      <c r="A458" s="281"/>
      <c r="B458" s="457" t="s">
        <v>225</v>
      </c>
      <c r="C458" s="291" t="s">
        <v>31</v>
      </c>
      <c r="D458" s="291" t="s">
        <v>30</v>
      </c>
      <c r="E458" s="291" t="s">
        <v>101</v>
      </c>
      <c r="F458" s="244" t="s">
        <v>56</v>
      </c>
      <c r="G458" s="446"/>
      <c r="H458" s="311">
        <f t="shared" si="93"/>
        <v>30728.23</v>
      </c>
      <c r="I458" s="447"/>
      <c r="J458" s="671">
        <f t="shared" si="94"/>
        <v>2.74</v>
      </c>
      <c r="K458" s="218"/>
      <c r="L458" s="218"/>
      <c r="M458" s="218"/>
      <c r="N458" s="408"/>
      <c r="O458" s="218">
        <f t="shared" si="89"/>
        <v>84195.35</v>
      </c>
      <c r="P458" s="218">
        <f t="shared" si="90"/>
        <v>15786.63</v>
      </c>
      <c r="Q458" s="458">
        <f t="shared" si="91"/>
        <v>12629.3</v>
      </c>
      <c r="R458" s="459">
        <v>0.15</v>
      </c>
      <c r="S458" s="218">
        <f t="shared" si="92"/>
        <v>3157.33</v>
      </c>
      <c r="T458" s="460">
        <v>3.7499999999999999E-2</v>
      </c>
    </row>
    <row r="459" spans="1:37" x14ac:dyDescent="0.2">
      <c r="G459" s="414">
        <f>SUM(G452:G458)</f>
        <v>0</v>
      </c>
      <c r="H459" s="414">
        <f>SUM(H452:H458)</f>
        <v>396292.72899999999</v>
      </c>
      <c r="I459" s="415"/>
      <c r="J459" s="415">
        <f>O459/H459</f>
        <v>3.334060893153556</v>
      </c>
      <c r="N459" s="264">
        <f>SUM(N452:N458)</f>
        <v>0</v>
      </c>
      <c r="O459" s="179">
        <f>SUM(O452:O458)</f>
        <v>1321264.0900000001</v>
      </c>
      <c r="P459" s="179">
        <f>SUM(P452:P458)</f>
        <v>247737.02000000002</v>
      </c>
      <c r="Q459" s="179">
        <f>SUM(Q452:Q458)</f>
        <v>198189.61</v>
      </c>
      <c r="S459" s="179">
        <f>SUM(S452:S458)</f>
        <v>49547.4</v>
      </c>
    </row>
    <row r="460" spans="1:37" x14ac:dyDescent="0.2">
      <c r="N460" s="65"/>
    </row>
    <row r="461" spans="1:37" x14ac:dyDescent="0.2">
      <c r="G461" s="1"/>
      <c r="H461" s="1"/>
      <c r="I461" s="1"/>
      <c r="J461" s="1"/>
      <c r="K461" s="1"/>
    </row>
    <row r="462" spans="1:37" x14ac:dyDescent="0.2">
      <c r="A462" s="416" t="s">
        <v>231</v>
      </c>
      <c r="C462" s="1">
        <v>56</v>
      </c>
      <c r="G462" s="1"/>
      <c r="H462" s="1"/>
      <c r="I462" s="1"/>
      <c r="J462" s="1"/>
      <c r="K462" s="1"/>
    </row>
    <row r="463" spans="1:37" ht="15.75" x14ac:dyDescent="0.25">
      <c r="A463" s="412" t="s">
        <v>228</v>
      </c>
      <c r="G463" s="12" t="s">
        <v>35</v>
      </c>
      <c r="H463" s="13" t="s">
        <v>36</v>
      </c>
      <c r="I463" s="13" t="s">
        <v>35</v>
      </c>
      <c r="J463" s="12" t="s">
        <v>36</v>
      </c>
      <c r="K463" s="12" t="s">
        <v>39</v>
      </c>
      <c r="L463" s="12" t="s">
        <v>40</v>
      </c>
      <c r="M463" s="12" t="s">
        <v>42</v>
      </c>
      <c r="N463" s="12" t="s">
        <v>2</v>
      </c>
    </row>
    <row r="464" spans="1:37" x14ac:dyDescent="0.2">
      <c r="A464" s="279" t="s">
        <v>28</v>
      </c>
      <c r="B464" s="22" t="s">
        <v>169</v>
      </c>
      <c r="C464" s="366" t="s">
        <v>31</v>
      </c>
      <c r="D464" s="366" t="s">
        <v>30</v>
      </c>
      <c r="E464" s="366" t="s">
        <v>158</v>
      </c>
      <c r="F464" s="419" t="s">
        <v>56</v>
      </c>
      <c r="G464" s="220"/>
      <c r="H464" s="220"/>
      <c r="I464" s="221"/>
      <c r="J464" s="221"/>
      <c r="K464" s="220"/>
      <c r="L464" s="220"/>
      <c r="M464" s="220"/>
      <c r="N464" s="473"/>
      <c r="O464" s="220">
        <f>ROUND(G464*I464+H464*J464,2)</f>
        <v>0</v>
      </c>
      <c r="P464" s="420">
        <f>ROUND(38%*(G464*I464+H464*J464),2)</f>
        <v>0</v>
      </c>
      <c r="Q464" s="220">
        <f>ROUND(R464*P464,2)</f>
        <v>0</v>
      </c>
      <c r="R464" s="421">
        <v>0.5</v>
      </c>
      <c r="S464" s="179"/>
    </row>
    <row r="465" spans="1:19" x14ac:dyDescent="0.2">
      <c r="A465" s="426" t="s">
        <v>28</v>
      </c>
      <c r="B465" s="422" t="s">
        <v>240</v>
      </c>
      <c r="C465" s="57" t="s">
        <v>31</v>
      </c>
      <c r="D465" s="57" t="s">
        <v>30</v>
      </c>
      <c r="E465" s="57" t="s">
        <v>158</v>
      </c>
      <c r="F465" s="236" t="s">
        <v>56</v>
      </c>
      <c r="G465" s="222"/>
      <c r="H465" s="222"/>
      <c r="I465" s="216"/>
      <c r="J465" s="222"/>
      <c r="K465" s="222"/>
      <c r="L465" s="222"/>
      <c r="M465" s="222"/>
      <c r="N465" s="409"/>
      <c r="O465" s="321">
        <f>ROUND(G465*I465+H465*J465,2)</f>
        <v>0</v>
      </c>
      <c r="P465" s="253">
        <f>ROUND(37.24%*O465,2)</f>
        <v>0</v>
      </c>
      <c r="Q465" s="222">
        <f>ROUND(R465*P465,2)</f>
        <v>0</v>
      </c>
      <c r="R465" s="225">
        <v>0.5</v>
      </c>
    </row>
    <row r="466" spans="1:19" x14ac:dyDescent="0.2">
      <c r="A466" s="426" t="s">
        <v>28</v>
      </c>
      <c r="B466" s="422" t="s">
        <v>305</v>
      </c>
      <c r="C466" s="57" t="s">
        <v>31</v>
      </c>
      <c r="D466" s="57" t="s">
        <v>30</v>
      </c>
      <c r="E466" s="57" t="s">
        <v>158</v>
      </c>
      <c r="F466" s="236" t="s">
        <v>56</v>
      </c>
      <c r="G466" s="222"/>
      <c r="H466" s="222"/>
      <c r="I466" s="216"/>
      <c r="J466" s="222"/>
      <c r="K466" s="342"/>
      <c r="L466" s="342"/>
      <c r="M466" s="342"/>
      <c r="N466" s="474"/>
      <c r="O466" s="342">
        <f>ROUND(G466*I466+H466*J466,2)</f>
        <v>0</v>
      </c>
      <c r="P466" s="253">
        <f>ROUND(38%*O466,2)</f>
        <v>0</v>
      </c>
      <c r="Q466" s="222">
        <f>ROUND(R466*P466,2)</f>
        <v>0</v>
      </c>
      <c r="R466" s="225">
        <v>0.5</v>
      </c>
      <c r="S466" s="257"/>
    </row>
    <row r="467" spans="1:19" x14ac:dyDescent="0.2">
      <c r="A467" s="281" t="s">
        <v>28</v>
      </c>
      <c r="B467" s="423"/>
      <c r="C467" s="291" t="s">
        <v>31</v>
      </c>
      <c r="D467" s="291" t="s">
        <v>30</v>
      </c>
      <c r="E467" s="291" t="s">
        <v>158</v>
      </c>
      <c r="F467" s="244" t="s">
        <v>56</v>
      </c>
      <c r="G467" s="218"/>
      <c r="H467" s="218"/>
      <c r="I467" s="469"/>
      <c r="J467" s="219"/>
      <c r="K467" s="218"/>
      <c r="L467" s="218"/>
      <c r="M467" s="218"/>
      <c r="N467" s="411"/>
      <c r="O467" s="218">
        <f>ROUND(G467*I467+H467*J467,2)</f>
        <v>0</v>
      </c>
      <c r="P467" s="424">
        <f>ROUND(38%*G467*I467,2)+ROUND(38%*H467*J467,2)</f>
        <v>0</v>
      </c>
      <c r="Q467" s="218">
        <f>ROUND(R467*P467,2)</f>
        <v>0</v>
      </c>
      <c r="R467" s="425">
        <v>0.5</v>
      </c>
      <c r="S467" s="179"/>
    </row>
    <row r="468" spans="1:19" x14ac:dyDescent="0.2">
      <c r="G468" s="414">
        <f>SUM(G464:G467)</f>
        <v>0</v>
      </c>
      <c r="H468" s="479">
        <f>SUM(H464:H467)</f>
        <v>0</v>
      </c>
      <c r="I468" s="418"/>
      <c r="J468" s="480"/>
      <c r="N468" s="65"/>
      <c r="O468" s="179">
        <f>SUM(O464:O467)</f>
        <v>0</v>
      </c>
      <c r="P468" s="179">
        <f>SUM(P464:P467)</f>
        <v>0</v>
      </c>
      <c r="Q468" s="179">
        <f>SUM(Q464:Q467)</f>
        <v>0</v>
      </c>
      <c r="S468" s="65"/>
    </row>
    <row r="469" spans="1:19" x14ac:dyDescent="0.2">
      <c r="N469" s="65"/>
      <c r="P469" s="1" t="e">
        <f>P468/O468</f>
        <v>#DIV/0!</v>
      </c>
      <c r="S469" s="257"/>
    </row>
    <row r="470" spans="1:19" x14ac:dyDescent="0.2">
      <c r="G470" s="1"/>
      <c r="H470" s="1"/>
      <c r="I470" s="1"/>
      <c r="J470" s="1"/>
      <c r="K470" s="1"/>
    </row>
    <row r="471" spans="1:19" x14ac:dyDescent="0.2">
      <c r="A471" s="416" t="s">
        <v>232</v>
      </c>
      <c r="N471" s="65"/>
      <c r="O471" s="257"/>
      <c r="P471" s="257"/>
    </row>
    <row r="472" spans="1:19" ht="15" x14ac:dyDescent="0.25">
      <c r="I472" s="567"/>
      <c r="N472" s="65"/>
    </row>
    <row r="473" spans="1:19" x14ac:dyDescent="0.2">
      <c r="A473" s="279" t="s">
        <v>28</v>
      </c>
      <c r="B473" s="22" t="s">
        <v>169</v>
      </c>
      <c r="C473" s="366" t="s">
        <v>31</v>
      </c>
      <c r="D473" s="366" t="s">
        <v>30</v>
      </c>
      <c r="E473" s="366" t="s">
        <v>158</v>
      </c>
      <c r="F473" s="419" t="s">
        <v>56</v>
      </c>
      <c r="G473" s="220">
        <f>G464</f>
        <v>0</v>
      </c>
      <c r="H473" s="220"/>
      <c r="I473" s="221">
        <f>I464</f>
        <v>0</v>
      </c>
      <c r="J473" s="221"/>
      <c r="K473" s="220"/>
      <c r="L473" s="220"/>
      <c r="M473" s="220"/>
      <c r="N473" s="473"/>
      <c r="O473" s="220">
        <f>ROUND(G473*I473+H473*J473,2)</f>
        <v>0</v>
      </c>
      <c r="P473" s="420">
        <f>ROUND(38%*(G473*I473+H473*J473),2)</f>
        <v>0</v>
      </c>
      <c r="Q473" s="220">
        <f>ROUND(R473*P473,2)</f>
        <v>0</v>
      </c>
      <c r="R473" s="421">
        <v>0.5</v>
      </c>
    </row>
    <row r="474" spans="1:19" x14ac:dyDescent="0.2">
      <c r="A474" s="426" t="s">
        <v>28</v>
      </c>
      <c r="B474" s="422" t="s">
        <v>240</v>
      </c>
      <c r="C474" s="57" t="s">
        <v>31</v>
      </c>
      <c r="D474" s="57" t="s">
        <v>30</v>
      </c>
      <c r="E474" s="57" t="s">
        <v>158</v>
      </c>
      <c r="F474" s="236" t="s">
        <v>56</v>
      </c>
      <c r="G474" s="222">
        <f>G465</f>
        <v>0</v>
      </c>
      <c r="H474" s="222"/>
      <c r="I474" s="216">
        <f>I465</f>
        <v>0</v>
      </c>
      <c r="J474" s="216"/>
      <c r="K474" s="222"/>
      <c r="L474" s="222"/>
      <c r="M474" s="222"/>
      <c r="N474" s="409"/>
      <c r="O474" s="222">
        <f>ROUND(G474*I474+H474*J474,2)</f>
        <v>0</v>
      </c>
      <c r="P474" s="253">
        <f>ROUND(37.24%*O474,2)</f>
        <v>0</v>
      </c>
      <c r="Q474" s="222">
        <f>ROUND(R474*P474,2)</f>
        <v>0</v>
      </c>
      <c r="R474" s="225">
        <v>0.5</v>
      </c>
    </row>
    <row r="475" spans="1:19" x14ac:dyDescent="0.2">
      <c r="A475" s="426" t="s">
        <v>28</v>
      </c>
      <c r="B475" s="422"/>
      <c r="C475" s="57"/>
      <c r="D475" s="57"/>
      <c r="E475" s="57"/>
      <c r="F475" s="236"/>
      <c r="G475" s="222"/>
      <c r="H475" s="222"/>
      <c r="I475" s="216"/>
      <c r="J475" s="216"/>
      <c r="K475" s="342"/>
      <c r="L475" s="342"/>
      <c r="M475" s="342"/>
      <c r="N475" s="474"/>
      <c r="O475" s="342">
        <f>ROUND(G475*I475+H475*J475,2)</f>
        <v>0</v>
      </c>
      <c r="P475" s="253">
        <f>ROUND(37.24%*O475,2)</f>
        <v>0</v>
      </c>
      <c r="Q475" s="222">
        <f>ROUND(R475*P475,2)</f>
        <v>0</v>
      </c>
      <c r="R475" s="461">
        <v>0.5</v>
      </c>
    </row>
    <row r="476" spans="1:19" x14ac:dyDescent="0.2">
      <c r="A476" s="281" t="s">
        <v>28</v>
      </c>
      <c r="B476" s="423"/>
      <c r="C476" s="291"/>
      <c r="D476" s="291"/>
      <c r="E476" s="291"/>
      <c r="F476" s="244"/>
      <c r="G476" s="218"/>
      <c r="H476" s="218"/>
      <c r="I476" s="219"/>
      <c r="J476" s="219"/>
      <c r="K476" s="218"/>
      <c r="L476" s="218"/>
      <c r="M476" s="218"/>
      <c r="N476" s="411"/>
      <c r="O476" s="218">
        <f>ROUND(G476*I476+H476*J476,2)</f>
        <v>0</v>
      </c>
      <c r="P476" s="424">
        <f>ROUND(38%*G476*I476,2)+ROUND(38%*H476*J476,2)</f>
        <v>0</v>
      </c>
      <c r="Q476" s="218">
        <f>ROUND(R476*P476,2)</f>
        <v>0</v>
      </c>
      <c r="R476" s="425">
        <v>0.5</v>
      </c>
    </row>
    <row r="477" spans="1:19" x14ac:dyDescent="0.2">
      <c r="G477" s="414">
        <f>SUM(G473:G476)</f>
        <v>0</v>
      </c>
      <c r="H477" s="414"/>
      <c r="I477" s="470" t="e">
        <f>ROUND(O477/G477,4)</f>
        <v>#DIV/0!</v>
      </c>
      <c r="N477" s="65"/>
      <c r="O477" s="179">
        <f>SUM(O473:O476)</f>
        <v>0</v>
      </c>
      <c r="P477" s="179">
        <f>SUM(P473:P476)</f>
        <v>0</v>
      </c>
      <c r="Q477" s="179">
        <f>SUM(Q473:Q476)</f>
        <v>0</v>
      </c>
    </row>
    <row r="478" spans="1:19" x14ac:dyDescent="0.2">
      <c r="N478" s="65"/>
    </row>
    <row r="479" spans="1:19" x14ac:dyDescent="0.2">
      <c r="A479" s="416" t="s">
        <v>233</v>
      </c>
      <c r="N479" s="65"/>
    </row>
    <row r="480" spans="1:19" x14ac:dyDescent="0.2">
      <c r="N480" s="65"/>
    </row>
    <row r="481" spans="1:20" x14ac:dyDescent="0.2">
      <c r="A481" s="279" t="s">
        <v>28</v>
      </c>
      <c r="B481" s="22" t="s">
        <v>169</v>
      </c>
      <c r="C481" s="366" t="s">
        <v>31</v>
      </c>
      <c r="D481" s="366" t="s">
        <v>30</v>
      </c>
      <c r="E481" s="366" t="s">
        <v>158</v>
      </c>
      <c r="F481" s="419" t="s">
        <v>56</v>
      </c>
      <c r="G481" s="220"/>
      <c r="H481" s="220">
        <f>H464</f>
        <v>0</v>
      </c>
      <c r="I481" s="221"/>
      <c r="J481" s="221">
        <f>J464</f>
        <v>0</v>
      </c>
      <c r="K481" s="220"/>
      <c r="L481" s="220"/>
      <c r="M481" s="220"/>
      <c r="N481" s="473"/>
      <c r="O481" s="220">
        <f>ROUND(G481*I481+H481*J481,2)</f>
        <v>0</v>
      </c>
      <c r="P481" s="420">
        <f>ROUND(38%*(G481*I481+H481*J481),2)</f>
        <v>0</v>
      </c>
      <c r="Q481" s="220">
        <f>ROUND(R481*P481,2)</f>
        <v>0</v>
      </c>
      <c r="R481" s="421">
        <v>0.5</v>
      </c>
    </row>
    <row r="482" spans="1:20" x14ac:dyDescent="0.2">
      <c r="A482" s="426" t="s">
        <v>28</v>
      </c>
      <c r="B482" s="422" t="s">
        <v>240</v>
      </c>
      <c r="C482" s="57" t="s">
        <v>31</v>
      </c>
      <c r="D482" s="57" t="s">
        <v>30</v>
      </c>
      <c r="E482" s="57" t="s">
        <v>158</v>
      </c>
      <c r="F482" s="236" t="s">
        <v>56</v>
      </c>
      <c r="G482" s="222"/>
      <c r="H482" s="222">
        <f>H465</f>
        <v>0</v>
      </c>
      <c r="I482" s="216"/>
      <c r="J482" s="216">
        <f>J465</f>
        <v>0</v>
      </c>
      <c r="K482" s="222"/>
      <c r="L482" s="222"/>
      <c r="M482" s="222"/>
      <c r="N482" s="409"/>
      <c r="O482" s="222">
        <f>ROUND(G482*I482+H482*J482,2)</f>
        <v>0</v>
      </c>
      <c r="P482" s="253">
        <f>ROUND(37.24%*O482,2)</f>
        <v>0</v>
      </c>
      <c r="Q482" s="222">
        <f>ROUND(R482*P482,2)</f>
        <v>0</v>
      </c>
      <c r="R482" s="225">
        <v>0.5</v>
      </c>
    </row>
    <row r="483" spans="1:20" x14ac:dyDescent="0.2">
      <c r="A483" s="426" t="s">
        <v>28</v>
      </c>
      <c r="B483" s="422" t="s">
        <v>240</v>
      </c>
      <c r="C483" s="57"/>
      <c r="D483" s="57"/>
      <c r="E483" s="57"/>
      <c r="F483" s="236"/>
      <c r="G483" s="222"/>
      <c r="H483" s="222">
        <f>H466</f>
        <v>0</v>
      </c>
      <c r="I483" s="216"/>
      <c r="J483" s="216">
        <f>J466</f>
        <v>0</v>
      </c>
      <c r="K483" s="342"/>
      <c r="L483" s="342"/>
      <c r="M483" s="342"/>
      <c r="N483" s="474"/>
      <c r="O483" s="342">
        <f>ROUND(G483*I483+H483*J483,2)</f>
        <v>0</v>
      </c>
      <c r="P483" s="253">
        <f>ROUND(37.24%*O483,2)</f>
        <v>0</v>
      </c>
      <c r="Q483" s="222">
        <f>ROUND(R483*P483,2)</f>
        <v>0</v>
      </c>
      <c r="R483" s="225">
        <v>0.5</v>
      </c>
    </row>
    <row r="484" spans="1:20" x14ac:dyDescent="0.2">
      <c r="A484" s="281" t="s">
        <v>28</v>
      </c>
      <c r="B484" s="423"/>
      <c r="C484" s="291"/>
      <c r="D484" s="291"/>
      <c r="E484" s="291"/>
      <c r="F484" s="244"/>
      <c r="G484" s="218"/>
      <c r="H484" s="218"/>
      <c r="I484" s="219"/>
      <c r="J484" s="219"/>
      <c r="K484" s="218"/>
      <c r="L484" s="218"/>
      <c r="M484" s="218"/>
      <c r="N484" s="411"/>
      <c r="O484" s="218">
        <f>ROUND(G484*I484+H484*J484,2)</f>
        <v>0</v>
      </c>
      <c r="P484" s="424">
        <f>ROUND(38%*G484*I484,2)+ROUND(38%*H484*J484,2)</f>
        <v>0</v>
      </c>
      <c r="Q484" s="218">
        <f>ROUND(R484*P484,2)</f>
        <v>0</v>
      </c>
      <c r="R484" s="425">
        <v>0.5</v>
      </c>
    </row>
    <row r="485" spans="1:20" x14ac:dyDescent="0.2">
      <c r="G485" s="414"/>
      <c r="H485" s="414">
        <f>SUM(H481:H484)</f>
        <v>0</v>
      </c>
      <c r="J485" s="470" t="e">
        <f>ROUND(O485/H485,4)</f>
        <v>#DIV/0!</v>
      </c>
      <c r="N485" s="65"/>
      <c r="O485" s="179">
        <f>SUM(O481:O484)</f>
        <v>0</v>
      </c>
      <c r="P485" s="179">
        <f>SUM(P481:P484)</f>
        <v>0</v>
      </c>
      <c r="Q485" s="179">
        <f>SUM(Q481:Q484)</f>
        <v>0</v>
      </c>
    </row>
    <row r="486" spans="1:20" x14ac:dyDescent="0.2">
      <c r="G486" s="414"/>
      <c r="H486" s="414"/>
      <c r="N486" s="65"/>
      <c r="O486" s="179"/>
      <c r="P486" s="179"/>
      <c r="Q486" s="179"/>
    </row>
    <row r="487" spans="1:20" x14ac:dyDescent="0.2">
      <c r="G487" s="414"/>
      <c r="H487" s="414"/>
      <c r="N487" s="65"/>
      <c r="O487" s="179"/>
      <c r="P487" s="179"/>
      <c r="Q487" s="179"/>
    </row>
    <row r="489" spans="1:20" x14ac:dyDescent="0.2">
      <c r="A489" s="416" t="s">
        <v>231</v>
      </c>
      <c r="C489" s="1" t="s">
        <v>330</v>
      </c>
      <c r="G489" s="1"/>
      <c r="H489" s="1"/>
      <c r="I489" s="1"/>
      <c r="J489" s="1"/>
      <c r="K489" s="1"/>
    </row>
    <row r="490" spans="1:20" ht="15.75" x14ac:dyDescent="0.25">
      <c r="A490" s="412" t="s">
        <v>228</v>
      </c>
      <c r="G490" s="12" t="s">
        <v>35</v>
      </c>
      <c r="H490" s="13" t="s">
        <v>36</v>
      </c>
      <c r="I490" s="13" t="s">
        <v>35</v>
      </c>
      <c r="J490" s="12" t="s">
        <v>36</v>
      </c>
      <c r="K490" s="12" t="s">
        <v>39</v>
      </c>
      <c r="L490" s="12" t="s">
        <v>40</v>
      </c>
      <c r="M490" s="12" t="s">
        <v>42</v>
      </c>
      <c r="N490" s="12" t="s">
        <v>2</v>
      </c>
    </row>
    <row r="491" spans="1:20" x14ac:dyDescent="0.2">
      <c r="A491" s="427" t="s">
        <v>28</v>
      </c>
      <c r="B491" s="428" t="s">
        <v>303</v>
      </c>
      <c r="C491" s="91" t="s">
        <v>31</v>
      </c>
      <c r="D491" s="91" t="s">
        <v>30</v>
      </c>
      <c r="E491" s="91" t="s">
        <v>101</v>
      </c>
      <c r="F491" s="91" t="s">
        <v>56</v>
      </c>
      <c r="G491" s="429">
        <v>44570.82</v>
      </c>
      <c r="H491" s="452">
        <f>H508</f>
        <v>44551.28</v>
      </c>
      <c r="I491" s="430">
        <v>2.8090000000000002</v>
      </c>
      <c r="J491" s="453">
        <f>J508</f>
        <v>2.8090000000000002</v>
      </c>
      <c r="K491" s="431"/>
      <c r="L491" s="431"/>
      <c r="M491" s="431"/>
      <c r="N491" s="664">
        <v>463.82</v>
      </c>
      <c r="O491" s="500">
        <f>ROUND(G491*I491,2)+ROUND(H491*J491,2)-K491-L491-M491-N491</f>
        <v>249880.15999999997</v>
      </c>
      <c r="P491" s="500">
        <f>ROUND(18.75%*O491,2)</f>
        <v>46852.53</v>
      </c>
      <c r="Q491" s="431">
        <f>ROUND($O491*R491,2)</f>
        <v>37482.019999999997</v>
      </c>
      <c r="R491" s="432">
        <v>0.15</v>
      </c>
      <c r="S491" s="431">
        <f>ROUND($O491*T491,2)</f>
        <v>9370.51</v>
      </c>
      <c r="T491" s="433">
        <v>3.7499999999999999E-2</v>
      </c>
    </row>
    <row r="492" spans="1:20" x14ac:dyDescent="0.2">
      <c r="A492" s="434" t="s">
        <v>28</v>
      </c>
      <c r="B492" s="435" t="s">
        <v>303</v>
      </c>
      <c r="C492" s="97" t="s">
        <v>31</v>
      </c>
      <c r="D492" s="97" t="s">
        <v>30</v>
      </c>
      <c r="E492" s="97" t="s">
        <v>101</v>
      </c>
      <c r="F492" s="97" t="s">
        <v>56</v>
      </c>
      <c r="G492" s="436">
        <v>8372.3799999999992</v>
      </c>
      <c r="H492" s="215">
        <f>H509</f>
        <v>7924.3</v>
      </c>
      <c r="I492" s="437">
        <v>2.21</v>
      </c>
      <c r="J492" s="217">
        <f>J509</f>
        <v>2.21</v>
      </c>
      <c r="K492" s="438"/>
      <c r="L492" s="438"/>
      <c r="M492" s="438"/>
      <c r="N492" s="476"/>
      <c r="O492" s="499">
        <f>ROUND(G492*I492,2)+ROUND(H492*J492,2)-K492-L492-M492-N492</f>
        <v>36015.660000000003</v>
      </c>
      <c r="P492" s="499">
        <f>ROUND(18.75%*O492,2)</f>
        <v>6752.94</v>
      </c>
      <c r="Q492" s="438">
        <f>ROUND($O492*R492,2)</f>
        <v>5402.35</v>
      </c>
      <c r="R492" s="439">
        <v>0.15</v>
      </c>
      <c r="S492" s="438">
        <f>ROUND($O492*T492,2)</f>
        <v>1350.59</v>
      </c>
      <c r="T492" s="440">
        <v>3.7499999999999999E-2</v>
      </c>
    </row>
    <row r="493" spans="1:20" x14ac:dyDescent="0.2">
      <c r="A493" s="434" t="s">
        <v>28</v>
      </c>
      <c r="B493" s="435" t="s">
        <v>303</v>
      </c>
      <c r="C493" s="97" t="s">
        <v>31</v>
      </c>
      <c r="D493" s="97" t="s">
        <v>30</v>
      </c>
      <c r="E493" s="97" t="s">
        <v>101</v>
      </c>
      <c r="F493" s="97" t="s">
        <v>56</v>
      </c>
      <c r="G493" s="436">
        <v>46317.68</v>
      </c>
      <c r="H493" s="215">
        <f>H510</f>
        <v>42532.71</v>
      </c>
      <c r="I493" s="437">
        <v>2.75</v>
      </c>
      <c r="J493" s="217">
        <f>J510</f>
        <v>2.75</v>
      </c>
      <c r="K493" s="438"/>
      <c r="L493" s="438"/>
      <c r="M493" s="438"/>
      <c r="N493" s="476"/>
      <c r="O493" s="438">
        <f>ROUND(G493*I493,2)+ROUND(H493*J493,2)-K493-L493-M493-N493</f>
        <v>244338.57</v>
      </c>
      <c r="P493" s="438">
        <f>ROUND(18.75%*O493,2)</f>
        <v>45813.48</v>
      </c>
      <c r="Q493" s="438">
        <f>ROUND($O493*R493,2)</f>
        <v>36650.79</v>
      </c>
      <c r="R493" s="439">
        <v>0.15</v>
      </c>
      <c r="S493" s="438">
        <f>ROUND($O493*T493,2)</f>
        <v>9162.7000000000007</v>
      </c>
      <c r="T493" s="440">
        <v>3.7499999999999999E-2</v>
      </c>
    </row>
    <row r="494" spans="1:20" x14ac:dyDescent="0.2">
      <c r="A494" s="434" t="s">
        <v>28</v>
      </c>
      <c r="B494" s="435" t="s">
        <v>303</v>
      </c>
      <c r="C494" s="97" t="s">
        <v>31</v>
      </c>
      <c r="D494" s="97" t="s">
        <v>30</v>
      </c>
      <c r="E494" s="97" t="s">
        <v>101</v>
      </c>
      <c r="F494" s="97" t="s">
        <v>56</v>
      </c>
      <c r="G494" s="436">
        <v>456.09</v>
      </c>
      <c r="H494" s="215">
        <f>H511</f>
        <v>438.35</v>
      </c>
      <c r="I494" s="437">
        <v>2.21</v>
      </c>
      <c r="J494" s="217">
        <f>J511</f>
        <v>2.21</v>
      </c>
      <c r="K494" s="438"/>
      <c r="L494" s="438"/>
      <c r="M494" s="438"/>
      <c r="N494" s="476"/>
      <c r="O494" s="438">
        <f>ROUND(G494*I494,2)+ROUND(H494*J494,2)-K494-L494-M494-N494</f>
        <v>1976.71</v>
      </c>
      <c r="P494" s="438">
        <f>ROUND(18.75%*O494,2)</f>
        <v>370.63</v>
      </c>
      <c r="Q494" s="438">
        <f>ROUND($O494*R494,2)</f>
        <v>296.51</v>
      </c>
      <c r="R494" s="439">
        <v>0.15</v>
      </c>
      <c r="S494" s="438">
        <f>ROUND($O494*T494,2)</f>
        <v>74.13</v>
      </c>
      <c r="T494" s="440">
        <v>3.7499999999999999E-2</v>
      </c>
    </row>
    <row r="495" spans="1:20" x14ac:dyDescent="0.2">
      <c r="A495" s="444" t="s">
        <v>28</v>
      </c>
      <c r="B495" s="504" t="s">
        <v>303</v>
      </c>
      <c r="C495" s="109" t="s">
        <v>31</v>
      </c>
      <c r="D495" s="109" t="s">
        <v>30</v>
      </c>
      <c r="E495" s="109" t="s">
        <v>101</v>
      </c>
      <c r="F495" s="109" t="s">
        <v>56</v>
      </c>
      <c r="G495" s="446">
        <v>47155.73</v>
      </c>
      <c r="H495" s="311">
        <f>H512</f>
        <v>45155.57</v>
      </c>
      <c r="I495" s="447">
        <v>3</v>
      </c>
      <c r="J495" s="312">
        <f>J512</f>
        <v>3</v>
      </c>
      <c r="K495" s="448"/>
      <c r="L495" s="448"/>
      <c r="M495" s="448"/>
      <c r="N495" s="478"/>
      <c r="O495" s="448">
        <f>ROUND(G495*I495,2)+ROUND(H495*J495,2)-K495-L495-M495-N495</f>
        <v>276933.90000000002</v>
      </c>
      <c r="P495" s="448">
        <f>ROUND(18.75%*O495,2)</f>
        <v>51925.11</v>
      </c>
      <c r="Q495" s="568">
        <f>ROUND($O495*R495,2)</f>
        <v>41540.089999999997</v>
      </c>
      <c r="R495" s="450">
        <v>0.15</v>
      </c>
      <c r="S495" s="448">
        <f>ROUND($O495*T495,2)</f>
        <v>10385.02</v>
      </c>
      <c r="T495" s="451">
        <v>3.7499999999999999E-2</v>
      </c>
    </row>
    <row r="496" spans="1:20" x14ac:dyDescent="0.2">
      <c r="G496" s="414">
        <f>SUM(G491:G495)</f>
        <v>146872.70000000001</v>
      </c>
      <c r="H496" s="414">
        <f>SUM(H491:H495)</f>
        <v>140602.21000000002</v>
      </c>
      <c r="N496" s="264">
        <f>SUM(N491:N495)</f>
        <v>463.82</v>
      </c>
      <c r="O496" s="179">
        <f>SUM(O491:O495)</f>
        <v>809144.99999999988</v>
      </c>
      <c r="P496" s="179">
        <f>SUM(P491:P495)</f>
        <v>151714.69</v>
      </c>
      <c r="Q496" s="179">
        <f>SUM(Q491:Q495)</f>
        <v>121371.76</v>
      </c>
      <c r="S496" s="179">
        <f>SUM(S491:S495)</f>
        <v>30342.950000000004</v>
      </c>
    </row>
    <row r="497" spans="1:20" x14ac:dyDescent="0.2">
      <c r="N497" s="65"/>
      <c r="O497" s="257"/>
      <c r="P497" s="257"/>
      <c r="Q497" s="257"/>
      <c r="S497" s="257"/>
    </row>
    <row r="498" spans="1:20" ht="15.75" x14ac:dyDescent="0.25">
      <c r="A498" s="412" t="s">
        <v>229</v>
      </c>
      <c r="N498" s="65"/>
      <c r="Q498" s="257"/>
    </row>
    <row r="499" spans="1:20" x14ac:dyDescent="0.2">
      <c r="A499" s="279" t="s">
        <v>28</v>
      </c>
      <c r="B499" s="428" t="s">
        <v>303</v>
      </c>
      <c r="C499" s="366" t="s">
        <v>31</v>
      </c>
      <c r="D499" s="366" t="s">
        <v>30</v>
      </c>
      <c r="E499" s="366" t="s">
        <v>101</v>
      </c>
      <c r="F499" s="419" t="s">
        <v>56</v>
      </c>
      <c r="G499" s="429">
        <f>G491</f>
        <v>44570.82</v>
      </c>
      <c r="H499" s="452"/>
      <c r="I499" s="430">
        <f>I491</f>
        <v>2.8090000000000002</v>
      </c>
      <c r="J499" s="453"/>
      <c r="K499" s="220"/>
      <c r="L499" s="220"/>
      <c r="M499" s="220"/>
      <c r="N499" s="473"/>
      <c r="O499" s="220">
        <f>ROUND(G499*I499,2)+ROUND(H499*J499,2)-K499-L499-M499-N499</f>
        <v>125199.43</v>
      </c>
      <c r="P499" s="220">
        <f>ROUND(18.75%*O499,2)</f>
        <v>23474.89</v>
      </c>
      <c r="Q499" s="220">
        <f>ROUND($O499*R499,2)</f>
        <v>18779.91</v>
      </c>
      <c r="R499" s="421">
        <v>0.15</v>
      </c>
      <c r="S499" s="220">
        <f>ROUND($O499*T499,2)</f>
        <v>4694.9799999999996</v>
      </c>
      <c r="T499" s="454">
        <v>3.7499999999999999E-2</v>
      </c>
    </row>
    <row r="500" spans="1:20" x14ac:dyDescent="0.2">
      <c r="A500" s="426" t="s">
        <v>28</v>
      </c>
      <c r="B500" s="435" t="s">
        <v>303</v>
      </c>
      <c r="C500" s="57" t="s">
        <v>31</v>
      </c>
      <c r="D500" s="57" t="s">
        <v>30</v>
      </c>
      <c r="E500" s="57" t="s">
        <v>101</v>
      </c>
      <c r="F500" s="236" t="s">
        <v>56</v>
      </c>
      <c r="G500" s="436">
        <f>G492</f>
        <v>8372.3799999999992</v>
      </c>
      <c r="H500" s="215"/>
      <c r="I500" s="437">
        <f>I492</f>
        <v>2.21</v>
      </c>
      <c r="J500" s="217"/>
      <c r="K500" s="222"/>
      <c r="L500" s="222"/>
      <c r="M500" s="222"/>
      <c r="N500" s="409"/>
      <c r="O500" s="222">
        <f>ROUND(G500*I500,2)+ROUND(H500*J500,2)-K500-L500-M500-N500</f>
        <v>18502.96</v>
      </c>
      <c r="P500" s="222">
        <f>ROUND(18.75%*O500,2)</f>
        <v>3469.31</v>
      </c>
      <c r="Q500" s="222">
        <f>ROUND($O500*R500,2)</f>
        <v>2775.44</v>
      </c>
      <c r="R500" s="225">
        <v>0.15</v>
      </c>
      <c r="S500" s="222">
        <f>ROUND($O500*T500,2)</f>
        <v>693.86</v>
      </c>
      <c r="T500" s="455">
        <v>3.7499999999999999E-2</v>
      </c>
    </row>
    <row r="501" spans="1:20" x14ac:dyDescent="0.2">
      <c r="A501" s="426" t="s">
        <v>28</v>
      </c>
      <c r="B501" s="435" t="s">
        <v>303</v>
      </c>
      <c r="C501" s="57" t="s">
        <v>31</v>
      </c>
      <c r="D501" s="57" t="s">
        <v>30</v>
      </c>
      <c r="E501" s="57" t="s">
        <v>101</v>
      </c>
      <c r="F501" s="236" t="s">
        <v>56</v>
      </c>
      <c r="G501" s="436">
        <f>G493</f>
        <v>46317.68</v>
      </c>
      <c r="H501" s="215"/>
      <c r="I501" s="437">
        <f>I493</f>
        <v>2.75</v>
      </c>
      <c r="J501" s="217"/>
      <c r="K501" s="222"/>
      <c r="L501" s="222"/>
      <c r="M501" s="222"/>
      <c r="N501" s="409"/>
      <c r="O501" s="222">
        <f>ROUND(G501*I501,2)+ROUND(H501*J501,2)-K501-L501-M501-N501</f>
        <v>127373.62</v>
      </c>
      <c r="P501" s="222">
        <f>ROUND(18.75%*O501,2)</f>
        <v>23882.55</v>
      </c>
      <c r="Q501" s="222">
        <f>ROUND($O501*R501,2)</f>
        <v>19106.04</v>
      </c>
      <c r="R501" s="225">
        <v>0.15</v>
      </c>
      <c r="S501" s="222">
        <f>ROUND($O501*T501,2)</f>
        <v>4776.51</v>
      </c>
      <c r="T501" s="455">
        <v>3.7499999999999999E-2</v>
      </c>
    </row>
    <row r="502" spans="1:20" x14ac:dyDescent="0.2">
      <c r="A502" s="426" t="s">
        <v>28</v>
      </c>
      <c r="B502" s="435" t="s">
        <v>303</v>
      </c>
      <c r="C502" s="57" t="s">
        <v>31</v>
      </c>
      <c r="D502" s="57" t="s">
        <v>30</v>
      </c>
      <c r="E502" s="57" t="s">
        <v>101</v>
      </c>
      <c r="F502" s="236" t="s">
        <v>56</v>
      </c>
      <c r="G502" s="436">
        <f>G494</f>
        <v>456.09</v>
      </c>
      <c r="H502" s="215"/>
      <c r="I502" s="437">
        <f>I494</f>
        <v>2.21</v>
      </c>
      <c r="J502" s="217"/>
      <c r="K502" s="222"/>
      <c r="L502" s="222"/>
      <c r="M502" s="222"/>
      <c r="N502" s="409"/>
      <c r="O502" s="222">
        <f>ROUND(G502*I502,2)+ROUND(H502*J502,2)-K502-L502-M502-N502</f>
        <v>1007.96</v>
      </c>
      <c r="P502" s="222">
        <f>ROUND(18.75%*O502,2)</f>
        <v>188.99</v>
      </c>
      <c r="Q502" s="222">
        <f>ROUND($O502*R502,2)</f>
        <v>151.19</v>
      </c>
      <c r="R502" s="225">
        <v>0.15</v>
      </c>
      <c r="S502" s="222">
        <f>ROUND($O502*T502,2)</f>
        <v>37.799999999999997</v>
      </c>
      <c r="T502" s="455">
        <v>3.7499999999999999E-2</v>
      </c>
    </row>
    <row r="503" spans="1:20" x14ac:dyDescent="0.2">
      <c r="A503" s="281" t="s">
        <v>28</v>
      </c>
      <c r="B503" s="504" t="s">
        <v>303</v>
      </c>
      <c r="C503" s="291" t="s">
        <v>31</v>
      </c>
      <c r="D503" s="291" t="s">
        <v>30</v>
      </c>
      <c r="E503" s="291" t="s">
        <v>101</v>
      </c>
      <c r="F503" s="244" t="s">
        <v>56</v>
      </c>
      <c r="G503" s="446">
        <f>G495</f>
        <v>47155.73</v>
      </c>
      <c r="H503" s="311"/>
      <c r="I503" s="447">
        <f>I495</f>
        <v>3</v>
      </c>
      <c r="J503" s="312"/>
      <c r="K503" s="218"/>
      <c r="L503" s="218"/>
      <c r="M503" s="218"/>
      <c r="N503" s="408"/>
      <c r="O503" s="218">
        <f>ROUND(G503*I503,2)+ROUND(H503*J503,2)-K503-L503-M503-N503</f>
        <v>141467.19</v>
      </c>
      <c r="P503" s="218">
        <f>ROUND(18.75%*O503,2)</f>
        <v>26525.1</v>
      </c>
      <c r="Q503" s="424">
        <f>ROUND($O503*R503,2)</f>
        <v>21220.080000000002</v>
      </c>
      <c r="R503" s="459">
        <v>0.15</v>
      </c>
      <c r="S503" s="218">
        <f>ROUND($O503*T503,2)</f>
        <v>5305.02</v>
      </c>
      <c r="T503" s="460">
        <v>3.7499999999999999E-2</v>
      </c>
    </row>
    <row r="504" spans="1:20" x14ac:dyDescent="0.2">
      <c r="G504" s="414">
        <f>SUM(G499:G503)</f>
        <v>146872.70000000001</v>
      </c>
      <c r="H504" s="414"/>
      <c r="I504" s="415">
        <f>O504/G504</f>
        <v>2.815711565185361</v>
      </c>
      <c r="J504" s="415"/>
      <c r="N504" s="264">
        <f>SUM(N499:N503)</f>
        <v>0</v>
      </c>
      <c r="O504" s="179">
        <f>SUM(O499:O503)</f>
        <v>413551.16000000003</v>
      </c>
      <c r="P504" s="179">
        <f>SUM(P499:P503)</f>
        <v>77540.84</v>
      </c>
      <c r="Q504" s="179">
        <f>SUM(Q499:Q503)</f>
        <v>62032.66</v>
      </c>
      <c r="S504" s="179">
        <f>SUM(S499:S503)</f>
        <v>15508.169999999998</v>
      </c>
    </row>
    <row r="505" spans="1:20" x14ac:dyDescent="0.2">
      <c r="N505" s="65"/>
      <c r="O505" s="65"/>
    </row>
    <row r="506" spans="1:20" x14ac:dyDescent="0.2">
      <c r="N506" s="65"/>
      <c r="O506" s="257"/>
    </row>
    <row r="507" spans="1:20" ht="15.75" x14ac:dyDescent="0.25">
      <c r="A507" s="412" t="s">
        <v>230</v>
      </c>
      <c r="N507" s="65"/>
    </row>
    <row r="508" spans="1:20" x14ac:dyDescent="0.2">
      <c r="A508" s="279" t="s">
        <v>28</v>
      </c>
      <c r="B508" s="428" t="s">
        <v>303</v>
      </c>
      <c r="C508" s="366" t="s">
        <v>31</v>
      </c>
      <c r="D508" s="366" t="s">
        <v>30</v>
      </c>
      <c r="E508" s="366" t="s">
        <v>101</v>
      </c>
      <c r="F508" s="419" t="s">
        <v>56</v>
      </c>
      <c r="G508" s="452"/>
      <c r="H508" s="452">
        <v>44551.28</v>
      </c>
      <c r="I508" s="453"/>
      <c r="J508" s="463">
        <v>2.8090000000000002</v>
      </c>
      <c r="K508" s="220"/>
      <c r="L508" s="220"/>
      <c r="M508" s="220"/>
      <c r="N508" s="473"/>
      <c r="O508" s="220">
        <f>ROUND(G508*I508,2)+ROUND(H508*J508,2)-K508-L508-M508-N508</f>
        <v>125144.55</v>
      </c>
      <c r="P508" s="220">
        <f>ROUND(18.75%*O508,2)</f>
        <v>23464.6</v>
      </c>
      <c r="Q508" s="220">
        <f>ROUND($O508*R508,2)</f>
        <v>18771.68</v>
      </c>
      <c r="R508" s="421">
        <v>0.15</v>
      </c>
      <c r="S508" s="220">
        <f>ROUND($O508*T508,2)</f>
        <v>4692.92</v>
      </c>
      <c r="T508" s="454">
        <v>3.7499999999999999E-2</v>
      </c>
    </row>
    <row r="509" spans="1:20" x14ac:dyDescent="0.2">
      <c r="A509" s="426" t="s">
        <v>28</v>
      </c>
      <c r="B509" s="435" t="s">
        <v>303</v>
      </c>
      <c r="C509" s="57" t="s">
        <v>31</v>
      </c>
      <c r="D509" s="57" t="s">
        <v>30</v>
      </c>
      <c r="E509" s="57" t="s">
        <v>101</v>
      </c>
      <c r="F509" s="236" t="s">
        <v>56</v>
      </c>
      <c r="G509" s="215"/>
      <c r="H509" s="215">
        <v>7924.3</v>
      </c>
      <c r="I509" s="217"/>
      <c r="J509" s="464">
        <v>2.21</v>
      </c>
      <c r="K509" s="222"/>
      <c r="L509" s="222"/>
      <c r="M509" s="222"/>
      <c r="N509" s="409"/>
      <c r="O509" s="222">
        <f>ROUND(G509*I509,2)+ROUND(H509*J509,2)-K509-L509-M509-N509</f>
        <v>17512.7</v>
      </c>
      <c r="P509" s="222">
        <f>ROUND(18.75%*O509,2)</f>
        <v>3283.63</v>
      </c>
      <c r="Q509" s="222">
        <f>ROUND($O509*R509,2)</f>
        <v>2626.91</v>
      </c>
      <c r="R509" s="225">
        <v>0.15</v>
      </c>
      <c r="S509" s="222">
        <f>ROUND($O509*T509,2)</f>
        <v>656.73</v>
      </c>
      <c r="T509" s="455">
        <v>3.7499999999999999E-2</v>
      </c>
    </row>
    <row r="510" spans="1:20" x14ac:dyDescent="0.2">
      <c r="A510" s="426" t="s">
        <v>28</v>
      </c>
      <c r="B510" s="435" t="s">
        <v>303</v>
      </c>
      <c r="C510" s="57" t="s">
        <v>31</v>
      </c>
      <c r="D510" s="57" t="s">
        <v>30</v>
      </c>
      <c r="E510" s="57" t="s">
        <v>101</v>
      </c>
      <c r="F510" s="236" t="s">
        <v>56</v>
      </c>
      <c r="G510" s="215"/>
      <c r="H510" s="215">
        <v>42532.71</v>
      </c>
      <c r="I510" s="217"/>
      <c r="J510" s="464">
        <v>2.75</v>
      </c>
      <c r="K510" s="222"/>
      <c r="L510" s="222"/>
      <c r="M510" s="222"/>
      <c r="N510" s="409"/>
      <c r="O510" s="222">
        <f>ROUND(G510*I510,2)+ROUND(H510*J510,2)-K510-L510-M510-N510</f>
        <v>116964.95</v>
      </c>
      <c r="P510" s="222">
        <f>ROUND(18.75%*O510,2)</f>
        <v>21930.93</v>
      </c>
      <c r="Q510" s="222">
        <f>ROUND($O510*R510,2)</f>
        <v>17544.740000000002</v>
      </c>
      <c r="R510" s="225">
        <v>0.15</v>
      </c>
      <c r="S510" s="222">
        <f>ROUND($O510*T510,2)</f>
        <v>4386.1899999999996</v>
      </c>
      <c r="T510" s="455">
        <v>3.7499999999999999E-2</v>
      </c>
    </row>
    <row r="511" spans="1:20" x14ac:dyDescent="0.2">
      <c r="A511" s="426" t="s">
        <v>28</v>
      </c>
      <c r="B511" s="435" t="s">
        <v>303</v>
      </c>
      <c r="C511" s="57" t="s">
        <v>31</v>
      </c>
      <c r="D511" s="57" t="s">
        <v>30</v>
      </c>
      <c r="E511" s="57" t="s">
        <v>101</v>
      </c>
      <c r="F511" s="236" t="s">
        <v>56</v>
      </c>
      <c r="G511" s="215"/>
      <c r="H511" s="215">
        <v>438.35</v>
      </c>
      <c r="I511" s="217"/>
      <c r="J511" s="464">
        <v>2.21</v>
      </c>
      <c r="K511" s="222"/>
      <c r="L511" s="222"/>
      <c r="M511" s="222"/>
      <c r="N511" s="409"/>
      <c r="O511" s="222">
        <f>ROUND(G511*I511,2)+ROUND(H511*J511,2)-K511-L511-M511-N511</f>
        <v>968.75</v>
      </c>
      <c r="P511" s="222">
        <f>ROUND(18.75%*O511,2)</f>
        <v>181.64</v>
      </c>
      <c r="Q511" s="222">
        <f>ROUND($O511*R511,2)</f>
        <v>145.31</v>
      </c>
      <c r="R511" s="225">
        <v>0.15</v>
      </c>
      <c r="S511" s="222">
        <f>ROUND($O511*T511,2)</f>
        <v>36.33</v>
      </c>
      <c r="T511" s="455">
        <v>3.7499999999999999E-2</v>
      </c>
    </row>
    <row r="512" spans="1:20" x14ac:dyDescent="0.2">
      <c r="A512" s="281" t="s">
        <v>28</v>
      </c>
      <c r="B512" s="504" t="s">
        <v>303</v>
      </c>
      <c r="C512" s="291" t="s">
        <v>31</v>
      </c>
      <c r="D512" s="291" t="s">
        <v>30</v>
      </c>
      <c r="E512" s="291" t="s">
        <v>101</v>
      </c>
      <c r="F512" s="244" t="s">
        <v>56</v>
      </c>
      <c r="G512" s="311"/>
      <c r="H512" s="311">
        <v>45155.57</v>
      </c>
      <c r="I512" s="312"/>
      <c r="J512" s="465">
        <v>3</v>
      </c>
      <c r="K512" s="218"/>
      <c r="L512" s="218"/>
      <c r="M512" s="218"/>
      <c r="N512" s="408"/>
      <c r="O512" s="218">
        <f>ROUND(G512*I512,2)+ROUND(H512*J512,2)-K512-L512-M512-N512</f>
        <v>135466.71</v>
      </c>
      <c r="P512" s="218">
        <f>ROUND(18.75%*O512,2)</f>
        <v>25400.01</v>
      </c>
      <c r="Q512" s="424">
        <f>ROUND($O512*R512,2)</f>
        <v>20320.009999999998</v>
      </c>
      <c r="R512" s="459">
        <v>0.15</v>
      </c>
      <c r="S512" s="218">
        <f>ROUND($O512*T512,2)</f>
        <v>5080</v>
      </c>
      <c r="T512" s="460">
        <v>3.7499999999999999E-2</v>
      </c>
    </row>
    <row r="513" spans="7:19" x14ac:dyDescent="0.2">
      <c r="G513" s="414"/>
      <c r="H513" s="414">
        <f>SUM(H508:H512)</f>
        <v>140602.21000000002</v>
      </c>
      <c r="I513" s="415"/>
      <c r="J513" s="415">
        <f>O513/H513</f>
        <v>2.8168665343169215</v>
      </c>
      <c r="N513" s="264">
        <f>SUM(N508:N512)</f>
        <v>0</v>
      </c>
      <c r="O513" s="179">
        <f>SUM(O508:O512)</f>
        <v>396057.66000000003</v>
      </c>
      <c r="P513" s="179">
        <f>SUM(P508:P512)</f>
        <v>74260.81</v>
      </c>
      <c r="Q513" s="179">
        <f>SUM(Q508:Q512)</f>
        <v>59408.649999999994</v>
      </c>
      <c r="S513" s="179">
        <f>SUM(S508:S512)</f>
        <v>14852.17</v>
      </c>
    </row>
  </sheetData>
  <mergeCells count="23">
    <mergeCell ref="S149:T149"/>
    <mergeCell ref="C7:C8"/>
    <mergeCell ref="O7:O8"/>
    <mergeCell ref="S131:T131"/>
    <mergeCell ref="S137:T137"/>
    <mergeCell ref="S143:T143"/>
    <mergeCell ref="S221:T221"/>
    <mergeCell ref="S155:T155"/>
    <mergeCell ref="S161:T161"/>
    <mergeCell ref="S167:T167"/>
    <mergeCell ref="S173:T173"/>
    <mergeCell ref="S179:T179"/>
    <mergeCell ref="S185:T185"/>
    <mergeCell ref="S191:T191"/>
    <mergeCell ref="S197:T197"/>
    <mergeCell ref="S203:T203"/>
    <mergeCell ref="S209:T209"/>
    <mergeCell ref="S215:T215"/>
    <mergeCell ref="S227:T227"/>
    <mergeCell ref="S233:T233"/>
    <mergeCell ref="S239:T239"/>
    <mergeCell ref="S245:T245"/>
    <mergeCell ref="S278:T278"/>
  </mergeCells>
  <printOptions horizontalCentered="1" verticalCentered="1"/>
  <pageMargins left="0.23622047244094491" right="0.23622047244094491" top="0.51181102362204722" bottom="0.51181102362204722" header="0" footer="0"/>
  <pageSetup paperSize="9" scale="59" fitToWidth="2"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76"/>
  <sheetViews>
    <sheetView tabSelected="1" view="pageBreakPreview" zoomScale="85" zoomScaleNormal="95" zoomScaleSheetLayoutView="85" workbookViewId="0">
      <pane xSplit="2" topLeftCell="C1" activePane="topRight" state="frozen"/>
      <selection activeCell="B225" sqref="B225"/>
      <selection pane="topRight"/>
    </sheetView>
  </sheetViews>
  <sheetFormatPr baseColWidth="10" defaultColWidth="8.77734375" defaultRowHeight="12.75" outlineLevelRow="1" x14ac:dyDescent="0.2"/>
  <cols>
    <col min="1" max="1" width="3" style="1" customWidth="1"/>
    <col min="2" max="2" width="16.5546875" style="1" customWidth="1"/>
    <col min="3" max="3" width="7.77734375" style="1" customWidth="1"/>
    <col min="4" max="4" width="8.109375" style="1" customWidth="1"/>
    <col min="5" max="5" width="8.77734375" style="1" customWidth="1"/>
    <col min="6" max="6" width="8.44140625" style="1" customWidth="1"/>
    <col min="7" max="7" width="11.77734375" style="1" customWidth="1"/>
    <col min="8" max="8" width="13.109375" style="1" customWidth="1"/>
    <col min="9" max="9" width="10.44140625" style="1" customWidth="1"/>
    <col min="10" max="10" width="11" style="1" bestFit="1" customWidth="1"/>
    <col min="11" max="11" width="11.6640625" style="1" bestFit="1" customWidth="1"/>
    <col min="12" max="12" width="13.33203125" style="1" bestFit="1" customWidth="1"/>
    <col min="13" max="13" width="8.5546875" style="1" bestFit="1" customWidth="1"/>
    <col min="14" max="14" width="16.109375" style="1" customWidth="1"/>
    <col min="15" max="15" width="15.33203125" style="1" customWidth="1"/>
    <col min="16" max="16" width="15.109375" style="1" customWidth="1"/>
    <col min="17" max="17" width="13.77734375" style="1" customWidth="1"/>
    <col min="18" max="18" width="5.77734375" style="1" customWidth="1"/>
    <col min="19" max="19" width="11.5546875" style="1" customWidth="1"/>
    <col min="20" max="20" width="5.77734375" style="1" customWidth="1"/>
    <col min="21" max="16384" width="8.77734375" style="1"/>
  </cols>
  <sheetData>
    <row r="1" spans="1:20" x14ac:dyDescent="0.2">
      <c r="A1" s="1" t="s">
        <v>51</v>
      </c>
      <c r="C1" s="3"/>
      <c r="D1" s="3"/>
      <c r="E1" s="6">
        <v>46053</v>
      </c>
      <c r="F1" s="270">
        <v>3.3530000000000002</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
        <v>459</v>
      </c>
      <c r="B4" s="132"/>
      <c r="C4" s="132"/>
      <c r="D4" s="132"/>
      <c r="E4" s="132"/>
      <c r="F4" s="132"/>
      <c r="G4" s="132"/>
      <c r="H4" s="132"/>
      <c r="I4" s="132"/>
      <c r="J4" s="132"/>
      <c r="K4" s="132"/>
      <c r="L4" s="132"/>
      <c r="M4" s="132"/>
      <c r="N4" s="132"/>
      <c r="O4" s="132"/>
      <c r="P4" s="132"/>
      <c r="Q4" s="132"/>
      <c r="R4" s="132"/>
      <c r="S4" s="132"/>
      <c r="T4" s="132"/>
    </row>
    <row r="5" spans="1:20" x14ac:dyDescent="0.2">
      <c r="A5" s="132" t="s">
        <v>460</v>
      </c>
      <c r="B5" s="132"/>
      <c r="C5" s="132"/>
      <c r="D5" s="132"/>
      <c r="E5" s="132"/>
      <c r="F5" s="132"/>
      <c r="G5" s="132"/>
      <c r="H5" s="132"/>
      <c r="I5" s="132"/>
      <c r="J5" s="132"/>
      <c r="K5" s="132"/>
      <c r="L5" s="132"/>
      <c r="M5" s="132"/>
      <c r="N5" s="132"/>
      <c r="O5" s="132"/>
      <c r="P5" s="132"/>
      <c r="Q5" s="132"/>
      <c r="R5" s="132"/>
      <c r="S5" s="132"/>
      <c r="T5" s="132"/>
    </row>
    <row r="6" spans="1:20" x14ac:dyDescent="0.2">
      <c r="H6" s="2"/>
      <c r="P6" s="267"/>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v>6218</v>
      </c>
      <c r="H10" s="215">
        <v>0</v>
      </c>
      <c r="I10" s="410">
        <v>62.6248</v>
      </c>
      <c r="J10" s="410">
        <v>0</v>
      </c>
      <c r="K10" s="222"/>
      <c r="L10" s="222"/>
      <c r="M10" s="222"/>
      <c r="N10" s="386">
        <v>78.540000000000006</v>
      </c>
      <c r="O10" s="215">
        <v>389322.47000000003</v>
      </c>
      <c r="P10" s="222">
        <v>72997.960000000006</v>
      </c>
      <c r="Q10" s="222">
        <v>58398.37</v>
      </c>
      <c r="R10" s="223">
        <v>0.15</v>
      </c>
      <c r="S10" s="222">
        <v>14599.59</v>
      </c>
      <c r="T10" s="258">
        <v>3.7499999999999999E-2</v>
      </c>
    </row>
    <row r="11" spans="1:20" ht="12.75" customHeight="1" x14ac:dyDescent="0.2">
      <c r="A11" s="23" t="s">
        <v>28</v>
      </c>
      <c r="B11" s="24" t="s">
        <v>14</v>
      </c>
      <c r="C11" s="57" t="s">
        <v>31</v>
      </c>
      <c r="D11" s="25" t="s">
        <v>30</v>
      </c>
      <c r="E11" s="57" t="s">
        <v>101</v>
      </c>
      <c r="F11" s="236" t="s">
        <v>56</v>
      </c>
      <c r="G11" s="215">
        <v>39722.935599999997</v>
      </c>
      <c r="H11" s="215">
        <v>47753.755599999997</v>
      </c>
      <c r="I11" s="410">
        <v>3</v>
      </c>
      <c r="J11" s="410">
        <v>3</v>
      </c>
      <c r="K11" s="222"/>
      <c r="L11" s="222"/>
      <c r="M11" s="222"/>
      <c r="N11" s="386">
        <v>2455.11</v>
      </c>
      <c r="O11" s="215">
        <v>259974.96999999997</v>
      </c>
      <c r="P11" s="222">
        <v>48745.31</v>
      </c>
      <c r="Q11" s="222">
        <v>38996.25</v>
      </c>
      <c r="R11" s="223">
        <v>0.15</v>
      </c>
      <c r="S11" s="222">
        <v>9749.06</v>
      </c>
      <c r="T11" s="258">
        <v>3.7499999999999999E-2</v>
      </c>
    </row>
    <row r="12" spans="1:20" x14ac:dyDescent="0.2">
      <c r="A12" s="23" t="s">
        <v>28</v>
      </c>
      <c r="B12" s="24" t="s">
        <v>3</v>
      </c>
      <c r="C12" s="57" t="s">
        <v>31</v>
      </c>
      <c r="D12" s="25" t="s">
        <v>30</v>
      </c>
      <c r="E12" s="57" t="s">
        <v>101</v>
      </c>
      <c r="F12" s="236" t="s">
        <v>37</v>
      </c>
      <c r="G12" s="215"/>
      <c r="H12" s="215"/>
      <c r="I12" s="410"/>
      <c r="J12" s="410"/>
      <c r="K12" s="222"/>
      <c r="L12" s="222"/>
      <c r="M12" s="222"/>
      <c r="N12" s="386">
        <v>638.52</v>
      </c>
      <c r="O12" s="215">
        <v>-638.52</v>
      </c>
      <c r="P12" s="222">
        <v>-119.72</v>
      </c>
      <c r="Q12" s="222">
        <v>-95.78</v>
      </c>
      <c r="R12" s="223">
        <v>0.15</v>
      </c>
      <c r="S12" s="222">
        <v>-23.94</v>
      </c>
      <c r="T12" s="258">
        <v>3.7499999999999999E-2</v>
      </c>
    </row>
    <row r="13" spans="1:20" x14ac:dyDescent="0.2">
      <c r="A13" s="242" t="s">
        <v>28</v>
      </c>
      <c r="B13" s="245" t="s">
        <v>369</v>
      </c>
      <c r="C13" s="57" t="s">
        <v>31</v>
      </c>
      <c r="D13" s="25" t="s">
        <v>30</v>
      </c>
      <c r="E13" s="57" t="s">
        <v>101</v>
      </c>
      <c r="F13" s="236" t="s">
        <v>56</v>
      </c>
      <c r="G13" s="215">
        <v>2448.8715000000002</v>
      </c>
      <c r="H13" s="215">
        <v>0</v>
      </c>
      <c r="I13" s="410">
        <v>2.95</v>
      </c>
      <c r="J13" s="410">
        <v>0</v>
      </c>
      <c r="K13" s="222"/>
      <c r="L13" s="222"/>
      <c r="M13" s="222"/>
      <c r="N13" s="386">
        <v>980.66</v>
      </c>
      <c r="O13" s="215">
        <v>6243.51</v>
      </c>
      <c r="P13" s="222">
        <v>1170.6600000000001</v>
      </c>
      <c r="Q13" s="222">
        <v>936.53</v>
      </c>
      <c r="R13" s="223">
        <v>0.15</v>
      </c>
      <c r="S13" s="222">
        <v>234.13</v>
      </c>
      <c r="T13" s="258">
        <v>3.7499999999999999E-2</v>
      </c>
    </row>
    <row r="14" spans="1:20" x14ac:dyDescent="0.2">
      <c r="A14" s="23" t="s">
        <v>28</v>
      </c>
      <c r="B14" s="24" t="s">
        <v>4</v>
      </c>
      <c r="C14" s="57" t="s">
        <v>31</v>
      </c>
      <c r="D14" s="25" t="s">
        <v>30</v>
      </c>
      <c r="E14" s="57" t="s">
        <v>101</v>
      </c>
      <c r="F14" s="236" t="s">
        <v>37</v>
      </c>
      <c r="G14" s="215">
        <v>0</v>
      </c>
      <c r="H14" s="215">
        <v>0</v>
      </c>
      <c r="I14" s="410">
        <v>0</v>
      </c>
      <c r="J14" s="410">
        <v>0</v>
      </c>
      <c r="K14" s="222"/>
      <c r="L14" s="222"/>
      <c r="M14" s="222"/>
      <c r="N14" s="386"/>
      <c r="O14" s="215">
        <v>0</v>
      </c>
      <c r="P14" s="222">
        <v>0</v>
      </c>
      <c r="Q14" s="222">
        <v>0</v>
      </c>
      <c r="R14" s="223">
        <v>0.15</v>
      </c>
      <c r="S14" s="222">
        <v>0</v>
      </c>
      <c r="T14" s="258">
        <v>3.7499999999999999E-2</v>
      </c>
    </row>
    <row r="15" spans="1:20" s="596" customFormat="1" x14ac:dyDescent="0.2">
      <c r="A15" s="376" t="s">
        <v>28</v>
      </c>
      <c r="B15" s="24" t="s">
        <v>370</v>
      </c>
      <c r="C15" s="57" t="s">
        <v>31</v>
      </c>
      <c r="D15" s="25" t="s">
        <v>30</v>
      </c>
      <c r="E15" s="57" t="s">
        <v>101</v>
      </c>
      <c r="F15" s="236" t="s">
        <v>56</v>
      </c>
      <c r="G15" s="215">
        <v>94823.849400000006</v>
      </c>
      <c r="H15" s="215">
        <v>104245.9678</v>
      </c>
      <c r="I15" s="410">
        <v>2.9336000000000002</v>
      </c>
      <c r="J15" s="410">
        <v>2.9336000000000002</v>
      </c>
      <c r="K15" s="222"/>
      <c r="L15" s="222"/>
      <c r="M15" s="222"/>
      <c r="N15" s="386">
        <v>447.31</v>
      </c>
      <c r="O15" s="224">
        <v>583543.89999999991</v>
      </c>
      <c r="P15" s="222">
        <v>109414.48</v>
      </c>
      <c r="Q15" s="253">
        <v>87531.59</v>
      </c>
      <c r="R15" s="590">
        <v>0.15</v>
      </c>
      <c r="S15" s="253">
        <v>21882.9</v>
      </c>
      <c r="T15" s="591">
        <v>3.7499999999999999E-2</v>
      </c>
    </row>
    <row r="16" spans="1:20" x14ac:dyDescent="0.2">
      <c r="A16" s="23" t="s">
        <v>28</v>
      </c>
      <c r="B16" s="24" t="s">
        <v>5</v>
      </c>
      <c r="C16" s="57" t="s">
        <v>31</v>
      </c>
      <c r="D16" s="25" t="s">
        <v>30</v>
      </c>
      <c r="E16" s="57" t="s">
        <v>101</v>
      </c>
      <c r="F16" s="236" t="s">
        <v>37</v>
      </c>
      <c r="G16" s="215">
        <v>0</v>
      </c>
      <c r="H16" s="215">
        <v>0</v>
      </c>
      <c r="I16" s="410">
        <v>0</v>
      </c>
      <c r="J16" s="410">
        <v>0</v>
      </c>
      <c r="K16" s="222"/>
      <c r="L16" s="222"/>
      <c r="M16" s="222"/>
      <c r="N16" s="386"/>
      <c r="O16" s="215">
        <v>0</v>
      </c>
      <c r="P16" s="222">
        <v>0</v>
      </c>
      <c r="Q16" s="222">
        <v>0</v>
      </c>
      <c r="R16" s="223">
        <v>0.15</v>
      </c>
      <c r="S16" s="222">
        <v>0</v>
      </c>
      <c r="T16" s="258">
        <v>3.7499999999999999E-2</v>
      </c>
    </row>
    <row r="17" spans="1:20" x14ac:dyDescent="0.2">
      <c r="A17" s="23" t="s">
        <v>28</v>
      </c>
      <c r="B17" s="24" t="s">
        <v>371</v>
      </c>
      <c r="C17" s="57" t="s">
        <v>31</v>
      </c>
      <c r="D17" s="25" t="s">
        <v>30</v>
      </c>
      <c r="E17" s="57" t="s">
        <v>101</v>
      </c>
      <c r="F17" s="236" t="s">
        <v>37</v>
      </c>
      <c r="G17" s="215">
        <v>44376.025900000001</v>
      </c>
      <c r="H17" s="215">
        <v>72854.085000000006</v>
      </c>
      <c r="I17" s="410">
        <v>2.5028999999999999</v>
      </c>
      <c r="J17" s="410">
        <v>2.5028999999999999</v>
      </c>
      <c r="K17" s="222"/>
      <c r="L17" s="222"/>
      <c r="M17" s="222"/>
      <c r="N17" s="386">
        <v>823.63</v>
      </c>
      <c r="O17" s="215">
        <v>292591.62</v>
      </c>
      <c r="P17" s="222">
        <v>54860.93</v>
      </c>
      <c r="Q17" s="222">
        <v>43888.74</v>
      </c>
      <c r="R17" s="223">
        <v>0.15</v>
      </c>
      <c r="S17" s="222">
        <v>10972.19</v>
      </c>
      <c r="T17" s="258">
        <v>3.7499999999999999E-2</v>
      </c>
    </row>
    <row r="18" spans="1:20" x14ac:dyDescent="0.2">
      <c r="A18" s="23" t="s">
        <v>28</v>
      </c>
      <c r="B18" s="24" t="s">
        <v>17</v>
      </c>
      <c r="C18" s="57" t="s">
        <v>31</v>
      </c>
      <c r="D18" s="25" t="s">
        <v>30</v>
      </c>
      <c r="E18" s="57" t="s">
        <v>101</v>
      </c>
      <c r="F18" s="236" t="s">
        <v>37</v>
      </c>
      <c r="G18" s="215"/>
      <c r="H18" s="215">
        <v>3113</v>
      </c>
      <c r="I18" s="410"/>
      <c r="J18" s="410">
        <v>66.159800000000004</v>
      </c>
      <c r="K18" s="222"/>
      <c r="L18" s="222"/>
      <c r="M18" s="222"/>
      <c r="N18" s="386">
        <v>416.58</v>
      </c>
      <c r="O18" s="224">
        <v>205538.88</v>
      </c>
      <c r="P18" s="222">
        <v>38538.54</v>
      </c>
      <c r="Q18" s="222">
        <v>30830.83</v>
      </c>
      <c r="R18" s="223">
        <v>0.15</v>
      </c>
      <c r="S18" s="222">
        <v>7707.71</v>
      </c>
      <c r="T18" s="258">
        <v>3.7499999999999999E-2</v>
      </c>
    </row>
    <row r="19" spans="1:20" x14ac:dyDescent="0.2">
      <c r="A19" s="376" t="s">
        <v>28</v>
      </c>
      <c r="B19" s="24" t="s">
        <v>237</v>
      </c>
      <c r="C19" s="57" t="s">
        <v>31</v>
      </c>
      <c r="D19" s="25" t="s">
        <v>30</v>
      </c>
      <c r="E19" s="57" t="s">
        <v>101</v>
      </c>
      <c r="F19" s="236" t="s">
        <v>37</v>
      </c>
      <c r="G19" s="215"/>
      <c r="H19" s="215"/>
      <c r="I19" s="409"/>
      <c r="J19" s="410"/>
      <c r="K19" s="222"/>
      <c r="L19" s="222"/>
      <c r="M19" s="222"/>
      <c r="N19" s="386"/>
      <c r="O19" s="224">
        <v>0</v>
      </c>
      <c r="P19" s="222">
        <v>0</v>
      </c>
      <c r="Q19" s="222">
        <v>0</v>
      </c>
      <c r="R19" s="223">
        <v>0.15</v>
      </c>
      <c r="S19" s="222">
        <v>0</v>
      </c>
      <c r="T19" s="258">
        <v>3.7499999999999999E-2</v>
      </c>
    </row>
    <row r="20" spans="1:20" x14ac:dyDescent="0.2">
      <c r="A20" s="376" t="s">
        <v>28</v>
      </c>
      <c r="B20" s="24" t="s">
        <v>239</v>
      </c>
      <c r="C20" s="57" t="s">
        <v>31</v>
      </c>
      <c r="D20" s="25" t="s">
        <v>30</v>
      </c>
      <c r="E20" s="57" t="s">
        <v>101</v>
      </c>
      <c r="F20" s="236" t="s">
        <v>56</v>
      </c>
      <c r="G20" s="215"/>
      <c r="H20" s="215"/>
      <c r="I20" s="409"/>
      <c r="J20" s="410"/>
      <c r="K20" s="222"/>
      <c r="L20" s="222"/>
      <c r="M20" s="222"/>
      <c r="N20" s="386"/>
      <c r="O20" s="224">
        <v>0</v>
      </c>
      <c r="P20" s="222">
        <v>0</v>
      </c>
      <c r="Q20" s="222">
        <v>0</v>
      </c>
      <c r="R20" s="223">
        <v>0.15</v>
      </c>
      <c r="S20" s="222">
        <v>0</v>
      </c>
      <c r="T20" s="258">
        <v>3.7499999999999999E-2</v>
      </c>
    </row>
    <row r="21" spans="1:20" x14ac:dyDescent="0.2">
      <c r="A21" s="376" t="s">
        <v>28</v>
      </c>
      <c r="B21" s="24" t="s">
        <v>238</v>
      </c>
      <c r="C21" s="57" t="s">
        <v>31</v>
      </c>
      <c r="D21" s="25" t="s">
        <v>30</v>
      </c>
      <c r="E21" s="57" t="s">
        <v>101</v>
      </c>
      <c r="F21" s="236" t="s">
        <v>37</v>
      </c>
      <c r="G21" s="215">
        <v>0</v>
      </c>
      <c r="H21" s="215">
        <v>18420</v>
      </c>
      <c r="I21" s="409">
        <v>0</v>
      </c>
      <c r="J21" s="410">
        <v>66.159800000000004</v>
      </c>
      <c r="K21" s="222"/>
      <c r="L21" s="222"/>
      <c r="M21" s="222"/>
      <c r="N21" s="386">
        <v>249.26</v>
      </c>
      <c r="O21" s="224">
        <v>1218414.26</v>
      </c>
      <c r="P21" s="222">
        <v>228452.67</v>
      </c>
      <c r="Q21" s="222">
        <v>182762.14</v>
      </c>
      <c r="R21" s="223">
        <v>0.15</v>
      </c>
      <c r="S21" s="222">
        <v>45690.53</v>
      </c>
      <c r="T21" s="258">
        <v>3.7499999999999999E-2</v>
      </c>
    </row>
    <row r="22" spans="1:20" x14ac:dyDescent="0.2">
      <c r="A22" s="23" t="s">
        <v>28</v>
      </c>
      <c r="B22" s="24" t="s">
        <v>18</v>
      </c>
      <c r="C22" s="57" t="s">
        <v>31</v>
      </c>
      <c r="D22" s="25" t="s">
        <v>30</v>
      </c>
      <c r="E22" s="57" t="s">
        <v>101</v>
      </c>
      <c r="F22" s="236" t="s">
        <v>37</v>
      </c>
      <c r="G22" s="215">
        <v>2495</v>
      </c>
      <c r="H22" s="215">
        <v>4091</v>
      </c>
      <c r="I22" s="410">
        <v>62.6248</v>
      </c>
      <c r="J22" s="410">
        <v>66.2547</v>
      </c>
      <c r="K22" s="222"/>
      <c r="L22" s="222"/>
      <c r="M22" s="222"/>
      <c r="N22" s="386">
        <v>266.33</v>
      </c>
      <c r="O22" s="224">
        <v>427030.52999999997</v>
      </c>
      <c r="P22" s="222">
        <v>80068.22</v>
      </c>
      <c r="Q22" s="222">
        <v>64054.58</v>
      </c>
      <c r="R22" s="223">
        <v>0.15</v>
      </c>
      <c r="S22" s="222">
        <v>16013.64</v>
      </c>
      <c r="T22" s="258">
        <v>3.7499999999999999E-2</v>
      </c>
    </row>
    <row r="23" spans="1:20" x14ac:dyDescent="0.2">
      <c r="A23" s="23" t="s">
        <v>28</v>
      </c>
      <c r="B23" s="24" t="s">
        <v>20</v>
      </c>
      <c r="C23" s="57" t="s">
        <v>31</v>
      </c>
      <c r="D23" s="25" t="s">
        <v>30</v>
      </c>
      <c r="E23" s="57" t="s">
        <v>101</v>
      </c>
      <c r="F23" s="236" t="s">
        <v>37</v>
      </c>
      <c r="G23" s="215">
        <v>48898.400000000001</v>
      </c>
      <c r="H23" s="215">
        <v>47937.600000000006</v>
      </c>
      <c r="I23" s="410">
        <v>64.698800000000006</v>
      </c>
      <c r="J23" s="410">
        <v>68.624099999999999</v>
      </c>
      <c r="K23" s="222"/>
      <c r="L23" s="222"/>
      <c r="M23" s="222"/>
      <c r="N23" s="386">
        <v>2172.38</v>
      </c>
      <c r="O23" s="224">
        <v>6451170.0800000001</v>
      </c>
      <c r="P23" s="222">
        <v>1209594.3899999999</v>
      </c>
      <c r="Q23" s="222">
        <v>967675.51</v>
      </c>
      <c r="R23" s="223">
        <v>0.15</v>
      </c>
      <c r="S23" s="222">
        <v>241918.88</v>
      </c>
      <c r="T23" s="258">
        <v>3.7499999999999999E-2</v>
      </c>
    </row>
    <row r="24" spans="1:20" x14ac:dyDescent="0.2">
      <c r="A24" s="23" t="s">
        <v>28</v>
      </c>
      <c r="B24" s="24" t="s">
        <v>372</v>
      </c>
      <c r="C24" s="57" t="s">
        <v>31</v>
      </c>
      <c r="D24" s="25" t="s">
        <v>30</v>
      </c>
      <c r="E24" s="57" t="s">
        <v>101</v>
      </c>
      <c r="F24" s="236" t="s">
        <v>56</v>
      </c>
      <c r="G24" s="215">
        <v>78337.056000000011</v>
      </c>
      <c r="H24" s="215">
        <v>83546.768000000011</v>
      </c>
      <c r="I24" s="410">
        <v>2.9</v>
      </c>
      <c r="J24" s="410">
        <v>2.9</v>
      </c>
      <c r="K24" s="222"/>
      <c r="L24" s="222"/>
      <c r="M24" s="222"/>
      <c r="N24" s="386">
        <v>1410.94</v>
      </c>
      <c r="O24" s="224">
        <v>468052.14999999997</v>
      </c>
      <c r="P24" s="222">
        <v>87759.78</v>
      </c>
      <c r="Q24" s="222">
        <v>70207.820000000007</v>
      </c>
      <c r="R24" s="223">
        <v>0.15</v>
      </c>
      <c r="S24" s="222">
        <v>17551.96</v>
      </c>
      <c r="T24" s="258">
        <v>3.7499999999999999E-2</v>
      </c>
    </row>
    <row r="25" spans="1:20" x14ac:dyDescent="0.2">
      <c r="A25" s="23" t="s">
        <v>28</v>
      </c>
      <c r="B25" s="24" t="s">
        <v>9</v>
      </c>
      <c r="C25" s="57" t="s">
        <v>31</v>
      </c>
      <c r="D25" s="25" t="s">
        <v>30</v>
      </c>
      <c r="E25" s="57" t="s">
        <v>101</v>
      </c>
      <c r="F25" s="236" t="s">
        <v>37</v>
      </c>
      <c r="G25" s="215"/>
      <c r="H25" s="215"/>
      <c r="I25" s="410"/>
      <c r="J25" s="410"/>
      <c r="K25" s="222"/>
      <c r="L25" s="222"/>
      <c r="M25" s="222"/>
      <c r="N25" s="386"/>
      <c r="O25" s="224">
        <v>0</v>
      </c>
      <c r="P25" s="222">
        <v>0</v>
      </c>
      <c r="Q25" s="222">
        <v>0</v>
      </c>
      <c r="R25" s="223">
        <v>0.15</v>
      </c>
      <c r="S25" s="222">
        <v>0</v>
      </c>
      <c r="T25" s="258">
        <v>3.7499999999999999E-2</v>
      </c>
    </row>
    <row r="26" spans="1:20" s="992" customFormat="1" x14ac:dyDescent="0.2">
      <c r="A26" s="23" t="s">
        <v>28</v>
      </c>
      <c r="B26" s="24" t="s">
        <v>165</v>
      </c>
      <c r="C26" s="57" t="s">
        <v>31</v>
      </c>
      <c r="D26" s="25" t="s">
        <v>30</v>
      </c>
      <c r="E26" s="57" t="s">
        <v>101</v>
      </c>
      <c r="F26" s="236" t="s">
        <v>37</v>
      </c>
      <c r="G26" s="215">
        <v>0</v>
      </c>
      <c r="H26" s="215">
        <v>111.92583696</v>
      </c>
      <c r="I26" s="410">
        <v>0</v>
      </c>
      <c r="J26" s="410">
        <v>66.2547</v>
      </c>
      <c r="K26" s="222"/>
      <c r="L26" s="222"/>
      <c r="M26" s="222"/>
      <c r="N26" s="386">
        <v>2755.54</v>
      </c>
      <c r="O26" s="224">
        <v>4660.07</v>
      </c>
      <c r="P26" s="222">
        <v>873.76</v>
      </c>
      <c r="Q26" s="222">
        <v>699.01</v>
      </c>
      <c r="R26" s="223">
        <v>0.15</v>
      </c>
      <c r="S26" s="222">
        <v>174.75</v>
      </c>
      <c r="T26" s="258">
        <v>3.7499999999999999E-2</v>
      </c>
    </row>
    <row r="27" spans="1:20" x14ac:dyDescent="0.2">
      <c r="A27" s="23" t="s">
        <v>28</v>
      </c>
      <c r="B27" s="24" t="s">
        <v>157</v>
      </c>
      <c r="C27" s="57" t="s">
        <v>31</v>
      </c>
      <c r="D27" s="25" t="s">
        <v>30</v>
      </c>
      <c r="E27" s="57" t="s">
        <v>101</v>
      </c>
      <c r="F27" s="236" t="s">
        <v>56</v>
      </c>
      <c r="G27" s="216">
        <v>0</v>
      </c>
      <c r="H27" s="386">
        <v>3139.3894085153397</v>
      </c>
      <c r="I27" s="409">
        <v>0</v>
      </c>
      <c r="J27" s="386">
        <v>1.8760081129232176</v>
      </c>
      <c r="K27" s="222"/>
      <c r="L27" s="222"/>
      <c r="M27" s="222"/>
      <c r="N27" s="386">
        <v>3201.4</v>
      </c>
      <c r="O27" s="386">
        <v>5889.5199999999986</v>
      </c>
      <c r="P27" s="386">
        <v>1104.2799999999997</v>
      </c>
      <c r="Q27" s="386">
        <v>883.42999999999984</v>
      </c>
      <c r="R27" s="223">
        <v>0.15</v>
      </c>
      <c r="S27" s="386">
        <v>220.84999999999997</v>
      </c>
      <c r="T27" s="258">
        <v>3.7499999999999999E-2</v>
      </c>
    </row>
    <row r="28" spans="1:20" x14ac:dyDescent="0.2">
      <c r="A28" s="23" t="s">
        <v>28</v>
      </c>
      <c r="B28" s="24" t="s">
        <v>170</v>
      </c>
      <c r="C28" s="57" t="s">
        <v>31</v>
      </c>
      <c r="D28" s="25" t="s">
        <v>30</v>
      </c>
      <c r="E28" s="57" t="s">
        <v>101</v>
      </c>
      <c r="F28" s="236" t="s">
        <v>37</v>
      </c>
      <c r="G28" s="215"/>
      <c r="H28" s="215"/>
      <c r="I28" s="410"/>
      <c r="J28" s="410"/>
      <c r="K28" s="222"/>
      <c r="L28" s="222"/>
      <c r="M28" s="222"/>
      <c r="N28" s="386">
        <v>170.73</v>
      </c>
      <c r="O28" s="224">
        <v>-170.73</v>
      </c>
      <c r="P28" s="222">
        <v>-32.01</v>
      </c>
      <c r="Q28" s="222">
        <v>-6.4</v>
      </c>
      <c r="R28" s="258">
        <v>3.7499999999999999E-2</v>
      </c>
      <c r="S28" s="222">
        <v>-25.61</v>
      </c>
      <c r="T28" s="223">
        <v>0.15</v>
      </c>
    </row>
    <row r="29" spans="1:20" x14ac:dyDescent="0.2">
      <c r="A29" s="23" t="s">
        <v>28</v>
      </c>
      <c r="B29" s="24" t="s">
        <v>368</v>
      </c>
      <c r="C29" s="57" t="s">
        <v>31</v>
      </c>
      <c r="D29" s="25" t="s">
        <v>30</v>
      </c>
      <c r="E29" s="57" t="s">
        <v>101</v>
      </c>
      <c r="F29" s="236" t="s">
        <v>37</v>
      </c>
      <c r="G29" s="215">
        <v>0</v>
      </c>
      <c r="H29" s="215"/>
      <c r="I29" s="410">
        <v>0</v>
      </c>
      <c r="J29" s="410"/>
      <c r="K29" s="222"/>
      <c r="L29" s="222"/>
      <c r="M29" s="222"/>
      <c r="N29" s="386">
        <v>867.29</v>
      </c>
      <c r="O29" s="224">
        <v>-867.29</v>
      </c>
      <c r="P29" s="222">
        <v>-162.62</v>
      </c>
      <c r="Q29" s="222">
        <v>-32.520000000000003</v>
      </c>
      <c r="R29" s="258">
        <v>3.7499999999999999E-2</v>
      </c>
      <c r="S29" s="222">
        <v>-130.09</v>
      </c>
      <c r="T29" s="223">
        <v>0.15</v>
      </c>
    </row>
    <row r="30" spans="1:20" x14ac:dyDescent="0.2">
      <c r="A30" s="26" t="s">
        <v>28</v>
      </c>
      <c r="B30" s="29" t="s">
        <v>302</v>
      </c>
      <c r="C30" s="57" t="s">
        <v>31</v>
      </c>
      <c r="D30" s="25" t="s">
        <v>30</v>
      </c>
      <c r="E30" s="57" t="s">
        <v>101</v>
      </c>
      <c r="F30" s="236" t="s">
        <v>37</v>
      </c>
      <c r="G30" s="386">
        <v>35004</v>
      </c>
      <c r="H30" s="386">
        <v>16048</v>
      </c>
      <c r="I30" s="410">
        <v>62.811999999999998</v>
      </c>
      <c r="J30" s="410">
        <v>66.466399999999993</v>
      </c>
      <c r="K30" s="215"/>
      <c r="L30" s="222"/>
      <c r="M30" s="222"/>
      <c r="N30" s="386">
        <v>3101.84</v>
      </c>
      <c r="O30" s="224">
        <v>3262222.2</v>
      </c>
      <c r="P30" s="222">
        <v>611666.66</v>
      </c>
      <c r="Q30" s="222">
        <v>489333.33</v>
      </c>
      <c r="R30" s="248">
        <v>0.15</v>
      </c>
      <c r="S30" s="222">
        <v>122333.33</v>
      </c>
      <c r="T30" s="258">
        <v>3.7499999999999999E-2</v>
      </c>
    </row>
    <row r="31" spans="1:20" x14ac:dyDescent="0.2">
      <c r="A31" s="26" t="s">
        <v>28</v>
      </c>
      <c r="B31" s="29" t="s">
        <v>303</v>
      </c>
      <c r="C31" s="57" t="s">
        <v>31</v>
      </c>
      <c r="D31" s="25" t="s">
        <v>30</v>
      </c>
      <c r="E31" s="57" t="s">
        <v>101</v>
      </c>
      <c r="F31" s="236" t="s">
        <v>56</v>
      </c>
      <c r="G31" s="386">
        <v>62721.31</v>
      </c>
      <c r="H31" s="386">
        <v>91186.15</v>
      </c>
      <c r="I31" s="409">
        <v>2.7368999999999999</v>
      </c>
      <c r="J31" s="386">
        <v>2.7368999999999999</v>
      </c>
      <c r="K31" s="215"/>
      <c r="L31" s="222"/>
      <c r="M31" s="222"/>
      <c r="N31" s="386">
        <v>781.93</v>
      </c>
      <c r="O31" s="224">
        <v>729414.16</v>
      </c>
      <c r="P31" s="224">
        <v>136765.16</v>
      </c>
      <c r="Q31" s="224">
        <v>109412.12</v>
      </c>
      <c r="R31" s="248">
        <v>0.15</v>
      </c>
      <c r="S31" s="224">
        <v>27353.040000000001</v>
      </c>
      <c r="T31" s="258">
        <v>3.7499999999999999E-2</v>
      </c>
    </row>
    <row r="32" spans="1:20" x14ac:dyDescent="0.2">
      <c r="A32" s="26" t="s">
        <v>28</v>
      </c>
      <c r="B32" s="29" t="s">
        <v>304</v>
      </c>
      <c r="C32" s="57" t="s">
        <v>31</v>
      </c>
      <c r="D32" s="25" t="s">
        <v>30</v>
      </c>
      <c r="E32" s="57" t="s">
        <v>101</v>
      </c>
      <c r="F32" s="236" t="s">
        <v>37</v>
      </c>
      <c r="G32" s="386">
        <v>9918</v>
      </c>
      <c r="H32" s="386">
        <v>11227</v>
      </c>
      <c r="I32" s="410">
        <v>33.4131</v>
      </c>
      <c r="J32" s="410">
        <v>35.291800000000002</v>
      </c>
      <c r="K32" s="215"/>
      <c r="L32" s="222"/>
      <c r="M32" s="222"/>
      <c r="N32" s="386">
        <v>850.22</v>
      </c>
      <c r="O32" s="224">
        <v>726761.95</v>
      </c>
      <c r="P32" s="222">
        <v>136267.87</v>
      </c>
      <c r="Q32" s="222">
        <v>109014.29</v>
      </c>
      <c r="R32" s="248">
        <v>0.15</v>
      </c>
      <c r="S32" s="222">
        <v>27253.57</v>
      </c>
      <c r="T32" s="258">
        <v>3.7499999999999999E-2</v>
      </c>
    </row>
    <row r="33" spans="1:20" x14ac:dyDescent="0.2">
      <c r="A33" s="26" t="s">
        <v>28</v>
      </c>
      <c r="B33" s="29" t="s">
        <v>52</v>
      </c>
      <c r="C33" s="56"/>
      <c r="D33" s="56"/>
      <c r="E33" s="27"/>
      <c r="F33" s="236"/>
      <c r="G33" s="222"/>
      <c r="H33" s="222"/>
      <c r="I33" s="1182"/>
      <c r="J33" s="1182"/>
      <c r="K33" s="222"/>
      <c r="L33" s="222"/>
      <c r="M33" s="222"/>
      <c r="N33" s="222"/>
      <c r="O33" s="582">
        <v>-36780.789999999804</v>
      </c>
      <c r="P33" s="582">
        <v>-6896.3999999999905</v>
      </c>
      <c r="Q33" s="582">
        <v>-5517.1199999999917</v>
      </c>
      <c r="R33" s="582">
        <v>0</v>
      </c>
      <c r="S33" s="582">
        <v>-1379.2699999999923</v>
      </c>
      <c r="T33" s="223"/>
    </row>
    <row r="34" spans="1:20" x14ac:dyDescent="0.2">
      <c r="A34" s="30"/>
      <c r="B34" s="153" t="s">
        <v>108</v>
      </c>
      <c r="C34" s="31" t="s">
        <v>461</v>
      </c>
      <c r="D34" s="38"/>
      <c r="E34" s="39"/>
      <c r="F34" s="244"/>
      <c r="G34" s="218"/>
      <c r="H34" s="218"/>
      <c r="I34" s="619"/>
      <c r="J34" s="619"/>
      <c r="K34" s="218"/>
      <c r="L34" s="218"/>
      <c r="M34" s="218"/>
      <c r="N34" s="227"/>
      <c r="O34" s="227">
        <v>14992372.940000001</v>
      </c>
      <c r="P34" s="227">
        <v>2811069.9200000004</v>
      </c>
      <c r="Q34" s="227">
        <v>2248972.7200000002</v>
      </c>
      <c r="R34" s="229"/>
      <c r="S34" s="227">
        <v>562097.22</v>
      </c>
      <c r="T34" s="511">
        <v>0</v>
      </c>
    </row>
    <row r="35" spans="1:20" x14ac:dyDescent="0.2">
      <c r="A35" s="125"/>
      <c r="B35" s="126"/>
      <c r="C35" s="31" t="s">
        <v>462</v>
      </c>
      <c r="D35" s="56"/>
      <c r="E35" s="56"/>
      <c r="F35" s="137"/>
      <c r="G35" s="177"/>
      <c r="H35" s="177"/>
      <c r="I35" s="554"/>
      <c r="J35" s="554"/>
      <c r="K35" s="177"/>
      <c r="L35" s="177"/>
      <c r="M35" s="177"/>
      <c r="N35" s="177"/>
      <c r="O35" s="209"/>
      <c r="P35" s="210">
        <v>9425517.4399999995</v>
      </c>
      <c r="Q35" s="364">
        <v>7540805.5300000003</v>
      </c>
      <c r="R35" s="139"/>
      <c r="S35" s="363">
        <v>1884711.98</v>
      </c>
      <c r="T35" s="160"/>
    </row>
    <row r="36" spans="1:20" x14ac:dyDescent="0.2">
      <c r="A36" s="15" t="s">
        <v>22</v>
      </c>
      <c r="B36" s="16"/>
      <c r="C36" s="58"/>
      <c r="D36" s="58"/>
      <c r="E36" s="17"/>
      <c r="F36" s="34"/>
      <c r="G36" s="220"/>
      <c r="H36" s="220"/>
      <c r="I36" s="617"/>
      <c r="J36" s="617"/>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v>5289</v>
      </c>
      <c r="H37" s="215">
        <v>7195</v>
      </c>
      <c r="I37" s="217">
        <v>51.148400000000002</v>
      </c>
      <c r="J37" s="217">
        <v>54.3</v>
      </c>
      <c r="K37" s="222"/>
      <c r="L37" s="222"/>
      <c r="M37" s="222"/>
      <c r="N37" s="386">
        <v>3421.37</v>
      </c>
      <c r="O37" s="224">
        <v>657791.02</v>
      </c>
      <c r="P37" s="222">
        <v>98668.65</v>
      </c>
      <c r="Q37" s="222">
        <v>98668.65</v>
      </c>
      <c r="R37" s="223">
        <v>0.15</v>
      </c>
      <c r="S37" s="226"/>
      <c r="T37" s="225"/>
    </row>
    <row r="38" spans="1:20" x14ac:dyDescent="0.2">
      <c r="A38" s="26" t="s">
        <v>28</v>
      </c>
      <c r="B38" s="29" t="s">
        <v>53</v>
      </c>
      <c r="C38" s="56"/>
      <c r="D38" s="56"/>
      <c r="E38" s="5"/>
      <c r="F38" s="33"/>
      <c r="G38" s="222"/>
      <c r="H38" s="222"/>
      <c r="I38" s="1182"/>
      <c r="J38" s="1182"/>
      <c r="K38" s="222"/>
      <c r="L38" s="222"/>
      <c r="M38" s="222"/>
      <c r="N38" s="222"/>
      <c r="O38" s="224">
        <v>-517265.96000000031</v>
      </c>
      <c r="P38" s="224">
        <v>-77589.909999999829</v>
      </c>
      <c r="Q38" s="224">
        <v>-77589.909999999829</v>
      </c>
      <c r="R38" s="225"/>
      <c r="S38" s="224"/>
      <c r="T38" s="225"/>
    </row>
    <row r="39" spans="1:20" x14ac:dyDescent="0.2">
      <c r="A39" s="30"/>
      <c r="B39" s="153" t="s">
        <v>108</v>
      </c>
      <c r="C39" s="31" t="s">
        <v>463</v>
      </c>
      <c r="D39" s="38"/>
      <c r="E39" s="39"/>
      <c r="F39" s="38"/>
      <c r="G39" s="218"/>
      <c r="H39" s="218"/>
      <c r="I39" s="619"/>
      <c r="J39" s="619"/>
      <c r="K39" s="218"/>
      <c r="L39" s="218"/>
      <c r="M39" s="218"/>
      <c r="N39" s="218"/>
      <c r="O39" s="227">
        <v>140525.05999999971</v>
      </c>
      <c r="P39" s="227">
        <v>21078.740000000165</v>
      </c>
      <c r="Q39" s="227">
        <v>21078.740000000165</v>
      </c>
      <c r="R39" s="229"/>
      <c r="S39" s="227">
        <v>0</v>
      </c>
      <c r="T39" s="229"/>
    </row>
    <row r="40" spans="1:20" x14ac:dyDescent="0.2">
      <c r="A40" s="125"/>
      <c r="B40" s="126"/>
      <c r="C40" s="31" t="s">
        <v>464</v>
      </c>
      <c r="D40" s="56"/>
      <c r="E40" s="56"/>
      <c r="F40" s="137"/>
      <c r="G40" s="177"/>
      <c r="H40" s="177"/>
      <c r="I40" s="554"/>
      <c r="J40" s="554"/>
      <c r="K40" s="177"/>
      <c r="L40" s="177"/>
      <c r="M40" s="177"/>
      <c r="N40" s="177"/>
      <c r="O40" s="209"/>
      <c r="P40" s="210">
        <v>70677.02</v>
      </c>
      <c r="Q40" s="364">
        <v>70677.02</v>
      </c>
      <c r="R40" s="139"/>
      <c r="S40" s="210">
        <v>0</v>
      </c>
      <c r="T40" s="139"/>
    </row>
    <row r="41" spans="1:20" x14ac:dyDescent="0.2">
      <c r="A41" s="15" t="s">
        <v>24</v>
      </c>
      <c r="B41" s="16"/>
      <c r="C41" s="58"/>
      <c r="D41" s="58"/>
      <c r="E41" s="17"/>
      <c r="F41" s="234"/>
      <c r="G41" s="220"/>
      <c r="H41" s="220"/>
      <c r="I41" s="617"/>
      <c r="J41" s="617"/>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v>0</v>
      </c>
      <c r="H42" s="215">
        <v>118663</v>
      </c>
      <c r="I42" s="217">
        <v>0</v>
      </c>
      <c r="J42" s="217">
        <v>62.235300000000002</v>
      </c>
      <c r="K42" s="222"/>
      <c r="L42" s="222"/>
      <c r="M42" s="222"/>
      <c r="N42" s="386">
        <v>4585.7299999999996</v>
      </c>
      <c r="O42" s="224">
        <v>7380441.6699999999</v>
      </c>
      <c r="P42" s="222">
        <v>1383832.81</v>
      </c>
      <c r="Q42" s="222">
        <v>1107066.25</v>
      </c>
      <c r="R42" s="223">
        <v>0.15</v>
      </c>
      <c r="S42" s="222">
        <v>276766.56</v>
      </c>
      <c r="T42" s="258">
        <v>3.7499999999999999E-2</v>
      </c>
    </row>
    <row r="43" spans="1:20" x14ac:dyDescent="0.2">
      <c r="A43" s="23" t="s">
        <v>28</v>
      </c>
      <c r="B43" s="24" t="s">
        <v>12</v>
      </c>
      <c r="C43" s="57" t="s">
        <v>31</v>
      </c>
      <c r="D43" s="57" t="s">
        <v>30</v>
      </c>
      <c r="E43" s="57" t="s">
        <v>101</v>
      </c>
      <c r="F43" s="238" t="s">
        <v>56</v>
      </c>
      <c r="G43" s="215">
        <v>8333.5197000000007</v>
      </c>
      <c r="H43" s="215">
        <v>30054.462</v>
      </c>
      <c r="I43" s="217">
        <v>3.6036999999999999</v>
      </c>
      <c r="J43" s="217">
        <v>3.6036999999999999</v>
      </c>
      <c r="K43" s="222"/>
      <c r="L43" s="222"/>
      <c r="M43" s="222"/>
      <c r="N43" s="386">
        <v>1633.62</v>
      </c>
      <c r="O43" s="224">
        <v>136705.14000000001</v>
      </c>
      <c r="P43" s="222">
        <v>25632.21</v>
      </c>
      <c r="Q43" s="222">
        <v>5126.4399999999996</v>
      </c>
      <c r="R43" s="258">
        <v>3.7499999999999999E-2</v>
      </c>
      <c r="S43" s="222">
        <v>20505.77</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v>2140.0300000000002</v>
      </c>
      <c r="O44" s="224">
        <v>-2140.0300000000002</v>
      </c>
      <c r="P44" s="222">
        <v>-401.26</v>
      </c>
      <c r="Q44" s="222">
        <v>-80.25</v>
      </c>
      <c r="R44" s="258">
        <v>3.7499999999999999E-2</v>
      </c>
      <c r="S44" s="222">
        <v>-321</v>
      </c>
      <c r="T44" s="223">
        <v>0.15</v>
      </c>
    </row>
    <row r="45" spans="1:20" x14ac:dyDescent="0.2">
      <c r="A45" s="23" t="s">
        <v>28</v>
      </c>
      <c r="B45" s="28">
        <v>95</v>
      </c>
      <c r="C45" s="57" t="s">
        <v>31</v>
      </c>
      <c r="D45" s="57" t="s">
        <v>30</v>
      </c>
      <c r="E45" s="57" t="s">
        <v>101</v>
      </c>
      <c r="F45" s="236" t="s">
        <v>37</v>
      </c>
      <c r="G45" s="215">
        <v>228697</v>
      </c>
      <c r="H45" s="215">
        <v>231097</v>
      </c>
      <c r="I45" s="217">
        <v>42.630899999999997</v>
      </c>
      <c r="J45" s="217">
        <v>45.725000000000001</v>
      </c>
      <c r="K45" s="215"/>
      <c r="L45" s="222"/>
      <c r="M45" s="222"/>
      <c r="N45" s="386">
        <v>4585.7299999999996</v>
      </c>
      <c r="O45" s="224">
        <v>20311883.539999999</v>
      </c>
      <c r="P45" s="222">
        <v>3808478.16</v>
      </c>
      <c r="Q45" s="222">
        <v>3046782.5300000003</v>
      </c>
      <c r="R45" s="223">
        <v>0.15</v>
      </c>
      <c r="S45" s="222">
        <v>761695.63</v>
      </c>
      <c r="T45" s="258">
        <v>3.7499999999999999E-2</v>
      </c>
    </row>
    <row r="46" spans="1:20" x14ac:dyDescent="0.2">
      <c r="A46" s="23" t="s">
        <v>28</v>
      </c>
      <c r="B46" s="272">
        <v>67</v>
      </c>
      <c r="C46" s="57" t="s">
        <v>31</v>
      </c>
      <c r="D46" s="57" t="s">
        <v>30</v>
      </c>
      <c r="E46" s="57" t="s">
        <v>101</v>
      </c>
      <c r="F46" s="238" t="s">
        <v>37</v>
      </c>
      <c r="G46" s="215"/>
      <c r="H46" s="215"/>
      <c r="I46" s="1181"/>
      <c r="J46" s="1181"/>
      <c r="K46" s="215"/>
      <c r="L46" s="222"/>
      <c r="M46" s="222"/>
      <c r="N46" s="386"/>
      <c r="O46" s="224">
        <v>0</v>
      </c>
      <c r="P46" s="222">
        <v>0</v>
      </c>
      <c r="Q46" s="222">
        <v>0</v>
      </c>
      <c r="R46" s="223">
        <v>0.15</v>
      </c>
      <c r="S46" s="222">
        <v>0</v>
      </c>
      <c r="T46" s="258">
        <v>3.7499999999999999E-2</v>
      </c>
    </row>
    <row r="47" spans="1:20" x14ac:dyDescent="0.2">
      <c r="A47" s="18" t="s">
        <v>28</v>
      </c>
      <c r="B47" s="29" t="s">
        <v>54</v>
      </c>
      <c r="C47" s="56"/>
      <c r="D47" s="27"/>
      <c r="E47" s="27"/>
      <c r="F47" s="238"/>
      <c r="G47" s="222"/>
      <c r="H47" s="222"/>
      <c r="I47" s="1182"/>
      <c r="J47" s="1182"/>
      <c r="K47" s="222"/>
      <c r="L47" s="222"/>
      <c r="M47" s="222"/>
      <c r="N47" s="222"/>
      <c r="O47" s="222">
        <v>0</v>
      </c>
      <c r="P47" s="222">
        <v>0</v>
      </c>
      <c r="Q47" s="222">
        <v>0</v>
      </c>
      <c r="R47" s="222">
        <v>0</v>
      </c>
      <c r="S47" s="222">
        <v>0</v>
      </c>
      <c r="T47" s="223"/>
    </row>
    <row r="48" spans="1:20" x14ac:dyDescent="0.2">
      <c r="A48" s="30"/>
      <c r="B48" s="153" t="s">
        <v>108</v>
      </c>
      <c r="C48" s="31" t="s">
        <v>465</v>
      </c>
      <c r="D48" s="19"/>
      <c r="E48" s="19"/>
      <c r="F48" s="251"/>
      <c r="G48" s="249"/>
      <c r="H48" s="249"/>
      <c r="I48" s="1183"/>
      <c r="J48" s="633"/>
      <c r="K48" s="239"/>
      <c r="L48" s="239"/>
      <c r="M48" s="239"/>
      <c r="N48" s="227"/>
      <c r="O48" s="227">
        <v>27826890.32</v>
      </c>
      <c r="P48" s="227">
        <v>5217541.92</v>
      </c>
      <c r="Q48" s="227">
        <v>4158894.97</v>
      </c>
      <c r="R48" s="241"/>
      <c r="S48" s="227">
        <v>1058646.96</v>
      </c>
      <c r="T48" s="229"/>
    </row>
    <row r="49" spans="1:20" x14ac:dyDescent="0.2">
      <c r="A49" s="145"/>
      <c r="B49" s="146"/>
      <c r="C49" s="31" t="s">
        <v>466</v>
      </c>
      <c r="D49" s="103"/>
      <c r="E49" s="103"/>
      <c r="F49" s="145"/>
      <c r="G49" s="208"/>
      <c r="H49" s="208"/>
      <c r="I49" s="1184"/>
      <c r="J49" s="1184"/>
      <c r="K49" s="208"/>
      <c r="L49" s="208"/>
      <c r="M49" s="208"/>
      <c r="N49" s="208"/>
      <c r="O49" s="211"/>
      <c r="P49" s="211">
        <v>17494418.059999999</v>
      </c>
      <c r="Q49" s="363">
        <v>13944774.83</v>
      </c>
      <c r="R49" s="160"/>
      <c r="S49" s="363">
        <v>3549643.26</v>
      </c>
      <c r="T49" s="148"/>
    </row>
    <row r="50" spans="1:20" x14ac:dyDescent="0.2">
      <c r="A50" s="15" t="s">
        <v>161</v>
      </c>
      <c r="B50" s="16"/>
      <c r="C50" s="16"/>
      <c r="D50" s="16"/>
      <c r="E50" s="21"/>
      <c r="F50" s="15"/>
      <c r="G50" s="206"/>
      <c r="H50" s="207"/>
      <c r="I50" s="1185"/>
      <c r="J50" s="1186"/>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v>703340</v>
      </c>
      <c r="H51" s="222">
        <v>737730</v>
      </c>
      <c r="I51" s="216">
        <v>31.754100000000001</v>
      </c>
      <c r="J51" s="216">
        <v>34.032299999999999</v>
      </c>
      <c r="K51" s="222"/>
      <c r="L51" s="222"/>
      <c r="M51" s="222"/>
      <c r="N51" s="222">
        <v>2455.79</v>
      </c>
      <c r="O51" s="224">
        <v>47440577.372999996</v>
      </c>
      <c r="P51" s="222">
        <v>17666871.010000002</v>
      </c>
      <c r="Q51" s="222">
        <v>8833435.5099999998</v>
      </c>
      <c r="R51" s="223">
        <v>0.5</v>
      </c>
      <c r="S51" s="222"/>
      <c r="T51" s="258"/>
    </row>
    <row r="52" spans="1:20" x14ac:dyDescent="0.2">
      <c r="A52" s="23" t="s">
        <v>28</v>
      </c>
      <c r="B52" s="24" t="s">
        <v>159</v>
      </c>
      <c r="C52" s="57" t="s">
        <v>31</v>
      </c>
      <c r="D52" s="57" t="s">
        <v>30</v>
      </c>
      <c r="E52" s="57" t="s">
        <v>158</v>
      </c>
      <c r="F52" s="238" t="s">
        <v>56</v>
      </c>
      <c r="G52" s="216">
        <v>12597397.714500001</v>
      </c>
      <c r="H52" s="222">
        <v>13156940.599400001</v>
      </c>
      <c r="I52" s="216">
        <v>2.6981999999999999</v>
      </c>
      <c r="J52" s="558">
        <v>2.7660999999999998</v>
      </c>
      <c r="K52" s="222"/>
      <c r="L52" s="222"/>
      <c r="M52" s="222"/>
      <c r="N52" s="222">
        <v>4258.92</v>
      </c>
      <c r="O52" s="222">
        <v>70383582.409999996</v>
      </c>
      <c r="P52" s="222">
        <v>26260558.140000001</v>
      </c>
      <c r="Q52" s="222">
        <v>13130279.100000001</v>
      </c>
      <c r="R52" s="223">
        <v>0.5</v>
      </c>
      <c r="S52" s="222"/>
      <c r="T52" s="223"/>
    </row>
    <row r="53" spans="1:20" x14ac:dyDescent="0.2">
      <c r="A53" s="23" t="s">
        <v>28</v>
      </c>
      <c r="B53" s="24" t="s">
        <v>168</v>
      </c>
      <c r="C53" s="57" t="s">
        <v>31</v>
      </c>
      <c r="D53" s="57" t="s">
        <v>30</v>
      </c>
      <c r="E53" s="57" t="s">
        <v>158</v>
      </c>
      <c r="F53" s="238" t="s">
        <v>37</v>
      </c>
      <c r="G53" s="222">
        <v>167909</v>
      </c>
      <c r="H53" s="222">
        <v>176861</v>
      </c>
      <c r="I53" s="216">
        <v>31.754999999999999</v>
      </c>
      <c r="J53" s="216">
        <v>34.031999999999996</v>
      </c>
      <c r="K53" s="222"/>
      <c r="L53" s="222"/>
      <c r="M53" s="222"/>
      <c r="N53" s="222">
        <v>1731.9</v>
      </c>
      <c r="O53" s="224">
        <v>11350883.846999999</v>
      </c>
      <c r="P53" s="222">
        <v>4540353.54</v>
      </c>
      <c r="Q53" s="222">
        <v>2270176.77</v>
      </c>
      <c r="R53" s="223">
        <v>0.5</v>
      </c>
      <c r="S53" s="222"/>
      <c r="T53" s="223"/>
    </row>
    <row r="54" spans="1:20" x14ac:dyDescent="0.2">
      <c r="A54" s="23" t="s">
        <v>28</v>
      </c>
      <c r="B54" s="24" t="s">
        <v>169</v>
      </c>
      <c r="C54" s="57" t="s">
        <v>31</v>
      </c>
      <c r="D54" s="57" t="s">
        <v>30</v>
      </c>
      <c r="E54" s="57" t="s">
        <v>158</v>
      </c>
      <c r="F54" s="238" t="s">
        <v>56</v>
      </c>
      <c r="G54" s="222">
        <v>3802324.9873000002</v>
      </c>
      <c r="H54" s="222">
        <v>4019439.8025000002</v>
      </c>
      <c r="I54" s="558">
        <v>3.3540000000000001</v>
      </c>
      <c r="J54" s="216">
        <v>4.3710000000000004</v>
      </c>
      <c r="K54" s="222"/>
      <c r="L54" s="222"/>
      <c r="M54" s="222"/>
      <c r="N54" s="222">
        <v>2440.1799999999998</v>
      </c>
      <c r="O54" s="224">
        <v>30321969.384131704</v>
      </c>
      <c r="P54" s="222">
        <v>11522348.359999999</v>
      </c>
      <c r="Q54" s="222">
        <v>5761174.1799999997</v>
      </c>
      <c r="R54" s="223">
        <v>0.5</v>
      </c>
      <c r="S54" s="222"/>
      <c r="T54" s="223"/>
    </row>
    <row r="55" spans="1:20" x14ac:dyDescent="0.2">
      <c r="A55" s="23" t="s">
        <v>28</v>
      </c>
      <c r="B55" s="28" t="s">
        <v>175</v>
      </c>
      <c r="C55" s="57" t="s">
        <v>31</v>
      </c>
      <c r="D55" s="57" t="s">
        <v>30</v>
      </c>
      <c r="E55" s="57" t="s">
        <v>158</v>
      </c>
      <c r="F55" s="238" t="s">
        <v>37</v>
      </c>
      <c r="G55" s="222">
        <v>236810</v>
      </c>
      <c r="H55" s="222">
        <v>221079</v>
      </c>
      <c r="I55" s="216">
        <v>30.1358</v>
      </c>
      <c r="J55" s="216">
        <v>32.080100000000002</v>
      </c>
      <c r="K55" s="215"/>
      <c r="L55" s="222"/>
      <c r="M55" s="222"/>
      <c r="N55" s="215">
        <v>758.76</v>
      </c>
      <c r="O55" s="224">
        <v>14228695.2259</v>
      </c>
      <c r="P55" s="222">
        <v>953322.58041000005</v>
      </c>
      <c r="Q55" s="222">
        <v>476661.29</v>
      </c>
      <c r="R55" s="223">
        <v>0.5</v>
      </c>
      <c r="S55" s="222"/>
      <c r="T55" s="258"/>
    </row>
    <row r="56" spans="1:20" x14ac:dyDescent="0.2">
      <c r="A56" s="23" t="s">
        <v>28</v>
      </c>
      <c r="B56" s="272" t="s">
        <v>176</v>
      </c>
      <c r="C56" s="57" t="s">
        <v>31</v>
      </c>
      <c r="D56" s="57" t="s">
        <v>30</v>
      </c>
      <c r="E56" s="57" t="s">
        <v>158</v>
      </c>
      <c r="F56" s="238" t="s">
        <v>56</v>
      </c>
      <c r="G56" s="222">
        <v>3955331.7736</v>
      </c>
      <c r="H56" s="222">
        <v>3695931.5605000001</v>
      </c>
      <c r="I56" s="216">
        <v>3.488</v>
      </c>
      <c r="J56" s="216">
        <v>3.488</v>
      </c>
      <c r="K56" s="559"/>
      <c r="L56" s="222"/>
      <c r="M56" s="222"/>
      <c r="N56" s="215">
        <v>1876.78</v>
      </c>
      <c r="O56" s="224">
        <v>26687606.5093408</v>
      </c>
      <c r="P56" s="222">
        <v>2974288.5061419997</v>
      </c>
      <c r="Q56" s="222">
        <v>1487144.25</v>
      </c>
      <c r="R56" s="223">
        <v>0.5</v>
      </c>
      <c r="S56" s="222"/>
      <c r="T56" s="258"/>
    </row>
    <row r="57" spans="1:20" x14ac:dyDescent="0.2">
      <c r="A57" s="181" t="s">
        <v>28</v>
      </c>
      <c r="B57" s="182" t="s">
        <v>162</v>
      </c>
      <c r="C57" s="183"/>
      <c r="D57" s="183"/>
      <c r="E57" s="184"/>
      <c r="F57" s="33"/>
      <c r="G57" s="261"/>
      <c r="H57" s="262"/>
      <c r="I57" s="1187"/>
      <c r="J57" s="263"/>
      <c r="K57" s="263"/>
      <c r="L57" s="263"/>
      <c r="M57" s="187"/>
      <c r="N57" s="187"/>
      <c r="O57" s="990">
        <v>2815379.7411219263</v>
      </c>
      <c r="P57" s="990">
        <v>-471512.69600300502</v>
      </c>
      <c r="Q57" s="990">
        <v>-235756.35000000193</v>
      </c>
      <c r="R57" s="148"/>
      <c r="S57" s="188"/>
      <c r="T57" s="148"/>
    </row>
    <row r="58" spans="1:20" x14ac:dyDescent="0.2">
      <c r="A58" s="30"/>
      <c r="B58" s="153" t="s">
        <v>108</v>
      </c>
      <c r="C58" s="31" t="s">
        <v>467</v>
      </c>
      <c r="D58" s="19"/>
      <c r="E58" s="19"/>
      <c r="F58" s="268"/>
      <c r="G58" s="254">
        <v>3802324.9873000002</v>
      </c>
      <c r="H58" s="884">
        <v>4019439.8025000002</v>
      </c>
      <c r="I58" s="304"/>
      <c r="J58" s="884"/>
      <c r="K58" s="265"/>
      <c r="L58" s="259"/>
      <c r="M58" s="303"/>
      <c r="N58" s="201"/>
      <c r="O58" s="201">
        <v>203228694.4904944</v>
      </c>
      <c r="P58" s="201">
        <v>63446229.440549001</v>
      </c>
      <c r="Q58" s="201">
        <v>31723114.749999996</v>
      </c>
      <c r="R58" s="560"/>
      <c r="S58" s="192"/>
      <c r="T58" s="148"/>
    </row>
    <row r="59" spans="1:20" x14ac:dyDescent="0.2">
      <c r="A59" s="145"/>
      <c r="B59" s="146"/>
      <c r="C59" s="31" t="s">
        <v>468</v>
      </c>
      <c r="D59" s="103"/>
      <c r="E59" s="103"/>
      <c r="F59" s="268"/>
      <c r="G59" s="255">
        <v>3.3540000000000001</v>
      </c>
      <c r="H59" s="885">
        <v>4.3710000000000004</v>
      </c>
      <c r="I59" s="305"/>
      <c r="J59" s="884"/>
      <c r="K59" s="266"/>
      <c r="L59" s="260"/>
      <c r="M59" s="357"/>
      <c r="N59" s="358"/>
      <c r="O59" s="358"/>
      <c r="P59" s="194"/>
      <c r="Q59" s="194">
        <v>106367603.75674999</v>
      </c>
      <c r="R59" s="185"/>
      <c r="S59" s="192"/>
      <c r="T59" s="148"/>
    </row>
    <row r="60" spans="1:20" x14ac:dyDescent="0.2">
      <c r="A60" s="7" t="s">
        <v>55</v>
      </c>
      <c r="B60" s="8"/>
      <c r="C60" s="8"/>
      <c r="D60" s="8"/>
      <c r="E60" s="8"/>
      <c r="F60" s="269"/>
      <c r="G60" s="256">
        <v>12752998.007404201</v>
      </c>
      <c r="H60" s="886">
        <v>17568971.376727503</v>
      </c>
      <c r="I60" s="254">
        <v>30321969.384131704</v>
      </c>
      <c r="J60" s="884" t="e">
        <v>#REF!</v>
      </c>
      <c r="K60" s="306" t="e">
        <v>#REF!</v>
      </c>
      <c r="L60" s="307"/>
      <c r="M60" s="211">
        <v>0</v>
      </c>
      <c r="N60" s="211">
        <v>51557.020000000004</v>
      </c>
      <c r="O60" s="211">
        <v>246188482.81049439</v>
      </c>
      <c r="P60" s="363">
        <v>39772805.329999998</v>
      </c>
      <c r="Q60" s="196">
        <v>133358216.37674999</v>
      </c>
      <c r="R60" s="55"/>
      <c r="S60" s="196"/>
      <c r="T60" s="55"/>
    </row>
    <row r="61" spans="1:20" x14ac:dyDescent="0.2">
      <c r="N61" s="509"/>
      <c r="O61" s="252"/>
      <c r="Q61" s="65"/>
      <c r="S61" s="257"/>
    </row>
    <row r="62" spans="1:20" x14ac:dyDescent="0.2">
      <c r="A62" s="4" t="s">
        <v>93</v>
      </c>
      <c r="B62" s="1" t="s">
        <v>76</v>
      </c>
      <c r="H62" s="4" t="s">
        <v>77</v>
      </c>
      <c r="I62" s="4" t="s">
        <v>77</v>
      </c>
      <c r="K62" s="65"/>
      <c r="L62" s="65"/>
      <c r="N62" s="509"/>
      <c r="O62" s="1139">
        <v>6.700000005605021E-2</v>
      </c>
      <c r="P62" s="1121"/>
      <c r="Q62" s="65"/>
      <c r="S62" s="257"/>
    </row>
    <row r="63" spans="1:20" x14ac:dyDescent="0.2">
      <c r="B63" s="115" t="s">
        <v>78</v>
      </c>
      <c r="C63" s="116" t="s">
        <v>79</v>
      </c>
      <c r="D63" s="117"/>
      <c r="E63" s="118" t="s">
        <v>35</v>
      </c>
      <c r="F63" s="118" t="s">
        <v>80</v>
      </c>
      <c r="H63" s="89" t="s">
        <v>35</v>
      </c>
      <c r="I63" s="89" t="s">
        <v>35</v>
      </c>
      <c r="J63" s="8"/>
      <c r="K63" s="8"/>
      <c r="L63" s="8"/>
      <c r="M63" s="90"/>
      <c r="N63" s="509"/>
      <c r="O63" s="1139"/>
      <c r="P63" s="1121"/>
      <c r="Q63" s="65"/>
    </row>
    <row r="64" spans="1:20" x14ac:dyDescent="0.2">
      <c r="B64" s="91" t="s">
        <v>81</v>
      </c>
      <c r="C64" s="92" t="s">
        <v>82</v>
      </c>
      <c r="D64" s="93"/>
      <c r="E64" s="94"/>
      <c r="F64" s="94"/>
      <c r="H64" s="95" t="s">
        <v>469</v>
      </c>
      <c r="I64" s="95" t="s">
        <v>469</v>
      </c>
      <c r="M64" s="96"/>
      <c r="N64" s="561">
        <v>6.4199999463479832E-2</v>
      </c>
      <c r="O64" s="1165">
        <v>6.7000000108482685E-2</v>
      </c>
      <c r="P64" s="1166">
        <v>6.5400000585995433E-2</v>
      </c>
      <c r="Q64" s="65"/>
    </row>
    <row r="65" spans="1:20" x14ac:dyDescent="0.2">
      <c r="B65" s="97" t="s">
        <v>83</v>
      </c>
      <c r="C65" s="98" t="s">
        <v>84</v>
      </c>
      <c r="D65" s="99"/>
      <c r="E65" s="100"/>
      <c r="F65" s="101"/>
      <c r="H65" s="102">
        <v>0</v>
      </c>
      <c r="I65" s="102">
        <v>0</v>
      </c>
      <c r="J65" s="103"/>
      <c r="K65" s="103"/>
      <c r="L65" s="103"/>
      <c r="M65" s="104"/>
      <c r="N65" s="561">
        <v>9.8900000237297003E-2</v>
      </c>
      <c r="O65" s="1166">
        <v>0.1129999998996674</v>
      </c>
      <c r="P65" s="1166">
        <v>0.10720000029225395</v>
      </c>
      <c r="Q65" s="314"/>
    </row>
    <row r="66" spans="1:20" x14ac:dyDescent="0.2">
      <c r="B66" s="97" t="s">
        <v>85</v>
      </c>
      <c r="C66" s="98" t="s">
        <v>86</v>
      </c>
      <c r="D66" s="99"/>
      <c r="E66" s="100"/>
      <c r="F66" s="100"/>
      <c r="J66" s="105"/>
      <c r="N66" s="561">
        <v>0.39999999979093542</v>
      </c>
      <c r="O66" s="252"/>
      <c r="P66" s="1121"/>
      <c r="Q66" s="257"/>
    </row>
    <row r="67" spans="1:20" x14ac:dyDescent="0.2">
      <c r="B67" s="97" t="s">
        <v>87</v>
      </c>
      <c r="C67" s="98" t="s">
        <v>88</v>
      </c>
      <c r="D67" s="99"/>
      <c r="E67" s="106"/>
      <c r="F67" s="106"/>
      <c r="H67" s="89" t="s">
        <v>80</v>
      </c>
      <c r="I67" s="89" t="s">
        <v>80</v>
      </c>
      <c r="J67" s="107"/>
      <c r="K67" s="8"/>
      <c r="L67" s="8"/>
      <c r="M67" s="90"/>
      <c r="N67" s="561"/>
      <c r="O67" s="252"/>
      <c r="P67" s="252"/>
    </row>
    <row r="68" spans="1:20" x14ac:dyDescent="0.2">
      <c r="B68" s="97" t="s">
        <v>89</v>
      </c>
      <c r="C68" s="98" t="s">
        <v>90</v>
      </c>
      <c r="D68" s="99"/>
      <c r="E68" s="108"/>
      <c r="F68" s="101"/>
      <c r="H68" s="95" t="s">
        <v>469</v>
      </c>
      <c r="I68" s="95" t="s">
        <v>469</v>
      </c>
      <c r="J68" s="105"/>
      <c r="M68" s="96"/>
      <c r="N68" s="562"/>
      <c r="O68" s="252"/>
      <c r="P68" s="1167">
        <v>0.11139999989692813</v>
      </c>
    </row>
    <row r="69" spans="1:20" x14ac:dyDescent="0.2">
      <c r="B69" s="109" t="s">
        <v>91</v>
      </c>
      <c r="C69" s="110" t="s">
        <v>92</v>
      </c>
      <c r="D69" s="111"/>
      <c r="E69" s="112"/>
      <c r="F69" s="112"/>
      <c r="H69" s="102">
        <v>0</v>
      </c>
      <c r="I69" s="102">
        <v>0</v>
      </c>
      <c r="J69" s="113"/>
      <c r="K69" s="103"/>
      <c r="L69" s="103"/>
      <c r="M69" s="104"/>
      <c r="N69" s="325"/>
      <c r="O69" s="252"/>
      <c r="P69" s="252"/>
    </row>
    <row r="70" spans="1:20" x14ac:dyDescent="0.2">
      <c r="A70" s="4"/>
      <c r="H70" s="177"/>
      <c r="M70" s="325"/>
      <c r="N70" s="325"/>
      <c r="O70" s="325"/>
    </row>
    <row r="71" spans="1:20" ht="15.75" outlineLevel="1" x14ac:dyDescent="0.25">
      <c r="A71"/>
      <c r="B71"/>
      <c r="C71"/>
      <c r="D71"/>
      <c r="E71"/>
      <c r="F71"/>
      <c r="G71"/>
      <c r="H71"/>
      <c r="I71"/>
      <c r="J71"/>
      <c r="K71"/>
      <c r="L71"/>
      <c r="M71"/>
      <c r="N71"/>
      <c r="O71"/>
      <c r="P71"/>
      <c r="Q71"/>
      <c r="R71"/>
      <c r="S71"/>
      <c r="T71"/>
    </row>
    <row r="72" spans="1:20" ht="15.75" outlineLevel="1" x14ac:dyDescent="0.25">
      <c r="A72"/>
      <c r="B72"/>
      <c r="C72"/>
      <c r="D72"/>
      <c r="E72"/>
      <c r="F72"/>
      <c r="G72"/>
      <c r="H72"/>
      <c r="I72"/>
      <c r="J72"/>
      <c r="K72"/>
      <c r="L72"/>
      <c r="M72"/>
      <c r="N72"/>
      <c r="O72"/>
      <c r="P72"/>
      <c r="Q72"/>
      <c r="R72"/>
      <c r="S72"/>
      <c r="T72"/>
    </row>
    <row r="73" spans="1:20" ht="15.75" outlineLevel="1" x14ac:dyDescent="0.25">
      <c r="A73"/>
      <c r="B73"/>
      <c r="C73"/>
      <c r="D73"/>
      <c r="E73"/>
      <c r="F73"/>
      <c r="G73"/>
      <c r="H73"/>
      <c r="I73"/>
      <c r="J73"/>
      <c r="K73"/>
      <c r="L73"/>
      <c r="M73"/>
      <c r="N73"/>
      <c r="O73"/>
      <c r="P73"/>
      <c r="Q73"/>
      <c r="R73"/>
      <c r="S73"/>
      <c r="T73"/>
    </row>
    <row r="74" spans="1:20" ht="15.75" outlineLevel="1" x14ac:dyDescent="0.25">
      <c r="A74"/>
      <c r="B74"/>
      <c r="C74"/>
      <c r="D74"/>
      <c r="E74"/>
      <c r="F74"/>
      <c r="G74"/>
      <c r="H74"/>
      <c r="I74"/>
      <c r="J74"/>
      <c r="K74"/>
      <c r="L74"/>
      <c r="M74"/>
      <c r="N74"/>
      <c r="O74"/>
      <c r="P74"/>
      <c r="Q74"/>
      <c r="R74"/>
      <c r="S74"/>
      <c r="T74"/>
    </row>
    <row r="75" spans="1:20" ht="15.75" outlineLevel="1" x14ac:dyDescent="0.25">
      <c r="A75"/>
      <c r="B75"/>
      <c r="C75"/>
      <c r="D75"/>
      <c r="E75"/>
      <c r="F75"/>
      <c r="G75"/>
      <c r="H75"/>
      <c r="I75"/>
      <c r="J75"/>
      <c r="K75"/>
      <c r="L75"/>
      <c r="M75"/>
      <c r="N75"/>
      <c r="O75"/>
      <c r="P75"/>
      <c r="Q75"/>
      <c r="R75"/>
      <c r="S75"/>
      <c r="T75"/>
    </row>
    <row r="76" spans="1:20" ht="15.75" x14ac:dyDescent="0.25">
      <c r="A76"/>
      <c r="B76"/>
      <c r="C76"/>
      <c r="D76"/>
      <c r="E76"/>
      <c r="F76"/>
      <c r="G76"/>
      <c r="H76"/>
      <c r="I76"/>
      <c r="J76"/>
      <c r="K76"/>
      <c r="L76"/>
      <c r="M76"/>
      <c r="N76"/>
      <c r="O76"/>
      <c r="P76"/>
      <c r="Q76"/>
      <c r="R76"/>
      <c r="S76"/>
      <c r="T76"/>
    </row>
  </sheetData>
  <mergeCells count="2">
    <mergeCell ref="C7:C8"/>
    <mergeCell ref="O7:O8"/>
  </mergeCells>
  <printOptions horizontalCentered="1" verticalCentered="1"/>
  <pageMargins left="0.25" right="0.25" top="0.5" bottom="0.5" header="0" footer="0"/>
  <pageSetup scale="5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298"/>
  <sheetViews>
    <sheetView view="pageBreakPreview" topLeftCell="B1" zoomScale="115" zoomScaleNormal="95" zoomScaleSheetLayoutView="115" workbookViewId="0">
      <pane xSplit="1" topLeftCell="C1" activePane="topRight" state="frozen"/>
      <selection activeCell="B19" sqref="B19"/>
      <selection pane="topRight" activeCell="B67" sqref="B67"/>
    </sheetView>
  </sheetViews>
  <sheetFormatPr baseColWidth="10" defaultColWidth="8.77734375" defaultRowHeight="12.75" x14ac:dyDescent="0.2"/>
  <cols>
    <col min="1" max="1" width="3" style="1" customWidth="1"/>
    <col min="2" max="2" width="12.77734375" style="1" customWidth="1"/>
    <col min="3" max="3" width="7.77734375" style="1" customWidth="1"/>
    <col min="4" max="4" width="8.109375" style="1" customWidth="1"/>
    <col min="5" max="5" width="8.77734375" style="1" customWidth="1"/>
    <col min="6" max="6" width="8.44140625" style="1" customWidth="1"/>
    <col min="7" max="14" width="10.44140625" style="1" customWidth="1"/>
    <col min="15" max="15" width="12.44140625" style="1" customWidth="1"/>
    <col min="16" max="17" width="11.5546875" style="1" customWidth="1"/>
    <col min="18" max="18" width="5.77734375" style="1" customWidth="1"/>
    <col min="19" max="19" width="11.5546875" style="1" customWidth="1"/>
    <col min="20" max="20" width="5.77734375" style="1" customWidth="1"/>
    <col min="21" max="21" width="11.77734375" style="1" hidden="1" customWidth="1"/>
    <col min="22" max="22" width="10.109375" style="1" hidden="1" customWidth="1"/>
    <col min="23" max="23" width="9.5546875" style="1" hidden="1" customWidth="1"/>
    <col min="24" max="24" width="12.109375" style="1" hidden="1" customWidth="1"/>
    <col min="25" max="33" width="0" style="1" hidden="1" customWidth="1"/>
    <col min="34" max="16384" width="8.77734375" style="1"/>
  </cols>
  <sheetData>
    <row r="1" spans="1:33" x14ac:dyDescent="0.2">
      <c r="A1" s="1" t="s">
        <v>51</v>
      </c>
      <c r="C1" s="3"/>
      <c r="D1" s="3"/>
      <c r="E1" s="6">
        <v>45322</v>
      </c>
      <c r="F1" s="270">
        <v>1</v>
      </c>
      <c r="U1" s="51" t="s">
        <v>60</v>
      </c>
      <c r="V1" s="51"/>
      <c r="W1" s="67">
        <f>DATE(YEAR(E1),MONTH(E1)+1,1)-DATE(YEAR(E1),MONTH(E1),1)</f>
        <v>31</v>
      </c>
    </row>
    <row r="2" spans="1:33" x14ac:dyDescent="0.2">
      <c r="A2" s="3" t="s">
        <v>0</v>
      </c>
    </row>
    <row r="3" spans="1:33" x14ac:dyDescent="0.2">
      <c r="A3" s="133" t="s">
        <v>109</v>
      </c>
      <c r="B3" s="133"/>
      <c r="C3" s="133"/>
      <c r="D3" s="133"/>
      <c r="E3" s="133"/>
      <c r="F3" s="133"/>
      <c r="G3" s="133"/>
      <c r="H3" s="133"/>
      <c r="I3" s="133"/>
      <c r="J3" s="133"/>
      <c r="K3" s="133"/>
      <c r="L3" s="133"/>
      <c r="M3" s="133"/>
      <c r="N3" s="133"/>
      <c r="O3" s="133"/>
      <c r="P3" s="133"/>
      <c r="Q3" s="133"/>
      <c r="R3" s="133"/>
      <c r="S3" s="133"/>
      <c r="T3" s="133"/>
      <c r="V3" s="133"/>
      <c r="W3" s="133"/>
      <c r="X3" s="133"/>
      <c r="Y3" s="133"/>
      <c r="Z3" s="133"/>
      <c r="AA3" s="133"/>
      <c r="AB3" s="133"/>
      <c r="AC3" s="133"/>
      <c r="AD3" s="133"/>
      <c r="AE3" s="133"/>
      <c r="AF3" s="133"/>
    </row>
    <row r="4" spans="1:33" x14ac:dyDescent="0.2">
      <c r="A4" s="132" t="str">
        <f>"Correspondiente a  "&amp;TEXT(E1,"MMMMMMM YYYY")</f>
        <v>Correspondiente a  Enero 2024</v>
      </c>
      <c r="B4" s="132"/>
      <c r="C4" s="132"/>
      <c r="D4" s="132"/>
      <c r="E4" s="132"/>
      <c r="F4" s="132"/>
      <c r="G4" s="132"/>
      <c r="H4" s="132"/>
      <c r="I4" s="132"/>
      <c r="J4" s="132"/>
      <c r="K4" s="132"/>
      <c r="L4" s="132"/>
      <c r="M4" s="132"/>
      <c r="N4" s="132"/>
      <c r="O4" s="132"/>
      <c r="P4" s="132"/>
      <c r="Q4" s="132"/>
      <c r="R4" s="132"/>
      <c r="S4" s="132"/>
      <c r="T4" s="132"/>
      <c r="V4" s="132"/>
      <c r="W4" s="132"/>
      <c r="X4" s="132"/>
      <c r="Y4" s="132"/>
      <c r="Z4" s="132"/>
      <c r="AA4" s="132"/>
      <c r="AB4" s="132"/>
      <c r="AC4" s="132"/>
      <c r="AD4" s="132"/>
      <c r="AE4" s="132"/>
      <c r="AF4" s="132"/>
    </row>
    <row r="5" spans="1:33" x14ac:dyDescent="0.2">
      <c r="A5" s="132" t="str">
        <f>"Tipo de Cambio= "&amp;TEXT(F1,"0.000")</f>
        <v>Tipo de Cambio= 1.000</v>
      </c>
      <c r="B5" s="132"/>
      <c r="C5" s="132"/>
      <c r="D5" s="132"/>
      <c r="E5" s="132"/>
      <c r="F5" s="132"/>
      <c r="G5" s="132"/>
      <c r="H5" s="132"/>
      <c r="I5" s="132"/>
      <c r="J5" s="132"/>
      <c r="K5" s="132"/>
      <c r="L5" s="132"/>
      <c r="M5" s="132"/>
      <c r="N5" s="132"/>
      <c r="O5" s="132"/>
      <c r="P5" s="132"/>
      <c r="Q5" s="132"/>
      <c r="R5" s="132"/>
      <c r="S5" s="132"/>
      <c r="T5" s="132"/>
      <c r="V5" s="132"/>
      <c r="W5" s="132"/>
      <c r="X5" s="132"/>
      <c r="Y5" s="132"/>
      <c r="Z5" s="132"/>
      <c r="AA5" s="132"/>
      <c r="AB5" s="132"/>
      <c r="AC5" s="132"/>
      <c r="AD5" s="132"/>
      <c r="AE5" s="132"/>
      <c r="AF5" s="132"/>
    </row>
    <row r="6" spans="1:33" x14ac:dyDescent="0.2">
      <c r="H6" s="2"/>
      <c r="P6" s="267"/>
    </row>
    <row r="7" spans="1:33"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3"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3"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3" x14ac:dyDescent="0.2">
      <c r="A10" s="23" t="s">
        <v>28</v>
      </c>
      <c r="B10" s="24" t="s">
        <v>13</v>
      </c>
      <c r="C10" s="57" t="s">
        <v>29</v>
      </c>
      <c r="D10" s="25" t="s">
        <v>21</v>
      </c>
      <c r="E10" s="57" t="s">
        <v>98</v>
      </c>
      <c r="F10" s="236" t="s">
        <v>37</v>
      </c>
      <c r="G10" s="215">
        <v>5090</v>
      </c>
      <c r="H10" s="215">
        <v>9219</v>
      </c>
      <c r="I10" s="217">
        <v>77.803799999999995</v>
      </c>
      <c r="J10" s="217">
        <v>80.831900000000005</v>
      </c>
      <c r="K10" s="222"/>
      <c r="L10" s="222"/>
      <c r="M10" s="222"/>
      <c r="N10" s="386">
        <v>90.97</v>
      </c>
      <c r="O10" s="215">
        <f t="shared" ref="O10:O32" si="0">ROUND(G10*I10,2)+ROUND(H10*J10,2)-K10-L10-M10-N10</f>
        <v>1141119.6600000001</v>
      </c>
      <c r="P10" s="222">
        <f>ROUND(18.75%*O10,2)</f>
        <v>213959.94</v>
      </c>
      <c r="Q10" s="222">
        <f>ROUND($O10*R10,2)</f>
        <v>171167.95</v>
      </c>
      <c r="R10" s="223">
        <v>0.15</v>
      </c>
      <c r="S10" s="222">
        <f t="shared" ref="S10:S40" si="1">ROUND($O10*T10,2)</f>
        <v>42791.99</v>
      </c>
      <c r="T10" s="258">
        <v>3.7499999999999999E-2</v>
      </c>
      <c r="U10" s="66">
        <f t="shared" ref="U10:U32" si="2">IF($F10&amp;"/Día"=W$9,SUM($G10:$H10),"")</f>
        <v>14309</v>
      </c>
      <c r="V10" s="66">
        <f>IF(U10&lt;&gt;"",$O10,"")</f>
        <v>1141119.6600000001</v>
      </c>
      <c r="W10" s="73">
        <f>IF($F10&amp;"/Día"=W$9,ROUND(U10/$W$1,1),"")</f>
        <v>461.6</v>
      </c>
      <c r="X10" s="74">
        <f t="shared" ref="X10:X32" si="3">IF(U10=0,0,IF($F10&amp;"/Día"=W$9,ROUND(V10/U10,4),""))</f>
        <v>79.748400000000004</v>
      </c>
      <c r="Y10" s="74">
        <f t="shared" ref="Y10:Y32" si="4">IF(U10=0,0,IF($F10&amp;"/Día"=W$9,ROUND(Z10/U10,4),""))</f>
        <v>14.9528</v>
      </c>
      <c r="Z10" s="66">
        <f t="shared" ref="Z10:Z32" si="5">IF(U10&lt;&gt;"",$P10,"")</f>
        <v>213959.94</v>
      </c>
      <c r="AA10" s="66" t="str">
        <f t="shared" ref="AA10:AA32" si="6">IF($F10&amp;"/Día"=AC$9,SUM($G10:$H10),"")</f>
        <v/>
      </c>
      <c r="AB10" s="66" t="str">
        <f>IF(AA10&lt;&gt;"",$O10,"")</f>
        <v/>
      </c>
      <c r="AC10" s="73" t="str">
        <f>IF($F10&amp;"/Día"=AC$9,ROUND(AA10/$W$1,1),"")</f>
        <v/>
      </c>
      <c r="AD10" s="74" t="str">
        <f t="shared" ref="AD10:AD32" si="7">IF(AA10=0,0,IF($F10&amp;"/Día"=AC$9,ROUND(AB10/AA10,4),""))</f>
        <v/>
      </c>
      <c r="AE10" s="74" t="str">
        <f t="shared" ref="AE10:AE32" si="8">IF(AA10=0,0,IF($F10&amp;"/Día"=AC$9,ROUND(AF10/AA10,4),""))</f>
        <v/>
      </c>
      <c r="AF10" s="66" t="str">
        <f t="shared" ref="AF10:AF32" si="9">IF(AA10&lt;&gt;"",$P10,"")</f>
        <v/>
      </c>
      <c r="AG10" s="49"/>
    </row>
    <row r="11" spans="1:33" ht="12.75" customHeight="1" x14ac:dyDescent="0.2">
      <c r="A11" s="23" t="s">
        <v>28</v>
      </c>
      <c r="B11" s="24" t="s">
        <v>14</v>
      </c>
      <c r="C11" s="57" t="s">
        <v>29</v>
      </c>
      <c r="D11" s="25" t="s">
        <v>21</v>
      </c>
      <c r="E11" s="57" t="s">
        <v>98</v>
      </c>
      <c r="F11" s="236" t="s">
        <v>56</v>
      </c>
      <c r="G11" s="215">
        <v>46748.626300000004</v>
      </c>
      <c r="H11" s="215">
        <v>49502.049400000004</v>
      </c>
      <c r="I11" s="217">
        <v>4</v>
      </c>
      <c r="J11" s="217">
        <v>4</v>
      </c>
      <c r="K11" s="222"/>
      <c r="L11" s="222"/>
      <c r="M11" s="222"/>
      <c r="N11" s="386">
        <v>254.71</v>
      </c>
      <c r="O11" s="215">
        <f t="shared" si="0"/>
        <v>384748</v>
      </c>
      <c r="P11" s="222">
        <f t="shared" ref="P11:P40" si="10">ROUND(18.75%*O11,2)</f>
        <v>72140.25</v>
      </c>
      <c r="Q11" s="222">
        <f t="shared" ref="Q11:Q32" si="11">ROUND($O11*R11,2)</f>
        <v>57712.2</v>
      </c>
      <c r="R11" s="223">
        <v>0.15</v>
      </c>
      <c r="S11" s="222">
        <f t="shared" si="1"/>
        <v>14428.05</v>
      </c>
      <c r="T11" s="258">
        <v>3.7499999999999999E-2</v>
      </c>
      <c r="U11" s="40" t="str">
        <f t="shared" si="2"/>
        <v/>
      </c>
      <c r="V11" s="40" t="str">
        <f t="shared" ref="V11:V41" si="12">IF(U11&lt;&gt;"",$O11,"")</f>
        <v/>
      </c>
      <c r="W11" s="75" t="str">
        <f t="shared" ref="W11:W46" si="13">IF($F11&amp;"/Día"=W$9,ROUND(U11/$W$1,1),"")</f>
        <v/>
      </c>
      <c r="X11" s="76" t="str">
        <f t="shared" si="3"/>
        <v/>
      </c>
      <c r="Y11" s="76" t="str">
        <f t="shared" si="4"/>
        <v/>
      </c>
      <c r="Z11" s="40" t="str">
        <f t="shared" si="5"/>
        <v/>
      </c>
      <c r="AA11" s="40">
        <f t="shared" si="6"/>
        <v>96250.675700000007</v>
      </c>
      <c r="AB11" s="40">
        <f t="shared" ref="AB11:AB41" si="14">IF(AA11&lt;&gt;"",$O11,"")</f>
        <v>384748</v>
      </c>
      <c r="AC11" s="75">
        <f t="shared" ref="AC11:AC46" si="15">IF($F11&amp;"/Día"=AC$9,ROUND(AA11/$W$1,1),"")</f>
        <v>3104.9</v>
      </c>
      <c r="AD11" s="76">
        <f t="shared" si="7"/>
        <v>3.9973999999999998</v>
      </c>
      <c r="AE11" s="76">
        <f t="shared" si="8"/>
        <v>0.74950000000000006</v>
      </c>
      <c r="AF11" s="40">
        <f t="shared" si="9"/>
        <v>72140.25</v>
      </c>
      <c r="AG11" s="50"/>
    </row>
    <row r="12" spans="1:33" x14ac:dyDescent="0.2">
      <c r="A12" s="23" t="s">
        <v>28</v>
      </c>
      <c r="B12" s="24" t="s">
        <v>3</v>
      </c>
      <c r="C12" s="57" t="s">
        <v>31</v>
      </c>
      <c r="D12" s="25" t="s">
        <v>30</v>
      </c>
      <c r="E12" s="57" t="s">
        <v>101</v>
      </c>
      <c r="F12" s="236" t="s">
        <v>37</v>
      </c>
      <c r="G12" s="215">
        <v>7222</v>
      </c>
      <c r="H12" s="215">
        <v>8503</v>
      </c>
      <c r="I12" s="217">
        <v>78.362799999999993</v>
      </c>
      <c r="J12" s="217">
        <v>80.843100000000007</v>
      </c>
      <c r="K12" s="222"/>
      <c r="L12" s="222"/>
      <c r="M12" s="222"/>
      <c r="N12" s="386">
        <v>731.38</v>
      </c>
      <c r="O12" s="215">
        <f t="shared" si="0"/>
        <v>1252613.6400000001</v>
      </c>
      <c r="P12" s="222">
        <f t="shared" si="10"/>
        <v>234865.06</v>
      </c>
      <c r="Q12" s="222">
        <f>ROUND($O12*R12,2)</f>
        <v>187892.05</v>
      </c>
      <c r="R12" s="223">
        <v>0.15</v>
      </c>
      <c r="S12" s="222">
        <f t="shared" si="1"/>
        <v>46973.01</v>
      </c>
      <c r="T12" s="258">
        <v>3.7499999999999999E-2</v>
      </c>
      <c r="U12" s="40">
        <f t="shared" si="2"/>
        <v>15725</v>
      </c>
      <c r="V12" s="40">
        <f t="shared" si="12"/>
        <v>1252613.6400000001</v>
      </c>
      <c r="W12" s="75">
        <f t="shared" si="13"/>
        <v>507.3</v>
      </c>
      <c r="X12" s="76">
        <f t="shared" si="3"/>
        <v>79.657499999999999</v>
      </c>
      <c r="Y12" s="76">
        <f t="shared" si="4"/>
        <v>14.9358</v>
      </c>
      <c r="Z12" s="40">
        <f t="shared" si="5"/>
        <v>234865.06</v>
      </c>
      <c r="AA12" s="40" t="str">
        <f t="shared" si="6"/>
        <v/>
      </c>
      <c r="AB12" s="40" t="str">
        <f t="shared" si="14"/>
        <v/>
      </c>
      <c r="AC12" s="75" t="str">
        <f t="shared" si="15"/>
        <v/>
      </c>
      <c r="AD12" s="76" t="str">
        <f t="shared" si="7"/>
        <v/>
      </c>
      <c r="AE12" s="76" t="str">
        <f t="shared" si="8"/>
        <v/>
      </c>
      <c r="AF12" s="40" t="str">
        <f t="shared" si="9"/>
        <v/>
      </c>
      <c r="AG12" s="50"/>
    </row>
    <row r="13" spans="1:33" x14ac:dyDescent="0.2">
      <c r="A13" s="242" t="s">
        <v>28</v>
      </c>
      <c r="B13" s="245" t="s">
        <v>172</v>
      </c>
      <c r="C13" s="236" t="s">
        <v>29</v>
      </c>
      <c r="D13" s="243" t="s">
        <v>21</v>
      </c>
      <c r="E13" s="236" t="s">
        <v>98</v>
      </c>
      <c r="F13" s="236" t="s">
        <v>56</v>
      </c>
      <c r="G13" s="215">
        <v>19136.188099999999</v>
      </c>
      <c r="H13" s="215">
        <v>14569.777099999999</v>
      </c>
      <c r="I13" s="217">
        <v>2.8113999999999999</v>
      </c>
      <c r="J13" s="217">
        <v>2.8113999999999999</v>
      </c>
      <c r="K13" s="222"/>
      <c r="L13" s="222"/>
      <c r="M13" s="222"/>
      <c r="N13" s="386">
        <v>782.32</v>
      </c>
      <c r="O13" s="215">
        <f>ROUND(G13*I13,2)+ROUND(H13*J13,2)-K13-L13-M13-N13</f>
        <v>93978.63</v>
      </c>
      <c r="P13" s="222">
        <f t="shared" si="10"/>
        <v>17620.990000000002</v>
      </c>
      <c r="Q13" s="222">
        <f>ROUND($O13*R13,2)</f>
        <v>14096.79</v>
      </c>
      <c r="R13" s="223">
        <v>0.15</v>
      </c>
      <c r="S13" s="222">
        <f t="shared" si="1"/>
        <v>3524.2</v>
      </c>
      <c r="T13" s="258">
        <v>3.7499999999999999E-2</v>
      </c>
      <c r="U13" s="40" t="str">
        <f t="shared" si="2"/>
        <v/>
      </c>
      <c r="V13" s="40" t="str">
        <f t="shared" si="12"/>
        <v/>
      </c>
      <c r="W13" s="75" t="str">
        <f t="shared" si="13"/>
        <v/>
      </c>
      <c r="X13" s="76" t="str">
        <f t="shared" si="3"/>
        <v/>
      </c>
      <c r="Y13" s="76" t="str">
        <f t="shared" si="4"/>
        <v/>
      </c>
      <c r="Z13" s="40" t="str">
        <f t="shared" si="5"/>
        <v/>
      </c>
      <c r="AA13" s="40">
        <f t="shared" si="6"/>
        <v>33705.965199999999</v>
      </c>
      <c r="AB13" s="40">
        <f t="shared" si="14"/>
        <v>93978.63</v>
      </c>
      <c r="AC13" s="75">
        <f t="shared" si="15"/>
        <v>1087.3</v>
      </c>
      <c r="AD13" s="76">
        <f t="shared" si="7"/>
        <v>2.7881999999999998</v>
      </c>
      <c r="AE13" s="76">
        <f t="shared" si="8"/>
        <v>0.52280000000000004</v>
      </c>
      <c r="AF13" s="40">
        <f t="shared" si="9"/>
        <v>17620.990000000002</v>
      </c>
      <c r="AG13" s="50"/>
    </row>
    <row r="14" spans="1:33" x14ac:dyDescent="0.2">
      <c r="A14" s="23" t="s">
        <v>28</v>
      </c>
      <c r="B14" s="24" t="s">
        <v>4</v>
      </c>
      <c r="C14" s="57" t="s">
        <v>31</v>
      </c>
      <c r="D14" s="25" t="s">
        <v>30</v>
      </c>
      <c r="E14" s="57" t="s">
        <v>101</v>
      </c>
      <c r="F14" s="236" t="s">
        <v>37</v>
      </c>
      <c r="G14" s="215">
        <v>23259</v>
      </c>
      <c r="H14" s="215">
        <v>25725</v>
      </c>
      <c r="I14" s="217">
        <v>77.803799999999995</v>
      </c>
      <c r="J14" s="217">
        <v>80.831900000000005</v>
      </c>
      <c r="K14" s="222"/>
      <c r="L14" s="222"/>
      <c r="M14" s="222"/>
      <c r="N14" s="386">
        <v>1022.61</v>
      </c>
      <c r="O14" s="215">
        <f t="shared" si="0"/>
        <v>3888016.6</v>
      </c>
      <c r="P14" s="222">
        <f t="shared" si="10"/>
        <v>729003.11</v>
      </c>
      <c r="Q14" s="222">
        <f t="shared" si="11"/>
        <v>583202.49</v>
      </c>
      <c r="R14" s="223">
        <v>0.15</v>
      </c>
      <c r="S14" s="222">
        <f t="shared" si="1"/>
        <v>145800.62</v>
      </c>
      <c r="T14" s="258">
        <v>3.7499999999999999E-2</v>
      </c>
      <c r="U14" s="40">
        <f t="shared" si="2"/>
        <v>48984</v>
      </c>
      <c r="V14" s="40">
        <f t="shared" si="12"/>
        <v>3888016.6</v>
      </c>
      <c r="W14" s="75">
        <f t="shared" si="13"/>
        <v>1580.1</v>
      </c>
      <c r="X14" s="76">
        <f t="shared" si="3"/>
        <v>79.373199999999997</v>
      </c>
      <c r="Y14" s="76">
        <f t="shared" si="4"/>
        <v>14.8825</v>
      </c>
      <c r="Z14" s="40">
        <f t="shared" si="5"/>
        <v>729003.11</v>
      </c>
      <c r="AA14" s="40" t="str">
        <f t="shared" si="6"/>
        <v/>
      </c>
      <c r="AB14" s="40" t="str">
        <f t="shared" si="14"/>
        <v/>
      </c>
      <c r="AC14" s="75" t="str">
        <f t="shared" si="15"/>
        <v/>
      </c>
      <c r="AD14" s="76" t="str">
        <f t="shared" si="7"/>
        <v/>
      </c>
      <c r="AE14" s="76" t="str">
        <f t="shared" si="8"/>
        <v/>
      </c>
      <c r="AF14" s="40" t="str">
        <f t="shared" si="9"/>
        <v/>
      </c>
      <c r="AG14" s="50"/>
    </row>
    <row r="15" spans="1:33" s="325" customFormat="1" x14ac:dyDescent="0.2">
      <c r="A15" s="514" t="s">
        <v>28</v>
      </c>
      <c r="B15" s="515" t="s">
        <v>307</v>
      </c>
      <c r="C15" s="516" t="s">
        <v>29</v>
      </c>
      <c r="D15" s="517" t="s">
        <v>21</v>
      </c>
      <c r="E15" s="516" t="s">
        <v>98</v>
      </c>
      <c r="F15" s="516" t="s">
        <v>56</v>
      </c>
      <c r="G15" s="518">
        <v>8348.9928</v>
      </c>
      <c r="H15" s="518">
        <v>1540.6732999999999</v>
      </c>
      <c r="I15" s="519">
        <v>3.21</v>
      </c>
      <c r="J15" s="519">
        <v>3.2</v>
      </c>
      <c r="K15" s="520"/>
      <c r="L15" s="520"/>
      <c r="M15" s="520"/>
      <c r="N15" s="520"/>
      <c r="O15" s="224">
        <f t="shared" si="0"/>
        <v>31730.42</v>
      </c>
      <c r="P15" s="222">
        <f t="shared" si="10"/>
        <v>5949.45</v>
      </c>
      <c r="Q15" s="222">
        <f t="shared" si="11"/>
        <v>36489.980000000003</v>
      </c>
      <c r="R15" s="223">
        <v>1.1499999999999999</v>
      </c>
      <c r="S15" s="222">
        <f t="shared" si="1"/>
        <v>1189.8900000000001</v>
      </c>
      <c r="T15" s="258">
        <v>3.7499999999999999E-2</v>
      </c>
      <c r="U15" s="521"/>
      <c r="V15" s="521"/>
      <c r="W15" s="522"/>
      <c r="X15" s="523"/>
      <c r="Y15" s="523"/>
      <c r="Z15" s="521"/>
      <c r="AA15" s="521"/>
      <c r="AB15" s="521"/>
      <c r="AC15" s="522"/>
      <c r="AD15" s="523"/>
      <c r="AE15" s="523"/>
      <c r="AF15" s="521"/>
      <c r="AG15" s="524"/>
    </row>
    <row r="16" spans="1:33" x14ac:dyDescent="0.2">
      <c r="A16" s="23" t="s">
        <v>28</v>
      </c>
      <c r="B16" s="24" t="s">
        <v>5</v>
      </c>
      <c r="C16" s="57" t="s">
        <v>31</v>
      </c>
      <c r="D16" s="25" t="s">
        <v>30</v>
      </c>
      <c r="E16" s="57" t="s">
        <v>101</v>
      </c>
      <c r="F16" s="236" t="s">
        <v>37</v>
      </c>
      <c r="G16" s="215">
        <v>32708</v>
      </c>
      <c r="H16" s="215">
        <v>34926</v>
      </c>
      <c r="I16" s="217">
        <v>77.803799999999995</v>
      </c>
      <c r="J16" s="217">
        <v>80.831900000000005</v>
      </c>
      <c r="K16" s="222"/>
      <c r="L16" s="222"/>
      <c r="M16" s="222"/>
      <c r="N16" s="386">
        <v>1848.59</v>
      </c>
      <c r="O16" s="215">
        <f t="shared" si="0"/>
        <v>5366093.04</v>
      </c>
      <c r="P16" s="222">
        <f t="shared" si="10"/>
        <v>1006142.45</v>
      </c>
      <c r="Q16" s="222">
        <f t="shared" si="11"/>
        <v>804913.96</v>
      </c>
      <c r="R16" s="223">
        <v>0.15</v>
      </c>
      <c r="S16" s="222">
        <f t="shared" si="1"/>
        <v>201228.49</v>
      </c>
      <c r="T16" s="258">
        <v>3.7499999999999999E-2</v>
      </c>
      <c r="U16" s="40">
        <f t="shared" si="2"/>
        <v>67634</v>
      </c>
      <c r="V16" s="40">
        <f t="shared" si="12"/>
        <v>5366093.04</v>
      </c>
      <c r="W16" s="75">
        <f t="shared" si="13"/>
        <v>2181.6999999999998</v>
      </c>
      <c r="X16" s="76">
        <f t="shared" si="3"/>
        <v>79.340199999999996</v>
      </c>
      <c r="Y16" s="76">
        <f t="shared" si="4"/>
        <v>14.876300000000001</v>
      </c>
      <c r="Z16" s="40">
        <f t="shared" si="5"/>
        <v>1006142.45</v>
      </c>
      <c r="AA16" s="40" t="str">
        <f t="shared" si="6"/>
        <v/>
      </c>
      <c r="AB16" s="40" t="str">
        <f t="shared" si="14"/>
        <v/>
      </c>
      <c r="AC16" s="75" t="str">
        <f t="shared" si="15"/>
        <v/>
      </c>
      <c r="AD16" s="76" t="str">
        <f t="shared" si="7"/>
        <v/>
      </c>
      <c r="AE16" s="76" t="str">
        <f t="shared" si="8"/>
        <v/>
      </c>
      <c r="AF16" s="40" t="str">
        <f t="shared" si="9"/>
        <v/>
      </c>
      <c r="AG16" s="50"/>
    </row>
    <row r="17" spans="1:33" x14ac:dyDescent="0.2">
      <c r="A17" s="23" t="s">
        <v>28</v>
      </c>
      <c r="B17" s="24" t="s">
        <v>221</v>
      </c>
      <c r="C17" s="57" t="s">
        <v>31</v>
      </c>
      <c r="D17" s="25" t="s">
        <v>30</v>
      </c>
      <c r="E17" s="57" t="s">
        <v>101</v>
      </c>
      <c r="F17" s="236" t="s">
        <v>37</v>
      </c>
      <c r="G17" s="215">
        <v>31444.218000000001</v>
      </c>
      <c r="H17" s="215">
        <v>46042.5288</v>
      </c>
      <c r="I17" s="217">
        <v>3.8094000000000001</v>
      </c>
      <c r="J17" s="217">
        <v>3.8094000000000001</v>
      </c>
      <c r="K17" s="222"/>
      <c r="L17" s="222"/>
      <c r="M17" s="222"/>
      <c r="N17" s="386">
        <v>502.28</v>
      </c>
      <c r="O17" s="215">
        <f t="shared" si="0"/>
        <v>294675.73</v>
      </c>
      <c r="P17" s="222">
        <f t="shared" si="10"/>
        <v>55251.7</v>
      </c>
      <c r="Q17" s="222">
        <f t="shared" si="11"/>
        <v>44201.36</v>
      </c>
      <c r="R17" s="223">
        <v>0.15</v>
      </c>
      <c r="S17" s="222">
        <f t="shared" si="1"/>
        <v>11050.34</v>
      </c>
      <c r="T17" s="258">
        <v>3.7499999999999999E-2</v>
      </c>
      <c r="U17" s="40">
        <f t="shared" si="2"/>
        <v>77486.746799999994</v>
      </c>
      <c r="V17" s="40">
        <f t="shared" si="12"/>
        <v>294675.73</v>
      </c>
      <c r="W17" s="75">
        <f t="shared" si="13"/>
        <v>2499.6</v>
      </c>
      <c r="X17" s="76">
        <f t="shared" si="3"/>
        <v>3.8029000000000002</v>
      </c>
      <c r="Y17" s="76">
        <f t="shared" si="4"/>
        <v>0.71299999999999997</v>
      </c>
      <c r="Z17" s="40">
        <f t="shared" si="5"/>
        <v>55251.7</v>
      </c>
      <c r="AA17" s="40" t="str">
        <f t="shared" si="6"/>
        <v/>
      </c>
      <c r="AB17" s="40" t="str">
        <f t="shared" si="14"/>
        <v/>
      </c>
      <c r="AC17" s="75" t="str">
        <f t="shared" si="15"/>
        <v/>
      </c>
      <c r="AD17" s="76" t="str">
        <f t="shared" si="7"/>
        <v/>
      </c>
      <c r="AE17" s="76" t="str">
        <f t="shared" si="8"/>
        <v/>
      </c>
      <c r="AF17" s="40" t="str">
        <f t="shared" si="9"/>
        <v/>
      </c>
      <c r="AG17" s="50"/>
    </row>
    <row r="18" spans="1:33" x14ac:dyDescent="0.2">
      <c r="A18" s="23" t="s">
        <v>28</v>
      </c>
      <c r="B18" s="24" t="s">
        <v>17</v>
      </c>
      <c r="C18" s="57" t="s">
        <v>29</v>
      </c>
      <c r="D18" s="25" t="s">
        <v>21</v>
      </c>
      <c r="E18" s="57" t="s">
        <v>98</v>
      </c>
      <c r="F18" s="236" t="s">
        <v>37</v>
      </c>
      <c r="G18" s="215">
        <v>395</v>
      </c>
      <c r="H18" s="215">
        <v>1778</v>
      </c>
      <c r="I18" s="217">
        <v>76.816999999999993</v>
      </c>
      <c r="J18" s="217">
        <v>80.167900000000003</v>
      </c>
      <c r="K18" s="222"/>
      <c r="L18" s="222"/>
      <c r="M18" s="222"/>
      <c r="N18" s="386">
        <v>476.67</v>
      </c>
      <c r="O18" s="224">
        <f t="shared" si="0"/>
        <v>172404.58</v>
      </c>
      <c r="P18" s="222">
        <f t="shared" si="10"/>
        <v>32325.86</v>
      </c>
      <c r="Q18" s="222">
        <f t="shared" si="11"/>
        <v>25860.69</v>
      </c>
      <c r="R18" s="223">
        <v>0.15</v>
      </c>
      <c r="S18" s="222">
        <f t="shared" si="1"/>
        <v>6465.17</v>
      </c>
      <c r="T18" s="258">
        <v>3.7499999999999999E-2</v>
      </c>
      <c r="U18" s="40">
        <f t="shared" si="2"/>
        <v>2173</v>
      </c>
      <c r="V18" s="40">
        <f t="shared" si="12"/>
        <v>172404.58</v>
      </c>
      <c r="W18" s="75">
        <f t="shared" si="13"/>
        <v>70.099999999999994</v>
      </c>
      <c r="X18" s="76">
        <f t="shared" si="3"/>
        <v>79.339399999999998</v>
      </c>
      <c r="Y18" s="76">
        <f t="shared" si="4"/>
        <v>14.876099999999999</v>
      </c>
      <c r="Z18" s="40">
        <f t="shared" si="5"/>
        <v>32325.86</v>
      </c>
      <c r="AA18" s="40" t="str">
        <f t="shared" si="6"/>
        <v/>
      </c>
      <c r="AB18" s="40" t="str">
        <f t="shared" si="14"/>
        <v/>
      </c>
      <c r="AC18" s="75" t="str">
        <f t="shared" si="15"/>
        <v/>
      </c>
      <c r="AD18" s="76" t="str">
        <f t="shared" si="7"/>
        <v/>
      </c>
      <c r="AE18" s="76" t="str">
        <f t="shared" si="8"/>
        <v/>
      </c>
      <c r="AF18" s="40" t="str">
        <f t="shared" si="9"/>
        <v/>
      </c>
      <c r="AG18" s="50"/>
    </row>
    <row r="19" spans="1:33" x14ac:dyDescent="0.2">
      <c r="A19" s="376" t="s">
        <v>28</v>
      </c>
      <c r="B19" s="377" t="s">
        <v>237</v>
      </c>
      <c r="C19" s="378" t="s">
        <v>31</v>
      </c>
      <c r="D19" s="379" t="s">
        <v>30</v>
      </c>
      <c r="E19" s="378" t="s">
        <v>98</v>
      </c>
      <c r="F19" s="236" t="s">
        <v>37</v>
      </c>
      <c r="G19" s="215">
        <v>26354</v>
      </c>
      <c r="H19" s="215">
        <v>34223</v>
      </c>
      <c r="I19" s="216">
        <v>77.803799999999995</v>
      </c>
      <c r="J19" s="217">
        <v>80.831900000000005</v>
      </c>
      <c r="K19" s="222"/>
      <c r="L19" s="222"/>
      <c r="M19" s="222"/>
      <c r="N19" s="386">
        <v>574.91</v>
      </c>
      <c r="O19" s="224">
        <f t="shared" si="0"/>
        <v>4816176.55</v>
      </c>
      <c r="P19" s="222">
        <f t="shared" si="10"/>
        <v>903033.1</v>
      </c>
      <c r="Q19" s="222">
        <f t="shared" si="11"/>
        <v>722426.48</v>
      </c>
      <c r="R19" s="223">
        <v>0.15</v>
      </c>
      <c r="S19" s="222">
        <f t="shared" si="1"/>
        <v>180606.62</v>
      </c>
      <c r="T19" s="258">
        <v>3.7499999999999999E-2</v>
      </c>
      <c r="U19" s="40">
        <f t="shared" si="2"/>
        <v>60577</v>
      </c>
      <c r="V19" s="40">
        <f t="shared" si="12"/>
        <v>4816176.55</v>
      </c>
      <c r="W19" s="75">
        <f t="shared" si="13"/>
        <v>1954.1</v>
      </c>
      <c r="X19" s="76">
        <f t="shared" si="3"/>
        <v>79.504999999999995</v>
      </c>
      <c r="Y19" s="76">
        <f t="shared" si="4"/>
        <v>14.9072</v>
      </c>
      <c r="Z19" s="40">
        <f t="shared" si="5"/>
        <v>903033.1</v>
      </c>
      <c r="AA19" s="40" t="str">
        <f t="shared" si="6"/>
        <v/>
      </c>
      <c r="AB19" s="40" t="str">
        <f t="shared" si="14"/>
        <v/>
      </c>
      <c r="AC19" s="75" t="str">
        <f t="shared" si="15"/>
        <v/>
      </c>
      <c r="AD19" s="76" t="str">
        <f t="shared" si="7"/>
        <v/>
      </c>
      <c r="AE19" s="76" t="str">
        <f t="shared" si="8"/>
        <v/>
      </c>
      <c r="AF19" s="40" t="str">
        <f t="shared" si="9"/>
        <v/>
      </c>
      <c r="AG19" s="50"/>
    </row>
    <row r="20" spans="1:33" x14ac:dyDescent="0.2">
      <c r="A20" s="376" t="s">
        <v>28</v>
      </c>
      <c r="B20" s="377" t="s">
        <v>239</v>
      </c>
      <c r="C20" s="378" t="s">
        <v>31</v>
      </c>
      <c r="D20" s="379" t="s">
        <v>30</v>
      </c>
      <c r="E20" s="378" t="s">
        <v>98</v>
      </c>
      <c r="F20" s="236" t="s">
        <v>56</v>
      </c>
      <c r="G20" s="215">
        <v>57353.288399999998</v>
      </c>
      <c r="H20" s="215">
        <v>60657.671199999997</v>
      </c>
      <c r="I20" s="216">
        <v>4</v>
      </c>
      <c r="J20" s="217">
        <v>4</v>
      </c>
      <c r="K20" s="222"/>
      <c r="L20" s="222"/>
      <c r="M20" s="222"/>
      <c r="N20" s="386">
        <v>247.43</v>
      </c>
      <c r="O20" s="224">
        <f t="shared" si="0"/>
        <v>471796.39999999997</v>
      </c>
      <c r="P20" s="222">
        <f t="shared" si="10"/>
        <v>88461.83</v>
      </c>
      <c r="Q20" s="222">
        <f t="shared" si="11"/>
        <v>70769.460000000006</v>
      </c>
      <c r="R20" s="223">
        <v>0.15</v>
      </c>
      <c r="S20" s="222">
        <f t="shared" si="1"/>
        <v>17692.37</v>
      </c>
      <c r="T20" s="258">
        <v>3.7499999999999999E-2</v>
      </c>
      <c r="U20" s="40" t="str">
        <f t="shared" si="2"/>
        <v/>
      </c>
      <c r="V20" s="40" t="str">
        <f t="shared" si="12"/>
        <v/>
      </c>
      <c r="W20" s="75" t="str">
        <f t="shared" si="13"/>
        <v/>
      </c>
      <c r="X20" s="76" t="str">
        <f t="shared" si="3"/>
        <v/>
      </c>
      <c r="Y20" s="76" t="str">
        <f t="shared" si="4"/>
        <v/>
      </c>
      <c r="Z20" s="40" t="str">
        <f t="shared" si="5"/>
        <v/>
      </c>
      <c r="AA20" s="40">
        <f t="shared" si="6"/>
        <v>118010.9596</v>
      </c>
      <c r="AB20" s="40">
        <f t="shared" si="14"/>
        <v>471796.39999999997</v>
      </c>
      <c r="AC20" s="75">
        <f t="shared" si="15"/>
        <v>3806.8</v>
      </c>
      <c r="AD20" s="76">
        <f t="shared" si="7"/>
        <v>3.9979</v>
      </c>
      <c r="AE20" s="76">
        <f t="shared" si="8"/>
        <v>0.74960000000000004</v>
      </c>
      <c r="AF20" s="40">
        <f t="shared" si="9"/>
        <v>88461.83</v>
      </c>
      <c r="AG20" s="50"/>
    </row>
    <row r="21" spans="1:33" x14ac:dyDescent="0.2">
      <c r="A21" s="376" t="s">
        <v>28</v>
      </c>
      <c r="B21" s="377" t="s">
        <v>238</v>
      </c>
      <c r="C21" s="378" t="s">
        <v>31</v>
      </c>
      <c r="D21" s="379" t="s">
        <v>30</v>
      </c>
      <c r="E21" s="378" t="s">
        <v>98</v>
      </c>
      <c r="F21" s="236" t="s">
        <v>37</v>
      </c>
      <c r="G21" s="215">
        <v>12900</v>
      </c>
      <c r="H21" s="215">
        <v>14290</v>
      </c>
      <c r="I21" s="216">
        <v>76.816999999999993</v>
      </c>
      <c r="J21" s="217">
        <v>80.167900000000003</v>
      </c>
      <c r="K21" s="222"/>
      <c r="L21" s="222"/>
      <c r="M21" s="222"/>
      <c r="N21" s="386">
        <v>283.82</v>
      </c>
      <c r="O21" s="224">
        <f t="shared" si="0"/>
        <v>2136254.77</v>
      </c>
      <c r="P21" s="222">
        <f t="shared" si="10"/>
        <v>400547.77</v>
      </c>
      <c r="Q21" s="222">
        <f t="shared" si="11"/>
        <v>320438.21999999997</v>
      </c>
      <c r="R21" s="223">
        <v>0.15</v>
      </c>
      <c r="S21" s="222">
        <f t="shared" si="1"/>
        <v>80109.55</v>
      </c>
      <c r="T21" s="258">
        <v>3.7499999999999999E-2</v>
      </c>
      <c r="U21" s="40">
        <f t="shared" si="2"/>
        <v>27190</v>
      </c>
      <c r="V21" s="40">
        <f t="shared" si="12"/>
        <v>2136254.77</v>
      </c>
      <c r="W21" s="75">
        <f t="shared" si="13"/>
        <v>877.1</v>
      </c>
      <c r="X21" s="76">
        <f t="shared" si="3"/>
        <v>78.567700000000002</v>
      </c>
      <c r="Y21" s="76">
        <f t="shared" si="4"/>
        <v>14.731400000000001</v>
      </c>
      <c r="Z21" s="40">
        <f t="shared" si="5"/>
        <v>400547.77</v>
      </c>
      <c r="AA21" s="40" t="str">
        <f t="shared" si="6"/>
        <v/>
      </c>
      <c r="AB21" s="40" t="str">
        <f t="shared" si="14"/>
        <v/>
      </c>
      <c r="AC21" s="75" t="str">
        <f t="shared" si="15"/>
        <v/>
      </c>
      <c r="AD21" s="76" t="str">
        <f t="shared" si="7"/>
        <v/>
      </c>
      <c r="AE21" s="76" t="str">
        <f t="shared" si="8"/>
        <v/>
      </c>
      <c r="AF21" s="40" t="str">
        <f t="shared" si="9"/>
        <v/>
      </c>
      <c r="AG21" s="50"/>
    </row>
    <row r="22" spans="1:33" x14ac:dyDescent="0.2">
      <c r="A22" s="23" t="s">
        <v>28</v>
      </c>
      <c r="B22" s="24" t="s">
        <v>6</v>
      </c>
      <c r="C22" s="57" t="s">
        <v>31</v>
      </c>
      <c r="D22" s="25" t="s">
        <v>30</v>
      </c>
      <c r="E22" s="57" t="s">
        <v>101</v>
      </c>
      <c r="F22" s="236" t="s">
        <v>37</v>
      </c>
      <c r="G22" s="215"/>
      <c r="H22" s="215"/>
      <c r="I22" s="217"/>
      <c r="J22" s="217"/>
      <c r="K22" s="222"/>
      <c r="L22" s="222"/>
      <c r="M22" s="222"/>
      <c r="N22" s="386"/>
      <c r="O22" s="224">
        <f>ROUND(G22*I22,2)+ROUND(H22*J22,2)-K22-L22-M22-N22</f>
        <v>0</v>
      </c>
      <c r="P22" s="222">
        <f>ROUND(18.75%*O22,2)</f>
        <v>0</v>
      </c>
      <c r="Q22" s="222">
        <f>ROUND($O22*R22,2)</f>
        <v>0</v>
      </c>
      <c r="R22" s="223">
        <v>0.15</v>
      </c>
      <c r="S22" s="222">
        <f t="shared" si="1"/>
        <v>0</v>
      </c>
      <c r="T22" s="258">
        <v>3.7499999999999999E-2</v>
      </c>
      <c r="U22" s="40">
        <f t="shared" si="2"/>
        <v>0</v>
      </c>
      <c r="V22" s="40">
        <f t="shared" si="12"/>
        <v>0</v>
      </c>
      <c r="W22" s="75">
        <f t="shared" si="13"/>
        <v>0</v>
      </c>
      <c r="X22" s="76">
        <f t="shared" si="3"/>
        <v>0</v>
      </c>
      <c r="Y22" s="76">
        <f t="shared" si="4"/>
        <v>0</v>
      </c>
      <c r="Z22" s="40">
        <f t="shared" si="5"/>
        <v>0</v>
      </c>
      <c r="AA22" s="40" t="str">
        <f t="shared" si="6"/>
        <v/>
      </c>
      <c r="AB22" s="40" t="str">
        <f t="shared" si="14"/>
        <v/>
      </c>
      <c r="AC22" s="75" t="str">
        <f t="shared" si="15"/>
        <v/>
      </c>
      <c r="AD22" s="76" t="str">
        <f t="shared" si="7"/>
        <v/>
      </c>
      <c r="AE22" s="76" t="str">
        <f t="shared" si="8"/>
        <v/>
      </c>
      <c r="AF22" s="40" t="str">
        <f t="shared" si="9"/>
        <v/>
      </c>
      <c r="AG22" s="50"/>
    </row>
    <row r="23" spans="1:33" x14ac:dyDescent="0.2">
      <c r="A23" s="23" t="s">
        <v>28</v>
      </c>
      <c r="B23" s="24" t="s">
        <v>7</v>
      </c>
      <c r="C23" s="57" t="s">
        <v>31</v>
      </c>
      <c r="D23" s="25" t="s">
        <v>30</v>
      </c>
      <c r="E23" s="57" t="s">
        <v>101</v>
      </c>
      <c r="F23" s="236" t="s">
        <v>56</v>
      </c>
      <c r="G23" s="215"/>
      <c r="H23" s="215"/>
      <c r="I23" s="217"/>
      <c r="J23" s="217"/>
      <c r="K23" s="222"/>
      <c r="L23" s="222"/>
      <c r="M23" s="222"/>
      <c r="N23" s="386"/>
      <c r="O23" s="224">
        <f t="shared" si="0"/>
        <v>0</v>
      </c>
      <c r="P23" s="222">
        <f t="shared" si="10"/>
        <v>0</v>
      </c>
      <c r="Q23" s="222">
        <f t="shared" si="11"/>
        <v>0</v>
      </c>
      <c r="R23" s="223">
        <v>0.15</v>
      </c>
      <c r="S23" s="222">
        <f t="shared" si="1"/>
        <v>0</v>
      </c>
      <c r="T23" s="258">
        <v>3.7499999999999999E-2</v>
      </c>
      <c r="U23" s="40" t="str">
        <f t="shared" si="2"/>
        <v/>
      </c>
      <c r="V23" s="40" t="str">
        <f t="shared" si="12"/>
        <v/>
      </c>
      <c r="W23" s="75" t="str">
        <f t="shared" si="13"/>
        <v/>
      </c>
      <c r="X23" s="76" t="str">
        <f t="shared" si="3"/>
        <v/>
      </c>
      <c r="Y23" s="76" t="str">
        <f t="shared" si="4"/>
        <v/>
      </c>
      <c r="Z23" s="40" t="str">
        <f t="shared" si="5"/>
        <v/>
      </c>
      <c r="AA23" s="40">
        <f t="shared" si="6"/>
        <v>0</v>
      </c>
      <c r="AB23" s="40">
        <f t="shared" si="14"/>
        <v>0</v>
      </c>
      <c r="AC23" s="75">
        <f t="shared" si="15"/>
        <v>0</v>
      </c>
      <c r="AD23" s="76">
        <f t="shared" si="7"/>
        <v>0</v>
      </c>
      <c r="AE23" s="76">
        <f t="shared" si="8"/>
        <v>0</v>
      </c>
      <c r="AF23" s="40">
        <f t="shared" si="9"/>
        <v>0</v>
      </c>
      <c r="AG23" s="50"/>
    </row>
    <row r="24" spans="1:33" x14ac:dyDescent="0.2">
      <c r="A24" s="23" t="s">
        <v>28</v>
      </c>
      <c r="B24" s="24" t="s">
        <v>18</v>
      </c>
      <c r="C24" s="57" t="s">
        <v>31</v>
      </c>
      <c r="D24" s="25" t="s">
        <v>30</v>
      </c>
      <c r="E24" s="57" t="s">
        <v>101</v>
      </c>
      <c r="F24" s="236" t="s">
        <v>37</v>
      </c>
      <c r="G24" s="215">
        <v>2064</v>
      </c>
      <c r="H24" s="215">
        <v>2803</v>
      </c>
      <c r="I24" s="217">
        <v>77.803799999999995</v>
      </c>
      <c r="J24" s="217">
        <v>80.831900000000005</v>
      </c>
      <c r="K24" s="222"/>
      <c r="L24" s="222"/>
      <c r="M24" s="222"/>
      <c r="N24" s="386">
        <v>305.64999999999998</v>
      </c>
      <c r="O24" s="224">
        <f t="shared" si="0"/>
        <v>386853.20999999996</v>
      </c>
      <c r="P24" s="222">
        <f t="shared" si="10"/>
        <v>72534.98</v>
      </c>
      <c r="Q24" s="222">
        <f t="shared" si="11"/>
        <v>58027.98</v>
      </c>
      <c r="R24" s="223">
        <v>0.15</v>
      </c>
      <c r="S24" s="222">
        <f t="shared" si="1"/>
        <v>14507</v>
      </c>
      <c r="T24" s="258">
        <v>3.7499999999999999E-2</v>
      </c>
      <c r="U24" s="40">
        <f t="shared" si="2"/>
        <v>4867</v>
      </c>
      <c r="V24" s="40">
        <f t="shared" si="12"/>
        <v>386853.20999999996</v>
      </c>
      <c r="W24" s="75">
        <f t="shared" si="13"/>
        <v>157</v>
      </c>
      <c r="X24" s="76">
        <f t="shared" si="3"/>
        <v>79.484899999999996</v>
      </c>
      <c r="Y24" s="76">
        <f t="shared" si="4"/>
        <v>14.9034</v>
      </c>
      <c r="Z24" s="40">
        <f t="shared" si="5"/>
        <v>72534.98</v>
      </c>
      <c r="AA24" s="40" t="str">
        <f t="shared" si="6"/>
        <v/>
      </c>
      <c r="AB24" s="40" t="str">
        <f t="shared" si="14"/>
        <v/>
      </c>
      <c r="AC24" s="75" t="str">
        <f t="shared" si="15"/>
        <v/>
      </c>
      <c r="AD24" s="76" t="str">
        <f t="shared" si="7"/>
        <v/>
      </c>
      <c r="AE24" s="76" t="str">
        <f t="shared" si="8"/>
        <v/>
      </c>
      <c r="AF24" s="40" t="str">
        <f t="shared" si="9"/>
        <v/>
      </c>
      <c r="AG24" s="50"/>
    </row>
    <row r="25" spans="1:33" x14ac:dyDescent="0.2">
      <c r="A25" s="23" t="s">
        <v>28</v>
      </c>
      <c r="B25" s="24" t="s">
        <v>20</v>
      </c>
      <c r="C25" s="57" t="s">
        <v>31</v>
      </c>
      <c r="D25" s="25" t="s">
        <v>30</v>
      </c>
      <c r="E25" s="57" t="s">
        <v>101</v>
      </c>
      <c r="F25" s="236" t="s">
        <v>37</v>
      </c>
      <c r="G25" s="215">
        <v>134323</v>
      </c>
      <c r="H25" s="215">
        <v>140232</v>
      </c>
      <c r="I25" s="217">
        <v>77.803799999999995</v>
      </c>
      <c r="J25" s="217">
        <v>80.831900000000005</v>
      </c>
      <c r="K25" s="222"/>
      <c r="L25" s="222"/>
      <c r="M25" s="222"/>
      <c r="N25" s="386">
        <v>5203.47</v>
      </c>
      <c r="O25" s="224">
        <f t="shared" si="0"/>
        <v>21780855.359999999</v>
      </c>
      <c r="P25" s="222">
        <f t="shared" si="10"/>
        <v>4083910.38</v>
      </c>
      <c r="Q25" s="222">
        <f t="shared" si="11"/>
        <v>3267128.3</v>
      </c>
      <c r="R25" s="223">
        <v>0.15</v>
      </c>
      <c r="S25" s="222">
        <f t="shared" si="1"/>
        <v>816782.08</v>
      </c>
      <c r="T25" s="258">
        <v>3.7499999999999999E-2</v>
      </c>
      <c r="U25" s="40">
        <f t="shared" si="2"/>
        <v>274555</v>
      </c>
      <c r="V25" s="40">
        <f t="shared" si="12"/>
        <v>21780855.359999999</v>
      </c>
      <c r="W25" s="75">
        <f t="shared" si="13"/>
        <v>8856.6</v>
      </c>
      <c r="X25" s="76">
        <f t="shared" si="3"/>
        <v>79.331500000000005</v>
      </c>
      <c r="Y25" s="76">
        <f t="shared" si="4"/>
        <v>14.874700000000001</v>
      </c>
      <c r="Z25" s="40">
        <f t="shared" si="5"/>
        <v>4083910.38</v>
      </c>
      <c r="AA25" s="40" t="str">
        <f t="shared" si="6"/>
        <v/>
      </c>
      <c r="AB25" s="40" t="str">
        <f t="shared" si="14"/>
        <v/>
      </c>
      <c r="AC25" s="75" t="str">
        <f t="shared" si="15"/>
        <v/>
      </c>
      <c r="AD25" s="76" t="str">
        <f t="shared" si="7"/>
        <v/>
      </c>
      <c r="AE25" s="76" t="str">
        <f t="shared" si="8"/>
        <v/>
      </c>
      <c r="AF25" s="40" t="str">
        <f t="shared" si="9"/>
        <v/>
      </c>
      <c r="AG25" s="50"/>
    </row>
    <row r="26" spans="1:33" x14ac:dyDescent="0.2">
      <c r="A26" s="23" t="s">
        <v>28</v>
      </c>
      <c r="B26" s="24" t="s">
        <v>8</v>
      </c>
      <c r="C26" s="57" t="s">
        <v>31</v>
      </c>
      <c r="D26" s="25" t="s">
        <v>21</v>
      </c>
      <c r="E26" s="57" t="s">
        <v>101</v>
      </c>
      <c r="F26" s="236" t="s">
        <v>56</v>
      </c>
      <c r="G26" s="215">
        <v>216678.83</v>
      </c>
      <c r="H26" s="215">
        <v>229636.87</v>
      </c>
      <c r="I26" s="217">
        <v>2.7745000000000002</v>
      </c>
      <c r="J26" s="217">
        <v>2.5787</v>
      </c>
      <c r="K26" s="222"/>
      <c r="L26" s="222"/>
      <c r="M26" s="222"/>
      <c r="N26" s="386">
        <v>1430.14</v>
      </c>
      <c r="O26" s="224">
        <f t="shared" si="0"/>
        <v>1191909.8700000001</v>
      </c>
      <c r="P26" s="222">
        <f t="shared" si="10"/>
        <v>223483.1</v>
      </c>
      <c r="Q26" s="222">
        <f t="shared" si="11"/>
        <v>178786.48</v>
      </c>
      <c r="R26" s="223">
        <v>0.15</v>
      </c>
      <c r="S26" s="222">
        <f t="shared" si="1"/>
        <v>44696.62</v>
      </c>
      <c r="T26" s="258">
        <v>3.7499999999999999E-2</v>
      </c>
      <c r="U26" s="40" t="str">
        <f t="shared" si="2"/>
        <v/>
      </c>
      <c r="V26" s="40" t="str">
        <f t="shared" si="12"/>
        <v/>
      </c>
      <c r="W26" s="75" t="str">
        <f t="shared" si="13"/>
        <v/>
      </c>
      <c r="X26" s="76" t="str">
        <f t="shared" si="3"/>
        <v/>
      </c>
      <c r="Y26" s="76" t="str">
        <f t="shared" si="4"/>
        <v/>
      </c>
      <c r="Z26" s="40" t="str">
        <f t="shared" si="5"/>
        <v/>
      </c>
      <c r="AA26" s="40">
        <f t="shared" si="6"/>
        <v>446315.69999999995</v>
      </c>
      <c r="AB26" s="40">
        <f t="shared" si="14"/>
        <v>1191909.8700000001</v>
      </c>
      <c r="AC26" s="75">
        <f t="shared" si="15"/>
        <v>14397.3</v>
      </c>
      <c r="AD26" s="76">
        <f t="shared" si="7"/>
        <v>2.6705999999999999</v>
      </c>
      <c r="AE26" s="76">
        <f t="shared" si="8"/>
        <v>0.50070000000000003</v>
      </c>
      <c r="AF26" s="40">
        <f t="shared" si="9"/>
        <v>223483.1</v>
      </c>
      <c r="AG26" s="50"/>
    </row>
    <row r="27" spans="1:33" x14ac:dyDescent="0.2">
      <c r="A27" s="23" t="s">
        <v>28</v>
      </c>
      <c r="B27" s="24" t="s">
        <v>9</v>
      </c>
      <c r="C27" s="57" t="s">
        <v>31</v>
      </c>
      <c r="D27" s="25" t="s">
        <v>30</v>
      </c>
      <c r="E27" s="57" t="s">
        <v>101</v>
      </c>
      <c r="F27" s="236" t="s">
        <v>37</v>
      </c>
      <c r="G27" s="215">
        <v>319</v>
      </c>
      <c r="H27" s="215">
        <v>406</v>
      </c>
      <c r="I27" s="217">
        <v>77.468699999999998</v>
      </c>
      <c r="J27" s="217">
        <v>80.305599999999998</v>
      </c>
      <c r="K27" s="222"/>
      <c r="L27" s="222"/>
      <c r="M27" s="222"/>
      <c r="N27" s="386">
        <v>331.12</v>
      </c>
      <c r="O27" s="224">
        <f t="shared" si="0"/>
        <v>56985.469999999994</v>
      </c>
      <c r="P27" s="222">
        <f t="shared" si="10"/>
        <v>10684.78</v>
      </c>
      <c r="Q27" s="222">
        <f t="shared" si="11"/>
        <v>8547.82</v>
      </c>
      <c r="R27" s="223">
        <v>0.15</v>
      </c>
      <c r="S27" s="222">
        <f t="shared" si="1"/>
        <v>2136.96</v>
      </c>
      <c r="T27" s="258">
        <v>3.7499999999999999E-2</v>
      </c>
      <c r="U27" s="40">
        <f t="shared" si="2"/>
        <v>725</v>
      </c>
      <c r="V27" s="40">
        <f t="shared" si="12"/>
        <v>56985.469999999994</v>
      </c>
      <c r="W27" s="75">
        <f t="shared" si="13"/>
        <v>23.4</v>
      </c>
      <c r="X27" s="76">
        <f t="shared" si="3"/>
        <v>78.6006</v>
      </c>
      <c r="Y27" s="76">
        <f t="shared" si="4"/>
        <v>14.7376</v>
      </c>
      <c r="Z27" s="40">
        <f t="shared" si="5"/>
        <v>10684.78</v>
      </c>
      <c r="AA27" s="40" t="str">
        <f t="shared" si="6"/>
        <v/>
      </c>
      <c r="AB27" s="40" t="str">
        <f t="shared" si="14"/>
        <v/>
      </c>
      <c r="AC27" s="75" t="str">
        <f t="shared" si="15"/>
        <v/>
      </c>
      <c r="AD27" s="76" t="str">
        <f t="shared" si="7"/>
        <v/>
      </c>
      <c r="AE27" s="76" t="str">
        <f t="shared" si="8"/>
        <v/>
      </c>
      <c r="AF27" s="40" t="str">
        <f t="shared" si="9"/>
        <v/>
      </c>
      <c r="AG27" s="50"/>
    </row>
    <row r="28" spans="1:33" x14ac:dyDescent="0.2">
      <c r="A28" s="23" t="s">
        <v>28</v>
      </c>
      <c r="B28" s="525" t="s">
        <v>165</v>
      </c>
      <c r="C28" s="57" t="s">
        <v>31</v>
      </c>
      <c r="D28" s="25" t="s">
        <v>30</v>
      </c>
      <c r="E28" s="57" t="s">
        <v>101</v>
      </c>
      <c r="F28" s="236" t="s">
        <v>37</v>
      </c>
      <c r="G28" s="215">
        <v>20465</v>
      </c>
      <c r="H28" s="215">
        <v>20994</v>
      </c>
      <c r="I28" s="217">
        <v>76.093800000000002</v>
      </c>
      <c r="J28" s="217">
        <v>80.791899999999998</v>
      </c>
      <c r="K28" s="222"/>
      <c r="L28" s="222"/>
      <c r="M28" s="222"/>
      <c r="N28" s="386">
        <v>3154.75</v>
      </c>
      <c r="O28" s="224">
        <f>ROUND(G28*I28,2)+ROUND(H28*J28,2)-K28-L28-M28-N28</f>
        <v>3250250.02</v>
      </c>
      <c r="P28" s="222">
        <f t="shared" si="10"/>
        <v>609421.88</v>
      </c>
      <c r="Q28" s="222">
        <f>ROUND($O28*R28,2)</f>
        <v>487537.5</v>
      </c>
      <c r="R28" s="223">
        <v>0.15</v>
      </c>
      <c r="S28" s="222">
        <f>ROUND($O28*T28,2)</f>
        <v>121884.38</v>
      </c>
      <c r="T28" s="258">
        <v>3.7499999999999999E-2</v>
      </c>
      <c r="U28" s="40">
        <f>IF($F28&amp;"/Día"=W$9,SUM($G28:$H28),"")</f>
        <v>41459</v>
      </c>
      <c r="V28" s="40">
        <f t="shared" si="12"/>
        <v>3250250.02</v>
      </c>
      <c r="W28" s="75">
        <f>IF($F28&amp;"/Día"=W$9,ROUND(U28/$W$1,1),"")</f>
        <v>1337.4</v>
      </c>
      <c r="X28" s="76">
        <f>IF(U28=0,0,IF($F28&amp;"/Día"=W$9,ROUND(V28/U28,4),""))</f>
        <v>78.396699999999996</v>
      </c>
      <c r="Y28" s="76">
        <f>IF(U28=0,0,IF($F28&amp;"/Día"=W$9,ROUND(Z28/U28,4),""))</f>
        <v>14.699400000000001</v>
      </c>
      <c r="Z28" s="40">
        <f>IF(U28&lt;&gt;"",$P28,"")</f>
        <v>609421.88</v>
      </c>
      <c r="AA28" s="40" t="str">
        <f>IF($F28&amp;"/Día"=AC$9,SUM($G28:$H28),"")</f>
        <v/>
      </c>
      <c r="AB28" s="40" t="str">
        <f t="shared" si="14"/>
        <v/>
      </c>
      <c r="AC28" s="75" t="str">
        <f>IF($F28&amp;"/Día"=AC$9,ROUND(AA28/$W$1,1),"")</f>
        <v/>
      </c>
      <c r="AD28" s="76" t="str">
        <f>IF(AA28=0,0,IF($F28&amp;"/Día"=AC$9,ROUND(AB28/AA28,4),""))</f>
        <v/>
      </c>
      <c r="AE28" s="76" t="str">
        <f>IF(AA28=0,0,IF($F28&amp;"/Día"=AC$9,ROUND(AF28/AA28,4),""))</f>
        <v/>
      </c>
      <c r="AF28" s="40" t="str">
        <f>IF(AA28&lt;&gt;"",$P28,"")</f>
        <v/>
      </c>
      <c r="AG28" s="50"/>
    </row>
    <row r="29" spans="1:33" x14ac:dyDescent="0.2">
      <c r="A29" s="23" t="s">
        <v>28</v>
      </c>
      <c r="B29" s="24" t="s">
        <v>187</v>
      </c>
      <c r="C29" s="57" t="s">
        <v>31</v>
      </c>
      <c r="D29" s="25" t="s">
        <v>30</v>
      </c>
      <c r="E29" s="57" t="s">
        <v>101</v>
      </c>
      <c r="F29" s="236" t="s">
        <v>37</v>
      </c>
      <c r="G29" s="386"/>
      <c r="H29" s="386"/>
      <c r="I29" s="216"/>
      <c r="J29" s="216"/>
      <c r="K29" s="222"/>
      <c r="L29" s="222"/>
      <c r="M29" s="222"/>
      <c r="N29" s="215"/>
      <c r="O29" s="224">
        <f>ROUND(G29*I29,2)+ROUND(H29*J29,2)-K29-L29-M29-N29</f>
        <v>0</v>
      </c>
      <c r="P29" s="222">
        <f>ROUND(18.75%*O29,2)</f>
        <v>0</v>
      </c>
      <c r="Q29" s="222">
        <f>ROUND($O29*R29,2)</f>
        <v>0</v>
      </c>
      <c r="R29" s="223">
        <v>0.15</v>
      </c>
      <c r="S29" s="222">
        <f>ROUND($O29*T29,2)</f>
        <v>0</v>
      </c>
      <c r="T29" s="258">
        <v>3.7499999999999999E-2</v>
      </c>
      <c r="U29" s="40">
        <f>IF($F29&amp;"/Día"=W$9,SUM($G29:$H29),"")</f>
        <v>0</v>
      </c>
      <c r="V29" s="40">
        <f>IF(U29&lt;&gt;"",$O29,"")</f>
        <v>0</v>
      </c>
      <c r="W29" s="75">
        <f>IF($F29&amp;"/Día"=W$9,ROUND(U29/$W$1,1),"")</f>
        <v>0</v>
      </c>
      <c r="X29" s="76">
        <f>IF(U29=0,0,IF($F29&amp;"/Día"=W$9,ROUND(V29/U29,4),""))</f>
        <v>0</v>
      </c>
      <c r="Y29" s="76">
        <f>IF(U29=0,0,IF($F29&amp;"/Día"=W$9,ROUND(Z29/U29,4),""))</f>
        <v>0</v>
      </c>
      <c r="Z29" s="40">
        <f>IF(U29&lt;&gt;"",$P29,"")</f>
        <v>0</v>
      </c>
      <c r="AA29" s="40" t="str">
        <f>IF($F29&amp;"/Día"=AC$9,SUM($G29:$H29),"")</f>
        <v/>
      </c>
      <c r="AB29" s="40" t="str">
        <f>IF(AA29&lt;&gt;"",$O29,"")</f>
        <v/>
      </c>
      <c r="AC29" s="75" t="str">
        <f>IF($F29&amp;"/Día"=AC$9,ROUND(AA29/$W$1,1),"")</f>
        <v/>
      </c>
      <c r="AD29" s="76" t="str">
        <f>IF(AA29=0,0,IF($F29&amp;"/Día"=AC$9,ROUND(AB29/AA29,4),""))</f>
        <v/>
      </c>
      <c r="AE29" s="76" t="str">
        <f>IF(AA29=0,0,IF($F29&amp;"/Día"=AC$9,ROUND(AF29/AA29,4),""))</f>
        <v/>
      </c>
      <c r="AF29" s="40" t="str">
        <f>IF(AA29&lt;&gt;"",$P29,"")</f>
        <v/>
      </c>
      <c r="AG29" s="50"/>
    </row>
    <row r="30" spans="1:33" x14ac:dyDescent="0.2">
      <c r="A30" s="23" t="s">
        <v>28</v>
      </c>
      <c r="B30" s="525" t="s">
        <v>157</v>
      </c>
      <c r="C30" s="57" t="s">
        <v>31</v>
      </c>
      <c r="D30" s="25" t="s">
        <v>30</v>
      </c>
      <c r="E30" s="57" t="s">
        <v>101</v>
      </c>
      <c r="F30" s="236" t="s">
        <v>56</v>
      </c>
      <c r="G30" s="512">
        <f>G134</f>
        <v>390810.15509999997</v>
      </c>
      <c r="H30" s="512">
        <f>H145</f>
        <v>462867.7352</v>
      </c>
      <c r="I30" s="417">
        <f>I134</f>
        <v>2.7545968955810278</v>
      </c>
      <c r="J30" s="417">
        <f>J145</f>
        <v>2.8300577473476061</v>
      </c>
      <c r="K30" s="222"/>
      <c r="L30" s="222"/>
      <c r="M30" s="222"/>
      <c r="N30" s="512">
        <f>N124</f>
        <v>1309.93</v>
      </c>
      <c r="O30" s="224">
        <f>O124</f>
        <v>2386466.86</v>
      </c>
      <c r="P30" s="224">
        <f>P124</f>
        <v>447462.53</v>
      </c>
      <c r="Q30" s="224">
        <f>Q124</f>
        <v>357970.02</v>
      </c>
      <c r="R30" s="223">
        <v>0.15</v>
      </c>
      <c r="S30" s="224">
        <f>S124</f>
        <v>89492.51</v>
      </c>
      <c r="T30" s="258">
        <v>3.7499999999999999E-2</v>
      </c>
      <c r="U30" s="40" t="str">
        <f t="shared" si="2"/>
        <v/>
      </c>
      <c r="V30" s="40" t="str">
        <f t="shared" si="12"/>
        <v/>
      </c>
      <c r="W30" s="75" t="str">
        <f t="shared" si="13"/>
        <v/>
      </c>
      <c r="X30" s="76" t="str">
        <f t="shared" si="3"/>
        <v/>
      </c>
      <c r="Y30" s="76" t="str">
        <f t="shared" si="4"/>
        <v/>
      </c>
      <c r="Z30" s="40" t="str">
        <f t="shared" si="5"/>
        <v/>
      </c>
      <c r="AA30" s="40">
        <f t="shared" si="6"/>
        <v>853677.89029999997</v>
      </c>
      <c r="AB30" s="40">
        <f t="shared" si="14"/>
        <v>2386466.86</v>
      </c>
      <c r="AC30" s="75">
        <f t="shared" si="15"/>
        <v>27538</v>
      </c>
      <c r="AD30" s="76">
        <f t="shared" si="7"/>
        <v>2.7955000000000001</v>
      </c>
      <c r="AE30" s="76">
        <f t="shared" si="8"/>
        <v>0.5242</v>
      </c>
      <c r="AF30" s="40">
        <f t="shared" si="9"/>
        <v>447462.53</v>
      </c>
      <c r="AG30" s="50"/>
    </row>
    <row r="31" spans="1:33" x14ac:dyDescent="0.2">
      <c r="A31" s="23" t="s">
        <v>28</v>
      </c>
      <c r="B31" s="24" t="s">
        <v>15</v>
      </c>
      <c r="C31" s="57" t="s">
        <v>29</v>
      </c>
      <c r="D31" s="25" t="s">
        <v>21</v>
      </c>
      <c r="E31" s="57" t="s">
        <v>98</v>
      </c>
      <c r="F31" s="236" t="s">
        <v>37</v>
      </c>
      <c r="G31" s="386"/>
      <c r="H31" s="386"/>
      <c r="I31" s="216"/>
      <c r="J31" s="216"/>
      <c r="K31" s="222"/>
      <c r="L31" s="222"/>
      <c r="M31" s="222"/>
      <c r="N31" s="386"/>
      <c r="O31" s="224">
        <f t="shared" si="0"/>
        <v>0</v>
      </c>
      <c r="P31" s="222">
        <f t="shared" si="10"/>
        <v>0</v>
      </c>
      <c r="Q31" s="222">
        <f t="shared" si="11"/>
        <v>0</v>
      </c>
      <c r="R31" s="223">
        <v>0.15</v>
      </c>
      <c r="S31" s="222">
        <f t="shared" si="1"/>
        <v>0</v>
      </c>
      <c r="T31" s="258">
        <v>3.7499999999999999E-2</v>
      </c>
      <c r="U31" s="40">
        <f t="shared" si="2"/>
        <v>0</v>
      </c>
      <c r="V31" s="40">
        <f t="shared" si="12"/>
        <v>0</v>
      </c>
      <c r="W31" s="75">
        <f t="shared" si="13"/>
        <v>0</v>
      </c>
      <c r="X31" s="76">
        <f t="shared" si="3"/>
        <v>0</v>
      </c>
      <c r="Y31" s="76">
        <f t="shared" si="4"/>
        <v>0</v>
      </c>
      <c r="Z31" s="40">
        <f t="shared" si="5"/>
        <v>0</v>
      </c>
      <c r="AA31" s="40" t="str">
        <f t="shared" si="6"/>
        <v/>
      </c>
      <c r="AB31" s="40" t="str">
        <f t="shared" si="14"/>
        <v/>
      </c>
      <c r="AC31" s="75" t="str">
        <f t="shared" si="15"/>
        <v/>
      </c>
      <c r="AD31" s="76" t="str">
        <f t="shared" si="7"/>
        <v/>
      </c>
      <c r="AE31" s="76" t="str">
        <f t="shared" si="8"/>
        <v/>
      </c>
      <c r="AF31" s="40" t="str">
        <f t="shared" si="9"/>
        <v/>
      </c>
      <c r="AG31" s="50"/>
    </row>
    <row r="32" spans="1:33" x14ac:dyDescent="0.2">
      <c r="A32" s="23" t="s">
        <v>28</v>
      </c>
      <c r="B32" s="24" t="s">
        <v>16</v>
      </c>
      <c r="C32" s="57" t="s">
        <v>29</v>
      </c>
      <c r="D32" s="25" t="s">
        <v>21</v>
      </c>
      <c r="E32" s="57" t="s">
        <v>98</v>
      </c>
      <c r="F32" s="236" t="s">
        <v>56</v>
      </c>
      <c r="G32" s="386"/>
      <c r="H32" s="386"/>
      <c r="I32" s="215"/>
      <c r="J32" s="216"/>
      <c r="K32" s="222"/>
      <c r="L32" s="222"/>
      <c r="M32" s="222"/>
      <c r="N32" s="386"/>
      <c r="O32" s="224">
        <f t="shared" si="0"/>
        <v>0</v>
      </c>
      <c r="P32" s="222">
        <f t="shared" si="10"/>
        <v>0</v>
      </c>
      <c r="Q32" s="222">
        <f t="shared" si="11"/>
        <v>0</v>
      </c>
      <c r="R32" s="223">
        <v>0.15</v>
      </c>
      <c r="S32" s="222">
        <f t="shared" si="1"/>
        <v>0</v>
      </c>
      <c r="T32" s="258">
        <v>3.7499999999999999E-2</v>
      </c>
      <c r="U32" s="40" t="str">
        <f t="shared" si="2"/>
        <v/>
      </c>
      <c r="V32" s="40" t="str">
        <f t="shared" si="12"/>
        <v/>
      </c>
      <c r="W32" s="75" t="str">
        <f t="shared" si="13"/>
        <v/>
      </c>
      <c r="X32" s="76" t="str">
        <f t="shared" si="3"/>
        <v/>
      </c>
      <c r="Y32" s="76" t="str">
        <f t="shared" si="4"/>
        <v/>
      </c>
      <c r="Z32" s="40" t="str">
        <f t="shared" si="5"/>
        <v/>
      </c>
      <c r="AA32" s="40">
        <f t="shared" si="6"/>
        <v>0</v>
      </c>
      <c r="AB32" s="40">
        <f t="shared" si="14"/>
        <v>0</v>
      </c>
      <c r="AC32" s="75">
        <f t="shared" si="15"/>
        <v>0</v>
      </c>
      <c r="AD32" s="76">
        <f t="shared" si="7"/>
        <v>0</v>
      </c>
      <c r="AE32" s="76">
        <f t="shared" si="8"/>
        <v>0</v>
      </c>
      <c r="AF32" s="40">
        <f t="shared" si="9"/>
        <v>0</v>
      </c>
      <c r="AG32" s="50"/>
    </row>
    <row r="33" spans="1:33" x14ac:dyDescent="0.2">
      <c r="A33" s="23" t="s">
        <v>28</v>
      </c>
      <c r="B33" s="24" t="s">
        <v>170</v>
      </c>
      <c r="C33" s="57" t="s">
        <v>31</v>
      </c>
      <c r="D33" s="25" t="s">
        <v>30</v>
      </c>
      <c r="E33" s="57" t="s">
        <v>101</v>
      </c>
      <c r="F33" s="236" t="s">
        <v>37</v>
      </c>
      <c r="G33" s="215">
        <v>189</v>
      </c>
      <c r="H33" s="215">
        <v>212</v>
      </c>
      <c r="I33" s="217">
        <v>77.803799999999995</v>
      </c>
      <c r="J33" s="217">
        <v>80.831900000000005</v>
      </c>
      <c r="K33" s="222"/>
      <c r="L33" s="222"/>
      <c r="M33" s="222"/>
      <c r="N33" s="386">
        <v>196.49</v>
      </c>
      <c r="O33" s="224">
        <f t="shared" ref="O33:O38" si="16">ROUND(G33*I33,2)+ROUND(H33*J33,2)-K33-L33-M33-N33</f>
        <v>31644.789999999997</v>
      </c>
      <c r="P33" s="222">
        <f t="shared" si="10"/>
        <v>5933.4</v>
      </c>
      <c r="Q33" s="222">
        <f t="shared" ref="Q33:Q38" si="17">ROUND($O33*R33,2)</f>
        <v>1186.68</v>
      </c>
      <c r="R33" s="258">
        <v>3.7499999999999999E-2</v>
      </c>
      <c r="S33" s="222">
        <f t="shared" si="1"/>
        <v>4746.72</v>
      </c>
      <c r="T33" s="223">
        <v>0.15</v>
      </c>
      <c r="U33" s="40">
        <f>IF($F33&amp;"/Día"=W$9,SUM($G33:$H33),"")</f>
        <v>401</v>
      </c>
      <c r="V33" s="40">
        <f t="shared" si="12"/>
        <v>31644.789999999997</v>
      </c>
      <c r="W33" s="75">
        <f>IF($F33&amp;"/Día"=W$9,ROUND(U33/$W$1,1),"")</f>
        <v>12.9</v>
      </c>
      <c r="X33" s="76">
        <f>IF(U33=0,0,IF($F33&amp;"/Día"=W$9,ROUND(V33/U33,4),""))</f>
        <v>78.914699999999996</v>
      </c>
      <c r="Y33" s="76">
        <f>IF(U33=0,0,IF($F33&amp;"/Día"=W$9,ROUND(Z33/U33,4),""))</f>
        <v>14.7965</v>
      </c>
      <c r="Z33" s="40">
        <f>IF(U33&lt;&gt;"",$P33,"")</f>
        <v>5933.4</v>
      </c>
      <c r="AA33" s="40" t="str">
        <f>IF($F33&amp;"/Día"=AC$9,SUM($G33:$H33),"")</f>
        <v/>
      </c>
      <c r="AB33" s="40" t="str">
        <f t="shared" si="14"/>
        <v/>
      </c>
      <c r="AC33" s="75" t="str">
        <f>IF($F33&amp;"/Día"=AC$9,ROUND(AA33/$W$1,1),"")</f>
        <v/>
      </c>
      <c r="AD33" s="76" t="str">
        <f>IF(AA33=0,0,IF($F33&amp;"/Día"=AC$9,ROUND(AB33/AA33,4),""))</f>
        <v/>
      </c>
      <c r="AE33" s="76" t="str">
        <f>IF(AA33=0,0,IF($F33&amp;"/Día"=AC$9,ROUND(AF33/AA33,4),""))</f>
        <v/>
      </c>
      <c r="AF33" s="40" t="str">
        <f>IF(AA33&lt;&gt;"",$P33,"")</f>
        <v/>
      </c>
      <c r="AG33" s="50"/>
    </row>
    <row r="34" spans="1:33" x14ac:dyDescent="0.2">
      <c r="A34" s="23" t="s">
        <v>28</v>
      </c>
      <c r="B34" s="24" t="s">
        <v>166</v>
      </c>
      <c r="C34" s="57" t="s">
        <v>31</v>
      </c>
      <c r="D34" s="25" t="s">
        <v>30</v>
      </c>
      <c r="E34" s="57" t="s">
        <v>101</v>
      </c>
      <c r="F34" s="236" t="s">
        <v>37</v>
      </c>
      <c r="G34" s="215"/>
      <c r="H34" s="215"/>
      <c r="I34" s="217"/>
      <c r="J34" s="217"/>
      <c r="K34" s="215"/>
      <c r="L34" s="222"/>
      <c r="M34" s="222"/>
      <c r="N34" s="215"/>
      <c r="O34" s="224">
        <f t="shared" si="16"/>
        <v>0</v>
      </c>
      <c r="P34" s="222">
        <f t="shared" si="10"/>
        <v>0</v>
      </c>
      <c r="Q34" s="222">
        <f t="shared" si="17"/>
        <v>0</v>
      </c>
      <c r="R34" s="258">
        <v>3.7499999999999999E-2</v>
      </c>
      <c r="S34" s="222">
        <f t="shared" si="1"/>
        <v>0</v>
      </c>
      <c r="T34" s="223">
        <v>0.15</v>
      </c>
      <c r="U34" s="40">
        <f>IF($F34&amp;"/Día"=W$9,SUM($G34:$H34),"")</f>
        <v>0</v>
      </c>
      <c r="V34" s="40">
        <f t="shared" si="12"/>
        <v>0</v>
      </c>
      <c r="W34" s="75">
        <f>IF($F34&amp;"/Día"=W$9,ROUND(U34/$W$1,1),"")</f>
        <v>0</v>
      </c>
      <c r="X34" s="76">
        <f>IF(U34=0,0,IF($F34&amp;"/Día"=W$9,ROUND(V34/U34,4),""))</f>
        <v>0</v>
      </c>
      <c r="Y34" s="76">
        <f>IF(U34=0,0,IF($F34&amp;"/Día"=W$9,ROUND(Z34/U34,4),""))</f>
        <v>0</v>
      </c>
      <c r="Z34" s="40">
        <f>IF(U34&lt;&gt;"",$P34,"")</f>
        <v>0</v>
      </c>
      <c r="AA34" s="40" t="str">
        <f>IF($F34&amp;"/Día"=AC$9,SUM($G34:$H34),"")</f>
        <v/>
      </c>
      <c r="AB34" s="40" t="str">
        <f t="shared" si="14"/>
        <v/>
      </c>
      <c r="AC34" s="75" t="str">
        <f>IF($F34&amp;"/Día"=AC$9,ROUND(AA34/$W$1,1),"")</f>
        <v/>
      </c>
      <c r="AD34" s="76" t="str">
        <f>IF(AA34=0,0,IF($F34&amp;"/Día"=AC$9,ROUND(AB34/AA34,4),""))</f>
        <v/>
      </c>
      <c r="AE34" s="76" t="str">
        <f>IF(AA34=0,0,IF($F34&amp;"/Día"=AC$9,ROUND(AF34/AA34,4),""))</f>
        <v/>
      </c>
      <c r="AF34" s="40" t="str">
        <f>IF(AA34&lt;&gt;"",$P34,"")</f>
        <v/>
      </c>
      <c r="AG34" s="50"/>
    </row>
    <row r="35" spans="1:33" x14ac:dyDescent="0.2">
      <c r="A35" s="23" t="s">
        <v>28</v>
      </c>
      <c r="B35" s="24" t="s">
        <v>167</v>
      </c>
      <c r="C35" s="57" t="s">
        <v>31</v>
      </c>
      <c r="D35" s="25" t="s">
        <v>30</v>
      </c>
      <c r="E35" s="57" t="s">
        <v>101</v>
      </c>
      <c r="F35" s="236" t="s">
        <v>56</v>
      </c>
      <c r="G35" s="215"/>
      <c r="H35" s="215"/>
      <c r="I35" s="217"/>
      <c r="J35" s="217"/>
      <c r="K35" s="215"/>
      <c r="L35" s="222"/>
      <c r="M35" s="222"/>
      <c r="N35" s="215"/>
      <c r="O35" s="224">
        <f t="shared" si="16"/>
        <v>0</v>
      </c>
      <c r="P35" s="222">
        <f t="shared" si="10"/>
        <v>0</v>
      </c>
      <c r="Q35" s="222">
        <f t="shared" si="17"/>
        <v>0</v>
      </c>
      <c r="R35" s="258">
        <v>3.7499999999999999E-2</v>
      </c>
      <c r="S35" s="222">
        <f t="shared" si="1"/>
        <v>0</v>
      </c>
      <c r="T35" s="223">
        <v>0.15</v>
      </c>
      <c r="U35" s="40" t="str">
        <f>IF($F35&amp;"/Día"=W$9,SUM($G35:$H35),"")</f>
        <v/>
      </c>
      <c r="V35" s="40" t="str">
        <f t="shared" si="12"/>
        <v/>
      </c>
      <c r="W35" s="75" t="str">
        <f>IF($F35&amp;"/Día"=W$9,ROUND(U35/$W$1,1),"")</f>
        <v/>
      </c>
      <c r="X35" s="76" t="str">
        <f>IF(U35=0,0,IF($F35&amp;"/Día"=W$9,ROUND(V35/U35,4),""))</f>
        <v/>
      </c>
      <c r="Y35" s="76" t="str">
        <f>IF(U35=0,0,IF($F35&amp;"/Día"=W$9,ROUND(Z35/U35,4),""))</f>
        <v/>
      </c>
      <c r="Z35" s="40" t="str">
        <f>IF(U35&lt;&gt;"",$P35,"")</f>
        <v/>
      </c>
      <c r="AA35" s="40">
        <f>IF($F35&amp;"/Día"=AC$9,SUM($G35:$H35),"")</f>
        <v>0</v>
      </c>
      <c r="AB35" s="40">
        <f t="shared" si="14"/>
        <v>0</v>
      </c>
      <c r="AC35" s="75">
        <f>IF($F35&amp;"/Día"=AC$9,ROUND(AA35/$W$1,1),"")</f>
        <v>0</v>
      </c>
      <c r="AD35" s="76">
        <f>IF(AA35=0,0,IF($F35&amp;"/Día"=AC$9,ROUND(AB35/AA35,4),""))</f>
        <v>0</v>
      </c>
      <c r="AE35" s="76">
        <f>IF(AA35=0,0,IF($F35&amp;"/Día"=AC$9,ROUND(AF35/AA35,4),""))</f>
        <v>0</v>
      </c>
      <c r="AF35" s="40">
        <f>IF(AA35&lt;&gt;"",$P35,"")</f>
        <v>0</v>
      </c>
      <c r="AG35" s="50"/>
    </row>
    <row r="36" spans="1:33" x14ac:dyDescent="0.2">
      <c r="A36" s="26" t="s">
        <v>28</v>
      </c>
      <c r="B36" s="245" t="s">
        <v>171</v>
      </c>
      <c r="C36" s="236" t="s">
        <v>29</v>
      </c>
      <c r="D36" s="243" t="s">
        <v>21</v>
      </c>
      <c r="E36" s="236" t="s">
        <v>98</v>
      </c>
      <c r="F36" s="236" t="s">
        <v>37</v>
      </c>
      <c r="G36" s="215"/>
      <c r="H36" s="386"/>
      <c r="I36" s="217"/>
      <c r="J36" s="217"/>
      <c r="K36" s="215"/>
      <c r="L36" s="222"/>
      <c r="M36" s="222"/>
      <c r="N36" s="386"/>
      <c r="O36" s="224">
        <f t="shared" si="16"/>
        <v>0</v>
      </c>
      <c r="P36" s="222">
        <f t="shared" si="10"/>
        <v>0</v>
      </c>
      <c r="Q36" s="222">
        <f t="shared" si="17"/>
        <v>0</v>
      </c>
      <c r="R36" s="225">
        <v>0.15</v>
      </c>
      <c r="S36" s="222">
        <f t="shared" si="1"/>
        <v>0</v>
      </c>
      <c r="T36" s="258">
        <v>3.7499999999999999E-2</v>
      </c>
      <c r="U36" s="40">
        <f>IF($F36&amp;"/Día"=W$9,SUM($G36:$H36),"")</f>
        <v>0</v>
      </c>
      <c r="V36" s="40">
        <f t="shared" si="12"/>
        <v>0</v>
      </c>
      <c r="W36" s="75">
        <f>IF($F36&amp;"/Día"=W$9,ROUND(U36/$W$1,1),"")</f>
        <v>0</v>
      </c>
      <c r="X36" s="76">
        <f>IF(U36=0,0,IF($F36&amp;"/Día"=W$9,ROUND(V36/U36,4),""))</f>
        <v>0</v>
      </c>
      <c r="Y36" s="76">
        <f>IF(U36=0,0,IF($F36&amp;"/Día"=W$9,ROUND(Z36/U36,4),""))</f>
        <v>0</v>
      </c>
      <c r="Z36" s="40">
        <f>IF(U36&lt;&gt;"",$P36,"")</f>
        <v>0</v>
      </c>
      <c r="AA36" s="40" t="str">
        <f>IF($F36&amp;"/Día"=AC$9,SUM($G36:$H36),"")</f>
        <v/>
      </c>
      <c r="AB36" s="40" t="str">
        <f t="shared" si="14"/>
        <v/>
      </c>
      <c r="AC36" s="75" t="str">
        <f>IF($F36&amp;"/Día"=AC$9,ROUND(AA36/$W$1,1),"")</f>
        <v/>
      </c>
      <c r="AD36" s="76" t="str">
        <f>IF(AA36=0,0,IF($F36&amp;"/Día"=AC$9,ROUND(AB36/AA36,4),""))</f>
        <v/>
      </c>
      <c r="AE36" s="76" t="str">
        <f>IF(AA36=0,0,IF($F36&amp;"/Día"=AC$9,ROUND(AF36/AA36,4),""))</f>
        <v/>
      </c>
      <c r="AF36" s="40" t="str">
        <f>IF(AA36&lt;&gt;"",$P36,"")</f>
        <v/>
      </c>
      <c r="AG36" s="50"/>
    </row>
    <row r="37" spans="1:33" x14ac:dyDescent="0.2">
      <c r="A37" s="26" t="s">
        <v>28</v>
      </c>
      <c r="B37" s="24" t="s">
        <v>174</v>
      </c>
      <c r="C37" s="57" t="s">
        <v>31</v>
      </c>
      <c r="D37" s="25" t="s">
        <v>30</v>
      </c>
      <c r="E37" s="57" t="s">
        <v>101</v>
      </c>
      <c r="F37" s="236" t="s">
        <v>56</v>
      </c>
      <c r="G37" s="215"/>
      <c r="H37" s="215"/>
      <c r="I37" s="217"/>
      <c r="J37" s="217"/>
      <c r="K37" s="215"/>
      <c r="L37" s="222"/>
      <c r="M37" s="222"/>
      <c r="N37" s="215"/>
      <c r="O37" s="224">
        <f t="shared" si="16"/>
        <v>0</v>
      </c>
      <c r="P37" s="222">
        <f t="shared" si="10"/>
        <v>0</v>
      </c>
      <c r="Q37" s="222">
        <f t="shared" si="17"/>
        <v>0</v>
      </c>
      <c r="R37" s="248">
        <v>0.15</v>
      </c>
      <c r="S37" s="222">
        <f t="shared" si="1"/>
        <v>0</v>
      </c>
      <c r="T37" s="258">
        <v>3.7499999999999999E-2</v>
      </c>
      <c r="U37" s="40"/>
      <c r="V37" s="40"/>
      <c r="W37" s="75"/>
      <c r="X37" s="76"/>
      <c r="Y37" s="76"/>
      <c r="Z37" s="40"/>
      <c r="AA37" s="40"/>
      <c r="AB37" s="40"/>
      <c r="AC37" s="75"/>
      <c r="AD37" s="76"/>
      <c r="AE37" s="76"/>
      <c r="AF37" s="40"/>
      <c r="AG37" s="50"/>
    </row>
    <row r="38" spans="1:33" x14ac:dyDescent="0.2">
      <c r="A38" s="26" t="s">
        <v>28</v>
      </c>
      <c r="B38" s="526" t="s">
        <v>302</v>
      </c>
      <c r="C38" s="57" t="s">
        <v>31</v>
      </c>
      <c r="D38" s="25" t="s">
        <v>30</v>
      </c>
      <c r="E38" s="57" t="s">
        <v>101</v>
      </c>
      <c r="F38" s="236" t="s">
        <v>37</v>
      </c>
      <c r="G38" s="386">
        <v>47317</v>
      </c>
      <c r="H38" s="386">
        <v>108419</v>
      </c>
      <c r="I38" s="217">
        <v>77.484999999999999</v>
      </c>
      <c r="J38" s="217">
        <v>80.536699999999996</v>
      </c>
      <c r="K38" s="215"/>
      <c r="L38" s="222"/>
      <c r="M38" s="222"/>
      <c r="N38" s="386">
        <v>505.78</v>
      </c>
      <c r="O38" s="224">
        <f t="shared" si="16"/>
        <v>12397560.450000001</v>
      </c>
      <c r="P38" s="222">
        <f t="shared" si="10"/>
        <v>2324542.58</v>
      </c>
      <c r="Q38" s="222">
        <f t="shared" si="17"/>
        <v>1859634.07</v>
      </c>
      <c r="R38" s="248">
        <v>0.15</v>
      </c>
      <c r="S38" s="222">
        <f t="shared" si="1"/>
        <v>464908.52</v>
      </c>
      <c r="T38" s="258">
        <v>3.7499999999999999E-2</v>
      </c>
      <c r="U38" s="40"/>
      <c r="V38" s="40"/>
      <c r="W38" s="75"/>
      <c r="X38" s="76"/>
      <c r="Y38" s="76"/>
      <c r="Z38" s="40"/>
      <c r="AA38" s="40"/>
      <c r="AB38" s="40"/>
      <c r="AC38" s="75"/>
      <c r="AD38" s="76"/>
      <c r="AE38" s="76"/>
      <c r="AF38" s="40"/>
      <c r="AG38" s="50"/>
    </row>
    <row r="39" spans="1:33" x14ac:dyDescent="0.2">
      <c r="A39" s="26" t="s">
        <v>28</v>
      </c>
      <c r="B39" s="526" t="s">
        <v>303</v>
      </c>
      <c r="C39" s="57" t="s">
        <v>31</v>
      </c>
      <c r="D39" s="25" t="s">
        <v>30</v>
      </c>
      <c r="E39" s="57" t="s">
        <v>101</v>
      </c>
      <c r="F39" s="236" t="s">
        <v>56</v>
      </c>
      <c r="G39" s="512">
        <f>G189</f>
        <v>171265.72999999998</v>
      </c>
      <c r="H39" s="512">
        <f>H198</f>
        <v>94046.87</v>
      </c>
      <c r="I39" s="370">
        <f>I189</f>
        <v>3.3952978800837736</v>
      </c>
      <c r="J39" s="370">
        <f>J198</f>
        <v>2.7946698279272879</v>
      </c>
      <c r="K39" s="215"/>
      <c r="L39" s="222"/>
      <c r="M39" s="222"/>
      <c r="N39" s="386">
        <v>447.56</v>
      </c>
      <c r="O39" s="224">
        <f>O181</f>
        <v>844328.11999999988</v>
      </c>
      <c r="P39" s="224">
        <f>P181</f>
        <v>158311.51999999999</v>
      </c>
      <c r="Q39" s="224">
        <f>Q181</f>
        <v>126649.22</v>
      </c>
      <c r="R39" s="248">
        <v>0.15</v>
      </c>
      <c r="S39" s="224">
        <f>S181</f>
        <v>31662.31</v>
      </c>
      <c r="T39" s="258">
        <v>3.7499999999999999E-2</v>
      </c>
      <c r="U39" s="40"/>
      <c r="V39" s="40"/>
      <c r="W39" s="75"/>
      <c r="X39" s="76"/>
      <c r="Y39" s="76"/>
      <c r="Z39" s="40"/>
      <c r="AA39" s="40"/>
      <c r="AB39" s="40"/>
      <c r="AC39" s="75"/>
      <c r="AD39" s="76"/>
      <c r="AE39" s="76"/>
      <c r="AF39" s="40"/>
      <c r="AG39" s="50"/>
    </row>
    <row r="40" spans="1:33" x14ac:dyDescent="0.2">
      <c r="A40" s="26" t="s">
        <v>28</v>
      </c>
      <c r="B40" s="526" t="s">
        <v>304</v>
      </c>
      <c r="C40" s="57" t="s">
        <v>31</v>
      </c>
      <c r="D40" s="25" t="s">
        <v>30</v>
      </c>
      <c r="E40" s="57" t="s">
        <v>101</v>
      </c>
      <c r="F40" s="236" t="s">
        <v>37</v>
      </c>
      <c r="G40" s="386">
        <v>9181</v>
      </c>
      <c r="H40" s="386">
        <v>9526</v>
      </c>
      <c r="I40" s="217">
        <v>50.600499999999997</v>
      </c>
      <c r="J40" s="217">
        <v>55.032699999999998</v>
      </c>
      <c r="K40" s="215"/>
      <c r="L40" s="222"/>
      <c r="M40" s="222"/>
      <c r="N40" s="386">
        <v>487.58</v>
      </c>
      <c r="O40" s="224">
        <f>ROUND(G40*I40,2)+ROUND(H40*J40,2)-K40-L40-M40-N40</f>
        <v>988317.11</v>
      </c>
      <c r="P40" s="222">
        <f t="shared" si="10"/>
        <v>185309.46</v>
      </c>
      <c r="Q40" s="222">
        <f>ROUND($O40*R40,2)</f>
        <v>148247.57</v>
      </c>
      <c r="R40" s="248">
        <v>0.15</v>
      </c>
      <c r="S40" s="222">
        <f t="shared" si="1"/>
        <v>37061.89</v>
      </c>
      <c r="T40" s="258">
        <v>3.7499999999999999E-2</v>
      </c>
      <c r="U40" s="40"/>
      <c r="V40" s="40"/>
      <c r="W40" s="75"/>
      <c r="X40" s="76"/>
      <c r="Y40" s="76"/>
      <c r="Z40" s="40"/>
      <c r="AA40" s="40"/>
      <c r="AB40" s="40"/>
      <c r="AC40" s="75"/>
      <c r="AD40" s="76"/>
      <c r="AE40" s="76"/>
      <c r="AF40" s="40"/>
      <c r="AG40" s="50"/>
    </row>
    <row r="41" spans="1:33" x14ac:dyDescent="0.2">
      <c r="A41" s="26" t="s">
        <v>28</v>
      </c>
      <c r="B41" s="29" t="s">
        <v>52</v>
      </c>
      <c r="C41" s="56"/>
      <c r="D41" s="56"/>
      <c r="E41" s="27"/>
      <c r="F41" s="236"/>
      <c r="G41" s="222"/>
      <c r="H41" s="222"/>
      <c r="I41" s="216"/>
      <c r="J41" s="216"/>
      <c r="K41" s="222"/>
      <c r="L41" s="222"/>
      <c r="M41" s="222"/>
      <c r="N41" s="222"/>
      <c r="O41" s="224"/>
      <c r="P41" s="224"/>
      <c r="Q41" s="224"/>
      <c r="R41" s="248"/>
      <c r="S41" s="224"/>
      <c r="T41" s="223"/>
      <c r="U41" s="40" t="str">
        <f>IF($F41&amp;"/Día"=W$9,SUM($G41:$H41),"")</f>
        <v/>
      </c>
      <c r="V41" s="40" t="str">
        <f t="shared" si="12"/>
        <v/>
      </c>
      <c r="W41" s="75" t="str">
        <f>IF($F41&amp;"/Día"=W$9,ROUND(U41/$W$1,1),"")</f>
        <v/>
      </c>
      <c r="X41" s="76" t="str">
        <f>IF(U41=0,0,IF($F41&amp;"/Día"=W$9,ROUND(V41/U41,4),""))</f>
        <v/>
      </c>
      <c r="Y41" s="76" t="str">
        <f>IF(U41=0,0,IF($F41&amp;"/Día"=W$9,ROUND(Z41/U41,4),""))</f>
        <v/>
      </c>
      <c r="Z41" s="40" t="str">
        <f>IF(U41&lt;&gt;"",$P41,"")</f>
        <v/>
      </c>
      <c r="AA41" s="40" t="str">
        <f>IF($F41&amp;"/Día"=AC$9,SUM($G41:$H41),"")</f>
        <v/>
      </c>
      <c r="AB41" s="40" t="str">
        <f t="shared" si="14"/>
        <v/>
      </c>
      <c r="AC41" s="75" t="str">
        <f>IF($F41&amp;"/Día"=AC$9,ROUND(AA41/$W$1,1),"")</f>
        <v/>
      </c>
      <c r="AD41" s="76" t="str">
        <f>IF(AA41=0,0,IF($F41&amp;"/Día"=AC$9,ROUND(AB41/AA41,4),""))</f>
        <v/>
      </c>
      <c r="AE41" s="76" t="str">
        <f>IF(AA41=0,0,IF($F41&amp;"/Día"=AC$9,ROUND(AF41/AA41,4),""))</f>
        <v/>
      </c>
      <c r="AF41" s="40" t="str">
        <f>IF(AA41&lt;&gt;"",$P41,"")</f>
        <v/>
      </c>
      <c r="AG41" s="50"/>
    </row>
    <row r="42" spans="1:33" x14ac:dyDescent="0.2">
      <c r="A42" s="30"/>
      <c r="B42" s="153" t="s">
        <v>108</v>
      </c>
      <c r="C42" s="31" t="str">
        <f>TEXT(A$9,)&amp;" US$"</f>
        <v>Piura / Tumbes US$</v>
      </c>
      <c r="D42" s="38"/>
      <c r="E42" s="39"/>
      <c r="F42" s="244"/>
      <c r="G42" s="218"/>
      <c r="H42" s="218"/>
      <c r="I42" s="219"/>
      <c r="J42" s="219"/>
      <c r="K42" s="218"/>
      <c r="L42" s="218"/>
      <c r="M42" s="218"/>
      <c r="N42" s="227"/>
      <c r="O42" s="227">
        <f>SUM(O10:O41)</f>
        <v>63364779.280000001</v>
      </c>
      <c r="P42" s="227">
        <f>SUM(P10:P41)</f>
        <v>11880896.120000001</v>
      </c>
      <c r="Q42" s="227">
        <f>SUM(Q10:Q41)</f>
        <v>9532887.2700000014</v>
      </c>
      <c r="R42" s="229"/>
      <c r="S42" s="227">
        <f>SUM(S10:S41)</f>
        <v>2379739.29</v>
      </c>
      <c r="T42" s="511">
        <v>0</v>
      </c>
      <c r="U42" s="77">
        <f>SUM(U10:U41)</f>
        <v>636085.74679999996</v>
      </c>
      <c r="V42" s="77">
        <f>SUM(V10:V41)</f>
        <v>44573943.420000002</v>
      </c>
      <c r="W42" s="78">
        <f>SUM(W10:W41)</f>
        <v>20518.900000000005</v>
      </c>
      <c r="X42" s="79">
        <f>ROUND(V42/U42,4)</f>
        <v>70.075400000000002</v>
      </c>
      <c r="Y42" s="79">
        <f>ROUND(Z42/U42,4)</f>
        <v>13.139099999999999</v>
      </c>
      <c r="Z42" s="77">
        <f>SUM(Z10:Z41)</f>
        <v>8357614.4100000001</v>
      </c>
      <c r="AA42" s="77">
        <f>SUM(AA10:AA41)</f>
        <v>1547961.1908</v>
      </c>
      <c r="AB42" s="77">
        <f>SUM(AB10:AB41)</f>
        <v>4528899.76</v>
      </c>
      <c r="AC42" s="78">
        <f>SUM(AC10:AC41)</f>
        <v>49934.3</v>
      </c>
      <c r="AD42" s="79">
        <f>ROUND(AB42/AA42,4)</f>
        <v>2.9257</v>
      </c>
      <c r="AE42" s="79">
        <f>ROUND(AF42/AA42,4)</f>
        <v>0.54859999999999998</v>
      </c>
      <c r="AF42" s="77">
        <f>SUM(AF10:AF41)</f>
        <v>849168.70000000007</v>
      </c>
      <c r="AG42" s="43">
        <f>P42-Z42-AF42</f>
        <v>2674113.0100000007</v>
      </c>
    </row>
    <row r="43" spans="1:33" x14ac:dyDescent="0.2">
      <c r="A43" s="125"/>
      <c r="B43" s="126"/>
      <c r="C43" s="31" t="str">
        <f>TEXT(A$9,)&amp;" S/."</f>
        <v>Piura / Tumbes S/.</v>
      </c>
      <c r="D43" s="56"/>
      <c r="E43" s="56"/>
      <c r="F43" s="137"/>
      <c r="G43" s="177"/>
      <c r="H43" s="177"/>
      <c r="I43" s="202"/>
      <c r="J43" s="202"/>
      <c r="K43" s="177"/>
      <c r="L43" s="177"/>
      <c r="M43" s="177"/>
      <c r="N43" s="177"/>
      <c r="O43" s="209"/>
      <c r="P43" s="210">
        <f>ROUND($F$1*P42,2)</f>
        <v>11880896.119999999</v>
      </c>
      <c r="Q43" s="364">
        <f>ROUND($F$1*Q42,2)</f>
        <v>9532887.2699999996</v>
      </c>
      <c r="R43" s="139"/>
      <c r="S43" s="363">
        <f>ROUND($F$1*S42,2)</f>
        <v>2379739.29</v>
      </c>
      <c r="T43" s="160"/>
      <c r="U43" s="140"/>
      <c r="V43" s="140"/>
      <c r="W43" s="141"/>
      <c r="X43" s="142"/>
      <c r="Y43" s="142"/>
      <c r="Z43" s="140"/>
      <c r="AA43" s="140"/>
      <c r="AB43" s="140"/>
      <c r="AC43" s="141"/>
      <c r="AD43" s="142"/>
      <c r="AE43" s="142"/>
      <c r="AF43" s="140"/>
      <c r="AG43" s="140"/>
    </row>
    <row r="44" spans="1:33" x14ac:dyDescent="0.2">
      <c r="A44" s="15" t="s">
        <v>22</v>
      </c>
      <c r="B44" s="16"/>
      <c r="C44" s="58"/>
      <c r="D44" s="58"/>
      <c r="E44" s="17"/>
      <c r="F44" s="34"/>
      <c r="G44" s="220"/>
      <c r="H44" s="220"/>
      <c r="I44" s="221"/>
      <c r="J44" s="221"/>
      <c r="K44" s="220"/>
      <c r="L44" s="220"/>
      <c r="M44" s="220"/>
      <c r="N44" s="220"/>
      <c r="O44" s="231"/>
      <c r="P44" s="220"/>
      <c r="Q44" s="232" t="s">
        <v>49</v>
      </c>
      <c r="R44" s="214"/>
      <c r="S44" s="275"/>
      <c r="T44" s="276"/>
      <c r="U44" s="49"/>
      <c r="V44" s="49"/>
      <c r="W44" s="80"/>
      <c r="X44" s="81"/>
      <c r="Y44" s="81"/>
      <c r="Z44" s="81"/>
      <c r="AA44" s="49"/>
      <c r="AB44" s="49"/>
      <c r="AC44" s="80"/>
      <c r="AD44" s="81"/>
      <c r="AE44" s="81"/>
      <c r="AF44" s="81"/>
      <c r="AG44" s="46"/>
    </row>
    <row r="45" spans="1:33" x14ac:dyDescent="0.2">
      <c r="A45" s="26" t="s">
        <v>28</v>
      </c>
      <c r="B45" s="28">
        <v>131</v>
      </c>
      <c r="C45" s="57" t="s">
        <v>31</v>
      </c>
      <c r="D45" s="25" t="s">
        <v>30</v>
      </c>
      <c r="E45" s="57" t="s">
        <v>101</v>
      </c>
      <c r="F45" s="35" t="s">
        <v>37</v>
      </c>
      <c r="G45" s="215">
        <v>13970</v>
      </c>
      <c r="H45" s="215">
        <v>17678</v>
      </c>
      <c r="I45" s="217">
        <v>65.6113</v>
      </c>
      <c r="J45" s="217">
        <v>68.427400000000006</v>
      </c>
      <c r="K45" s="222"/>
      <c r="L45" s="222"/>
      <c r="M45" s="222"/>
      <c r="N45" s="386">
        <v>3915.23</v>
      </c>
      <c r="O45" s="224">
        <f>ROUND(G45*I45,2)+ROUND(H45*J45,2)-K45-L45-M45-N45</f>
        <v>2122334.21</v>
      </c>
      <c r="P45" s="222">
        <f>ROUND(15%*O45,2)</f>
        <v>318350.13</v>
      </c>
      <c r="Q45" s="222">
        <f>ROUND($O45*R45,2)</f>
        <v>318350.13</v>
      </c>
      <c r="R45" s="223">
        <v>0.15</v>
      </c>
      <c r="S45" s="226"/>
      <c r="T45" s="225"/>
      <c r="U45" s="40">
        <f>IF($F45&amp;"/Día"=W$9,SUM($G45:$H45),"")</f>
        <v>31648</v>
      </c>
      <c r="V45" s="40">
        <f>IF(U45&lt;&gt;"",$O45,"")</f>
        <v>2122334.21</v>
      </c>
      <c r="W45" s="75">
        <f t="shared" si="13"/>
        <v>1020.9</v>
      </c>
      <c r="X45" s="76">
        <f>IF(U45=0,0,IF($F45&amp;"/Día"=W$9,ROUND(V45/U45,4),""))</f>
        <v>67.060599999999994</v>
      </c>
      <c r="Y45" s="76">
        <f>IF(U45=0,0,IF($F45&amp;"/Día"=W$9,ROUND(Z45/U45,4),""))</f>
        <v>10.059100000000001</v>
      </c>
      <c r="Z45" s="40">
        <f>IF(U45&lt;&gt;"",$P45,"")</f>
        <v>318350.13</v>
      </c>
      <c r="AA45" s="40" t="str">
        <f>IF($F45&amp;"/Día"=AC$9,SUM($G45:$H45),"")</f>
        <v/>
      </c>
      <c r="AB45" s="40" t="str">
        <f>IF(AA45&lt;&gt;"",$O45,"")</f>
        <v/>
      </c>
      <c r="AC45" s="75" t="str">
        <f t="shared" si="15"/>
        <v/>
      </c>
      <c r="AD45" s="76" t="str">
        <f>IF(AA45=0,0,IF($F45&amp;"/Día"=AC$9,ROUND(AB45/AA45,4),""))</f>
        <v/>
      </c>
      <c r="AE45" s="76" t="str">
        <f>IF(AA45=0,0,IF($F45&amp;"/Día"=AC$9,ROUND(AF45/AA45,4),""))</f>
        <v/>
      </c>
      <c r="AF45" s="40" t="str">
        <f>IF(AA45&lt;&gt;"",$P45,"")</f>
        <v/>
      </c>
      <c r="AG45" s="50"/>
    </row>
    <row r="46" spans="1:33" x14ac:dyDescent="0.2">
      <c r="A46" s="26" t="s">
        <v>28</v>
      </c>
      <c r="B46" s="29" t="s">
        <v>53</v>
      </c>
      <c r="C46" s="56"/>
      <c r="D46" s="56"/>
      <c r="E46" s="5"/>
      <c r="F46" s="33"/>
      <c r="G46" s="222"/>
      <c r="H46" s="222"/>
      <c r="I46" s="216"/>
      <c r="J46" s="216"/>
      <c r="K46" s="222"/>
      <c r="L46" s="222"/>
      <c r="M46" s="222"/>
      <c r="N46" s="222"/>
      <c r="O46" s="224"/>
      <c r="P46" s="224"/>
      <c r="Q46" s="224"/>
      <c r="R46" s="225"/>
      <c r="S46" s="224"/>
      <c r="T46" s="225"/>
      <c r="U46" s="40" t="str">
        <f>IF($F46&amp;"/Día"=W$9,SUM($G46:$H46),"")</f>
        <v/>
      </c>
      <c r="V46" s="40" t="str">
        <f>IF(U46&lt;&gt;"",$O46,"")</f>
        <v/>
      </c>
      <c r="W46" s="75" t="str">
        <f t="shared" si="13"/>
        <v/>
      </c>
      <c r="X46" s="76" t="str">
        <f>IF(U46=0,0,IF($F46&amp;"/Día"=W$9,ROUND(V46/U46,4),""))</f>
        <v/>
      </c>
      <c r="Y46" s="76" t="str">
        <f>IF(U46=0,0,IF($F46&amp;"/Día"=W$9,ROUND(Z46/U46,4),""))</f>
        <v/>
      </c>
      <c r="Z46" s="40" t="str">
        <f>IF(U46&lt;&gt;"",$P46,"")</f>
        <v/>
      </c>
      <c r="AA46" s="40" t="str">
        <f>IF($F46&amp;"/Día"=AC$9,SUM($G46:$H46),"")</f>
        <v/>
      </c>
      <c r="AB46" s="40" t="str">
        <f>IF(AA46&lt;&gt;"",$O46,"")</f>
        <v/>
      </c>
      <c r="AC46" s="75" t="str">
        <f t="shared" si="15"/>
        <v/>
      </c>
      <c r="AD46" s="76" t="str">
        <f>IF(AA46=0,0,IF($F46&amp;"/Día"=AC$9,ROUND(AB46/AA46,4),""))</f>
        <v/>
      </c>
      <c r="AE46" s="76" t="str">
        <f>IF(AA46=0,0,IF($F46&amp;"/Día"=AC$9,ROUND(AF46/AA46,4),""))</f>
        <v/>
      </c>
      <c r="AF46" s="40" t="str">
        <f>IF(AA46&lt;&gt;"",$P46,"")</f>
        <v/>
      </c>
      <c r="AG46" s="50"/>
    </row>
    <row r="47" spans="1:33" x14ac:dyDescent="0.2">
      <c r="A47" s="30"/>
      <c r="B47" s="153" t="s">
        <v>108</v>
      </c>
      <c r="C47" s="31" t="str">
        <f>TEXT(A$44,)&amp;" US$"</f>
        <v>Provincia Puerto Inca Huanuco US$</v>
      </c>
      <c r="D47" s="38"/>
      <c r="E47" s="39"/>
      <c r="F47" s="38"/>
      <c r="G47" s="218"/>
      <c r="H47" s="218"/>
      <c r="I47" s="219"/>
      <c r="J47" s="219"/>
      <c r="K47" s="218"/>
      <c r="L47" s="218"/>
      <c r="M47" s="218"/>
      <c r="N47" s="218"/>
      <c r="O47" s="227">
        <f>SUM(O45:O46)</f>
        <v>2122334.21</v>
      </c>
      <c r="P47" s="227">
        <f>SUM(P45:P46)</f>
        <v>318350.13</v>
      </c>
      <c r="Q47" s="227">
        <f>SUM(Q45:Q46)</f>
        <v>318350.13</v>
      </c>
      <c r="R47" s="229"/>
      <c r="S47" s="227">
        <f>SUM(S45:S46)</f>
        <v>0</v>
      </c>
      <c r="T47" s="229"/>
      <c r="U47" s="43">
        <f>SUM(U45:U46)</f>
        <v>31648</v>
      </c>
      <c r="V47" s="43">
        <f>SUM(V45:V46)</f>
        <v>2122334.21</v>
      </c>
      <c r="W47" s="82">
        <f>SUM(W45:W46)</f>
        <v>1020.9</v>
      </c>
      <c r="X47" s="83">
        <f>ROUND(V47/U47,4)</f>
        <v>67.060599999999994</v>
      </c>
      <c r="Y47" s="83">
        <f>ROUND(Z47/U47,4)</f>
        <v>10.059100000000001</v>
      </c>
      <c r="Z47" s="43">
        <f>SUM(Z45:Z46)</f>
        <v>318350.13</v>
      </c>
      <c r="AA47" s="43">
        <f>SUM(AA45:AA46)</f>
        <v>0</v>
      </c>
      <c r="AB47" s="43">
        <f>SUM(AB45:AB46)</f>
        <v>0</v>
      </c>
      <c r="AC47" s="82">
        <f>SUM(AC45:AC46)</f>
        <v>0</v>
      </c>
      <c r="AD47" s="83">
        <f>IF(AA47=0,0,ROUND(AB47/AA47,4))</f>
        <v>0</v>
      </c>
      <c r="AE47" s="83">
        <f>IF(AA47=0,0,ROUND(AF47/AA47,4))</f>
        <v>0</v>
      </c>
      <c r="AF47" s="43">
        <f>SUM(AF45:AF46)</f>
        <v>0</v>
      </c>
      <c r="AG47" s="77">
        <f>P47-Z47-AF47</f>
        <v>0</v>
      </c>
    </row>
    <row r="48" spans="1:33" x14ac:dyDescent="0.2">
      <c r="A48" s="125"/>
      <c r="B48" s="126"/>
      <c r="C48" s="31" t="str">
        <f>TEXT(A$44,)&amp;" S/."</f>
        <v>Provincia Puerto Inca Huanuco S/.</v>
      </c>
      <c r="D48" s="56"/>
      <c r="E48" s="56"/>
      <c r="F48" s="137"/>
      <c r="G48" s="177"/>
      <c r="H48" s="177"/>
      <c r="I48" s="202"/>
      <c r="J48" s="202"/>
      <c r="K48" s="177"/>
      <c r="L48" s="177"/>
      <c r="M48" s="177"/>
      <c r="N48" s="177"/>
      <c r="O48" s="209"/>
      <c r="P48" s="210">
        <f>ROUND($F$1*P47,2)</f>
        <v>318350.13</v>
      </c>
      <c r="Q48" s="364">
        <f>ROUND($F$1*Q47,2)</f>
        <v>318350.13</v>
      </c>
      <c r="R48" s="139"/>
      <c r="S48" s="210">
        <f>ROUND($F$1*S47,2)</f>
        <v>0</v>
      </c>
      <c r="T48" s="139"/>
      <c r="U48" s="140"/>
      <c r="V48" s="140"/>
      <c r="W48" s="141"/>
      <c r="X48" s="142"/>
      <c r="Y48" s="142"/>
      <c r="Z48" s="140"/>
      <c r="AA48" s="140"/>
      <c r="AB48" s="140"/>
      <c r="AC48" s="141"/>
      <c r="AD48" s="142"/>
      <c r="AE48" s="142"/>
      <c r="AF48" s="140"/>
      <c r="AG48" s="140"/>
    </row>
    <row r="49" spans="1:33" x14ac:dyDescent="0.2">
      <c r="A49" s="15" t="s">
        <v>24</v>
      </c>
      <c r="B49" s="16"/>
      <c r="C49" s="58"/>
      <c r="D49" s="58"/>
      <c r="E49" s="17"/>
      <c r="F49" s="234"/>
      <c r="G49" s="220"/>
      <c r="H49" s="220"/>
      <c r="I49" s="221"/>
      <c r="J49" s="221"/>
      <c r="K49" s="220"/>
      <c r="L49" s="220"/>
      <c r="M49" s="220"/>
      <c r="N49" s="220"/>
      <c r="O49" s="231"/>
      <c r="P49" s="220"/>
      <c r="Q49" s="232" t="s">
        <v>47</v>
      </c>
      <c r="R49" s="214"/>
      <c r="S49" s="235" t="s">
        <v>48</v>
      </c>
      <c r="T49" s="214"/>
      <c r="U49" s="46"/>
      <c r="V49" s="46"/>
      <c r="W49" s="73"/>
      <c r="X49" s="74"/>
      <c r="Y49" s="74"/>
      <c r="Z49" s="74"/>
      <c r="AA49" s="46"/>
      <c r="AB49" s="46"/>
      <c r="AC49" s="73"/>
      <c r="AD49" s="74"/>
      <c r="AE49" s="74"/>
      <c r="AF49" s="74"/>
      <c r="AG49" s="46"/>
    </row>
    <row r="50" spans="1:33" x14ac:dyDescent="0.2">
      <c r="A50" s="23" t="s">
        <v>28</v>
      </c>
      <c r="B50" s="246">
        <v>192</v>
      </c>
      <c r="C50" s="57" t="s">
        <v>29</v>
      </c>
      <c r="D50" s="57" t="s">
        <v>21</v>
      </c>
      <c r="E50" s="57" t="s">
        <v>98</v>
      </c>
      <c r="F50" s="237" t="s">
        <v>37</v>
      </c>
      <c r="G50" s="215"/>
      <c r="H50" s="215"/>
      <c r="I50" s="217"/>
      <c r="J50" s="217"/>
      <c r="K50" s="215"/>
      <c r="L50" s="222"/>
      <c r="M50" s="222"/>
      <c r="N50" s="222"/>
      <c r="O50" s="224">
        <f t="shared" ref="O50:O57" si="18">ROUND(G50*I50,2)+ROUND(H50*J50,2)-K50-L50-M50-N50</f>
        <v>0</v>
      </c>
      <c r="P50" s="222">
        <f t="shared" ref="P50:P57" si="19">ROUND(18.75%*O50,2)</f>
        <v>0</v>
      </c>
      <c r="Q50" s="222">
        <f>ROUND($O50*R50,2)</f>
        <v>0</v>
      </c>
      <c r="R50" s="223">
        <v>0.15</v>
      </c>
      <c r="S50" s="222">
        <f t="shared" ref="S50:S57" si="20">ROUND($O50*T50,2)</f>
        <v>0</v>
      </c>
      <c r="T50" s="258">
        <v>3.7499999999999999E-2</v>
      </c>
      <c r="U50" s="40">
        <f t="shared" ref="U50:U58" si="21">IF($F50&amp;"/Día"=W$9,SUM($G50:$H50),"")</f>
        <v>0</v>
      </c>
      <c r="V50" s="40">
        <f t="shared" ref="V50:V58" si="22">IF(U50&lt;&gt;"",$O50,"")</f>
        <v>0</v>
      </c>
      <c r="W50" s="75">
        <f t="shared" ref="W50:W58" si="23">IF($F50&amp;"/Día"=W$9,ROUND(U50/$W$1,1),"")</f>
        <v>0</v>
      </c>
      <c r="X50" s="76">
        <f t="shared" ref="X50:X58" si="24">IF(U50=0,0,IF($F50&amp;"/Día"=W$9,ROUND(V50/U50,4),""))</f>
        <v>0</v>
      </c>
      <c r="Y50" s="76">
        <f t="shared" ref="Y50:Y58" si="25">IF(U50=0,0,IF($F50&amp;"/Día"=W$9,ROUND(Z50/U50,4),""))</f>
        <v>0</v>
      </c>
      <c r="Z50" s="40">
        <f t="shared" ref="Z50:Z58" si="26">IF(U50&lt;&gt;"",$P50,"")</f>
        <v>0</v>
      </c>
      <c r="AA50" s="40" t="str">
        <f t="shared" ref="AA50:AA58" si="27">IF($F50&amp;"/Día"=AC$9,SUM($G50:$H50),"")</f>
        <v/>
      </c>
      <c r="AB50" s="40" t="str">
        <f t="shared" ref="AB50:AB58" si="28">IF(AA50&lt;&gt;"",$O50,"")</f>
        <v/>
      </c>
      <c r="AC50" s="75" t="str">
        <f t="shared" ref="AC50:AC58" si="29">IF($F50&amp;"/Día"=AC$9,ROUND(AA50/$W$1,1),"")</f>
        <v/>
      </c>
      <c r="AD50" s="76" t="str">
        <f t="shared" ref="AD50:AD58" si="30">IF(AA50=0,0,IF($F50&amp;"/Día"=AC$9,ROUND(AB50/AA50,4),""))</f>
        <v/>
      </c>
      <c r="AE50" s="76" t="str">
        <f t="shared" ref="AE50:AE58" si="31">IF(AA50=0,0,IF($F50&amp;"/Día"=AC$9,ROUND(AF50/AA50,4),""))</f>
        <v/>
      </c>
      <c r="AF50" s="40" t="str">
        <f t="shared" ref="AF50:AF58" si="32">IF(AA50&lt;&gt;"",$P50,"")</f>
        <v/>
      </c>
      <c r="AG50" s="50"/>
    </row>
    <row r="51" spans="1:33" x14ac:dyDescent="0.2">
      <c r="A51" s="23" t="s">
        <v>28</v>
      </c>
      <c r="B51" s="28">
        <v>8</v>
      </c>
      <c r="C51" s="57" t="s">
        <v>31</v>
      </c>
      <c r="D51" s="57" t="s">
        <v>30</v>
      </c>
      <c r="E51" s="57" t="s">
        <v>101</v>
      </c>
      <c r="F51" s="237" t="s">
        <v>37</v>
      </c>
      <c r="G51" s="222"/>
      <c r="H51" s="215"/>
      <c r="I51" s="217"/>
      <c r="J51" s="217"/>
      <c r="K51" s="222"/>
      <c r="L51" s="222"/>
      <c r="M51" s="222"/>
      <c r="N51" s="222"/>
      <c r="O51" s="224">
        <f t="shared" si="18"/>
        <v>0</v>
      </c>
      <c r="P51" s="222">
        <f t="shared" si="19"/>
        <v>0</v>
      </c>
      <c r="Q51" s="222">
        <f>ROUND($O51*R51,2)</f>
        <v>0</v>
      </c>
      <c r="R51" s="223">
        <v>0.15</v>
      </c>
      <c r="S51" s="222">
        <f t="shared" si="20"/>
        <v>0</v>
      </c>
      <c r="T51" s="258">
        <v>3.7499999999999999E-2</v>
      </c>
      <c r="U51" s="40">
        <f t="shared" si="21"/>
        <v>0</v>
      </c>
      <c r="V51" s="40">
        <f t="shared" si="22"/>
        <v>0</v>
      </c>
      <c r="W51" s="75">
        <f t="shared" si="23"/>
        <v>0</v>
      </c>
      <c r="X51" s="76">
        <f t="shared" si="24"/>
        <v>0</v>
      </c>
      <c r="Y51" s="76">
        <f t="shared" si="25"/>
        <v>0</v>
      </c>
      <c r="Z51" s="40">
        <f t="shared" si="26"/>
        <v>0</v>
      </c>
      <c r="AA51" s="40" t="str">
        <f t="shared" si="27"/>
        <v/>
      </c>
      <c r="AB51" s="40" t="str">
        <f t="shared" si="28"/>
        <v/>
      </c>
      <c r="AC51" s="75" t="str">
        <f t="shared" si="29"/>
        <v/>
      </c>
      <c r="AD51" s="76" t="str">
        <f t="shared" si="30"/>
        <v/>
      </c>
      <c r="AE51" s="76" t="str">
        <f t="shared" si="31"/>
        <v/>
      </c>
      <c r="AF51" s="40" t="str">
        <f t="shared" si="32"/>
        <v/>
      </c>
      <c r="AG51" s="50"/>
    </row>
    <row r="52" spans="1:33" x14ac:dyDescent="0.2">
      <c r="A52" s="23" t="s">
        <v>28</v>
      </c>
      <c r="B52" s="24" t="s">
        <v>12</v>
      </c>
      <c r="C52" s="57" t="s">
        <v>31</v>
      </c>
      <c r="D52" s="57" t="s">
        <v>30</v>
      </c>
      <c r="E52" s="57" t="s">
        <v>101</v>
      </c>
      <c r="F52" s="238" t="s">
        <v>56</v>
      </c>
      <c r="G52" s="215">
        <v>31203.767500000002</v>
      </c>
      <c r="H52" s="215">
        <v>153281.12169999999</v>
      </c>
      <c r="I52" s="217">
        <v>3.6562000000000001</v>
      </c>
      <c r="J52" s="217">
        <v>3.6515</v>
      </c>
      <c r="K52" s="222"/>
      <c r="L52" s="222"/>
      <c r="M52" s="222"/>
      <c r="N52" s="386">
        <v>1495.79</v>
      </c>
      <c r="O52" s="224">
        <f t="shared" si="18"/>
        <v>672297.44</v>
      </c>
      <c r="P52" s="222">
        <f t="shared" si="19"/>
        <v>126055.77</v>
      </c>
      <c r="Q52" s="222">
        <f>ROUND($O52*R52,2)</f>
        <v>25211.15</v>
      </c>
      <c r="R52" s="258">
        <v>3.7499999999999999E-2</v>
      </c>
      <c r="S52" s="222">
        <f t="shared" si="20"/>
        <v>100844.62</v>
      </c>
      <c r="T52" s="223">
        <v>0.15</v>
      </c>
      <c r="U52" s="40" t="str">
        <f t="shared" si="21"/>
        <v/>
      </c>
      <c r="V52" s="40" t="str">
        <f t="shared" si="22"/>
        <v/>
      </c>
      <c r="W52" s="75" t="str">
        <f t="shared" si="23"/>
        <v/>
      </c>
      <c r="X52" s="76" t="str">
        <f t="shared" si="24"/>
        <v/>
      </c>
      <c r="Y52" s="76" t="str">
        <f t="shared" si="25"/>
        <v/>
      </c>
      <c r="Z52" s="40" t="str">
        <f t="shared" si="26"/>
        <v/>
      </c>
      <c r="AA52" s="40">
        <f t="shared" si="27"/>
        <v>184484.88919999998</v>
      </c>
      <c r="AB52" s="40">
        <f t="shared" si="28"/>
        <v>672297.44</v>
      </c>
      <c r="AC52" s="75">
        <f t="shared" si="29"/>
        <v>5951.1</v>
      </c>
      <c r="AD52" s="76">
        <f t="shared" si="30"/>
        <v>3.6442000000000001</v>
      </c>
      <c r="AE52" s="76">
        <f t="shared" si="31"/>
        <v>0.68330000000000002</v>
      </c>
      <c r="AF52" s="40">
        <f t="shared" si="32"/>
        <v>126055.77</v>
      </c>
      <c r="AG52" s="50"/>
    </row>
    <row r="53" spans="1:33" x14ac:dyDescent="0.2">
      <c r="A53" s="23" t="s">
        <v>28</v>
      </c>
      <c r="B53" s="24" t="s">
        <v>75</v>
      </c>
      <c r="C53" s="57" t="s">
        <v>31</v>
      </c>
      <c r="D53" s="57" t="s">
        <v>30</v>
      </c>
      <c r="E53" s="57" t="s">
        <v>103</v>
      </c>
      <c r="F53" s="237" t="s">
        <v>37</v>
      </c>
      <c r="G53" s="215">
        <v>1895</v>
      </c>
      <c r="H53" s="215">
        <v>812</v>
      </c>
      <c r="I53" s="217">
        <v>56.113700000000001</v>
      </c>
      <c r="J53" s="217">
        <v>60.784599999999998</v>
      </c>
      <c r="K53" s="222"/>
      <c r="L53" s="222"/>
      <c r="M53" s="222"/>
      <c r="N53" s="386">
        <v>3227.8</v>
      </c>
      <c r="O53" s="224">
        <f t="shared" si="18"/>
        <v>152464.76</v>
      </c>
      <c r="P53" s="222">
        <f t="shared" si="19"/>
        <v>28587.14</v>
      </c>
      <c r="Q53" s="222">
        <f>ROUND($O53*R53,2)</f>
        <v>5717.43</v>
      </c>
      <c r="R53" s="258">
        <v>3.7499999999999999E-2</v>
      </c>
      <c r="S53" s="222">
        <f t="shared" si="20"/>
        <v>22869.71</v>
      </c>
      <c r="T53" s="223">
        <v>0.15</v>
      </c>
      <c r="U53" s="40">
        <f t="shared" si="21"/>
        <v>2707</v>
      </c>
      <c r="V53" s="40">
        <f t="shared" si="22"/>
        <v>152464.76</v>
      </c>
      <c r="W53" s="75">
        <f t="shared" si="23"/>
        <v>87.3</v>
      </c>
      <c r="X53" s="76">
        <f t="shared" si="24"/>
        <v>56.322400000000002</v>
      </c>
      <c r="Y53" s="76">
        <f t="shared" si="25"/>
        <v>10.560499999999999</v>
      </c>
      <c r="Z53" s="40">
        <f t="shared" si="26"/>
        <v>28587.14</v>
      </c>
      <c r="AA53" s="40" t="str">
        <f t="shared" si="27"/>
        <v/>
      </c>
      <c r="AB53" s="40" t="str">
        <f t="shared" si="28"/>
        <v/>
      </c>
      <c r="AC53" s="75" t="str">
        <f t="shared" si="29"/>
        <v/>
      </c>
      <c r="AD53" s="76" t="str">
        <f t="shared" si="30"/>
        <v/>
      </c>
      <c r="AE53" s="76" t="str">
        <f t="shared" si="31"/>
        <v/>
      </c>
      <c r="AF53" s="40" t="str">
        <f t="shared" si="32"/>
        <v/>
      </c>
      <c r="AG53" s="50"/>
    </row>
    <row r="54" spans="1:33" x14ac:dyDescent="0.2">
      <c r="A54" s="23" t="s">
        <v>28</v>
      </c>
      <c r="B54" s="24" t="s">
        <v>32</v>
      </c>
      <c r="C54" s="57" t="s">
        <v>31</v>
      </c>
      <c r="D54" s="57" t="s">
        <v>30</v>
      </c>
      <c r="E54" s="57" t="s">
        <v>101</v>
      </c>
      <c r="F54" s="237" t="s">
        <v>37</v>
      </c>
      <c r="G54" s="222"/>
      <c r="H54" s="222"/>
      <c r="I54" s="217"/>
      <c r="J54" s="217"/>
      <c r="K54" s="222"/>
      <c r="L54" s="222"/>
      <c r="M54" s="222"/>
      <c r="N54" s="222"/>
      <c r="O54" s="224">
        <f t="shared" si="18"/>
        <v>0</v>
      </c>
      <c r="P54" s="222">
        <f t="shared" si="19"/>
        <v>0</v>
      </c>
      <c r="Q54" s="222">
        <f>ROUND($O54*R54,2)</f>
        <v>0</v>
      </c>
      <c r="R54" s="258">
        <v>3.7499999999999999E-2</v>
      </c>
      <c r="S54" s="222">
        <f t="shared" si="20"/>
        <v>0</v>
      </c>
      <c r="T54" s="223">
        <v>0.15</v>
      </c>
      <c r="U54" s="40">
        <f t="shared" si="21"/>
        <v>0</v>
      </c>
      <c r="V54" s="40">
        <f t="shared" si="22"/>
        <v>0</v>
      </c>
      <c r="W54" s="75">
        <f t="shared" si="23"/>
        <v>0</v>
      </c>
      <c r="X54" s="76">
        <f t="shared" si="24"/>
        <v>0</v>
      </c>
      <c r="Y54" s="76">
        <f t="shared" si="25"/>
        <v>0</v>
      </c>
      <c r="Z54" s="40">
        <f t="shared" si="26"/>
        <v>0</v>
      </c>
      <c r="AA54" s="40" t="str">
        <f t="shared" si="27"/>
        <v/>
      </c>
      <c r="AB54" s="40" t="str">
        <f t="shared" si="28"/>
        <v/>
      </c>
      <c r="AC54" s="75" t="str">
        <f t="shared" si="29"/>
        <v/>
      </c>
      <c r="AD54" s="76" t="str">
        <f t="shared" si="30"/>
        <v/>
      </c>
      <c r="AE54" s="76" t="str">
        <f t="shared" si="31"/>
        <v/>
      </c>
      <c r="AF54" s="40" t="str">
        <f t="shared" si="32"/>
        <v/>
      </c>
      <c r="AG54" s="50"/>
    </row>
    <row r="55" spans="1:33" x14ac:dyDescent="0.2">
      <c r="A55" s="23" t="s">
        <v>28</v>
      </c>
      <c r="B55" s="28">
        <v>102</v>
      </c>
      <c r="C55" s="57" t="s">
        <v>31</v>
      </c>
      <c r="D55" s="57" t="s">
        <v>30</v>
      </c>
      <c r="E55" s="57" t="s">
        <v>101</v>
      </c>
      <c r="F55" s="237" t="s">
        <v>37</v>
      </c>
      <c r="G55" s="215"/>
      <c r="H55" s="215"/>
      <c r="I55" s="217"/>
      <c r="J55" s="217"/>
      <c r="K55" s="215"/>
      <c r="L55" s="222"/>
      <c r="M55" s="222"/>
      <c r="N55" s="215"/>
      <c r="O55" s="224">
        <f t="shared" si="18"/>
        <v>0</v>
      </c>
      <c r="P55" s="222">
        <f t="shared" si="19"/>
        <v>0</v>
      </c>
      <c r="Q55" s="222">
        <f>P55-S55</f>
        <v>0</v>
      </c>
      <c r="R55" s="223">
        <v>0.15</v>
      </c>
      <c r="S55" s="222">
        <f t="shared" si="20"/>
        <v>0</v>
      </c>
      <c r="T55" s="258">
        <v>3.7499999999999999E-2</v>
      </c>
      <c r="U55" s="40">
        <f>IF($F55&amp;"/Día"=W$9,SUM($G55:$H55),"")</f>
        <v>0</v>
      </c>
      <c r="V55" s="40">
        <f>IF(U55&lt;&gt;"",$O55,"")</f>
        <v>0</v>
      </c>
      <c r="W55" s="75">
        <f>IF($F55&amp;"/Día"=W$9,ROUND(U55/$W$1,1),"")</f>
        <v>0</v>
      </c>
      <c r="X55" s="76">
        <f>IF(U55=0,0,IF($F55&amp;"/Día"=W$9,ROUND(V55/U55,4),""))</f>
        <v>0</v>
      </c>
      <c r="Y55" s="76">
        <f>IF(U55=0,0,IF($F55&amp;"/Día"=W$9,ROUND(Z55/U55,4),""))</f>
        <v>0</v>
      </c>
      <c r="Z55" s="40">
        <f>IF(U55&lt;&gt;"",$P55,"")</f>
        <v>0</v>
      </c>
      <c r="AA55" s="40" t="str">
        <f>IF($F55&amp;"/Día"=AC$9,SUM($G55:$H55),"")</f>
        <v/>
      </c>
      <c r="AB55" s="40" t="str">
        <f>IF(AA55&lt;&gt;"",$O55,"")</f>
        <v/>
      </c>
      <c r="AC55" s="75" t="str">
        <f>IF($F55&amp;"/Día"=AC$9,ROUND(AA55/$W$1,1),"")</f>
        <v/>
      </c>
      <c r="AD55" s="76" t="str">
        <f>IF(AA55=0,0,IF($F55&amp;"/Día"=AC$9,ROUND(AB55/AA55,4),""))</f>
        <v/>
      </c>
      <c r="AE55" s="76" t="str">
        <f>IF(AA55=0,0,IF($F55&amp;"/Día"=AC$9,ROUND(AF55/AA55,4),""))</f>
        <v/>
      </c>
      <c r="AF55" s="40" t="str">
        <f>IF(AA55&lt;&gt;"",$P55,"")</f>
        <v/>
      </c>
      <c r="AG55" s="50"/>
    </row>
    <row r="56" spans="1:33" x14ac:dyDescent="0.2">
      <c r="A56" s="23" t="s">
        <v>28</v>
      </c>
      <c r="B56" s="28">
        <v>95</v>
      </c>
      <c r="C56" s="57" t="s">
        <v>31</v>
      </c>
      <c r="D56" s="57" t="s">
        <v>30</v>
      </c>
      <c r="E56" s="57" t="s">
        <v>101</v>
      </c>
      <c r="F56" s="237" t="s">
        <v>37</v>
      </c>
      <c r="G56" s="215">
        <v>273072</v>
      </c>
      <c r="H56" s="264">
        <v>314659</v>
      </c>
      <c r="I56" s="217">
        <v>59.198700000000002</v>
      </c>
      <c r="J56" s="217">
        <v>61.799300000000002</v>
      </c>
      <c r="K56" s="215"/>
      <c r="L56" s="222"/>
      <c r="M56" s="222"/>
      <c r="N56" s="386">
        <v>5239.72</v>
      </c>
      <c r="O56" s="224">
        <f t="shared" si="18"/>
        <v>35605973.630000003</v>
      </c>
      <c r="P56" s="222">
        <f t="shared" si="19"/>
        <v>6676120.0599999996</v>
      </c>
      <c r="Q56" s="222">
        <f>P56-S56</f>
        <v>5340896.05</v>
      </c>
      <c r="R56" s="223">
        <v>0.15</v>
      </c>
      <c r="S56" s="222">
        <f t="shared" si="20"/>
        <v>1335224.01</v>
      </c>
      <c r="T56" s="258">
        <v>3.7499999999999999E-2</v>
      </c>
      <c r="U56" s="40">
        <f>IF($F56&amp;"/Día"=W$9,SUM($G56:$H56),"")</f>
        <v>587731</v>
      </c>
      <c r="V56" s="40">
        <f>IF(U56&lt;&gt;"",$O56,"")</f>
        <v>35605973.630000003</v>
      </c>
      <c r="W56" s="75">
        <f>IF($F56&amp;"/Día"=W$9,ROUND(U56/$W$1,1),"")</f>
        <v>18959.099999999999</v>
      </c>
      <c r="X56" s="76">
        <f>IF(U56=0,0,IF($F56&amp;"/Día"=W$9,ROUND(V56/U56,4),""))</f>
        <v>60.582099999999997</v>
      </c>
      <c r="Y56" s="76">
        <f>IF(U56=0,0,IF($F56&amp;"/Día"=W$9,ROUND(Z56/U56,4),""))</f>
        <v>11.3591</v>
      </c>
      <c r="Z56" s="40">
        <f>IF(U56&lt;&gt;"",$P56,"")</f>
        <v>6676120.0599999996</v>
      </c>
      <c r="AA56" s="40" t="str">
        <f>IF($F56&amp;"/Día"=AC$9,SUM($G56:$H56),"")</f>
        <v/>
      </c>
      <c r="AB56" s="40" t="str">
        <f>IF(AA56&lt;&gt;"",$O56,"")</f>
        <v/>
      </c>
      <c r="AC56" s="75" t="str">
        <f>IF($F56&amp;"/Día"=AC$9,ROUND(AA56/$W$1,1),"")</f>
        <v/>
      </c>
      <c r="AD56" s="76" t="str">
        <f>IF(AA56=0,0,IF($F56&amp;"/Día"=AC$9,ROUND(AB56/AA56,4),""))</f>
        <v/>
      </c>
      <c r="AE56" s="76" t="str">
        <f>IF(AA56=0,0,IF($F56&amp;"/Día"=AC$9,ROUND(AF56/AA56,4),""))</f>
        <v/>
      </c>
      <c r="AF56" s="40" t="str">
        <f>IF(AA56&lt;&gt;"",$P56,"")</f>
        <v/>
      </c>
      <c r="AG56" s="50"/>
    </row>
    <row r="57" spans="1:33" x14ac:dyDescent="0.2">
      <c r="A57" s="23" t="s">
        <v>28</v>
      </c>
      <c r="B57" s="272">
        <v>67</v>
      </c>
      <c r="C57" s="57" t="s">
        <v>31</v>
      </c>
      <c r="D57" s="57" t="s">
        <v>30</v>
      </c>
      <c r="E57" s="57" t="s">
        <v>101</v>
      </c>
      <c r="F57" s="237" t="s">
        <v>37</v>
      </c>
      <c r="G57" s="215"/>
      <c r="H57" s="215"/>
      <c r="I57" s="217"/>
      <c r="J57" s="217"/>
      <c r="K57" s="215"/>
      <c r="L57" s="222"/>
      <c r="M57" s="222"/>
      <c r="N57" s="386">
        <v>1684.72</v>
      </c>
      <c r="O57" s="224">
        <f t="shared" si="18"/>
        <v>-1684.72</v>
      </c>
      <c r="P57" s="222">
        <f t="shared" si="19"/>
        <v>-315.89</v>
      </c>
      <c r="Q57" s="222">
        <f>P57-S57</f>
        <v>-252.70999999999998</v>
      </c>
      <c r="R57" s="223">
        <v>0.15</v>
      </c>
      <c r="S57" s="222">
        <f t="shared" si="20"/>
        <v>-63.18</v>
      </c>
      <c r="T57" s="258">
        <v>3.7499999999999999E-2</v>
      </c>
      <c r="U57" s="40">
        <f>IF($F57&amp;"/Día"=W$9,SUM($G57:$H57),"")</f>
        <v>0</v>
      </c>
      <c r="V57" s="40">
        <f>IF(U57&lt;&gt;"",$O57,"")</f>
        <v>-1684.72</v>
      </c>
      <c r="W57" s="75">
        <f>IF($F57&amp;"/Día"=W$9,ROUND(U57/$W$1,1),"")</f>
        <v>0</v>
      </c>
      <c r="X57" s="76">
        <f>IF(U57=0,0,IF($F57&amp;"/Día"=W$9,ROUND(V57/U57,4),""))</f>
        <v>0</v>
      </c>
      <c r="Y57" s="76">
        <f>IF(U57=0,0,IF($F57&amp;"/Día"=W$9,ROUND(Z57/U57,4),""))</f>
        <v>0</v>
      </c>
      <c r="Z57" s="40">
        <f>IF(U57&lt;&gt;"",$P57,"")</f>
        <v>-315.89</v>
      </c>
      <c r="AA57" s="40" t="str">
        <f>IF($F57&amp;"/Día"=AC$9,SUM($G57:$H57),"")</f>
        <v/>
      </c>
      <c r="AB57" s="40" t="str">
        <f>IF(AA57&lt;&gt;"",$O57,"")</f>
        <v/>
      </c>
      <c r="AC57" s="75" t="str">
        <f>IF($F57&amp;"/Día"=AC$9,ROUND(AA57/$W$1,1),"")</f>
        <v/>
      </c>
      <c r="AD57" s="76" t="str">
        <f>IF(AA57=0,0,IF($F57&amp;"/Día"=AC$9,ROUND(AB57/AA57,4),""))</f>
        <v/>
      </c>
      <c r="AE57" s="76" t="str">
        <f>IF(AA57=0,0,IF($F57&amp;"/Día"=AC$9,ROUND(AF57/AA57,4),""))</f>
        <v/>
      </c>
      <c r="AF57" s="40" t="str">
        <f>IF(AA57&lt;&gt;"",$P57,"")</f>
        <v/>
      </c>
      <c r="AG57" s="50"/>
    </row>
    <row r="58" spans="1:33" x14ac:dyDescent="0.2">
      <c r="A58" s="18" t="s">
        <v>28</v>
      </c>
      <c r="B58" s="29" t="s">
        <v>54</v>
      </c>
      <c r="C58" s="56"/>
      <c r="D58" s="27"/>
      <c r="E58" s="27"/>
      <c r="F58" s="238"/>
      <c r="G58" s="222"/>
      <c r="H58" s="222"/>
      <c r="I58" s="216"/>
      <c r="J58" s="216"/>
      <c r="K58" s="222"/>
      <c r="L58" s="222"/>
      <c r="M58" s="222"/>
      <c r="N58" s="222"/>
      <c r="O58" s="222"/>
      <c r="P58" s="222"/>
      <c r="Q58" s="222"/>
      <c r="R58" s="222"/>
      <c r="S58" s="222"/>
      <c r="T58" s="223"/>
      <c r="U58" s="40" t="str">
        <f t="shared" si="21"/>
        <v/>
      </c>
      <c r="V58" s="40" t="str">
        <f t="shared" si="22"/>
        <v/>
      </c>
      <c r="W58" s="75" t="str">
        <f t="shared" si="23"/>
        <v/>
      </c>
      <c r="X58" s="76" t="str">
        <f t="shared" si="24"/>
        <v/>
      </c>
      <c r="Y58" s="76" t="str">
        <f t="shared" si="25"/>
        <v/>
      </c>
      <c r="Z58" s="40" t="str">
        <f t="shared" si="26"/>
        <v/>
      </c>
      <c r="AA58" s="40" t="str">
        <f t="shared" si="27"/>
        <v/>
      </c>
      <c r="AB58" s="40" t="str">
        <f t="shared" si="28"/>
        <v/>
      </c>
      <c r="AC58" s="75" t="str">
        <f t="shared" si="29"/>
        <v/>
      </c>
      <c r="AD58" s="76" t="str">
        <f t="shared" si="30"/>
        <v/>
      </c>
      <c r="AE58" s="76" t="str">
        <f t="shared" si="31"/>
        <v/>
      </c>
      <c r="AF58" s="40" t="str">
        <f t="shared" si="32"/>
        <v/>
      </c>
      <c r="AG58" s="50"/>
    </row>
    <row r="59" spans="1:33" x14ac:dyDescent="0.2">
      <c r="A59" s="30"/>
      <c r="B59" s="153" t="s">
        <v>108</v>
      </c>
      <c r="C59" s="31" t="str">
        <f>TEXT(A$49,)&amp;" US$"</f>
        <v>Loreto / Ucayali US$</v>
      </c>
      <c r="D59" s="19"/>
      <c r="E59" s="19"/>
      <c r="F59" s="251"/>
      <c r="G59" s="249"/>
      <c r="H59" s="249"/>
      <c r="I59" s="250"/>
      <c r="J59" s="240"/>
      <c r="K59" s="239"/>
      <c r="L59" s="239"/>
      <c r="M59" s="239"/>
      <c r="N59" s="227"/>
      <c r="O59" s="227">
        <f>SUM(O50:O58)</f>
        <v>36429051.110000007</v>
      </c>
      <c r="P59" s="227">
        <f>SUM(P50:P58)</f>
        <v>6830447.0800000001</v>
      </c>
      <c r="Q59" s="227">
        <f>SUM(Q50:Q58)</f>
        <v>5371571.9199999999</v>
      </c>
      <c r="R59" s="241"/>
      <c r="S59" s="227">
        <f>SUM(S50:S58)</f>
        <v>1458875.1600000001</v>
      </c>
      <c r="T59" s="229"/>
      <c r="U59" s="77">
        <f>SUM(U50:U58)</f>
        <v>590438</v>
      </c>
      <c r="V59" s="77">
        <f>SUM(V50:V58)</f>
        <v>35756753.670000002</v>
      </c>
      <c r="W59" s="78">
        <f>SUM(W50:W58)</f>
        <v>19046.399999999998</v>
      </c>
      <c r="X59" s="79">
        <f>ROUND(V59/U59,4)</f>
        <v>60.559699999999999</v>
      </c>
      <c r="Y59" s="79">
        <f>ROUND(Z59/U59,4)</f>
        <v>11.354900000000001</v>
      </c>
      <c r="Z59" s="77">
        <f>SUM(Z50:Z58)</f>
        <v>6704391.3099999996</v>
      </c>
      <c r="AA59" s="77">
        <f>SUM(AA50:AA58)</f>
        <v>184484.88919999998</v>
      </c>
      <c r="AB59" s="77">
        <f>SUM(AB50:AB58)</f>
        <v>672297.44</v>
      </c>
      <c r="AC59" s="78">
        <f>SUM(AC50:AC58)</f>
        <v>5951.1</v>
      </c>
      <c r="AD59" s="79">
        <f>ROUND(AB59/AA59,4)</f>
        <v>3.6442000000000001</v>
      </c>
      <c r="AE59" s="79">
        <f>ROUND(AF59/AA59,4)</f>
        <v>0.68330000000000002</v>
      </c>
      <c r="AF59" s="77">
        <f>SUM(AF50:AF58)</f>
        <v>126055.77</v>
      </c>
      <c r="AG59" s="77">
        <f>P59-Z59-AF59</f>
        <v>4.8021320253610611E-10</v>
      </c>
    </row>
    <row r="60" spans="1:33" x14ac:dyDescent="0.2">
      <c r="A60" s="145"/>
      <c r="B60" s="146"/>
      <c r="C60" s="31" t="str">
        <f>TEXT(A$49,)&amp;" S/."</f>
        <v>Loreto / Ucayali S/.</v>
      </c>
      <c r="D60" s="103"/>
      <c r="E60" s="103"/>
      <c r="F60" s="145"/>
      <c r="G60" s="208"/>
      <c r="H60" s="208"/>
      <c r="I60" s="205"/>
      <c r="J60" s="205"/>
      <c r="K60" s="208"/>
      <c r="L60" s="208"/>
      <c r="M60" s="208"/>
      <c r="N60" s="208"/>
      <c r="O60" s="211"/>
      <c r="P60" s="211">
        <f>ROUND($F$1*P59,2)</f>
        <v>6830447.0800000001</v>
      </c>
      <c r="Q60" s="363">
        <f>ROUND($F$1*Q59,2)</f>
        <v>5371571.9199999999</v>
      </c>
      <c r="R60" s="160"/>
      <c r="S60" s="363">
        <f>ROUND($F$1*S59,2)</f>
        <v>1458875.16</v>
      </c>
      <c r="T60" s="148"/>
      <c r="U60" s="149"/>
      <c r="V60" s="149"/>
      <c r="W60" s="150"/>
      <c r="X60" s="151"/>
      <c r="Y60" s="151"/>
      <c r="Z60" s="149"/>
      <c r="AA60" s="149"/>
      <c r="AB60" s="149"/>
      <c r="AC60" s="150"/>
      <c r="AD60" s="151"/>
      <c r="AE60" s="151"/>
      <c r="AF60" s="149"/>
      <c r="AG60" s="149"/>
    </row>
    <row r="61" spans="1:33" x14ac:dyDescent="0.2">
      <c r="A61" s="15" t="s">
        <v>161</v>
      </c>
      <c r="B61" s="16"/>
      <c r="C61" s="16"/>
      <c r="D61" s="16"/>
      <c r="E61" s="21"/>
      <c r="F61" s="15"/>
      <c r="G61" s="206"/>
      <c r="H61" s="207"/>
      <c r="I61" s="203"/>
      <c r="J61" s="204"/>
      <c r="K61" s="206"/>
      <c r="L61" s="206"/>
      <c r="M61" s="206"/>
      <c r="N61" s="206"/>
      <c r="O61" s="206"/>
      <c r="P61" s="213" t="s">
        <v>163</v>
      </c>
      <c r="Q61" s="213" t="s">
        <v>161</v>
      </c>
      <c r="R61" s="169"/>
      <c r="S61" s="212"/>
      <c r="T61" s="180"/>
      <c r="U61" s="149"/>
      <c r="V61" s="149"/>
      <c r="W61" s="150"/>
      <c r="X61" s="151"/>
      <c r="Y61" s="151"/>
      <c r="Z61" s="149"/>
      <c r="AA61" s="149"/>
      <c r="AB61" s="149"/>
      <c r="AC61" s="150"/>
      <c r="AD61" s="151"/>
      <c r="AE61" s="151"/>
      <c r="AF61" s="149"/>
      <c r="AG61" s="149"/>
    </row>
    <row r="62" spans="1:33" x14ac:dyDescent="0.2">
      <c r="A62" s="23" t="s">
        <v>28</v>
      </c>
      <c r="B62" s="527" t="s">
        <v>160</v>
      </c>
      <c r="C62" s="57" t="s">
        <v>31</v>
      </c>
      <c r="D62" s="57" t="s">
        <v>30</v>
      </c>
      <c r="E62" s="57" t="s">
        <v>158</v>
      </c>
      <c r="F62" s="237" t="s">
        <v>37</v>
      </c>
      <c r="G62" s="222">
        <v>786979</v>
      </c>
      <c r="H62" s="222">
        <v>802294</v>
      </c>
      <c r="I62" s="216">
        <v>40.667400000000001</v>
      </c>
      <c r="J62" s="216">
        <v>45.014600000000002</v>
      </c>
      <c r="K62" s="222"/>
      <c r="L62" s="222"/>
      <c r="M62" s="222"/>
      <c r="N62" s="222">
        <v>2627.28</v>
      </c>
      <c r="O62" s="224">
        <f>G62*I62+H62*J62</f>
        <v>68119333.276999995</v>
      </c>
      <c r="P62" s="253">
        <f>ROUND(37.24%*(G62*I62+H62*J62),2)</f>
        <v>25367639.710000001</v>
      </c>
      <c r="Q62" s="253">
        <f t="shared" ref="Q62:Q67" si="33">ROUND(R62*P62,2)</f>
        <v>12683819.859999999</v>
      </c>
      <c r="R62" s="223">
        <v>0.5</v>
      </c>
      <c r="S62" s="222"/>
      <c r="T62" s="258"/>
      <c r="U62" s="40">
        <f t="shared" ref="U62:U68" si="34">IF($F62&amp;"/Día"=W$9,SUM($G62:$H62),"")</f>
        <v>1589273</v>
      </c>
      <c r="V62" s="40">
        <f t="shared" ref="V62:V68" si="35">IF(U62&lt;&gt;"",$O62,"")</f>
        <v>68119333.276999995</v>
      </c>
      <c r="W62" s="75">
        <f t="shared" ref="W62:W68" si="36">IF($F62&amp;"/Día"=W$9,ROUND(U62/$W$1,1),"")</f>
        <v>51266.9</v>
      </c>
      <c r="X62" s="76">
        <f t="shared" ref="X62:X68" si="37">IF(U62=0,0,IF($F62&amp;"/Día"=W$9,ROUND(V62/U62,4),""))</f>
        <v>42.861899999999999</v>
      </c>
      <c r="Y62" s="76">
        <f t="shared" ref="Y62:Y68" si="38">IF(U62=0,0,IF($F62&amp;"/Día"=W$9,ROUND(Z62/U62,4),""))</f>
        <v>7.9809000000000001</v>
      </c>
      <c r="Z62" s="40">
        <f t="shared" ref="Z62:Z68" si="39">IF(U62&lt;&gt;"",$Q62,"")</f>
        <v>12683819.859999999</v>
      </c>
      <c r="AA62" s="40" t="str">
        <f t="shared" ref="AA62:AA68" si="40">IF($F62&amp;"/Día"=AC$9,SUM($G62:$H62),"")</f>
        <v/>
      </c>
      <c r="AB62" s="40" t="str">
        <f t="shared" ref="AB62:AB68" si="41">IF(AA62&lt;&gt;"",$O62,"")</f>
        <v/>
      </c>
      <c r="AC62" s="75" t="str">
        <f t="shared" ref="AC62:AC68" si="42">IF($F62&amp;"/Día"=AC$9,ROUND(AA62/$W$1,1),"")</f>
        <v/>
      </c>
      <c r="AD62" s="76" t="str">
        <f t="shared" ref="AD62:AD68" si="43">IF(AA62=0,0,IF($F62&amp;"/Día"=AC$9,ROUND(AB62/AA62,4),""))</f>
        <v/>
      </c>
      <c r="AE62" s="76" t="str">
        <f t="shared" ref="AE62:AE68" si="44">IF(AA62=0,0,IF($F62&amp;"/Día"=AC$9,ROUND(AF62/AA62,4),""))</f>
        <v/>
      </c>
      <c r="AF62" s="40" t="str">
        <f t="shared" ref="AF62:AF68" si="45">IF(AA62&lt;&gt;"",$Q62,"")</f>
        <v/>
      </c>
      <c r="AG62" s="149"/>
    </row>
    <row r="63" spans="1:33" x14ac:dyDescent="0.2">
      <c r="A63" s="23" t="s">
        <v>28</v>
      </c>
      <c r="B63" s="527" t="s">
        <v>159</v>
      </c>
      <c r="C63" s="57" t="s">
        <v>31</v>
      </c>
      <c r="D63" s="57" t="s">
        <v>30</v>
      </c>
      <c r="E63" s="57" t="s">
        <v>158</v>
      </c>
      <c r="F63" s="238" t="s">
        <v>56</v>
      </c>
      <c r="G63" s="367">
        <f>G100</f>
        <v>10439446.0493</v>
      </c>
      <c r="H63" s="367">
        <f>H108</f>
        <v>11974700.359799998</v>
      </c>
      <c r="I63" s="417">
        <f>I100</f>
        <v>2.9279999999999999</v>
      </c>
      <c r="J63" s="417">
        <f>J108</f>
        <v>2.8774999999999999</v>
      </c>
      <c r="K63" s="222"/>
      <c r="L63" s="222"/>
      <c r="M63" s="222"/>
      <c r="N63" s="222">
        <v>3759.61</v>
      </c>
      <c r="O63" s="253">
        <f>O92</f>
        <v>65023973.170000002</v>
      </c>
      <c r="P63" s="253">
        <f>P92</f>
        <v>24443382.380000003</v>
      </c>
      <c r="Q63" s="253">
        <f>Q92</f>
        <v>12221691.199999999</v>
      </c>
      <c r="R63" s="223">
        <v>0.5</v>
      </c>
      <c r="S63" s="222"/>
      <c r="T63" s="223"/>
      <c r="U63" s="40" t="str">
        <f t="shared" si="34"/>
        <v/>
      </c>
      <c r="V63" s="40" t="str">
        <f t="shared" si="35"/>
        <v/>
      </c>
      <c r="W63" s="75" t="str">
        <f t="shared" si="36"/>
        <v/>
      </c>
      <c r="X63" s="76" t="str">
        <f t="shared" si="37"/>
        <v/>
      </c>
      <c r="Y63" s="76" t="str">
        <f t="shared" si="38"/>
        <v/>
      </c>
      <c r="Z63" s="40" t="str">
        <f t="shared" si="39"/>
        <v/>
      </c>
      <c r="AA63" s="40">
        <f t="shared" si="40"/>
        <v>22414146.409099996</v>
      </c>
      <c r="AB63" s="40">
        <f t="shared" si="41"/>
        <v>65023973.170000002</v>
      </c>
      <c r="AC63" s="75">
        <f t="shared" si="42"/>
        <v>723037</v>
      </c>
      <c r="AD63" s="76">
        <f t="shared" si="43"/>
        <v>2.9009999999999998</v>
      </c>
      <c r="AE63" s="76">
        <f t="shared" si="44"/>
        <v>0.54530000000000001</v>
      </c>
      <c r="AF63" s="40">
        <f t="shared" si="45"/>
        <v>12221691.199999999</v>
      </c>
      <c r="AG63" s="149"/>
    </row>
    <row r="64" spans="1:33" x14ac:dyDescent="0.2">
      <c r="A64" s="23" t="s">
        <v>28</v>
      </c>
      <c r="B64" s="528" t="s">
        <v>168</v>
      </c>
      <c r="C64" s="57" t="s">
        <v>31</v>
      </c>
      <c r="D64" s="57" t="s">
        <v>30</v>
      </c>
      <c r="E64" s="57" t="s">
        <v>158</v>
      </c>
      <c r="F64" s="237" t="s">
        <v>37</v>
      </c>
      <c r="G64" s="222">
        <v>201028</v>
      </c>
      <c r="H64" s="222">
        <v>224035</v>
      </c>
      <c r="I64" s="216">
        <v>40.685499999999998</v>
      </c>
      <c r="J64" s="216">
        <v>45.010399999999997</v>
      </c>
      <c r="K64" s="222"/>
      <c r="L64" s="222"/>
      <c r="M64" s="222"/>
      <c r="N64" s="222">
        <v>1797.65</v>
      </c>
      <c r="O64" s="224">
        <f>G64*I64+H64*J64</f>
        <v>18262829.658</v>
      </c>
      <c r="P64" s="253">
        <f>ROUND(40%*G64*I64,2)+ROUND(40%*H64*J64,2)</f>
        <v>7305131.8700000001</v>
      </c>
      <c r="Q64" s="253">
        <f t="shared" si="33"/>
        <v>3652565.94</v>
      </c>
      <c r="R64" s="223">
        <v>0.5</v>
      </c>
      <c r="S64" s="222"/>
      <c r="T64" s="223"/>
      <c r="U64" s="40">
        <f t="shared" si="34"/>
        <v>425063</v>
      </c>
      <c r="V64" s="40">
        <f t="shared" si="35"/>
        <v>18262829.658</v>
      </c>
      <c r="W64" s="75">
        <f t="shared" si="36"/>
        <v>13711.7</v>
      </c>
      <c r="X64" s="76">
        <f t="shared" si="37"/>
        <v>42.965000000000003</v>
      </c>
      <c r="Y64" s="76">
        <f t="shared" si="38"/>
        <v>8.593</v>
      </c>
      <c r="Z64" s="40">
        <f t="shared" si="39"/>
        <v>3652565.94</v>
      </c>
      <c r="AA64" s="40" t="str">
        <f t="shared" si="40"/>
        <v/>
      </c>
      <c r="AB64" s="40" t="str">
        <f t="shared" si="41"/>
        <v/>
      </c>
      <c r="AC64" s="75" t="str">
        <f t="shared" si="42"/>
        <v/>
      </c>
      <c r="AD64" s="76" t="str">
        <f t="shared" si="43"/>
        <v/>
      </c>
      <c r="AE64" s="76" t="str">
        <f t="shared" si="44"/>
        <v/>
      </c>
      <c r="AF64" s="40" t="str">
        <f t="shared" si="45"/>
        <v/>
      </c>
      <c r="AG64" s="149"/>
    </row>
    <row r="65" spans="1:33" x14ac:dyDescent="0.2">
      <c r="A65" s="23" t="s">
        <v>28</v>
      </c>
      <c r="B65" s="528" t="s">
        <v>169</v>
      </c>
      <c r="C65" s="57" t="s">
        <v>31</v>
      </c>
      <c r="D65" s="57" t="s">
        <v>30</v>
      </c>
      <c r="E65" s="57" t="s">
        <v>158</v>
      </c>
      <c r="F65" s="237" t="s">
        <v>56</v>
      </c>
      <c r="G65" s="367">
        <f>G164</f>
        <v>5146043.6323999995</v>
      </c>
      <c r="H65" s="367">
        <f>H172</f>
        <v>5558408.0401999997</v>
      </c>
      <c r="I65" s="513">
        <f>I164</f>
        <v>3.9159999999999999</v>
      </c>
      <c r="J65" s="417">
        <f>J172</f>
        <v>3.218</v>
      </c>
      <c r="K65" s="222"/>
      <c r="L65" s="222"/>
      <c r="M65" s="222"/>
      <c r="N65" s="222">
        <v>2234.58</v>
      </c>
      <c r="O65" s="224">
        <f>O151</f>
        <v>37493383.310000002</v>
      </c>
      <c r="P65" s="224">
        <f>P151</f>
        <v>14247485.66</v>
      </c>
      <c r="Q65" s="224">
        <f>Q151</f>
        <v>7123742.8300000001</v>
      </c>
      <c r="R65" s="223">
        <v>0.5</v>
      </c>
      <c r="S65" s="222"/>
      <c r="T65" s="223"/>
      <c r="U65" s="40" t="str">
        <f t="shared" si="34"/>
        <v/>
      </c>
      <c r="V65" s="40" t="str">
        <f t="shared" si="35"/>
        <v/>
      </c>
      <c r="W65" s="75" t="str">
        <f t="shared" si="36"/>
        <v/>
      </c>
      <c r="X65" s="76" t="str">
        <f t="shared" si="37"/>
        <v/>
      </c>
      <c r="Y65" s="76" t="str">
        <f t="shared" si="38"/>
        <v/>
      </c>
      <c r="Z65" s="40" t="str">
        <f t="shared" si="39"/>
        <v/>
      </c>
      <c r="AA65" s="40">
        <f t="shared" si="40"/>
        <v>10704451.672599999</v>
      </c>
      <c r="AB65" s="40">
        <f t="shared" si="41"/>
        <v>37493383.310000002</v>
      </c>
      <c r="AC65" s="75">
        <f t="shared" si="42"/>
        <v>345304.9</v>
      </c>
      <c r="AD65" s="76">
        <f t="shared" si="43"/>
        <v>3.5026000000000002</v>
      </c>
      <c r="AE65" s="76">
        <f t="shared" si="44"/>
        <v>0.66549999999999998</v>
      </c>
      <c r="AF65" s="40">
        <f t="shared" si="45"/>
        <v>7123742.8300000001</v>
      </c>
      <c r="AG65" s="149"/>
    </row>
    <row r="66" spans="1:33" x14ac:dyDescent="0.2">
      <c r="A66" s="23" t="s">
        <v>28</v>
      </c>
      <c r="B66" s="28" t="s">
        <v>175</v>
      </c>
      <c r="C66" s="57" t="s">
        <v>31</v>
      </c>
      <c r="D66" s="57" t="s">
        <v>30</v>
      </c>
      <c r="E66" s="57" t="s">
        <v>158</v>
      </c>
      <c r="F66" s="237" t="s">
        <v>37</v>
      </c>
      <c r="G66" s="222">
        <v>217783</v>
      </c>
      <c r="H66" s="222"/>
      <c r="I66" s="216">
        <v>36.488199999999999</v>
      </c>
      <c r="J66" s="216"/>
      <c r="K66" s="215"/>
      <c r="L66" s="222"/>
      <c r="M66" s="222"/>
      <c r="N66" s="215">
        <v>680.57</v>
      </c>
      <c r="O66" s="224">
        <f>G66*I66+H66*J66</f>
        <v>7946509.6606000001</v>
      </c>
      <c r="P66" s="253">
        <f>ROUND(G66*I66,2)*6.73%+ROUND(H66*J66,2)*6.9%</f>
        <v>534800.10011799994</v>
      </c>
      <c r="Q66" s="253">
        <f t="shared" si="33"/>
        <v>267400.05</v>
      </c>
      <c r="R66" s="223">
        <v>0.5</v>
      </c>
      <c r="S66" s="222"/>
      <c r="T66" s="258"/>
      <c r="U66" s="40">
        <f>IF($F66&amp;"/Día"=W$9,SUM($G66:$H66),"")</f>
        <v>217783</v>
      </c>
      <c r="V66" s="40">
        <f t="shared" si="35"/>
        <v>7946509.6606000001</v>
      </c>
      <c r="W66" s="75">
        <f t="shared" si="36"/>
        <v>7025.3</v>
      </c>
      <c r="X66" s="76">
        <f t="shared" si="37"/>
        <v>36.488199999999999</v>
      </c>
      <c r="Y66" s="76">
        <f>IF(U66=0,0,IF($F66&amp;"/Día"=W$9,ROUND(Z66/U66,4),""))</f>
        <v>1.2278</v>
      </c>
      <c r="Z66" s="40">
        <f>IF(U66&lt;&gt;"",$Q66,"")</f>
        <v>267400.05</v>
      </c>
      <c r="AA66" s="40" t="str">
        <f t="shared" si="40"/>
        <v/>
      </c>
      <c r="AB66" s="40" t="str">
        <f t="shared" si="41"/>
        <v/>
      </c>
      <c r="AC66" s="75" t="str">
        <f t="shared" si="42"/>
        <v/>
      </c>
      <c r="AD66" s="76" t="str">
        <f t="shared" si="43"/>
        <v/>
      </c>
      <c r="AE66" s="76" t="str">
        <f>IF(AA66=0,0,IF($F66&amp;"/Día"=AC$9,ROUND(AF66/AA66,4),""))</f>
        <v/>
      </c>
      <c r="AF66" s="40" t="str">
        <f>IF(AA66&lt;&gt;"",$Q66,"")</f>
        <v/>
      </c>
      <c r="AG66" s="149"/>
    </row>
    <row r="67" spans="1:33" x14ac:dyDescent="0.2">
      <c r="A67" s="23" t="s">
        <v>28</v>
      </c>
      <c r="B67" s="272" t="s">
        <v>176</v>
      </c>
      <c r="C67" s="57" t="s">
        <v>31</v>
      </c>
      <c r="D67" s="57" t="s">
        <v>30</v>
      </c>
      <c r="E67" s="57" t="s">
        <v>158</v>
      </c>
      <c r="F67" s="237" t="s">
        <v>56</v>
      </c>
      <c r="G67" s="222">
        <v>3383714.9512999998</v>
      </c>
      <c r="H67" s="222"/>
      <c r="I67" s="216">
        <v>2.5230000000000001</v>
      </c>
      <c r="J67" s="216"/>
      <c r="K67" s="351"/>
      <c r="L67" s="222"/>
      <c r="M67" s="222"/>
      <c r="N67" s="215">
        <v>1590.53</v>
      </c>
      <c r="O67" s="224">
        <f>G67*I67+H67*J67</f>
        <v>8537112.8221298996</v>
      </c>
      <c r="P67" s="253">
        <f>ROUND(G67*I67,2)*11.18%+ROUND(H67*J67,2)*11.47%</f>
        <v>954449.21327599999</v>
      </c>
      <c r="Q67" s="253">
        <f t="shared" si="33"/>
        <v>477224.61</v>
      </c>
      <c r="R67" s="223">
        <v>0.5</v>
      </c>
      <c r="S67" s="222"/>
      <c r="T67" s="258"/>
      <c r="U67" s="40" t="str">
        <f>IF($F67&amp;"/Día"=W$9,SUM($G67:$H67),"")</f>
        <v/>
      </c>
      <c r="V67" s="40" t="str">
        <f t="shared" si="35"/>
        <v/>
      </c>
      <c r="W67" s="75" t="str">
        <f t="shared" si="36"/>
        <v/>
      </c>
      <c r="X67" s="76" t="str">
        <f t="shared" si="37"/>
        <v/>
      </c>
      <c r="Y67" s="76" t="str">
        <f>IF(U67=0,0,IF($F67&amp;"/Día"=W$9,ROUND(Z67/U67,4),""))</f>
        <v/>
      </c>
      <c r="Z67" s="40" t="str">
        <f>IF(U67&lt;&gt;"",$Q67,"")</f>
        <v/>
      </c>
      <c r="AA67" s="40">
        <f t="shared" si="40"/>
        <v>3383714.9512999998</v>
      </c>
      <c r="AB67" s="40">
        <f t="shared" si="41"/>
        <v>8537112.8221298996</v>
      </c>
      <c r="AC67" s="75">
        <f t="shared" si="42"/>
        <v>109152.1</v>
      </c>
      <c r="AD67" s="76">
        <f t="shared" si="43"/>
        <v>2.5230000000000001</v>
      </c>
      <c r="AE67" s="76">
        <f>IF(AA67=0,0,IF($F67&amp;"/Día"=AC$9,ROUND(AF67/AA67,4),""))</f>
        <v>0.14099999999999999</v>
      </c>
      <c r="AF67" s="40">
        <f>IF(AA67&lt;&gt;"",$Q67,"")</f>
        <v>477224.61</v>
      </c>
      <c r="AG67" s="149"/>
    </row>
    <row r="68" spans="1:33" x14ac:dyDescent="0.2">
      <c r="A68" s="181" t="s">
        <v>28</v>
      </c>
      <c r="B68" s="182" t="s">
        <v>162</v>
      </c>
      <c r="C68" s="183"/>
      <c r="D68" s="183"/>
      <c r="E68" s="184"/>
      <c r="F68" s="33"/>
      <c r="G68" s="261"/>
      <c r="H68" s="262"/>
      <c r="I68" s="262"/>
      <c r="J68" s="263"/>
      <c r="K68" s="263"/>
      <c r="L68" s="263"/>
      <c r="M68" s="187"/>
      <c r="N68" s="187"/>
      <c r="O68" s="198"/>
      <c r="P68" s="198"/>
      <c r="Q68" s="198"/>
      <c r="R68" s="148"/>
      <c r="S68" s="188"/>
      <c r="T68" s="148"/>
      <c r="U68" s="40" t="str">
        <f t="shared" si="34"/>
        <v/>
      </c>
      <c r="V68" s="40" t="str">
        <f t="shared" si="35"/>
        <v/>
      </c>
      <c r="W68" s="75" t="str">
        <f t="shared" si="36"/>
        <v/>
      </c>
      <c r="X68" s="76" t="str">
        <f t="shared" si="37"/>
        <v/>
      </c>
      <c r="Y68" s="76" t="str">
        <f t="shared" si="38"/>
        <v/>
      </c>
      <c r="Z68" s="40" t="str">
        <f t="shared" si="39"/>
        <v/>
      </c>
      <c r="AA68" s="40" t="str">
        <f t="shared" si="40"/>
        <v/>
      </c>
      <c r="AB68" s="40" t="str">
        <f t="shared" si="41"/>
        <v/>
      </c>
      <c r="AC68" s="75" t="str">
        <f t="shared" si="42"/>
        <v/>
      </c>
      <c r="AD68" s="76" t="str">
        <f t="shared" si="43"/>
        <v/>
      </c>
      <c r="AE68" s="76" t="str">
        <f t="shared" si="44"/>
        <v/>
      </c>
      <c r="AF68" s="40" t="str">
        <f t="shared" si="45"/>
        <v/>
      </c>
      <c r="AG68" s="149"/>
    </row>
    <row r="69" spans="1:33" x14ac:dyDescent="0.2">
      <c r="A69" s="30"/>
      <c r="B69" s="153" t="s">
        <v>108</v>
      </c>
      <c r="C69" s="31" t="str">
        <f>TEXT(A$61,)&amp;" US$"</f>
        <v>Cusco US$</v>
      </c>
      <c r="D69" s="19"/>
      <c r="E69" s="19"/>
      <c r="F69" s="268"/>
      <c r="G69" s="254">
        <f>SUM(G65:G65)</f>
        <v>5146043.6323999995</v>
      </c>
      <c r="H69" s="254">
        <f>SUM(H65:H65)</f>
        <v>5558408.0401999997</v>
      </c>
      <c r="I69" s="304"/>
      <c r="J69" s="254"/>
      <c r="K69" s="265"/>
      <c r="L69" s="259"/>
      <c r="M69" s="303"/>
      <c r="N69" s="201"/>
      <c r="O69" s="201">
        <f>SUM(O62:O68)</f>
        <v>205383141.8977299</v>
      </c>
      <c r="P69" s="201">
        <f>SUM(P62:P68)</f>
        <v>72852888.933394</v>
      </c>
      <c r="Q69" s="201">
        <f>SUM(Q62:Q68)</f>
        <v>36426444.489999995</v>
      </c>
      <c r="R69" s="186"/>
      <c r="S69" s="192"/>
      <c r="T69" s="148"/>
      <c r="U69" s="77">
        <f>SUM(U62:U68)</f>
        <v>2232119</v>
      </c>
      <c r="V69" s="77">
        <f>SUM(V62:V68)</f>
        <v>94328672.595600009</v>
      </c>
      <c r="W69" s="78">
        <f>SUM(W62:W68)</f>
        <v>72003.900000000009</v>
      </c>
      <c r="X69" s="79">
        <f>ROUND(V69/U69,4)</f>
        <v>42.259700000000002</v>
      </c>
      <c r="Y69" s="79">
        <f>ROUND(Z69/U69,4)</f>
        <v>7.4386000000000001</v>
      </c>
      <c r="Z69" s="77">
        <f>SUM(Z62:Z68)</f>
        <v>16603785.85</v>
      </c>
      <c r="AA69" s="77">
        <f>SUM(AA62:AA68)</f>
        <v>36502313.033</v>
      </c>
      <c r="AB69" s="77">
        <f>SUM(AB62:AB68)</f>
        <v>111054469.30212991</v>
      </c>
      <c r="AC69" s="78">
        <f>SUM(AC62:AC68)</f>
        <v>1177494</v>
      </c>
      <c r="AD69" s="79">
        <f>ROUND(AB69/AA69,4)</f>
        <v>3.0424000000000002</v>
      </c>
      <c r="AE69" s="79">
        <f>ROUND(AF69/AA69,4)</f>
        <v>0.54310000000000003</v>
      </c>
      <c r="AF69" s="77">
        <f>SUM(AF62:AF68)</f>
        <v>19822658.640000001</v>
      </c>
      <c r="AG69" s="77">
        <f>Q69-Z69-AF69</f>
        <v>0</v>
      </c>
    </row>
    <row r="70" spans="1:33" x14ac:dyDescent="0.2">
      <c r="A70" s="145"/>
      <c r="B70" s="146"/>
      <c r="C70" s="31" t="str">
        <f>TEXT(A$61,)&amp;" S/."</f>
        <v>Cusco S/.</v>
      </c>
      <c r="D70" s="103"/>
      <c r="E70" s="103"/>
      <c r="F70" s="268"/>
      <c r="G70" s="255">
        <f>SUMPRODUCT(I65:I65,G65:G65)/SUM(G65:G65)</f>
        <v>3.9159999999999999</v>
      </c>
      <c r="H70" s="255">
        <f>SUMPRODUCT(J65:J65,H65:H65)/SUM(H65:H65)</f>
        <v>3.218</v>
      </c>
      <c r="I70" s="305"/>
      <c r="J70" s="254"/>
      <c r="K70" s="266"/>
      <c r="L70" s="260"/>
      <c r="M70" s="357"/>
      <c r="N70" s="358"/>
      <c r="O70" s="358"/>
      <c r="P70" s="194"/>
      <c r="Q70" s="194">
        <f>Q69*F1</f>
        <v>36426444.489999995</v>
      </c>
      <c r="R70" s="185"/>
      <c r="S70" s="192"/>
      <c r="T70" s="148"/>
      <c r="U70" s="149"/>
      <c r="V70" s="149"/>
      <c r="W70" s="150"/>
      <c r="X70" s="151"/>
      <c r="Y70" s="151"/>
      <c r="Z70" s="149"/>
      <c r="AA70" s="149"/>
      <c r="AB70" s="149"/>
      <c r="AC70" s="150"/>
      <c r="AD70" s="151"/>
      <c r="AE70" s="151"/>
      <c r="AF70" s="149"/>
      <c r="AG70" s="149"/>
    </row>
    <row r="71" spans="1:33" x14ac:dyDescent="0.2">
      <c r="A71" s="7" t="s">
        <v>55</v>
      </c>
      <c r="B71" s="8"/>
      <c r="C71" s="8"/>
      <c r="D71" s="8"/>
      <c r="E71" s="8"/>
      <c r="F71" s="269"/>
      <c r="G71" s="256">
        <f>G69*G70</f>
        <v>20151906.864478398</v>
      </c>
      <c r="H71" s="256">
        <f>H69*H70</f>
        <v>17886957.073363598</v>
      </c>
      <c r="I71" s="254">
        <f>H71+G71</f>
        <v>38038863.937841997</v>
      </c>
      <c r="J71" s="254" t="e">
        <f>O65+#REF!</f>
        <v>#REF!</v>
      </c>
      <c r="K71" s="306" t="e">
        <f>I71-J71</f>
        <v>#REF!</v>
      </c>
      <c r="L71" s="307"/>
      <c r="M71" s="211">
        <f>SUM(M10:M67)</f>
        <v>0</v>
      </c>
      <c r="N71" s="211">
        <f>SUM(N10:N67)</f>
        <v>48441.640000000007</v>
      </c>
      <c r="O71" s="211">
        <f>O42+O47+O59+O69</f>
        <v>307299306.4977299</v>
      </c>
      <c r="P71" s="211">
        <f>Q69+P59+P47+P42</f>
        <v>55456137.819999993</v>
      </c>
      <c r="Q71" s="196">
        <f>Q43+S43+Q48+Q60+S60+Q70</f>
        <v>55487868.25999999</v>
      </c>
      <c r="R71" s="55"/>
      <c r="S71" s="196"/>
      <c r="T71" s="55"/>
      <c r="U71" s="84">
        <f>U42+U47+U59+U69</f>
        <v>3490290.7467999998</v>
      </c>
      <c r="V71" s="84">
        <f>V42+V47+V59+V69</f>
        <v>176781703.89560002</v>
      </c>
      <c r="W71" s="85">
        <f>W42+W47+W59+W69</f>
        <v>112590.1</v>
      </c>
      <c r="X71" s="86">
        <f>ROUND(V71/U71,4)</f>
        <v>50.6496</v>
      </c>
      <c r="Y71" s="86">
        <f>ROUND(Z71/U71,4)</f>
        <v>9.1637000000000004</v>
      </c>
      <c r="Z71" s="84">
        <f>Z42+Z47+Z59+Z69</f>
        <v>31984141.700000003</v>
      </c>
      <c r="AA71" s="84">
        <f>AA42+AA47+AA59+AA69</f>
        <v>38234759.112999998</v>
      </c>
      <c r="AB71" s="84">
        <f>AB42+AB47+AB59+AB69</f>
        <v>116255666.50212991</v>
      </c>
      <c r="AC71" s="84">
        <f>AC42+AC47+AC59+AC69</f>
        <v>1233379.3999999999</v>
      </c>
      <c r="AD71" s="86">
        <f>ROUND(AB71/AA71,4)</f>
        <v>3.0406</v>
      </c>
      <c r="AE71" s="86">
        <f>ROUND(AF71/AA71,4)</f>
        <v>0.54400000000000004</v>
      </c>
      <c r="AF71" s="84">
        <f>AF42+AF47+AF59+AF69</f>
        <v>20797883.109999999</v>
      </c>
      <c r="AG71" s="84">
        <f>P71-Z71-AF71</f>
        <v>2674113.0099999905</v>
      </c>
    </row>
    <row r="72" spans="1:33" x14ac:dyDescent="0.2">
      <c r="N72" s="509"/>
      <c r="O72" s="252"/>
      <c r="S72" s="257"/>
      <c r="Z72" s="51"/>
      <c r="AA72" s="51"/>
      <c r="AB72" s="51"/>
      <c r="AC72" s="51"/>
      <c r="AD72" s="51"/>
      <c r="AE72" s="51"/>
    </row>
    <row r="73" spans="1:33" x14ac:dyDescent="0.2">
      <c r="A73" s="4" t="s">
        <v>93</v>
      </c>
      <c r="B73" s="1" t="s">
        <v>76</v>
      </c>
      <c r="H73" s="4" t="s">
        <v>77</v>
      </c>
      <c r="J73" s="65"/>
      <c r="K73" s="65"/>
      <c r="N73" s="509"/>
      <c r="O73" s="509"/>
      <c r="P73" s="257"/>
      <c r="Q73" s="65"/>
      <c r="S73" s="257"/>
      <c r="U73" s="51"/>
      <c r="V73" s="143"/>
      <c r="W73" s="143"/>
      <c r="X73" s="143"/>
    </row>
    <row r="74" spans="1:33" x14ac:dyDescent="0.2">
      <c r="B74" s="115" t="s">
        <v>78</v>
      </c>
      <c r="C74" s="116" t="s">
        <v>79</v>
      </c>
      <c r="D74" s="117"/>
      <c r="E74" s="118" t="s">
        <v>35</v>
      </c>
      <c r="F74" s="118" t="s">
        <v>80</v>
      </c>
      <c r="H74" s="89" t="s">
        <v>35</v>
      </c>
      <c r="I74" s="8"/>
      <c r="J74" s="8"/>
      <c r="K74" s="8"/>
      <c r="L74" s="90"/>
      <c r="N74" s="509"/>
      <c r="O74" s="509"/>
      <c r="P74" s="257"/>
      <c r="Q74" s="65"/>
      <c r="U74" s="51"/>
      <c r="V74" s="143"/>
      <c r="W74" s="143"/>
      <c r="X74" s="143"/>
    </row>
    <row r="75" spans="1:33" x14ac:dyDescent="0.2">
      <c r="B75" s="91" t="s">
        <v>81</v>
      </c>
      <c r="C75" s="92" t="s">
        <v>82</v>
      </c>
      <c r="D75" s="93"/>
      <c r="E75" s="94"/>
      <c r="F75" s="94"/>
      <c r="H75" s="95" t="str">
        <f>"=  ("&amp;TEXT(E75,"0.0000")&amp;" * "&amp;TEXT(E78,"0.00%")&amp;" + ("&amp;TEXT(E76,"0.0000")&amp;" - "&amp;TEXT(E77,"0.0000")&amp;" - "&amp;TEXT(E80,"0.0000")&amp;") * (1 - "&amp;TEXT(E78,"0.00%")&amp;"))"</f>
        <v>=  (0.0000 * 0.00% + (0.0000 - 0.0000 - 0.0000) * (1 - 0.00%))</v>
      </c>
      <c r="L75" s="96"/>
      <c r="M75" s="323"/>
      <c r="N75" s="323">
        <f>547803.45/8532764.09</f>
        <v>6.4199999463479832E-2</v>
      </c>
      <c r="Q75" s="65"/>
      <c r="U75" s="51"/>
      <c r="V75" s="143"/>
      <c r="W75" s="143"/>
      <c r="X75" s="143"/>
    </row>
    <row r="76" spans="1:33" x14ac:dyDescent="0.2">
      <c r="B76" s="97" t="s">
        <v>83</v>
      </c>
      <c r="C76" s="98" t="s">
        <v>84</v>
      </c>
      <c r="D76" s="99"/>
      <c r="E76" s="100"/>
      <c r="F76" s="101"/>
      <c r="H76" s="102">
        <f>((85.98%*E75+4.4221)*E78+(E76-E77-E80)*(1-E78))</f>
        <v>0</v>
      </c>
      <c r="I76" s="103"/>
      <c r="J76" s="103"/>
      <c r="K76" s="103"/>
      <c r="L76" s="104"/>
      <c r="M76" s="323">
        <f>698277.28/7412709.99</f>
        <v>9.4199999857272176E-2</v>
      </c>
      <c r="N76" s="323">
        <f>1065699.61/10775526.87</f>
        <v>9.8900000237297003E-2</v>
      </c>
      <c r="Q76" s="352"/>
      <c r="U76" s="51"/>
      <c r="V76" s="138"/>
      <c r="W76" s="138"/>
      <c r="X76" s="143"/>
      <c r="Y76" s="65"/>
      <c r="Z76" s="65"/>
      <c r="AA76" s="65"/>
      <c r="AB76" s="65"/>
      <c r="AC76" s="65"/>
    </row>
    <row r="77" spans="1:33" x14ac:dyDescent="0.2">
      <c r="B77" s="97" t="s">
        <v>85</v>
      </c>
      <c r="C77" s="98" t="s">
        <v>86</v>
      </c>
      <c r="D77" s="99"/>
      <c r="E77" s="100"/>
      <c r="F77" s="100"/>
      <c r="I77" s="105"/>
      <c r="M77" s="323">
        <f>5254120.1/13135300.26</f>
        <v>0.39999999969547706</v>
      </c>
      <c r="N77" s="323">
        <f>7653140.6/19132851.51</f>
        <v>0.39999999979093542</v>
      </c>
      <c r="Q77" s="65"/>
      <c r="U77" s="51"/>
      <c r="V77" s="143"/>
      <c r="W77" s="143"/>
      <c r="X77" s="143"/>
      <c r="Y77" s="65"/>
      <c r="Z77" s="65"/>
      <c r="AA77" s="65"/>
      <c r="AB77" s="65"/>
    </row>
    <row r="78" spans="1:33" x14ac:dyDescent="0.2">
      <c r="B78" s="97" t="s">
        <v>87</v>
      </c>
      <c r="C78" s="98" t="s">
        <v>88</v>
      </c>
      <c r="D78" s="99"/>
      <c r="E78" s="106"/>
      <c r="F78" s="106"/>
      <c r="H78" s="89" t="s">
        <v>80</v>
      </c>
      <c r="I78" s="107"/>
      <c r="J78" s="8"/>
      <c r="K78" s="8"/>
      <c r="L78" s="90"/>
      <c r="M78" s="323">
        <f>503101.38/1323950.99</f>
        <v>0.38000000287019686</v>
      </c>
      <c r="N78" s="323"/>
      <c r="O78" s="325"/>
      <c r="U78" s="51"/>
      <c r="V78" s="143"/>
      <c r="W78" s="143"/>
      <c r="X78" s="143"/>
      <c r="Y78" s="65"/>
      <c r="Z78" s="65"/>
      <c r="AA78" s="65"/>
      <c r="AB78" s="65"/>
      <c r="AC78" s="65"/>
    </row>
    <row r="79" spans="1:33" x14ac:dyDescent="0.2">
      <c r="B79" s="97" t="s">
        <v>89</v>
      </c>
      <c r="C79" s="98" t="s">
        <v>90</v>
      </c>
      <c r="D79" s="99"/>
      <c r="E79" s="108"/>
      <c r="F79" s="101"/>
      <c r="H79" s="95" t="str">
        <f>"=  ("&amp;TEXT(F75,"0.0000")&amp;" * "&amp;TEXT(F78,"0.00%")&amp;" + ("&amp;TEXT(F76,"0.0000")&amp;" - "&amp;TEXT(F77,"0.0000")&amp;" - "&amp;TEXT(F80,"0.0000")&amp;") * (1 - "&amp;TEXT(F78,"0.00%")&amp;"))"</f>
        <v>=  (0.0000 * 0.00% + (0.0000 - 0.0000 - 0.0000) * (1 - 0.00%))</v>
      </c>
      <c r="I79" s="105"/>
      <c r="L79" s="96"/>
      <c r="N79" s="352"/>
      <c r="O79" s="325"/>
      <c r="U79" s="51"/>
      <c r="V79" s="143"/>
      <c r="W79" s="143"/>
      <c r="X79" s="143"/>
      <c r="Y79" s="65"/>
      <c r="Z79" s="65"/>
      <c r="AA79" s="65"/>
      <c r="AB79" s="65"/>
      <c r="AC79" s="65"/>
    </row>
    <row r="80" spans="1:33" x14ac:dyDescent="0.2">
      <c r="B80" s="109" t="s">
        <v>91</v>
      </c>
      <c r="C80" s="110" t="s">
        <v>92</v>
      </c>
      <c r="D80" s="111"/>
      <c r="E80" s="112"/>
      <c r="F80" s="112"/>
      <c r="H80" s="102">
        <f>((85.98%*F75+4.4221)*F78+(F76-F77-F80)*(1-F78))</f>
        <v>0</v>
      </c>
      <c r="I80" s="113"/>
      <c r="J80" s="103"/>
      <c r="K80" s="103"/>
      <c r="L80" s="104"/>
      <c r="M80" s="325"/>
      <c r="N80" s="325"/>
      <c r="O80" s="325"/>
      <c r="U80" s="51"/>
      <c r="V80" s="143"/>
      <c r="W80" s="143"/>
      <c r="X80" s="143"/>
      <c r="Y80" s="65"/>
      <c r="Z80" s="65"/>
      <c r="AA80" s="65"/>
      <c r="AB80" s="65"/>
      <c r="AC80" s="65"/>
    </row>
    <row r="81" spans="1:29" x14ac:dyDescent="0.2">
      <c r="A81" s="4"/>
      <c r="H81" s="177"/>
      <c r="M81" s="325"/>
      <c r="N81" s="325"/>
      <c r="O81" s="325"/>
      <c r="U81" s="51"/>
      <c r="V81" s="143"/>
      <c r="W81" s="143"/>
      <c r="X81" s="143"/>
      <c r="Y81" s="65"/>
      <c r="Z81" s="65"/>
      <c r="AA81" s="65"/>
      <c r="AB81" s="65"/>
      <c r="AC81" s="65"/>
    </row>
    <row r="82" spans="1:29" x14ac:dyDescent="0.2">
      <c r="A82" s="406" t="s">
        <v>227</v>
      </c>
      <c r="U82" s="51"/>
      <c r="V82" s="143"/>
      <c r="W82" s="143"/>
      <c r="X82" s="143"/>
      <c r="Y82" s="65"/>
      <c r="Z82" s="65"/>
      <c r="AA82" s="65"/>
      <c r="AB82" s="65"/>
      <c r="AC82" s="65"/>
    </row>
    <row r="83" spans="1:29" x14ac:dyDescent="0.2">
      <c r="U83" s="51"/>
      <c r="V83" s="138"/>
      <c r="W83" s="138"/>
      <c r="X83" s="143"/>
      <c r="Y83" s="65"/>
      <c r="Z83" s="65"/>
      <c r="AA83" s="65"/>
      <c r="AB83" s="65"/>
      <c r="AC83" s="65"/>
    </row>
    <row r="84" spans="1:29" ht="18" x14ac:dyDescent="0.25">
      <c r="A84" s="271" t="str">
        <f>"AJUSTES PARA "&amp;UPPER(TEXT(E1,"MMMMMMM YYYY"))</f>
        <v>AJUSTES PARA ENERO 2024</v>
      </c>
      <c r="B84" s="156"/>
      <c r="C84" s="156"/>
      <c r="D84" s="156"/>
      <c r="E84" s="156"/>
      <c r="F84" s="156"/>
      <c r="G84" s="156"/>
      <c r="H84" s="156"/>
      <c r="I84" s="156"/>
      <c r="J84" s="156"/>
      <c r="K84" s="156"/>
      <c r="L84" s="156"/>
      <c r="M84" s="156"/>
      <c r="N84" s="156"/>
      <c r="O84" s="156"/>
      <c r="P84" s="156"/>
      <c r="Q84" s="156"/>
      <c r="R84" s="156"/>
      <c r="S84" s="156"/>
      <c r="T84" s="156"/>
      <c r="U84" s="51"/>
      <c r="V84" s="374"/>
      <c r="W84" s="374"/>
      <c r="X84" s="143"/>
      <c r="Y84" s="360"/>
      <c r="Z84" s="360"/>
      <c r="AA84" s="65"/>
      <c r="AB84" s="65"/>
    </row>
    <row r="85" spans="1:29" ht="18" x14ac:dyDescent="0.25">
      <c r="A85" s="271"/>
      <c r="B85" s="156"/>
      <c r="C85" s="156"/>
      <c r="D85" s="156"/>
      <c r="E85" s="156"/>
      <c r="F85" s="156"/>
      <c r="G85" s="156"/>
      <c r="H85" s="156"/>
      <c r="I85" s="156"/>
      <c r="J85" s="156"/>
      <c r="K85" s="156"/>
      <c r="L85" s="156"/>
      <c r="M85" s="156"/>
      <c r="N85" s="156"/>
      <c r="O85" s="156"/>
      <c r="P85" s="156"/>
      <c r="Q85" s="156"/>
      <c r="R85" s="156"/>
      <c r="S85" s="156"/>
      <c r="T85" s="156"/>
      <c r="U85" s="51"/>
      <c r="V85" s="374"/>
      <c r="W85" s="374"/>
      <c r="X85" s="143"/>
      <c r="Y85" s="360"/>
      <c r="Z85" s="360"/>
      <c r="AA85" s="65"/>
      <c r="AB85" s="65"/>
    </row>
    <row r="86" spans="1:29" x14ac:dyDescent="0.2">
      <c r="A86" s="416" t="s">
        <v>231</v>
      </c>
      <c r="G86" s="199"/>
      <c r="H86" s="199"/>
      <c r="I86" s="199"/>
      <c r="J86" s="199"/>
      <c r="K86" s="199"/>
      <c r="N86" s="65"/>
    </row>
    <row r="87" spans="1:29" hidden="1" x14ac:dyDescent="0.2">
      <c r="A87" s="416" t="s">
        <v>228</v>
      </c>
      <c r="G87" s="497"/>
      <c r="H87" s="497"/>
      <c r="I87" s="199"/>
      <c r="J87" s="199"/>
      <c r="K87" s="199"/>
      <c r="N87" s="65"/>
    </row>
    <row r="88" spans="1:29" hidden="1" x14ac:dyDescent="0.2">
      <c r="A88" s="279" t="s">
        <v>28</v>
      </c>
      <c r="B88" s="22" t="s">
        <v>159</v>
      </c>
      <c r="C88" s="366" t="s">
        <v>31</v>
      </c>
      <c r="D88" s="366" t="s">
        <v>30</v>
      </c>
      <c r="E88" s="366" t="s">
        <v>158</v>
      </c>
      <c r="F88" s="419" t="s">
        <v>56</v>
      </c>
      <c r="G88" s="507">
        <v>28986.370800000001</v>
      </c>
      <c r="H88" s="507">
        <v>10969128.007099999</v>
      </c>
      <c r="I88" s="508">
        <v>3.7389999999999999</v>
      </c>
      <c r="J88" s="508">
        <v>2.8429000000000002</v>
      </c>
      <c r="K88" s="473"/>
      <c r="L88" s="220"/>
      <c r="M88" s="220"/>
      <c r="N88" s="473"/>
      <c r="O88" s="500">
        <f>ROUND(G88*I88+H88*J88,2)</f>
        <v>31292514.050000001</v>
      </c>
      <c r="P88" s="420">
        <f>ROUND(37.24%*O88,2)</f>
        <v>11653332.23</v>
      </c>
      <c r="Q88" s="220">
        <f>ROUND(R88*P88,2)</f>
        <v>5826666.1200000001</v>
      </c>
      <c r="R88" s="421">
        <v>0.5</v>
      </c>
      <c r="S88" s="179">
        <f>Q88</f>
        <v>5826666.1200000001</v>
      </c>
    </row>
    <row r="89" spans="1:29" hidden="1" x14ac:dyDescent="0.2">
      <c r="A89" s="426" t="s">
        <v>28</v>
      </c>
      <c r="B89" s="422" t="s">
        <v>177</v>
      </c>
      <c r="C89" s="57" t="s">
        <v>31</v>
      </c>
      <c r="D89" s="57" t="s">
        <v>30</v>
      </c>
      <c r="E89" s="57" t="s">
        <v>158</v>
      </c>
      <c r="F89" s="236" t="s">
        <v>56</v>
      </c>
      <c r="G89" s="222">
        <v>866323.03079999995</v>
      </c>
      <c r="H89" s="222">
        <v>39937.2284</v>
      </c>
      <c r="I89" s="216">
        <v>3.81</v>
      </c>
      <c r="J89" s="216">
        <v>3.7389999999999999</v>
      </c>
      <c r="K89" s="222"/>
      <c r="L89" s="222"/>
      <c r="M89" s="222"/>
      <c r="N89" s="409"/>
      <c r="O89" s="506">
        <f>ROUND(G89*I89+H89*J89,2)</f>
        <v>3450016.04</v>
      </c>
      <c r="P89" s="253">
        <f>ROUND(37.24%*O89,2)</f>
        <v>1284785.97</v>
      </c>
      <c r="Q89" s="222">
        <f>ROUND(R89*P89,2)</f>
        <v>642392.99</v>
      </c>
      <c r="R89" s="225">
        <v>0.5</v>
      </c>
    </row>
    <row r="90" spans="1:29" hidden="1" x14ac:dyDescent="0.2">
      <c r="A90" s="426" t="s">
        <v>28</v>
      </c>
      <c r="B90" s="422" t="s">
        <v>234</v>
      </c>
      <c r="C90" s="57" t="s">
        <v>31</v>
      </c>
      <c r="D90" s="57" t="s">
        <v>30</v>
      </c>
      <c r="E90" s="57" t="s">
        <v>158</v>
      </c>
      <c r="F90" s="236" t="s">
        <v>56</v>
      </c>
      <c r="G90" s="222">
        <v>26991.31</v>
      </c>
      <c r="H90" s="222">
        <v>32276.91</v>
      </c>
      <c r="I90" s="216">
        <v>3.7389999999999999</v>
      </c>
      <c r="J90" s="216">
        <v>3.7389999999999999</v>
      </c>
      <c r="K90" s="342"/>
      <c r="L90" s="342"/>
      <c r="M90" s="342"/>
      <c r="N90" s="474"/>
      <c r="O90" s="222">
        <f>ROUND(G90*I90+H90*J90,2)</f>
        <v>221603.87</v>
      </c>
      <c r="P90" s="253">
        <f>ROUND(37.24%*O90,2)</f>
        <v>82525.279999999999</v>
      </c>
      <c r="Q90" s="222">
        <f>ROUND(R90*P90,2)</f>
        <v>41262.639999999999</v>
      </c>
      <c r="R90" s="225">
        <v>0.5</v>
      </c>
      <c r="S90" s="257">
        <f>Q90+Q89</f>
        <v>683655.63</v>
      </c>
    </row>
    <row r="91" spans="1:29" hidden="1" x14ac:dyDescent="0.2">
      <c r="A91" s="281" t="s">
        <v>28</v>
      </c>
      <c r="B91" s="423" t="s">
        <v>178</v>
      </c>
      <c r="C91" s="291" t="s">
        <v>31</v>
      </c>
      <c r="D91" s="291" t="s">
        <v>30</v>
      </c>
      <c r="E91" s="291" t="s">
        <v>158</v>
      </c>
      <c r="F91" s="244" t="s">
        <v>56</v>
      </c>
      <c r="G91" s="218">
        <v>9517145.3377</v>
      </c>
      <c r="H91" s="218">
        <v>933358.21429999999</v>
      </c>
      <c r="I91" s="219">
        <v>2.8429000000000002</v>
      </c>
      <c r="J91" s="219">
        <v>3.218</v>
      </c>
      <c r="K91" s="218"/>
      <c r="L91" s="218"/>
      <c r="M91" s="218"/>
      <c r="N91" s="411"/>
      <c r="O91" s="218">
        <f>ROUND(G91*I91+H91*J91,2)</f>
        <v>30059839.210000001</v>
      </c>
      <c r="P91" s="424">
        <f>ROUND(38%*G91*I91,2)+ROUND(38%*H91*J91,2)</f>
        <v>11422738.9</v>
      </c>
      <c r="Q91" s="218">
        <f>ROUND(R91*P91,2)</f>
        <v>5711369.4500000002</v>
      </c>
      <c r="R91" s="425">
        <v>0.5</v>
      </c>
      <c r="S91" s="179">
        <f>Q91</f>
        <v>5711369.4500000002</v>
      </c>
    </row>
    <row r="92" spans="1:29" hidden="1" x14ac:dyDescent="0.2">
      <c r="G92" s="414">
        <f>SUM(G88:G91)</f>
        <v>10439446.0493</v>
      </c>
      <c r="H92" s="414">
        <f>SUM(H88:H91)</f>
        <v>11974700.359799998</v>
      </c>
      <c r="I92" s="199"/>
      <c r="J92" s="199"/>
      <c r="K92" s="199"/>
      <c r="N92" s="65"/>
      <c r="O92" s="179">
        <f>SUM(O88:O91)</f>
        <v>65023973.170000002</v>
      </c>
      <c r="P92" s="179">
        <f>SUM(P88:P91)</f>
        <v>24443382.380000003</v>
      </c>
      <c r="Q92" s="179">
        <f>SUM(Q88:Q91)</f>
        <v>12221691.199999999</v>
      </c>
      <c r="S92" s="65"/>
    </row>
    <row r="93" spans="1:29" hidden="1" x14ac:dyDescent="0.2">
      <c r="G93" s="199"/>
      <c r="H93" s="199"/>
      <c r="I93" s="199"/>
      <c r="J93" s="199"/>
      <c r="K93" s="199"/>
      <c r="N93" s="65"/>
      <c r="P93" s="1">
        <f>P92/O92</f>
        <v>0.37591339298960902</v>
      </c>
      <c r="S93" s="257"/>
    </row>
    <row r="94" spans="1:29" hidden="1" x14ac:dyDescent="0.2">
      <c r="A94" s="416" t="s">
        <v>232</v>
      </c>
      <c r="G94" s="199"/>
      <c r="H94" s="199"/>
      <c r="I94" s="199"/>
      <c r="J94" s="199"/>
      <c r="K94" s="199"/>
      <c r="N94" s="65"/>
      <c r="O94" s="257"/>
      <c r="P94" s="257"/>
    </row>
    <row r="95" spans="1:29" hidden="1" x14ac:dyDescent="0.2">
      <c r="G95" s="199"/>
      <c r="H95" s="199"/>
      <c r="I95" s="199"/>
      <c r="J95" s="199"/>
      <c r="K95" s="199"/>
      <c r="N95" s="65"/>
    </row>
    <row r="96" spans="1:29" hidden="1" x14ac:dyDescent="0.2">
      <c r="A96" s="279" t="s">
        <v>28</v>
      </c>
      <c r="B96" s="22" t="s">
        <v>159</v>
      </c>
      <c r="C96" s="366" t="s">
        <v>31</v>
      </c>
      <c r="D96" s="366" t="s">
        <v>30</v>
      </c>
      <c r="E96" s="366" t="s">
        <v>158</v>
      </c>
      <c r="F96" s="419" t="s">
        <v>56</v>
      </c>
      <c r="G96" s="220">
        <f>G88</f>
        <v>28986.370800000001</v>
      </c>
      <c r="H96" s="220"/>
      <c r="I96" s="221">
        <f>I88</f>
        <v>3.7389999999999999</v>
      </c>
      <c r="J96" s="221"/>
      <c r="K96" s="220"/>
      <c r="L96" s="220"/>
      <c r="M96" s="220"/>
      <c r="N96" s="473"/>
      <c r="O96" s="220">
        <f>ROUND(G96*I96+H96*J96,2)</f>
        <v>108380.04</v>
      </c>
      <c r="P96" s="420">
        <f>ROUND(37.24%*(G96*I96+H96*J96),2)</f>
        <v>40360.730000000003</v>
      </c>
      <c r="Q96" s="220">
        <f>ROUND(R96*P96,2)</f>
        <v>20180.37</v>
      </c>
      <c r="R96" s="421">
        <v>0.5</v>
      </c>
    </row>
    <row r="97" spans="1:18" hidden="1" x14ac:dyDescent="0.2">
      <c r="A97" s="426" t="s">
        <v>28</v>
      </c>
      <c r="B97" s="422" t="s">
        <v>177</v>
      </c>
      <c r="C97" s="57" t="s">
        <v>31</v>
      </c>
      <c r="D97" s="57" t="s">
        <v>30</v>
      </c>
      <c r="E97" s="57" t="s">
        <v>158</v>
      </c>
      <c r="F97" s="236" t="s">
        <v>56</v>
      </c>
      <c r="G97" s="222">
        <f>G89</f>
        <v>866323.03079999995</v>
      </c>
      <c r="H97" s="222"/>
      <c r="I97" s="216">
        <f>I89</f>
        <v>3.81</v>
      </c>
      <c r="J97" s="216"/>
      <c r="K97" s="222"/>
      <c r="L97" s="222"/>
      <c r="M97" s="222"/>
      <c r="N97" s="409"/>
      <c r="O97" s="222">
        <f>ROUND(G97*I97+H97*J97,2)</f>
        <v>3300690.75</v>
      </c>
      <c r="P97" s="253">
        <f>ROUND(37.24%*O97,2)</f>
        <v>1229177.24</v>
      </c>
      <c r="Q97" s="222">
        <f>ROUND(R97*P97,2)</f>
        <v>614588.62</v>
      </c>
      <c r="R97" s="225">
        <v>0.5</v>
      </c>
    </row>
    <row r="98" spans="1:18" hidden="1" x14ac:dyDescent="0.2">
      <c r="A98" s="426" t="s">
        <v>28</v>
      </c>
      <c r="B98" s="422" t="s">
        <v>234</v>
      </c>
      <c r="C98" s="57" t="s">
        <v>31</v>
      </c>
      <c r="D98" s="57" t="s">
        <v>30</v>
      </c>
      <c r="E98" s="57" t="s">
        <v>158</v>
      </c>
      <c r="F98" s="236" t="s">
        <v>56</v>
      </c>
      <c r="G98" s="222">
        <f>G90</f>
        <v>26991.31</v>
      </c>
      <c r="H98" s="222"/>
      <c r="I98" s="216">
        <f>I90</f>
        <v>3.7389999999999999</v>
      </c>
      <c r="J98" s="216"/>
      <c r="K98" s="342"/>
      <c r="L98" s="342"/>
      <c r="M98" s="342"/>
      <c r="N98" s="474"/>
      <c r="O98" s="342">
        <f>ROUND(G98*I98+H98*J98,2)</f>
        <v>100920.51</v>
      </c>
      <c r="P98" s="253">
        <f>ROUND(37.24%*O98,2)</f>
        <v>37582.800000000003</v>
      </c>
      <c r="Q98" s="222">
        <f>ROUND(R98*P98,2)</f>
        <v>18791.400000000001</v>
      </c>
      <c r="R98" s="461">
        <v>0.5</v>
      </c>
    </row>
    <row r="99" spans="1:18" hidden="1" x14ac:dyDescent="0.2">
      <c r="A99" s="281" t="s">
        <v>28</v>
      </c>
      <c r="B99" s="423" t="s">
        <v>178</v>
      </c>
      <c r="C99" s="291" t="s">
        <v>31</v>
      </c>
      <c r="D99" s="291" t="s">
        <v>30</v>
      </c>
      <c r="E99" s="291" t="s">
        <v>158</v>
      </c>
      <c r="F99" s="244" t="s">
        <v>56</v>
      </c>
      <c r="G99" s="218">
        <f>G91</f>
        <v>9517145.3377</v>
      </c>
      <c r="H99" s="218"/>
      <c r="I99" s="219">
        <f>I91</f>
        <v>2.8429000000000002</v>
      </c>
      <c r="J99" s="219"/>
      <c r="K99" s="218"/>
      <c r="L99" s="218"/>
      <c r="M99" s="218"/>
      <c r="N99" s="411"/>
      <c r="O99" s="218">
        <f>ROUND(G99*I99+H99*J99,2)</f>
        <v>27056292.48</v>
      </c>
      <c r="P99" s="424">
        <f>ROUND(38%*G99*I99,2)+ROUND(38%*H99*J99,2)</f>
        <v>10281391.140000001</v>
      </c>
      <c r="Q99" s="218">
        <f>ROUND(R99*P99,2)</f>
        <v>5140695.57</v>
      </c>
      <c r="R99" s="425">
        <v>0.5</v>
      </c>
    </row>
    <row r="100" spans="1:18" hidden="1" x14ac:dyDescent="0.2">
      <c r="G100" s="414">
        <f>SUM(G96:G99)</f>
        <v>10439446.0493</v>
      </c>
      <c r="H100" s="414"/>
      <c r="I100" s="199">
        <f>ROUND(O100/G100,4)</f>
        <v>2.9279999999999999</v>
      </c>
      <c r="J100" s="199"/>
      <c r="K100" s="199"/>
      <c r="N100" s="65"/>
      <c r="O100" s="179">
        <f>SUM(O96:O99)</f>
        <v>30566283.780000001</v>
      </c>
      <c r="P100" s="179">
        <f>SUM(P96:P99)</f>
        <v>11588511.91</v>
      </c>
      <c r="Q100" s="179">
        <f>SUM(Q96:Q99)</f>
        <v>5794255.96</v>
      </c>
    </row>
    <row r="101" spans="1:18" hidden="1" x14ac:dyDescent="0.2">
      <c r="G101" s="199"/>
      <c r="H101" s="199"/>
      <c r="I101" s="199"/>
      <c r="J101" s="199"/>
      <c r="K101" s="199"/>
      <c r="N101" s="65"/>
    </row>
    <row r="102" spans="1:18" hidden="1" x14ac:dyDescent="0.2">
      <c r="A102" s="416" t="s">
        <v>233</v>
      </c>
      <c r="G102" s="199"/>
      <c r="H102" s="199"/>
      <c r="I102" s="199"/>
      <c r="J102" s="199"/>
      <c r="K102" s="199"/>
      <c r="N102" s="65"/>
    </row>
    <row r="103" spans="1:18" hidden="1" x14ac:dyDescent="0.2">
      <c r="G103" s="199"/>
      <c r="H103" s="199"/>
      <c r="I103" s="199"/>
      <c r="J103" s="199"/>
      <c r="K103" s="199"/>
      <c r="N103" s="65"/>
    </row>
    <row r="104" spans="1:18" hidden="1" x14ac:dyDescent="0.2">
      <c r="A104" s="279" t="s">
        <v>28</v>
      </c>
      <c r="B104" s="22" t="s">
        <v>159</v>
      </c>
      <c r="C104" s="366" t="s">
        <v>31</v>
      </c>
      <c r="D104" s="366" t="s">
        <v>30</v>
      </c>
      <c r="E104" s="366" t="s">
        <v>158</v>
      </c>
      <c r="F104" s="419" t="s">
        <v>56</v>
      </c>
      <c r="G104" s="220"/>
      <c r="H104" s="220">
        <f>H88</f>
        <v>10969128.007099999</v>
      </c>
      <c r="I104" s="221"/>
      <c r="J104" s="221">
        <f>J88</f>
        <v>2.8429000000000002</v>
      </c>
      <c r="K104" s="220"/>
      <c r="L104" s="220"/>
      <c r="M104" s="220"/>
      <c r="N104" s="473"/>
      <c r="O104" s="220">
        <f>ROUND(G104*I104+H104*J104,2)</f>
        <v>31184134.010000002</v>
      </c>
      <c r="P104" s="420">
        <f>ROUND(37.24%*(G104*I104+H104*J104),2)</f>
        <v>11612971.51</v>
      </c>
      <c r="Q104" s="220">
        <f>ROUND(R104*P104,2)</f>
        <v>5806485.7599999998</v>
      </c>
      <c r="R104" s="421">
        <v>0.5</v>
      </c>
    </row>
    <row r="105" spans="1:18" hidden="1" x14ac:dyDescent="0.2">
      <c r="A105" s="426" t="s">
        <v>28</v>
      </c>
      <c r="B105" s="422" t="s">
        <v>177</v>
      </c>
      <c r="C105" s="57" t="s">
        <v>31</v>
      </c>
      <c r="D105" s="57" t="s">
        <v>30</v>
      </c>
      <c r="E105" s="57" t="s">
        <v>158</v>
      </c>
      <c r="F105" s="236" t="s">
        <v>56</v>
      </c>
      <c r="G105" s="222"/>
      <c r="H105" s="222">
        <f>H89</f>
        <v>39937.2284</v>
      </c>
      <c r="I105" s="216"/>
      <c r="J105" s="216">
        <f>J89</f>
        <v>3.7389999999999999</v>
      </c>
      <c r="K105" s="222"/>
      <c r="L105" s="222"/>
      <c r="M105" s="222"/>
      <c r="N105" s="409"/>
      <c r="O105" s="222">
        <f>ROUND(G105*I105+H105*J105,2)</f>
        <v>149325.29999999999</v>
      </c>
      <c r="P105" s="253">
        <f>ROUND(37.24%*O105,2)</f>
        <v>55608.74</v>
      </c>
      <c r="Q105" s="222">
        <f>ROUND(R105*P105,2)</f>
        <v>27804.37</v>
      </c>
      <c r="R105" s="225">
        <v>0.5</v>
      </c>
    </row>
    <row r="106" spans="1:18" hidden="1" x14ac:dyDescent="0.2">
      <c r="A106" s="426" t="s">
        <v>28</v>
      </c>
      <c r="B106" s="422" t="s">
        <v>234</v>
      </c>
      <c r="C106" s="57" t="s">
        <v>31</v>
      </c>
      <c r="D106" s="57" t="s">
        <v>30</v>
      </c>
      <c r="E106" s="57" t="s">
        <v>158</v>
      </c>
      <c r="F106" s="236" t="s">
        <v>56</v>
      </c>
      <c r="G106" s="222"/>
      <c r="H106" s="222">
        <f>H90</f>
        <v>32276.91</v>
      </c>
      <c r="I106" s="216"/>
      <c r="J106" s="216">
        <f>J90</f>
        <v>3.7389999999999999</v>
      </c>
      <c r="K106" s="342"/>
      <c r="L106" s="342"/>
      <c r="M106" s="342"/>
      <c r="N106" s="474"/>
      <c r="O106" s="342">
        <f>ROUND(G106*I106+H106*J106,2)</f>
        <v>120683.37</v>
      </c>
      <c r="P106" s="253">
        <f>ROUND(37.24%*O106,2)</f>
        <v>44942.49</v>
      </c>
      <c r="Q106" s="222">
        <f>ROUND(R106*P106,2)</f>
        <v>22471.25</v>
      </c>
      <c r="R106" s="225">
        <v>0.5</v>
      </c>
    </row>
    <row r="107" spans="1:18" hidden="1" x14ac:dyDescent="0.2">
      <c r="A107" s="281" t="s">
        <v>28</v>
      </c>
      <c r="B107" s="423" t="s">
        <v>178</v>
      </c>
      <c r="C107" s="291" t="s">
        <v>31</v>
      </c>
      <c r="D107" s="291" t="s">
        <v>30</v>
      </c>
      <c r="E107" s="291" t="s">
        <v>158</v>
      </c>
      <c r="F107" s="244" t="s">
        <v>56</v>
      </c>
      <c r="G107" s="218"/>
      <c r="H107" s="218">
        <f>H91</f>
        <v>933358.21429999999</v>
      </c>
      <c r="I107" s="219"/>
      <c r="J107" s="219">
        <f>J91</f>
        <v>3.218</v>
      </c>
      <c r="K107" s="218"/>
      <c r="L107" s="218"/>
      <c r="M107" s="218"/>
      <c r="N107" s="411"/>
      <c r="O107" s="218">
        <f>ROUND(G107*I107+H107*J107,2)</f>
        <v>3003546.73</v>
      </c>
      <c r="P107" s="424">
        <f>ROUND(38%*G107*I107,2)+ROUND(38%*H107*J107,2)</f>
        <v>1141347.76</v>
      </c>
      <c r="Q107" s="218">
        <f>ROUND(R107*P107,2)</f>
        <v>570673.88</v>
      </c>
      <c r="R107" s="425">
        <v>0.5</v>
      </c>
    </row>
    <row r="108" spans="1:18" hidden="1" x14ac:dyDescent="0.2">
      <c r="G108" s="414"/>
      <c r="H108" s="414">
        <f>SUM(H104:H107)</f>
        <v>11974700.359799998</v>
      </c>
      <c r="I108" s="199"/>
      <c r="J108" s="470">
        <f>ROUND(O108/H108,4)</f>
        <v>2.8774999999999999</v>
      </c>
      <c r="K108" s="199"/>
      <c r="N108" s="65"/>
      <c r="O108" s="179">
        <f>SUM(O104:O107)</f>
        <v>34457689.410000004</v>
      </c>
      <c r="P108" s="179">
        <f>SUM(P104:P107)</f>
        <v>12854870.5</v>
      </c>
      <c r="Q108" s="179">
        <f>SUM(Q104:Q107)</f>
        <v>6427435.2599999998</v>
      </c>
    </row>
    <row r="109" spans="1:18" hidden="1" x14ac:dyDescent="0.2">
      <c r="G109" s="414"/>
      <c r="H109" s="414"/>
      <c r="I109" s="199"/>
      <c r="J109" s="199"/>
      <c r="K109" s="199"/>
      <c r="N109" s="65"/>
      <c r="O109" s="179"/>
      <c r="P109" s="179"/>
      <c r="Q109" s="179"/>
    </row>
    <row r="110" spans="1:18" hidden="1" x14ac:dyDescent="0.2">
      <c r="G110" s="414"/>
      <c r="H110" s="414"/>
      <c r="I110" s="199"/>
      <c r="J110" s="199"/>
      <c r="K110" s="199"/>
      <c r="N110" s="407" t="s">
        <v>235</v>
      </c>
      <c r="O110" s="224">
        <f>O108+O100</f>
        <v>65023973.190000005</v>
      </c>
      <c r="P110" s="224">
        <f>P108+P100</f>
        <v>24443382.41</v>
      </c>
      <c r="Q110" s="224">
        <f>Q108+Q100</f>
        <v>12221691.219999999</v>
      </c>
      <c r="R110" s="274">
        <v>0.5</v>
      </c>
    </row>
    <row r="111" spans="1:18" hidden="1" x14ac:dyDescent="0.2">
      <c r="G111" s="414"/>
      <c r="H111" s="414"/>
      <c r="I111" s="199"/>
      <c r="J111" s="199"/>
      <c r="K111" s="199"/>
      <c r="N111" s="65"/>
    </row>
    <row r="112" spans="1:18" hidden="1" x14ac:dyDescent="0.2">
      <c r="G112" s="414"/>
      <c r="H112" s="414"/>
      <c r="I112" s="199"/>
      <c r="J112" s="199"/>
      <c r="K112" s="199"/>
      <c r="N112" s="407" t="s">
        <v>236</v>
      </c>
      <c r="O112" s="407">
        <f>O110-O92</f>
        <v>2.0000003278255463E-2</v>
      </c>
      <c r="P112" s="407">
        <f>P110-P92</f>
        <v>2.9999997466802597E-2</v>
      </c>
      <c r="Q112" s="407">
        <f>Q110-Q92</f>
        <v>1.9999999552965164E-2</v>
      </c>
    </row>
    <row r="113" spans="1:34" hidden="1" x14ac:dyDescent="0.2">
      <c r="N113" s="65"/>
    </row>
    <row r="114" spans="1:34" hidden="1" x14ac:dyDescent="0.2">
      <c r="A114" s="65"/>
      <c r="B114" s="65"/>
      <c r="C114" s="65"/>
      <c r="D114" s="65"/>
      <c r="E114" s="65"/>
      <c r="F114" s="65"/>
      <c r="G114" s="65"/>
      <c r="H114" s="65"/>
      <c r="I114" s="65"/>
      <c r="J114" s="65"/>
      <c r="K114" s="65"/>
      <c r="L114" s="65"/>
      <c r="M114" s="65"/>
      <c r="N114" s="65"/>
      <c r="O114" s="65"/>
      <c r="P114" s="65"/>
      <c r="Q114" s="65"/>
      <c r="R114" s="403"/>
      <c r="S114" s="65"/>
      <c r="T114" s="375"/>
      <c r="U114" s="65"/>
      <c r="V114" s="65"/>
      <c r="W114" s="65"/>
      <c r="X114" s="65"/>
      <c r="Y114" s="65"/>
      <c r="Z114" s="65"/>
      <c r="AA114" s="65"/>
      <c r="AB114" s="65"/>
      <c r="AC114" s="65"/>
      <c r="AD114" s="65"/>
      <c r="AE114" s="65"/>
      <c r="AF114" s="65"/>
      <c r="AG114" s="65"/>
      <c r="AH114" s="65"/>
    </row>
    <row r="115" spans="1:34" hidden="1" x14ac:dyDescent="0.2">
      <c r="A115" s="416" t="s">
        <v>231</v>
      </c>
      <c r="B115" s="65"/>
      <c r="C115" s="65"/>
      <c r="D115" s="65"/>
      <c r="E115" s="65"/>
      <c r="F115" s="65"/>
      <c r="G115" s="65"/>
      <c r="H115" s="65"/>
      <c r="I115" s="65"/>
      <c r="J115" s="65"/>
      <c r="K115" s="65"/>
      <c r="L115" s="65"/>
      <c r="M115" s="65"/>
      <c r="N115" s="65"/>
      <c r="O115" s="65"/>
      <c r="P115" s="65"/>
      <c r="Q115" s="65"/>
      <c r="R115" s="403"/>
      <c r="S115" s="65"/>
      <c r="T115" s="375"/>
      <c r="U115" s="65"/>
      <c r="V115" s="65"/>
      <c r="W115" s="65"/>
      <c r="X115" s="65"/>
      <c r="Y115" s="65"/>
      <c r="Z115" s="65"/>
      <c r="AA115" s="65"/>
      <c r="AB115" s="65"/>
      <c r="AC115" s="65"/>
      <c r="AD115" s="65"/>
      <c r="AE115" s="65"/>
      <c r="AF115" s="65"/>
      <c r="AG115" s="65"/>
      <c r="AH115" s="65"/>
    </row>
    <row r="116" spans="1:34" ht="15.75" hidden="1" x14ac:dyDescent="0.25">
      <c r="A116" s="412" t="s">
        <v>228</v>
      </c>
      <c r="G116" s="199"/>
      <c r="H116" s="199"/>
      <c r="I116" s="199"/>
      <c r="J116" s="199"/>
      <c r="K116" s="199"/>
      <c r="N116" s="65"/>
    </row>
    <row r="117" spans="1:34" hidden="1" x14ac:dyDescent="0.2">
      <c r="A117" s="427" t="s">
        <v>28</v>
      </c>
      <c r="B117" s="428" t="s">
        <v>218</v>
      </c>
      <c r="C117" s="91" t="s">
        <v>31</v>
      </c>
      <c r="D117" s="91" t="s">
        <v>30</v>
      </c>
      <c r="E117" s="91" t="s">
        <v>101</v>
      </c>
      <c r="F117" s="91" t="s">
        <v>56</v>
      </c>
      <c r="G117" s="215">
        <v>176353.59950000001</v>
      </c>
      <c r="H117" s="215">
        <v>228822.5386</v>
      </c>
      <c r="I117" s="217">
        <v>3.5213999999999999</v>
      </c>
      <c r="J117" s="217">
        <v>3.4340999999999999</v>
      </c>
      <c r="K117" s="431"/>
      <c r="L117" s="431"/>
      <c r="M117" s="431"/>
      <c r="N117" s="510">
        <v>1309.93</v>
      </c>
      <c r="O117" s="220">
        <f t="shared" ref="O117:O123" si="46">ROUND(G117*I117,2)+ROUND(H117*J117,2)-K117-L117-M117-N117</f>
        <v>1405501.1199999999</v>
      </c>
      <c r="P117" s="500">
        <f t="shared" ref="P117:P123" si="47">ROUND(18.75%*O117,2)</f>
        <v>263531.46000000002</v>
      </c>
      <c r="Q117" s="466">
        <f t="shared" ref="Q117:Q123" si="48">ROUND($O117*R117,2)</f>
        <v>210825.17</v>
      </c>
      <c r="R117" s="432">
        <v>0.15</v>
      </c>
      <c r="S117" s="466">
        <f t="shared" ref="S117:S123" si="49">ROUND($O117*T117,2)</f>
        <v>52706.29</v>
      </c>
      <c r="T117" s="433">
        <v>3.7499999999999999E-2</v>
      </c>
      <c r="U117" s="1" t="s">
        <v>182</v>
      </c>
      <c r="W117" s="1" t="str">
        <f>IF($F117&amp;"/Día"=W$9,ROUND(U117/$W$1,1),"")</f>
        <v/>
      </c>
      <c r="X117" s="1" t="str">
        <f>IF(U117=0,0,IF($F117&amp;"/Día"=W$9,ROUND(V117/U117,4),""))</f>
        <v/>
      </c>
      <c r="Y117" s="1" t="str">
        <f>IF(U117=0,0,IF($F117&amp;"/Día"=W$9,ROUND(Z117/U117,4),""))</f>
        <v/>
      </c>
      <c r="Z117" s="1">
        <f>IF(U117&lt;&gt;"",$P117,"")</f>
        <v>263531.46000000002</v>
      </c>
      <c r="AA117" s="1">
        <f>IF($F117&amp;"/Día"=AC$9,SUM($G117:$H117),"")</f>
        <v>405176.13809999998</v>
      </c>
      <c r="AB117" s="1">
        <f>IF(AA117&lt;&gt;"",$O117,"")</f>
        <v>1405501.1199999999</v>
      </c>
      <c r="AC117" s="1">
        <f>IF($F117&amp;"/Día"=AC$9,ROUND(AA117/$W$1,1),"")</f>
        <v>13070.2</v>
      </c>
      <c r="AD117" s="1">
        <f>IF(AA117=0,0,IF($F117&amp;"/Día"=AC$9,ROUND(AB117/AA117,4),""))</f>
        <v>3.4689000000000001</v>
      </c>
      <c r="AE117" s="1">
        <f>IF(AA117=0,0,IF($F117&amp;"/Día"=AC$9,ROUND(AF117/AA117,4),""))</f>
        <v>0.65039999999999998</v>
      </c>
      <c r="AF117" s="1">
        <f>IF(AA117&lt;&gt;"",$P117,"")</f>
        <v>263531.46000000002</v>
      </c>
    </row>
    <row r="118" spans="1:34" hidden="1" x14ac:dyDescent="0.2">
      <c r="A118" s="434" t="s">
        <v>28</v>
      </c>
      <c r="B118" s="435" t="s">
        <v>219</v>
      </c>
      <c r="C118" s="97" t="s">
        <v>31</v>
      </c>
      <c r="D118" s="97" t="s">
        <v>30</v>
      </c>
      <c r="E118" s="97" t="s">
        <v>101</v>
      </c>
      <c r="F118" s="97" t="s">
        <v>56</v>
      </c>
      <c r="G118" s="215">
        <v>9615.8125</v>
      </c>
      <c r="H118" s="215">
        <v>16803.845799999999</v>
      </c>
      <c r="I118" s="217">
        <v>4.72</v>
      </c>
      <c r="J118" s="217">
        <v>4.72</v>
      </c>
      <c r="K118" s="438"/>
      <c r="L118" s="438"/>
      <c r="M118" s="438"/>
      <c r="N118" s="476"/>
      <c r="O118" s="222">
        <f t="shared" si="46"/>
        <v>124700.79</v>
      </c>
      <c r="P118" s="499">
        <f t="shared" si="47"/>
        <v>23381.4</v>
      </c>
      <c r="Q118" s="467">
        <f t="shared" si="48"/>
        <v>18705.12</v>
      </c>
      <c r="R118" s="439">
        <v>0.15</v>
      </c>
      <c r="S118" s="467">
        <f t="shared" si="49"/>
        <v>4676.28</v>
      </c>
      <c r="T118" s="440">
        <v>3.7499999999999999E-2</v>
      </c>
      <c r="U118" s="1" t="s">
        <v>182</v>
      </c>
      <c r="W118" s="1" t="str">
        <f>IF($F118&amp;"/Día"=W$9,ROUND(U118/$W$1,1),"")</f>
        <v/>
      </c>
      <c r="X118" s="1" t="str">
        <f>IF(U118=0,0,IF($F118&amp;"/Día"=W$9,ROUND(V118/U118,4),""))</f>
        <v/>
      </c>
      <c r="Y118" s="1" t="str">
        <f>IF(U118=0,0,IF($F118&amp;"/Día"=W$9,ROUND(Z118/U118,4),""))</f>
        <v/>
      </c>
      <c r="Z118" s="1">
        <f>IF(U118&lt;&gt;"",$P118,"")</f>
        <v>23381.4</v>
      </c>
      <c r="AA118" s="1">
        <f>IF($F118&amp;"/Día"=AC$9,SUM($G118:$H118),"")</f>
        <v>26419.658299999999</v>
      </c>
      <c r="AB118" s="1">
        <f>IF(AA118&lt;&gt;"",$O118,"")</f>
        <v>124700.79</v>
      </c>
      <c r="AC118" s="1">
        <f>IF($F118&amp;"/Día"=AC$9,ROUND(AA118/$W$1,1),"")</f>
        <v>852.2</v>
      </c>
      <c r="AD118" s="1">
        <f>IF(AA118=0,0,IF($F118&amp;"/Día"=AC$9,ROUND(AB118/AA118,4),""))</f>
        <v>4.72</v>
      </c>
      <c r="AE118" s="1">
        <f>IF(AA118=0,0,IF($F118&amp;"/Día"=AC$9,ROUND(AF118/AA118,4),""))</f>
        <v>0.88500000000000001</v>
      </c>
      <c r="AF118" s="1">
        <f>IF(AA118&lt;&gt;"",$P118,"")</f>
        <v>23381.4</v>
      </c>
    </row>
    <row r="119" spans="1:34" hidden="1" x14ac:dyDescent="0.2">
      <c r="A119" s="434" t="s">
        <v>28</v>
      </c>
      <c r="B119" s="435" t="s">
        <v>217</v>
      </c>
      <c r="C119" s="97" t="s">
        <v>31</v>
      </c>
      <c r="D119" s="97" t="s">
        <v>30</v>
      </c>
      <c r="E119" s="97" t="s">
        <v>101</v>
      </c>
      <c r="F119" s="97" t="s">
        <v>56</v>
      </c>
      <c r="G119" s="215"/>
      <c r="H119" s="215"/>
      <c r="I119" s="217"/>
      <c r="J119" s="217"/>
      <c r="K119" s="438"/>
      <c r="L119" s="438"/>
      <c r="M119" s="438"/>
      <c r="N119" s="476"/>
      <c r="O119" s="222">
        <f t="shared" si="46"/>
        <v>0</v>
      </c>
      <c r="P119" s="438">
        <f t="shared" si="47"/>
        <v>0</v>
      </c>
      <c r="Q119" s="438">
        <f t="shared" si="48"/>
        <v>0</v>
      </c>
      <c r="R119" s="439">
        <v>0.15</v>
      </c>
      <c r="S119" s="438">
        <f t="shared" si="49"/>
        <v>0</v>
      </c>
      <c r="T119" s="440">
        <v>3.7499999999999999E-2</v>
      </c>
      <c r="U119" s="1" t="str">
        <f>IF($F119&amp;"/Día"=W$9,SUM($G119:$H119),"")</f>
        <v/>
      </c>
      <c r="V119" s="1" t="str">
        <f>IF(U119&lt;&gt;"",$O119,"")</f>
        <v/>
      </c>
      <c r="W119" s="1" t="str">
        <f>IF($F119&amp;"/Día"=W$9,ROUND(U119/$W$1,1),"")</f>
        <v/>
      </c>
      <c r="X119" s="1" t="str">
        <f>IF(U119=0,0,IF($F119&amp;"/Día"=W$9,ROUND(V119/U119,4),""))</f>
        <v/>
      </c>
      <c r="Y119" s="1" t="str">
        <f>IF(U119=0,0,IF($F119&amp;"/Día"=W$9,ROUND(Z119/U119,4),""))</f>
        <v/>
      </c>
      <c r="Z119" s="1" t="str">
        <f>IF(U119&lt;&gt;"",$P119,"")</f>
        <v/>
      </c>
      <c r="AA119" s="1">
        <f>IF($F119&amp;"/Día"=AC$9,SUM($G119:$H119),"")</f>
        <v>0</v>
      </c>
      <c r="AB119" s="1">
        <f>IF(AA119&lt;&gt;"",$O119,"")</f>
        <v>0</v>
      </c>
      <c r="AC119" s="1">
        <f>IF($F119&amp;"/Día"=AC$9,ROUND(AA119/$W$1,1),"")</f>
        <v>0</v>
      </c>
      <c r="AD119" s="1">
        <f>IF(AA119=0,0,IF($F119&amp;"/Día"=AC$9,ROUND(AB119/AA119,4),""))</f>
        <v>0</v>
      </c>
      <c r="AE119" s="1">
        <f>IF(AA119=0,0,IF($F119&amp;"/Día"=AC$9,ROUND(AF119/AA119,4),""))</f>
        <v>0</v>
      </c>
      <c r="AF119" s="1">
        <f>IF(AA119&lt;&gt;"",$P119,"")</f>
        <v>0</v>
      </c>
    </row>
    <row r="120" spans="1:34" hidden="1" x14ac:dyDescent="0.2">
      <c r="A120" s="434" t="s">
        <v>28</v>
      </c>
      <c r="B120" s="435" t="s">
        <v>220</v>
      </c>
      <c r="C120" s="97" t="s">
        <v>31</v>
      </c>
      <c r="D120" s="97" t="s">
        <v>30</v>
      </c>
      <c r="E120" s="97" t="s">
        <v>101</v>
      </c>
      <c r="F120" s="97" t="s">
        <v>56</v>
      </c>
      <c r="G120" s="215"/>
      <c r="H120" s="215"/>
      <c r="I120" s="217"/>
      <c r="J120" s="217"/>
      <c r="K120" s="438"/>
      <c r="L120" s="438"/>
      <c r="M120" s="438"/>
      <c r="N120" s="476"/>
      <c r="O120" s="222">
        <f t="shared" si="46"/>
        <v>0</v>
      </c>
      <c r="P120" s="438">
        <f t="shared" si="47"/>
        <v>0</v>
      </c>
      <c r="Q120" s="438">
        <f t="shared" si="48"/>
        <v>0</v>
      </c>
      <c r="R120" s="439">
        <v>0.15</v>
      </c>
      <c r="S120" s="438">
        <f t="shared" si="49"/>
        <v>0</v>
      </c>
      <c r="T120" s="440">
        <v>3.7499999999999999E-2</v>
      </c>
      <c r="U120" s="1" t="str">
        <f>IF($F120&amp;"/Día"=W$9,SUM($G120:$H120),"")</f>
        <v/>
      </c>
      <c r="V120" s="1" t="str">
        <f>IF(U120&lt;&gt;"",$O120,"")</f>
        <v/>
      </c>
      <c r="W120" s="1" t="str">
        <f>IF($F120&amp;"/Día"=W$9,ROUND(U120/$W$1,1),"")</f>
        <v/>
      </c>
      <c r="X120" s="1" t="str">
        <f>IF(U120=0,0,IF($F120&amp;"/Día"=W$9,ROUND(V120/U120,4),""))</f>
        <v/>
      </c>
      <c r="Y120" s="1" t="str">
        <f>IF(U120=0,0,IF($F120&amp;"/Día"=W$9,ROUND(Z120/U120,4),""))</f>
        <v/>
      </c>
      <c r="Z120" s="1" t="str">
        <f>IF(U120&lt;&gt;"",$P120,"")</f>
        <v/>
      </c>
      <c r="AA120" s="1">
        <f>IF($F120&amp;"/Día"=AC$9,SUM($G120:$H120),"")</f>
        <v>0</v>
      </c>
      <c r="AB120" s="1">
        <f>IF(AA120&lt;&gt;"",$O120,"")</f>
        <v>0</v>
      </c>
      <c r="AC120" s="1">
        <f>IF($F120&amp;"/Día"=AC$9,ROUND(AA120/$W$1,1),"")</f>
        <v>0</v>
      </c>
      <c r="AD120" s="1">
        <f>IF(AA120=0,0,IF($F120&amp;"/Día"=AC$9,ROUND(AB120/AA120,4),""))</f>
        <v>0</v>
      </c>
      <c r="AE120" s="1">
        <f>IF(AA120=0,0,IF($F120&amp;"/Día"=AC$9,ROUND(AF120/AA120,4),""))</f>
        <v>0</v>
      </c>
      <c r="AF120" s="1">
        <f>IF(AA120&lt;&gt;"",$P120,"")</f>
        <v>0</v>
      </c>
    </row>
    <row r="121" spans="1:34" hidden="1" x14ac:dyDescent="0.2">
      <c r="A121" s="434" t="s">
        <v>28</v>
      </c>
      <c r="B121" s="435" t="s">
        <v>222</v>
      </c>
      <c r="C121" s="97" t="s">
        <v>31</v>
      </c>
      <c r="D121" s="97" t="s">
        <v>30</v>
      </c>
      <c r="E121" s="97" t="s">
        <v>101</v>
      </c>
      <c r="F121" s="97" t="s">
        <v>56</v>
      </c>
      <c r="G121" s="215">
        <v>11307.152700000001</v>
      </c>
      <c r="H121" s="215">
        <v>17361.2274</v>
      </c>
      <c r="I121" s="217">
        <v>3.59</v>
      </c>
      <c r="J121" s="217">
        <v>3.59</v>
      </c>
      <c r="K121" s="438"/>
      <c r="L121" s="438"/>
      <c r="M121" s="438"/>
      <c r="N121" s="477"/>
      <c r="O121" s="222">
        <f t="shared" si="46"/>
        <v>102919.48999999999</v>
      </c>
      <c r="P121" s="438">
        <f t="shared" si="47"/>
        <v>19297.400000000001</v>
      </c>
      <c r="Q121" s="471">
        <f t="shared" si="48"/>
        <v>15437.92</v>
      </c>
      <c r="R121" s="439">
        <v>0.15</v>
      </c>
      <c r="S121" s="467">
        <f t="shared" si="49"/>
        <v>3859.48</v>
      </c>
      <c r="T121" s="440">
        <v>3.7499999999999999E-2</v>
      </c>
      <c r="U121" s="1" t="s">
        <v>306</v>
      </c>
      <c r="W121" s="1" t="str">
        <f>IF($F121&amp;"/Día"=W$9,ROUND(U121/$W$1,1),"")</f>
        <v/>
      </c>
      <c r="X121" s="1" t="str">
        <f>IF(U121=0,0,IF($F121&amp;"/Día"=W$9,ROUND(V121/U121,4),""))</f>
        <v/>
      </c>
      <c r="Y121" s="1" t="str">
        <f>IF(U121=0,0,IF($F121&amp;"/Día"=W$9,ROUND(Z121/U121,4),""))</f>
        <v/>
      </c>
      <c r="Z121" s="1">
        <f>IF(U121&lt;&gt;"",$P121,"")</f>
        <v>19297.400000000001</v>
      </c>
      <c r="AA121" s="1">
        <f>IF($F121&amp;"/Día"=AC$9,SUM($G121:$H121),"")</f>
        <v>28668.380100000002</v>
      </c>
      <c r="AB121" s="1">
        <f>IF(AA121&lt;&gt;"",$O121,"")</f>
        <v>102919.48999999999</v>
      </c>
      <c r="AC121" s="1">
        <f>IF($F121&amp;"/Día"=AC$9,ROUND(AA121/$W$1,1),"")</f>
        <v>924.8</v>
      </c>
      <c r="AD121" s="1">
        <f>IF(AA121=0,0,IF($F121&amp;"/Día"=AC$9,ROUND(AB121/AA121,4),""))</f>
        <v>3.59</v>
      </c>
      <c r="AE121" s="1">
        <f>IF(AA121=0,0,IF($F121&amp;"/Día"=AC$9,ROUND(AF121/AA121,4),""))</f>
        <v>0.67310000000000003</v>
      </c>
      <c r="AF121" s="1">
        <f>IF(AA121&lt;&gt;"",$P121,"")</f>
        <v>19297.400000000001</v>
      </c>
    </row>
    <row r="122" spans="1:34" hidden="1" x14ac:dyDescent="0.2">
      <c r="A122" s="434"/>
      <c r="B122" s="442" t="s">
        <v>226</v>
      </c>
      <c r="C122" s="97" t="s">
        <v>31</v>
      </c>
      <c r="D122" s="97" t="s">
        <v>30</v>
      </c>
      <c r="E122" s="97" t="s">
        <v>101</v>
      </c>
      <c r="F122" s="97" t="s">
        <v>56</v>
      </c>
      <c r="G122" s="215">
        <v>161386.9804</v>
      </c>
      <c r="H122" s="215">
        <v>170277.8934</v>
      </c>
      <c r="I122" s="217">
        <v>1.77</v>
      </c>
      <c r="J122" s="217">
        <v>1.77</v>
      </c>
      <c r="K122" s="438"/>
      <c r="L122" s="438"/>
      <c r="M122" s="438"/>
      <c r="N122" s="477"/>
      <c r="O122" s="222">
        <f t="shared" si="46"/>
        <v>587046.83000000007</v>
      </c>
      <c r="P122" s="438">
        <f t="shared" si="47"/>
        <v>110071.28</v>
      </c>
      <c r="Q122" s="443">
        <f t="shared" si="48"/>
        <v>88057.02</v>
      </c>
      <c r="R122" s="439">
        <v>0.15</v>
      </c>
      <c r="S122" s="438">
        <f t="shared" si="49"/>
        <v>22014.26</v>
      </c>
      <c r="T122" s="440">
        <v>3.7499999999999999E-2</v>
      </c>
      <c r="U122" s="1" t="s">
        <v>306</v>
      </c>
    </row>
    <row r="123" spans="1:34" hidden="1" x14ac:dyDescent="0.2">
      <c r="A123" s="444"/>
      <c r="B123" s="445" t="s">
        <v>225</v>
      </c>
      <c r="C123" s="109" t="s">
        <v>31</v>
      </c>
      <c r="D123" s="109" t="s">
        <v>30</v>
      </c>
      <c r="E123" s="109" t="s">
        <v>101</v>
      </c>
      <c r="F123" s="109" t="s">
        <v>56</v>
      </c>
      <c r="G123" s="215">
        <v>32146.61</v>
      </c>
      <c r="H123" s="215">
        <v>29602.23</v>
      </c>
      <c r="I123" s="217">
        <v>2.65</v>
      </c>
      <c r="J123" s="217">
        <v>2.74</v>
      </c>
      <c r="K123" s="448"/>
      <c r="L123" s="448"/>
      <c r="M123" s="448"/>
      <c r="N123" s="478"/>
      <c r="O123" s="218">
        <f t="shared" si="46"/>
        <v>166298.63</v>
      </c>
      <c r="P123" s="448">
        <f t="shared" si="47"/>
        <v>31180.99</v>
      </c>
      <c r="Q123" s="449">
        <f t="shared" si="48"/>
        <v>24944.79</v>
      </c>
      <c r="R123" s="450">
        <v>0.15</v>
      </c>
      <c r="S123" s="448">
        <f t="shared" si="49"/>
        <v>6236.2</v>
      </c>
      <c r="T123" s="451">
        <v>3.7499999999999999E-2</v>
      </c>
      <c r="U123" s="1" t="s">
        <v>306</v>
      </c>
    </row>
    <row r="124" spans="1:34" hidden="1" x14ac:dyDescent="0.2">
      <c r="G124" s="414">
        <f>SUM(G117:G123)</f>
        <v>390810.15509999997</v>
      </c>
      <c r="H124" s="414">
        <f>SUM(H117:H123)</f>
        <v>462867.7352</v>
      </c>
      <c r="I124" s="199"/>
      <c r="J124" s="199"/>
      <c r="K124" s="199"/>
      <c r="N124" s="264">
        <f>SUM(N117:N123)</f>
        <v>1309.93</v>
      </c>
      <c r="O124" s="179">
        <f>SUM(O117:O123)</f>
        <v>2386466.86</v>
      </c>
      <c r="P124" s="179">
        <f>SUM(P117:P123)</f>
        <v>447462.53</v>
      </c>
      <c r="Q124" s="179">
        <f>SUM(Q117:Q123)</f>
        <v>357970.02</v>
      </c>
      <c r="S124" s="179">
        <f>SUM(S117:S123)</f>
        <v>89492.51</v>
      </c>
      <c r="U124" s="257"/>
    </row>
    <row r="125" spans="1:34" hidden="1" x14ac:dyDescent="0.2">
      <c r="G125" s="199"/>
      <c r="H125" s="199"/>
      <c r="I125" s="199"/>
      <c r="J125" s="199"/>
      <c r="K125" s="199"/>
      <c r="N125" s="65"/>
      <c r="O125" s="257"/>
      <c r="P125" s="257"/>
      <c r="Q125" s="257">
        <f>SUM(Q122:Q123)</f>
        <v>113001.81</v>
      </c>
      <c r="S125" s="257">
        <f>SUM(S122:S123)</f>
        <v>28250.46</v>
      </c>
      <c r="U125" s="472"/>
    </row>
    <row r="126" spans="1:34" ht="15.75" hidden="1" x14ac:dyDescent="0.25">
      <c r="A126" s="412" t="s">
        <v>229</v>
      </c>
      <c r="G126" s="199"/>
      <c r="H126" s="199"/>
      <c r="I126" s="199"/>
      <c r="J126" s="199"/>
      <c r="K126" s="199"/>
      <c r="N126" s="65"/>
      <c r="Q126" s="257"/>
      <c r="S126" s="257">
        <f>S117+S121+S122</f>
        <v>78580.03</v>
      </c>
      <c r="U126" s="257"/>
    </row>
    <row r="127" spans="1:34" hidden="1" x14ac:dyDescent="0.2">
      <c r="A127" s="279" t="s">
        <v>28</v>
      </c>
      <c r="B127" s="22" t="s">
        <v>218</v>
      </c>
      <c r="C127" s="366" t="s">
        <v>31</v>
      </c>
      <c r="D127" s="366" t="s">
        <v>30</v>
      </c>
      <c r="E127" s="366" t="s">
        <v>101</v>
      </c>
      <c r="F127" s="419" t="s">
        <v>56</v>
      </c>
      <c r="G127" s="429">
        <f t="shared" ref="G127:G133" si="50">G117</f>
        <v>176353.59950000001</v>
      </c>
      <c r="H127" s="452"/>
      <c r="I127" s="430">
        <f t="shared" ref="I127:I133" si="51">I117</f>
        <v>3.5213999999999999</v>
      </c>
      <c r="J127" s="453"/>
      <c r="K127" s="220"/>
      <c r="L127" s="220"/>
      <c r="M127" s="220"/>
      <c r="N127" s="473">
        <f>N124</f>
        <v>1309.93</v>
      </c>
      <c r="O127" s="220">
        <f t="shared" ref="O127:O133" si="52">ROUND(G127*I127,2)+ROUND(H127*J127,2)-K127-L127-M127-N127</f>
        <v>619701.6399999999</v>
      </c>
      <c r="P127" s="220">
        <f t="shared" ref="P127:P133" si="53">ROUND(18.75%*O127,2)</f>
        <v>116194.06</v>
      </c>
      <c r="Q127" s="220">
        <f t="shared" ref="Q127:Q133" si="54">ROUND($O127*R127,2)</f>
        <v>92955.25</v>
      </c>
      <c r="R127" s="421">
        <v>0.15</v>
      </c>
      <c r="S127" s="220">
        <f t="shared" ref="S127:S133" si="55">ROUND($O127*T127,2)</f>
        <v>23238.81</v>
      </c>
      <c r="T127" s="454">
        <v>3.7499999999999999E-2</v>
      </c>
      <c r="W127" s="1" t="str">
        <f>IF($F127&amp;"/Día"=W$9,ROUND(U127/$W$1,1),"")</f>
        <v/>
      </c>
      <c r="X127" s="1">
        <f>IF(U127=0,0,IF($F127&amp;"/Día"=W$9,ROUND(V127/U127,4),""))</f>
        <v>0</v>
      </c>
      <c r="Y127" s="1">
        <f>IF(U127=0,0,IF($F127&amp;"/Día"=W$9,ROUND(Z127/U127,4),""))</f>
        <v>0</v>
      </c>
      <c r="Z127" s="1" t="str">
        <f>IF(U127&lt;&gt;"",$P127,"")</f>
        <v/>
      </c>
      <c r="AA127" s="1">
        <f>IF($F127&amp;"/Día"=AC$9,SUM($G127:$H127),"")</f>
        <v>176353.59950000001</v>
      </c>
      <c r="AB127" s="1">
        <f>IF(AA127&lt;&gt;"",$O127,"")</f>
        <v>619701.6399999999</v>
      </c>
      <c r="AC127" s="1">
        <f>IF($F127&amp;"/Día"=AC$9,ROUND(AA127/$W$1,1),"")</f>
        <v>5688.8</v>
      </c>
      <c r="AD127" s="1">
        <f>IF(AA127=0,0,IF($F127&amp;"/Día"=AC$9,ROUND(AB127/AA127,4),""))</f>
        <v>3.5139999999999998</v>
      </c>
      <c r="AE127" s="1">
        <f>IF(AA127=0,0,IF($F127&amp;"/Día"=AC$9,ROUND(AF127/AA127,4),""))</f>
        <v>0.65890000000000004</v>
      </c>
      <c r="AF127" s="1">
        <f>IF(AA127&lt;&gt;"",$P127,"")</f>
        <v>116194.06</v>
      </c>
    </row>
    <row r="128" spans="1:34" hidden="1" x14ac:dyDescent="0.2">
      <c r="A128" s="426" t="s">
        <v>28</v>
      </c>
      <c r="B128" s="422" t="s">
        <v>219</v>
      </c>
      <c r="C128" s="57" t="s">
        <v>31</v>
      </c>
      <c r="D128" s="57" t="s">
        <v>30</v>
      </c>
      <c r="E128" s="57" t="s">
        <v>101</v>
      </c>
      <c r="F128" s="236" t="s">
        <v>56</v>
      </c>
      <c r="G128" s="436">
        <f t="shared" si="50"/>
        <v>9615.8125</v>
      </c>
      <c r="H128" s="215"/>
      <c r="I128" s="437">
        <f t="shared" si="51"/>
        <v>4.72</v>
      </c>
      <c r="J128" s="217"/>
      <c r="K128" s="222"/>
      <c r="L128" s="222"/>
      <c r="M128" s="222"/>
      <c r="N128" s="409"/>
      <c r="O128" s="222">
        <f t="shared" si="52"/>
        <v>45386.64</v>
      </c>
      <c r="P128" s="222">
        <f t="shared" si="53"/>
        <v>8510</v>
      </c>
      <c r="Q128" s="222">
        <f t="shared" si="54"/>
        <v>6808</v>
      </c>
      <c r="R128" s="225">
        <v>0.15</v>
      </c>
      <c r="S128" s="222">
        <f t="shared" si="55"/>
        <v>1702</v>
      </c>
      <c r="T128" s="455">
        <v>3.7499999999999999E-2</v>
      </c>
      <c r="U128" s="1" t="str">
        <f>IF($F128&amp;"/Día"=W$9,SUM($G128:$H128),"")</f>
        <v/>
      </c>
      <c r="V128" s="1" t="str">
        <f>IF(U128&lt;&gt;"",$O128,"")</f>
        <v/>
      </c>
      <c r="W128" s="1" t="str">
        <f>IF($F128&amp;"/Día"=W$9,ROUND(U128/$W$1,1),"")</f>
        <v/>
      </c>
      <c r="X128" s="1" t="str">
        <f>IF(U128=0,0,IF($F128&amp;"/Día"=W$9,ROUND(V128/U128,4),""))</f>
        <v/>
      </c>
      <c r="Y128" s="1" t="str">
        <f>IF(U128=0,0,IF($F128&amp;"/Día"=W$9,ROUND(Z128/U128,4),""))</f>
        <v/>
      </c>
      <c r="Z128" s="1" t="str">
        <f>IF(U128&lt;&gt;"",$P128,"")</f>
        <v/>
      </c>
      <c r="AA128" s="1">
        <f>IF($F128&amp;"/Día"=AC$9,SUM($G128:$H128),"")</f>
        <v>9615.8125</v>
      </c>
      <c r="AB128" s="1">
        <f>IF(AA128&lt;&gt;"",$O128,"")</f>
        <v>45386.64</v>
      </c>
      <c r="AC128" s="1">
        <f>IF($F128&amp;"/Día"=AC$9,ROUND(AA128/$W$1,1),"")</f>
        <v>310.2</v>
      </c>
      <c r="AD128" s="1">
        <f>IF(AA128=0,0,IF($F128&amp;"/Día"=AC$9,ROUND(AB128/AA128,4),""))</f>
        <v>4.72</v>
      </c>
      <c r="AE128" s="1">
        <f>IF(AA128=0,0,IF($F128&amp;"/Día"=AC$9,ROUND(AF128/AA128,4),""))</f>
        <v>0.88500000000000001</v>
      </c>
      <c r="AF128" s="1">
        <f>IF(AA128&lt;&gt;"",$P128,"")</f>
        <v>8510</v>
      </c>
    </row>
    <row r="129" spans="1:32" hidden="1" x14ac:dyDescent="0.2">
      <c r="A129" s="426" t="s">
        <v>28</v>
      </c>
      <c r="B129" s="422" t="s">
        <v>217</v>
      </c>
      <c r="C129" s="57" t="s">
        <v>31</v>
      </c>
      <c r="D129" s="57" t="s">
        <v>30</v>
      </c>
      <c r="E129" s="57" t="s">
        <v>101</v>
      </c>
      <c r="F129" s="236" t="s">
        <v>56</v>
      </c>
      <c r="G129" s="436">
        <f t="shared" si="50"/>
        <v>0</v>
      </c>
      <c r="H129" s="215"/>
      <c r="I129" s="437">
        <f t="shared" si="51"/>
        <v>0</v>
      </c>
      <c r="J129" s="217"/>
      <c r="K129" s="222"/>
      <c r="L129" s="222"/>
      <c r="M129" s="222"/>
      <c r="N129" s="409"/>
      <c r="O129" s="222">
        <f t="shared" si="52"/>
        <v>0</v>
      </c>
      <c r="P129" s="222">
        <f t="shared" si="53"/>
        <v>0</v>
      </c>
      <c r="Q129" s="222">
        <f t="shared" si="54"/>
        <v>0</v>
      </c>
      <c r="R129" s="225">
        <v>0.15</v>
      </c>
      <c r="S129" s="222">
        <f t="shared" si="55"/>
        <v>0</v>
      </c>
      <c r="T129" s="455">
        <v>3.7499999999999999E-2</v>
      </c>
      <c r="U129" s="1" t="str">
        <f>IF($F129&amp;"/Día"=W$9,SUM($G129:$H129),"")</f>
        <v/>
      </c>
      <c r="V129" s="1" t="str">
        <f>IF(U129&lt;&gt;"",$O129,"")</f>
        <v/>
      </c>
      <c r="W129" s="1" t="str">
        <f>IF($F129&amp;"/Día"=W$9,ROUND(U129/$W$1,1),"")</f>
        <v/>
      </c>
      <c r="X129" s="1" t="str">
        <f>IF(U129=0,0,IF($F129&amp;"/Día"=W$9,ROUND(V129/U129,4),""))</f>
        <v/>
      </c>
      <c r="Y129" s="1" t="str">
        <f>IF(U129=0,0,IF($F129&amp;"/Día"=W$9,ROUND(Z129/U129,4),""))</f>
        <v/>
      </c>
      <c r="Z129" s="1" t="str">
        <f>IF(U129&lt;&gt;"",$P129,"")</f>
        <v/>
      </c>
      <c r="AA129" s="1">
        <f>IF($F129&amp;"/Día"=AC$9,SUM($G129:$H129),"")</f>
        <v>0</v>
      </c>
      <c r="AB129" s="1">
        <f>IF(AA129&lt;&gt;"",$O129,"")</f>
        <v>0</v>
      </c>
      <c r="AC129" s="1">
        <f>IF($F129&amp;"/Día"=AC$9,ROUND(AA129/$W$1,1),"")</f>
        <v>0</v>
      </c>
      <c r="AD129" s="1">
        <f>IF(AA129=0,0,IF($F129&amp;"/Día"=AC$9,ROUND(AB129/AA129,4),""))</f>
        <v>0</v>
      </c>
      <c r="AE129" s="1">
        <f>IF(AA129=0,0,IF($F129&amp;"/Día"=AC$9,ROUND(AF129/AA129,4),""))</f>
        <v>0</v>
      </c>
      <c r="AF129" s="1">
        <f>IF(AA129&lt;&gt;"",$P129,"")</f>
        <v>0</v>
      </c>
    </row>
    <row r="130" spans="1:32" hidden="1" x14ac:dyDescent="0.2">
      <c r="A130" s="426" t="s">
        <v>28</v>
      </c>
      <c r="B130" s="422" t="s">
        <v>220</v>
      </c>
      <c r="C130" s="57" t="s">
        <v>31</v>
      </c>
      <c r="D130" s="57" t="s">
        <v>30</v>
      </c>
      <c r="E130" s="57" t="s">
        <v>101</v>
      </c>
      <c r="F130" s="236" t="s">
        <v>56</v>
      </c>
      <c r="G130" s="436">
        <f t="shared" si="50"/>
        <v>0</v>
      </c>
      <c r="H130" s="215"/>
      <c r="I130" s="437">
        <f t="shared" si="51"/>
        <v>0</v>
      </c>
      <c r="J130" s="217"/>
      <c r="K130" s="222"/>
      <c r="L130" s="222"/>
      <c r="M130" s="222"/>
      <c r="N130" s="409"/>
      <c r="O130" s="222">
        <f t="shared" si="52"/>
        <v>0</v>
      </c>
      <c r="P130" s="222">
        <f t="shared" si="53"/>
        <v>0</v>
      </c>
      <c r="Q130" s="222">
        <f t="shared" si="54"/>
        <v>0</v>
      </c>
      <c r="R130" s="225">
        <v>0.15</v>
      </c>
      <c r="S130" s="222">
        <f t="shared" si="55"/>
        <v>0</v>
      </c>
      <c r="T130" s="455">
        <v>3.7499999999999999E-2</v>
      </c>
      <c r="U130" s="1" t="str">
        <f>IF($F130&amp;"/Día"=W$9,SUM($G130:$H130),"")</f>
        <v/>
      </c>
      <c r="V130" s="1" t="str">
        <f>IF(U130&lt;&gt;"",$O130,"")</f>
        <v/>
      </c>
      <c r="W130" s="1" t="str">
        <f>IF($F130&amp;"/Día"=W$9,ROUND(U130/$W$1,1),"")</f>
        <v/>
      </c>
      <c r="X130" s="1" t="str">
        <f>IF(U130=0,0,IF($F130&amp;"/Día"=W$9,ROUND(V130/U130,4),""))</f>
        <v/>
      </c>
      <c r="Y130" s="1" t="str">
        <f>IF(U130=0,0,IF($F130&amp;"/Día"=W$9,ROUND(Z130/U130,4),""))</f>
        <v/>
      </c>
      <c r="Z130" s="1" t="str">
        <f>IF(U130&lt;&gt;"",$P130,"")</f>
        <v/>
      </c>
      <c r="AA130" s="1">
        <f>IF($F130&amp;"/Día"=AC$9,SUM($G130:$H130),"")</f>
        <v>0</v>
      </c>
      <c r="AB130" s="1">
        <f>IF(AA130&lt;&gt;"",$O130,"")</f>
        <v>0</v>
      </c>
      <c r="AC130" s="1">
        <f>IF($F130&amp;"/Día"=AC$9,ROUND(AA130/$W$1,1),"")</f>
        <v>0</v>
      </c>
      <c r="AD130" s="1">
        <f>IF(AA130=0,0,IF($F130&amp;"/Día"=AC$9,ROUND(AB130/AA130,4),""))</f>
        <v>0</v>
      </c>
      <c r="AE130" s="1">
        <f>IF(AA130=0,0,IF($F130&amp;"/Día"=AC$9,ROUND(AF130/AA130,4),""))</f>
        <v>0</v>
      </c>
      <c r="AF130" s="1">
        <f>IF(AA130&lt;&gt;"",$P130,"")</f>
        <v>0</v>
      </c>
    </row>
    <row r="131" spans="1:32" hidden="1" x14ac:dyDescent="0.2">
      <c r="A131" s="426" t="s">
        <v>28</v>
      </c>
      <c r="B131" s="422" t="s">
        <v>222</v>
      </c>
      <c r="C131" s="57" t="s">
        <v>31</v>
      </c>
      <c r="D131" s="57" t="s">
        <v>30</v>
      </c>
      <c r="E131" s="57" t="s">
        <v>101</v>
      </c>
      <c r="F131" s="236" t="s">
        <v>56</v>
      </c>
      <c r="G131" s="436">
        <f t="shared" si="50"/>
        <v>11307.152700000001</v>
      </c>
      <c r="H131" s="215"/>
      <c r="I131" s="437">
        <f t="shared" si="51"/>
        <v>3.59</v>
      </c>
      <c r="J131" s="217"/>
      <c r="K131" s="222"/>
      <c r="L131" s="222"/>
      <c r="M131" s="222"/>
      <c r="N131" s="410"/>
      <c r="O131" s="222">
        <f t="shared" si="52"/>
        <v>40592.68</v>
      </c>
      <c r="P131" s="222">
        <f t="shared" si="53"/>
        <v>7611.13</v>
      </c>
      <c r="Q131" s="253">
        <f t="shared" si="54"/>
        <v>6088.9</v>
      </c>
      <c r="R131" s="225">
        <v>0.15</v>
      </c>
      <c r="S131" s="222">
        <f t="shared" si="55"/>
        <v>1522.23</v>
      </c>
      <c r="T131" s="455">
        <v>3.7499999999999999E-2</v>
      </c>
      <c r="U131" s="1" t="str">
        <f>IF($F131&amp;"/Día"=W$9,SUM($G131:$H131),"")</f>
        <v/>
      </c>
      <c r="V131" s="1" t="str">
        <f>IF(U131&lt;&gt;"",$O131,"")</f>
        <v/>
      </c>
      <c r="W131" s="1" t="str">
        <f>IF($F131&amp;"/Día"=W$9,ROUND(U131/$W$1,1),"")</f>
        <v/>
      </c>
      <c r="X131" s="1" t="str">
        <f>IF(U131=0,0,IF($F131&amp;"/Día"=W$9,ROUND(V131/U131,4),""))</f>
        <v/>
      </c>
      <c r="Y131" s="1" t="str">
        <f>IF(U131=0,0,IF($F131&amp;"/Día"=W$9,ROUND(Z131/U131,4),""))</f>
        <v/>
      </c>
      <c r="Z131" s="1" t="str">
        <f>IF(U131&lt;&gt;"",$P131,"")</f>
        <v/>
      </c>
      <c r="AA131" s="1">
        <f>IF($F131&amp;"/Día"=AC$9,SUM($G131:$H131),"")</f>
        <v>11307.152700000001</v>
      </c>
      <c r="AB131" s="1">
        <f>IF(AA131&lt;&gt;"",$O131,"")</f>
        <v>40592.68</v>
      </c>
      <c r="AC131" s="1">
        <f>IF($F131&amp;"/Día"=AC$9,ROUND(AA131/$W$1,1),"")</f>
        <v>364.7</v>
      </c>
      <c r="AD131" s="1">
        <f>IF(AA131=0,0,IF($F131&amp;"/Día"=AC$9,ROUND(AB131/AA131,4),""))</f>
        <v>3.59</v>
      </c>
      <c r="AE131" s="1">
        <f>IF(AA131=0,0,IF($F131&amp;"/Día"=AC$9,ROUND(AF131/AA131,4),""))</f>
        <v>0.67310000000000003</v>
      </c>
      <c r="AF131" s="1">
        <f>IF(AA131&lt;&gt;"",$P131,"")</f>
        <v>7611.13</v>
      </c>
    </row>
    <row r="132" spans="1:32" hidden="1" x14ac:dyDescent="0.2">
      <c r="A132" s="426"/>
      <c r="B132" s="456" t="s">
        <v>226</v>
      </c>
      <c r="C132" s="57" t="s">
        <v>31</v>
      </c>
      <c r="D132" s="57" t="s">
        <v>30</v>
      </c>
      <c r="E132" s="57" t="s">
        <v>101</v>
      </c>
      <c r="F132" s="236" t="s">
        <v>56</v>
      </c>
      <c r="G132" s="436">
        <f t="shared" si="50"/>
        <v>161386.9804</v>
      </c>
      <c r="H132" s="215"/>
      <c r="I132" s="437">
        <f t="shared" si="51"/>
        <v>1.77</v>
      </c>
      <c r="J132" s="217"/>
      <c r="K132" s="222"/>
      <c r="L132" s="222"/>
      <c r="M132" s="222"/>
      <c r="N132" s="410"/>
      <c r="O132" s="222">
        <f t="shared" si="52"/>
        <v>285654.96000000002</v>
      </c>
      <c r="P132" s="222">
        <f t="shared" si="53"/>
        <v>53560.31</v>
      </c>
      <c r="Q132" s="413">
        <f t="shared" si="54"/>
        <v>42848.24</v>
      </c>
      <c r="R132" s="225">
        <v>0.15</v>
      </c>
      <c r="S132" s="222">
        <f t="shared" si="55"/>
        <v>10712.06</v>
      </c>
      <c r="T132" s="455">
        <v>3.7499999999999999E-2</v>
      </c>
    </row>
    <row r="133" spans="1:32" hidden="1" x14ac:dyDescent="0.2">
      <c r="A133" s="281"/>
      <c r="B133" s="457" t="s">
        <v>225</v>
      </c>
      <c r="C133" s="291" t="s">
        <v>31</v>
      </c>
      <c r="D133" s="291" t="s">
        <v>30</v>
      </c>
      <c r="E133" s="291" t="s">
        <v>101</v>
      </c>
      <c r="F133" s="244" t="s">
        <v>56</v>
      </c>
      <c r="G133" s="446">
        <f t="shared" si="50"/>
        <v>32146.61</v>
      </c>
      <c r="H133" s="311"/>
      <c r="I133" s="447">
        <f t="shared" si="51"/>
        <v>2.65</v>
      </c>
      <c r="J133" s="312"/>
      <c r="K133" s="218"/>
      <c r="L133" s="218"/>
      <c r="M133" s="218"/>
      <c r="N133" s="408"/>
      <c r="O133" s="218">
        <f t="shared" si="52"/>
        <v>85188.52</v>
      </c>
      <c r="P133" s="218">
        <f t="shared" si="53"/>
        <v>15972.85</v>
      </c>
      <c r="Q133" s="458">
        <f t="shared" si="54"/>
        <v>12778.28</v>
      </c>
      <c r="R133" s="459">
        <v>0.15</v>
      </c>
      <c r="S133" s="218">
        <f t="shared" si="55"/>
        <v>3194.57</v>
      </c>
      <c r="T133" s="460">
        <v>3.7499999999999999E-2</v>
      </c>
    </row>
    <row r="134" spans="1:32" hidden="1" x14ac:dyDescent="0.2">
      <c r="G134" s="414">
        <f>SUM(G127:G133)</f>
        <v>390810.15509999997</v>
      </c>
      <c r="H134" s="414"/>
      <c r="I134" s="415">
        <f>O134/G134</f>
        <v>2.7545968955810278</v>
      </c>
      <c r="J134" s="415"/>
      <c r="K134" s="199"/>
      <c r="N134" s="264">
        <f>SUM(N127:N133)</f>
        <v>1309.93</v>
      </c>
      <c r="O134" s="179">
        <f>SUM(O127:O133)</f>
        <v>1076524.44</v>
      </c>
      <c r="P134" s="179">
        <f>SUM(P127:P133)</f>
        <v>201848.35</v>
      </c>
      <c r="Q134" s="179">
        <f>SUM(Q127:Q133)</f>
        <v>161478.66999999998</v>
      </c>
      <c r="S134" s="179">
        <f>SUM(S127:S133)</f>
        <v>40369.67</v>
      </c>
    </row>
    <row r="135" spans="1:32" hidden="1" x14ac:dyDescent="0.2">
      <c r="G135" s="199"/>
      <c r="H135" s="199"/>
      <c r="I135" s="199"/>
      <c r="J135" s="199"/>
      <c r="K135" s="199"/>
      <c r="N135" s="65"/>
      <c r="O135" s="65">
        <f>+O134+O145</f>
        <v>2386466.8600000003</v>
      </c>
    </row>
    <row r="136" spans="1:32" hidden="1" x14ac:dyDescent="0.2">
      <c r="G136" s="199"/>
      <c r="H136" s="199"/>
      <c r="I136" s="199"/>
      <c r="J136" s="199"/>
      <c r="K136" s="199"/>
      <c r="N136" s="65"/>
      <c r="O136" s="257">
        <f>+O135-O124</f>
        <v>0</v>
      </c>
    </row>
    <row r="137" spans="1:32" ht="15.75" hidden="1" x14ac:dyDescent="0.25">
      <c r="A137" s="412" t="s">
        <v>230</v>
      </c>
      <c r="G137" s="199"/>
      <c r="H137" s="199"/>
      <c r="I137" s="199"/>
      <c r="J137" s="199"/>
      <c r="K137" s="199"/>
      <c r="N137" s="65"/>
    </row>
    <row r="138" spans="1:32" hidden="1" x14ac:dyDescent="0.2">
      <c r="A138" s="279" t="s">
        <v>28</v>
      </c>
      <c r="B138" s="22" t="s">
        <v>218</v>
      </c>
      <c r="C138" s="366" t="s">
        <v>31</v>
      </c>
      <c r="D138" s="366" t="s">
        <v>30</v>
      </c>
      <c r="E138" s="366" t="s">
        <v>101</v>
      </c>
      <c r="F138" s="419" t="s">
        <v>56</v>
      </c>
      <c r="G138" s="452"/>
      <c r="H138" s="452">
        <f>H117</f>
        <v>228822.5386</v>
      </c>
      <c r="I138" s="453"/>
      <c r="J138" s="463">
        <f>J117</f>
        <v>3.4340999999999999</v>
      </c>
      <c r="K138" s="220"/>
      <c r="L138" s="220"/>
      <c r="M138" s="220"/>
      <c r="N138" s="473"/>
      <c r="O138" s="220">
        <f t="shared" ref="O138:O144" si="56">ROUND(G138*I138,2)+ROUND(H138*J138,2)-K138-L138-M138-N138</f>
        <v>785799.48</v>
      </c>
      <c r="P138" s="220">
        <f t="shared" ref="P138:P144" si="57">ROUND(18.75%*O138,2)</f>
        <v>147337.4</v>
      </c>
      <c r="Q138" s="220">
        <f t="shared" ref="Q138:Q144" si="58">ROUND($O138*R138,2)</f>
        <v>117869.92</v>
      </c>
      <c r="R138" s="421">
        <v>0.15</v>
      </c>
      <c r="S138" s="220">
        <f t="shared" ref="S138:S144" si="59">ROUND($O138*T138,2)</f>
        <v>29467.48</v>
      </c>
      <c r="T138" s="454">
        <v>3.7499999999999999E-2</v>
      </c>
      <c r="U138" s="1" t="str">
        <f>IF($F138&amp;"/Día"=W$9,SUM($G138:$H138),"")</f>
        <v/>
      </c>
      <c r="V138" s="1" t="str">
        <f>IF(U138&lt;&gt;"",$O138,"")</f>
        <v/>
      </c>
      <c r="W138" s="1" t="str">
        <f>IF($F138&amp;"/Día"=W$9,ROUND(U138/$W$1,1),"")</f>
        <v/>
      </c>
      <c r="X138" s="1" t="str">
        <f>IF(U138=0,0,IF($F138&amp;"/Día"=W$9,ROUND(V138/U138,4),""))</f>
        <v/>
      </c>
      <c r="Y138" s="1" t="str">
        <f>IF(U138=0,0,IF($F138&amp;"/Día"=W$9,ROUND(Z138/U138,4),""))</f>
        <v/>
      </c>
      <c r="Z138" s="1" t="str">
        <f>IF(U138&lt;&gt;"",$P138,"")</f>
        <v/>
      </c>
      <c r="AA138" s="1">
        <f>IF($F138&amp;"/Día"=AC$9,SUM($G138:$H138),"")</f>
        <v>228822.5386</v>
      </c>
      <c r="AB138" s="1">
        <f>IF(AA138&lt;&gt;"",$O138,"")</f>
        <v>785799.48</v>
      </c>
      <c r="AC138" s="1">
        <f>IF($F138&amp;"/Día"=AC$9,ROUND(AA138/$W$1,1),"")</f>
        <v>7381.4</v>
      </c>
      <c r="AD138" s="1">
        <f>IF(AA138=0,0,IF($F138&amp;"/Día"=AC$9,ROUND(AB138/AA138,4),""))</f>
        <v>3.4340999999999999</v>
      </c>
      <c r="AE138" s="1">
        <f>IF(AA138=0,0,IF($F138&amp;"/Día"=AC$9,ROUND(AF138/AA138,4),""))</f>
        <v>0.64390000000000003</v>
      </c>
      <c r="AF138" s="1">
        <f>IF(AA138&lt;&gt;"",$P138,"")</f>
        <v>147337.4</v>
      </c>
    </row>
    <row r="139" spans="1:32" hidden="1" x14ac:dyDescent="0.2">
      <c r="A139" s="426" t="s">
        <v>28</v>
      </c>
      <c r="B139" s="422" t="s">
        <v>219</v>
      </c>
      <c r="C139" s="57" t="s">
        <v>31</v>
      </c>
      <c r="D139" s="57" t="s">
        <v>30</v>
      </c>
      <c r="E139" s="57" t="s">
        <v>101</v>
      </c>
      <c r="F139" s="236" t="s">
        <v>56</v>
      </c>
      <c r="G139" s="215"/>
      <c r="H139" s="215">
        <f t="shared" ref="H139:H144" si="60">H118</f>
        <v>16803.845799999999</v>
      </c>
      <c r="I139" s="217"/>
      <c r="J139" s="464">
        <f t="shared" ref="J139:J144" si="61">J118</f>
        <v>4.72</v>
      </c>
      <c r="K139" s="222"/>
      <c r="L139" s="222"/>
      <c r="M139" s="222"/>
      <c r="N139" s="409"/>
      <c r="O139" s="222">
        <f t="shared" si="56"/>
        <v>79314.149999999994</v>
      </c>
      <c r="P139" s="222">
        <f t="shared" si="57"/>
        <v>14871.4</v>
      </c>
      <c r="Q139" s="222">
        <f t="shared" si="58"/>
        <v>11897.12</v>
      </c>
      <c r="R139" s="225">
        <v>0.15</v>
      </c>
      <c r="S139" s="222">
        <f t="shared" si="59"/>
        <v>2974.28</v>
      </c>
      <c r="T139" s="455">
        <v>3.7499999999999999E-2</v>
      </c>
      <c r="U139" s="1" t="str">
        <f>IF($F139&amp;"/Día"=W$9,SUM($G139:$H139),"")</f>
        <v/>
      </c>
      <c r="V139" s="1" t="str">
        <f>IF(U139&lt;&gt;"",$O139,"")</f>
        <v/>
      </c>
      <c r="W139" s="1" t="str">
        <f>IF($F139&amp;"/Día"=W$9,ROUND(U139/$W$1,1),"")</f>
        <v/>
      </c>
      <c r="X139" s="1" t="str">
        <f>IF(U139=0,0,IF($F139&amp;"/Día"=W$9,ROUND(V139/U139,4),""))</f>
        <v/>
      </c>
      <c r="Y139" s="1" t="str">
        <f>IF(U139=0,0,IF($F139&amp;"/Día"=W$9,ROUND(Z139/U139,4),""))</f>
        <v/>
      </c>
      <c r="Z139" s="1" t="str">
        <f>IF(U139&lt;&gt;"",$P139,"")</f>
        <v/>
      </c>
      <c r="AA139" s="1">
        <f>IF($F139&amp;"/Día"=AC$9,SUM($G139:$H139),"")</f>
        <v>16803.845799999999</v>
      </c>
      <c r="AB139" s="1">
        <f>IF(AA139&lt;&gt;"",$O139,"")</f>
        <v>79314.149999999994</v>
      </c>
      <c r="AC139" s="1">
        <f>IF($F139&amp;"/Día"=AC$9,ROUND(AA139/$W$1,1),"")</f>
        <v>542.1</v>
      </c>
      <c r="AD139" s="1">
        <f>IF(AA139=0,0,IF($F139&amp;"/Día"=AC$9,ROUND(AB139/AA139,4),""))</f>
        <v>4.72</v>
      </c>
      <c r="AE139" s="1">
        <f>IF(AA139=0,0,IF($F139&amp;"/Día"=AC$9,ROUND(AF139/AA139,4),""))</f>
        <v>0.88500000000000001</v>
      </c>
      <c r="AF139" s="1">
        <f>IF(AA139&lt;&gt;"",$P139,"")</f>
        <v>14871.4</v>
      </c>
    </row>
    <row r="140" spans="1:32" hidden="1" x14ac:dyDescent="0.2">
      <c r="A140" s="426" t="s">
        <v>28</v>
      </c>
      <c r="B140" s="422" t="s">
        <v>217</v>
      </c>
      <c r="C140" s="57" t="s">
        <v>31</v>
      </c>
      <c r="D140" s="57" t="s">
        <v>30</v>
      </c>
      <c r="E140" s="57" t="s">
        <v>101</v>
      </c>
      <c r="F140" s="236" t="s">
        <v>56</v>
      </c>
      <c r="G140" s="215"/>
      <c r="H140" s="215">
        <f t="shared" si="60"/>
        <v>0</v>
      </c>
      <c r="I140" s="217"/>
      <c r="J140" s="464">
        <f t="shared" si="61"/>
        <v>0</v>
      </c>
      <c r="K140" s="222"/>
      <c r="L140" s="222"/>
      <c r="M140" s="222"/>
      <c r="N140" s="409"/>
      <c r="O140" s="222">
        <f t="shared" si="56"/>
        <v>0</v>
      </c>
      <c r="P140" s="222">
        <f t="shared" si="57"/>
        <v>0</v>
      </c>
      <c r="Q140" s="222">
        <f t="shared" si="58"/>
        <v>0</v>
      </c>
      <c r="R140" s="225">
        <v>0.15</v>
      </c>
      <c r="S140" s="222">
        <f t="shared" si="59"/>
        <v>0</v>
      </c>
      <c r="T140" s="455">
        <v>3.7499999999999999E-2</v>
      </c>
      <c r="U140" s="1" t="str">
        <f>IF($F140&amp;"/Día"=W$9,SUM($G140:$H140),"")</f>
        <v/>
      </c>
      <c r="V140" s="1" t="str">
        <f>IF(U140&lt;&gt;"",$O140,"")</f>
        <v/>
      </c>
      <c r="W140" s="1" t="str">
        <f>IF($F140&amp;"/Día"=W$9,ROUND(U140/$W$1,1),"")</f>
        <v/>
      </c>
      <c r="X140" s="1" t="str">
        <f>IF(U140=0,0,IF($F140&amp;"/Día"=W$9,ROUND(V140/U140,4),""))</f>
        <v/>
      </c>
      <c r="Y140" s="1" t="str">
        <f>IF(U140=0,0,IF($F140&amp;"/Día"=W$9,ROUND(Z140/U140,4),""))</f>
        <v/>
      </c>
      <c r="Z140" s="1" t="str">
        <f>IF(U140&lt;&gt;"",$P140,"")</f>
        <v/>
      </c>
      <c r="AA140" s="1">
        <f>IF($F140&amp;"/Día"=AC$9,SUM($G140:$H140),"")</f>
        <v>0</v>
      </c>
      <c r="AB140" s="1">
        <f>IF(AA140&lt;&gt;"",$O140,"")</f>
        <v>0</v>
      </c>
      <c r="AC140" s="1">
        <f>IF($F140&amp;"/Día"=AC$9,ROUND(AA140/$W$1,1),"")</f>
        <v>0</v>
      </c>
      <c r="AD140" s="1">
        <f>IF(AA140=0,0,IF($F140&amp;"/Día"=AC$9,ROUND(AB140/AA140,4),""))</f>
        <v>0</v>
      </c>
      <c r="AE140" s="1">
        <f>IF(AA140=0,0,IF($F140&amp;"/Día"=AC$9,ROUND(AF140/AA140,4),""))</f>
        <v>0</v>
      </c>
      <c r="AF140" s="1">
        <f>IF(AA140&lt;&gt;"",$P140,"")</f>
        <v>0</v>
      </c>
    </row>
    <row r="141" spans="1:32" hidden="1" x14ac:dyDescent="0.2">
      <c r="A141" s="426" t="s">
        <v>28</v>
      </c>
      <c r="B141" s="422" t="s">
        <v>220</v>
      </c>
      <c r="C141" s="57" t="s">
        <v>31</v>
      </c>
      <c r="D141" s="57" t="s">
        <v>30</v>
      </c>
      <c r="E141" s="57" t="s">
        <v>101</v>
      </c>
      <c r="F141" s="236" t="s">
        <v>56</v>
      </c>
      <c r="G141" s="215"/>
      <c r="H141" s="215">
        <f t="shared" si="60"/>
        <v>0</v>
      </c>
      <c r="I141" s="217"/>
      <c r="J141" s="464">
        <f t="shared" si="61"/>
        <v>0</v>
      </c>
      <c r="K141" s="222"/>
      <c r="L141" s="222"/>
      <c r="M141" s="222"/>
      <c r="N141" s="409"/>
      <c r="O141" s="222">
        <f t="shared" si="56"/>
        <v>0</v>
      </c>
      <c r="P141" s="222">
        <f t="shared" si="57"/>
        <v>0</v>
      </c>
      <c r="Q141" s="222">
        <f t="shared" si="58"/>
        <v>0</v>
      </c>
      <c r="R141" s="225">
        <v>0.15</v>
      </c>
      <c r="S141" s="222">
        <f t="shared" si="59"/>
        <v>0</v>
      </c>
      <c r="T141" s="455">
        <v>3.7499999999999999E-2</v>
      </c>
      <c r="U141" s="1" t="str">
        <f>IF($F141&amp;"/Día"=W$9,SUM($G141:$H141),"")</f>
        <v/>
      </c>
      <c r="V141" s="1" t="str">
        <f>IF(U141&lt;&gt;"",$O141,"")</f>
        <v/>
      </c>
      <c r="W141" s="1" t="str">
        <f>IF($F141&amp;"/Día"=W$9,ROUND(U141/$W$1,1),"")</f>
        <v/>
      </c>
      <c r="X141" s="1" t="str">
        <f>IF(U141=0,0,IF($F141&amp;"/Día"=W$9,ROUND(V141/U141,4),""))</f>
        <v/>
      </c>
      <c r="Y141" s="1" t="str">
        <f>IF(U141=0,0,IF($F141&amp;"/Día"=W$9,ROUND(Z141/U141,4),""))</f>
        <v/>
      </c>
      <c r="Z141" s="1" t="str">
        <f>IF(U141&lt;&gt;"",$P141,"")</f>
        <v/>
      </c>
      <c r="AA141" s="1">
        <f>IF($F141&amp;"/Día"=AC$9,SUM($G141:$H141),"")</f>
        <v>0</v>
      </c>
      <c r="AB141" s="1">
        <f>IF(AA141&lt;&gt;"",$O141,"")</f>
        <v>0</v>
      </c>
      <c r="AC141" s="1">
        <f>IF($F141&amp;"/Día"=AC$9,ROUND(AA141/$W$1,1),"")</f>
        <v>0</v>
      </c>
      <c r="AD141" s="1">
        <f>IF(AA141=0,0,IF($F141&amp;"/Día"=AC$9,ROUND(AB141/AA141,4),""))</f>
        <v>0</v>
      </c>
      <c r="AE141" s="1">
        <f>IF(AA141=0,0,IF($F141&amp;"/Día"=AC$9,ROUND(AF141/AA141,4),""))</f>
        <v>0</v>
      </c>
      <c r="AF141" s="1">
        <f>IF(AA141&lt;&gt;"",$P141,"")</f>
        <v>0</v>
      </c>
    </row>
    <row r="142" spans="1:32" hidden="1" x14ac:dyDescent="0.2">
      <c r="A142" s="426" t="s">
        <v>28</v>
      </c>
      <c r="B142" s="422" t="s">
        <v>222</v>
      </c>
      <c r="C142" s="57" t="s">
        <v>31</v>
      </c>
      <c r="D142" s="57" t="s">
        <v>30</v>
      </c>
      <c r="E142" s="57" t="s">
        <v>101</v>
      </c>
      <c r="F142" s="236" t="s">
        <v>56</v>
      </c>
      <c r="G142" s="215"/>
      <c r="H142" s="215">
        <f t="shared" si="60"/>
        <v>17361.2274</v>
      </c>
      <c r="I142" s="217"/>
      <c r="J142" s="464">
        <f t="shared" si="61"/>
        <v>3.59</v>
      </c>
      <c r="K142" s="222"/>
      <c r="L142" s="222"/>
      <c r="M142" s="222"/>
      <c r="N142" s="410"/>
      <c r="O142" s="222">
        <f t="shared" si="56"/>
        <v>62326.81</v>
      </c>
      <c r="P142" s="222">
        <f t="shared" si="57"/>
        <v>11686.28</v>
      </c>
      <c r="Q142" s="253">
        <f t="shared" si="58"/>
        <v>9349.02</v>
      </c>
      <c r="R142" s="225">
        <v>0.15</v>
      </c>
      <c r="S142" s="222">
        <f t="shared" si="59"/>
        <v>2337.2600000000002</v>
      </c>
      <c r="T142" s="455">
        <v>3.7499999999999999E-2</v>
      </c>
      <c r="U142" s="1" t="str">
        <f>IF($F142&amp;"/Día"=W$9,SUM($G142:$H142),"")</f>
        <v/>
      </c>
      <c r="V142" s="1" t="str">
        <f>IF(U142&lt;&gt;"",$O142,"")</f>
        <v/>
      </c>
      <c r="W142" s="1" t="str">
        <f>IF($F142&amp;"/Día"=W$9,ROUND(U142/$W$1,1),"")</f>
        <v/>
      </c>
      <c r="X142" s="1" t="str">
        <f>IF(U142=0,0,IF($F142&amp;"/Día"=W$9,ROUND(V142/U142,4),""))</f>
        <v/>
      </c>
      <c r="Y142" s="1" t="str">
        <f>IF(U142=0,0,IF($F142&amp;"/Día"=W$9,ROUND(Z142/U142,4),""))</f>
        <v/>
      </c>
      <c r="Z142" s="1" t="str">
        <f>IF(U142&lt;&gt;"",$P142,"")</f>
        <v/>
      </c>
      <c r="AA142" s="1">
        <f>IF($F142&amp;"/Día"=AC$9,SUM($G142:$H142),"")</f>
        <v>17361.2274</v>
      </c>
      <c r="AB142" s="1">
        <f>IF(AA142&lt;&gt;"",$O142,"")</f>
        <v>62326.81</v>
      </c>
      <c r="AC142" s="1">
        <f>IF($F142&amp;"/Día"=AC$9,ROUND(AA142/$W$1,1),"")</f>
        <v>560</v>
      </c>
      <c r="AD142" s="1">
        <f>IF(AA142=0,0,IF($F142&amp;"/Día"=AC$9,ROUND(AB142/AA142,4),""))</f>
        <v>3.59</v>
      </c>
      <c r="AE142" s="1">
        <f>IF(AA142=0,0,IF($F142&amp;"/Día"=AC$9,ROUND(AF142/AA142,4),""))</f>
        <v>0.67310000000000003</v>
      </c>
      <c r="AF142" s="1">
        <f>IF(AA142&lt;&gt;"",$P142,"")</f>
        <v>11686.28</v>
      </c>
    </row>
    <row r="143" spans="1:32" hidden="1" x14ac:dyDescent="0.2">
      <c r="A143" s="426"/>
      <c r="B143" s="456" t="s">
        <v>226</v>
      </c>
      <c r="C143" s="57" t="s">
        <v>31</v>
      </c>
      <c r="D143" s="57" t="s">
        <v>30</v>
      </c>
      <c r="E143" s="57" t="s">
        <v>101</v>
      </c>
      <c r="F143" s="236" t="s">
        <v>56</v>
      </c>
      <c r="G143" s="215"/>
      <c r="H143" s="215">
        <f t="shared" si="60"/>
        <v>170277.8934</v>
      </c>
      <c r="I143" s="217"/>
      <c r="J143" s="464">
        <f t="shared" si="61"/>
        <v>1.77</v>
      </c>
      <c r="K143" s="222"/>
      <c r="L143" s="222"/>
      <c r="M143" s="222"/>
      <c r="N143" s="410"/>
      <c r="O143" s="222">
        <f t="shared" si="56"/>
        <v>301391.87</v>
      </c>
      <c r="P143" s="222">
        <f t="shared" si="57"/>
        <v>56510.98</v>
      </c>
      <c r="Q143" s="413">
        <f t="shared" si="58"/>
        <v>45208.78</v>
      </c>
      <c r="R143" s="225">
        <v>0.15</v>
      </c>
      <c r="S143" s="222">
        <f t="shared" si="59"/>
        <v>11302.2</v>
      </c>
      <c r="T143" s="455">
        <v>3.7499999999999999E-2</v>
      </c>
    </row>
    <row r="144" spans="1:32" hidden="1" x14ac:dyDescent="0.2">
      <c r="A144" s="281"/>
      <c r="B144" s="457" t="s">
        <v>225</v>
      </c>
      <c r="C144" s="291" t="s">
        <v>31</v>
      </c>
      <c r="D144" s="291" t="s">
        <v>30</v>
      </c>
      <c r="E144" s="291" t="s">
        <v>101</v>
      </c>
      <c r="F144" s="244" t="s">
        <v>56</v>
      </c>
      <c r="G144" s="311"/>
      <c r="H144" s="311">
        <f t="shared" si="60"/>
        <v>29602.23</v>
      </c>
      <c r="I144" s="312"/>
      <c r="J144" s="465">
        <f t="shared" si="61"/>
        <v>2.74</v>
      </c>
      <c r="K144" s="218"/>
      <c r="L144" s="218"/>
      <c r="M144" s="218"/>
      <c r="N144" s="408"/>
      <c r="O144" s="218">
        <f t="shared" si="56"/>
        <v>81110.11</v>
      </c>
      <c r="P144" s="218">
        <f t="shared" si="57"/>
        <v>15208.15</v>
      </c>
      <c r="Q144" s="458">
        <f t="shared" si="58"/>
        <v>12166.52</v>
      </c>
      <c r="R144" s="459">
        <v>0.15</v>
      </c>
      <c r="S144" s="218">
        <f t="shared" si="59"/>
        <v>3041.63</v>
      </c>
      <c r="T144" s="460">
        <v>3.7499999999999999E-2</v>
      </c>
    </row>
    <row r="145" spans="1:19" hidden="1" x14ac:dyDescent="0.2">
      <c r="G145" s="414">
        <f>SUM(G138:G144)</f>
        <v>0</v>
      </c>
      <c r="H145" s="414">
        <f>SUM(H138:H144)</f>
        <v>462867.7352</v>
      </c>
      <c r="I145" s="415"/>
      <c r="J145" s="415">
        <f>O145/H145</f>
        <v>2.8300577473476061</v>
      </c>
      <c r="K145" s="199"/>
      <c r="N145" s="264">
        <f>SUM(N138:N144)</f>
        <v>0</v>
      </c>
      <c r="O145" s="179">
        <f>SUM(O138:O144)</f>
        <v>1309942.4200000002</v>
      </c>
      <c r="P145" s="179">
        <f>SUM(P138:P144)</f>
        <v>245614.21</v>
      </c>
      <c r="Q145" s="179">
        <f>SUM(Q138:Q144)</f>
        <v>196491.36</v>
      </c>
      <c r="S145" s="179">
        <f>SUM(S138:S144)</f>
        <v>49122.85</v>
      </c>
    </row>
    <row r="146" spans="1:19" hidden="1" x14ac:dyDescent="0.2">
      <c r="G146" s="199"/>
      <c r="H146" s="199"/>
      <c r="I146" s="199"/>
      <c r="J146" s="199"/>
      <c r="K146" s="199"/>
      <c r="N146" s="65"/>
    </row>
    <row r="147" spans="1:19" hidden="1" x14ac:dyDescent="0.2"/>
    <row r="148" spans="1:19" hidden="1" x14ac:dyDescent="0.2"/>
    <row r="149" spans="1:19" hidden="1" x14ac:dyDescent="0.2">
      <c r="A149" s="416" t="s">
        <v>231</v>
      </c>
    </row>
    <row r="150" spans="1:19" hidden="1" x14ac:dyDescent="0.2">
      <c r="A150" s="416" t="s">
        <v>228</v>
      </c>
      <c r="G150" s="199"/>
      <c r="H150" s="199"/>
      <c r="I150" s="199"/>
      <c r="J150" s="199"/>
      <c r="K150" s="199"/>
      <c r="N150" s="65"/>
    </row>
    <row r="151" spans="1:19" hidden="1" x14ac:dyDescent="0.2">
      <c r="A151" s="279" t="s">
        <v>28</v>
      </c>
      <c r="B151" s="22" t="s">
        <v>169</v>
      </c>
      <c r="C151" s="366" t="s">
        <v>31</v>
      </c>
      <c r="D151" s="366" t="s">
        <v>30</v>
      </c>
      <c r="E151" s="366" t="s">
        <v>158</v>
      </c>
      <c r="F151" s="419" t="s">
        <v>56</v>
      </c>
      <c r="G151" s="220">
        <v>5146043.6323999995</v>
      </c>
      <c r="H151" s="220">
        <v>5558408.0401999997</v>
      </c>
      <c r="I151" s="221">
        <v>3.81</v>
      </c>
      <c r="J151" s="221">
        <v>3.218</v>
      </c>
      <c r="K151" s="220"/>
      <c r="L151" s="220"/>
      <c r="M151" s="220"/>
      <c r="N151" s="473"/>
      <c r="O151" s="220">
        <f>ROUND(G151*I151+H151*J151,2)</f>
        <v>37493383.310000002</v>
      </c>
      <c r="P151" s="420">
        <f>ROUND(38%*(G151*I151+H151*J151),2)</f>
        <v>14247485.66</v>
      </c>
      <c r="Q151" s="220">
        <f>ROUND(R151*P151,2)</f>
        <v>7123742.8300000001</v>
      </c>
      <c r="R151" s="421">
        <v>0.5</v>
      </c>
      <c r="S151" s="179"/>
    </row>
    <row r="152" spans="1:19" hidden="1" x14ac:dyDescent="0.2">
      <c r="A152" s="426" t="s">
        <v>28</v>
      </c>
      <c r="B152" s="422" t="s">
        <v>240</v>
      </c>
      <c r="C152" s="57" t="s">
        <v>31</v>
      </c>
      <c r="D152" s="57" t="s">
        <v>30</v>
      </c>
      <c r="E152" s="57" t="s">
        <v>158</v>
      </c>
      <c r="F152" s="236" t="s">
        <v>56</v>
      </c>
      <c r="G152" s="222">
        <v>0</v>
      </c>
      <c r="H152" s="222">
        <v>0</v>
      </c>
      <c r="I152" s="216">
        <v>0</v>
      </c>
      <c r="J152" s="222">
        <v>0</v>
      </c>
      <c r="K152" s="222"/>
      <c r="L152" s="222"/>
      <c r="M152" s="222"/>
      <c r="N152" s="409"/>
      <c r="O152" s="321">
        <f>ROUND(G152*I152+H152*J152,2)</f>
        <v>0</v>
      </c>
      <c r="P152" s="253">
        <f>ROUND(37.24%*O152,2)</f>
        <v>0</v>
      </c>
      <c r="Q152" s="222">
        <f>ROUND(R152*P152,2)</f>
        <v>0</v>
      </c>
      <c r="R152" s="225">
        <v>0.5</v>
      </c>
    </row>
    <row r="153" spans="1:19" hidden="1" x14ac:dyDescent="0.2">
      <c r="A153" s="426" t="s">
        <v>28</v>
      </c>
      <c r="B153" s="422" t="s">
        <v>305</v>
      </c>
      <c r="C153" s="57" t="s">
        <v>31</v>
      </c>
      <c r="D153" s="57" t="s">
        <v>30</v>
      </c>
      <c r="E153" s="57" t="s">
        <v>158</v>
      </c>
      <c r="F153" s="236" t="s">
        <v>56</v>
      </c>
      <c r="G153" s="222"/>
      <c r="H153" s="222"/>
      <c r="I153" s="216"/>
      <c r="J153" s="222"/>
      <c r="K153" s="342"/>
      <c r="L153" s="342"/>
      <c r="M153" s="342"/>
      <c r="N153" s="474"/>
      <c r="O153" s="342">
        <f>ROUND(G153*I153+H153*J153,2)</f>
        <v>0</v>
      </c>
      <c r="P153" s="253">
        <f>ROUND(38%*O153,2)</f>
        <v>0</v>
      </c>
      <c r="Q153" s="222">
        <f>ROUND(R153*P153,2)</f>
        <v>0</v>
      </c>
      <c r="R153" s="225">
        <v>0.5</v>
      </c>
      <c r="S153" s="257"/>
    </row>
    <row r="154" spans="1:19" hidden="1" x14ac:dyDescent="0.2">
      <c r="A154" s="281" t="s">
        <v>28</v>
      </c>
      <c r="B154" s="423"/>
      <c r="C154" s="291" t="s">
        <v>31</v>
      </c>
      <c r="D154" s="291" t="s">
        <v>30</v>
      </c>
      <c r="E154" s="291" t="s">
        <v>158</v>
      </c>
      <c r="F154" s="244" t="s">
        <v>56</v>
      </c>
      <c r="G154" s="218"/>
      <c r="H154" s="218"/>
      <c r="I154" s="469"/>
      <c r="J154" s="219"/>
      <c r="K154" s="218"/>
      <c r="L154" s="218"/>
      <c r="M154" s="218"/>
      <c r="N154" s="411"/>
      <c r="O154" s="218">
        <f>ROUND(G154*I154+H154*J154,2)</f>
        <v>0</v>
      </c>
      <c r="P154" s="424">
        <f>ROUND(38%*G154*I154,2)+ROUND(38%*H154*J154,2)</f>
        <v>0</v>
      </c>
      <c r="Q154" s="218">
        <f>ROUND(R154*P154,2)</f>
        <v>0</v>
      </c>
      <c r="R154" s="425">
        <v>0.5</v>
      </c>
      <c r="S154" s="179"/>
    </row>
    <row r="155" spans="1:19" hidden="1" x14ac:dyDescent="0.2">
      <c r="G155" s="414">
        <f>SUM(G151:G154)</f>
        <v>5146043.6323999995</v>
      </c>
      <c r="H155" s="479">
        <f>SUM(H151:H154)</f>
        <v>5558408.0401999997</v>
      </c>
      <c r="I155" s="418"/>
      <c r="J155" s="480"/>
      <c r="K155" s="199"/>
      <c r="N155" s="65"/>
      <c r="O155" s="179">
        <f>SUM(O151:O154)</f>
        <v>37493383.310000002</v>
      </c>
      <c r="P155" s="179">
        <f>SUM(P151:P154)</f>
        <v>14247485.66</v>
      </c>
      <c r="Q155" s="179">
        <f>SUM(Q151:Q154)</f>
        <v>7123742.8300000001</v>
      </c>
      <c r="S155" s="65"/>
    </row>
    <row r="156" spans="1:19" hidden="1" x14ac:dyDescent="0.2">
      <c r="G156" s="199"/>
      <c r="H156" s="199"/>
      <c r="I156" s="199"/>
      <c r="J156" s="199"/>
      <c r="K156" s="199"/>
      <c r="N156" s="65"/>
      <c r="P156" s="1">
        <f>P155/O155</f>
        <v>0.38000000005867701</v>
      </c>
      <c r="S156" s="257"/>
    </row>
    <row r="157" spans="1:19" hidden="1" x14ac:dyDescent="0.2"/>
    <row r="158" spans="1:19" hidden="1" x14ac:dyDescent="0.2">
      <c r="A158" s="416" t="s">
        <v>232</v>
      </c>
      <c r="G158" s="199"/>
      <c r="H158" s="199"/>
      <c r="I158" s="199"/>
      <c r="J158" s="199"/>
      <c r="K158" s="199"/>
      <c r="N158" s="65"/>
      <c r="O158" s="257"/>
      <c r="P158" s="257"/>
    </row>
    <row r="159" spans="1:19" hidden="1" x14ac:dyDescent="0.2">
      <c r="G159" s="199"/>
      <c r="H159" s="199"/>
      <c r="I159" s="199"/>
      <c r="J159" s="199"/>
      <c r="K159" s="199"/>
      <c r="N159" s="65"/>
    </row>
    <row r="160" spans="1:19" hidden="1" x14ac:dyDescent="0.2">
      <c r="A160" s="279" t="s">
        <v>28</v>
      </c>
      <c r="B160" s="22" t="s">
        <v>169</v>
      </c>
      <c r="C160" s="366" t="s">
        <v>31</v>
      </c>
      <c r="D160" s="366" t="s">
        <v>30</v>
      </c>
      <c r="E160" s="366" t="s">
        <v>158</v>
      </c>
      <c r="F160" s="419" t="s">
        <v>56</v>
      </c>
      <c r="G160" s="220">
        <f>G151</f>
        <v>5146043.6323999995</v>
      </c>
      <c r="H160" s="220"/>
      <c r="I160" s="221">
        <v>3.9159999999999999</v>
      </c>
      <c r="J160" s="221"/>
      <c r="K160" s="220"/>
      <c r="L160" s="220"/>
      <c r="M160" s="220"/>
      <c r="N160" s="473"/>
      <c r="O160" s="220">
        <f>ROUND(G160*I160+H160*J160,2)</f>
        <v>20151906.859999999</v>
      </c>
      <c r="P160" s="420">
        <f>ROUND(38%*(G160*I160+H160*J160),2)</f>
        <v>7657724.6100000003</v>
      </c>
      <c r="Q160" s="220">
        <f>ROUND(R160*P160,2)</f>
        <v>3828862.31</v>
      </c>
      <c r="R160" s="421">
        <v>0.5</v>
      </c>
    </row>
    <row r="161" spans="1:32" hidden="1" x14ac:dyDescent="0.2">
      <c r="A161" s="426" t="s">
        <v>28</v>
      </c>
      <c r="B161" s="422" t="s">
        <v>240</v>
      </c>
      <c r="C161" s="57" t="s">
        <v>31</v>
      </c>
      <c r="D161" s="57" t="s">
        <v>30</v>
      </c>
      <c r="E161" s="57" t="s">
        <v>158</v>
      </c>
      <c r="F161" s="236" t="s">
        <v>56</v>
      </c>
      <c r="G161" s="222">
        <f>G152</f>
        <v>0</v>
      </c>
      <c r="H161" s="222"/>
      <c r="I161" s="216">
        <f>I152</f>
        <v>0</v>
      </c>
      <c r="J161" s="216"/>
      <c r="K161" s="222"/>
      <c r="L161" s="222"/>
      <c r="M161" s="222"/>
      <c r="N161" s="409"/>
      <c r="O161" s="222">
        <f>ROUND(G161*I161+H161*J161,2)</f>
        <v>0</v>
      </c>
      <c r="P161" s="253">
        <f>ROUND(37.24%*O161,2)</f>
        <v>0</v>
      </c>
      <c r="Q161" s="222">
        <f>ROUND(R161*P161,2)</f>
        <v>0</v>
      </c>
      <c r="R161" s="225">
        <v>0.5</v>
      </c>
    </row>
    <row r="162" spans="1:32" hidden="1" x14ac:dyDescent="0.2">
      <c r="A162" s="426" t="s">
        <v>28</v>
      </c>
      <c r="B162" s="422"/>
      <c r="C162" s="57"/>
      <c r="D162" s="57"/>
      <c r="E162" s="57"/>
      <c r="F162" s="236"/>
      <c r="G162" s="222"/>
      <c r="H162" s="222"/>
      <c r="I162" s="216"/>
      <c r="J162" s="216"/>
      <c r="K162" s="342"/>
      <c r="L162" s="342"/>
      <c r="M162" s="342"/>
      <c r="N162" s="474"/>
      <c r="O162" s="342">
        <f>ROUND(G162*I162+H162*J162,2)</f>
        <v>0</v>
      </c>
      <c r="P162" s="253">
        <f>ROUND(37.24%*O162,2)</f>
        <v>0</v>
      </c>
      <c r="Q162" s="222">
        <f>ROUND(R162*P162,2)</f>
        <v>0</v>
      </c>
      <c r="R162" s="461">
        <v>0.5</v>
      </c>
    </row>
    <row r="163" spans="1:32" hidden="1" x14ac:dyDescent="0.2">
      <c r="A163" s="281" t="s">
        <v>28</v>
      </c>
      <c r="B163" s="423"/>
      <c r="C163" s="291"/>
      <c r="D163" s="291"/>
      <c r="E163" s="291"/>
      <c r="F163" s="244"/>
      <c r="G163" s="218"/>
      <c r="H163" s="218"/>
      <c r="I163" s="219"/>
      <c r="J163" s="219"/>
      <c r="K163" s="218"/>
      <c r="L163" s="218"/>
      <c r="M163" s="218"/>
      <c r="N163" s="411"/>
      <c r="O163" s="218">
        <f>ROUND(G163*I163+H163*J163,2)</f>
        <v>0</v>
      </c>
      <c r="P163" s="424">
        <f>ROUND(38%*G163*I163,2)+ROUND(38%*H163*J163,2)</f>
        <v>0</v>
      </c>
      <c r="Q163" s="218">
        <f>ROUND(R163*P163,2)</f>
        <v>0</v>
      </c>
      <c r="R163" s="425">
        <v>0.5</v>
      </c>
    </row>
    <row r="164" spans="1:32" hidden="1" x14ac:dyDescent="0.2">
      <c r="G164" s="414">
        <f>SUM(G160:G163)</f>
        <v>5146043.6323999995</v>
      </c>
      <c r="H164" s="414"/>
      <c r="I164" s="470">
        <f>ROUND(O164/G164,4)</f>
        <v>3.9159999999999999</v>
      </c>
      <c r="J164" s="199"/>
      <c r="K164" s="199"/>
      <c r="N164" s="65"/>
      <c r="O164" s="179">
        <f>SUM(O160:O163)</f>
        <v>20151906.859999999</v>
      </c>
      <c r="P164" s="179">
        <f>SUM(P160:P163)</f>
        <v>7657724.6100000003</v>
      </c>
      <c r="Q164" s="179">
        <f>SUM(Q160:Q163)</f>
        <v>3828862.31</v>
      </c>
    </row>
    <row r="165" spans="1:32" hidden="1" x14ac:dyDescent="0.2">
      <c r="G165" s="199"/>
      <c r="H165" s="199"/>
      <c r="I165" s="199"/>
      <c r="J165" s="199"/>
      <c r="K165" s="199"/>
      <c r="N165" s="65"/>
    </row>
    <row r="166" spans="1:32" hidden="1" x14ac:dyDescent="0.2">
      <c r="A166" s="416" t="s">
        <v>233</v>
      </c>
      <c r="G166" s="199"/>
      <c r="H166" s="199"/>
      <c r="I166" s="199"/>
      <c r="J166" s="199"/>
      <c r="K166" s="199"/>
      <c r="N166" s="65"/>
    </row>
    <row r="167" spans="1:32" hidden="1" x14ac:dyDescent="0.2">
      <c r="G167" s="199"/>
      <c r="H167" s="199"/>
      <c r="I167" s="199"/>
      <c r="J167" s="199"/>
      <c r="K167" s="199"/>
      <c r="N167" s="65"/>
    </row>
    <row r="168" spans="1:32" hidden="1" x14ac:dyDescent="0.2">
      <c r="A168" s="279" t="s">
        <v>28</v>
      </c>
      <c r="B168" s="22" t="s">
        <v>169</v>
      </c>
      <c r="C168" s="366" t="s">
        <v>31</v>
      </c>
      <c r="D168" s="366" t="s">
        <v>30</v>
      </c>
      <c r="E168" s="366" t="s">
        <v>158</v>
      </c>
      <c r="F168" s="419" t="s">
        <v>56</v>
      </c>
      <c r="G168" s="220"/>
      <c r="H168" s="220">
        <f>H151</f>
        <v>5558408.0401999997</v>
      </c>
      <c r="I168" s="221"/>
      <c r="J168" s="221">
        <f>J151</f>
        <v>3.218</v>
      </c>
      <c r="K168" s="220"/>
      <c r="L168" s="220"/>
      <c r="M168" s="220"/>
      <c r="N168" s="473"/>
      <c r="O168" s="220">
        <f>ROUND(G168*I168+H168*J168,2)</f>
        <v>17886957.07</v>
      </c>
      <c r="P168" s="420">
        <f>ROUND(38%*(G168*I168+H168*J168),2)</f>
        <v>6797043.6900000004</v>
      </c>
      <c r="Q168" s="220">
        <f>ROUND(R168*P168,2)</f>
        <v>3398521.85</v>
      </c>
      <c r="R168" s="421">
        <v>0.5</v>
      </c>
    </row>
    <row r="169" spans="1:32" hidden="1" x14ac:dyDescent="0.2">
      <c r="A169" s="426" t="s">
        <v>28</v>
      </c>
      <c r="B169" s="422" t="s">
        <v>240</v>
      </c>
      <c r="C169" s="57" t="s">
        <v>31</v>
      </c>
      <c r="D169" s="57" t="s">
        <v>30</v>
      </c>
      <c r="E169" s="57" t="s">
        <v>158</v>
      </c>
      <c r="F169" s="236" t="s">
        <v>56</v>
      </c>
      <c r="G169" s="222"/>
      <c r="H169" s="222">
        <f>H152</f>
        <v>0</v>
      </c>
      <c r="I169" s="216"/>
      <c r="J169" s="216">
        <f>J152</f>
        <v>0</v>
      </c>
      <c r="K169" s="222"/>
      <c r="L169" s="222"/>
      <c r="M169" s="222"/>
      <c r="N169" s="409"/>
      <c r="O169" s="222">
        <f>ROUND(G169*I169+H169*J169,2)</f>
        <v>0</v>
      </c>
      <c r="P169" s="253">
        <f>ROUND(37.24%*O169,2)</f>
        <v>0</v>
      </c>
      <c r="Q169" s="222">
        <f>ROUND(R169*P169,2)</f>
        <v>0</v>
      </c>
      <c r="R169" s="225">
        <v>0.5</v>
      </c>
    </row>
    <row r="170" spans="1:32" hidden="1" x14ac:dyDescent="0.2">
      <c r="A170" s="426" t="s">
        <v>28</v>
      </c>
      <c r="B170" s="422" t="s">
        <v>240</v>
      </c>
      <c r="C170" s="57"/>
      <c r="D170" s="57"/>
      <c r="E170" s="57"/>
      <c r="F170" s="236"/>
      <c r="G170" s="222"/>
      <c r="H170" s="222">
        <f>H153</f>
        <v>0</v>
      </c>
      <c r="I170" s="216"/>
      <c r="J170" s="216">
        <f>J153</f>
        <v>0</v>
      </c>
      <c r="K170" s="342"/>
      <c r="L170" s="342"/>
      <c r="M170" s="342"/>
      <c r="N170" s="474"/>
      <c r="O170" s="342">
        <f>ROUND(G170*I170+H170*J170,2)</f>
        <v>0</v>
      </c>
      <c r="P170" s="253">
        <f>ROUND(37.24%*O170,2)</f>
        <v>0</v>
      </c>
      <c r="Q170" s="222">
        <f>ROUND(R170*P170,2)</f>
        <v>0</v>
      </c>
      <c r="R170" s="225">
        <v>0.5</v>
      </c>
    </row>
    <row r="171" spans="1:32" hidden="1" x14ac:dyDescent="0.2">
      <c r="A171" s="281" t="s">
        <v>28</v>
      </c>
      <c r="B171" s="423"/>
      <c r="C171" s="291"/>
      <c r="D171" s="291"/>
      <c r="E171" s="291"/>
      <c r="F171" s="244"/>
      <c r="G171" s="218"/>
      <c r="H171" s="218"/>
      <c r="I171" s="219"/>
      <c r="J171" s="219"/>
      <c r="K171" s="218"/>
      <c r="L171" s="218"/>
      <c r="M171" s="218"/>
      <c r="N171" s="411"/>
      <c r="O171" s="218">
        <f>ROUND(G171*I171+H171*J171,2)</f>
        <v>0</v>
      </c>
      <c r="P171" s="424">
        <f>ROUND(38%*G171*I171,2)+ROUND(38%*H171*J171,2)</f>
        <v>0</v>
      </c>
      <c r="Q171" s="218">
        <f>ROUND(R171*P171,2)</f>
        <v>0</v>
      </c>
      <c r="R171" s="425">
        <v>0.5</v>
      </c>
    </row>
    <row r="172" spans="1:32" hidden="1" x14ac:dyDescent="0.2">
      <c r="G172" s="414"/>
      <c r="H172" s="414">
        <f>SUM(H168:H171)</f>
        <v>5558408.0401999997</v>
      </c>
      <c r="I172" s="199"/>
      <c r="J172" s="470">
        <f>ROUND(O172/H172,4)</f>
        <v>3.218</v>
      </c>
      <c r="K172" s="199"/>
      <c r="N172" s="65"/>
      <c r="O172" s="179">
        <f>SUM(O168:O171)</f>
        <v>17886957.07</v>
      </c>
      <c r="P172" s="179">
        <f>SUM(P168:P171)</f>
        <v>6797043.6900000004</v>
      </c>
      <c r="Q172" s="179">
        <f>SUM(Q168:Q171)</f>
        <v>3398521.85</v>
      </c>
    </row>
    <row r="173" spans="1:32" hidden="1" x14ac:dyDescent="0.2">
      <c r="G173" s="414"/>
      <c r="H173" s="414"/>
      <c r="I173" s="199"/>
      <c r="J173" s="199"/>
      <c r="K173" s="199"/>
      <c r="N173" s="65"/>
      <c r="O173" s="179"/>
      <c r="P173" s="179"/>
      <c r="Q173" s="179"/>
    </row>
    <row r="174" spans="1:32" hidden="1" x14ac:dyDescent="0.2"/>
    <row r="175" spans="1:32" ht="15.75" hidden="1" x14ac:dyDescent="0.25">
      <c r="A175" s="412" t="s">
        <v>228</v>
      </c>
      <c r="G175" s="12" t="s">
        <v>35</v>
      </c>
      <c r="H175" s="13" t="s">
        <v>36</v>
      </c>
      <c r="I175" s="13" t="s">
        <v>35</v>
      </c>
      <c r="J175" s="12" t="s">
        <v>36</v>
      </c>
      <c r="K175" s="12" t="s">
        <v>39</v>
      </c>
      <c r="L175" s="12" t="s">
        <v>40</v>
      </c>
      <c r="M175" s="12" t="s">
        <v>42</v>
      </c>
      <c r="N175" s="12" t="s">
        <v>2</v>
      </c>
    </row>
    <row r="176" spans="1:32" hidden="1" x14ac:dyDescent="0.2">
      <c r="A176" s="427" t="s">
        <v>28</v>
      </c>
      <c r="B176" s="428" t="s">
        <v>303</v>
      </c>
      <c r="C176" s="91" t="s">
        <v>31</v>
      </c>
      <c r="D176" s="91" t="s">
        <v>30</v>
      </c>
      <c r="E176" s="91" t="s">
        <v>101</v>
      </c>
      <c r="F176" s="91" t="s">
        <v>56</v>
      </c>
      <c r="G176" s="429">
        <v>85539.78</v>
      </c>
      <c r="H176" s="429">
        <v>9336.2199999999993</v>
      </c>
      <c r="I176" s="430">
        <v>4</v>
      </c>
      <c r="J176" s="430">
        <v>2.21</v>
      </c>
      <c r="K176" s="431"/>
      <c r="L176" s="431"/>
      <c r="M176" s="431"/>
      <c r="N176" s="475"/>
      <c r="O176" s="502">
        <f>ROUND(G176*I176,2)+ROUND(H176*J176,2)-K176-L176-M176-N176</f>
        <v>362792.17</v>
      </c>
      <c r="P176" s="500">
        <f>ROUND(18.75%*O176,2)</f>
        <v>68023.53</v>
      </c>
      <c r="Q176" s="466">
        <f>ROUND($O176*R176,2)</f>
        <v>54418.83</v>
      </c>
      <c r="R176" s="432">
        <v>0.15</v>
      </c>
      <c r="S176" s="431">
        <f>ROUND($O176*T176,2)</f>
        <v>13604.71</v>
      </c>
      <c r="T176" s="433">
        <v>3.7499999999999999E-2</v>
      </c>
      <c r="U176" s="1" t="str">
        <f>IF($F176&amp;"/Día"=W$9,SUM($G176:$H176),"")</f>
        <v/>
      </c>
      <c r="V176" s="1" t="str">
        <f>IF(U176&lt;&gt;"",$O176,"")</f>
        <v/>
      </c>
      <c r="W176" s="1" t="str">
        <f>IF($F176&amp;"/Día"=W$9,ROUND(U176/$W$1,1),"")</f>
        <v/>
      </c>
      <c r="X176" s="1" t="str">
        <f>IF(U176=0,0,IF($F176&amp;"/Día"=W$9,ROUND(V176/U176,4),""))</f>
        <v/>
      </c>
      <c r="Y176" s="1" t="str">
        <f>IF(U176=0,0,IF($F176&amp;"/Día"=W$9,ROUND(Z176/U176,4),""))</f>
        <v/>
      </c>
      <c r="Z176" s="1" t="str">
        <f>IF(U176&lt;&gt;"",$P176,"")</f>
        <v/>
      </c>
      <c r="AA176" s="1">
        <f>IF($F176&amp;"/Día"=AC$9,SUM($G176:$H176),"")</f>
        <v>94876</v>
      </c>
      <c r="AB176" s="1">
        <f>IF(AA176&lt;&gt;"",$O176,"")</f>
        <v>362792.17</v>
      </c>
      <c r="AC176" s="1">
        <f>IF($F176&amp;"/Día"=AC$9,ROUND(AA176/$W$1,1),"")</f>
        <v>3060.5</v>
      </c>
      <c r="AD176" s="1">
        <f>IF(AA176=0,0,IF($F176&amp;"/Día"=AC$9,ROUND(AB176/AA176,4),""))</f>
        <v>3.8239000000000001</v>
      </c>
      <c r="AE176" s="1">
        <f>IF(AA176=0,0,IF($F176&amp;"/Día"=AC$9,ROUND(AF176/AA176,4),""))</f>
        <v>0.71699999999999997</v>
      </c>
      <c r="AF176" s="1">
        <f>IF(AA176&lt;&gt;"",$P176,"")</f>
        <v>68023.53</v>
      </c>
    </row>
    <row r="177" spans="1:32" hidden="1" x14ac:dyDescent="0.2">
      <c r="A177" s="434" t="s">
        <v>28</v>
      </c>
      <c r="B177" s="435" t="s">
        <v>303</v>
      </c>
      <c r="C177" s="97" t="s">
        <v>31</v>
      </c>
      <c r="D177" s="97" t="s">
        <v>30</v>
      </c>
      <c r="E177" s="97" t="s">
        <v>101</v>
      </c>
      <c r="F177" s="97" t="s">
        <v>56</v>
      </c>
      <c r="G177" s="436">
        <v>8404.92</v>
      </c>
      <c r="H177" s="436">
        <v>46528.22</v>
      </c>
      <c r="I177" s="437">
        <v>2.21</v>
      </c>
      <c r="J177" s="437">
        <v>2.75</v>
      </c>
      <c r="K177" s="438"/>
      <c r="L177" s="438"/>
      <c r="M177" s="438"/>
      <c r="N177" s="476"/>
      <c r="O177" s="501">
        <f>ROUND(G177*I177,2)+ROUND(H177*J177,2)-K177-L177-M177-N177</f>
        <v>146527.48000000001</v>
      </c>
      <c r="P177" s="499">
        <f>ROUND(18.75%*O177,2)</f>
        <v>27473.9</v>
      </c>
      <c r="Q177" s="467">
        <f>ROUND($O177*R177,2)</f>
        <v>21979.119999999999</v>
      </c>
      <c r="R177" s="439">
        <v>0.15</v>
      </c>
      <c r="S177" s="467">
        <f>ROUND($O177*T177,2)</f>
        <v>5494.78</v>
      </c>
      <c r="T177" s="440">
        <v>3.7499999999999999E-2</v>
      </c>
      <c r="U177" s="1" t="str">
        <f>IF($F177&amp;"/Día"=W$9,SUM($G177:$H177),"")</f>
        <v/>
      </c>
      <c r="V177" s="1" t="str">
        <f>IF(U177&lt;&gt;"",$O177,"")</f>
        <v/>
      </c>
      <c r="W177" s="1" t="str">
        <f>IF($F177&amp;"/Día"=W$9,ROUND(U177/$W$1,1),"")</f>
        <v/>
      </c>
      <c r="X177" s="1" t="str">
        <f>IF(U177=0,0,IF($F177&amp;"/Día"=W$9,ROUND(V177/U177,4),""))</f>
        <v/>
      </c>
      <c r="Y177" s="1" t="str">
        <f>IF(U177=0,0,IF($F177&amp;"/Día"=W$9,ROUND(Z177/U177,4),""))</f>
        <v/>
      </c>
      <c r="Z177" s="1" t="str">
        <f>IF(U177&lt;&gt;"",$P177,"")</f>
        <v/>
      </c>
      <c r="AA177" s="1">
        <f>IF($F177&amp;"/Día"=AC$9,SUM($G177:$H177),"")</f>
        <v>54933.14</v>
      </c>
      <c r="AB177" s="1">
        <f>IF(AA177&lt;&gt;"",$O177,"")</f>
        <v>146527.48000000001</v>
      </c>
      <c r="AC177" s="1">
        <f>IF($F177&amp;"/Día"=AC$9,ROUND(AA177/$W$1,1),"")</f>
        <v>1772</v>
      </c>
      <c r="AD177" s="1">
        <f>IF(AA177=0,0,IF($F177&amp;"/Día"=AC$9,ROUND(AB177/AA177,4),""))</f>
        <v>2.6674000000000002</v>
      </c>
      <c r="AE177" s="1">
        <f>IF(AA177=0,0,IF($F177&amp;"/Día"=AC$9,ROUND(AF177/AA177,4),""))</f>
        <v>0.50009999999999999</v>
      </c>
      <c r="AF177" s="1">
        <f>IF(AA177&lt;&gt;"",$P177,"")</f>
        <v>27473.9</v>
      </c>
    </row>
    <row r="178" spans="1:32" hidden="1" x14ac:dyDescent="0.2">
      <c r="A178" s="434" t="s">
        <v>28</v>
      </c>
      <c r="B178" s="435" t="s">
        <v>303</v>
      </c>
      <c r="C178" s="97" t="s">
        <v>31</v>
      </c>
      <c r="D178" s="97" t="s">
        <v>30</v>
      </c>
      <c r="E178" s="97" t="s">
        <v>101</v>
      </c>
      <c r="F178" s="97" t="s">
        <v>56</v>
      </c>
      <c r="G178" s="436">
        <v>43778.03</v>
      </c>
      <c r="H178" s="436">
        <v>383.54</v>
      </c>
      <c r="I178" s="437">
        <v>2.75</v>
      </c>
      <c r="J178" s="437">
        <v>2.21</v>
      </c>
      <c r="K178" s="438"/>
      <c r="L178" s="438"/>
      <c r="M178" s="438"/>
      <c r="N178" s="476"/>
      <c r="O178" s="438">
        <f>ROUND(G178*I178,2)+ROUND(H178*J178,2)-K178-L178-M178-N178</f>
        <v>121237.2</v>
      </c>
      <c r="P178" s="438">
        <f>ROUND(18.75%*O178,2)</f>
        <v>22731.98</v>
      </c>
      <c r="Q178" s="438">
        <f>ROUND($O178*R178,2)</f>
        <v>18185.580000000002</v>
      </c>
      <c r="R178" s="439">
        <v>0.15</v>
      </c>
      <c r="S178" s="438">
        <f>ROUND($O178*T178,2)</f>
        <v>4546.3999999999996</v>
      </c>
      <c r="T178" s="440">
        <v>3.7499999999999999E-2</v>
      </c>
      <c r="U178" s="1" t="str">
        <f>IF($F178&amp;"/Día"=W$9,SUM($G178:$H178),"")</f>
        <v/>
      </c>
      <c r="V178" s="1" t="str">
        <f>IF(U178&lt;&gt;"",$O178,"")</f>
        <v/>
      </c>
      <c r="W178" s="1" t="str">
        <f>IF($F178&amp;"/Día"=W$9,ROUND(U178/$W$1,1),"")</f>
        <v/>
      </c>
      <c r="X178" s="1" t="str">
        <f>IF(U178=0,0,IF($F178&amp;"/Día"=W$9,ROUND(V178/U178,4),""))</f>
        <v/>
      </c>
      <c r="Y178" s="1" t="str">
        <f>IF(U178=0,0,IF($F178&amp;"/Día"=W$9,ROUND(Z178/U178,4),""))</f>
        <v/>
      </c>
      <c r="Z178" s="1" t="str">
        <f>IF(U178&lt;&gt;"",$P178,"")</f>
        <v/>
      </c>
      <c r="AA178" s="1">
        <f>IF($F178&amp;"/Día"=AC$9,SUM($G178:$H178),"")</f>
        <v>44161.57</v>
      </c>
      <c r="AB178" s="1">
        <f>IF(AA178&lt;&gt;"",$O178,"")</f>
        <v>121237.2</v>
      </c>
      <c r="AC178" s="1">
        <f>IF($F178&amp;"/Día"=AC$9,ROUND(AA178/$W$1,1),"")</f>
        <v>1424.6</v>
      </c>
      <c r="AD178" s="1">
        <f>IF(AA178=0,0,IF($F178&amp;"/Día"=AC$9,ROUND(AB178/AA178,4),""))</f>
        <v>2.7452999999999999</v>
      </c>
      <c r="AE178" s="1">
        <f>IF(AA178=0,0,IF($F178&amp;"/Día"=AC$9,ROUND(AF178/AA178,4),""))</f>
        <v>0.51470000000000005</v>
      </c>
      <c r="AF178" s="1">
        <f>IF(AA178&lt;&gt;"",$P178,"")</f>
        <v>22731.98</v>
      </c>
    </row>
    <row r="179" spans="1:32" hidden="1" x14ac:dyDescent="0.2">
      <c r="A179" s="434" t="s">
        <v>28</v>
      </c>
      <c r="B179" s="435" t="s">
        <v>303</v>
      </c>
      <c r="C179" s="97" t="s">
        <v>31</v>
      </c>
      <c r="D179" s="97" t="s">
        <v>30</v>
      </c>
      <c r="E179" s="97" t="s">
        <v>101</v>
      </c>
      <c r="F179" s="97" t="s">
        <v>56</v>
      </c>
      <c r="G179" s="436">
        <v>322.02</v>
      </c>
      <c r="H179" s="436">
        <v>37798.89</v>
      </c>
      <c r="I179" s="437">
        <v>2.21</v>
      </c>
      <c r="J179" s="437">
        <v>3</v>
      </c>
      <c r="K179" s="438"/>
      <c r="L179" s="438"/>
      <c r="M179" s="438"/>
      <c r="N179" s="476"/>
      <c r="O179" s="438">
        <f>ROUND(G179*I179,2)+ROUND(H179*J179,2)-K179-L179-M179-N179</f>
        <v>114108.33</v>
      </c>
      <c r="P179" s="438">
        <f>ROUND(18.75%*O179,2)</f>
        <v>21395.31</v>
      </c>
      <c r="Q179" s="438">
        <f>ROUND($O179*R179,2)</f>
        <v>17116.25</v>
      </c>
      <c r="R179" s="439">
        <v>0.15</v>
      </c>
      <c r="S179" s="438">
        <f>ROUND($O179*T179,2)</f>
        <v>4279.0600000000004</v>
      </c>
      <c r="T179" s="440">
        <v>3.7499999999999999E-2</v>
      </c>
      <c r="U179" s="1" t="str">
        <f>IF($F179&amp;"/Día"=W$9,SUM($G179:$H179),"")</f>
        <v/>
      </c>
      <c r="V179" s="1" t="str">
        <f>IF(U179&lt;&gt;"",$O179,"")</f>
        <v/>
      </c>
      <c r="W179" s="1" t="str">
        <f>IF($F179&amp;"/Día"=W$9,ROUND(U179/$W$1,1),"")</f>
        <v/>
      </c>
      <c r="X179" s="1" t="str">
        <f>IF(U179=0,0,IF($F179&amp;"/Día"=W$9,ROUND(V179/U179,4),""))</f>
        <v/>
      </c>
      <c r="Y179" s="1" t="str">
        <f>IF(U179=0,0,IF($F179&amp;"/Día"=W$9,ROUND(Z179/U179,4),""))</f>
        <v/>
      </c>
      <c r="Z179" s="1" t="str">
        <f>IF(U179&lt;&gt;"",$P179,"")</f>
        <v/>
      </c>
      <c r="AA179" s="1">
        <f>IF($F179&amp;"/Día"=AC$9,SUM($G179:$H179),"")</f>
        <v>38120.909999999996</v>
      </c>
      <c r="AB179" s="1">
        <f>IF(AA179&lt;&gt;"",$O179,"")</f>
        <v>114108.33</v>
      </c>
      <c r="AC179" s="1">
        <f>IF($F179&amp;"/Día"=AC$9,ROUND(AA179/$W$1,1),"")</f>
        <v>1229.7</v>
      </c>
      <c r="AD179" s="1">
        <f>IF(AA179=0,0,IF($F179&amp;"/Día"=AC$9,ROUND(AB179/AA179,4),""))</f>
        <v>2.9933000000000001</v>
      </c>
      <c r="AE179" s="1">
        <f>IF(AA179=0,0,IF($F179&amp;"/Día"=AC$9,ROUND(AF179/AA179,4),""))</f>
        <v>0.56120000000000003</v>
      </c>
      <c r="AF179" s="1">
        <f>IF(AA179&lt;&gt;"",$P179,"")</f>
        <v>21395.31</v>
      </c>
    </row>
    <row r="180" spans="1:32" hidden="1" x14ac:dyDescent="0.2">
      <c r="A180" s="444" t="s">
        <v>28</v>
      </c>
      <c r="B180" s="504" t="s">
        <v>303</v>
      </c>
      <c r="C180" s="109" t="s">
        <v>31</v>
      </c>
      <c r="D180" s="109" t="s">
        <v>30</v>
      </c>
      <c r="E180" s="109" t="s">
        <v>101</v>
      </c>
      <c r="F180" s="109" t="s">
        <v>56</v>
      </c>
      <c r="G180" s="446">
        <v>33220.980000000003</v>
      </c>
      <c r="H180" s="446"/>
      <c r="I180" s="447">
        <v>3</v>
      </c>
      <c r="J180" s="447"/>
      <c r="K180" s="448"/>
      <c r="L180" s="448"/>
      <c r="M180" s="448"/>
      <c r="N180" s="478"/>
      <c r="O180" s="468">
        <f>ROUND(G180*I180,2)+ROUND(H180*J180,2)-K180-L180-M180-N180</f>
        <v>99662.94</v>
      </c>
      <c r="P180" s="448">
        <f>ROUND(18.75%*O180,2)</f>
        <v>18686.8</v>
      </c>
      <c r="Q180" s="505">
        <f>ROUND($O180*R180,2)</f>
        <v>14949.44</v>
      </c>
      <c r="R180" s="450">
        <v>0.15</v>
      </c>
      <c r="S180" s="468">
        <f>ROUND($O180*T180,2)</f>
        <v>3737.36</v>
      </c>
      <c r="T180" s="451">
        <v>3.7499999999999999E-2</v>
      </c>
      <c r="U180" s="1" t="str">
        <f>IF($F180&amp;"/Día"=W$9,SUM($G180:$H180),"")</f>
        <v/>
      </c>
      <c r="V180" s="1" t="str">
        <f>IF(U180&lt;&gt;"",$O180,"")</f>
        <v/>
      </c>
      <c r="W180" s="1" t="str">
        <f>IF($F180&amp;"/Día"=W$9,ROUND(U180/$W$1,1),"")</f>
        <v/>
      </c>
      <c r="X180" s="1" t="str">
        <f>IF(U180=0,0,IF($F180&amp;"/Día"=W$9,ROUND(V180/U180,4),""))</f>
        <v/>
      </c>
      <c r="Y180" s="1" t="str">
        <f>IF(U180=0,0,IF($F180&amp;"/Día"=W$9,ROUND(Z180/U180,4),""))</f>
        <v/>
      </c>
      <c r="Z180" s="1" t="str">
        <f>IF(U180&lt;&gt;"",$P180,"")</f>
        <v/>
      </c>
      <c r="AA180" s="1">
        <f>IF($F180&amp;"/Día"=AC$9,SUM($G180:$H180),"")</f>
        <v>33220.980000000003</v>
      </c>
      <c r="AB180" s="1">
        <f>IF(AA180&lt;&gt;"",$O180,"")</f>
        <v>99662.94</v>
      </c>
      <c r="AC180" s="1">
        <f>IF($F180&amp;"/Día"=AC$9,ROUND(AA180/$W$1,1),"")</f>
        <v>1071.5999999999999</v>
      </c>
      <c r="AD180" s="1">
        <f>IF(AA180=0,0,IF($F180&amp;"/Día"=AC$9,ROUND(AB180/AA180,4),""))</f>
        <v>3</v>
      </c>
      <c r="AE180" s="1">
        <f>IF(AA180=0,0,IF($F180&amp;"/Día"=AC$9,ROUND(AF180/AA180,4),""))</f>
        <v>0.5625</v>
      </c>
      <c r="AF180" s="1">
        <f>IF(AA180&lt;&gt;"",$P180,"")</f>
        <v>18686.8</v>
      </c>
    </row>
    <row r="181" spans="1:32" hidden="1" x14ac:dyDescent="0.2">
      <c r="G181" s="414">
        <f>SUM(G176:G180)</f>
        <v>171265.72999999998</v>
      </c>
      <c r="H181" s="414">
        <f>SUM(H176:H180)</f>
        <v>94046.87</v>
      </c>
      <c r="I181" s="199"/>
      <c r="J181" s="199"/>
      <c r="K181" s="199"/>
      <c r="N181" s="264">
        <f>SUM(N176:N180)</f>
        <v>0</v>
      </c>
      <c r="O181" s="179">
        <f>SUM(O176:O180)</f>
        <v>844328.11999999988</v>
      </c>
      <c r="P181" s="179">
        <f>SUM(P176:P180)</f>
        <v>158311.51999999999</v>
      </c>
      <c r="Q181" s="179">
        <f>SUM(Q176:Q180)</f>
        <v>126649.22</v>
      </c>
      <c r="S181" s="179">
        <f>SUM(S176:S180)</f>
        <v>31662.31</v>
      </c>
      <c r="U181" s="257"/>
    </row>
    <row r="182" spans="1:32" hidden="1" x14ac:dyDescent="0.2">
      <c r="G182" s="199"/>
      <c r="H182" s="199"/>
      <c r="I182" s="199"/>
      <c r="J182" s="199"/>
      <c r="K182" s="199"/>
      <c r="N182" s="65"/>
      <c r="O182" s="257"/>
      <c r="P182" s="257"/>
      <c r="Q182" s="257"/>
      <c r="S182" s="257"/>
      <c r="U182" s="472"/>
    </row>
    <row r="183" spans="1:32" ht="15.75" hidden="1" x14ac:dyDescent="0.25">
      <c r="A183" s="412" t="s">
        <v>229</v>
      </c>
      <c r="G183" s="199"/>
      <c r="H183" s="199"/>
      <c r="I183" s="199"/>
      <c r="J183" s="199"/>
      <c r="K183" s="199"/>
      <c r="N183" s="65"/>
      <c r="Q183" s="257"/>
      <c r="U183" s="257"/>
    </row>
    <row r="184" spans="1:32" hidden="1" x14ac:dyDescent="0.2">
      <c r="A184" s="279" t="s">
        <v>28</v>
      </c>
      <c r="B184" s="428" t="s">
        <v>303</v>
      </c>
      <c r="C184" s="366" t="s">
        <v>31</v>
      </c>
      <c r="D184" s="366" t="s">
        <v>30</v>
      </c>
      <c r="E184" s="366" t="s">
        <v>101</v>
      </c>
      <c r="F184" s="419" t="s">
        <v>56</v>
      </c>
      <c r="G184" s="429">
        <f>G176</f>
        <v>85539.78</v>
      </c>
      <c r="H184" s="452"/>
      <c r="I184" s="430">
        <f>I176</f>
        <v>4</v>
      </c>
      <c r="J184" s="453"/>
      <c r="K184" s="220"/>
      <c r="L184" s="220"/>
      <c r="M184" s="220"/>
      <c r="N184" s="473">
        <f>N181</f>
        <v>0</v>
      </c>
      <c r="O184" s="220">
        <f>ROUND(G184*I184,2)+ROUND(H184*J184,2)-K184-L184-M184-N184</f>
        <v>342159.12</v>
      </c>
      <c r="P184" s="220">
        <f>ROUND(18.75%*O184,2)</f>
        <v>64154.84</v>
      </c>
      <c r="Q184" s="220">
        <f>ROUND($O184*R184,2)</f>
        <v>51323.87</v>
      </c>
      <c r="R184" s="421">
        <v>0.15</v>
      </c>
      <c r="S184" s="220">
        <f>ROUND($O184*T184,2)</f>
        <v>12830.97</v>
      </c>
      <c r="T184" s="454">
        <v>3.7499999999999999E-2</v>
      </c>
      <c r="W184" s="1" t="str">
        <f>IF($F184&amp;"/Día"=W$9,ROUND(U184/$W$1,1),"")</f>
        <v/>
      </c>
      <c r="X184" s="1">
        <f>IF(U184=0,0,IF($F184&amp;"/Día"=W$9,ROUND(V184/U184,4),""))</f>
        <v>0</v>
      </c>
      <c r="Y184" s="1">
        <f>IF(U184=0,0,IF($F184&amp;"/Día"=W$9,ROUND(Z184/U184,4),""))</f>
        <v>0</v>
      </c>
      <c r="Z184" s="1" t="str">
        <f>IF(U184&lt;&gt;"",$P184,"")</f>
        <v/>
      </c>
      <c r="AA184" s="1">
        <f>IF($F184&amp;"/Día"=AC$9,SUM($G184:$H184),"")</f>
        <v>85539.78</v>
      </c>
      <c r="AB184" s="1">
        <f>IF(AA184&lt;&gt;"",$O184,"")</f>
        <v>342159.12</v>
      </c>
      <c r="AC184" s="1">
        <f>IF($F184&amp;"/Día"=AC$9,ROUND(AA184/$W$1,1),"")</f>
        <v>2759.3</v>
      </c>
      <c r="AD184" s="1">
        <f>IF(AA184=0,0,IF($F184&amp;"/Día"=AC$9,ROUND(AB184/AA184,4),""))</f>
        <v>4</v>
      </c>
      <c r="AE184" s="1">
        <f>IF(AA184=0,0,IF($F184&amp;"/Día"=AC$9,ROUND(AF184/AA184,4),""))</f>
        <v>0.75</v>
      </c>
      <c r="AF184" s="1">
        <f>IF(AA184&lt;&gt;"",$P184,"")</f>
        <v>64154.84</v>
      </c>
    </row>
    <row r="185" spans="1:32" hidden="1" x14ac:dyDescent="0.2">
      <c r="A185" s="426" t="s">
        <v>28</v>
      </c>
      <c r="B185" s="435" t="s">
        <v>303</v>
      </c>
      <c r="C185" s="57" t="s">
        <v>31</v>
      </c>
      <c r="D185" s="57" t="s">
        <v>30</v>
      </c>
      <c r="E185" s="57" t="s">
        <v>101</v>
      </c>
      <c r="F185" s="236" t="s">
        <v>56</v>
      </c>
      <c r="G185" s="436">
        <f>G177</f>
        <v>8404.92</v>
      </c>
      <c r="H185" s="215"/>
      <c r="I185" s="437">
        <f>I177</f>
        <v>2.21</v>
      </c>
      <c r="J185" s="217"/>
      <c r="K185" s="222"/>
      <c r="L185" s="222"/>
      <c r="M185" s="222"/>
      <c r="N185" s="409"/>
      <c r="O185" s="222">
        <f>ROUND(G185*I185,2)+ROUND(H185*J185,2)-K185-L185-M185-N185</f>
        <v>18574.87</v>
      </c>
      <c r="P185" s="222">
        <f>ROUND(18.75%*O185,2)</f>
        <v>3482.79</v>
      </c>
      <c r="Q185" s="222">
        <f>ROUND($O185*R185,2)</f>
        <v>2786.23</v>
      </c>
      <c r="R185" s="225">
        <v>0.15</v>
      </c>
      <c r="S185" s="222">
        <f>ROUND($O185*T185,2)</f>
        <v>696.56</v>
      </c>
      <c r="T185" s="455">
        <v>3.7499999999999999E-2</v>
      </c>
      <c r="U185" s="1" t="str">
        <f>IF($F185&amp;"/Día"=W$9,SUM($G185:$H185),"")</f>
        <v/>
      </c>
      <c r="V185" s="1" t="str">
        <f>IF(U185&lt;&gt;"",$O185,"")</f>
        <v/>
      </c>
      <c r="W185" s="1" t="str">
        <f>IF($F185&amp;"/Día"=W$9,ROUND(U185/$W$1,1),"")</f>
        <v/>
      </c>
      <c r="X185" s="1" t="str">
        <f>IF(U185=0,0,IF($F185&amp;"/Día"=W$9,ROUND(V185/U185,4),""))</f>
        <v/>
      </c>
      <c r="Y185" s="1" t="str">
        <f>IF(U185=0,0,IF($F185&amp;"/Día"=W$9,ROUND(Z185/U185,4),""))</f>
        <v/>
      </c>
      <c r="Z185" s="1" t="str">
        <f>IF(U185&lt;&gt;"",$P185,"")</f>
        <v/>
      </c>
      <c r="AA185" s="1">
        <f>IF($F185&amp;"/Día"=AC$9,SUM($G185:$H185),"")</f>
        <v>8404.92</v>
      </c>
      <c r="AB185" s="1">
        <f>IF(AA185&lt;&gt;"",$O185,"")</f>
        <v>18574.87</v>
      </c>
      <c r="AC185" s="1">
        <f>IF($F185&amp;"/Día"=AC$9,ROUND(AA185/$W$1,1),"")</f>
        <v>271.10000000000002</v>
      </c>
      <c r="AD185" s="1">
        <f>IF(AA185=0,0,IF($F185&amp;"/Día"=AC$9,ROUND(AB185/AA185,4),""))</f>
        <v>2.21</v>
      </c>
      <c r="AE185" s="1">
        <f>IF(AA185=0,0,IF($F185&amp;"/Día"=AC$9,ROUND(AF185/AA185,4),""))</f>
        <v>0.41439999999999999</v>
      </c>
      <c r="AF185" s="1">
        <f>IF(AA185&lt;&gt;"",$P185,"")</f>
        <v>3482.79</v>
      </c>
    </row>
    <row r="186" spans="1:32" hidden="1" x14ac:dyDescent="0.2">
      <c r="A186" s="426" t="s">
        <v>28</v>
      </c>
      <c r="B186" s="435" t="s">
        <v>303</v>
      </c>
      <c r="C186" s="57" t="s">
        <v>31</v>
      </c>
      <c r="D186" s="57" t="s">
        <v>30</v>
      </c>
      <c r="E186" s="57" t="s">
        <v>101</v>
      </c>
      <c r="F186" s="236" t="s">
        <v>56</v>
      </c>
      <c r="G186" s="436">
        <f>G178</f>
        <v>43778.03</v>
      </c>
      <c r="H186" s="215"/>
      <c r="I186" s="437">
        <f>I178</f>
        <v>2.75</v>
      </c>
      <c r="J186" s="217"/>
      <c r="K186" s="222"/>
      <c r="L186" s="222"/>
      <c r="M186" s="222"/>
      <c r="N186" s="409"/>
      <c r="O186" s="222">
        <f>ROUND(G186*I186,2)+ROUND(H186*J186,2)-K186-L186-M186-N186</f>
        <v>120389.58</v>
      </c>
      <c r="P186" s="222">
        <f>ROUND(18.75%*O186,2)</f>
        <v>22573.05</v>
      </c>
      <c r="Q186" s="222">
        <f>ROUND($O186*R186,2)</f>
        <v>18058.439999999999</v>
      </c>
      <c r="R186" s="225">
        <v>0.15</v>
      </c>
      <c r="S186" s="222">
        <f>ROUND($O186*T186,2)</f>
        <v>4514.6099999999997</v>
      </c>
      <c r="T186" s="455">
        <v>3.7499999999999999E-2</v>
      </c>
      <c r="U186" s="1" t="str">
        <f>IF($F186&amp;"/Día"=W$9,SUM($G186:$H186),"")</f>
        <v/>
      </c>
      <c r="V186" s="1" t="str">
        <f>IF(U186&lt;&gt;"",$O186,"")</f>
        <v/>
      </c>
      <c r="W186" s="1" t="str">
        <f>IF($F186&amp;"/Día"=W$9,ROUND(U186/$W$1,1),"")</f>
        <v/>
      </c>
      <c r="X186" s="1" t="str">
        <f>IF(U186=0,0,IF($F186&amp;"/Día"=W$9,ROUND(V186/U186,4),""))</f>
        <v/>
      </c>
      <c r="Y186" s="1" t="str">
        <f>IF(U186=0,0,IF($F186&amp;"/Día"=W$9,ROUND(Z186/U186,4),""))</f>
        <v/>
      </c>
      <c r="Z186" s="1" t="str">
        <f>IF(U186&lt;&gt;"",$P186,"")</f>
        <v/>
      </c>
      <c r="AA186" s="1">
        <f>IF($F186&amp;"/Día"=AC$9,SUM($G186:$H186),"")</f>
        <v>43778.03</v>
      </c>
      <c r="AB186" s="1">
        <f>IF(AA186&lt;&gt;"",$O186,"")</f>
        <v>120389.58</v>
      </c>
      <c r="AC186" s="1">
        <f>IF($F186&amp;"/Día"=AC$9,ROUND(AA186/$W$1,1),"")</f>
        <v>1412.2</v>
      </c>
      <c r="AD186" s="1">
        <f>IF(AA186=0,0,IF($F186&amp;"/Día"=AC$9,ROUND(AB186/AA186,4),""))</f>
        <v>2.75</v>
      </c>
      <c r="AE186" s="1">
        <f>IF(AA186=0,0,IF($F186&amp;"/Día"=AC$9,ROUND(AF186/AA186,4),""))</f>
        <v>0.51559999999999995</v>
      </c>
      <c r="AF186" s="1">
        <f>IF(AA186&lt;&gt;"",$P186,"")</f>
        <v>22573.05</v>
      </c>
    </row>
    <row r="187" spans="1:32" hidden="1" x14ac:dyDescent="0.2">
      <c r="A187" s="426" t="s">
        <v>28</v>
      </c>
      <c r="B187" s="435" t="s">
        <v>303</v>
      </c>
      <c r="C187" s="57" t="s">
        <v>31</v>
      </c>
      <c r="D187" s="57" t="s">
        <v>30</v>
      </c>
      <c r="E187" s="57" t="s">
        <v>101</v>
      </c>
      <c r="F187" s="236" t="s">
        <v>56</v>
      </c>
      <c r="G187" s="436">
        <f>G179</f>
        <v>322.02</v>
      </c>
      <c r="H187" s="215"/>
      <c r="I187" s="437">
        <f>I179</f>
        <v>2.21</v>
      </c>
      <c r="J187" s="217"/>
      <c r="K187" s="222"/>
      <c r="L187" s="222"/>
      <c r="M187" s="222"/>
      <c r="N187" s="409"/>
      <c r="O187" s="222">
        <f>ROUND(G187*I187,2)+ROUND(H187*J187,2)-K187-L187-M187-N187</f>
        <v>711.66</v>
      </c>
      <c r="P187" s="222">
        <f>ROUND(18.75%*O187,2)</f>
        <v>133.44</v>
      </c>
      <c r="Q187" s="222">
        <f>ROUND($O187*R187,2)</f>
        <v>106.75</v>
      </c>
      <c r="R187" s="225">
        <v>0.15</v>
      </c>
      <c r="S187" s="222">
        <f>ROUND($O187*T187,2)</f>
        <v>26.69</v>
      </c>
      <c r="T187" s="455">
        <v>3.7499999999999999E-2</v>
      </c>
      <c r="U187" s="1" t="str">
        <f>IF($F187&amp;"/Día"=W$9,SUM($G187:$H187),"")</f>
        <v/>
      </c>
      <c r="V187" s="1" t="str">
        <f>IF(U187&lt;&gt;"",$O187,"")</f>
        <v/>
      </c>
      <c r="W187" s="1" t="str">
        <f>IF($F187&amp;"/Día"=W$9,ROUND(U187/$W$1,1),"")</f>
        <v/>
      </c>
      <c r="X187" s="1" t="str">
        <f>IF(U187=0,0,IF($F187&amp;"/Día"=W$9,ROUND(V187/U187,4),""))</f>
        <v/>
      </c>
      <c r="Y187" s="1" t="str">
        <f>IF(U187=0,0,IF($F187&amp;"/Día"=W$9,ROUND(Z187/U187,4),""))</f>
        <v/>
      </c>
      <c r="Z187" s="1" t="str">
        <f>IF(U187&lt;&gt;"",$P187,"")</f>
        <v/>
      </c>
      <c r="AA187" s="1">
        <f>IF($F187&amp;"/Día"=AC$9,SUM($G187:$H187),"")</f>
        <v>322.02</v>
      </c>
      <c r="AB187" s="1">
        <f>IF(AA187&lt;&gt;"",$O187,"")</f>
        <v>711.66</v>
      </c>
      <c r="AC187" s="1">
        <f>IF($F187&amp;"/Día"=AC$9,ROUND(AA187/$W$1,1),"")</f>
        <v>10.4</v>
      </c>
      <c r="AD187" s="1">
        <f>IF(AA187=0,0,IF($F187&amp;"/Día"=AC$9,ROUND(AB187/AA187,4),""))</f>
        <v>2.21</v>
      </c>
      <c r="AE187" s="1">
        <f>IF(AA187=0,0,IF($F187&amp;"/Día"=AC$9,ROUND(AF187/AA187,4),""))</f>
        <v>0.41439999999999999</v>
      </c>
      <c r="AF187" s="1">
        <f>IF(AA187&lt;&gt;"",$P187,"")</f>
        <v>133.44</v>
      </c>
    </row>
    <row r="188" spans="1:32" hidden="1" x14ac:dyDescent="0.2">
      <c r="A188" s="281" t="s">
        <v>28</v>
      </c>
      <c r="B188" s="504" t="s">
        <v>303</v>
      </c>
      <c r="C188" s="291" t="s">
        <v>31</v>
      </c>
      <c r="D188" s="291" t="s">
        <v>30</v>
      </c>
      <c r="E188" s="291" t="s">
        <v>101</v>
      </c>
      <c r="F188" s="244" t="s">
        <v>56</v>
      </c>
      <c r="G188" s="446">
        <f>G180</f>
        <v>33220.980000000003</v>
      </c>
      <c r="H188" s="311"/>
      <c r="I188" s="447">
        <f>I180</f>
        <v>3</v>
      </c>
      <c r="J188" s="312"/>
      <c r="K188" s="218"/>
      <c r="L188" s="218"/>
      <c r="M188" s="218"/>
      <c r="N188" s="408"/>
      <c r="O188" s="218">
        <f>ROUND(G188*I188,2)+ROUND(H188*J188,2)-K188-L188-M188-N188</f>
        <v>99662.94</v>
      </c>
      <c r="P188" s="218">
        <f>ROUND(18.75%*O188,2)</f>
        <v>18686.8</v>
      </c>
      <c r="Q188" s="424">
        <f>ROUND($O188*R188,2)</f>
        <v>14949.44</v>
      </c>
      <c r="R188" s="459">
        <v>0.15</v>
      </c>
      <c r="S188" s="218">
        <f>ROUND($O188*T188,2)</f>
        <v>3737.36</v>
      </c>
      <c r="T188" s="460">
        <v>3.7499999999999999E-2</v>
      </c>
      <c r="U188" s="1" t="str">
        <f>IF($F188&amp;"/Día"=W$9,SUM($G188:$H188),"")</f>
        <v/>
      </c>
      <c r="V188" s="1" t="str">
        <f>IF(U188&lt;&gt;"",$O188,"")</f>
        <v/>
      </c>
      <c r="W188" s="1" t="str">
        <f>IF($F188&amp;"/Día"=W$9,ROUND(U188/$W$1,1),"")</f>
        <v/>
      </c>
      <c r="X188" s="1" t="str">
        <f>IF(U188=0,0,IF($F188&amp;"/Día"=W$9,ROUND(V188/U188,4),""))</f>
        <v/>
      </c>
      <c r="Y188" s="1" t="str">
        <f>IF(U188=0,0,IF($F188&amp;"/Día"=W$9,ROUND(Z188/U188,4),""))</f>
        <v/>
      </c>
      <c r="Z188" s="1" t="str">
        <f>IF(U188&lt;&gt;"",$P188,"")</f>
        <v/>
      </c>
      <c r="AA188" s="1">
        <f>IF($F188&amp;"/Día"=AC$9,SUM($G188:$H188),"")</f>
        <v>33220.980000000003</v>
      </c>
      <c r="AB188" s="1">
        <f>IF(AA188&lt;&gt;"",$O188,"")</f>
        <v>99662.94</v>
      </c>
      <c r="AC188" s="1">
        <f>IF($F188&amp;"/Día"=AC$9,ROUND(AA188/$W$1,1),"")</f>
        <v>1071.5999999999999</v>
      </c>
      <c r="AD188" s="1">
        <f>IF(AA188=0,0,IF($F188&amp;"/Día"=AC$9,ROUND(AB188/AA188,4),""))</f>
        <v>3</v>
      </c>
      <c r="AE188" s="1">
        <f>IF(AA188=0,0,IF($F188&amp;"/Día"=AC$9,ROUND(AF188/AA188,4),""))</f>
        <v>0.5625</v>
      </c>
      <c r="AF188" s="1">
        <f>IF(AA188&lt;&gt;"",$P188,"")</f>
        <v>18686.8</v>
      </c>
    </row>
    <row r="189" spans="1:32" hidden="1" x14ac:dyDescent="0.2">
      <c r="G189" s="414">
        <f>SUM(G184:G188)</f>
        <v>171265.72999999998</v>
      </c>
      <c r="H189" s="414"/>
      <c r="I189" s="415">
        <f>O189/G189</f>
        <v>3.3952978800837736</v>
      </c>
      <c r="J189" s="415"/>
      <c r="K189" s="199"/>
      <c r="N189" s="264">
        <f>SUM(N184:N188)</f>
        <v>0</v>
      </c>
      <c r="O189" s="179">
        <f>SUM(O184:O188)</f>
        <v>581498.16999999993</v>
      </c>
      <c r="P189" s="179">
        <f>SUM(P184:P188)</f>
        <v>109030.92</v>
      </c>
      <c r="Q189" s="179">
        <f>SUM(Q184:Q188)</f>
        <v>87224.73000000001</v>
      </c>
      <c r="S189" s="179">
        <f>SUM(S184:S188)</f>
        <v>21806.19</v>
      </c>
    </row>
    <row r="190" spans="1:32" hidden="1" x14ac:dyDescent="0.2">
      <c r="G190" s="199"/>
      <c r="H190" s="199"/>
      <c r="I190" s="199"/>
      <c r="J190" s="199"/>
      <c r="K190" s="199"/>
      <c r="N190" s="65"/>
      <c r="O190" s="65"/>
    </row>
    <row r="191" spans="1:32" hidden="1" x14ac:dyDescent="0.2">
      <c r="G191" s="199"/>
      <c r="H191" s="199"/>
      <c r="I191" s="199"/>
      <c r="J191" s="199"/>
      <c r="K191" s="199"/>
      <c r="N191" s="65"/>
      <c r="O191" s="257"/>
    </row>
    <row r="192" spans="1:32" ht="15.75" hidden="1" x14ac:dyDescent="0.25">
      <c r="A192" s="412" t="s">
        <v>230</v>
      </c>
      <c r="G192" s="199"/>
      <c r="H192" s="199"/>
      <c r="I192" s="199"/>
      <c r="J192" s="199"/>
      <c r="K192" s="199"/>
      <c r="N192" s="65"/>
    </row>
    <row r="193" spans="1:32" hidden="1" x14ac:dyDescent="0.2">
      <c r="A193" s="279" t="s">
        <v>28</v>
      </c>
      <c r="B193" s="428" t="s">
        <v>303</v>
      </c>
      <c r="C193" s="366" t="s">
        <v>31</v>
      </c>
      <c r="D193" s="366" t="s">
        <v>30</v>
      </c>
      <c r="E193" s="366" t="s">
        <v>101</v>
      </c>
      <c r="F193" s="419" t="s">
        <v>56</v>
      </c>
      <c r="G193" s="452"/>
      <c r="H193" s="452">
        <f>H176</f>
        <v>9336.2199999999993</v>
      </c>
      <c r="I193" s="453"/>
      <c r="J193" s="463">
        <f>J176</f>
        <v>2.21</v>
      </c>
      <c r="K193" s="220"/>
      <c r="L193" s="220"/>
      <c r="M193" s="220"/>
      <c r="N193" s="473"/>
      <c r="O193" s="220">
        <f>ROUND(G193*I193,2)+ROUND(H193*J193,2)-K193-L193-M193-N193</f>
        <v>20633.05</v>
      </c>
      <c r="P193" s="220">
        <f>ROUND(18.75%*O193,2)</f>
        <v>3868.7</v>
      </c>
      <c r="Q193" s="220">
        <f>ROUND($O193*R193,2)</f>
        <v>3094.96</v>
      </c>
      <c r="R193" s="421">
        <v>0.15</v>
      </c>
      <c r="S193" s="220">
        <f>ROUND($O193*T193,2)</f>
        <v>773.74</v>
      </c>
      <c r="T193" s="454">
        <v>3.7499999999999999E-2</v>
      </c>
      <c r="U193" s="1" t="str">
        <f>IF($F193&amp;"/Día"=W$9,SUM($G193:$H193),"")</f>
        <v/>
      </c>
      <c r="V193" s="1" t="str">
        <f>IF(U193&lt;&gt;"",$O193,"")</f>
        <v/>
      </c>
      <c r="W193" s="1" t="str">
        <f>IF($F193&amp;"/Día"=W$9,ROUND(U193/$W$1,1),"")</f>
        <v/>
      </c>
      <c r="X193" s="1" t="str">
        <f>IF(U193=0,0,IF($F193&amp;"/Día"=W$9,ROUND(V193/U193,4),""))</f>
        <v/>
      </c>
      <c r="Y193" s="1" t="str">
        <f>IF(U193=0,0,IF($F193&amp;"/Día"=W$9,ROUND(Z193/U193,4),""))</f>
        <v/>
      </c>
      <c r="Z193" s="1" t="str">
        <f>IF(U193&lt;&gt;"",$P193,"")</f>
        <v/>
      </c>
      <c r="AA193" s="1">
        <f>IF($F193&amp;"/Día"=AC$9,SUM($G193:$H193),"")</f>
        <v>9336.2199999999993</v>
      </c>
      <c r="AB193" s="1">
        <f>IF(AA193&lt;&gt;"",$O193,"")</f>
        <v>20633.05</v>
      </c>
      <c r="AC193" s="1">
        <f>IF($F193&amp;"/Día"=AC$9,ROUND(AA193/$W$1,1),"")</f>
        <v>301.2</v>
      </c>
      <c r="AD193" s="1">
        <f>IF(AA193=0,0,IF($F193&amp;"/Día"=AC$9,ROUND(AB193/AA193,4),""))</f>
        <v>2.21</v>
      </c>
      <c r="AE193" s="1">
        <f>IF(AA193=0,0,IF($F193&amp;"/Día"=AC$9,ROUND(AF193/AA193,4),""))</f>
        <v>0.41439999999999999</v>
      </c>
      <c r="AF193" s="1">
        <f>IF(AA193&lt;&gt;"",$P193,"")</f>
        <v>3868.7</v>
      </c>
    </row>
    <row r="194" spans="1:32" hidden="1" x14ac:dyDescent="0.2">
      <c r="A194" s="426" t="s">
        <v>28</v>
      </c>
      <c r="B194" s="435" t="s">
        <v>303</v>
      </c>
      <c r="C194" s="57" t="s">
        <v>31</v>
      </c>
      <c r="D194" s="57" t="s">
        <v>30</v>
      </c>
      <c r="E194" s="57" t="s">
        <v>101</v>
      </c>
      <c r="F194" s="236" t="s">
        <v>56</v>
      </c>
      <c r="G194" s="215"/>
      <c r="H194" s="215">
        <f>H177</f>
        <v>46528.22</v>
      </c>
      <c r="I194" s="217"/>
      <c r="J194" s="464">
        <f>J177</f>
        <v>2.75</v>
      </c>
      <c r="K194" s="222"/>
      <c r="L194" s="222"/>
      <c r="M194" s="222"/>
      <c r="N194" s="409"/>
      <c r="O194" s="222">
        <f>ROUND(G194*I194,2)+ROUND(H194*J194,2)-K194-L194-M194-N194</f>
        <v>127952.61</v>
      </c>
      <c r="P194" s="222">
        <f>ROUND(18.75%*O194,2)</f>
        <v>23991.11</v>
      </c>
      <c r="Q194" s="222">
        <f>ROUND($O194*R194,2)</f>
        <v>19192.89</v>
      </c>
      <c r="R194" s="225">
        <v>0.15</v>
      </c>
      <c r="S194" s="222">
        <f>ROUND($O194*T194,2)</f>
        <v>4798.22</v>
      </c>
      <c r="T194" s="455">
        <v>3.7499999999999999E-2</v>
      </c>
      <c r="U194" s="1" t="str">
        <f>IF($F194&amp;"/Día"=W$9,SUM($G194:$H194),"")</f>
        <v/>
      </c>
      <c r="V194" s="1" t="str">
        <f>IF(U194&lt;&gt;"",$O194,"")</f>
        <v/>
      </c>
      <c r="W194" s="1" t="str">
        <f>IF($F194&amp;"/Día"=W$9,ROUND(U194/$W$1,1),"")</f>
        <v/>
      </c>
      <c r="X194" s="1" t="str">
        <f>IF(U194=0,0,IF($F194&amp;"/Día"=W$9,ROUND(V194/U194,4),""))</f>
        <v/>
      </c>
      <c r="Y194" s="1" t="str">
        <f>IF(U194=0,0,IF($F194&amp;"/Día"=W$9,ROUND(Z194/U194,4),""))</f>
        <v/>
      </c>
      <c r="Z194" s="1" t="str">
        <f>IF(U194&lt;&gt;"",$P194,"")</f>
        <v/>
      </c>
      <c r="AA194" s="1">
        <f>IF($F194&amp;"/Día"=AC$9,SUM($G194:$H194),"")</f>
        <v>46528.22</v>
      </c>
      <c r="AB194" s="1">
        <f>IF(AA194&lt;&gt;"",$O194,"")</f>
        <v>127952.61</v>
      </c>
      <c r="AC194" s="1">
        <f>IF($F194&amp;"/Día"=AC$9,ROUND(AA194/$W$1,1),"")</f>
        <v>1500.9</v>
      </c>
      <c r="AD194" s="1">
        <f>IF(AA194=0,0,IF($F194&amp;"/Día"=AC$9,ROUND(AB194/AA194,4),""))</f>
        <v>2.75</v>
      </c>
      <c r="AE194" s="1">
        <f>IF(AA194=0,0,IF($F194&amp;"/Día"=AC$9,ROUND(AF194/AA194,4),""))</f>
        <v>0.51559999999999995</v>
      </c>
      <c r="AF194" s="1">
        <f>IF(AA194&lt;&gt;"",$P194,"")</f>
        <v>23991.11</v>
      </c>
    </row>
    <row r="195" spans="1:32" hidden="1" x14ac:dyDescent="0.2">
      <c r="A195" s="426" t="s">
        <v>28</v>
      </c>
      <c r="B195" s="435" t="s">
        <v>303</v>
      </c>
      <c r="C195" s="57" t="s">
        <v>31</v>
      </c>
      <c r="D195" s="57" t="s">
        <v>30</v>
      </c>
      <c r="E195" s="57" t="s">
        <v>101</v>
      </c>
      <c r="F195" s="236" t="s">
        <v>56</v>
      </c>
      <c r="G195" s="215"/>
      <c r="H195" s="215">
        <f>H178</f>
        <v>383.54</v>
      </c>
      <c r="I195" s="217"/>
      <c r="J195" s="464">
        <f>J178</f>
        <v>2.21</v>
      </c>
      <c r="K195" s="222"/>
      <c r="L195" s="222"/>
      <c r="M195" s="222"/>
      <c r="N195" s="409"/>
      <c r="O195" s="222">
        <f>ROUND(G195*I195,2)+ROUND(H195*J195,2)-K195-L195-M195-N195</f>
        <v>847.62</v>
      </c>
      <c r="P195" s="222">
        <f>ROUND(18.75%*O195,2)</f>
        <v>158.93</v>
      </c>
      <c r="Q195" s="222">
        <f>ROUND($O195*R195,2)</f>
        <v>127.14</v>
      </c>
      <c r="R195" s="225">
        <v>0.15</v>
      </c>
      <c r="S195" s="222">
        <f>ROUND($O195*T195,2)</f>
        <v>31.79</v>
      </c>
      <c r="T195" s="455">
        <v>3.7499999999999999E-2</v>
      </c>
      <c r="U195" s="1" t="str">
        <f>IF($F195&amp;"/Día"=W$9,SUM($G195:$H195),"")</f>
        <v/>
      </c>
      <c r="V195" s="1" t="str">
        <f>IF(U195&lt;&gt;"",$O195,"")</f>
        <v/>
      </c>
      <c r="W195" s="1" t="str">
        <f>IF($F195&amp;"/Día"=W$9,ROUND(U195/$W$1,1),"")</f>
        <v/>
      </c>
      <c r="X195" s="1" t="str">
        <f>IF(U195=0,0,IF($F195&amp;"/Día"=W$9,ROUND(V195/U195,4),""))</f>
        <v/>
      </c>
      <c r="Y195" s="1" t="str">
        <f>IF(U195=0,0,IF($F195&amp;"/Día"=W$9,ROUND(Z195/U195,4),""))</f>
        <v/>
      </c>
      <c r="Z195" s="1" t="str">
        <f>IF(U195&lt;&gt;"",$P195,"")</f>
        <v/>
      </c>
      <c r="AA195" s="1">
        <f>IF($F195&amp;"/Día"=AC$9,SUM($G195:$H195),"")</f>
        <v>383.54</v>
      </c>
      <c r="AB195" s="1">
        <f>IF(AA195&lt;&gt;"",$O195,"")</f>
        <v>847.62</v>
      </c>
      <c r="AC195" s="1">
        <f>IF($F195&amp;"/Día"=AC$9,ROUND(AA195/$W$1,1),"")</f>
        <v>12.4</v>
      </c>
      <c r="AD195" s="1">
        <f>IF(AA195=0,0,IF($F195&amp;"/Día"=AC$9,ROUND(AB195/AA195,4),""))</f>
        <v>2.21</v>
      </c>
      <c r="AE195" s="1">
        <f>IF(AA195=0,0,IF($F195&amp;"/Día"=AC$9,ROUND(AF195/AA195,4),""))</f>
        <v>0.41439999999999999</v>
      </c>
      <c r="AF195" s="1">
        <f>IF(AA195&lt;&gt;"",$P195,"")</f>
        <v>158.93</v>
      </c>
    </row>
    <row r="196" spans="1:32" hidden="1" x14ac:dyDescent="0.2">
      <c r="A196" s="426" t="s">
        <v>28</v>
      </c>
      <c r="B196" s="435" t="s">
        <v>303</v>
      </c>
      <c r="C196" s="57" t="s">
        <v>31</v>
      </c>
      <c r="D196" s="57" t="s">
        <v>30</v>
      </c>
      <c r="E196" s="57" t="s">
        <v>101</v>
      </c>
      <c r="F196" s="236" t="s">
        <v>56</v>
      </c>
      <c r="G196" s="215"/>
      <c r="H196" s="215">
        <f>H179</f>
        <v>37798.89</v>
      </c>
      <c r="I196" s="217"/>
      <c r="J196" s="464">
        <f>J179</f>
        <v>3</v>
      </c>
      <c r="K196" s="222"/>
      <c r="L196" s="222"/>
      <c r="M196" s="222"/>
      <c r="N196" s="409"/>
      <c r="O196" s="222">
        <f>ROUND(G196*I196,2)+ROUND(H196*J196,2)-K196-L196-M196-N196</f>
        <v>113396.67</v>
      </c>
      <c r="P196" s="222">
        <f>ROUND(18.75%*O196,2)</f>
        <v>21261.88</v>
      </c>
      <c r="Q196" s="222">
        <f>ROUND($O196*R196,2)</f>
        <v>17009.5</v>
      </c>
      <c r="R196" s="225">
        <v>0.15</v>
      </c>
      <c r="S196" s="222">
        <f>ROUND($O196*T196,2)</f>
        <v>4252.38</v>
      </c>
      <c r="T196" s="455">
        <v>3.7499999999999999E-2</v>
      </c>
      <c r="U196" s="1" t="str">
        <f>IF($F196&amp;"/Día"=W$9,SUM($G196:$H196),"")</f>
        <v/>
      </c>
      <c r="V196" s="1" t="str">
        <f>IF(U196&lt;&gt;"",$O196,"")</f>
        <v/>
      </c>
      <c r="W196" s="1" t="str">
        <f>IF($F196&amp;"/Día"=W$9,ROUND(U196/$W$1,1),"")</f>
        <v/>
      </c>
      <c r="X196" s="1" t="str">
        <f>IF(U196=0,0,IF($F196&amp;"/Día"=W$9,ROUND(V196/U196,4),""))</f>
        <v/>
      </c>
      <c r="Y196" s="1" t="str">
        <f>IF(U196=0,0,IF($F196&amp;"/Día"=W$9,ROUND(Z196/U196,4),""))</f>
        <v/>
      </c>
      <c r="Z196" s="1" t="str">
        <f>IF(U196&lt;&gt;"",$P196,"")</f>
        <v/>
      </c>
      <c r="AA196" s="1">
        <f>IF($F196&amp;"/Día"=AC$9,SUM($G196:$H196),"")</f>
        <v>37798.89</v>
      </c>
      <c r="AB196" s="1">
        <f>IF(AA196&lt;&gt;"",$O196,"")</f>
        <v>113396.67</v>
      </c>
      <c r="AC196" s="1">
        <f>IF($F196&amp;"/Día"=AC$9,ROUND(AA196/$W$1,1),"")</f>
        <v>1219.3</v>
      </c>
      <c r="AD196" s="1">
        <f>IF(AA196=0,0,IF($F196&amp;"/Día"=AC$9,ROUND(AB196/AA196,4),""))</f>
        <v>3</v>
      </c>
      <c r="AE196" s="1">
        <f>IF(AA196=0,0,IF($F196&amp;"/Día"=AC$9,ROUND(AF196/AA196,4),""))</f>
        <v>0.5625</v>
      </c>
      <c r="AF196" s="1">
        <f>IF(AA196&lt;&gt;"",$P196,"")</f>
        <v>21261.88</v>
      </c>
    </row>
    <row r="197" spans="1:32" hidden="1" x14ac:dyDescent="0.2">
      <c r="A197" s="281" t="s">
        <v>28</v>
      </c>
      <c r="B197" s="504" t="s">
        <v>303</v>
      </c>
      <c r="C197" s="291" t="s">
        <v>31</v>
      </c>
      <c r="D197" s="291" t="s">
        <v>30</v>
      </c>
      <c r="E197" s="291" t="s">
        <v>101</v>
      </c>
      <c r="F197" s="244" t="s">
        <v>56</v>
      </c>
      <c r="G197" s="311"/>
      <c r="H197" s="311">
        <f>H180</f>
        <v>0</v>
      </c>
      <c r="I197" s="312"/>
      <c r="J197" s="465">
        <f>J180</f>
        <v>0</v>
      </c>
      <c r="K197" s="218"/>
      <c r="L197" s="218"/>
      <c r="M197" s="218"/>
      <c r="N197" s="408"/>
      <c r="O197" s="218">
        <f>ROUND(G197*I197,2)+ROUND(H197*J197,2)-K197-L197-M197-N197</f>
        <v>0</v>
      </c>
      <c r="P197" s="218">
        <f>ROUND(18.75%*O197,2)</f>
        <v>0</v>
      </c>
      <c r="Q197" s="424">
        <f>ROUND($O197*R197,2)</f>
        <v>0</v>
      </c>
      <c r="R197" s="459">
        <v>0.15</v>
      </c>
      <c r="S197" s="218">
        <f>ROUND($O197*T197,2)</f>
        <v>0</v>
      </c>
      <c r="T197" s="460">
        <v>3.7499999999999999E-2</v>
      </c>
      <c r="U197" s="1" t="str">
        <f>IF($F197&amp;"/Día"=W$9,SUM($G197:$H197),"")</f>
        <v/>
      </c>
      <c r="V197" s="1" t="str">
        <f>IF(U197&lt;&gt;"",$O197,"")</f>
        <v/>
      </c>
      <c r="W197" s="1" t="str">
        <f>IF($F197&amp;"/Día"=W$9,ROUND(U197/$W$1,1),"")</f>
        <v/>
      </c>
      <c r="X197" s="1" t="str">
        <f>IF(U197=0,0,IF($F197&amp;"/Día"=W$9,ROUND(V197/U197,4),""))</f>
        <v/>
      </c>
      <c r="Y197" s="1" t="str">
        <f>IF(U197=0,0,IF($F197&amp;"/Día"=W$9,ROUND(Z197/U197,4),""))</f>
        <v/>
      </c>
      <c r="Z197" s="1" t="str">
        <f>IF(U197&lt;&gt;"",$P197,"")</f>
        <v/>
      </c>
      <c r="AA197" s="1">
        <f>IF($F197&amp;"/Día"=AC$9,SUM($G197:$H197),"")</f>
        <v>0</v>
      </c>
      <c r="AB197" s="1">
        <f>IF(AA197&lt;&gt;"",$O197,"")</f>
        <v>0</v>
      </c>
      <c r="AC197" s="1">
        <f>IF($F197&amp;"/Día"=AC$9,ROUND(AA197/$W$1,1),"")</f>
        <v>0</v>
      </c>
      <c r="AD197" s="1">
        <f>IF(AA197=0,0,IF($F197&amp;"/Día"=AC$9,ROUND(AB197/AA197,4),""))</f>
        <v>0</v>
      </c>
      <c r="AE197" s="1">
        <f>IF(AA197=0,0,IF($F197&amp;"/Día"=AC$9,ROUND(AF197/AA197,4),""))</f>
        <v>0</v>
      </c>
      <c r="AF197" s="1">
        <f>IF(AA197&lt;&gt;"",$P197,"")</f>
        <v>0</v>
      </c>
    </row>
    <row r="198" spans="1:32" hidden="1" x14ac:dyDescent="0.2">
      <c r="G198" s="414"/>
      <c r="H198" s="414">
        <f>SUM(H193:H197)</f>
        <v>94046.87</v>
      </c>
      <c r="I198" s="415"/>
      <c r="J198" s="415">
        <f>O198/H198</f>
        <v>2.7946698279272879</v>
      </c>
      <c r="K198" s="199"/>
      <c r="N198" s="264">
        <f>SUM(N193:N197)</f>
        <v>0</v>
      </c>
      <c r="O198" s="179">
        <f>SUM(O193:O197)</f>
        <v>262829.95</v>
      </c>
      <c r="P198" s="179">
        <f>SUM(P193:P197)</f>
        <v>49280.62</v>
      </c>
      <c r="Q198" s="179">
        <f>SUM(Q193:Q197)</f>
        <v>39424.49</v>
      </c>
      <c r="S198" s="179">
        <f>SUM(S193:S197)</f>
        <v>9856.130000000001</v>
      </c>
    </row>
    <row r="199" spans="1:32" ht="18" hidden="1" x14ac:dyDescent="0.25">
      <c r="A199" s="271"/>
      <c r="B199" s="156"/>
      <c r="C199" s="156"/>
      <c r="D199" s="156"/>
      <c r="E199" s="156"/>
      <c r="F199" s="156"/>
      <c r="G199" s="156"/>
      <c r="H199" s="156"/>
      <c r="I199" s="156"/>
      <c r="J199" s="156"/>
      <c r="K199" s="156"/>
      <c r="L199" s="156"/>
      <c r="M199" s="156"/>
      <c r="N199" s="156"/>
      <c r="O199" s="156"/>
      <c r="P199" s="156"/>
      <c r="Q199" s="156"/>
      <c r="R199" s="156"/>
      <c r="S199" s="156"/>
      <c r="T199" s="156"/>
      <c r="U199" s="51"/>
      <c r="V199" s="374"/>
      <c r="W199" s="374"/>
      <c r="X199" s="143"/>
      <c r="Y199" s="360"/>
      <c r="Z199" s="360"/>
      <c r="AA199" s="65"/>
      <c r="AB199" s="65"/>
    </row>
    <row r="200" spans="1:32" ht="18" hidden="1" x14ac:dyDescent="0.25">
      <c r="A200" s="271"/>
      <c r="B200" s="156"/>
      <c r="C200" s="156"/>
      <c r="D200" s="156"/>
      <c r="E200" s="156"/>
      <c r="F200" s="156"/>
      <c r="G200" s="156"/>
      <c r="H200" s="156"/>
      <c r="I200" s="156"/>
      <c r="J200" s="156"/>
      <c r="K200" s="156"/>
      <c r="L200" s="156"/>
      <c r="M200" s="156"/>
      <c r="N200" s="156"/>
      <c r="O200" s="156"/>
      <c r="P200" s="156"/>
      <c r="Q200" s="156"/>
      <c r="R200" s="156"/>
      <c r="S200" s="156"/>
      <c r="T200" s="156"/>
      <c r="U200" s="51"/>
      <c r="V200" s="374"/>
      <c r="W200" s="374"/>
      <c r="X200" s="143"/>
      <c r="Y200" s="360"/>
      <c r="Z200" s="360"/>
      <c r="AA200" s="65"/>
      <c r="AB200" s="65"/>
    </row>
    <row r="201" spans="1:32" ht="18" x14ac:dyDescent="0.25">
      <c r="A201" s="271"/>
      <c r="B201" s="156"/>
      <c r="C201" s="156"/>
      <c r="D201" s="156"/>
      <c r="E201" s="156"/>
      <c r="F201" s="156"/>
      <c r="G201" s="156"/>
      <c r="H201" s="156"/>
      <c r="I201" s="156"/>
      <c r="J201" s="156"/>
      <c r="K201" s="156"/>
      <c r="L201" s="156"/>
      <c r="M201" s="156"/>
      <c r="N201" s="156"/>
      <c r="O201" s="156"/>
      <c r="P201" s="156"/>
      <c r="Q201" s="156"/>
      <c r="R201" s="156"/>
      <c r="S201" s="156"/>
      <c r="T201" s="156"/>
      <c r="U201" s="51"/>
      <c r="V201" s="374"/>
      <c r="W201" s="374"/>
      <c r="X201" s="143"/>
      <c r="Y201" s="360"/>
      <c r="Z201" s="360"/>
      <c r="AA201" s="65"/>
      <c r="AB201" s="65"/>
    </row>
    <row r="202" spans="1:32" ht="18" x14ac:dyDescent="0.25">
      <c r="A202" s="271"/>
      <c r="B202" s="156"/>
      <c r="C202" s="156"/>
      <c r="D202" s="156"/>
      <c r="E202" s="156"/>
      <c r="F202" s="156"/>
      <c r="G202" s="156"/>
      <c r="H202" s="156"/>
      <c r="I202" s="156"/>
      <c r="J202" s="156"/>
      <c r="K202" s="156"/>
      <c r="L202" s="156"/>
      <c r="M202" s="156"/>
      <c r="N202" s="156"/>
      <c r="O202" s="156"/>
      <c r="P202" s="156"/>
      <c r="Q202" s="156"/>
      <c r="R202" s="156"/>
      <c r="S202" s="156"/>
      <c r="T202" s="156"/>
      <c r="U202" s="51"/>
      <c r="V202" s="374"/>
      <c r="W202" s="374"/>
      <c r="X202" s="143"/>
      <c r="Y202" s="360"/>
      <c r="Z202" s="360"/>
      <c r="AA202" s="65"/>
      <c r="AB202" s="65"/>
    </row>
    <row r="203" spans="1:32" ht="18" x14ac:dyDescent="0.25">
      <c r="A203" s="271"/>
      <c r="B203" s="156"/>
      <c r="C203" s="156"/>
      <c r="D203" s="156"/>
      <c r="E203" s="156"/>
      <c r="F203" s="156"/>
      <c r="G203" s="156"/>
      <c r="H203" s="156"/>
      <c r="I203" s="156"/>
      <c r="J203" s="156"/>
      <c r="K203" s="156"/>
      <c r="L203" s="156"/>
      <c r="M203" s="156"/>
      <c r="N203" s="156"/>
      <c r="O203" s="156"/>
      <c r="P203" s="156"/>
      <c r="Q203" s="156"/>
      <c r="R203" s="156"/>
      <c r="S203" s="156"/>
      <c r="T203" s="156"/>
      <c r="U203" s="51"/>
      <c r="V203" s="374"/>
      <c r="W203" s="374"/>
      <c r="X203" s="143"/>
      <c r="Y203" s="360"/>
      <c r="Z203" s="360"/>
      <c r="AA203" s="65"/>
      <c r="AB203" s="65"/>
    </row>
    <row r="204" spans="1:32" ht="18" x14ac:dyDescent="0.25">
      <c r="A204" s="271"/>
      <c r="B204" s="156"/>
      <c r="C204" s="156"/>
      <c r="D204" s="156"/>
      <c r="E204" s="156"/>
      <c r="F204" s="156"/>
      <c r="G204" s="156"/>
      <c r="H204" s="156"/>
      <c r="I204" s="156"/>
      <c r="J204" s="156"/>
      <c r="K204" s="156"/>
      <c r="L204" s="156"/>
      <c r="M204" s="156"/>
      <c r="N204" s="156"/>
      <c r="O204" s="156"/>
      <c r="P204" s="156"/>
      <c r="Q204" s="156"/>
      <c r="R204" s="156"/>
      <c r="S204" s="156"/>
      <c r="T204" s="156"/>
      <c r="U204" s="51"/>
      <c r="V204" s="374"/>
      <c r="W204" s="374"/>
      <c r="X204" s="143"/>
      <c r="Y204" s="360"/>
      <c r="Z204" s="360"/>
      <c r="AA204" s="65"/>
      <c r="AB204" s="65"/>
    </row>
    <row r="205" spans="1:32" s="65" customFormat="1" ht="15" customHeight="1" x14ac:dyDescent="0.2">
      <c r="A205" s="529"/>
      <c r="B205" s="407" t="s">
        <v>326</v>
      </c>
      <c r="R205" s="530"/>
      <c r="T205" s="375"/>
    </row>
    <row r="206" spans="1:32" s="65" customFormat="1" ht="14.85" customHeight="1" x14ac:dyDescent="0.2">
      <c r="A206" s="400" t="s">
        <v>161</v>
      </c>
      <c r="B206" s="401"/>
      <c r="C206" s="543"/>
      <c r="D206" s="392" t="s">
        <v>19</v>
      </c>
      <c r="E206" s="393" t="s">
        <v>59</v>
      </c>
      <c r="F206" s="392" t="s">
        <v>27</v>
      </c>
      <c r="G206" s="394"/>
      <c r="H206" s="395"/>
      <c r="I206" s="395"/>
      <c r="J206" s="394"/>
      <c r="K206" s="394" t="s">
        <v>39</v>
      </c>
      <c r="L206" s="394" t="s">
        <v>40</v>
      </c>
      <c r="M206" s="394" t="s">
        <v>42</v>
      </c>
      <c r="N206" s="394" t="s">
        <v>2</v>
      </c>
      <c r="O206" s="394" t="s">
        <v>180</v>
      </c>
      <c r="P206" s="544" t="s">
        <v>163</v>
      </c>
      <c r="Q206" s="544" t="s">
        <v>184</v>
      </c>
      <c r="R206" s="545"/>
      <c r="T206" s="375"/>
    </row>
    <row r="207" spans="1:32" s="65" customFormat="1" x14ac:dyDescent="0.2">
      <c r="A207" s="531" t="s">
        <v>28</v>
      </c>
      <c r="B207" s="399" t="s">
        <v>325</v>
      </c>
      <c r="C207" s="397" t="s">
        <v>31</v>
      </c>
      <c r="D207" s="397" t="s">
        <v>30</v>
      </c>
      <c r="E207" s="397" t="s">
        <v>158</v>
      </c>
      <c r="F207" s="532" t="s">
        <v>56</v>
      </c>
      <c r="G207" s="222">
        <v>3970932.01</v>
      </c>
      <c r="H207" s="222">
        <v>4415559.24</v>
      </c>
      <c r="I207" s="216">
        <v>5.2310999999999996</v>
      </c>
      <c r="J207" s="216">
        <v>5.2310999999999996</v>
      </c>
      <c r="K207" s="351"/>
      <c r="L207" s="222"/>
      <c r="M207" s="222"/>
      <c r="N207" s="410"/>
      <c r="O207" s="224">
        <f>G207*I207+H207*J207</f>
        <v>43870574.377875</v>
      </c>
      <c r="P207" s="253">
        <f>ROUND(G207*I207,2)*10.96%+ROUND(H207*J207,2)*9.59%</f>
        <v>4491769.17447</v>
      </c>
      <c r="Q207" s="253">
        <f>ROUND(R207*P207,2)</f>
        <v>2245884.59</v>
      </c>
      <c r="R207" s="223">
        <v>0.5</v>
      </c>
      <c r="T207" s="375"/>
    </row>
    <row r="208" spans="1:32" s="65" customFormat="1" x14ac:dyDescent="0.2">
      <c r="A208" s="533" t="s">
        <v>28</v>
      </c>
      <c r="B208" s="534" t="str">
        <f>B207</f>
        <v xml:space="preserve">57 Gas    </v>
      </c>
      <c r="C208" s="535" t="s">
        <v>31</v>
      </c>
      <c r="D208" s="536" t="s">
        <v>186</v>
      </c>
      <c r="E208" s="536"/>
      <c r="F208" s="535" t="str">
        <f>F207</f>
        <v xml:space="preserve"> MM BTU</v>
      </c>
      <c r="G208" s="218">
        <f>G207</f>
        <v>3970932.01</v>
      </c>
      <c r="H208" s="218">
        <f>H207</f>
        <v>4415559.24</v>
      </c>
      <c r="I208" s="216">
        <v>2.5230000000000001</v>
      </c>
      <c r="J208" s="216">
        <v>2.5230000000000001</v>
      </c>
      <c r="K208" s="351"/>
      <c r="L208" s="222"/>
      <c r="M208" s="222"/>
      <c r="N208" s="410"/>
      <c r="O208" s="224">
        <f>G208*I208+H208*J208</f>
        <v>21159117.423750002</v>
      </c>
      <c r="P208" s="253">
        <f>ROUND(G208*I208,2)*10.96%+ROUND(H208*J208,2)*9.59%</f>
        <v>2166415.0225800006</v>
      </c>
      <c r="Q208" s="253">
        <f>ROUND(R208*P208,2)</f>
        <v>1083207.51</v>
      </c>
      <c r="R208" s="223">
        <v>0.5</v>
      </c>
      <c r="T208" s="375"/>
    </row>
    <row r="209" spans="1:28" s="65" customFormat="1" x14ac:dyDescent="0.2">
      <c r="A209" s="537"/>
      <c r="B209" s="390" t="s">
        <v>181</v>
      </c>
      <c r="C209" s="402"/>
      <c r="D209" s="538"/>
      <c r="E209" s="538"/>
      <c r="F209" s="537"/>
      <c r="G209" s="539">
        <f t="shared" ref="G209:N209" si="62">G208-G207</f>
        <v>0</v>
      </c>
      <c r="H209" s="539">
        <f t="shared" si="62"/>
        <v>0</v>
      </c>
      <c r="I209" s="540">
        <f t="shared" si="62"/>
        <v>-2.7080999999999995</v>
      </c>
      <c r="J209" s="540">
        <f t="shared" si="62"/>
        <v>-2.7080999999999995</v>
      </c>
      <c r="K209" s="541">
        <f t="shared" si="62"/>
        <v>0</v>
      </c>
      <c r="L209" s="541">
        <f t="shared" si="62"/>
        <v>0</v>
      </c>
      <c r="M209" s="541">
        <f t="shared" si="62"/>
        <v>0</v>
      </c>
      <c r="N209" s="541">
        <f t="shared" si="62"/>
        <v>0</v>
      </c>
      <c r="O209" s="196">
        <f>O208-O207</f>
        <v>-22711456.954124998</v>
      </c>
      <c r="P209" s="196">
        <f>P208-P207</f>
        <v>-2325354.1518899994</v>
      </c>
      <c r="Q209" s="196">
        <f>Q208-Q207</f>
        <v>-1162677.0799999998</v>
      </c>
      <c r="R209" s="542"/>
      <c r="S209" s="553"/>
      <c r="T209" s="375"/>
    </row>
    <row r="210" spans="1:28" ht="18" x14ac:dyDescent="0.25">
      <c r="A210" s="271"/>
      <c r="B210" s="156"/>
      <c r="C210" s="156"/>
      <c r="D210" s="156"/>
      <c r="E210" s="156"/>
      <c r="F210" s="156"/>
      <c r="G210" s="156"/>
      <c r="H210" s="156"/>
      <c r="I210" s="156"/>
      <c r="J210" s="156"/>
      <c r="K210" s="156"/>
      <c r="L210" s="156"/>
      <c r="M210" s="156"/>
      <c r="N210" s="156"/>
      <c r="O210" s="156"/>
      <c r="P210" s="156"/>
      <c r="Q210" s="156"/>
      <c r="R210" s="156"/>
      <c r="S210" s="156"/>
      <c r="T210" s="156"/>
      <c r="U210" s="51"/>
      <c r="V210" s="374"/>
      <c r="W210" s="374"/>
      <c r="X210" s="143"/>
      <c r="Y210" s="360"/>
      <c r="Z210" s="360"/>
      <c r="AA210" s="65"/>
      <c r="AB210" s="65"/>
    </row>
    <row r="211" spans="1:28" s="65" customFormat="1" ht="15" customHeight="1" x14ac:dyDescent="0.2">
      <c r="A211" s="529"/>
      <c r="B211" s="407" t="s">
        <v>324</v>
      </c>
      <c r="R211" s="530"/>
      <c r="T211" s="375"/>
    </row>
    <row r="212" spans="1:28" s="65" customFormat="1" ht="14.85" customHeight="1" x14ac:dyDescent="0.2">
      <c r="A212" s="400" t="s">
        <v>161</v>
      </c>
      <c r="B212" s="401"/>
      <c r="C212" s="543"/>
      <c r="D212" s="392" t="s">
        <v>19</v>
      </c>
      <c r="E212" s="393" t="s">
        <v>59</v>
      </c>
      <c r="F212" s="392" t="s">
        <v>27</v>
      </c>
      <c r="G212" s="394" t="s">
        <v>35</v>
      </c>
      <c r="H212" s="395" t="s">
        <v>36</v>
      </c>
      <c r="I212" s="395" t="s">
        <v>35</v>
      </c>
      <c r="J212" s="394" t="s">
        <v>36</v>
      </c>
      <c r="K212" s="394" t="s">
        <v>39</v>
      </c>
      <c r="L212" s="394" t="s">
        <v>40</v>
      </c>
      <c r="M212" s="394" t="s">
        <v>42</v>
      </c>
      <c r="N212" s="394" t="s">
        <v>2</v>
      </c>
      <c r="O212" s="394" t="s">
        <v>180</v>
      </c>
      <c r="P212" s="544" t="s">
        <v>163</v>
      </c>
      <c r="Q212" s="544" t="s">
        <v>184</v>
      </c>
      <c r="R212" s="545"/>
      <c r="T212" s="375"/>
    </row>
    <row r="213" spans="1:28" s="65" customFormat="1" x14ac:dyDescent="0.2">
      <c r="A213" s="531" t="s">
        <v>28</v>
      </c>
      <c r="B213" s="399" t="s">
        <v>327</v>
      </c>
      <c r="C213" s="397" t="s">
        <v>31</v>
      </c>
      <c r="D213" s="397" t="s">
        <v>30</v>
      </c>
      <c r="E213" s="397" t="s">
        <v>158</v>
      </c>
      <c r="F213" s="532" t="s">
        <v>56</v>
      </c>
      <c r="G213" s="386">
        <v>239340</v>
      </c>
      <c r="H213" s="386">
        <v>272795</v>
      </c>
      <c r="I213" s="217">
        <v>34.73640000000001</v>
      </c>
      <c r="J213" s="216">
        <v>35.6554</v>
      </c>
      <c r="K213" s="215"/>
      <c r="L213" s="222"/>
      <c r="M213" s="222"/>
      <c r="N213" s="215"/>
      <c r="O213" s="224">
        <f>G213*I213+H213*J213</f>
        <v>18040424.819000002</v>
      </c>
      <c r="P213" s="253">
        <f>ROUND(G213*I213,2)*6.49%+ROUND(H213*J213,2)*6.24%</f>
        <v>1146507.0337180002</v>
      </c>
      <c r="Q213" s="253">
        <f>ROUND(R213*P213,2)</f>
        <v>573253.52</v>
      </c>
      <c r="R213" s="223">
        <v>0.5</v>
      </c>
      <c r="T213" s="375"/>
    </row>
    <row r="214" spans="1:28" s="65" customFormat="1" x14ac:dyDescent="0.2">
      <c r="A214" s="533" t="s">
        <v>28</v>
      </c>
      <c r="B214" s="534" t="str">
        <f>B213</f>
        <v>57 - LGN</v>
      </c>
      <c r="C214" s="535" t="s">
        <v>31</v>
      </c>
      <c r="D214" s="536" t="s">
        <v>186</v>
      </c>
      <c r="E214" s="536"/>
      <c r="F214" s="535" t="str">
        <f>F213</f>
        <v xml:space="preserve"> MM BTU</v>
      </c>
      <c r="G214" s="218">
        <f>G213</f>
        <v>239340</v>
      </c>
      <c r="H214" s="218">
        <f>H213</f>
        <v>272795</v>
      </c>
      <c r="I214" s="216">
        <v>35.259</v>
      </c>
      <c r="J214" s="216">
        <v>36.177999999999997</v>
      </c>
      <c r="K214" s="351"/>
      <c r="L214" s="222"/>
      <c r="M214" s="222"/>
      <c r="N214" s="410"/>
      <c r="O214" s="224">
        <f>G214*I214+H214*J214</f>
        <v>18308066.57</v>
      </c>
      <c r="P214" s="253">
        <f>ROUND(G214*I214,2)*6.49%+ROUND(H214*J214,2)*6.24%</f>
        <v>1163520.5766179999</v>
      </c>
      <c r="Q214" s="222">
        <f>ROUND(R214*P214,2)</f>
        <v>581760.29</v>
      </c>
      <c r="R214" s="223">
        <v>0.5</v>
      </c>
      <c r="T214" s="375"/>
    </row>
    <row r="215" spans="1:28" s="65" customFormat="1" x14ac:dyDescent="0.2">
      <c r="A215" s="537"/>
      <c r="B215" s="390" t="s">
        <v>181</v>
      </c>
      <c r="C215" s="402"/>
      <c r="D215" s="538"/>
      <c r="E215" s="538"/>
      <c r="F215" s="537"/>
      <c r="G215" s="539">
        <f t="shared" ref="G215:N215" si="63">G214-G213</f>
        <v>0</v>
      </c>
      <c r="H215" s="539">
        <f t="shared" si="63"/>
        <v>0</v>
      </c>
      <c r="I215" s="540">
        <f t="shared" si="63"/>
        <v>0.52259999999998996</v>
      </c>
      <c r="J215" s="540">
        <f t="shared" si="63"/>
        <v>0.52259999999999707</v>
      </c>
      <c r="K215" s="541">
        <f t="shared" si="63"/>
        <v>0</v>
      </c>
      <c r="L215" s="541">
        <f t="shared" si="63"/>
        <v>0</v>
      </c>
      <c r="M215" s="541">
        <f t="shared" si="63"/>
        <v>0</v>
      </c>
      <c r="N215" s="541">
        <f t="shared" si="63"/>
        <v>0</v>
      </c>
      <c r="O215" s="196">
        <f>O214-O213</f>
        <v>267641.7509999983</v>
      </c>
      <c r="P215" s="196">
        <f>P214-P213</f>
        <v>17013.542899999768</v>
      </c>
      <c r="Q215" s="196">
        <f>Q214-Q213</f>
        <v>8506.7700000000186</v>
      </c>
      <c r="R215" s="542"/>
      <c r="S215" s="553"/>
      <c r="T215" s="375"/>
    </row>
    <row r="216" spans="1:28" ht="18" x14ac:dyDescent="0.25">
      <c r="A216" s="271"/>
      <c r="B216" s="156"/>
      <c r="C216" s="156"/>
      <c r="D216" s="156"/>
      <c r="E216" s="156"/>
      <c r="F216" s="156"/>
      <c r="G216" s="156"/>
      <c r="H216" s="156"/>
      <c r="I216" s="156"/>
      <c r="J216" s="156"/>
      <c r="K216" s="156"/>
      <c r="L216" s="156"/>
      <c r="M216" s="156"/>
      <c r="N216" s="156"/>
      <c r="O216" s="156"/>
      <c r="P216" s="156"/>
      <c r="Q216" s="156"/>
      <c r="R216" s="156"/>
      <c r="S216" s="156"/>
      <c r="T216" s="156"/>
      <c r="U216" s="51"/>
      <c r="V216" s="374"/>
      <c r="W216" s="374"/>
      <c r="X216" s="143"/>
      <c r="Y216" s="360"/>
      <c r="Z216" s="360"/>
      <c r="AA216" s="65"/>
      <c r="AB216" s="65"/>
    </row>
    <row r="217" spans="1:28" ht="18" x14ac:dyDescent="0.25">
      <c r="A217" s="271"/>
      <c r="B217" s="156"/>
      <c r="C217" s="156"/>
      <c r="D217" s="156"/>
      <c r="E217" s="156"/>
      <c r="F217" s="156"/>
      <c r="G217" s="156"/>
      <c r="H217" s="156"/>
      <c r="I217" s="156"/>
      <c r="J217" s="156"/>
      <c r="K217" s="156"/>
      <c r="L217" s="156"/>
      <c r="M217" s="156"/>
      <c r="N217" s="156"/>
      <c r="O217" s="156"/>
      <c r="P217" s="156"/>
      <c r="Q217" s="156"/>
      <c r="R217" s="156"/>
      <c r="S217" s="156"/>
      <c r="T217" s="156"/>
      <c r="U217" s="51"/>
      <c r="V217" s="374"/>
      <c r="W217" s="374"/>
      <c r="X217" s="143"/>
      <c r="Y217" s="360"/>
      <c r="Z217" s="360"/>
      <c r="AA217" s="65"/>
      <c r="AB217" s="65"/>
    </row>
    <row r="218" spans="1:28" ht="18" x14ac:dyDescent="0.25">
      <c r="A218" s="271"/>
      <c r="B218" s="156"/>
      <c r="C218" s="156"/>
      <c r="D218" s="156"/>
      <c r="E218" s="156"/>
      <c r="F218" s="156"/>
      <c r="G218" s="156"/>
      <c r="H218" s="156"/>
      <c r="I218" s="156"/>
      <c r="J218" s="156"/>
      <c r="K218" s="156"/>
      <c r="L218" s="156"/>
      <c r="M218" s="156"/>
      <c r="N218" s="156"/>
      <c r="O218" s="156"/>
      <c r="P218" s="156"/>
      <c r="Q218" s="156"/>
      <c r="R218" s="156"/>
      <c r="S218" s="156"/>
      <c r="T218" s="156"/>
      <c r="U218" s="51"/>
      <c r="V218" s="374"/>
      <c r="W218" s="374"/>
      <c r="X218" s="143"/>
      <c r="Y218" s="360"/>
      <c r="Z218" s="360"/>
      <c r="AA218" s="65"/>
      <c r="AB218" s="65"/>
    </row>
    <row r="219" spans="1:28" ht="18" x14ac:dyDescent="0.25">
      <c r="A219" s="271"/>
      <c r="B219" s="156"/>
      <c r="C219" s="156"/>
      <c r="D219" s="156"/>
      <c r="E219" s="156"/>
      <c r="F219" s="156"/>
      <c r="G219" s="156"/>
      <c r="H219" s="156"/>
      <c r="I219" s="156"/>
      <c r="J219" s="156"/>
      <c r="K219" s="156"/>
      <c r="L219" s="156"/>
      <c r="M219" s="156"/>
      <c r="N219" s="156"/>
      <c r="O219" s="156"/>
      <c r="P219" s="156"/>
      <c r="Q219" s="156"/>
      <c r="R219" s="156"/>
      <c r="S219" s="156"/>
      <c r="T219" s="156"/>
      <c r="U219" s="51"/>
      <c r="V219" s="374"/>
      <c r="W219" s="374"/>
      <c r="X219" s="143"/>
      <c r="Y219" s="360"/>
      <c r="Z219" s="360"/>
      <c r="AA219" s="65"/>
      <c r="AB219" s="65"/>
    </row>
    <row r="220" spans="1:28" ht="18" x14ac:dyDescent="0.25">
      <c r="A220" s="271"/>
      <c r="B220" s="156"/>
      <c r="C220" s="156"/>
      <c r="D220" s="156"/>
      <c r="E220" s="156"/>
      <c r="F220" s="156"/>
      <c r="G220" s="156"/>
      <c r="H220" s="156"/>
      <c r="I220" s="156"/>
      <c r="J220" s="156"/>
      <c r="K220" s="156"/>
      <c r="L220" s="156"/>
      <c r="M220" s="156"/>
      <c r="N220" s="156"/>
      <c r="O220" s="156"/>
      <c r="P220" s="156"/>
      <c r="Q220" s="156"/>
      <c r="R220" s="156"/>
      <c r="S220" s="156"/>
      <c r="T220" s="156"/>
      <c r="U220" s="51"/>
      <c r="V220" s="374"/>
      <c r="W220" s="374"/>
      <c r="X220" s="143"/>
      <c r="Y220" s="360"/>
      <c r="Z220" s="360"/>
      <c r="AA220" s="65"/>
      <c r="AB220" s="65"/>
    </row>
    <row r="221" spans="1:28" s="65" customFormat="1" ht="15" customHeight="1" x14ac:dyDescent="0.2">
      <c r="A221" s="529"/>
      <c r="B221" s="407" t="s">
        <v>311</v>
      </c>
      <c r="R221" s="530"/>
      <c r="T221" s="375"/>
    </row>
    <row r="222" spans="1:28" s="65" customFormat="1" ht="14.85" customHeight="1" x14ac:dyDescent="0.2">
      <c r="A222" s="400" t="s">
        <v>161</v>
      </c>
      <c r="B222" s="401"/>
      <c r="C222" s="543"/>
      <c r="D222" s="392" t="s">
        <v>19</v>
      </c>
      <c r="E222" s="393" t="s">
        <v>59</v>
      </c>
      <c r="F222" s="392" t="s">
        <v>27</v>
      </c>
      <c r="G222" s="394" t="s">
        <v>35</v>
      </c>
      <c r="H222" s="395" t="s">
        <v>36</v>
      </c>
      <c r="I222" s="395" t="s">
        <v>35</v>
      </c>
      <c r="J222" s="394" t="s">
        <v>36</v>
      </c>
      <c r="K222" s="394" t="s">
        <v>39</v>
      </c>
      <c r="L222" s="394" t="s">
        <v>40</v>
      </c>
      <c r="M222" s="394" t="s">
        <v>42</v>
      </c>
      <c r="N222" s="394" t="s">
        <v>2</v>
      </c>
      <c r="O222" s="394" t="s">
        <v>180</v>
      </c>
      <c r="P222" s="544" t="s">
        <v>163</v>
      </c>
      <c r="Q222" s="544" t="s">
        <v>184</v>
      </c>
      <c r="R222" s="545"/>
      <c r="T222" s="375"/>
    </row>
    <row r="223" spans="1:28" s="65" customFormat="1" x14ac:dyDescent="0.2">
      <c r="A223" s="531" t="s">
        <v>28</v>
      </c>
      <c r="B223" s="399" t="s">
        <v>310</v>
      </c>
      <c r="C223" s="397" t="s">
        <v>31</v>
      </c>
      <c r="D223" s="397" t="s">
        <v>30</v>
      </c>
      <c r="E223" s="397" t="s">
        <v>158</v>
      </c>
      <c r="F223" s="532" t="s">
        <v>56</v>
      </c>
      <c r="G223" s="218">
        <v>247713.63489896231</v>
      </c>
      <c r="H223" s="222"/>
      <c r="I223" s="216">
        <v>3.7010999999999994</v>
      </c>
      <c r="J223" s="216"/>
      <c r="K223" s="222"/>
      <c r="L223" s="222"/>
      <c r="M223" s="222"/>
      <c r="N223" s="409"/>
      <c r="O223" s="222">
        <f>ROUND(G223*I223+H223*J223,2)</f>
        <v>916812.93</v>
      </c>
      <c r="P223" s="253">
        <f>ROUND(37.24%*O223,2)</f>
        <v>341421.14</v>
      </c>
      <c r="Q223" s="222">
        <f>ROUND(R223*P223,2)</f>
        <v>170710.57</v>
      </c>
      <c r="R223" s="223">
        <v>0.5</v>
      </c>
      <c r="T223" s="375"/>
    </row>
    <row r="224" spans="1:28" s="65" customFormat="1" x14ac:dyDescent="0.2">
      <c r="A224" s="533" t="s">
        <v>28</v>
      </c>
      <c r="B224" s="534" t="str">
        <f>B223</f>
        <v xml:space="preserve">56 Gas Interno </v>
      </c>
      <c r="C224" s="535" t="s">
        <v>31</v>
      </c>
      <c r="D224" s="536" t="s">
        <v>186</v>
      </c>
      <c r="E224" s="536"/>
      <c r="F224" s="535" t="str">
        <f>F223</f>
        <v xml:space="preserve"> MM BTU</v>
      </c>
      <c r="G224" s="218">
        <f>G223</f>
        <v>247713.63489896231</v>
      </c>
      <c r="H224" s="218">
        <f>H223</f>
        <v>0</v>
      </c>
      <c r="I224" s="216">
        <v>3.7033</v>
      </c>
      <c r="J224" s="216"/>
      <c r="K224" s="351"/>
      <c r="L224" s="222"/>
      <c r="M224" s="222"/>
      <c r="N224" s="410"/>
      <c r="O224" s="222">
        <f>ROUND(G224*I224+H224*J224,2)</f>
        <v>917357.9</v>
      </c>
      <c r="P224" s="253">
        <f>ROUND(37.24%*O224,2)</f>
        <v>341624.08</v>
      </c>
      <c r="Q224" s="222">
        <f>ROUND(R224*P224,2)</f>
        <v>170812.04</v>
      </c>
      <c r="R224" s="223">
        <v>0.5</v>
      </c>
      <c r="T224" s="375"/>
    </row>
    <row r="225" spans="1:20" s="65" customFormat="1" x14ac:dyDescent="0.2">
      <c r="A225" s="537"/>
      <c r="B225" s="390" t="s">
        <v>181</v>
      </c>
      <c r="C225" s="402"/>
      <c r="D225" s="538"/>
      <c r="E225" s="538"/>
      <c r="F225" s="537"/>
      <c r="G225" s="539">
        <f t="shared" ref="G225:N225" si="64">G224-G223</f>
        <v>0</v>
      </c>
      <c r="H225" s="539">
        <f t="shared" si="64"/>
        <v>0</v>
      </c>
      <c r="I225" s="540">
        <f t="shared" si="64"/>
        <v>2.2000000000006459E-3</v>
      </c>
      <c r="J225" s="540">
        <f t="shared" si="64"/>
        <v>0</v>
      </c>
      <c r="K225" s="541">
        <f t="shared" si="64"/>
        <v>0</v>
      </c>
      <c r="L225" s="541">
        <f t="shared" si="64"/>
        <v>0</v>
      </c>
      <c r="M225" s="541">
        <f t="shared" si="64"/>
        <v>0</v>
      </c>
      <c r="N225" s="541">
        <f t="shared" si="64"/>
        <v>0</v>
      </c>
      <c r="O225" s="196">
        <f>O224-O223</f>
        <v>544.96999999997206</v>
      </c>
      <c r="P225" s="196">
        <f>P224-P223</f>
        <v>202.94000000000233</v>
      </c>
      <c r="Q225" s="196">
        <f>Q224-Q223</f>
        <v>101.47000000000116</v>
      </c>
      <c r="R225" s="542"/>
      <c r="S225" s="65" t="s">
        <v>182</v>
      </c>
      <c r="T225" s="375"/>
    </row>
    <row r="227" spans="1:20" s="65" customFormat="1" ht="15" customHeight="1" x14ac:dyDescent="0.2">
      <c r="A227" s="529" t="s">
        <v>308</v>
      </c>
      <c r="B227" s="407" t="s">
        <v>329</v>
      </c>
      <c r="R227" s="530"/>
      <c r="T227" s="375"/>
    </row>
    <row r="228" spans="1:20" s="65" customFormat="1" ht="14.85" customHeight="1" x14ac:dyDescent="0.2">
      <c r="A228" s="400" t="s">
        <v>161</v>
      </c>
      <c r="B228" s="401"/>
      <c r="C228" s="543"/>
      <c r="D228" s="392" t="s">
        <v>19</v>
      </c>
      <c r="E228" s="393" t="s">
        <v>59</v>
      </c>
      <c r="F228" s="392" t="s">
        <v>27</v>
      </c>
      <c r="G228" s="394" t="s">
        <v>35</v>
      </c>
      <c r="H228" s="395" t="s">
        <v>36</v>
      </c>
      <c r="I228" s="395" t="s">
        <v>35</v>
      </c>
      <c r="J228" s="394" t="s">
        <v>36</v>
      </c>
      <c r="K228" s="394" t="s">
        <v>39</v>
      </c>
      <c r="L228" s="394" t="s">
        <v>40</v>
      </c>
      <c r="M228" s="394" t="s">
        <v>42</v>
      </c>
      <c r="N228" s="394" t="s">
        <v>2</v>
      </c>
      <c r="O228" s="394" t="s">
        <v>180</v>
      </c>
      <c r="P228" s="544" t="s">
        <v>163</v>
      </c>
      <c r="Q228" s="544" t="s">
        <v>184</v>
      </c>
      <c r="R228" s="545"/>
      <c r="T228" s="375"/>
    </row>
    <row r="229" spans="1:20" s="65" customFormat="1" x14ac:dyDescent="0.2">
      <c r="A229" s="531" t="s">
        <v>28</v>
      </c>
      <c r="B229" s="399" t="s">
        <v>328</v>
      </c>
      <c r="C229" s="397" t="s">
        <v>31</v>
      </c>
      <c r="D229" s="397" t="s">
        <v>30</v>
      </c>
      <c r="E229" s="397" t="s">
        <v>158</v>
      </c>
      <c r="F229" s="532" t="s">
        <v>56</v>
      </c>
      <c r="G229" s="218"/>
      <c r="H229" s="218">
        <v>5438260.4100000001</v>
      </c>
      <c r="I229" s="216"/>
      <c r="J229" s="216">
        <v>2.794</v>
      </c>
      <c r="K229" s="222"/>
      <c r="L229" s="222"/>
      <c r="M229" s="222"/>
      <c r="N229" s="409"/>
      <c r="O229" s="556">
        <f>G229*I229+H229*J229</f>
        <v>15194499.58554</v>
      </c>
      <c r="P229" s="557">
        <f>ROUND(38%*G229*I229,2)+ROUND(38%*H229*J229,2)</f>
        <v>5773909.8399999999</v>
      </c>
      <c r="Q229" s="409">
        <f>ROUND(R229*P229,2)</f>
        <v>2886954.92</v>
      </c>
      <c r="R229" s="223">
        <v>0.5</v>
      </c>
      <c r="T229" s="375"/>
    </row>
    <row r="230" spans="1:20" s="65" customFormat="1" x14ac:dyDescent="0.2">
      <c r="A230" s="533" t="s">
        <v>28</v>
      </c>
      <c r="B230" s="534" t="str">
        <f>B229</f>
        <v xml:space="preserve">56 GAS </v>
      </c>
      <c r="C230" s="535" t="s">
        <v>31</v>
      </c>
      <c r="D230" s="536" t="s">
        <v>186</v>
      </c>
      <c r="E230" s="536"/>
      <c r="F230" s="535" t="str">
        <f>F229</f>
        <v xml:space="preserve"> MM BTU</v>
      </c>
      <c r="G230" s="218">
        <f>G229</f>
        <v>0</v>
      </c>
      <c r="H230" s="218">
        <f>H229</f>
        <v>5438260.4100000001</v>
      </c>
      <c r="I230" s="216"/>
      <c r="J230" s="216">
        <v>2.3380000000000001</v>
      </c>
      <c r="K230" s="351"/>
      <c r="L230" s="222"/>
      <c r="M230" s="222"/>
      <c r="N230" s="410"/>
      <c r="O230" s="224">
        <f>G230*I230+H230*J230</f>
        <v>12714652.838580001</v>
      </c>
      <c r="P230" s="253">
        <f>ROUND(38%*G230*I230,2)+ROUND(38%*H230*J230,2)</f>
        <v>4831568.08</v>
      </c>
      <c r="Q230" s="253">
        <f>ROUND(R230*P230,2)</f>
        <v>2415784.04</v>
      </c>
      <c r="R230" s="223">
        <v>0.5</v>
      </c>
      <c r="T230" s="375"/>
    </row>
    <row r="231" spans="1:20" s="65" customFormat="1" x14ac:dyDescent="0.2">
      <c r="A231" s="537"/>
      <c r="B231" s="390" t="s">
        <v>181</v>
      </c>
      <c r="C231" s="402"/>
      <c r="D231" s="538"/>
      <c r="E231" s="538"/>
      <c r="F231" s="537"/>
      <c r="G231" s="539">
        <f t="shared" ref="G231:N231" si="65">G230-G229</f>
        <v>0</v>
      </c>
      <c r="H231" s="539">
        <f t="shared" si="65"/>
        <v>0</v>
      </c>
      <c r="I231" s="540">
        <f t="shared" si="65"/>
        <v>0</v>
      </c>
      <c r="J231" s="540">
        <f t="shared" si="65"/>
        <v>-0.45599999999999996</v>
      </c>
      <c r="K231" s="541">
        <f t="shared" si="65"/>
        <v>0</v>
      </c>
      <c r="L231" s="541">
        <f t="shared" si="65"/>
        <v>0</v>
      </c>
      <c r="M231" s="541">
        <f t="shared" si="65"/>
        <v>0</v>
      </c>
      <c r="N231" s="541">
        <f t="shared" si="65"/>
        <v>0</v>
      </c>
      <c r="O231" s="196">
        <f>O230-O229</f>
        <v>-2479846.7469599992</v>
      </c>
      <c r="P231" s="196">
        <f>P230-P229</f>
        <v>-942341.75999999978</v>
      </c>
      <c r="Q231" s="196">
        <f>Q230-Q229</f>
        <v>-471170.87999999989</v>
      </c>
      <c r="R231" s="542"/>
      <c r="S231" s="65" t="s">
        <v>309</v>
      </c>
      <c r="T231" s="375"/>
    </row>
    <row r="238" spans="1:20" s="65" customFormat="1" ht="15" customHeight="1" x14ac:dyDescent="0.2">
      <c r="A238" s="529"/>
      <c r="B238" s="407" t="s">
        <v>319</v>
      </c>
      <c r="R238" s="530"/>
      <c r="T238" s="375"/>
    </row>
    <row r="239" spans="1:20" s="65" customFormat="1" ht="14.85" customHeight="1" x14ac:dyDescent="0.2">
      <c r="A239" s="400" t="s">
        <v>161</v>
      </c>
      <c r="B239" s="401"/>
      <c r="C239" s="543"/>
      <c r="D239" s="392" t="s">
        <v>19</v>
      </c>
      <c r="E239" s="393" t="s">
        <v>59</v>
      </c>
      <c r="F239" s="392" t="s">
        <v>27</v>
      </c>
      <c r="G239" s="394" t="s">
        <v>35</v>
      </c>
      <c r="H239" s="395" t="s">
        <v>36</v>
      </c>
      <c r="I239" s="395" t="s">
        <v>35</v>
      </c>
      <c r="J239" s="394" t="s">
        <v>36</v>
      </c>
      <c r="K239" s="394" t="s">
        <v>39</v>
      </c>
      <c r="L239" s="394" t="s">
        <v>40</v>
      </c>
      <c r="M239" s="394" t="s">
        <v>42</v>
      </c>
      <c r="N239" s="394" t="s">
        <v>2</v>
      </c>
      <c r="O239" s="394" t="s">
        <v>180</v>
      </c>
      <c r="P239" s="544" t="s">
        <v>163</v>
      </c>
      <c r="Q239" s="544" t="s">
        <v>184</v>
      </c>
      <c r="R239" s="545"/>
      <c r="T239" s="375"/>
    </row>
    <row r="240" spans="1:20" s="65" customFormat="1" x14ac:dyDescent="0.2">
      <c r="A240" s="531" t="s">
        <v>28</v>
      </c>
      <c r="B240" s="399" t="s">
        <v>318</v>
      </c>
      <c r="C240" s="397" t="s">
        <v>31</v>
      </c>
      <c r="D240" s="397" t="s">
        <v>30</v>
      </c>
      <c r="E240" s="397" t="s">
        <v>158</v>
      </c>
      <c r="F240" s="532" t="s">
        <v>56</v>
      </c>
      <c r="G240" s="220">
        <v>13268703.070141219</v>
      </c>
      <c r="H240" s="220">
        <v>12275467.381380033</v>
      </c>
      <c r="I240" s="216">
        <v>2.6724000000000001</v>
      </c>
      <c r="J240" s="216">
        <v>2.6724000000000001</v>
      </c>
      <c r="K240" s="222"/>
      <c r="L240" s="222"/>
      <c r="M240" s="222"/>
      <c r="N240" s="409"/>
      <c r="O240" s="224">
        <f>G240*I240+H240*J240</f>
        <v>68264241.114645392</v>
      </c>
      <c r="P240" s="253">
        <f>ROUND(37.24%*(G240*I240+H240*J240),2)</f>
        <v>25421603.390000001</v>
      </c>
      <c r="Q240" s="222">
        <f>ROUND(R240*P240,2)</f>
        <v>12710801.699999999</v>
      </c>
      <c r="R240" s="223">
        <v>0.5</v>
      </c>
      <c r="T240" s="375"/>
    </row>
    <row r="241" spans="1:20" s="65" customFormat="1" x14ac:dyDescent="0.2">
      <c r="A241" s="533" t="s">
        <v>28</v>
      </c>
      <c r="B241" s="534" t="str">
        <f>B240</f>
        <v xml:space="preserve">88 GAS </v>
      </c>
      <c r="C241" s="535" t="s">
        <v>31</v>
      </c>
      <c r="D241" s="536" t="s">
        <v>186</v>
      </c>
      <c r="E241" s="536"/>
      <c r="F241" s="535" t="str">
        <f>F240</f>
        <v xml:space="preserve"> MM BTU</v>
      </c>
      <c r="G241" s="218">
        <f>G240</f>
        <v>13268703.070141219</v>
      </c>
      <c r="H241" s="218">
        <f>H240</f>
        <v>12275467.381380033</v>
      </c>
      <c r="I241" s="216">
        <v>2.6722000000000001</v>
      </c>
      <c r="J241" s="216">
        <v>2.6722000000000001</v>
      </c>
      <c r="K241" s="351"/>
      <c r="L241" s="222"/>
      <c r="M241" s="222"/>
      <c r="N241" s="410"/>
      <c r="O241" s="224">
        <f>G241*I241+H241*J241</f>
        <v>68259132.280555084</v>
      </c>
      <c r="P241" s="253">
        <f>ROUND(37.24%*(G241*I241+H241*J241),2)</f>
        <v>25419700.859999999</v>
      </c>
      <c r="Q241" s="253">
        <f>ROUND(R241*P241,2)</f>
        <v>12709850.43</v>
      </c>
      <c r="R241" s="223">
        <v>0.5</v>
      </c>
      <c r="T241" s="375"/>
    </row>
    <row r="242" spans="1:20" s="65" customFormat="1" x14ac:dyDescent="0.2">
      <c r="A242" s="537"/>
      <c r="B242" s="390" t="s">
        <v>181</v>
      </c>
      <c r="C242" s="402"/>
      <c r="D242" s="538"/>
      <c r="E242" s="538"/>
      <c r="F242" s="537"/>
      <c r="G242" s="539">
        <f t="shared" ref="G242:N242" si="66">G241-G240</f>
        <v>0</v>
      </c>
      <c r="H242" s="539">
        <f t="shared" si="66"/>
        <v>0</v>
      </c>
      <c r="I242" s="540">
        <f t="shared" si="66"/>
        <v>-1.9999999999997797E-4</v>
      </c>
      <c r="J242" s="540">
        <f t="shared" si="66"/>
        <v>-1.9999999999997797E-4</v>
      </c>
      <c r="K242" s="541">
        <f t="shared" si="66"/>
        <v>0</v>
      </c>
      <c r="L242" s="541">
        <f t="shared" si="66"/>
        <v>0</v>
      </c>
      <c r="M242" s="541">
        <f t="shared" si="66"/>
        <v>0</v>
      </c>
      <c r="N242" s="541">
        <f t="shared" si="66"/>
        <v>0</v>
      </c>
      <c r="O242" s="196">
        <f>O241-O240</f>
        <v>-5108.8340903073549</v>
      </c>
      <c r="P242" s="196">
        <f>P241-P240</f>
        <v>-1902.5300000011921</v>
      </c>
      <c r="Q242" s="196">
        <f>Q241-Q240</f>
        <v>-951.26999999955297</v>
      </c>
      <c r="R242" s="542"/>
      <c r="S242" s="65" t="s">
        <v>182</v>
      </c>
      <c r="T242" s="375"/>
    </row>
    <row r="243" spans="1:20" s="65" customFormat="1" x14ac:dyDescent="0.2">
      <c r="A243" s="387"/>
      <c r="C243" s="387"/>
      <c r="D243" s="387"/>
      <c r="E243" s="387"/>
      <c r="F243" s="387"/>
      <c r="G243" s="302"/>
      <c r="H243" s="302"/>
      <c r="I243" s="554"/>
      <c r="J243" s="554"/>
      <c r="K243" s="387"/>
      <c r="L243" s="387"/>
      <c r="M243" s="387"/>
      <c r="N243" s="387"/>
      <c r="O243" s="302"/>
      <c r="P243" s="302"/>
      <c r="Q243" s="302"/>
      <c r="R243" s="555"/>
      <c r="T243" s="375"/>
    </row>
    <row r="244" spans="1:20" s="65" customFormat="1" ht="15" customHeight="1" x14ac:dyDescent="0.2">
      <c r="A244" s="529"/>
      <c r="B244" s="407" t="s">
        <v>320</v>
      </c>
      <c r="R244" s="530"/>
      <c r="T244" s="375"/>
    </row>
    <row r="245" spans="1:20" s="65" customFormat="1" ht="14.85" customHeight="1" x14ac:dyDescent="0.2">
      <c r="A245" s="400" t="s">
        <v>161</v>
      </c>
      <c r="B245" s="401"/>
      <c r="C245" s="543"/>
      <c r="D245" s="392" t="s">
        <v>19</v>
      </c>
      <c r="E245" s="393" t="s">
        <v>59</v>
      </c>
      <c r="F245" s="392" t="s">
        <v>27</v>
      </c>
      <c r="G245" s="394" t="s">
        <v>35</v>
      </c>
      <c r="H245" s="395" t="s">
        <v>36</v>
      </c>
      <c r="I245" s="395" t="s">
        <v>35</v>
      </c>
      <c r="J245" s="394" t="s">
        <v>36</v>
      </c>
      <c r="K245" s="394" t="s">
        <v>39</v>
      </c>
      <c r="L245" s="394" t="s">
        <v>40</v>
      </c>
      <c r="M245" s="394" t="s">
        <v>42</v>
      </c>
      <c r="N245" s="394" t="s">
        <v>2</v>
      </c>
      <c r="O245" s="394" t="s">
        <v>180</v>
      </c>
      <c r="P245" s="544" t="s">
        <v>163</v>
      </c>
      <c r="Q245" s="544" t="s">
        <v>184</v>
      </c>
      <c r="R245" s="545"/>
      <c r="T245" s="375"/>
    </row>
    <row r="246" spans="1:20" s="65" customFormat="1" x14ac:dyDescent="0.2">
      <c r="A246" s="531" t="s">
        <v>28</v>
      </c>
      <c r="B246" s="399" t="s">
        <v>318</v>
      </c>
      <c r="C246" s="397" t="s">
        <v>31</v>
      </c>
      <c r="D246" s="397" t="s">
        <v>30</v>
      </c>
      <c r="E246" s="397" t="s">
        <v>158</v>
      </c>
      <c r="F246" s="532" t="s">
        <v>56</v>
      </c>
      <c r="G246" s="503">
        <v>10968388.146500001</v>
      </c>
      <c r="H246" s="503">
        <v>10344009.25</v>
      </c>
      <c r="I246" s="216">
        <v>2.6724000000000001</v>
      </c>
      <c r="J246" s="216">
        <v>2.6724000000000001</v>
      </c>
      <c r="K246" s="222"/>
      <c r="L246" s="222"/>
      <c r="M246" s="222"/>
      <c r="N246" s="409"/>
      <c r="O246" s="224">
        <f>G246*I246+H246*J246</f>
        <v>56955250.802406609</v>
      </c>
      <c r="P246" s="253">
        <f>ROUND(37.24%*(G246*I246+H246*J246),2)</f>
        <v>21210135.399999999</v>
      </c>
      <c r="Q246" s="222">
        <f>ROUND(R246*P246,2)</f>
        <v>10605067.699999999</v>
      </c>
      <c r="R246" s="223">
        <v>0.5</v>
      </c>
      <c r="T246" s="375"/>
    </row>
    <row r="247" spans="1:20" s="65" customFormat="1" x14ac:dyDescent="0.2">
      <c r="A247" s="533" t="s">
        <v>28</v>
      </c>
      <c r="B247" s="534" t="str">
        <f>B246</f>
        <v xml:space="preserve">88 GAS </v>
      </c>
      <c r="C247" s="535" t="s">
        <v>31</v>
      </c>
      <c r="D247" s="536" t="s">
        <v>186</v>
      </c>
      <c r="E247" s="536"/>
      <c r="F247" s="535" t="str">
        <f>F246</f>
        <v xml:space="preserve"> MM BTU</v>
      </c>
      <c r="G247" s="218">
        <f>G246</f>
        <v>10968388.146500001</v>
      </c>
      <c r="H247" s="218">
        <f>H246</f>
        <v>10344009.25</v>
      </c>
      <c r="I247" s="216">
        <v>2.8429000000000002</v>
      </c>
      <c r="J247" s="216">
        <v>2.8429000000000002</v>
      </c>
      <c r="K247" s="351"/>
      <c r="L247" s="222"/>
      <c r="M247" s="222"/>
      <c r="N247" s="410"/>
      <c r="O247" s="224">
        <f>G247*I247+H247*J247</f>
        <v>60589014.558509856</v>
      </c>
      <c r="P247" s="253">
        <f>ROUND(37.24%*(G247*I247+H247*J247),2)</f>
        <v>22563349.02</v>
      </c>
      <c r="Q247" s="253">
        <f>ROUND(R247*P247,2)</f>
        <v>11281674.51</v>
      </c>
      <c r="R247" s="223">
        <v>0.5</v>
      </c>
      <c r="T247" s="375"/>
    </row>
    <row r="248" spans="1:20" s="65" customFormat="1" x14ac:dyDescent="0.2">
      <c r="A248" s="537"/>
      <c r="B248" s="390" t="s">
        <v>181</v>
      </c>
      <c r="C248" s="402"/>
      <c r="D248" s="538"/>
      <c r="E248" s="538"/>
      <c r="F248" s="537"/>
      <c r="G248" s="539">
        <f t="shared" ref="G248:N248" si="67">G247-G246</f>
        <v>0</v>
      </c>
      <c r="H248" s="539">
        <f t="shared" si="67"/>
        <v>0</v>
      </c>
      <c r="I248" s="540">
        <f t="shared" si="67"/>
        <v>0.1705000000000001</v>
      </c>
      <c r="J248" s="540">
        <f t="shared" si="67"/>
        <v>0.1705000000000001</v>
      </c>
      <c r="K248" s="541">
        <f t="shared" si="67"/>
        <v>0</v>
      </c>
      <c r="L248" s="541">
        <f t="shared" si="67"/>
        <v>0</v>
      </c>
      <c r="M248" s="541">
        <f t="shared" si="67"/>
        <v>0</v>
      </c>
      <c r="N248" s="541">
        <f t="shared" si="67"/>
        <v>0</v>
      </c>
      <c r="O248" s="196">
        <f>O247-O246</f>
        <v>3633763.7561032474</v>
      </c>
      <c r="P248" s="196">
        <f>P247-P246</f>
        <v>1353213.620000001</v>
      </c>
      <c r="Q248" s="196">
        <f>Q247-Q246</f>
        <v>676606.81000000052</v>
      </c>
      <c r="R248" s="542"/>
      <c r="S248" s="65" t="s">
        <v>182</v>
      </c>
      <c r="T248" s="375"/>
    </row>
    <row r="249" spans="1:20" s="325" customFormat="1" x14ac:dyDescent="0.2"/>
    <row r="250" spans="1:20" s="65" customFormat="1" ht="15" customHeight="1" x14ac:dyDescent="0.2">
      <c r="A250" s="529"/>
      <c r="B250" s="407" t="s">
        <v>319</v>
      </c>
      <c r="R250" s="530"/>
      <c r="T250" s="375"/>
    </row>
    <row r="251" spans="1:20" s="65" customFormat="1" ht="14.85" customHeight="1" x14ac:dyDescent="0.2">
      <c r="A251" s="400" t="s">
        <v>161</v>
      </c>
      <c r="B251" s="401"/>
      <c r="C251" s="543"/>
      <c r="D251" s="392" t="s">
        <v>19</v>
      </c>
      <c r="E251" s="393" t="s">
        <v>59</v>
      </c>
      <c r="F251" s="392" t="s">
        <v>27</v>
      </c>
      <c r="G251" s="394" t="s">
        <v>35</v>
      </c>
      <c r="H251" s="395" t="s">
        <v>36</v>
      </c>
      <c r="I251" s="395" t="s">
        <v>35</v>
      </c>
      <c r="J251" s="394" t="s">
        <v>36</v>
      </c>
      <c r="K251" s="394" t="s">
        <v>39</v>
      </c>
      <c r="L251" s="394" t="s">
        <v>40</v>
      </c>
      <c r="M251" s="394" t="s">
        <v>42</v>
      </c>
      <c r="N251" s="394" t="s">
        <v>2</v>
      </c>
      <c r="O251" s="394" t="s">
        <v>180</v>
      </c>
      <c r="P251" s="544" t="s">
        <v>163</v>
      </c>
      <c r="Q251" s="544" t="s">
        <v>184</v>
      </c>
      <c r="R251" s="545"/>
      <c r="T251" s="375"/>
    </row>
    <row r="252" spans="1:20" s="65" customFormat="1" x14ac:dyDescent="0.2">
      <c r="A252" s="531" t="s">
        <v>28</v>
      </c>
      <c r="B252" s="399" t="s">
        <v>321</v>
      </c>
      <c r="C252" s="397" t="s">
        <v>31</v>
      </c>
      <c r="D252" s="397" t="s">
        <v>30</v>
      </c>
      <c r="E252" s="397" t="s">
        <v>158</v>
      </c>
      <c r="F252" s="532" t="s">
        <v>56</v>
      </c>
      <c r="G252" s="220">
        <v>29086.0995</v>
      </c>
      <c r="H252" s="503">
        <v>18157.630973734966</v>
      </c>
      <c r="I252" s="216">
        <v>3.5937000000000001</v>
      </c>
      <c r="J252" s="216">
        <v>3.5937000000000006</v>
      </c>
      <c r="K252" s="222"/>
      <c r="L252" s="222"/>
      <c r="M252" s="222"/>
      <c r="N252" s="409"/>
      <c r="O252" s="224">
        <f>G252*I252+H252*J252</f>
        <v>169779.79420346135</v>
      </c>
      <c r="P252" s="253">
        <f>ROUND(37.24%*O252,2)</f>
        <v>63226</v>
      </c>
      <c r="Q252" s="222">
        <f>ROUND(R252*P252,2)</f>
        <v>31613</v>
      </c>
      <c r="R252" s="223">
        <v>0.5</v>
      </c>
      <c r="T252" s="375"/>
    </row>
    <row r="253" spans="1:20" s="65" customFormat="1" x14ac:dyDescent="0.2">
      <c r="A253" s="533" t="s">
        <v>28</v>
      </c>
      <c r="B253" s="534" t="str">
        <f>B252</f>
        <v>88 Gas Planta Pisco</v>
      </c>
      <c r="C253" s="535" t="s">
        <v>31</v>
      </c>
      <c r="D253" s="536" t="s">
        <v>186</v>
      </c>
      <c r="E253" s="536"/>
      <c r="F253" s="535" t="str">
        <f>F252</f>
        <v xml:space="preserve"> MM BTU</v>
      </c>
      <c r="G253" s="218">
        <f>G252</f>
        <v>29086.0995</v>
      </c>
      <c r="H253" s="218">
        <f>H252</f>
        <v>18157.630973734966</v>
      </c>
      <c r="I253" s="216">
        <v>3.5933000000000002</v>
      </c>
      <c r="J253" s="216">
        <v>3.5933000000000002</v>
      </c>
      <c r="K253" s="351"/>
      <c r="L253" s="222"/>
      <c r="M253" s="222"/>
      <c r="N253" s="410"/>
      <c r="O253" s="224">
        <f>G253*I253+H253*J253</f>
        <v>169760.89671127187</v>
      </c>
      <c r="P253" s="253">
        <f>ROUND(37.24%*O253,2)</f>
        <v>63218.96</v>
      </c>
      <c r="Q253" s="253">
        <f>ROUND(R253*P253,2)</f>
        <v>31609.48</v>
      </c>
      <c r="R253" s="223">
        <v>0.5</v>
      </c>
      <c r="T253" s="375"/>
    </row>
    <row r="254" spans="1:20" s="65" customFormat="1" x14ac:dyDescent="0.2">
      <c r="A254" s="537"/>
      <c r="B254" s="390" t="s">
        <v>181</v>
      </c>
      <c r="C254" s="402"/>
      <c r="D254" s="538"/>
      <c r="E254" s="538"/>
      <c r="F254" s="537"/>
      <c r="G254" s="539">
        <f t="shared" ref="G254:N254" si="68">G253-G252</f>
        <v>0</v>
      </c>
      <c r="H254" s="539">
        <f t="shared" si="68"/>
        <v>0</v>
      </c>
      <c r="I254" s="540">
        <f t="shared" si="68"/>
        <v>-3.9999999999995595E-4</v>
      </c>
      <c r="J254" s="540">
        <f t="shared" si="68"/>
        <v>-4.0000000000040004E-4</v>
      </c>
      <c r="K254" s="541">
        <f t="shared" si="68"/>
        <v>0</v>
      </c>
      <c r="L254" s="541">
        <f t="shared" si="68"/>
        <v>0</v>
      </c>
      <c r="M254" s="541">
        <f t="shared" si="68"/>
        <v>0</v>
      </c>
      <c r="N254" s="541">
        <f t="shared" si="68"/>
        <v>0</v>
      </c>
      <c r="O254" s="196">
        <f>O253-O252</f>
        <v>-18.897492189484183</v>
      </c>
      <c r="P254" s="196">
        <f>P253-P252</f>
        <v>-7.0400000000008731</v>
      </c>
      <c r="Q254" s="196">
        <f>Q253-Q252</f>
        <v>-3.5200000000004366</v>
      </c>
      <c r="R254" s="542"/>
      <c r="S254" s="65" t="s">
        <v>182</v>
      </c>
      <c r="T254" s="375"/>
    </row>
    <row r="255" spans="1:20" s="65" customFormat="1" x14ac:dyDescent="0.2">
      <c r="A255" s="387"/>
      <c r="C255" s="387"/>
      <c r="D255" s="387"/>
      <c r="E255" s="387"/>
      <c r="F255" s="387"/>
      <c r="G255" s="302"/>
      <c r="H255" s="302"/>
      <c r="I255" s="554"/>
      <c r="J255" s="554"/>
      <c r="K255" s="387"/>
      <c r="L255" s="387"/>
      <c r="M255" s="387"/>
      <c r="N255" s="387"/>
      <c r="O255" s="302"/>
      <c r="P255" s="302"/>
      <c r="Q255" s="302"/>
      <c r="R255" s="555"/>
      <c r="T255" s="375"/>
    </row>
    <row r="256" spans="1:20" s="65" customFormat="1" ht="15" customHeight="1" x14ac:dyDescent="0.2">
      <c r="A256" s="529"/>
      <c r="B256" s="407" t="s">
        <v>320</v>
      </c>
      <c r="R256" s="530"/>
      <c r="T256" s="375"/>
    </row>
    <row r="257" spans="1:20" s="65" customFormat="1" ht="14.85" customHeight="1" x14ac:dyDescent="0.2">
      <c r="A257" s="400" t="s">
        <v>161</v>
      </c>
      <c r="B257" s="401"/>
      <c r="C257" s="543"/>
      <c r="D257" s="392" t="s">
        <v>19</v>
      </c>
      <c r="E257" s="393" t="s">
        <v>59</v>
      </c>
      <c r="F257" s="392" t="s">
        <v>27</v>
      </c>
      <c r="G257" s="394" t="s">
        <v>35</v>
      </c>
      <c r="H257" s="395" t="s">
        <v>36</v>
      </c>
      <c r="I257" s="395" t="s">
        <v>35</v>
      </c>
      <c r="J257" s="394" t="s">
        <v>36</v>
      </c>
      <c r="K257" s="394" t="s">
        <v>39</v>
      </c>
      <c r="L257" s="394" t="s">
        <v>40</v>
      </c>
      <c r="M257" s="394" t="s">
        <v>42</v>
      </c>
      <c r="N257" s="394" t="s">
        <v>2</v>
      </c>
      <c r="O257" s="394" t="s">
        <v>180</v>
      </c>
      <c r="P257" s="544" t="s">
        <v>163</v>
      </c>
      <c r="Q257" s="544" t="s">
        <v>184</v>
      </c>
      <c r="R257" s="545"/>
      <c r="T257" s="375"/>
    </row>
    <row r="258" spans="1:20" s="65" customFormat="1" x14ac:dyDescent="0.2">
      <c r="A258" s="531" t="s">
        <v>28</v>
      </c>
      <c r="B258" s="399" t="s">
        <v>321</v>
      </c>
      <c r="C258" s="397" t="s">
        <v>31</v>
      </c>
      <c r="D258" s="397" t="s">
        <v>30</v>
      </c>
      <c r="E258" s="397" t="s">
        <v>158</v>
      </c>
      <c r="F258" s="532" t="s">
        <v>56</v>
      </c>
      <c r="G258" s="220">
        <v>34731.569600000003</v>
      </c>
      <c r="H258" s="220">
        <v>36502.25</v>
      </c>
      <c r="I258" s="216">
        <v>3.5937000000000001</v>
      </c>
      <c r="J258" s="216">
        <v>3.5937000000000006</v>
      </c>
      <c r="K258" s="222"/>
      <c r="L258" s="222"/>
      <c r="M258" s="222"/>
      <c r="N258" s="409"/>
      <c r="O258" s="224">
        <f>G258*I258+H258*J258</f>
        <v>255992.97749652003</v>
      </c>
      <c r="P258" s="253">
        <f>ROUND(37.24%*O258,2)</f>
        <v>95331.78</v>
      </c>
      <c r="Q258" s="222">
        <f>ROUND(R258*P258,2)</f>
        <v>47665.89</v>
      </c>
      <c r="R258" s="223">
        <v>0.5</v>
      </c>
      <c r="T258" s="375"/>
    </row>
    <row r="259" spans="1:20" s="65" customFormat="1" x14ac:dyDescent="0.2">
      <c r="A259" s="533" t="s">
        <v>28</v>
      </c>
      <c r="B259" s="534" t="str">
        <f>B258</f>
        <v>88 Gas Planta Pisco</v>
      </c>
      <c r="C259" s="535" t="s">
        <v>31</v>
      </c>
      <c r="D259" s="536" t="s">
        <v>186</v>
      </c>
      <c r="E259" s="536"/>
      <c r="F259" s="535" t="str">
        <f>F258</f>
        <v xml:space="preserve"> MM BTU</v>
      </c>
      <c r="G259" s="218">
        <f>G258</f>
        <v>34731.569600000003</v>
      </c>
      <c r="H259" s="218">
        <f>H258</f>
        <v>36502.25</v>
      </c>
      <c r="I259" s="216">
        <v>3.7389999999999999</v>
      </c>
      <c r="J259" s="216">
        <v>3.7389999999999999</v>
      </c>
      <c r="K259" s="351"/>
      <c r="L259" s="222"/>
      <c r="M259" s="222"/>
      <c r="N259" s="410"/>
      <c r="O259" s="224">
        <f>G259*I259+H259*J259</f>
        <v>266343.25148440001</v>
      </c>
      <c r="P259" s="253">
        <f>ROUND(37.24%*O259,2)</f>
        <v>99186.23</v>
      </c>
      <c r="Q259" s="253">
        <f>ROUND(R259*P259,2)</f>
        <v>49593.120000000003</v>
      </c>
      <c r="R259" s="223">
        <v>0.5</v>
      </c>
      <c r="T259" s="375"/>
    </row>
    <row r="260" spans="1:20" s="65" customFormat="1" x14ac:dyDescent="0.2">
      <c r="A260" s="537"/>
      <c r="B260" s="390" t="s">
        <v>181</v>
      </c>
      <c r="C260" s="402"/>
      <c r="D260" s="538"/>
      <c r="E260" s="538"/>
      <c r="F260" s="537"/>
      <c r="G260" s="539">
        <f t="shared" ref="G260:N260" si="69">G259-G258</f>
        <v>0</v>
      </c>
      <c r="H260" s="539">
        <f t="shared" si="69"/>
        <v>0</v>
      </c>
      <c r="I260" s="540">
        <f t="shared" si="69"/>
        <v>0.14529999999999976</v>
      </c>
      <c r="J260" s="540">
        <f t="shared" si="69"/>
        <v>0.14529999999999932</v>
      </c>
      <c r="K260" s="541">
        <f t="shared" si="69"/>
        <v>0</v>
      </c>
      <c r="L260" s="541">
        <f t="shared" si="69"/>
        <v>0</v>
      </c>
      <c r="M260" s="541">
        <f t="shared" si="69"/>
        <v>0</v>
      </c>
      <c r="N260" s="541">
        <f t="shared" si="69"/>
        <v>0</v>
      </c>
      <c r="O260" s="196">
        <f>O259-O258</f>
        <v>10350.273987879977</v>
      </c>
      <c r="P260" s="196">
        <f>P259-P258</f>
        <v>3854.4499999999971</v>
      </c>
      <c r="Q260" s="196">
        <f>Q259-Q258</f>
        <v>1927.2300000000032</v>
      </c>
      <c r="R260" s="542"/>
      <c r="S260" s="65" t="s">
        <v>182</v>
      </c>
      <c r="T260" s="375"/>
    </row>
    <row r="262" spans="1:20" s="65" customFormat="1" ht="15" customHeight="1" x14ac:dyDescent="0.2">
      <c r="A262" s="529"/>
      <c r="B262" s="407" t="s">
        <v>323</v>
      </c>
      <c r="R262" s="530"/>
      <c r="T262" s="375"/>
    </row>
    <row r="263" spans="1:20" s="65" customFormat="1" ht="14.85" customHeight="1" x14ac:dyDescent="0.2">
      <c r="A263" s="400" t="s">
        <v>161</v>
      </c>
      <c r="B263" s="401"/>
      <c r="C263" s="543"/>
      <c r="D263" s="392" t="s">
        <v>19</v>
      </c>
      <c r="E263" s="393" t="s">
        <v>59</v>
      </c>
      <c r="F263" s="392" t="s">
        <v>27</v>
      </c>
      <c r="G263" s="394" t="s">
        <v>35</v>
      </c>
      <c r="H263" s="395" t="s">
        <v>36</v>
      </c>
      <c r="I263" s="395" t="s">
        <v>35</v>
      </c>
      <c r="J263" s="394" t="s">
        <v>36</v>
      </c>
      <c r="K263" s="394" t="s">
        <v>39</v>
      </c>
      <c r="L263" s="394" t="s">
        <v>40</v>
      </c>
      <c r="M263" s="394" t="s">
        <v>42</v>
      </c>
      <c r="N263" s="394" t="s">
        <v>2</v>
      </c>
      <c r="O263" s="394" t="s">
        <v>180</v>
      </c>
      <c r="P263" s="544" t="s">
        <v>163</v>
      </c>
      <c r="Q263" s="544" t="s">
        <v>184</v>
      </c>
      <c r="R263" s="545"/>
      <c r="T263" s="375"/>
    </row>
    <row r="264" spans="1:20" s="65" customFormat="1" x14ac:dyDescent="0.2">
      <c r="A264" s="531" t="s">
        <v>28</v>
      </c>
      <c r="B264" s="399" t="s">
        <v>322</v>
      </c>
      <c r="C264" s="397" t="s">
        <v>31</v>
      </c>
      <c r="D264" s="397" t="s">
        <v>30</v>
      </c>
      <c r="E264" s="397" t="s">
        <v>158</v>
      </c>
      <c r="F264" s="532" t="s">
        <v>56</v>
      </c>
      <c r="G264" s="218">
        <v>27957.34</v>
      </c>
      <c r="H264" s="218">
        <v>22304.498192646075</v>
      </c>
      <c r="I264" s="216">
        <v>3.5937000000000001</v>
      </c>
      <c r="J264" s="216">
        <v>3.5937000000000001</v>
      </c>
      <c r="K264" s="222"/>
      <c r="L264" s="222"/>
      <c r="M264" s="222"/>
      <c r="N264" s="409"/>
      <c r="O264" s="224">
        <f>G264*I264+H264*J264</f>
        <v>180625.96791291219</v>
      </c>
      <c r="P264" s="253">
        <f>ROUND(37.24%*O264,2)</f>
        <v>67265.11</v>
      </c>
      <c r="Q264" s="222">
        <f>ROUND(R264*P264,2)</f>
        <v>33632.559999999998</v>
      </c>
      <c r="R264" s="223">
        <v>0.5</v>
      </c>
      <c r="T264" s="375"/>
    </row>
    <row r="265" spans="1:20" s="65" customFormat="1" x14ac:dyDescent="0.2">
      <c r="A265" s="533" t="s">
        <v>28</v>
      </c>
      <c r="B265" s="534" t="str">
        <f>B264</f>
        <v>88 Gas P.Pisco Lt 56</v>
      </c>
      <c r="C265" s="535" t="s">
        <v>31</v>
      </c>
      <c r="D265" s="536" t="s">
        <v>186</v>
      </c>
      <c r="E265" s="536"/>
      <c r="F265" s="535" t="str">
        <f>F264</f>
        <v xml:space="preserve"> MM BTU</v>
      </c>
      <c r="G265" s="218">
        <f>G264</f>
        <v>27957.34</v>
      </c>
      <c r="H265" s="218">
        <f>H264</f>
        <v>22304.498192646075</v>
      </c>
      <c r="I265" s="216">
        <v>3.5933000000000002</v>
      </c>
      <c r="J265" s="216">
        <v>3.5933000000000002</v>
      </c>
      <c r="K265" s="351"/>
      <c r="L265" s="222"/>
      <c r="M265" s="222"/>
      <c r="N265" s="410"/>
      <c r="O265" s="224">
        <f>G265*I265+H265*J265</f>
        <v>180605.86317763512</v>
      </c>
      <c r="P265" s="253">
        <f>ROUND(37.24%*O265,2)</f>
        <v>67257.62</v>
      </c>
      <c r="Q265" s="222">
        <f>ROUND(R265*P265,2)</f>
        <v>33628.81</v>
      </c>
      <c r="R265" s="223">
        <v>0.5</v>
      </c>
      <c r="T265" s="375"/>
    </row>
    <row r="266" spans="1:20" s="65" customFormat="1" x14ac:dyDescent="0.2">
      <c r="A266" s="537"/>
      <c r="B266" s="390" t="s">
        <v>181</v>
      </c>
      <c r="C266" s="402"/>
      <c r="D266" s="538"/>
      <c r="E266" s="538"/>
      <c r="F266" s="537"/>
      <c r="G266" s="539">
        <f t="shared" ref="G266:N266" si="70">G265-G264</f>
        <v>0</v>
      </c>
      <c r="H266" s="539">
        <f t="shared" si="70"/>
        <v>0</v>
      </c>
      <c r="I266" s="540">
        <f t="shared" si="70"/>
        <v>-3.9999999999995595E-4</v>
      </c>
      <c r="J266" s="540">
        <f t="shared" si="70"/>
        <v>-3.9999999999995595E-4</v>
      </c>
      <c r="K266" s="541">
        <f t="shared" si="70"/>
        <v>0</v>
      </c>
      <c r="L266" s="541">
        <f t="shared" si="70"/>
        <v>0</v>
      </c>
      <c r="M266" s="541">
        <f t="shared" si="70"/>
        <v>0</v>
      </c>
      <c r="N266" s="541">
        <f t="shared" si="70"/>
        <v>0</v>
      </c>
      <c r="O266" s="196">
        <f>O265-O264</f>
        <v>-20.104735277069267</v>
      </c>
      <c r="P266" s="196">
        <f>P265-P264</f>
        <v>-7.4900000000052387</v>
      </c>
      <c r="Q266" s="196">
        <f>Q265-Q264</f>
        <v>-3.75</v>
      </c>
      <c r="R266" s="542"/>
      <c r="S266" s="65" t="s">
        <v>182</v>
      </c>
      <c r="T266" s="375"/>
    </row>
    <row r="267" spans="1:20" s="65" customFormat="1" x14ac:dyDescent="0.2">
      <c r="A267" s="387"/>
      <c r="C267" s="387"/>
      <c r="D267" s="387"/>
      <c r="E267" s="387"/>
      <c r="F267" s="387"/>
      <c r="G267" s="302"/>
      <c r="H267" s="302"/>
      <c r="I267" s="554"/>
      <c r="J267" s="554"/>
      <c r="K267" s="387"/>
      <c r="L267" s="387"/>
      <c r="M267" s="387"/>
      <c r="N267" s="387"/>
      <c r="O267" s="302"/>
      <c r="P267" s="302"/>
      <c r="Q267" s="302"/>
      <c r="R267" s="555"/>
      <c r="T267" s="375"/>
    </row>
    <row r="268" spans="1:20" s="65" customFormat="1" ht="15" customHeight="1" x14ac:dyDescent="0.2">
      <c r="A268" s="529"/>
      <c r="B268" s="407" t="s">
        <v>324</v>
      </c>
      <c r="R268" s="530"/>
      <c r="T268" s="375"/>
    </row>
    <row r="269" spans="1:20" s="65" customFormat="1" ht="14.85" customHeight="1" x14ac:dyDescent="0.2">
      <c r="A269" s="400" t="s">
        <v>161</v>
      </c>
      <c r="B269" s="401"/>
      <c r="C269" s="543"/>
      <c r="D269" s="392" t="s">
        <v>19</v>
      </c>
      <c r="E269" s="393" t="s">
        <v>59</v>
      </c>
      <c r="F269" s="392" t="s">
        <v>27</v>
      </c>
      <c r="G269" s="394" t="s">
        <v>35</v>
      </c>
      <c r="H269" s="395" t="s">
        <v>36</v>
      </c>
      <c r="I269" s="395" t="s">
        <v>35</v>
      </c>
      <c r="J269" s="394" t="s">
        <v>36</v>
      </c>
      <c r="K269" s="394" t="s">
        <v>39</v>
      </c>
      <c r="L269" s="394" t="s">
        <v>40</v>
      </c>
      <c r="M269" s="394" t="s">
        <v>42</v>
      </c>
      <c r="N269" s="394" t="s">
        <v>2</v>
      </c>
      <c r="O269" s="394" t="s">
        <v>180</v>
      </c>
      <c r="P269" s="544" t="s">
        <v>163</v>
      </c>
      <c r="Q269" s="544" t="s">
        <v>184</v>
      </c>
      <c r="R269" s="545"/>
      <c r="T269" s="375"/>
    </row>
    <row r="270" spans="1:20" s="65" customFormat="1" x14ac:dyDescent="0.2">
      <c r="A270" s="531" t="s">
        <v>28</v>
      </c>
      <c r="B270" s="399" t="s">
        <v>322</v>
      </c>
      <c r="C270" s="397" t="s">
        <v>31</v>
      </c>
      <c r="D270" s="397" t="s">
        <v>30</v>
      </c>
      <c r="E270" s="397" t="s">
        <v>158</v>
      </c>
      <c r="F270" s="532" t="s">
        <v>56</v>
      </c>
      <c r="G270" s="218">
        <v>27923.173300000002</v>
      </c>
      <c r="H270" s="218">
        <v>26684.05</v>
      </c>
      <c r="I270" s="216">
        <v>3.5937000000000006</v>
      </c>
      <c r="J270" s="216">
        <v>3.5937000000000001</v>
      </c>
      <c r="K270" s="222"/>
      <c r="L270" s="222"/>
      <c r="M270" s="222"/>
      <c r="N270" s="409"/>
      <c r="O270" s="224">
        <f>G270*I270+H270*J270</f>
        <v>196241.97837321</v>
      </c>
      <c r="P270" s="253">
        <f>ROUND(37.24%*O270,2)</f>
        <v>73080.509999999995</v>
      </c>
      <c r="Q270" s="222">
        <f>ROUND(R270*P270,2)</f>
        <v>36540.26</v>
      </c>
      <c r="R270" s="223">
        <v>0.5</v>
      </c>
      <c r="T270" s="375"/>
    </row>
    <row r="271" spans="1:20" s="65" customFormat="1" x14ac:dyDescent="0.2">
      <c r="A271" s="533" t="s">
        <v>28</v>
      </c>
      <c r="B271" s="534" t="str">
        <f>B270</f>
        <v>88 Gas P.Pisco Lt 56</v>
      </c>
      <c r="C271" s="535" t="s">
        <v>31</v>
      </c>
      <c r="D271" s="536" t="s">
        <v>186</v>
      </c>
      <c r="E271" s="536"/>
      <c r="F271" s="535" t="str">
        <f>F270</f>
        <v xml:space="preserve"> MM BTU</v>
      </c>
      <c r="G271" s="218">
        <f>G270</f>
        <v>27923.173300000002</v>
      </c>
      <c r="H271" s="218">
        <f>H270</f>
        <v>26684.05</v>
      </c>
      <c r="I271" s="216">
        <v>3.7389999999999999</v>
      </c>
      <c r="J271" s="216">
        <v>3.7389999999999999</v>
      </c>
      <c r="K271" s="351"/>
      <c r="L271" s="222"/>
      <c r="M271" s="222"/>
      <c r="N271" s="410"/>
      <c r="O271" s="224">
        <f>G271*I271+H271*J271</f>
        <v>204176.40791870002</v>
      </c>
      <c r="P271" s="253">
        <f>ROUND(37.24%*O271,2)</f>
        <v>76035.289999999994</v>
      </c>
      <c r="Q271" s="222">
        <f>ROUND(R271*P271,2)</f>
        <v>38017.65</v>
      </c>
      <c r="R271" s="223">
        <v>0.5</v>
      </c>
      <c r="T271" s="375"/>
    </row>
    <row r="272" spans="1:20" s="65" customFormat="1" x14ac:dyDescent="0.2">
      <c r="A272" s="537"/>
      <c r="B272" s="390" t="s">
        <v>181</v>
      </c>
      <c r="C272" s="402"/>
      <c r="D272" s="538"/>
      <c r="E272" s="538"/>
      <c r="F272" s="537"/>
      <c r="G272" s="539">
        <f t="shared" ref="G272:N272" si="71">G271-G270</f>
        <v>0</v>
      </c>
      <c r="H272" s="539">
        <f t="shared" si="71"/>
        <v>0</v>
      </c>
      <c r="I272" s="540">
        <f t="shared" si="71"/>
        <v>0.14529999999999932</v>
      </c>
      <c r="J272" s="540">
        <f t="shared" si="71"/>
        <v>0.14529999999999976</v>
      </c>
      <c r="K272" s="541">
        <f t="shared" si="71"/>
        <v>0</v>
      </c>
      <c r="L272" s="541">
        <f t="shared" si="71"/>
        <v>0</v>
      </c>
      <c r="M272" s="541">
        <f t="shared" si="71"/>
        <v>0</v>
      </c>
      <c r="N272" s="541">
        <f t="shared" si="71"/>
        <v>0</v>
      </c>
      <c r="O272" s="196">
        <f>O271-O270</f>
        <v>7934.429545490013</v>
      </c>
      <c r="P272" s="196">
        <f>P271-P270</f>
        <v>2954.7799999999988</v>
      </c>
      <c r="Q272" s="196">
        <f>Q271-Q270</f>
        <v>1477.3899999999994</v>
      </c>
      <c r="R272" s="542"/>
      <c r="S272" s="65" t="s">
        <v>182</v>
      </c>
      <c r="T272" s="375"/>
    </row>
    <row r="288" spans="1:24" s="65" customFormat="1" ht="16.350000000000001" customHeight="1" x14ac:dyDescent="0.2">
      <c r="A288" s="529"/>
      <c r="B288" s="407" t="s">
        <v>315</v>
      </c>
      <c r="R288" s="530"/>
      <c r="T288" s="546"/>
      <c r="V288" s="138"/>
      <c r="W288" s="143"/>
      <c r="X288" s="143"/>
    </row>
    <row r="289" spans="1:34" s="65" customFormat="1" x14ac:dyDescent="0.2">
      <c r="A289" s="396" t="s">
        <v>312</v>
      </c>
      <c r="B289" s="401"/>
      <c r="C289" s="543"/>
      <c r="D289" s="392" t="s">
        <v>19</v>
      </c>
      <c r="E289" s="393" t="s">
        <v>59</v>
      </c>
      <c r="F289" s="392" t="s">
        <v>27</v>
      </c>
      <c r="G289" s="394" t="s">
        <v>35</v>
      </c>
      <c r="H289" s="395" t="s">
        <v>36</v>
      </c>
      <c r="I289" s="395" t="s">
        <v>35</v>
      </c>
      <c r="J289" s="394" t="s">
        <v>36</v>
      </c>
      <c r="K289" s="394" t="s">
        <v>39</v>
      </c>
      <c r="L289" s="394" t="s">
        <v>40</v>
      </c>
      <c r="M289" s="394" t="s">
        <v>42</v>
      </c>
      <c r="N289" s="394" t="s">
        <v>2</v>
      </c>
      <c r="O289" s="394" t="s">
        <v>180</v>
      </c>
      <c r="P289" s="544" t="s">
        <v>313</v>
      </c>
      <c r="Q289" s="544" t="s">
        <v>43</v>
      </c>
      <c r="R289" s="545"/>
      <c r="S289" s="1194" t="s">
        <v>44</v>
      </c>
      <c r="T289" s="1195"/>
      <c r="U289" s="547"/>
      <c r="V289" s="143"/>
      <c r="W289" s="143"/>
      <c r="X289" s="143"/>
    </row>
    <row r="290" spans="1:34" s="65" customFormat="1" x14ac:dyDescent="0.2">
      <c r="A290" s="531" t="s">
        <v>28</v>
      </c>
      <c r="B290" s="548" t="s">
        <v>314</v>
      </c>
      <c r="C290" s="398" t="s">
        <v>31</v>
      </c>
      <c r="D290" s="549" t="s">
        <v>30</v>
      </c>
      <c r="E290" s="549" t="s">
        <v>101</v>
      </c>
      <c r="F290" s="398" t="s">
        <v>56</v>
      </c>
      <c r="G290" s="551">
        <v>26085.387399999996</v>
      </c>
      <c r="H290" s="551">
        <v>23941.61</v>
      </c>
      <c r="I290" s="217">
        <v>3.2641</v>
      </c>
      <c r="J290" s="217">
        <v>3.2641</v>
      </c>
      <c r="K290" s="222"/>
      <c r="L290" s="222"/>
      <c r="M290" s="222"/>
      <c r="N290" s="409"/>
      <c r="O290" s="224">
        <f>ROUND(G290*I290,2)+ROUND(H290*J290,2)-K290-L290-M290-N290</f>
        <v>163293.12</v>
      </c>
      <c r="P290" s="321">
        <f>ROUND(18.75%*O290,2)</f>
        <v>30617.46</v>
      </c>
      <c r="Q290" s="222">
        <f>ROUND($O290*R290,2)</f>
        <v>24493.97</v>
      </c>
      <c r="R290" s="223">
        <v>0.15</v>
      </c>
      <c r="S290" s="222">
        <f>ROUND($O290*T290,2)</f>
        <v>6123.49</v>
      </c>
      <c r="T290" s="258">
        <v>3.7499999999999999E-2</v>
      </c>
      <c r="U290" s="143"/>
      <c r="V290" s="143"/>
      <c r="W290" s="143"/>
      <c r="X290" s="143"/>
      <c r="AH290" s="553"/>
    </row>
    <row r="291" spans="1:34" s="65" customFormat="1" x14ac:dyDescent="0.2">
      <c r="A291" s="533" t="s">
        <v>28</v>
      </c>
      <c r="B291" s="550" t="str">
        <f>B290</f>
        <v>IV - Gas</v>
      </c>
      <c r="C291" s="397" t="s">
        <v>31</v>
      </c>
      <c r="D291" s="536" t="s">
        <v>186</v>
      </c>
      <c r="E291" s="536"/>
      <c r="F291" s="535" t="str">
        <f>F290</f>
        <v xml:space="preserve"> MM BTU</v>
      </c>
      <c r="G291" s="408">
        <f>G290</f>
        <v>26085.387399999996</v>
      </c>
      <c r="H291" s="408">
        <f>H290</f>
        <v>23941.61</v>
      </c>
      <c r="I291" s="217">
        <v>3.8094000000000001</v>
      </c>
      <c r="J291" s="217">
        <v>3.8094000000000001</v>
      </c>
      <c r="K291" s="409"/>
      <c r="L291" s="409"/>
      <c r="M291" s="410"/>
      <c r="N291" s="410"/>
      <c r="O291" s="410">
        <f>ROUND(G291*I291,2)+ROUND(H291*J291,2)-K291-L291-M291-N291</f>
        <v>190572.84</v>
      </c>
      <c r="P291" s="552">
        <f>ROUND(18.75%*O291,2)</f>
        <v>35732.410000000003</v>
      </c>
      <c r="Q291" s="409">
        <f>ROUND($O291*R291,2)</f>
        <v>28585.93</v>
      </c>
      <c r="R291" s="404">
        <v>0.15</v>
      </c>
      <c r="S291" s="409">
        <f>ROUND($O291*T291,2)</f>
        <v>7146.48</v>
      </c>
      <c r="T291" s="405">
        <v>3.7499999999999999E-2</v>
      </c>
      <c r="U291" s="143"/>
      <c r="V291" s="143"/>
      <c r="W291" s="143"/>
      <c r="X291" s="143"/>
      <c r="Y291" s="360"/>
      <c r="Z291" s="360"/>
    </row>
    <row r="292" spans="1:34" s="65" customFormat="1" x14ac:dyDescent="0.2">
      <c r="A292" s="537"/>
      <c r="B292" s="390" t="s">
        <v>181</v>
      </c>
      <c r="C292" s="402"/>
      <c r="D292" s="538"/>
      <c r="E292" s="538"/>
      <c r="F292" s="537"/>
      <c r="G292" s="539">
        <f t="shared" ref="G292:P292" si="72">G291-G290</f>
        <v>0</v>
      </c>
      <c r="H292" s="539">
        <f t="shared" si="72"/>
        <v>0</v>
      </c>
      <c r="I292" s="196">
        <f t="shared" si="72"/>
        <v>0.54530000000000012</v>
      </c>
      <c r="J292" s="196">
        <f t="shared" si="72"/>
        <v>0.54530000000000012</v>
      </c>
      <c r="K292" s="541">
        <f t="shared" si="72"/>
        <v>0</v>
      </c>
      <c r="L292" s="541">
        <f t="shared" si="72"/>
        <v>0</v>
      </c>
      <c r="M292" s="541">
        <f t="shared" si="72"/>
        <v>0</v>
      </c>
      <c r="N292" s="541">
        <f t="shared" si="72"/>
        <v>0</v>
      </c>
      <c r="O292" s="196">
        <f t="shared" si="72"/>
        <v>27279.72</v>
      </c>
      <c r="P292" s="196">
        <f t="shared" si="72"/>
        <v>5114.9500000000044</v>
      </c>
      <c r="Q292" s="196">
        <f>Q291-Q290</f>
        <v>4091.9599999999991</v>
      </c>
      <c r="R292" s="196"/>
      <c r="S292" s="196">
        <f>S291-S290</f>
        <v>1022.9899999999998</v>
      </c>
      <c r="T292" s="196"/>
    </row>
    <row r="294" spans="1:34" s="65" customFormat="1" ht="16.350000000000001" customHeight="1" x14ac:dyDescent="0.2">
      <c r="A294" s="529"/>
      <c r="B294" s="407" t="s">
        <v>317</v>
      </c>
      <c r="R294" s="530"/>
      <c r="T294" s="546"/>
      <c r="V294" s="138"/>
      <c r="W294" s="143"/>
      <c r="X294" s="143"/>
    </row>
    <row r="295" spans="1:34" s="65" customFormat="1" x14ac:dyDescent="0.2">
      <c r="A295" s="396" t="s">
        <v>312</v>
      </c>
      <c r="B295" s="401"/>
      <c r="C295" s="543"/>
      <c r="D295" s="392" t="s">
        <v>19</v>
      </c>
      <c r="E295" s="393" t="s">
        <v>59</v>
      </c>
      <c r="F295" s="392" t="s">
        <v>27</v>
      </c>
      <c r="G295" s="394" t="s">
        <v>35</v>
      </c>
      <c r="H295" s="395" t="s">
        <v>36</v>
      </c>
      <c r="I295" s="395" t="s">
        <v>35</v>
      </c>
      <c r="J295" s="394" t="s">
        <v>36</v>
      </c>
      <c r="K295" s="394" t="s">
        <v>39</v>
      </c>
      <c r="L295" s="394" t="s">
        <v>40</v>
      </c>
      <c r="M295" s="394" t="s">
        <v>42</v>
      </c>
      <c r="N295" s="394" t="s">
        <v>2</v>
      </c>
      <c r="O295" s="394" t="s">
        <v>180</v>
      </c>
      <c r="P295" s="544" t="s">
        <v>313</v>
      </c>
      <c r="Q295" s="544" t="s">
        <v>43</v>
      </c>
      <c r="R295" s="545"/>
      <c r="S295" s="1194" t="s">
        <v>44</v>
      </c>
      <c r="T295" s="1195"/>
      <c r="U295" s="547"/>
      <c r="V295" s="143"/>
      <c r="W295" s="143"/>
      <c r="X295" s="143"/>
    </row>
    <row r="296" spans="1:34" s="65" customFormat="1" x14ac:dyDescent="0.2">
      <c r="A296" s="531" t="s">
        <v>28</v>
      </c>
      <c r="B296" s="548" t="s">
        <v>316</v>
      </c>
      <c r="C296" s="398" t="s">
        <v>31</v>
      </c>
      <c r="D296" s="549" t="s">
        <v>30</v>
      </c>
      <c r="E296" s="549" t="s">
        <v>101</v>
      </c>
      <c r="F296" s="398" t="s">
        <v>56</v>
      </c>
      <c r="G296" s="215"/>
      <c r="H296" s="215">
        <v>14791.17</v>
      </c>
      <c r="I296" s="217"/>
      <c r="J296" s="217">
        <v>3.59</v>
      </c>
      <c r="K296" s="222"/>
      <c r="L296" s="222"/>
      <c r="M296" s="222"/>
      <c r="N296" s="409"/>
      <c r="O296" s="224">
        <f>ROUND(G296*I296,2)+ROUND(H296*J296,2)-K296-L296-M296-N296</f>
        <v>53100.3</v>
      </c>
      <c r="P296" s="222">
        <f>ROUND(18.75%*O296,2)</f>
        <v>9956.31</v>
      </c>
      <c r="Q296" s="222">
        <f>ROUND($O296*R296,2)</f>
        <v>7965.05</v>
      </c>
      <c r="R296" s="223">
        <v>0.15</v>
      </c>
      <c r="S296" s="222">
        <f>ROUND($O296*T296,2)</f>
        <v>1991.26</v>
      </c>
      <c r="T296" s="258">
        <v>3.7499999999999999E-2</v>
      </c>
      <c r="U296" s="143"/>
      <c r="V296" s="143"/>
      <c r="W296" s="143"/>
      <c r="X296" s="143"/>
    </row>
    <row r="297" spans="1:34" s="65" customFormat="1" x14ac:dyDescent="0.2">
      <c r="A297" s="533" t="s">
        <v>28</v>
      </c>
      <c r="B297" s="550" t="str">
        <f>B296</f>
        <v>XIII Gas - Paita 2</v>
      </c>
      <c r="C297" s="397" t="s">
        <v>31</v>
      </c>
      <c r="D297" s="536" t="s">
        <v>186</v>
      </c>
      <c r="E297" s="536"/>
      <c r="F297" s="535" t="str">
        <f>F296</f>
        <v xml:space="preserve"> MM BTU</v>
      </c>
      <c r="G297" s="408">
        <f>G296</f>
        <v>0</v>
      </c>
      <c r="H297" s="408">
        <f>H296</f>
        <v>14791.17</v>
      </c>
      <c r="I297" s="217"/>
      <c r="J297" s="217">
        <v>3.9115000000000002</v>
      </c>
      <c r="K297" s="409"/>
      <c r="L297" s="409"/>
      <c r="M297" s="410"/>
      <c r="N297" s="410"/>
      <c r="O297" s="410">
        <f>ROUND(G297*I297,2)+ROUND(H297*J297,2)-K297-L297-M297-N297</f>
        <v>57855.66</v>
      </c>
      <c r="P297" s="409">
        <f>ROUND(18.75%*O297,2)</f>
        <v>10847.94</v>
      </c>
      <c r="Q297" s="409">
        <f>ROUND($O297*R297,2)</f>
        <v>8678.35</v>
      </c>
      <c r="R297" s="404">
        <v>0.15</v>
      </c>
      <c r="S297" s="409">
        <f>ROUND($O297*T297,2)</f>
        <v>2169.59</v>
      </c>
      <c r="T297" s="405">
        <v>3.7499999999999999E-2</v>
      </c>
      <c r="U297" s="143"/>
      <c r="V297" s="143"/>
      <c r="W297" s="143"/>
      <c r="X297" s="143"/>
      <c r="Y297" s="360"/>
      <c r="Z297" s="360"/>
    </row>
    <row r="298" spans="1:34" s="65" customFormat="1" x14ac:dyDescent="0.2">
      <c r="A298" s="537"/>
      <c r="B298" s="390" t="s">
        <v>181</v>
      </c>
      <c r="C298" s="402"/>
      <c r="D298" s="538"/>
      <c r="E298" s="538"/>
      <c r="F298" s="537"/>
      <c r="G298" s="539">
        <f t="shared" ref="G298:P298" si="73">G297-G296</f>
        <v>0</v>
      </c>
      <c r="H298" s="539">
        <f t="shared" si="73"/>
        <v>0</v>
      </c>
      <c r="I298" s="196">
        <f t="shared" si="73"/>
        <v>0</v>
      </c>
      <c r="J298" s="196">
        <f t="shared" si="73"/>
        <v>0.32150000000000034</v>
      </c>
      <c r="K298" s="541">
        <f t="shared" si="73"/>
        <v>0</v>
      </c>
      <c r="L298" s="541">
        <f t="shared" si="73"/>
        <v>0</v>
      </c>
      <c r="M298" s="541">
        <f t="shared" si="73"/>
        <v>0</v>
      </c>
      <c r="N298" s="541">
        <f t="shared" si="73"/>
        <v>0</v>
      </c>
      <c r="O298" s="196">
        <f t="shared" si="73"/>
        <v>4755.3600000000006</v>
      </c>
      <c r="P298" s="196">
        <f t="shared" si="73"/>
        <v>891.63000000000102</v>
      </c>
      <c r="Q298" s="196">
        <f>Q297-Q296</f>
        <v>713.30000000000018</v>
      </c>
      <c r="R298" s="196"/>
      <c r="S298" s="196">
        <f>S297-S296</f>
        <v>178.33000000000015</v>
      </c>
      <c r="T298" s="196"/>
    </row>
  </sheetData>
  <mergeCells count="4">
    <mergeCell ref="C7:C8"/>
    <mergeCell ref="O7:O8"/>
    <mergeCell ref="S289:T289"/>
    <mergeCell ref="S295:T295"/>
  </mergeCells>
  <printOptions horizontalCentered="1" verticalCentered="1"/>
  <pageMargins left="0.25" right="0.25" top="0.5" bottom="0.5" header="0" footer="0"/>
  <pageSetup scale="5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2">
    <pageSetUpPr fitToPage="1"/>
  </sheetPr>
  <dimension ref="A1:T70"/>
  <sheetViews>
    <sheetView view="pageBreakPreview" topLeftCell="A47" zoomScale="85" zoomScaleNormal="95" zoomScaleSheetLayoutView="85" workbookViewId="0">
      <pane xSplit="2" topLeftCell="J1" activePane="topRight" state="frozen"/>
      <selection activeCell="B225" sqref="B225"/>
      <selection pane="topRight" activeCell="T47" sqref="T47"/>
    </sheetView>
  </sheetViews>
  <sheetFormatPr baseColWidth="10" defaultColWidth="8.77734375" defaultRowHeight="12.75" x14ac:dyDescent="0.2"/>
  <cols>
    <col min="1" max="1" width="3" style="1" customWidth="1"/>
    <col min="2" max="2" width="14.44140625" style="1" customWidth="1"/>
    <col min="3" max="3" width="7.77734375" style="1" customWidth="1"/>
    <col min="4" max="4" width="8.109375" style="1" customWidth="1"/>
    <col min="5" max="5" width="8.77734375" style="1" customWidth="1"/>
    <col min="6" max="6" width="8.44140625" style="1" customWidth="1"/>
    <col min="7" max="7" width="11.44140625" style="199" customWidth="1"/>
    <col min="8" max="11" width="10.44140625" style="199" customWidth="1"/>
    <col min="12" max="13" width="10.44140625" style="1" customWidth="1"/>
    <col min="14" max="14" width="12.77734375" style="1" bestFit="1" customWidth="1"/>
    <col min="15" max="15" width="13.44140625" style="1" customWidth="1"/>
    <col min="16" max="17" width="12.6640625" style="1" bestFit="1" customWidth="1"/>
    <col min="18" max="18" width="5.77734375" style="1" customWidth="1"/>
    <col min="19" max="19" width="11.5546875" style="1" customWidth="1"/>
    <col min="20" max="20" width="5.77734375" style="1" customWidth="1"/>
    <col min="21" max="16384" width="8.77734375" style="1"/>
  </cols>
  <sheetData>
    <row r="1" spans="1:20" ht="12.75" customHeight="1" x14ac:dyDescent="0.2">
      <c r="A1" s="1" t="s">
        <v>51</v>
      </c>
      <c r="C1" s="3"/>
      <c r="D1" s="3"/>
      <c r="E1" s="6">
        <v>46054</v>
      </c>
      <c r="F1" s="462" t="s">
        <v>458</v>
      </c>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
        <v>470</v>
      </c>
      <c r="B4" s="132"/>
      <c r="C4" s="132"/>
      <c r="D4" s="132"/>
      <c r="E4" s="132"/>
      <c r="F4" s="132"/>
      <c r="G4" s="132"/>
      <c r="H4" s="132"/>
      <c r="I4" s="132"/>
      <c r="J4" s="132"/>
      <c r="K4" s="132"/>
      <c r="L4" s="132"/>
      <c r="M4" s="132"/>
      <c r="N4" s="132"/>
      <c r="O4" s="132"/>
      <c r="P4" s="132"/>
      <c r="Q4" s="132"/>
      <c r="R4" s="132"/>
      <c r="S4" s="132"/>
      <c r="T4" s="132"/>
    </row>
    <row r="5" spans="1:20" x14ac:dyDescent="0.2">
      <c r="A5" s="132" t="s">
        <v>471</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185"/>
      <c r="J9" s="1186"/>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v>6306</v>
      </c>
      <c r="H10" s="215">
        <v>5602</v>
      </c>
      <c r="I10" s="1181">
        <v>68.723500000000001</v>
      </c>
      <c r="J10" s="1181">
        <v>70.686199999999999</v>
      </c>
      <c r="K10" s="222"/>
      <c r="L10" s="222"/>
      <c r="M10" s="222"/>
      <c r="N10" s="386">
        <v>86.89</v>
      </c>
      <c r="O10" s="215">
        <v>829267.59</v>
      </c>
      <c r="P10" s="222">
        <v>155487.67000000001</v>
      </c>
      <c r="Q10" s="222">
        <v>124390.14</v>
      </c>
      <c r="R10" s="223">
        <v>0.15</v>
      </c>
      <c r="S10" s="222">
        <v>31097.53</v>
      </c>
      <c r="T10" s="258">
        <v>3.7499999999999999E-2</v>
      </c>
    </row>
    <row r="11" spans="1:20" ht="12.75" customHeight="1" x14ac:dyDescent="0.2">
      <c r="A11" s="23" t="s">
        <v>28</v>
      </c>
      <c r="B11" s="24" t="s">
        <v>14</v>
      </c>
      <c r="C11" s="57" t="s">
        <v>31</v>
      </c>
      <c r="D11" s="25" t="s">
        <v>30</v>
      </c>
      <c r="E11" s="57" t="s">
        <v>101</v>
      </c>
      <c r="F11" s="236" t="s">
        <v>56</v>
      </c>
      <c r="G11" s="215">
        <v>44983.374400000001</v>
      </c>
      <c r="H11" s="215">
        <v>34344.505499999999</v>
      </c>
      <c r="I11" s="1181">
        <v>3</v>
      </c>
      <c r="J11" s="1181">
        <v>3</v>
      </c>
      <c r="K11" s="222"/>
      <c r="L11" s="222"/>
      <c r="M11" s="222"/>
      <c r="N11" s="386">
        <v>2479.35</v>
      </c>
      <c r="O11" s="215">
        <v>235504.29</v>
      </c>
      <c r="P11" s="222">
        <v>44157.05</v>
      </c>
      <c r="Q11" s="222">
        <v>35325.64</v>
      </c>
      <c r="R11" s="223">
        <v>0.15</v>
      </c>
      <c r="S11" s="222">
        <v>8831.41</v>
      </c>
      <c r="T11" s="258">
        <v>3.7499999999999999E-2</v>
      </c>
    </row>
    <row r="12" spans="1:20" x14ac:dyDescent="0.2">
      <c r="A12" s="23" t="s">
        <v>28</v>
      </c>
      <c r="B12" s="24" t="s">
        <v>3</v>
      </c>
      <c r="C12" s="57" t="s">
        <v>31</v>
      </c>
      <c r="D12" s="25" t="s">
        <v>30</v>
      </c>
      <c r="E12" s="57" t="s">
        <v>101</v>
      </c>
      <c r="F12" s="236" t="s">
        <v>37</v>
      </c>
      <c r="G12" s="215"/>
      <c r="H12" s="215"/>
      <c r="I12" s="1181"/>
      <c r="J12" s="1181"/>
      <c r="K12" s="222"/>
      <c r="L12" s="222"/>
      <c r="M12" s="222"/>
      <c r="N12" s="386"/>
      <c r="O12" s="215">
        <v>0</v>
      </c>
      <c r="P12" s="222">
        <v>0</v>
      </c>
      <c r="Q12" s="222">
        <v>0</v>
      </c>
      <c r="R12" s="223">
        <v>0.15</v>
      </c>
      <c r="S12" s="222">
        <v>0</v>
      </c>
      <c r="T12" s="258">
        <v>3.7499999999999999E-2</v>
      </c>
    </row>
    <row r="13" spans="1:20" x14ac:dyDescent="0.2">
      <c r="A13" s="242" t="s">
        <v>28</v>
      </c>
      <c r="B13" s="245" t="s">
        <v>369</v>
      </c>
      <c r="C13" s="57" t="s">
        <v>31</v>
      </c>
      <c r="D13" s="25" t="s">
        <v>30</v>
      </c>
      <c r="E13" s="57" t="s">
        <v>101</v>
      </c>
      <c r="F13" s="236" t="s">
        <v>56</v>
      </c>
      <c r="G13" s="215"/>
      <c r="H13" s="215"/>
      <c r="I13" s="1181"/>
      <c r="J13" s="1181"/>
      <c r="K13" s="222"/>
      <c r="L13" s="222"/>
      <c r="M13" s="222"/>
      <c r="N13" s="386"/>
      <c r="O13" s="215">
        <v>0</v>
      </c>
      <c r="P13" s="222">
        <v>0</v>
      </c>
      <c r="Q13" s="222">
        <v>0</v>
      </c>
      <c r="R13" s="223">
        <v>0.15</v>
      </c>
      <c r="S13" s="222">
        <v>0</v>
      </c>
      <c r="T13" s="258">
        <v>3.7499999999999999E-2</v>
      </c>
    </row>
    <row r="14" spans="1:20" x14ac:dyDescent="0.2">
      <c r="A14" s="23" t="s">
        <v>28</v>
      </c>
      <c r="B14" s="24" t="s">
        <v>4</v>
      </c>
      <c r="C14" s="57" t="s">
        <v>31</v>
      </c>
      <c r="D14" s="25" t="s">
        <v>30</v>
      </c>
      <c r="E14" s="57" t="s">
        <v>101</v>
      </c>
      <c r="F14" s="236" t="s">
        <v>37</v>
      </c>
      <c r="G14" s="215">
        <v>0</v>
      </c>
      <c r="H14" s="215">
        <v>0</v>
      </c>
      <c r="I14" s="1181">
        <v>0</v>
      </c>
      <c r="J14" s="1181">
        <v>0</v>
      </c>
      <c r="K14" s="222"/>
      <c r="L14" s="222"/>
      <c r="M14" s="222"/>
      <c r="N14" s="386"/>
      <c r="O14" s="215">
        <v>0</v>
      </c>
      <c r="P14" s="222">
        <v>0</v>
      </c>
      <c r="Q14" s="222">
        <v>0</v>
      </c>
      <c r="R14" s="223">
        <v>0.15</v>
      </c>
      <c r="S14" s="222">
        <v>0</v>
      </c>
      <c r="T14" s="258">
        <v>3.7499999999999999E-2</v>
      </c>
    </row>
    <row r="15" spans="1:20" x14ac:dyDescent="0.2">
      <c r="A15" s="23" t="s">
        <v>28</v>
      </c>
      <c r="B15" s="24" t="s">
        <v>370</v>
      </c>
      <c r="C15" s="57" t="s">
        <v>31</v>
      </c>
      <c r="D15" s="25" t="s">
        <v>30</v>
      </c>
      <c r="E15" s="57" t="s">
        <v>101</v>
      </c>
      <c r="F15" s="236" t="s">
        <v>56</v>
      </c>
      <c r="G15" s="215">
        <v>88294.495299999995</v>
      </c>
      <c r="H15" s="215">
        <v>77796.325400000002</v>
      </c>
      <c r="I15" s="1181">
        <v>2.9304999999999999</v>
      </c>
      <c r="J15" s="1181">
        <v>2.9304999999999999</v>
      </c>
      <c r="K15" s="222"/>
      <c r="L15" s="222"/>
      <c r="M15" s="222"/>
      <c r="N15" s="222">
        <v>492.37</v>
      </c>
      <c r="O15" s="224">
        <v>486236.78</v>
      </c>
      <c r="P15" s="222">
        <v>91169.4</v>
      </c>
      <c r="Q15" s="222">
        <v>72935.520000000004</v>
      </c>
      <c r="R15" s="223">
        <v>0.15</v>
      </c>
      <c r="S15" s="222">
        <v>18233.88</v>
      </c>
      <c r="T15" s="258">
        <v>3.7499999999999999E-2</v>
      </c>
    </row>
    <row r="16" spans="1:20" x14ac:dyDescent="0.2">
      <c r="A16" s="23" t="s">
        <v>28</v>
      </c>
      <c r="B16" s="24" t="s">
        <v>5</v>
      </c>
      <c r="C16" s="57" t="s">
        <v>31</v>
      </c>
      <c r="D16" s="25" t="s">
        <v>30</v>
      </c>
      <c r="E16" s="57" t="s">
        <v>101</v>
      </c>
      <c r="F16" s="236" t="s">
        <v>37</v>
      </c>
      <c r="G16" s="215">
        <v>0</v>
      </c>
      <c r="H16" s="215">
        <v>0</v>
      </c>
      <c r="I16" s="1181">
        <v>0</v>
      </c>
      <c r="J16" s="1181">
        <v>0</v>
      </c>
      <c r="K16" s="222"/>
      <c r="L16" s="222"/>
      <c r="M16" s="222"/>
      <c r="N16" s="386"/>
      <c r="O16" s="215">
        <v>0</v>
      </c>
      <c r="P16" s="222">
        <v>0</v>
      </c>
      <c r="Q16" s="222">
        <v>0</v>
      </c>
      <c r="R16" s="223">
        <v>0.15</v>
      </c>
      <c r="S16" s="222">
        <v>0</v>
      </c>
      <c r="T16" s="258">
        <v>3.7499999999999999E-2</v>
      </c>
    </row>
    <row r="17" spans="1:20" x14ac:dyDescent="0.2">
      <c r="A17" s="23" t="s">
        <v>28</v>
      </c>
      <c r="B17" s="24" t="s">
        <v>371</v>
      </c>
      <c r="C17" s="57" t="s">
        <v>31</v>
      </c>
      <c r="D17" s="25" t="s">
        <v>30</v>
      </c>
      <c r="E17" s="57" t="s">
        <v>101</v>
      </c>
      <c r="F17" s="236" t="s">
        <v>37</v>
      </c>
      <c r="G17" s="215">
        <v>71638.012700000007</v>
      </c>
      <c r="H17" s="215">
        <v>62417.463600000003</v>
      </c>
      <c r="I17" s="1181">
        <v>2.718</v>
      </c>
      <c r="J17" s="1181">
        <v>2.718</v>
      </c>
      <c r="K17" s="222"/>
      <c r="L17" s="222"/>
      <c r="M17" s="222"/>
      <c r="N17" s="386">
        <v>847.87</v>
      </c>
      <c r="O17" s="215">
        <v>363514.92000000004</v>
      </c>
      <c r="P17" s="222">
        <v>68159.05</v>
      </c>
      <c r="Q17" s="222">
        <v>54527.24</v>
      </c>
      <c r="R17" s="223">
        <v>0.15</v>
      </c>
      <c r="S17" s="222">
        <v>13631.81</v>
      </c>
      <c r="T17" s="258">
        <v>3.7499999999999999E-2</v>
      </c>
    </row>
    <row r="18" spans="1:20" x14ac:dyDescent="0.2">
      <c r="A18" s="23" t="s">
        <v>28</v>
      </c>
      <c r="B18" s="24" t="s">
        <v>17</v>
      </c>
      <c r="C18" s="57" t="s">
        <v>31</v>
      </c>
      <c r="D18" s="25" t="s">
        <v>30</v>
      </c>
      <c r="E18" s="57" t="s">
        <v>101</v>
      </c>
      <c r="F18" s="236" t="s">
        <v>37</v>
      </c>
      <c r="G18" s="215">
        <v>2320</v>
      </c>
      <c r="H18" s="215">
        <v>252.69810000000001</v>
      </c>
      <c r="I18" s="1181">
        <v>67.747699999999995</v>
      </c>
      <c r="J18" s="1181">
        <v>69.680899999999994</v>
      </c>
      <c r="K18" s="222"/>
      <c r="L18" s="222"/>
      <c r="M18" s="222"/>
      <c r="N18" s="386">
        <v>459.78</v>
      </c>
      <c r="O18" s="224">
        <v>174323.11000000002</v>
      </c>
      <c r="P18" s="222">
        <v>32685.58</v>
      </c>
      <c r="Q18" s="222">
        <v>26148.47</v>
      </c>
      <c r="R18" s="223">
        <v>0.15</v>
      </c>
      <c r="S18" s="222">
        <v>6537.12</v>
      </c>
      <c r="T18" s="258">
        <v>3.7499999999999999E-2</v>
      </c>
    </row>
    <row r="19" spans="1:20" x14ac:dyDescent="0.2">
      <c r="A19" s="376" t="s">
        <v>28</v>
      </c>
      <c r="B19" s="24" t="s">
        <v>237</v>
      </c>
      <c r="C19" s="57" t="s">
        <v>31</v>
      </c>
      <c r="D19" s="25" t="s">
        <v>30</v>
      </c>
      <c r="E19" s="57" t="s">
        <v>101</v>
      </c>
      <c r="F19" s="236" t="s">
        <v>37</v>
      </c>
      <c r="G19" s="215"/>
      <c r="H19" s="215"/>
      <c r="I19" s="1182"/>
      <c r="J19" s="1181"/>
      <c r="K19" s="222"/>
      <c r="L19" s="222"/>
      <c r="M19" s="222"/>
      <c r="N19" s="386"/>
      <c r="O19" s="224">
        <v>0</v>
      </c>
      <c r="P19" s="222">
        <v>0</v>
      </c>
      <c r="Q19" s="222">
        <v>0</v>
      </c>
      <c r="R19" s="223">
        <v>0.15</v>
      </c>
      <c r="S19" s="222">
        <v>0</v>
      </c>
      <c r="T19" s="258">
        <v>3.7499999999999999E-2</v>
      </c>
    </row>
    <row r="20" spans="1:20" x14ac:dyDescent="0.2">
      <c r="A20" s="376" t="s">
        <v>28</v>
      </c>
      <c r="B20" s="24" t="s">
        <v>239</v>
      </c>
      <c r="C20" s="57" t="s">
        <v>31</v>
      </c>
      <c r="D20" s="25" t="s">
        <v>30</v>
      </c>
      <c r="E20" s="57" t="s">
        <v>101</v>
      </c>
      <c r="F20" s="236" t="s">
        <v>56</v>
      </c>
      <c r="G20" s="215"/>
      <c r="H20" s="215"/>
      <c r="I20" s="1182"/>
      <c r="J20" s="1181"/>
      <c r="K20" s="222"/>
      <c r="L20" s="222"/>
      <c r="M20" s="222"/>
      <c r="N20" s="386"/>
      <c r="O20" s="224">
        <v>0</v>
      </c>
      <c r="P20" s="222">
        <v>0</v>
      </c>
      <c r="Q20" s="222">
        <v>0</v>
      </c>
      <c r="R20" s="223">
        <v>0.15</v>
      </c>
      <c r="S20" s="222">
        <v>0</v>
      </c>
      <c r="T20" s="258">
        <v>3.7499999999999999E-2</v>
      </c>
    </row>
    <row r="21" spans="1:20" x14ac:dyDescent="0.2">
      <c r="A21" s="376" t="s">
        <v>28</v>
      </c>
      <c r="B21" s="24" t="s">
        <v>238</v>
      </c>
      <c r="C21" s="57" t="s">
        <v>31</v>
      </c>
      <c r="D21" s="25" t="s">
        <v>30</v>
      </c>
      <c r="E21" s="57" t="s">
        <v>101</v>
      </c>
      <c r="F21" s="236" t="s">
        <v>37</v>
      </c>
      <c r="G21" s="215">
        <v>12941</v>
      </c>
      <c r="H21" s="215">
        <v>15190</v>
      </c>
      <c r="I21" s="1182">
        <v>67.747699999999995</v>
      </c>
      <c r="J21" s="1181">
        <v>69.680899999999994</v>
      </c>
      <c r="K21" s="222"/>
      <c r="L21" s="222"/>
      <c r="M21" s="222"/>
      <c r="N21" s="386">
        <v>271.52</v>
      </c>
      <c r="O21" s="224">
        <v>1934904.34</v>
      </c>
      <c r="P21" s="222">
        <v>362794.56</v>
      </c>
      <c r="Q21" s="222">
        <v>290235.65000000002</v>
      </c>
      <c r="R21" s="223">
        <v>0.15</v>
      </c>
      <c r="S21" s="222">
        <v>72558.91</v>
      </c>
      <c r="T21" s="258">
        <v>3.7499999999999999E-2</v>
      </c>
    </row>
    <row r="22" spans="1:20" x14ac:dyDescent="0.2">
      <c r="A22" s="23" t="s">
        <v>28</v>
      </c>
      <c r="B22" s="24" t="s">
        <v>18</v>
      </c>
      <c r="C22" s="57" t="s">
        <v>31</v>
      </c>
      <c r="D22" s="25" t="s">
        <v>30</v>
      </c>
      <c r="E22" s="57" t="s">
        <v>101</v>
      </c>
      <c r="F22" s="236" t="s">
        <v>37</v>
      </c>
      <c r="G22" s="215">
        <v>1478</v>
      </c>
      <c r="H22" s="215">
        <v>4096</v>
      </c>
      <c r="I22" s="1181">
        <v>68.723500000000001</v>
      </c>
      <c r="J22" s="1181">
        <v>70.686199999999999</v>
      </c>
      <c r="K22" s="222"/>
      <c r="L22" s="222"/>
      <c r="M22" s="222"/>
      <c r="N22" s="386">
        <v>293.25</v>
      </c>
      <c r="O22" s="224">
        <v>390810.76</v>
      </c>
      <c r="P22" s="222">
        <v>73277.02</v>
      </c>
      <c r="Q22" s="222">
        <v>58621.61</v>
      </c>
      <c r="R22" s="223">
        <v>0.15</v>
      </c>
      <c r="S22" s="222">
        <v>14655.4</v>
      </c>
      <c r="T22" s="258">
        <v>3.7499999999999999E-2</v>
      </c>
    </row>
    <row r="23" spans="1:20" x14ac:dyDescent="0.2">
      <c r="A23" s="23" t="s">
        <v>28</v>
      </c>
      <c r="B23" s="24" t="s">
        <v>20</v>
      </c>
      <c r="C23" s="57" t="s">
        <v>31</v>
      </c>
      <c r="D23" s="25" t="s">
        <v>30</v>
      </c>
      <c r="E23" s="57" t="s">
        <v>101</v>
      </c>
      <c r="F23" s="236" t="s">
        <v>37</v>
      </c>
      <c r="G23" s="215">
        <v>31725.200000000001</v>
      </c>
      <c r="H23" s="215">
        <v>40887.600000000006</v>
      </c>
      <c r="I23" s="1181">
        <v>70.527699999999996</v>
      </c>
      <c r="J23" s="1181">
        <v>71.801000000000002</v>
      </c>
      <c r="K23" s="222"/>
      <c r="L23" s="222"/>
      <c r="M23" s="222"/>
      <c r="N23" s="386">
        <v>2332.21</v>
      </c>
      <c r="O23" s="224">
        <v>5170943.75</v>
      </c>
      <c r="P23" s="222">
        <v>969551.95</v>
      </c>
      <c r="Q23" s="222">
        <v>775641.56</v>
      </c>
      <c r="R23" s="223">
        <v>0.15</v>
      </c>
      <c r="S23" s="222">
        <v>193910.39</v>
      </c>
      <c r="T23" s="258">
        <v>3.7499999999999999E-2</v>
      </c>
    </row>
    <row r="24" spans="1:20" x14ac:dyDescent="0.2">
      <c r="A24" s="23" t="s">
        <v>28</v>
      </c>
      <c r="B24" s="24" t="s">
        <v>372</v>
      </c>
      <c r="C24" s="57" t="s">
        <v>31</v>
      </c>
      <c r="D24" s="25" t="s">
        <v>30</v>
      </c>
      <c r="E24" s="57" t="s">
        <v>101</v>
      </c>
      <c r="F24" s="236" t="s">
        <v>56</v>
      </c>
      <c r="G24" s="215">
        <v>78633.340000000011</v>
      </c>
      <c r="H24" s="215">
        <v>66385.932000000001</v>
      </c>
      <c r="I24" s="1181">
        <v>2.9</v>
      </c>
      <c r="J24" s="1181">
        <v>2.9</v>
      </c>
      <c r="K24" s="222"/>
      <c r="L24" s="222"/>
      <c r="M24" s="222"/>
      <c r="N24" s="386">
        <v>1495.91</v>
      </c>
      <c r="O24" s="224">
        <v>419059.98000000004</v>
      </c>
      <c r="P24" s="222">
        <v>78573.75</v>
      </c>
      <c r="Q24" s="222">
        <v>62859</v>
      </c>
      <c r="R24" s="223">
        <v>0.15</v>
      </c>
      <c r="S24" s="222">
        <v>15714.75</v>
      </c>
      <c r="T24" s="258">
        <v>3.7499999999999999E-2</v>
      </c>
    </row>
    <row r="25" spans="1:20" x14ac:dyDescent="0.2">
      <c r="A25" s="23" t="s">
        <v>28</v>
      </c>
      <c r="B25" s="24" t="s">
        <v>9</v>
      </c>
      <c r="C25" s="57" t="s">
        <v>31</v>
      </c>
      <c r="D25" s="25" t="s">
        <v>30</v>
      </c>
      <c r="E25" s="57" t="s">
        <v>101</v>
      </c>
      <c r="F25" s="236" t="s">
        <v>37</v>
      </c>
      <c r="G25" s="215"/>
      <c r="H25" s="215"/>
      <c r="I25" s="1181"/>
      <c r="J25" s="1181"/>
      <c r="K25" s="222"/>
      <c r="L25" s="222"/>
      <c r="M25" s="222"/>
      <c r="N25" s="386"/>
      <c r="O25" s="224">
        <v>0</v>
      </c>
      <c r="P25" s="222">
        <v>0</v>
      </c>
      <c r="Q25" s="222">
        <v>0</v>
      </c>
      <c r="R25" s="223">
        <v>0.15</v>
      </c>
      <c r="S25" s="222">
        <v>0</v>
      </c>
      <c r="T25" s="258">
        <v>3.7499999999999999E-2</v>
      </c>
    </row>
    <row r="26" spans="1:20" x14ac:dyDescent="0.2">
      <c r="A26" s="23" t="s">
        <v>28</v>
      </c>
      <c r="B26" s="24" t="s">
        <v>165</v>
      </c>
      <c r="C26" s="57" t="s">
        <v>31</v>
      </c>
      <c r="D26" s="25" t="s">
        <v>30</v>
      </c>
      <c r="E26" s="57" t="s">
        <v>101</v>
      </c>
      <c r="F26" s="236" t="s">
        <v>37</v>
      </c>
      <c r="G26" s="215">
        <v>5017.0715006</v>
      </c>
      <c r="H26" s="215">
        <v>1376.2828514</v>
      </c>
      <c r="I26" s="1181">
        <v>65.583500000000001</v>
      </c>
      <c r="J26" s="1181">
        <v>70.686199999999999</v>
      </c>
      <c r="K26" s="222"/>
      <c r="L26" s="222"/>
      <c r="M26" s="222"/>
      <c r="N26" s="386">
        <v>3037.46</v>
      </c>
      <c r="O26" s="224">
        <v>423283.85</v>
      </c>
      <c r="P26" s="222">
        <v>79365.72</v>
      </c>
      <c r="Q26" s="222">
        <v>63492.58</v>
      </c>
      <c r="R26" s="223">
        <v>0.15</v>
      </c>
      <c r="S26" s="222">
        <v>15873.14</v>
      </c>
      <c r="T26" s="258">
        <v>3.7499999999999999E-2</v>
      </c>
    </row>
    <row r="27" spans="1:20" x14ac:dyDescent="0.2">
      <c r="A27" s="23" t="s">
        <v>28</v>
      </c>
      <c r="B27" s="24" t="s">
        <v>157</v>
      </c>
      <c r="C27" s="57" t="s">
        <v>31</v>
      </c>
      <c r="D27" s="25" t="s">
        <v>30</v>
      </c>
      <c r="E27" s="57" t="s">
        <v>101</v>
      </c>
      <c r="F27" s="236" t="s">
        <v>56</v>
      </c>
      <c r="G27" s="386">
        <v>0</v>
      </c>
      <c r="H27" s="386">
        <v>57179.021368920476</v>
      </c>
      <c r="I27" s="216">
        <v>0</v>
      </c>
      <c r="J27" s="386">
        <v>2.9627325887056948</v>
      </c>
      <c r="K27" s="222"/>
      <c r="L27" s="222"/>
      <c r="M27" s="222"/>
      <c r="N27" s="224">
        <v>3321.03</v>
      </c>
      <c r="O27" s="224">
        <v>169406.15</v>
      </c>
      <c r="P27" s="224">
        <v>31763.64</v>
      </c>
      <c r="Q27" s="224">
        <v>25410.93</v>
      </c>
      <c r="R27" s="223">
        <v>0.15</v>
      </c>
      <c r="S27" s="224">
        <v>6352.7300000000005</v>
      </c>
      <c r="T27" s="258">
        <v>3.7499999999999999E-2</v>
      </c>
    </row>
    <row r="28" spans="1:20" x14ac:dyDescent="0.2">
      <c r="A28" s="23" t="s">
        <v>28</v>
      </c>
      <c r="B28" s="24" t="s">
        <v>170</v>
      </c>
      <c r="C28" s="57" t="s">
        <v>31</v>
      </c>
      <c r="D28" s="25" t="s">
        <v>30</v>
      </c>
      <c r="E28" s="57" t="s">
        <v>101</v>
      </c>
      <c r="F28" s="236" t="s">
        <v>37</v>
      </c>
      <c r="G28" s="215"/>
      <c r="H28" s="215"/>
      <c r="I28" s="1181"/>
      <c r="J28" s="1181"/>
      <c r="K28" s="222"/>
      <c r="L28" s="222"/>
      <c r="M28" s="222"/>
      <c r="N28" s="386">
        <v>188.26</v>
      </c>
      <c r="O28" s="224">
        <v>-188.26</v>
      </c>
      <c r="P28" s="222">
        <v>-35.299999999999997</v>
      </c>
      <c r="Q28" s="222">
        <v>-7.06</v>
      </c>
      <c r="R28" s="223">
        <v>3.7499999999999999E-2</v>
      </c>
      <c r="S28" s="222">
        <v>-28.24</v>
      </c>
      <c r="T28" s="223">
        <v>0.15</v>
      </c>
    </row>
    <row r="29" spans="1:20" x14ac:dyDescent="0.2">
      <c r="A29" s="23" t="s">
        <v>28</v>
      </c>
      <c r="B29" s="24" t="s">
        <v>368</v>
      </c>
      <c r="C29" s="57" t="s">
        <v>31</v>
      </c>
      <c r="D29" s="25" t="s">
        <v>30</v>
      </c>
      <c r="E29" s="57" t="s">
        <v>101</v>
      </c>
      <c r="F29" s="236" t="s">
        <v>37</v>
      </c>
      <c r="G29" s="215"/>
      <c r="H29" s="215"/>
      <c r="I29" s="1181"/>
      <c r="J29" s="1181"/>
      <c r="K29" s="222"/>
      <c r="L29" s="222"/>
      <c r="M29" s="222"/>
      <c r="N29" s="386">
        <v>955.77</v>
      </c>
      <c r="O29" s="224">
        <v>-955.77</v>
      </c>
      <c r="P29" s="222">
        <v>-179.21</v>
      </c>
      <c r="Q29" s="222">
        <v>-35.840000000000003</v>
      </c>
      <c r="R29" s="223">
        <v>3.7499999999999999E-2</v>
      </c>
      <c r="S29" s="222">
        <v>-143.37</v>
      </c>
      <c r="T29" s="223">
        <v>0.15</v>
      </c>
    </row>
    <row r="30" spans="1:20" x14ac:dyDescent="0.2">
      <c r="A30" s="26" t="s">
        <v>28</v>
      </c>
      <c r="B30" s="29" t="s">
        <v>302</v>
      </c>
      <c r="C30" s="57" t="s">
        <v>31</v>
      </c>
      <c r="D30" s="25" t="s">
        <v>30</v>
      </c>
      <c r="E30" s="57" t="s">
        <v>101</v>
      </c>
      <c r="F30" s="236" t="s">
        <v>37</v>
      </c>
      <c r="G30" s="386">
        <v>55682</v>
      </c>
      <c r="H30" s="386">
        <v>33077</v>
      </c>
      <c r="I30" s="1181">
        <v>68.12</v>
      </c>
      <c r="J30" s="1181">
        <v>70.617999999999995</v>
      </c>
      <c r="K30" s="215"/>
      <c r="L30" s="222"/>
      <c r="M30" s="222"/>
      <c r="N30" s="386">
        <v>3194.96</v>
      </c>
      <c r="O30" s="224">
        <v>6125694.4699999997</v>
      </c>
      <c r="P30" s="222">
        <v>1148567.71</v>
      </c>
      <c r="Q30" s="222">
        <v>918854.17</v>
      </c>
      <c r="R30" s="223">
        <v>0.15</v>
      </c>
      <c r="S30" s="222">
        <v>229713.54</v>
      </c>
      <c r="T30" s="258">
        <v>3.7499999999999999E-2</v>
      </c>
    </row>
    <row r="31" spans="1:20" x14ac:dyDescent="0.2">
      <c r="A31" s="26" t="s">
        <v>28</v>
      </c>
      <c r="B31" s="29" t="s">
        <v>303</v>
      </c>
      <c r="C31" s="57" t="s">
        <v>31</v>
      </c>
      <c r="D31" s="25" t="s">
        <v>30</v>
      </c>
      <c r="E31" s="57" t="s">
        <v>101</v>
      </c>
      <c r="F31" s="236" t="s">
        <v>56</v>
      </c>
      <c r="G31" s="386">
        <v>125024.20000000001</v>
      </c>
      <c r="H31" s="386">
        <v>111836.45999999999</v>
      </c>
      <c r="I31" s="386">
        <v>2.7443703698963877</v>
      </c>
      <c r="J31" s="386">
        <v>2.7455107216376486</v>
      </c>
      <c r="K31" s="215"/>
      <c r="L31" s="222"/>
      <c r="M31" s="222"/>
      <c r="N31" s="386">
        <v>861.64</v>
      </c>
      <c r="O31" s="224">
        <v>650160.90999999992</v>
      </c>
      <c r="P31" s="224">
        <v>121905.17000000001</v>
      </c>
      <c r="Q31" s="224">
        <v>97524.13</v>
      </c>
      <c r="R31" s="248">
        <v>0.15</v>
      </c>
      <c r="S31" s="224">
        <v>24381.040000000001</v>
      </c>
      <c r="T31" s="258">
        <v>3.7499999999999999E-2</v>
      </c>
    </row>
    <row r="32" spans="1:20" x14ac:dyDescent="0.2">
      <c r="A32" s="26" t="s">
        <v>28</v>
      </c>
      <c r="B32" s="29" t="s">
        <v>304</v>
      </c>
      <c r="C32" s="57" t="s">
        <v>31</v>
      </c>
      <c r="D32" s="25" t="s">
        <v>30</v>
      </c>
      <c r="E32" s="57" t="s">
        <v>101</v>
      </c>
      <c r="F32" s="236" t="s">
        <v>37</v>
      </c>
      <c r="G32" s="386">
        <v>10472</v>
      </c>
      <c r="H32" s="386">
        <v>9282</v>
      </c>
      <c r="I32" s="1181">
        <v>35.677</v>
      </c>
      <c r="J32" s="1181">
        <v>36.294800000000002</v>
      </c>
      <c r="K32" s="215"/>
      <c r="L32" s="222"/>
      <c r="M32" s="222"/>
      <c r="N32" s="386">
        <v>937.66</v>
      </c>
      <c r="O32" s="224">
        <v>709560.21</v>
      </c>
      <c r="P32" s="222">
        <v>133042.54</v>
      </c>
      <c r="Q32" s="222">
        <v>106434.03</v>
      </c>
      <c r="R32" s="248">
        <v>0.15</v>
      </c>
      <c r="S32" s="222">
        <v>26608.51</v>
      </c>
      <c r="T32" s="258">
        <v>3.7499999999999999E-2</v>
      </c>
    </row>
    <row r="33" spans="1:20" x14ac:dyDescent="0.2">
      <c r="A33" s="26" t="s">
        <v>28</v>
      </c>
      <c r="B33" s="29" t="s">
        <v>52</v>
      </c>
      <c r="C33" s="56"/>
      <c r="D33" s="56"/>
      <c r="E33" s="27"/>
      <c r="F33" s="236"/>
      <c r="G33" s="222"/>
      <c r="H33" s="222"/>
      <c r="I33" s="1182"/>
      <c r="J33" s="1182"/>
      <c r="K33" s="222"/>
      <c r="L33" s="222"/>
      <c r="M33" s="577"/>
      <c r="N33" s="222"/>
      <c r="O33" s="224">
        <v>87942.629999999612</v>
      </c>
      <c r="P33" s="224">
        <v>16489.239999999983</v>
      </c>
      <c r="Q33" s="224">
        <v>13191.39000000001</v>
      </c>
      <c r="R33" s="248"/>
      <c r="S33" s="224">
        <v>3297.8399999999979</v>
      </c>
      <c r="T33" s="223"/>
    </row>
    <row r="34" spans="1:20" x14ac:dyDescent="0.2">
      <c r="A34" s="30"/>
      <c r="B34" s="153" t="s">
        <v>108</v>
      </c>
      <c r="C34" s="31" t="s">
        <v>461</v>
      </c>
      <c r="D34" s="38"/>
      <c r="E34" s="39"/>
      <c r="F34" s="244"/>
      <c r="G34" s="218"/>
      <c r="H34" s="218"/>
      <c r="I34" s="619"/>
      <c r="J34" s="619"/>
      <c r="K34" s="218"/>
      <c r="L34" s="218"/>
      <c r="M34" s="218"/>
      <c r="N34" s="227"/>
      <c r="O34" s="227">
        <v>18169469.710000001</v>
      </c>
      <c r="P34" s="227">
        <v>3406775.5399999996</v>
      </c>
      <c r="Q34" s="227">
        <v>2725549.1599999997</v>
      </c>
      <c r="R34" s="229"/>
      <c r="S34" s="227">
        <v>681226.39</v>
      </c>
      <c r="T34" s="511">
        <v>0</v>
      </c>
    </row>
    <row r="35" spans="1:20" x14ac:dyDescent="0.2">
      <c r="A35" s="125"/>
      <c r="B35" s="126"/>
      <c r="C35" s="31" t="s">
        <v>462</v>
      </c>
      <c r="D35" s="56"/>
      <c r="E35" s="56"/>
      <c r="F35" s="137"/>
      <c r="G35" s="177"/>
      <c r="H35" s="177"/>
      <c r="I35" s="554"/>
      <c r="J35" s="554"/>
      <c r="K35" s="177"/>
      <c r="L35" s="177"/>
      <c r="M35" s="177"/>
      <c r="N35" s="177"/>
      <c r="O35" s="209"/>
      <c r="P35" s="210">
        <v>11767002.720000001</v>
      </c>
      <c r="Q35" s="364">
        <v>9414046.8000000007</v>
      </c>
      <c r="R35" s="139"/>
      <c r="S35" s="363">
        <v>2352955.9500000002</v>
      </c>
      <c r="T35" s="160"/>
    </row>
    <row r="36" spans="1:20" x14ac:dyDescent="0.2">
      <c r="A36" s="15" t="s">
        <v>22</v>
      </c>
      <c r="B36" s="16"/>
      <c r="C36" s="58"/>
      <c r="D36" s="58"/>
      <c r="E36" s="17"/>
      <c r="F36" s="34"/>
      <c r="G36" s="220"/>
      <c r="H36" s="220"/>
      <c r="I36" s="617"/>
      <c r="J36" s="617"/>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v>10812</v>
      </c>
      <c r="I37" s="1181"/>
      <c r="J37" s="1181">
        <v>57.115900000000003</v>
      </c>
      <c r="K37" s="222"/>
      <c r="L37" s="222"/>
      <c r="M37" s="222"/>
      <c r="N37" s="386">
        <v>3772.39</v>
      </c>
      <c r="O37" s="224">
        <v>613764.72</v>
      </c>
      <c r="P37" s="222">
        <v>92064.71</v>
      </c>
      <c r="Q37" s="222">
        <v>92064.71</v>
      </c>
      <c r="R37" s="223">
        <v>0.15</v>
      </c>
      <c r="S37" s="226"/>
      <c r="T37" s="225"/>
    </row>
    <row r="38" spans="1:20" x14ac:dyDescent="0.2">
      <c r="A38" s="26" t="s">
        <v>28</v>
      </c>
      <c r="B38" s="29" t="s">
        <v>53</v>
      </c>
      <c r="C38" s="56"/>
      <c r="D38" s="56"/>
      <c r="E38" s="5"/>
      <c r="F38" s="33"/>
      <c r="G38" s="222"/>
      <c r="H38" s="222"/>
      <c r="I38" s="1182"/>
      <c r="J38" s="1182"/>
      <c r="K38" s="222"/>
      <c r="L38" s="222"/>
      <c r="M38" s="222"/>
      <c r="N38" s="222"/>
      <c r="O38" s="224"/>
      <c r="P38" s="224"/>
      <c r="Q38" s="224"/>
      <c r="R38" s="225"/>
      <c r="S38" s="224"/>
      <c r="T38" s="225"/>
    </row>
    <row r="39" spans="1:20" x14ac:dyDescent="0.2">
      <c r="A39" s="30"/>
      <c r="B39" s="153" t="s">
        <v>108</v>
      </c>
      <c r="C39" s="31" t="s">
        <v>463</v>
      </c>
      <c r="D39" s="38"/>
      <c r="E39" s="39"/>
      <c r="F39" s="38"/>
      <c r="G39" s="218"/>
      <c r="H39" s="218"/>
      <c r="I39" s="619"/>
      <c r="J39" s="619"/>
      <c r="K39" s="218"/>
      <c r="L39" s="218"/>
      <c r="M39" s="218"/>
      <c r="N39" s="218"/>
      <c r="O39" s="227">
        <v>613764.72</v>
      </c>
      <c r="P39" s="227">
        <v>92064.71</v>
      </c>
      <c r="Q39" s="227">
        <v>92064.71</v>
      </c>
      <c r="R39" s="229"/>
      <c r="S39" s="227">
        <v>0</v>
      </c>
      <c r="T39" s="229"/>
    </row>
    <row r="40" spans="1:20" x14ac:dyDescent="0.2">
      <c r="A40" s="125"/>
      <c r="B40" s="126"/>
      <c r="C40" s="31" t="s">
        <v>464</v>
      </c>
      <c r="D40" s="56"/>
      <c r="E40" s="56"/>
      <c r="F40" s="137"/>
      <c r="G40" s="177"/>
      <c r="H40" s="177"/>
      <c r="I40" s="554"/>
      <c r="J40" s="554"/>
      <c r="K40" s="177"/>
      <c r="L40" s="177"/>
      <c r="M40" s="177"/>
      <c r="N40" s="177"/>
      <c r="O40" s="209"/>
      <c r="P40" s="210">
        <v>317991.51</v>
      </c>
      <c r="Q40" s="364">
        <v>317991.51</v>
      </c>
      <c r="R40" s="139"/>
      <c r="S40" s="210">
        <v>0</v>
      </c>
      <c r="T40" s="139"/>
    </row>
    <row r="41" spans="1:20" x14ac:dyDescent="0.2">
      <c r="A41" s="15" t="s">
        <v>24</v>
      </c>
      <c r="B41" s="16"/>
      <c r="C41" s="58"/>
      <c r="D41" s="58"/>
      <c r="E41" s="17"/>
      <c r="F41" s="234"/>
      <c r="G41" s="220"/>
      <c r="H41" s="220"/>
      <c r="I41" s="617"/>
      <c r="J41" s="617"/>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v>33026</v>
      </c>
      <c r="H42" s="215">
        <v>76714</v>
      </c>
      <c r="I42" s="1181">
        <v>63.239699999999999</v>
      </c>
      <c r="J42" s="215">
        <v>64.006122220194484</v>
      </c>
      <c r="K42" s="222"/>
      <c r="L42" s="222"/>
      <c r="M42" s="222"/>
      <c r="N42" s="222">
        <v>5053.9799999999996</v>
      </c>
      <c r="O42" s="224">
        <v>6993666.0099999998</v>
      </c>
      <c r="P42" s="222">
        <v>1311312.3799999999</v>
      </c>
      <c r="Q42" s="222">
        <v>1049049.8999999999</v>
      </c>
      <c r="R42" s="223">
        <v>0.15</v>
      </c>
      <c r="S42" s="222">
        <v>262262.48</v>
      </c>
      <c r="T42" s="258">
        <v>3.7499999999999999E-2</v>
      </c>
    </row>
    <row r="43" spans="1:20" x14ac:dyDescent="0.2">
      <c r="A43" s="23" t="s">
        <v>28</v>
      </c>
      <c r="B43" s="24" t="s">
        <v>12</v>
      </c>
      <c r="C43" s="57" t="s">
        <v>31</v>
      </c>
      <c r="D43" s="57" t="s">
        <v>30</v>
      </c>
      <c r="E43" s="57" t="s">
        <v>101</v>
      </c>
      <c r="F43" s="238" t="s">
        <v>56</v>
      </c>
      <c r="G43" s="215">
        <v>36589.815699999999</v>
      </c>
      <c r="H43" s="215">
        <v>79149.988800000006</v>
      </c>
      <c r="I43" s="1181">
        <v>3.6038999999999999</v>
      </c>
      <c r="J43" s="1181">
        <v>3.6040999999999999</v>
      </c>
      <c r="K43" s="222"/>
      <c r="L43" s="222"/>
      <c r="M43" s="222"/>
      <c r="N43" s="386">
        <v>1677.65</v>
      </c>
      <c r="O43" s="224">
        <v>415452.86</v>
      </c>
      <c r="P43" s="222">
        <v>77897.41</v>
      </c>
      <c r="Q43" s="222">
        <v>15579.48</v>
      </c>
      <c r="R43" s="258">
        <v>3.7499999999999999E-2</v>
      </c>
      <c r="S43" s="222">
        <v>62317.93</v>
      </c>
      <c r="T43" s="223">
        <v>0.15</v>
      </c>
    </row>
    <row r="44" spans="1:20" x14ac:dyDescent="0.2">
      <c r="A44" s="23" t="s">
        <v>28</v>
      </c>
      <c r="B44" s="24" t="s">
        <v>75</v>
      </c>
      <c r="C44" s="57" t="s">
        <v>31</v>
      </c>
      <c r="D44" s="57" t="s">
        <v>30</v>
      </c>
      <c r="E44" s="57" t="s">
        <v>103</v>
      </c>
      <c r="F44" s="238" t="s">
        <v>37</v>
      </c>
      <c r="G44" s="215"/>
      <c r="H44" s="215"/>
      <c r="I44" s="1181"/>
      <c r="J44" s="1181"/>
      <c r="K44" s="222"/>
      <c r="L44" s="222"/>
      <c r="M44" s="222"/>
      <c r="N44" s="386">
        <v>2139.61</v>
      </c>
      <c r="O44" s="224">
        <v>-2139.61</v>
      </c>
      <c r="P44" s="222">
        <v>-401.18</v>
      </c>
      <c r="Q44" s="222">
        <v>-80.239999999999995</v>
      </c>
      <c r="R44" s="258">
        <v>3.7499999999999999E-2</v>
      </c>
      <c r="S44" s="222">
        <v>-320.94</v>
      </c>
      <c r="T44" s="223">
        <v>0.15</v>
      </c>
    </row>
    <row r="45" spans="1:20" x14ac:dyDescent="0.2">
      <c r="A45" s="23" t="s">
        <v>28</v>
      </c>
      <c r="B45" s="28">
        <v>95</v>
      </c>
      <c r="C45" s="57" t="s">
        <v>31</v>
      </c>
      <c r="D45" s="57" t="s">
        <v>30</v>
      </c>
      <c r="E45" s="57" t="s">
        <v>101</v>
      </c>
      <c r="F45" s="238" t="s">
        <v>37</v>
      </c>
      <c r="G45" s="215">
        <v>201738</v>
      </c>
      <c r="H45" s="264">
        <v>196782</v>
      </c>
      <c r="I45" s="1181">
        <v>47.300600000000003</v>
      </c>
      <c r="J45" s="1181">
        <v>49.853000000000002</v>
      </c>
      <c r="K45" s="518"/>
      <c r="L45" s="520"/>
      <c r="M45" s="520"/>
      <c r="N45" s="386">
        <v>5053.9799999999996</v>
      </c>
      <c r="O45" s="612">
        <v>19347447.510000002</v>
      </c>
      <c r="P45" s="222">
        <v>3627646.41</v>
      </c>
      <c r="Q45" s="222">
        <v>2902117.13</v>
      </c>
      <c r="R45" s="223">
        <v>0.15</v>
      </c>
      <c r="S45" s="222">
        <v>725529.28</v>
      </c>
      <c r="T45" s="258">
        <v>3.7499999999999999E-2</v>
      </c>
    </row>
    <row r="46" spans="1:20" x14ac:dyDescent="0.2">
      <c r="A46" s="23" t="s">
        <v>28</v>
      </c>
      <c r="B46" s="272">
        <v>67</v>
      </c>
      <c r="C46" s="57" t="s">
        <v>31</v>
      </c>
      <c r="D46" s="57" t="s">
        <v>30</v>
      </c>
      <c r="E46" s="57" t="s">
        <v>101</v>
      </c>
      <c r="F46" s="238" t="s">
        <v>37</v>
      </c>
      <c r="G46" s="215"/>
      <c r="H46" s="215"/>
      <c r="I46" s="1181"/>
      <c r="J46" s="1181"/>
      <c r="K46" s="215"/>
      <c r="L46" s="222"/>
      <c r="M46" s="577"/>
      <c r="N46" s="222"/>
      <c r="O46" s="224">
        <v>0</v>
      </c>
      <c r="P46" s="222">
        <v>0</v>
      </c>
      <c r="Q46" s="222">
        <v>0</v>
      </c>
      <c r="R46" s="223">
        <v>0.15</v>
      </c>
      <c r="S46" s="222">
        <v>0</v>
      </c>
      <c r="T46" s="258">
        <v>3.7499999999999999E-2</v>
      </c>
    </row>
    <row r="47" spans="1:20" x14ac:dyDescent="0.2">
      <c r="A47" s="18" t="s">
        <v>28</v>
      </c>
      <c r="B47" s="29" t="s">
        <v>54</v>
      </c>
      <c r="C47" s="56"/>
      <c r="D47" s="27"/>
      <c r="E47" s="27"/>
      <c r="F47" s="238"/>
      <c r="G47" s="222"/>
      <c r="H47" s="222"/>
      <c r="I47" s="1182"/>
      <c r="J47" s="1182"/>
      <c r="K47" s="222"/>
      <c r="L47" s="222"/>
      <c r="M47" s="222"/>
      <c r="N47" s="222"/>
      <c r="O47" s="222"/>
      <c r="P47" s="222">
        <v>0</v>
      </c>
      <c r="Q47" s="222">
        <v>0</v>
      </c>
      <c r="R47" s="222"/>
      <c r="S47" s="222">
        <v>0</v>
      </c>
      <c r="T47" s="223"/>
    </row>
    <row r="48" spans="1:20" x14ac:dyDescent="0.2">
      <c r="A48" s="30"/>
      <c r="B48" s="153" t="s">
        <v>108</v>
      </c>
      <c r="C48" s="31" t="s">
        <v>465</v>
      </c>
      <c r="D48" s="19"/>
      <c r="E48" s="19"/>
      <c r="F48" s="251"/>
      <c r="G48" s="249"/>
      <c r="H48" s="249"/>
      <c r="I48" s="1183"/>
      <c r="J48" s="633"/>
      <c r="K48" s="239"/>
      <c r="L48" s="239"/>
      <c r="M48" s="239"/>
      <c r="N48" s="227"/>
      <c r="O48" s="227">
        <v>26754426.770000003</v>
      </c>
      <c r="P48" s="227">
        <v>5016455.0199999996</v>
      </c>
      <c r="Q48" s="227">
        <v>3966666.2699999996</v>
      </c>
      <c r="R48" s="241"/>
      <c r="S48" s="227">
        <v>1049788.75</v>
      </c>
      <c r="T48" s="229"/>
    </row>
    <row r="49" spans="1:20" x14ac:dyDescent="0.2">
      <c r="A49" s="145"/>
      <c r="B49" s="146"/>
      <c r="C49" s="31" t="s">
        <v>466</v>
      </c>
      <c r="D49" s="103"/>
      <c r="E49" s="103"/>
      <c r="F49" s="145"/>
      <c r="G49" s="208"/>
      <c r="H49" s="208"/>
      <c r="I49" s="1184"/>
      <c r="J49" s="1184"/>
      <c r="K49" s="208"/>
      <c r="L49" s="208"/>
      <c r="M49" s="208"/>
      <c r="N49" s="208"/>
      <c r="O49" s="211"/>
      <c r="P49" s="211">
        <v>17326835.640000001</v>
      </c>
      <c r="Q49" s="363">
        <v>13700865.300000001</v>
      </c>
      <c r="R49" s="160"/>
      <c r="S49" s="363">
        <v>3625970.34</v>
      </c>
      <c r="T49" s="148"/>
    </row>
    <row r="50" spans="1:20" x14ac:dyDescent="0.2">
      <c r="A50" s="15" t="s">
        <v>161</v>
      </c>
      <c r="B50" s="16"/>
      <c r="C50" s="16"/>
      <c r="D50" s="16"/>
      <c r="E50" s="21"/>
      <c r="F50" s="15"/>
      <c r="G50" s="206"/>
      <c r="H50" s="207"/>
      <c r="I50" s="1185"/>
      <c r="J50" s="1186"/>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v>698189</v>
      </c>
      <c r="H51" s="222">
        <v>604305</v>
      </c>
      <c r="I51" s="1182">
        <v>34.2622</v>
      </c>
      <c r="J51" s="1182">
        <v>34.831299999999999</v>
      </c>
      <c r="K51" s="222"/>
      <c r="L51" s="222"/>
      <c r="M51" s="222"/>
      <c r="N51" s="222">
        <v>2647.18</v>
      </c>
      <c r="O51" s="224">
        <v>44970219.9023</v>
      </c>
      <c r="P51" s="253">
        <v>16746909.890000001</v>
      </c>
      <c r="Q51" s="253">
        <v>8373454.9500000002</v>
      </c>
      <c r="R51" s="223">
        <v>0.5</v>
      </c>
      <c r="S51" s="222"/>
      <c r="T51" s="258"/>
    </row>
    <row r="52" spans="1:20" x14ac:dyDescent="0.2">
      <c r="A52" s="23" t="s">
        <v>28</v>
      </c>
      <c r="B52" s="24" t="s">
        <v>159</v>
      </c>
      <c r="C52" s="57" t="s">
        <v>31</v>
      </c>
      <c r="D52" s="57" t="s">
        <v>30</v>
      </c>
      <c r="E52" s="57" t="s">
        <v>158</v>
      </c>
      <c r="F52" s="238" t="s">
        <v>56</v>
      </c>
      <c r="G52" s="222">
        <v>12463191.250700001</v>
      </c>
      <c r="H52" s="222">
        <v>11097047.9332</v>
      </c>
      <c r="I52" s="558">
        <v>2.8016999999999999</v>
      </c>
      <c r="J52" s="222">
        <v>2.7978999999999998</v>
      </c>
      <c r="K52" s="222"/>
      <c r="L52" s="222"/>
      <c r="M52" s="222"/>
      <c r="N52" s="409">
        <v>4326.99</v>
      </c>
      <c r="O52" s="253">
        <v>65967390.989999995</v>
      </c>
      <c r="P52" s="253">
        <v>24613071.879999999</v>
      </c>
      <c r="Q52" s="253">
        <v>12306535.950000001</v>
      </c>
      <c r="R52" s="223">
        <v>0.5</v>
      </c>
      <c r="S52" s="222"/>
      <c r="T52" s="223"/>
    </row>
    <row r="53" spans="1:20" x14ac:dyDescent="0.2">
      <c r="A53" s="23" t="s">
        <v>28</v>
      </c>
      <c r="B53" s="24" t="s">
        <v>168</v>
      </c>
      <c r="C53" s="57" t="s">
        <v>31</v>
      </c>
      <c r="D53" s="57" t="s">
        <v>30</v>
      </c>
      <c r="E53" s="57" t="s">
        <v>158</v>
      </c>
      <c r="F53" s="238" t="s">
        <v>37</v>
      </c>
      <c r="G53" s="222">
        <v>161903</v>
      </c>
      <c r="H53" s="222">
        <v>138169</v>
      </c>
      <c r="I53" s="1182">
        <v>34.263599999999997</v>
      </c>
      <c r="J53" s="1182">
        <v>34.838700000000003</v>
      </c>
      <c r="K53" s="222"/>
      <c r="L53" s="222"/>
      <c r="M53" s="222"/>
      <c r="N53" s="222">
        <v>1850.7</v>
      </c>
      <c r="O53" s="224">
        <v>10361007.971099999</v>
      </c>
      <c r="P53" s="253">
        <v>4144403.1900000004</v>
      </c>
      <c r="Q53" s="253">
        <v>2072201.6</v>
      </c>
      <c r="R53" s="223">
        <v>0.5</v>
      </c>
      <c r="S53" s="222"/>
      <c r="T53" s="223"/>
    </row>
    <row r="54" spans="1:20" x14ac:dyDescent="0.2">
      <c r="A54" s="23" t="s">
        <v>28</v>
      </c>
      <c r="B54" s="24" t="s">
        <v>169</v>
      </c>
      <c r="C54" s="57" t="s">
        <v>31</v>
      </c>
      <c r="D54" s="57" t="s">
        <v>30</v>
      </c>
      <c r="E54" s="57" t="s">
        <v>158</v>
      </c>
      <c r="F54" s="238" t="s">
        <v>56</v>
      </c>
      <c r="G54" s="222">
        <v>3658054.3835999998</v>
      </c>
      <c r="H54" s="222">
        <v>3186263.6732999999</v>
      </c>
      <c r="I54" s="1182">
        <v>3.9860000000000002</v>
      </c>
      <c r="J54" s="1182">
        <v>3.9849999999999999</v>
      </c>
      <c r="K54" s="222"/>
      <c r="L54" s="222"/>
      <c r="M54" s="222"/>
      <c r="N54" s="222">
        <v>2507.42</v>
      </c>
      <c r="O54" s="224">
        <v>27278265.511130098</v>
      </c>
      <c r="P54" s="253">
        <v>10365740.890000001</v>
      </c>
      <c r="Q54" s="253">
        <v>5182870.45</v>
      </c>
      <c r="R54" s="223">
        <v>0.5</v>
      </c>
      <c r="S54" s="222"/>
      <c r="T54" s="223"/>
    </row>
    <row r="55" spans="1:20" x14ac:dyDescent="0.2">
      <c r="A55" s="23" t="s">
        <v>28</v>
      </c>
      <c r="B55" s="28" t="s">
        <v>175</v>
      </c>
      <c r="C55" s="57" t="s">
        <v>31</v>
      </c>
      <c r="D55" s="57" t="s">
        <v>30</v>
      </c>
      <c r="E55" s="57" t="s">
        <v>158</v>
      </c>
      <c r="F55" s="238" t="s">
        <v>37</v>
      </c>
      <c r="G55" s="222">
        <v>231742</v>
      </c>
      <c r="H55" s="222">
        <v>202637</v>
      </c>
      <c r="I55" s="1182">
        <v>32.494500000000002</v>
      </c>
      <c r="J55" s="1182">
        <v>33.445700000000002</v>
      </c>
      <c r="K55" s="215"/>
      <c r="L55" s="222"/>
      <c r="M55" s="222"/>
      <c r="N55" s="215">
        <v>775.47</v>
      </c>
      <c r="O55" s="224">
        <v>14307676.729900002</v>
      </c>
      <c r="P55" s="222">
        <v>952815.9698069999</v>
      </c>
      <c r="Q55" s="222">
        <v>476407.98</v>
      </c>
      <c r="R55" s="223">
        <v>0.5</v>
      </c>
      <c r="S55" s="222"/>
      <c r="T55" s="258"/>
    </row>
    <row r="56" spans="1:20" x14ac:dyDescent="0.2">
      <c r="A56" s="23" t="s">
        <v>28</v>
      </c>
      <c r="B56" s="272" t="s">
        <v>176</v>
      </c>
      <c r="C56" s="57" t="s">
        <v>31</v>
      </c>
      <c r="D56" s="57" t="s">
        <v>30</v>
      </c>
      <c r="E56" s="57" t="s">
        <v>158</v>
      </c>
      <c r="F56" s="238" t="s">
        <v>56</v>
      </c>
      <c r="G56" s="222">
        <v>3835520.8001000001</v>
      </c>
      <c r="H56" s="222">
        <v>3325250.1277999999</v>
      </c>
      <c r="I56" s="1182">
        <v>3.8690000000000002</v>
      </c>
      <c r="J56" s="1182">
        <v>3.8690000000000002</v>
      </c>
      <c r="K56" s="559"/>
      <c r="L56" s="222"/>
      <c r="M56" s="222"/>
      <c r="N56" s="215">
        <v>1884.72</v>
      </c>
      <c r="O56" s="224">
        <v>27705022.720045101</v>
      </c>
      <c r="P56" s="222">
        <v>3029445.52257</v>
      </c>
      <c r="Q56" s="222">
        <v>1514722.76</v>
      </c>
      <c r="R56" s="223">
        <v>0.5</v>
      </c>
      <c r="S56" s="222"/>
      <c r="T56" s="258"/>
    </row>
    <row r="57" spans="1:20" x14ac:dyDescent="0.2">
      <c r="A57" s="181" t="s">
        <v>28</v>
      </c>
      <c r="B57" s="182" t="s">
        <v>162</v>
      </c>
      <c r="C57" s="183"/>
      <c r="D57" s="183"/>
      <c r="E57" s="184"/>
      <c r="F57" s="33"/>
      <c r="G57" s="261"/>
      <c r="H57" s="262"/>
      <c r="I57" s="1187"/>
      <c r="J57" s="263"/>
      <c r="K57" s="263"/>
      <c r="L57" s="263"/>
      <c r="M57" s="187"/>
      <c r="N57" s="187"/>
      <c r="O57" s="198">
        <v>4446609.4784473432</v>
      </c>
      <c r="P57" s="198">
        <v>912982.4899240057</v>
      </c>
      <c r="Q57" s="198">
        <v>456491.24000000115</v>
      </c>
      <c r="R57" s="148"/>
      <c r="S57" s="188"/>
      <c r="T57" s="148"/>
    </row>
    <row r="58" spans="1:20" x14ac:dyDescent="0.2">
      <c r="A58" s="30"/>
      <c r="B58" s="153" t="s">
        <v>108</v>
      </c>
      <c r="C58" s="31" t="s">
        <v>467</v>
      </c>
      <c r="D58" s="19"/>
      <c r="E58" s="19"/>
      <c r="F58" s="268"/>
      <c r="G58" s="254"/>
      <c r="H58" s="254"/>
      <c r="I58" s="304"/>
      <c r="J58" s="254"/>
      <c r="K58" s="265"/>
      <c r="L58" s="259"/>
      <c r="M58" s="303"/>
      <c r="N58" s="201"/>
      <c r="O58" s="201">
        <v>195036193.30292255</v>
      </c>
      <c r="P58" s="201">
        <v>60765369.832300998</v>
      </c>
      <c r="Q58" s="201">
        <v>30382684.930000007</v>
      </c>
      <c r="R58" s="560"/>
      <c r="S58" s="192"/>
      <c r="T58" s="148"/>
    </row>
    <row r="59" spans="1:20" x14ac:dyDescent="0.2">
      <c r="A59" s="145"/>
      <c r="B59" s="146"/>
      <c r="C59" s="31" t="s">
        <v>468</v>
      </c>
      <c r="D59" s="103"/>
      <c r="E59" s="103"/>
      <c r="F59" s="268"/>
      <c r="G59" s="255">
        <v>3.9860000000000002</v>
      </c>
      <c r="H59" s="255">
        <v>3.9849999999999999</v>
      </c>
      <c r="I59" s="305"/>
      <c r="J59" s="254"/>
      <c r="K59" s="266"/>
      <c r="L59" s="260"/>
      <c r="M59" s="357"/>
      <c r="N59" s="358"/>
      <c r="O59" s="358"/>
      <c r="P59" s="194"/>
      <c r="Q59" s="194">
        <v>104941793.74822003</v>
      </c>
      <c r="R59" s="185"/>
      <c r="S59" s="192"/>
      <c r="T59" s="148"/>
    </row>
    <row r="60" spans="1:20" x14ac:dyDescent="0.2">
      <c r="A60" s="7" t="s">
        <v>55</v>
      </c>
      <c r="B60" s="8"/>
      <c r="C60" s="8"/>
      <c r="D60" s="8"/>
      <c r="E60" s="8"/>
      <c r="F60" s="269"/>
      <c r="G60" s="256">
        <v>0</v>
      </c>
      <c r="H60" s="256">
        <v>0</v>
      </c>
      <c r="I60" s="254">
        <v>0</v>
      </c>
      <c r="J60" s="254" t="e">
        <v>#REF!</v>
      </c>
      <c r="K60" s="306" t="e">
        <v>#REF!</v>
      </c>
      <c r="L60" s="307"/>
      <c r="M60" s="211">
        <v>0</v>
      </c>
      <c r="N60" s="211">
        <v>52946.01999999999</v>
      </c>
      <c r="O60" s="211">
        <v>240573854.50292253</v>
      </c>
      <c r="P60" s="363">
        <v>38897980.200000003</v>
      </c>
      <c r="Q60" s="196">
        <v>134353623.64822003</v>
      </c>
      <c r="R60" s="55"/>
      <c r="S60" s="196"/>
      <c r="T60" s="55"/>
    </row>
    <row r="61" spans="1:20" x14ac:dyDescent="0.2">
      <c r="G61" s="1"/>
      <c r="H61" s="1"/>
      <c r="I61" s="1"/>
      <c r="J61" s="1"/>
      <c r="K61" s="1"/>
      <c r="N61" s="509"/>
      <c r="O61" s="252"/>
      <c r="S61" s="257"/>
    </row>
    <row r="62" spans="1:20" x14ac:dyDescent="0.2">
      <c r="A62" s="4" t="s">
        <v>93</v>
      </c>
      <c r="B62" s="1" t="s">
        <v>76</v>
      </c>
      <c r="G62" s="1"/>
      <c r="H62" s="4" t="s">
        <v>77</v>
      </c>
      <c r="I62" s="1"/>
      <c r="J62" s="65"/>
      <c r="K62" s="65"/>
      <c r="M62" s="252"/>
      <c r="N62" s="1161"/>
      <c r="O62" s="1139"/>
      <c r="P62" s="1121"/>
      <c r="Q62" s="65"/>
      <c r="S62" s="65"/>
    </row>
    <row r="63" spans="1:20" x14ac:dyDescent="0.2">
      <c r="B63" s="115" t="s">
        <v>78</v>
      </c>
      <c r="C63" s="116" t="s">
        <v>79</v>
      </c>
      <c r="D63" s="117"/>
      <c r="E63" s="118" t="s">
        <v>35</v>
      </c>
      <c r="F63" s="118" t="s">
        <v>80</v>
      </c>
      <c r="G63" s="1"/>
      <c r="H63" s="89" t="s">
        <v>35</v>
      </c>
      <c r="I63" s="8"/>
      <c r="J63" s="8"/>
      <c r="K63" s="8"/>
      <c r="L63" s="90"/>
      <c r="M63" s="252"/>
      <c r="N63" s="1139"/>
      <c r="O63" s="1139">
        <v>7530340.4190000007</v>
      </c>
      <c r="P63" s="1121">
        <v>14839629.98</v>
      </c>
      <c r="Q63" s="65"/>
      <c r="S63" s="65"/>
    </row>
    <row r="64" spans="1:20" x14ac:dyDescent="0.2">
      <c r="B64" s="91" t="s">
        <v>81</v>
      </c>
      <c r="C64" s="92" t="s">
        <v>82</v>
      </c>
      <c r="D64" s="93"/>
      <c r="E64" s="94"/>
      <c r="F64" s="94"/>
      <c r="G64" s="1"/>
      <c r="H64" s="95" t="s">
        <v>469</v>
      </c>
      <c r="I64" s="1"/>
      <c r="J64" s="1"/>
      <c r="K64" s="1"/>
      <c r="L64" s="96"/>
      <c r="M64" s="561"/>
      <c r="N64" s="1190">
        <v>12865392.7444582</v>
      </c>
      <c r="O64" s="1133">
        <v>500767.64</v>
      </c>
      <c r="P64" s="1122">
        <v>1621971.56</v>
      </c>
      <c r="Q64" s="314"/>
      <c r="S64" s="314"/>
    </row>
    <row r="65" spans="1:19" x14ac:dyDescent="0.2">
      <c r="B65" s="97" t="s">
        <v>83</v>
      </c>
      <c r="C65" s="98" t="s">
        <v>84</v>
      </c>
      <c r="D65" s="99"/>
      <c r="E65" s="100"/>
      <c r="F65" s="101"/>
      <c r="G65" s="1"/>
      <c r="H65" s="102">
        <v>0</v>
      </c>
      <c r="I65" s="103"/>
      <c r="J65" s="103"/>
      <c r="K65" s="103"/>
      <c r="L65" s="104"/>
      <c r="M65" s="561">
        <v>9.4199999857272176E-2</v>
      </c>
      <c r="N65" s="561">
        <v>9.8900000237297003E-2</v>
      </c>
      <c r="O65" s="1180">
        <v>6.6500000283718913E-2</v>
      </c>
      <c r="P65" s="1189">
        <v>0.10930000021469538</v>
      </c>
      <c r="Q65" s="314"/>
      <c r="S65" s="314"/>
    </row>
    <row r="66" spans="1:19" x14ac:dyDescent="0.2">
      <c r="B66" s="97" t="s">
        <v>85</v>
      </c>
      <c r="C66" s="98" t="s">
        <v>86</v>
      </c>
      <c r="D66" s="99"/>
      <c r="E66" s="100"/>
      <c r="F66" s="100"/>
      <c r="G66" s="1"/>
      <c r="H66" s="1"/>
      <c r="I66" s="105"/>
      <c r="J66" s="1"/>
      <c r="K66" s="1"/>
      <c r="M66" s="561">
        <v>0.39999999969547706</v>
      </c>
      <c r="N66" s="561">
        <v>0.39999999979093542</v>
      </c>
      <c r="O66" s="1133">
        <v>452048.33</v>
      </c>
      <c r="P66" s="1121"/>
      <c r="Q66" s="257"/>
    </row>
    <row r="67" spans="1:19" x14ac:dyDescent="0.2">
      <c r="B67" s="97" t="s">
        <v>87</v>
      </c>
      <c r="C67" s="98" t="s">
        <v>88</v>
      </c>
      <c r="D67" s="99"/>
      <c r="E67" s="106"/>
      <c r="F67" s="106"/>
      <c r="G67" s="1"/>
      <c r="H67" s="89" t="s">
        <v>80</v>
      </c>
      <c r="I67" s="107"/>
      <c r="J67" s="8"/>
      <c r="K67" s="8"/>
      <c r="L67" s="90"/>
      <c r="M67" s="561">
        <v>0.38000000287019686</v>
      </c>
      <c r="N67" s="561"/>
      <c r="O67" s="1133">
        <v>6777336.3099999996</v>
      </c>
      <c r="P67" s="252"/>
    </row>
    <row r="68" spans="1:19" x14ac:dyDescent="0.2">
      <c r="B68" s="97" t="s">
        <v>89</v>
      </c>
      <c r="C68" s="98" t="s">
        <v>90</v>
      </c>
      <c r="D68" s="99"/>
      <c r="E68" s="108"/>
      <c r="F68" s="101"/>
      <c r="G68" s="1"/>
      <c r="H68" s="95" t="s">
        <v>469</v>
      </c>
      <c r="I68" s="105"/>
      <c r="J68" s="1"/>
      <c r="K68" s="1"/>
      <c r="L68" s="96"/>
      <c r="M68" s="252"/>
      <c r="N68" s="561"/>
      <c r="O68" s="1180">
        <v>6.6699999723047534E-2</v>
      </c>
      <c r="P68" s="252"/>
    </row>
    <row r="69" spans="1:19" x14ac:dyDescent="0.2">
      <c r="B69" s="109" t="s">
        <v>91</v>
      </c>
      <c r="C69" s="110" t="s">
        <v>92</v>
      </c>
      <c r="D69" s="111"/>
      <c r="E69" s="112"/>
      <c r="F69" s="112"/>
      <c r="G69" s="1"/>
      <c r="H69" s="102">
        <v>0</v>
      </c>
      <c r="I69" s="113"/>
      <c r="J69" s="103"/>
      <c r="K69" s="103"/>
      <c r="L69" s="104"/>
      <c r="N69" s="252"/>
      <c r="O69" s="252"/>
    </row>
    <row r="70" spans="1:19" x14ac:dyDescent="0.2">
      <c r="A70" s="4"/>
      <c r="G70" s="1"/>
      <c r="H70" s="177"/>
      <c r="I70" s="1"/>
      <c r="J70" s="1"/>
      <c r="K70" s="1"/>
      <c r="M70" s="325"/>
      <c r="N70" s="325"/>
      <c r="O70" s="325"/>
    </row>
  </sheetData>
  <mergeCells count="2">
    <mergeCell ref="O7:O8"/>
    <mergeCell ref="C7:C8"/>
  </mergeCells>
  <phoneticPr fontId="0" type="noConversion"/>
  <printOptions horizontalCentered="1" verticalCentered="1"/>
  <pageMargins left="0.25" right="0.25" top="0.5" bottom="0.5" header="0" footer="0"/>
  <pageSetup paperSize="9" scale="60"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3">
    <pageSetUpPr fitToPage="1"/>
  </sheetPr>
  <dimension ref="A1:T77"/>
  <sheetViews>
    <sheetView view="pageBreakPreview" zoomScale="85" zoomScaleNormal="100" zoomScaleSheetLayoutView="85" workbookViewId="0">
      <pane xSplit="2" topLeftCell="C1" activePane="topRight" state="frozen"/>
      <selection activeCell="A4" sqref="A4"/>
      <selection pane="topRight" activeCell="A26" sqref="A26"/>
    </sheetView>
  </sheetViews>
  <sheetFormatPr baseColWidth="10" defaultColWidth="8.77734375" defaultRowHeight="12.75" outlineLevelRow="1" x14ac:dyDescent="0.2"/>
  <cols>
    <col min="1" max="1" width="3" style="1" customWidth="1"/>
    <col min="2" max="3" width="12" style="1" customWidth="1"/>
    <col min="4" max="4" width="8.109375" style="1" customWidth="1"/>
    <col min="5" max="5" width="8.77734375" style="1" customWidth="1"/>
    <col min="6" max="6" width="8.44140625" style="1" customWidth="1"/>
    <col min="7" max="7" width="9.5546875" style="199" bestFit="1" customWidth="1"/>
    <col min="8" max="8" width="11.33203125" style="199" customWidth="1"/>
    <col min="9" max="9" width="9.88671875" style="199" bestFit="1" customWidth="1"/>
    <col min="10" max="10" width="11" style="199" bestFit="1" customWidth="1"/>
    <col min="11" max="11" width="11" style="199" hidden="1" customWidth="1"/>
    <col min="12" max="12" width="12.5546875" style="1" hidden="1" customWidth="1"/>
    <col min="13" max="13" width="8.109375" style="1" hidden="1" customWidth="1"/>
    <col min="14" max="14" width="10.44140625" style="1" customWidth="1"/>
    <col min="15" max="15" width="14" style="1" customWidth="1"/>
    <col min="16" max="16" width="16.109375" style="1" bestFit="1" customWidth="1"/>
    <col min="17" max="17" width="13" style="1" customWidth="1"/>
    <col min="18" max="18" width="5.77734375" style="1" customWidth="1"/>
    <col min="19" max="19" width="11.5546875" style="1" customWidth="1"/>
    <col min="20" max="20" width="5.77734375" style="1" customWidth="1"/>
    <col min="21" max="16384" width="8.77734375" style="1"/>
  </cols>
  <sheetData>
    <row r="1" spans="1:20" ht="12.75" customHeight="1" x14ac:dyDescent="0.2">
      <c r="A1" s="1" t="s">
        <v>51</v>
      </c>
      <c r="C1" s="3"/>
      <c r="D1" s="3"/>
      <c r="E1" s="6">
        <v>46082</v>
      </c>
      <c r="F1" s="462">
        <v>3.4420000021474184</v>
      </c>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
        <v>472</v>
      </c>
      <c r="B4" s="132"/>
      <c r="C4" s="132"/>
      <c r="D4" s="132"/>
      <c r="E4" s="132"/>
      <c r="F4" s="132"/>
      <c r="G4" s="132"/>
      <c r="H4" s="132"/>
      <c r="I4" s="132"/>
      <c r="J4" s="132"/>
      <c r="K4" s="132"/>
      <c r="L4" s="132"/>
      <c r="M4" s="132"/>
      <c r="N4" s="132"/>
      <c r="O4" s="132"/>
      <c r="P4" s="132"/>
      <c r="Q4" s="132"/>
      <c r="R4" s="132"/>
      <c r="S4" s="132"/>
      <c r="T4" s="132"/>
    </row>
    <row r="5" spans="1:20" x14ac:dyDescent="0.2">
      <c r="A5" s="132" t="s">
        <v>473</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v>5446</v>
      </c>
      <c r="H10" s="215">
        <v>8723</v>
      </c>
      <c r="I10" s="217">
        <v>94.552499999999995</v>
      </c>
      <c r="J10" s="217">
        <v>123.9661</v>
      </c>
      <c r="K10" s="222"/>
      <c r="L10" s="222"/>
      <c r="M10" s="222"/>
      <c r="N10" s="386">
        <v>108.01</v>
      </c>
      <c r="O10" s="215">
        <v>1596181.2</v>
      </c>
      <c r="P10" s="222">
        <v>299283.98</v>
      </c>
      <c r="Q10" s="222">
        <v>239427.18</v>
      </c>
      <c r="R10" s="223">
        <v>0.15</v>
      </c>
      <c r="S10" s="222">
        <v>59856.800000000003</v>
      </c>
      <c r="T10" s="258">
        <v>3.7499999999999999E-2</v>
      </c>
    </row>
    <row r="11" spans="1:20" ht="12.75" customHeight="1" x14ac:dyDescent="0.2">
      <c r="A11" s="23" t="s">
        <v>28</v>
      </c>
      <c r="B11" s="24" t="s">
        <v>14</v>
      </c>
      <c r="C11" s="57" t="s">
        <v>31</v>
      </c>
      <c r="D11" s="25" t="s">
        <v>30</v>
      </c>
      <c r="E11" s="57" t="s">
        <v>101</v>
      </c>
      <c r="F11" s="236" t="s">
        <v>56</v>
      </c>
      <c r="G11" s="215">
        <v>45326.4568</v>
      </c>
      <c r="H11" s="215">
        <v>50147.1469</v>
      </c>
      <c r="I11" s="217">
        <v>3</v>
      </c>
      <c r="J11" s="217">
        <v>3</v>
      </c>
      <c r="K11" s="222"/>
      <c r="L11" s="222"/>
      <c r="M11" s="222"/>
      <c r="N11" s="386">
        <v>2539.1999999999998</v>
      </c>
      <c r="O11" s="215">
        <v>283881.61</v>
      </c>
      <c r="P11" s="222">
        <v>53227.8</v>
      </c>
      <c r="Q11" s="222">
        <v>42582.239999999998</v>
      </c>
      <c r="R11" s="223">
        <v>0.15</v>
      </c>
      <c r="S11" s="222">
        <v>10645.56</v>
      </c>
      <c r="T11" s="258">
        <v>3.7499999999999999E-2</v>
      </c>
    </row>
    <row r="12" spans="1:20" x14ac:dyDescent="0.2">
      <c r="A12" s="23" t="s">
        <v>28</v>
      </c>
      <c r="B12" s="24" t="s">
        <v>3</v>
      </c>
      <c r="C12" s="57" t="s">
        <v>31</v>
      </c>
      <c r="D12" s="25" t="s">
        <v>30</v>
      </c>
      <c r="E12" s="57" t="s">
        <v>101</v>
      </c>
      <c r="F12" s="236" t="s">
        <v>37</v>
      </c>
      <c r="G12" s="215"/>
      <c r="H12" s="215"/>
      <c r="I12" s="217"/>
      <c r="J12" s="217"/>
      <c r="K12" s="222"/>
      <c r="L12" s="222"/>
      <c r="M12" s="222"/>
      <c r="N12" s="386"/>
      <c r="O12" s="215">
        <v>0</v>
      </c>
      <c r="P12" s="222">
        <v>0</v>
      </c>
      <c r="Q12" s="222">
        <v>0</v>
      </c>
      <c r="R12" s="223">
        <v>0.15</v>
      </c>
      <c r="S12" s="222">
        <v>0</v>
      </c>
      <c r="T12" s="258">
        <v>3.7499999999999999E-2</v>
      </c>
    </row>
    <row r="13" spans="1:20" x14ac:dyDescent="0.2">
      <c r="A13" s="242" t="s">
        <v>28</v>
      </c>
      <c r="B13" s="245" t="s">
        <v>369</v>
      </c>
      <c r="C13" s="57" t="s">
        <v>31</v>
      </c>
      <c r="D13" s="25" t="s">
        <v>30</v>
      </c>
      <c r="E13" s="57" t="s">
        <v>101</v>
      </c>
      <c r="F13" s="236" t="s">
        <v>56</v>
      </c>
      <c r="G13" s="215"/>
      <c r="H13" s="215"/>
      <c r="I13" s="217"/>
      <c r="J13" s="217"/>
      <c r="K13" s="222"/>
      <c r="L13" s="222"/>
      <c r="M13" s="222"/>
      <c r="N13" s="386"/>
      <c r="O13" s="215">
        <v>0</v>
      </c>
      <c r="P13" s="222">
        <v>0</v>
      </c>
      <c r="Q13" s="222">
        <v>0</v>
      </c>
      <c r="R13" s="223">
        <v>0.15</v>
      </c>
      <c r="S13" s="222">
        <v>0</v>
      </c>
      <c r="T13" s="258">
        <v>3.7499999999999999E-2</v>
      </c>
    </row>
    <row r="14" spans="1:20" x14ac:dyDescent="0.2">
      <c r="A14" s="23" t="s">
        <v>28</v>
      </c>
      <c r="B14" s="24" t="s">
        <v>4</v>
      </c>
      <c r="C14" s="57" t="s">
        <v>31</v>
      </c>
      <c r="D14" s="25" t="s">
        <v>30</v>
      </c>
      <c r="E14" s="57" t="s">
        <v>101</v>
      </c>
      <c r="F14" s="236" t="s">
        <v>37</v>
      </c>
      <c r="G14" s="215">
        <v>0</v>
      </c>
      <c r="H14" s="215">
        <v>0</v>
      </c>
      <c r="I14" s="217">
        <v>96.952500000000001</v>
      </c>
      <c r="J14" s="217">
        <v>123.9661</v>
      </c>
      <c r="K14" s="222"/>
      <c r="L14" s="222"/>
      <c r="M14" s="222"/>
      <c r="N14" s="386">
        <v>0</v>
      </c>
      <c r="O14" s="215">
        <v>0</v>
      </c>
      <c r="P14" s="222">
        <v>0</v>
      </c>
      <c r="Q14" s="222">
        <v>0</v>
      </c>
      <c r="R14" s="223">
        <v>0.15</v>
      </c>
      <c r="S14" s="222">
        <v>0</v>
      </c>
      <c r="T14" s="258">
        <v>3.7499999999999999E-2</v>
      </c>
    </row>
    <row r="15" spans="1:20" x14ac:dyDescent="0.2">
      <c r="A15" s="23" t="s">
        <v>28</v>
      </c>
      <c r="B15" s="377" t="s">
        <v>370</v>
      </c>
      <c r="C15" s="57" t="s">
        <v>31</v>
      </c>
      <c r="D15" s="25" t="s">
        <v>30</v>
      </c>
      <c r="E15" s="57" t="s">
        <v>101</v>
      </c>
      <c r="F15" s="236" t="s">
        <v>56</v>
      </c>
      <c r="G15" s="215">
        <v>84112.209400000007</v>
      </c>
      <c r="H15" s="215">
        <v>99788.559399999998</v>
      </c>
      <c r="I15" s="217">
        <v>2.9632999999999998</v>
      </c>
      <c r="J15" s="217">
        <v>2.9632999999999998</v>
      </c>
      <c r="K15" s="222"/>
      <c r="L15" s="222"/>
      <c r="M15" s="222"/>
      <c r="N15" s="222">
        <v>612.04999999999995</v>
      </c>
      <c r="O15" s="224">
        <v>544341.1</v>
      </c>
      <c r="P15" s="222">
        <v>102063.96</v>
      </c>
      <c r="Q15" s="222">
        <v>81651.17</v>
      </c>
      <c r="R15" s="223">
        <v>0.15</v>
      </c>
      <c r="S15" s="222">
        <v>20412.79</v>
      </c>
      <c r="T15" s="258">
        <v>3.7499999999999999E-2</v>
      </c>
    </row>
    <row r="16" spans="1:20" x14ac:dyDescent="0.2">
      <c r="A16" s="23" t="s">
        <v>28</v>
      </c>
      <c r="B16" s="24" t="s">
        <v>5</v>
      </c>
      <c r="C16" s="57" t="s">
        <v>31</v>
      </c>
      <c r="D16" s="25" t="s">
        <v>30</v>
      </c>
      <c r="E16" s="57" t="s">
        <v>101</v>
      </c>
      <c r="F16" s="236" t="s">
        <v>37</v>
      </c>
      <c r="G16" s="215">
        <v>0</v>
      </c>
      <c r="H16" s="215">
        <v>0</v>
      </c>
      <c r="I16" s="217">
        <v>96.952500000000001</v>
      </c>
      <c r="J16" s="217">
        <v>123.9661</v>
      </c>
      <c r="K16" s="222"/>
      <c r="L16" s="222"/>
      <c r="M16" s="222"/>
      <c r="N16" s="386">
        <v>0</v>
      </c>
      <c r="O16" s="215">
        <v>0</v>
      </c>
      <c r="P16" s="222">
        <v>0</v>
      </c>
      <c r="Q16" s="222">
        <v>0</v>
      </c>
      <c r="R16" s="223">
        <v>0.15</v>
      </c>
      <c r="S16" s="222">
        <v>0</v>
      </c>
      <c r="T16" s="258">
        <v>3.7499999999999999E-2</v>
      </c>
    </row>
    <row r="17" spans="1:20" x14ac:dyDescent="0.2">
      <c r="A17" s="23" t="s">
        <v>28</v>
      </c>
      <c r="B17" s="24" t="s">
        <v>371</v>
      </c>
      <c r="C17" s="57" t="s">
        <v>31</v>
      </c>
      <c r="D17" s="25" t="s">
        <v>30</v>
      </c>
      <c r="E17" s="57" t="s">
        <v>101</v>
      </c>
      <c r="F17" s="236" t="s">
        <v>37</v>
      </c>
      <c r="G17" s="215">
        <v>74013.028600000005</v>
      </c>
      <c r="H17" s="215">
        <v>73289.558900000004</v>
      </c>
      <c r="I17" s="217">
        <v>2.4112</v>
      </c>
      <c r="J17" s="217">
        <v>2.4112</v>
      </c>
      <c r="K17" s="222"/>
      <c r="L17" s="222"/>
      <c r="M17" s="222"/>
      <c r="N17" s="386">
        <v>907.72</v>
      </c>
      <c r="O17" s="215">
        <v>354268.27</v>
      </c>
      <c r="P17" s="222">
        <v>66425.3</v>
      </c>
      <c r="Q17" s="222">
        <v>53140.24</v>
      </c>
      <c r="R17" s="223">
        <v>0.15</v>
      </c>
      <c r="S17" s="222">
        <v>13285.06</v>
      </c>
      <c r="T17" s="258">
        <v>3.7499999999999999E-2</v>
      </c>
    </row>
    <row r="18" spans="1:20" x14ac:dyDescent="0.2">
      <c r="A18" s="23" t="s">
        <v>28</v>
      </c>
      <c r="B18" s="24" t="s">
        <v>17</v>
      </c>
      <c r="C18" s="57" t="s">
        <v>31</v>
      </c>
      <c r="D18" s="25" t="s">
        <v>30</v>
      </c>
      <c r="E18" s="57" t="s">
        <v>101</v>
      </c>
      <c r="F18" s="236" t="s">
        <v>37</v>
      </c>
      <c r="G18" s="215">
        <v>2319</v>
      </c>
      <c r="H18" s="215">
        <v>1567</v>
      </c>
      <c r="I18" s="217">
        <v>89.589299999999994</v>
      </c>
      <c r="J18" s="217">
        <v>107.8822</v>
      </c>
      <c r="K18" s="222"/>
      <c r="L18" s="222"/>
      <c r="M18" s="222"/>
      <c r="N18" s="386">
        <v>571.54</v>
      </c>
      <c r="O18" s="224">
        <v>376237.46</v>
      </c>
      <c r="P18" s="222">
        <v>70544.52</v>
      </c>
      <c r="Q18" s="222">
        <v>56435.62</v>
      </c>
      <c r="R18" s="223">
        <v>0.15</v>
      </c>
      <c r="S18" s="222">
        <v>14108.9</v>
      </c>
      <c r="T18" s="258">
        <v>3.7499999999999999E-2</v>
      </c>
    </row>
    <row r="19" spans="1:20" x14ac:dyDescent="0.2">
      <c r="A19" s="376" t="s">
        <v>28</v>
      </c>
      <c r="B19" s="377" t="s">
        <v>237</v>
      </c>
      <c r="C19" s="57" t="s">
        <v>31</v>
      </c>
      <c r="D19" s="25" t="s">
        <v>30</v>
      </c>
      <c r="E19" s="57" t="s">
        <v>101</v>
      </c>
      <c r="F19" s="236" t="s">
        <v>37</v>
      </c>
      <c r="G19" s="215"/>
      <c r="H19" s="215"/>
      <c r="I19" s="216"/>
      <c r="J19" s="217"/>
      <c r="K19" s="222"/>
      <c r="L19" s="222"/>
      <c r="M19" s="222"/>
      <c r="N19" s="386"/>
      <c r="O19" s="224">
        <v>0</v>
      </c>
      <c r="P19" s="222">
        <v>0</v>
      </c>
      <c r="Q19" s="222">
        <v>0</v>
      </c>
      <c r="R19" s="223">
        <v>0.15</v>
      </c>
      <c r="S19" s="222">
        <v>0</v>
      </c>
      <c r="T19" s="258">
        <v>3.7499999999999999E-2</v>
      </c>
    </row>
    <row r="20" spans="1:20" x14ac:dyDescent="0.2">
      <c r="A20" s="376" t="s">
        <v>28</v>
      </c>
      <c r="B20" s="377" t="s">
        <v>239</v>
      </c>
      <c r="C20" s="57" t="s">
        <v>31</v>
      </c>
      <c r="D20" s="25" t="s">
        <v>30</v>
      </c>
      <c r="E20" s="57" t="s">
        <v>101</v>
      </c>
      <c r="F20" s="236" t="s">
        <v>56</v>
      </c>
      <c r="G20" s="215"/>
      <c r="H20" s="215"/>
      <c r="I20" s="216"/>
      <c r="J20" s="217"/>
      <c r="K20" s="222"/>
      <c r="L20" s="222"/>
      <c r="M20" s="222"/>
      <c r="N20" s="386"/>
      <c r="O20" s="224">
        <v>0</v>
      </c>
      <c r="P20" s="222">
        <v>0</v>
      </c>
      <c r="Q20" s="222">
        <v>0</v>
      </c>
      <c r="R20" s="223">
        <v>0.15</v>
      </c>
      <c r="S20" s="222">
        <v>0</v>
      </c>
      <c r="T20" s="258">
        <v>3.7499999999999999E-2</v>
      </c>
    </row>
    <row r="21" spans="1:20" x14ac:dyDescent="0.2">
      <c r="A21" s="376" t="s">
        <v>28</v>
      </c>
      <c r="B21" s="377" t="s">
        <v>238</v>
      </c>
      <c r="C21" s="57" t="s">
        <v>31</v>
      </c>
      <c r="D21" s="25" t="s">
        <v>30</v>
      </c>
      <c r="E21" s="57" t="s">
        <v>101</v>
      </c>
      <c r="F21" s="236" t="s">
        <v>37</v>
      </c>
      <c r="G21" s="215">
        <v>14330</v>
      </c>
      <c r="H21" s="215">
        <v>18731</v>
      </c>
      <c r="I21" s="216">
        <v>89.589299999999994</v>
      </c>
      <c r="J21" s="217">
        <v>107.8822</v>
      </c>
      <c r="K21" s="222"/>
      <c r="L21" s="222"/>
      <c r="M21" s="222"/>
      <c r="N21" s="386">
        <v>337.53</v>
      </c>
      <c r="O21" s="224">
        <v>3304218.6300000004</v>
      </c>
      <c r="P21" s="222">
        <v>619540.99</v>
      </c>
      <c r="Q21" s="222">
        <v>495632.79</v>
      </c>
      <c r="R21" s="223">
        <v>0.15</v>
      </c>
      <c r="S21" s="222">
        <v>123908.2</v>
      </c>
      <c r="T21" s="258">
        <v>3.7499999999999999E-2</v>
      </c>
    </row>
    <row r="22" spans="1:20" x14ac:dyDescent="0.2">
      <c r="A22" s="23" t="s">
        <v>28</v>
      </c>
      <c r="B22" s="24" t="s">
        <v>18</v>
      </c>
      <c r="C22" s="57" t="s">
        <v>31</v>
      </c>
      <c r="D22" s="25" t="s">
        <v>30</v>
      </c>
      <c r="E22" s="57" t="s">
        <v>101</v>
      </c>
      <c r="F22" s="236" t="s">
        <v>37</v>
      </c>
      <c r="G22" s="215">
        <v>2255</v>
      </c>
      <c r="H22" s="215">
        <v>4286</v>
      </c>
      <c r="I22" s="217">
        <v>96.952500000000001</v>
      </c>
      <c r="J22" s="217">
        <v>123.9661</v>
      </c>
      <c r="K22" s="222"/>
      <c r="L22" s="222"/>
      <c r="M22" s="222"/>
      <c r="N22" s="386">
        <v>364.53</v>
      </c>
      <c r="O22" s="224">
        <v>749582.05999999994</v>
      </c>
      <c r="P22" s="222">
        <v>140546.64000000001</v>
      </c>
      <c r="Q22" s="222">
        <v>112437.31</v>
      </c>
      <c r="R22" s="223">
        <v>0.15</v>
      </c>
      <c r="S22" s="222">
        <v>28109.33</v>
      </c>
      <c r="T22" s="258">
        <v>3.7499999999999999E-2</v>
      </c>
    </row>
    <row r="23" spans="1:20" x14ac:dyDescent="0.2">
      <c r="A23" s="23" t="s">
        <v>28</v>
      </c>
      <c r="B23" s="24" t="s">
        <v>20</v>
      </c>
      <c r="C23" s="57" t="s">
        <v>31</v>
      </c>
      <c r="D23" s="25" t="s">
        <v>30</v>
      </c>
      <c r="E23" s="57" t="s">
        <v>101</v>
      </c>
      <c r="F23" s="236" t="s">
        <v>37</v>
      </c>
      <c r="G23" s="215">
        <v>123883</v>
      </c>
      <c r="H23" s="215">
        <v>105520</v>
      </c>
      <c r="I23" s="217">
        <v>89.304500000000004</v>
      </c>
      <c r="J23" s="217">
        <v>111.8943</v>
      </c>
      <c r="K23" s="222"/>
      <c r="L23" s="222"/>
      <c r="M23" s="222"/>
      <c r="N23" s="386">
        <v>2752.86</v>
      </c>
      <c r="O23" s="224">
        <v>22867643.049999997</v>
      </c>
      <c r="P23" s="222">
        <v>4287683.07</v>
      </c>
      <c r="Q23" s="222">
        <v>3430146.46</v>
      </c>
      <c r="R23" s="223">
        <v>0.15</v>
      </c>
      <c r="S23" s="222">
        <v>857536.61</v>
      </c>
      <c r="T23" s="258">
        <v>3.7499999999999999E-2</v>
      </c>
    </row>
    <row r="24" spans="1:20" x14ac:dyDescent="0.2">
      <c r="A24" s="23" t="s">
        <v>28</v>
      </c>
      <c r="B24" s="24" t="s">
        <v>372</v>
      </c>
      <c r="C24" s="57" t="s">
        <v>31</v>
      </c>
      <c r="D24" s="25" t="s">
        <v>30</v>
      </c>
      <c r="E24" s="57" t="s">
        <v>101</v>
      </c>
      <c r="F24" s="236" t="s">
        <v>56</v>
      </c>
      <c r="G24" s="215">
        <v>200133.88</v>
      </c>
      <c r="H24" s="215">
        <v>208679.97</v>
      </c>
      <c r="I24" s="217">
        <v>2.9</v>
      </c>
      <c r="J24" s="217">
        <v>2.9</v>
      </c>
      <c r="K24" s="222"/>
      <c r="L24" s="222"/>
      <c r="M24" s="222"/>
      <c r="N24" s="386">
        <v>1713.28</v>
      </c>
      <c r="O24" s="224">
        <v>1183846.8800000001</v>
      </c>
      <c r="P24" s="222">
        <v>221971.29</v>
      </c>
      <c r="Q24" s="222">
        <v>177577.03</v>
      </c>
      <c r="R24" s="223">
        <v>0.15</v>
      </c>
      <c r="S24" s="222">
        <v>44394.26</v>
      </c>
      <c r="T24" s="258">
        <v>3.7499999999999999E-2</v>
      </c>
    </row>
    <row r="25" spans="1:20" x14ac:dyDescent="0.2">
      <c r="A25" s="23" t="s">
        <v>28</v>
      </c>
      <c r="B25" s="24" t="s">
        <v>9</v>
      </c>
      <c r="C25" s="57" t="s">
        <v>31</v>
      </c>
      <c r="D25" s="25" t="s">
        <v>30</v>
      </c>
      <c r="E25" s="57" t="s">
        <v>101</v>
      </c>
      <c r="F25" s="236" t="s">
        <v>37</v>
      </c>
      <c r="G25" s="215"/>
      <c r="H25" s="215"/>
      <c r="I25" s="217"/>
      <c r="J25" s="217"/>
      <c r="K25" s="222"/>
      <c r="L25" s="222"/>
      <c r="M25" s="222"/>
      <c r="N25" s="386"/>
      <c r="O25" s="224">
        <v>0</v>
      </c>
      <c r="P25" s="222">
        <v>0</v>
      </c>
      <c r="Q25" s="222">
        <v>0</v>
      </c>
      <c r="R25" s="223">
        <v>0.15</v>
      </c>
      <c r="S25" s="222">
        <v>0</v>
      </c>
      <c r="T25" s="258">
        <v>3.7499999999999999E-2</v>
      </c>
    </row>
    <row r="26" spans="1:20" x14ac:dyDescent="0.2">
      <c r="A26" s="23" t="s">
        <v>28</v>
      </c>
      <c r="B26" s="24" t="s">
        <v>165</v>
      </c>
      <c r="C26" s="57" t="s">
        <v>31</v>
      </c>
      <c r="D26" s="25" t="s">
        <v>30</v>
      </c>
      <c r="E26" s="57" t="s">
        <v>101</v>
      </c>
      <c r="F26" s="236" t="s">
        <v>37</v>
      </c>
      <c r="G26" s="215">
        <v>10050</v>
      </c>
      <c r="H26" s="215">
        <v>11020</v>
      </c>
      <c r="I26" s="217">
        <v>93.632499999999993</v>
      </c>
      <c r="J26" s="217">
        <v>123.8661</v>
      </c>
      <c r="K26" s="222"/>
      <c r="L26" s="222"/>
      <c r="M26" s="222"/>
      <c r="N26" s="386">
        <v>3775.79</v>
      </c>
      <c r="O26" s="224">
        <v>2302235.2599999998</v>
      </c>
      <c r="P26" s="222">
        <v>431669.11</v>
      </c>
      <c r="Q26" s="222">
        <v>345335.29</v>
      </c>
      <c r="R26" s="223">
        <v>0.15</v>
      </c>
      <c r="S26" s="222">
        <v>86333.82</v>
      </c>
      <c r="T26" s="258">
        <v>3.7499999999999999E-2</v>
      </c>
    </row>
    <row r="27" spans="1:20" x14ac:dyDescent="0.2">
      <c r="A27" s="23" t="s">
        <v>28</v>
      </c>
      <c r="B27" s="24" t="s">
        <v>157</v>
      </c>
      <c r="C27" s="57" t="s">
        <v>31</v>
      </c>
      <c r="D27" s="25" t="s">
        <v>30</v>
      </c>
      <c r="E27" s="57" t="s">
        <v>101</v>
      </c>
      <c r="F27" s="236" t="s">
        <v>56</v>
      </c>
      <c r="G27" s="215">
        <v>401172.60710000002</v>
      </c>
      <c r="H27" s="386">
        <v>385924.1655</v>
      </c>
      <c r="I27" s="215">
        <v>2.973595626639185</v>
      </c>
      <c r="J27" s="216">
        <v>3.0248984758120825</v>
      </c>
      <c r="K27" s="222"/>
      <c r="L27" s="222"/>
      <c r="M27" s="222"/>
      <c r="N27" s="386">
        <v>3628.15</v>
      </c>
      <c r="O27" s="386">
        <v>2360306.5299999998</v>
      </c>
      <c r="P27" s="386">
        <v>442557.47</v>
      </c>
      <c r="Q27" s="386">
        <v>354045.99</v>
      </c>
      <c r="R27" s="223">
        <v>0.15</v>
      </c>
      <c r="S27" s="386">
        <v>88511.49</v>
      </c>
      <c r="T27" s="258">
        <v>3.7499999999999999E-2</v>
      </c>
    </row>
    <row r="28" spans="1:20" x14ac:dyDescent="0.2">
      <c r="A28" s="23" t="s">
        <v>28</v>
      </c>
      <c r="B28" s="24" t="s">
        <v>170</v>
      </c>
      <c r="C28" s="57" t="s">
        <v>31</v>
      </c>
      <c r="D28" s="25" t="s">
        <v>30</v>
      </c>
      <c r="E28" s="57" t="s">
        <v>101</v>
      </c>
      <c r="F28" s="236" t="s">
        <v>37</v>
      </c>
      <c r="G28" s="215"/>
      <c r="H28" s="215"/>
      <c r="I28" s="217"/>
      <c r="J28" s="217"/>
      <c r="K28" s="222"/>
      <c r="L28" s="222"/>
      <c r="M28" s="222"/>
      <c r="N28" s="386">
        <v>234.02</v>
      </c>
      <c r="O28" s="224">
        <v>-234.02</v>
      </c>
      <c r="P28" s="222">
        <v>-43.88</v>
      </c>
      <c r="Q28" s="222">
        <v>-8.7799999999999994</v>
      </c>
      <c r="R28" s="258">
        <v>3.7499999999999999E-2</v>
      </c>
      <c r="S28" s="222">
        <v>-35.1</v>
      </c>
      <c r="T28" s="223">
        <v>0.15</v>
      </c>
    </row>
    <row r="29" spans="1:20" x14ac:dyDescent="0.2">
      <c r="A29" s="23" t="s">
        <v>28</v>
      </c>
      <c r="B29" s="24" t="s">
        <v>368</v>
      </c>
      <c r="C29" s="57" t="s">
        <v>31</v>
      </c>
      <c r="D29" s="25" t="s">
        <v>30</v>
      </c>
      <c r="E29" s="57" t="s">
        <v>101</v>
      </c>
      <c r="F29" s="236" t="s">
        <v>37</v>
      </c>
      <c r="G29" s="215"/>
      <c r="H29" s="215">
        <v>0</v>
      </c>
      <c r="I29" s="217"/>
      <c r="J29" s="217">
        <v>116.87609999999999</v>
      </c>
      <c r="K29" s="222"/>
      <c r="L29" s="222"/>
      <c r="M29" s="222"/>
      <c r="N29" s="386">
        <v>0</v>
      </c>
      <c r="O29" s="224">
        <v>0</v>
      </c>
      <c r="P29" s="222">
        <v>0</v>
      </c>
      <c r="Q29" s="222">
        <v>0</v>
      </c>
      <c r="R29" s="258">
        <v>3.7499999999999999E-2</v>
      </c>
      <c r="S29" s="222">
        <v>0</v>
      </c>
      <c r="T29" s="223">
        <v>0.15</v>
      </c>
    </row>
    <row r="30" spans="1:20" x14ac:dyDescent="0.2">
      <c r="A30" s="26" t="s">
        <v>28</v>
      </c>
      <c r="B30" s="29" t="s">
        <v>302</v>
      </c>
      <c r="C30" s="57" t="s">
        <v>31</v>
      </c>
      <c r="D30" s="25" t="s">
        <v>30</v>
      </c>
      <c r="E30" s="57" t="s">
        <v>101</v>
      </c>
      <c r="F30" s="236" t="s">
        <v>37</v>
      </c>
      <c r="G30" s="386">
        <v>63592</v>
      </c>
      <c r="H30" s="386">
        <v>62533</v>
      </c>
      <c r="I30" s="217">
        <v>90.097999999999999</v>
      </c>
      <c r="J30" s="217">
        <v>107.5175</v>
      </c>
      <c r="K30" s="215"/>
      <c r="L30" s="222"/>
      <c r="M30" s="222"/>
      <c r="N30" s="386">
        <v>3432.57</v>
      </c>
      <c r="O30" s="224">
        <v>12449471.279999999</v>
      </c>
      <c r="P30" s="222">
        <v>2334275.87</v>
      </c>
      <c r="Q30" s="222">
        <v>1867420.69</v>
      </c>
      <c r="R30" s="248">
        <v>0.15</v>
      </c>
      <c r="S30" s="222">
        <v>466855.17</v>
      </c>
      <c r="T30" s="258">
        <v>3.7499999999999999E-2</v>
      </c>
    </row>
    <row r="31" spans="1:20" x14ac:dyDescent="0.2">
      <c r="A31" s="26" t="s">
        <v>28</v>
      </c>
      <c r="B31" s="29" t="s">
        <v>303</v>
      </c>
      <c r="C31" s="57" t="s">
        <v>31</v>
      </c>
      <c r="D31" s="25" t="s">
        <v>30</v>
      </c>
      <c r="E31" s="57" t="s">
        <v>101</v>
      </c>
      <c r="F31" s="236" t="s">
        <v>56</v>
      </c>
      <c r="G31" s="215">
        <v>127045.16</v>
      </c>
      <c r="H31" s="386">
        <v>129905.60000000001</v>
      </c>
      <c r="I31" s="215">
        <v>2.7358788796047011</v>
      </c>
      <c r="J31" s="386">
        <v>2.7461826126048452</v>
      </c>
      <c r="K31" s="215"/>
      <c r="L31" s="222"/>
      <c r="M31" s="222"/>
      <c r="N31" s="386">
        <v>1071.08</v>
      </c>
      <c r="O31" s="386">
        <v>704324.67</v>
      </c>
      <c r="P31" s="386">
        <v>132060.87</v>
      </c>
      <c r="Q31" s="386">
        <v>105648.70000000001</v>
      </c>
      <c r="R31" s="248">
        <v>0.15</v>
      </c>
      <c r="S31" s="386">
        <v>26412.17</v>
      </c>
      <c r="T31" s="258">
        <v>3.7499999999999999E-2</v>
      </c>
    </row>
    <row r="32" spans="1:20" x14ac:dyDescent="0.2">
      <c r="A32" s="26" t="s">
        <v>28</v>
      </c>
      <c r="B32" s="29" t="s">
        <v>304</v>
      </c>
      <c r="C32" s="57" t="s">
        <v>31</v>
      </c>
      <c r="D32" s="25" t="s">
        <v>30</v>
      </c>
      <c r="E32" s="57" t="s">
        <v>101</v>
      </c>
      <c r="F32" s="236" t="s">
        <v>37</v>
      </c>
      <c r="G32" s="386">
        <v>10656</v>
      </c>
      <c r="H32" s="386">
        <v>11220</v>
      </c>
      <c r="I32" s="217">
        <v>49.744599999999998</v>
      </c>
      <c r="J32" s="217">
        <v>61.565199999999997</v>
      </c>
      <c r="K32" s="215"/>
      <c r="L32" s="222"/>
      <c r="M32" s="222"/>
      <c r="N32" s="386">
        <v>1165.5899999999999</v>
      </c>
      <c r="O32" s="224">
        <v>1219674.4099999999</v>
      </c>
      <c r="P32" s="222">
        <v>228688.95</v>
      </c>
      <c r="Q32" s="222">
        <v>182951.16</v>
      </c>
      <c r="R32" s="248">
        <v>0.15</v>
      </c>
      <c r="S32" s="222">
        <v>45737.79</v>
      </c>
      <c r="T32" s="258">
        <v>3.7499999999999999E-2</v>
      </c>
    </row>
    <row r="33" spans="1:20" x14ac:dyDescent="0.2">
      <c r="A33" s="26" t="s">
        <v>28</v>
      </c>
      <c r="B33" s="29" t="s">
        <v>52</v>
      </c>
      <c r="C33" s="56"/>
      <c r="D33" s="56"/>
      <c r="E33" s="27"/>
      <c r="F33" s="236"/>
      <c r="G33" s="222"/>
      <c r="H33" s="222"/>
      <c r="I33" s="216"/>
      <c r="J33" s="216"/>
      <c r="K33" s="222"/>
      <c r="L33" s="222"/>
      <c r="M33" s="577"/>
      <c r="N33" s="386"/>
      <c r="O33" s="224">
        <v>46502200.690000005</v>
      </c>
      <c r="P33" s="386">
        <v>8719162.6300000008</v>
      </c>
      <c r="Q33" s="224">
        <v>6975330.1200000001</v>
      </c>
      <c r="R33" s="248"/>
      <c r="S33" s="224">
        <v>1743832.5399999998</v>
      </c>
      <c r="T33" s="223"/>
    </row>
    <row r="34" spans="1:20" x14ac:dyDescent="0.2">
      <c r="A34" s="30"/>
      <c r="B34" s="153" t="s">
        <v>108</v>
      </c>
      <c r="C34" s="31" t="s">
        <v>461</v>
      </c>
      <c r="D34" s="38"/>
      <c r="E34" s="39"/>
      <c r="F34" s="244"/>
      <c r="G34" s="218"/>
      <c r="H34" s="218"/>
      <c r="I34" s="219"/>
      <c r="J34" s="219"/>
      <c r="K34" s="218"/>
      <c r="L34" s="218"/>
      <c r="M34" s="218"/>
      <c r="N34" s="227"/>
      <c r="O34" s="227">
        <v>96798179.079999998</v>
      </c>
      <c r="P34" s="227">
        <v>18149658.57</v>
      </c>
      <c r="Q34" s="227">
        <v>14519753.210000001</v>
      </c>
      <c r="R34" s="229"/>
      <c r="S34" s="227">
        <v>3629905.3899999997</v>
      </c>
      <c r="T34" s="511">
        <v>0</v>
      </c>
    </row>
    <row r="35" spans="1:20" x14ac:dyDescent="0.2">
      <c r="A35" s="125"/>
      <c r="B35" s="126"/>
      <c r="C35" s="31" t="s">
        <v>462</v>
      </c>
      <c r="D35" s="56"/>
      <c r="E35" s="56"/>
      <c r="F35" s="137"/>
      <c r="G35" s="177"/>
      <c r="H35" s="177"/>
      <c r="I35" s="202"/>
      <c r="J35" s="202"/>
      <c r="K35" s="177"/>
      <c r="L35" s="177"/>
      <c r="M35" s="177"/>
      <c r="N35" s="177"/>
      <c r="O35" s="209"/>
      <c r="P35" s="210">
        <v>62471124.840000004</v>
      </c>
      <c r="Q35" s="364">
        <v>49976990.579999998</v>
      </c>
      <c r="R35" s="139"/>
      <c r="S35" s="363">
        <v>12494134.359999999</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v>2361</v>
      </c>
      <c r="H37" s="215">
        <v>8749</v>
      </c>
      <c r="I37" s="217">
        <v>75.997200000000007</v>
      </c>
      <c r="J37" s="217">
        <v>97.331900000000005</v>
      </c>
      <c r="K37" s="222"/>
      <c r="L37" s="222"/>
      <c r="M37" s="222"/>
      <c r="N37" s="386">
        <v>4689.3599999999997</v>
      </c>
      <c r="O37" s="224">
        <v>1026296.8200000001</v>
      </c>
      <c r="P37" s="222">
        <v>153944.51999999999</v>
      </c>
      <c r="Q37" s="222">
        <v>153944.51999999999</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
        <v>463</v>
      </c>
      <c r="D39" s="38"/>
      <c r="E39" s="39"/>
      <c r="F39" s="38"/>
      <c r="G39" s="218"/>
      <c r="H39" s="218"/>
      <c r="I39" s="219"/>
      <c r="J39" s="219"/>
      <c r="K39" s="218"/>
      <c r="L39" s="218"/>
      <c r="M39" s="218"/>
      <c r="N39" s="218"/>
      <c r="O39" s="227">
        <v>1026296.8200000001</v>
      </c>
      <c r="P39" s="227">
        <v>153944.51999999999</v>
      </c>
      <c r="Q39" s="227">
        <v>153944.51999999999</v>
      </c>
      <c r="R39" s="229"/>
      <c r="S39" s="227">
        <v>0</v>
      </c>
      <c r="T39" s="229"/>
    </row>
    <row r="40" spans="1:20" x14ac:dyDescent="0.2">
      <c r="A40" s="125"/>
      <c r="B40" s="126"/>
      <c r="C40" s="31" t="s">
        <v>464</v>
      </c>
      <c r="D40" s="56"/>
      <c r="E40" s="56"/>
      <c r="F40" s="137"/>
      <c r="G40" s="177"/>
      <c r="H40" s="177"/>
      <c r="I40" s="202"/>
      <c r="J40" s="202"/>
      <c r="K40" s="177"/>
      <c r="L40" s="177"/>
      <c r="M40" s="177"/>
      <c r="N40" s="177"/>
      <c r="O40" s="209"/>
      <c r="P40" s="210">
        <v>529877.04</v>
      </c>
      <c r="Q40" s="364">
        <v>529877.04</v>
      </c>
      <c r="R40" s="139"/>
      <c r="S40" s="210">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v>80516</v>
      </c>
      <c r="H42" s="215">
        <v>0</v>
      </c>
      <c r="I42" s="222">
        <v>81.26028913507875</v>
      </c>
      <c r="J42" s="215">
        <v>0</v>
      </c>
      <c r="K42" s="222"/>
      <c r="L42" s="222"/>
      <c r="M42" s="222"/>
      <c r="N42" s="222">
        <v>459.04</v>
      </c>
      <c r="O42" s="224">
        <v>6542753.4400000004</v>
      </c>
      <c r="P42" s="224">
        <v>1226766.27</v>
      </c>
      <c r="Q42" s="224">
        <v>981413.01</v>
      </c>
      <c r="R42" s="223">
        <v>0.15</v>
      </c>
      <c r="S42" s="224">
        <v>245353.25</v>
      </c>
      <c r="T42" s="258">
        <v>3.7499999999999999E-2</v>
      </c>
    </row>
    <row r="43" spans="1:20" x14ac:dyDescent="0.2">
      <c r="A43" s="23" t="s">
        <v>28</v>
      </c>
      <c r="B43" s="24" t="s">
        <v>12</v>
      </c>
      <c r="C43" s="57" t="s">
        <v>31</v>
      </c>
      <c r="D43" s="57" t="s">
        <v>30</v>
      </c>
      <c r="E43" s="57" t="s">
        <v>101</v>
      </c>
      <c r="F43" s="238" t="s">
        <v>56</v>
      </c>
      <c r="G43" s="215">
        <v>166261.05720000001</v>
      </c>
      <c r="H43" s="215">
        <v>112729.84540000001</v>
      </c>
      <c r="I43" s="217">
        <v>3.6057000000000001</v>
      </c>
      <c r="J43" s="217">
        <v>3.6017999999999999</v>
      </c>
      <c r="K43" s="222"/>
      <c r="L43" s="222"/>
      <c r="M43" s="222"/>
      <c r="N43" s="386">
        <v>1792.94</v>
      </c>
      <c r="O43" s="224">
        <v>1003724.91</v>
      </c>
      <c r="P43" s="222">
        <v>188198.42</v>
      </c>
      <c r="Q43" s="321">
        <v>37639.68</v>
      </c>
      <c r="R43" s="258">
        <v>3.7499999999999999E-2</v>
      </c>
      <c r="S43" s="222">
        <v>150558.74</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v>2659.7</v>
      </c>
      <c r="O44" s="224">
        <v>-2659.7</v>
      </c>
      <c r="P44" s="222">
        <v>-498.69</v>
      </c>
      <c r="Q44" s="321">
        <v>-99.74</v>
      </c>
      <c r="R44" s="258">
        <v>3.7499999999999999E-2</v>
      </c>
      <c r="S44" s="222">
        <v>-398.96</v>
      </c>
      <c r="T44" s="223">
        <v>0.15</v>
      </c>
    </row>
    <row r="45" spans="1:20" x14ac:dyDescent="0.2">
      <c r="A45" s="23" t="s">
        <v>28</v>
      </c>
      <c r="B45" s="28">
        <v>95</v>
      </c>
      <c r="C45" s="57" t="s">
        <v>31</v>
      </c>
      <c r="D45" s="57" t="s">
        <v>30</v>
      </c>
      <c r="E45" s="57" t="s">
        <v>101</v>
      </c>
      <c r="F45" s="238" t="s">
        <v>37</v>
      </c>
      <c r="G45" s="215">
        <v>212377</v>
      </c>
      <c r="H45" s="215">
        <v>212013</v>
      </c>
      <c r="I45" s="217">
        <v>66.319100000000006</v>
      </c>
      <c r="J45" s="217">
        <v>82.202399999999997</v>
      </c>
      <c r="K45" s="215"/>
      <c r="L45" s="222"/>
      <c r="M45" s="222"/>
      <c r="N45" s="386">
        <v>6286.99</v>
      </c>
      <c r="O45" s="224">
        <v>31506341.940000001</v>
      </c>
      <c r="P45" s="222">
        <v>5907439.1100000003</v>
      </c>
      <c r="Q45" s="321">
        <v>4725951.29</v>
      </c>
      <c r="R45" s="223">
        <v>0.15</v>
      </c>
      <c r="S45" s="222">
        <v>1181487.82</v>
      </c>
      <c r="T45" s="258">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222"/>
      <c r="O46" s="224">
        <v>0</v>
      </c>
      <c r="P46" s="222">
        <v>0</v>
      </c>
      <c r="Q46" s="222">
        <v>0</v>
      </c>
      <c r="R46" s="223">
        <v>0.15</v>
      </c>
      <c r="S46" s="222">
        <v>0</v>
      </c>
      <c r="T46" s="258">
        <v>3.7499999999999999E-2</v>
      </c>
    </row>
    <row r="47" spans="1:20" x14ac:dyDescent="0.2">
      <c r="A47" s="18" t="s">
        <v>28</v>
      </c>
      <c r="B47" s="29" t="s">
        <v>54</v>
      </c>
      <c r="C47" s="56"/>
      <c r="D47" s="27"/>
      <c r="E47" s="27"/>
      <c r="F47" s="238"/>
      <c r="G47" s="222"/>
      <c r="H47" s="222"/>
      <c r="I47" s="216"/>
      <c r="J47" s="216"/>
      <c r="K47" s="222"/>
      <c r="L47" s="222"/>
      <c r="M47" s="222"/>
      <c r="N47" s="222"/>
      <c r="O47" s="222">
        <v>570957.18000000005</v>
      </c>
      <c r="P47" s="222">
        <v>107054.47</v>
      </c>
      <c r="Q47" s="222">
        <v>85643.58</v>
      </c>
      <c r="R47" s="222"/>
      <c r="S47" s="222">
        <v>21410.89</v>
      </c>
      <c r="T47" s="223"/>
    </row>
    <row r="48" spans="1:20" x14ac:dyDescent="0.2">
      <c r="A48" s="30"/>
      <c r="B48" s="153" t="s">
        <v>108</v>
      </c>
      <c r="C48" s="31" t="s">
        <v>465</v>
      </c>
      <c r="D48" s="19"/>
      <c r="E48" s="19"/>
      <c r="F48" s="251"/>
      <c r="G48" s="249"/>
      <c r="H48" s="249"/>
      <c r="I48" s="250"/>
      <c r="J48" s="240"/>
      <c r="K48" s="239"/>
      <c r="L48" s="239"/>
      <c r="M48" s="239"/>
      <c r="N48" s="227"/>
      <c r="O48" s="227">
        <v>39621117.770000003</v>
      </c>
      <c r="P48" s="227">
        <v>7428959.5800000001</v>
      </c>
      <c r="Q48" s="227">
        <v>5830547.8200000003</v>
      </c>
      <c r="R48" s="241"/>
      <c r="S48" s="227">
        <v>1598411.74</v>
      </c>
      <c r="T48" s="229"/>
    </row>
    <row r="49" spans="1:20" x14ac:dyDescent="0.2">
      <c r="A49" s="145"/>
      <c r="B49" s="146"/>
      <c r="C49" s="31" t="s">
        <v>466</v>
      </c>
      <c r="D49" s="103"/>
      <c r="E49" s="103"/>
      <c r="F49" s="145"/>
      <c r="G49" s="208"/>
      <c r="H49" s="208"/>
      <c r="I49" s="205"/>
      <c r="J49" s="205"/>
      <c r="K49" s="208"/>
      <c r="L49" s="208"/>
      <c r="M49" s="208"/>
      <c r="N49" s="208"/>
      <c r="O49" s="211"/>
      <c r="P49" s="211">
        <v>25570478.890000001</v>
      </c>
      <c r="Q49" s="363">
        <v>20068745.609999999</v>
      </c>
      <c r="R49" s="160"/>
      <c r="S49" s="363">
        <v>5501733.21</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v>134322</v>
      </c>
      <c r="H51" s="222">
        <v>723542</v>
      </c>
      <c r="I51" s="216">
        <v>45.717500000000001</v>
      </c>
      <c r="J51" s="216">
        <v>55.889099999999999</v>
      </c>
      <c r="K51" s="222"/>
      <c r="L51" s="222"/>
      <c r="M51" s="222"/>
      <c r="N51" s="222"/>
      <c r="O51" s="224">
        <v>46578977.227200001</v>
      </c>
      <c r="P51" s="253">
        <v>17346011.120000001</v>
      </c>
      <c r="Q51" s="253">
        <v>8673005.5600000005</v>
      </c>
      <c r="R51" s="223">
        <v>0.5</v>
      </c>
      <c r="S51" s="222"/>
      <c r="T51" s="258"/>
    </row>
    <row r="52" spans="1:20" x14ac:dyDescent="0.2">
      <c r="A52" s="23" t="s">
        <v>28</v>
      </c>
      <c r="B52" s="24" t="s">
        <v>159</v>
      </c>
      <c r="C52" s="57" t="s">
        <v>31</v>
      </c>
      <c r="D52" s="57" t="s">
        <v>30</v>
      </c>
      <c r="E52" s="57" t="s">
        <v>158</v>
      </c>
      <c r="F52" s="238" t="s">
        <v>56</v>
      </c>
      <c r="G52" s="215">
        <v>2759800.6734000002</v>
      </c>
      <c r="H52" s="222">
        <v>14421569.0284</v>
      </c>
      <c r="I52" s="215">
        <v>3.6943000000000001</v>
      </c>
      <c r="J52" s="222">
        <v>3.2938999999999998</v>
      </c>
      <c r="K52" s="222"/>
      <c r="L52" s="222"/>
      <c r="M52" s="222"/>
      <c r="N52" s="222"/>
      <c r="O52" s="215">
        <v>57699400.729999997</v>
      </c>
      <c r="P52" s="215">
        <v>21588518.890000001</v>
      </c>
      <c r="Q52" s="215">
        <v>10794259.460000001</v>
      </c>
      <c r="R52" s="223">
        <v>0.5</v>
      </c>
      <c r="S52" s="222"/>
      <c r="T52" s="223"/>
    </row>
    <row r="53" spans="1:20" x14ac:dyDescent="0.2">
      <c r="A53" s="23" t="s">
        <v>28</v>
      </c>
      <c r="B53" s="24" t="s">
        <v>168</v>
      </c>
      <c r="C53" s="57" t="s">
        <v>31</v>
      </c>
      <c r="D53" s="57" t="s">
        <v>30</v>
      </c>
      <c r="E53" s="57" t="s">
        <v>158</v>
      </c>
      <c r="F53" s="238" t="s">
        <v>37</v>
      </c>
      <c r="G53" s="222">
        <v>10474</v>
      </c>
      <c r="H53" s="222">
        <v>184680</v>
      </c>
      <c r="I53" s="216">
        <v>45.524099999999997</v>
      </c>
      <c r="J53" s="216">
        <v>55.889899999999997</v>
      </c>
      <c r="K53" s="222"/>
      <c r="L53" s="222"/>
      <c r="M53" s="222"/>
      <c r="N53" s="222"/>
      <c r="O53" s="224">
        <v>10798566.155399999</v>
      </c>
      <c r="P53" s="253">
        <v>4319426.46</v>
      </c>
      <c r="Q53" s="253">
        <v>2159713.23</v>
      </c>
      <c r="R53" s="223">
        <v>0.5</v>
      </c>
      <c r="S53" s="222"/>
      <c r="T53" s="223"/>
    </row>
    <row r="54" spans="1:20" x14ac:dyDescent="0.2">
      <c r="A54" s="23" t="s">
        <v>28</v>
      </c>
      <c r="B54" s="24" t="s">
        <v>169</v>
      </c>
      <c r="C54" s="57" t="s">
        <v>31</v>
      </c>
      <c r="D54" s="57" t="s">
        <v>30</v>
      </c>
      <c r="E54" s="57" t="s">
        <v>158</v>
      </c>
      <c r="F54" s="238" t="s">
        <v>56</v>
      </c>
      <c r="G54" s="222">
        <v>251353.37210000001</v>
      </c>
      <c r="H54" s="222">
        <v>3717230.4416</v>
      </c>
      <c r="I54" s="216">
        <v>10.125</v>
      </c>
      <c r="J54" s="216">
        <v>10.206</v>
      </c>
      <c r="K54" s="222"/>
      <c r="L54" s="222"/>
      <c r="M54" s="222"/>
      <c r="N54" s="222"/>
      <c r="O54" s="224">
        <v>40483006.779482096</v>
      </c>
      <c r="P54" s="253">
        <v>15383542.58</v>
      </c>
      <c r="Q54" s="253">
        <v>7691771.29</v>
      </c>
      <c r="R54" s="223">
        <v>0.5</v>
      </c>
      <c r="S54" s="222"/>
      <c r="T54" s="223"/>
    </row>
    <row r="55" spans="1:20" x14ac:dyDescent="0.2">
      <c r="A55" s="23" t="s">
        <v>28</v>
      </c>
      <c r="B55" s="28" t="s">
        <v>175</v>
      </c>
      <c r="C55" s="57" t="s">
        <v>31</v>
      </c>
      <c r="D55" s="57" t="s">
        <v>30</v>
      </c>
      <c r="E55" s="57" t="s">
        <v>158</v>
      </c>
      <c r="F55" s="238" t="s">
        <v>37</v>
      </c>
      <c r="G55" s="222">
        <v>13053</v>
      </c>
      <c r="H55" s="222">
        <v>249048</v>
      </c>
      <c r="I55" s="216">
        <v>45.5289</v>
      </c>
      <c r="J55" s="216">
        <v>57.910699999999999</v>
      </c>
      <c r="K55" s="215"/>
      <c r="L55" s="222"/>
      <c r="M55" s="222"/>
      <c r="N55" s="215"/>
      <c r="O55" s="224">
        <v>15016832.745299999</v>
      </c>
      <c r="P55" s="222">
        <v>1016200.485335</v>
      </c>
      <c r="Q55" s="253">
        <v>508100.24</v>
      </c>
      <c r="R55" s="223">
        <v>0.5</v>
      </c>
      <c r="S55" s="222"/>
      <c r="T55" s="258"/>
    </row>
    <row r="56" spans="1:20" x14ac:dyDescent="0.2">
      <c r="A56" s="23" t="s">
        <v>28</v>
      </c>
      <c r="B56" s="272" t="s">
        <v>176</v>
      </c>
      <c r="C56" s="57" t="s">
        <v>31</v>
      </c>
      <c r="D56" s="57" t="s">
        <v>30</v>
      </c>
      <c r="E56" s="57" t="s">
        <v>158</v>
      </c>
      <c r="F56" s="238" t="s">
        <v>56</v>
      </c>
      <c r="G56" s="222">
        <v>248415.04149999999</v>
      </c>
      <c r="H56" s="222">
        <v>4091297.3761</v>
      </c>
      <c r="I56" s="216">
        <v>3.9860000000000002</v>
      </c>
      <c r="J56" s="216">
        <v>3.9860000000000002</v>
      </c>
      <c r="K56" s="559"/>
      <c r="L56" s="222"/>
      <c r="M56" s="222"/>
      <c r="N56" s="215"/>
      <c r="O56" s="224">
        <v>17298093.696553599</v>
      </c>
      <c r="P56" s="222">
        <v>1929806.9327840002</v>
      </c>
      <c r="Q56" s="253">
        <v>964903.47</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198">
        <v>2006535.8644597856</v>
      </c>
      <c r="P57" s="198">
        <v>631014.99694199977</v>
      </c>
      <c r="Q57" s="198">
        <v>315507.50999999885</v>
      </c>
      <c r="R57" s="148"/>
      <c r="S57" s="188"/>
      <c r="T57" s="148"/>
    </row>
    <row r="58" spans="1:20" x14ac:dyDescent="0.2">
      <c r="A58" s="30"/>
      <c r="B58" s="153" t="s">
        <v>108</v>
      </c>
      <c r="C58" s="31" t="s">
        <v>467</v>
      </c>
      <c r="D58" s="19"/>
      <c r="E58" s="19"/>
      <c r="F58" s="268"/>
      <c r="G58" s="254">
        <v>251353.37210000001</v>
      </c>
      <c r="H58" s="254">
        <v>3717230.4416</v>
      </c>
      <c r="I58" s="304"/>
      <c r="J58" s="254"/>
      <c r="K58" s="265"/>
      <c r="L58" s="259"/>
      <c r="M58" s="303"/>
      <c r="N58" s="201"/>
      <c r="O58" s="201">
        <v>189881413.19839546</v>
      </c>
      <c r="P58" s="201">
        <v>62214521.465061001</v>
      </c>
      <c r="Q58" s="201">
        <v>31107260.759999998</v>
      </c>
      <c r="R58" s="560"/>
      <c r="S58" s="192"/>
      <c r="T58" s="148"/>
    </row>
    <row r="59" spans="1:20" x14ac:dyDescent="0.2">
      <c r="A59" s="145"/>
      <c r="B59" s="146"/>
      <c r="C59" s="31" t="s">
        <v>468</v>
      </c>
      <c r="D59" s="103"/>
      <c r="E59" s="103"/>
      <c r="F59" s="268"/>
      <c r="G59" s="255">
        <v>10.125</v>
      </c>
      <c r="H59" s="255">
        <v>10.206</v>
      </c>
      <c r="I59" s="305"/>
      <c r="J59" s="254"/>
      <c r="K59" s="266"/>
      <c r="L59" s="260"/>
      <c r="M59" s="357"/>
      <c r="N59" s="358"/>
      <c r="O59" s="358"/>
      <c r="P59" s="194"/>
      <c r="Q59" s="194">
        <v>107071191.60272029</v>
      </c>
      <c r="R59" s="185"/>
      <c r="S59" s="192"/>
      <c r="T59" s="148"/>
    </row>
    <row r="60" spans="1:20" x14ac:dyDescent="0.2">
      <c r="A60" s="7" t="s">
        <v>55</v>
      </c>
      <c r="B60" s="8"/>
      <c r="C60" s="8"/>
      <c r="D60" s="8"/>
      <c r="E60" s="8"/>
      <c r="F60" s="269"/>
      <c r="G60" s="256">
        <v>2544952.8925125003</v>
      </c>
      <c r="H60" s="256">
        <v>37938053.886969596</v>
      </c>
      <c r="I60" s="254">
        <v>40483006.779482096</v>
      </c>
      <c r="J60" s="254" t="e">
        <v>#REF!</v>
      </c>
      <c r="K60" s="306" t="e">
        <v>#REF!</v>
      </c>
      <c r="L60" s="307"/>
      <c r="M60" s="211">
        <v>0</v>
      </c>
      <c r="N60" s="211">
        <v>39101.949999999997</v>
      </c>
      <c r="O60" s="211">
        <v>327327006.86839545</v>
      </c>
      <c r="P60" s="363">
        <v>56839823.43</v>
      </c>
      <c r="Q60" s="196">
        <v>195642672.40272027</v>
      </c>
      <c r="R60" s="55"/>
      <c r="S60" s="196"/>
      <c r="T60" s="55"/>
    </row>
    <row r="61" spans="1:20" x14ac:dyDescent="0.2">
      <c r="G61" s="1"/>
      <c r="H61" s="1"/>
      <c r="I61" s="1"/>
      <c r="J61" s="1"/>
      <c r="K61" s="1"/>
      <c r="N61" s="509"/>
      <c r="O61" s="1027"/>
      <c r="S61" s="257"/>
    </row>
    <row r="62" spans="1:20" x14ac:dyDescent="0.2">
      <c r="A62" s="4" t="s">
        <v>93</v>
      </c>
      <c r="B62" s="1" t="s">
        <v>76</v>
      </c>
      <c r="G62" s="1"/>
      <c r="H62" s="4" t="s">
        <v>77</v>
      </c>
      <c r="I62" s="1"/>
      <c r="J62" s="65"/>
      <c r="K62" s="65"/>
      <c r="N62" s="1161"/>
      <c r="O62" s="325"/>
      <c r="P62" s="326"/>
      <c r="Q62" s="328"/>
      <c r="R62" s="325"/>
      <c r="S62" s="328"/>
    </row>
    <row r="63" spans="1:20" x14ac:dyDescent="0.2">
      <c r="B63" s="115" t="s">
        <v>78</v>
      </c>
      <c r="C63" s="116" t="s">
        <v>79</v>
      </c>
      <c r="D63" s="117"/>
      <c r="E63" s="118" t="s">
        <v>35</v>
      </c>
      <c r="F63" s="118" t="s">
        <v>80</v>
      </c>
      <c r="G63" s="1"/>
      <c r="H63" s="89" t="s">
        <v>35</v>
      </c>
      <c r="I63" s="8"/>
      <c r="J63" s="8"/>
      <c r="K63" s="8"/>
      <c r="L63" s="90"/>
      <c r="N63" s="1139"/>
      <c r="O63" s="325"/>
      <c r="P63" s="326"/>
      <c r="Q63" s="328"/>
      <c r="R63" s="325"/>
      <c r="S63" s="328"/>
    </row>
    <row r="64" spans="1:20" x14ac:dyDescent="0.2">
      <c r="B64" s="91" t="s">
        <v>81</v>
      </c>
      <c r="C64" s="92" t="s">
        <v>82</v>
      </c>
      <c r="D64" s="93"/>
      <c r="E64" s="94"/>
      <c r="F64" s="94"/>
      <c r="G64" s="1"/>
      <c r="H64" s="95" t="s">
        <v>469</v>
      </c>
      <c r="I64" s="1"/>
      <c r="J64" s="1"/>
      <c r="K64" s="1"/>
      <c r="L64" s="96"/>
      <c r="M64" s="561"/>
      <c r="N64" s="561">
        <v>6.4199999463479832E-2</v>
      </c>
      <c r="O64" s="325"/>
      <c r="P64" s="1164"/>
      <c r="Q64" s="1164"/>
      <c r="R64" s="325"/>
      <c r="S64" s="1164"/>
    </row>
    <row r="65" spans="1:20" x14ac:dyDescent="0.2">
      <c r="B65" s="97" t="s">
        <v>83</v>
      </c>
      <c r="C65" s="98" t="s">
        <v>84</v>
      </c>
      <c r="D65" s="99"/>
      <c r="E65" s="100"/>
      <c r="F65" s="101"/>
      <c r="G65" s="1"/>
      <c r="H65" s="102">
        <v>0</v>
      </c>
      <c r="I65" s="103"/>
      <c r="J65" s="103"/>
      <c r="K65" s="103"/>
      <c r="L65" s="104"/>
      <c r="M65" s="561">
        <v>9.4199999857272176E-2</v>
      </c>
      <c r="N65" s="561">
        <v>9.8900000237297003E-2</v>
      </c>
      <c r="O65" s="325"/>
      <c r="P65" s="1191"/>
      <c r="Q65" s="1164"/>
      <c r="R65" s="325"/>
      <c r="S65" s="1164"/>
    </row>
    <row r="66" spans="1:20" x14ac:dyDescent="0.2">
      <c r="B66" s="97" t="s">
        <v>85</v>
      </c>
      <c r="C66" s="98" t="s">
        <v>86</v>
      </c>
      <c r="D66" s="99"/>
      <c r="E66" s="100"/>
      <c r="F66" s="100"/>
      <c r="G66" s="1"/>
      <c r="H66" s="1"/>
      <c r="I66" s="105"/>
      <c r="J66" s="1"/>
      <c r="K66" s="1"/>
      <c r="M66" s="561">
        <v>0.39999999969547706</v>
      </c>
      <c r="N66" s="561">
        <v>0.39999999979093542</v>
      </c>
      <c r="O66" s="325"/>
      <c r="P66" s="326"/>
      <c r="Q66" s="326"/>
      <c r="R66" s="325"/>
      <c r="S66" s="325"/>
    </row>
    <row r="67" spans="1:20" x14ac:dyDescent="0.2">
      <c r="B67" s="97" t="s">
        <v>87</v>
      </c>
      <c r="C67" s="98" t="s">
        <v>88</v>
      </c>
      <c r="D67" s="99"/>
      <c r="E67" s="106"/>
      <c r="F67" s="106"/>
      <c r="G67" s="1"/>
      <c r="H67" s="89" t="s">
        <v>80</v>
      </c>
      <c r="I67" s="107"/>
      <c r="J67" s="8"/>
      <c r="K67" s="8"/>
      <c r="L67" s="90"/>
      <c r="M67" s="561">
        <v>0.38000000287019686</v>
      </c>
      <c r="N67" s="561"/>
      <c r="O67" s="325"/>
      <c r="P67" s="325"/>
      <c r="Q67" s="325"/>
      <c r="R67" s="325"/>
      <c r="S67" s="325"/>
    </row>
    <row r="68" spans="1:20" x14ac:dyDescent="0.2">
      <c r="B68" s="97" t="s">
        <v>89</v>
      </c>
      <c r="C68" s="98" t="s">
        <v>90</v>
      </c>
      <c r="D68" s="99"/>
      <c r="E68" s="108"/>
      <c r="F68" s="101"/>
      <c r="G68" s="1"/>
      <c r="H68" s="95" t="s">
        <v>469</v>
      </c>
      <c r="I68" s="105"/>
      <c r="J68" s="1"/>
      <c r="K68" s="1"/>
      <c r="L68" s="96"/>
      <c r="N68" s="561"/>
      <c r="O68" s="325"/>
      <c r="P68" s="325"/>
      <c r="Q68" s="325"/>
      <c r="R68" s="325"/>
      <c r="S68" s="325"/>
    </row>
    <row r="69" spans="1:20" x14ac:dyDescent="0.2">
      <c r="B69" s="109" t="s">
        <v>91</v>
      </c>
      <c r="C69" s="110" t="s">
        <v>92</v>
      </c>
      <c r="D69" s="111"/>
      <c r="E69" s="112"/>
      <c r="F69" s="112"/>
      <c r="G69" s="1"/>
      <c r="H69" s="102">
        <v>0</v>
      </c>
      <c r="I69" s="113"/>
      <c r="J69" s="103"/>
      <c r="K69" s="103"/>
      <c r="L69" s="104"/>
      <c r="M69" s="325"/>
      <c r="N69" s="325"/>
      <c r="O69" s="325"/>
      <c r="P69" s="325"/>
      <c r="Q69" s="325"/>
      <c r="R69" s="325"/>
      <c r="S69" s="325"/>
    </row>
    <row r="70" spans="1:20" x14ac:dyDescent="0.2">
      <c r="A70" s="4"/>
      <c r="G70" s="1"/>
      <c r="H70" s="177"/>
      <c r="I70" s="1"/>
      <c r="J70" s="1"/>
      <c r="K70" s="1"/>
      <c r="M70" s="325"/>
      <c r="N70" s="325"/>
      <c r="O70" s="325"/>
    </row>
    <row r="71" spans="1:20" x14ac:dyDescent="0.2">
      <c r="A71" s="406"/>
      <c r="G71" s="1"/>
      <c r="H71" s="1"/>
      <c r="I71" s="1"/>
      <c r="J71" s="1"/>
      <c r="K71" s="1"/>
    </row>
    <row r="72" spans="1:20" ht="15.75" outlineLevel="1" x14ac:dyDescent="0.25">
      <c r="A72"/>
      <c r="B72"/>
      <c r="C72"/>
      <c r="D72"/>
      <c r="E72"/>
      <c r="F72"/>
      <c r="G72"/>
      <c r="H72"/>
      <c r="I72"/>
      <c r="J72"/>
      <c r="K72"/>
      <c r="L72"/>
      <c r="M72"/>
      <c r="N72"/>
      <c r="O72"/>
      <c r="P72"/>
      <c r="Q72"/>
      <c r="R72"/>
      <c r="S72"/>
      <c r="T72"/>
    </row>
    <row r="73" spans="1:20" ht="15.75" outlineLevel="1" x14ac:dyDescent="0.25">
      <c r="A73"/>
      <c r="B73"/>
      <c r="C73"/>
      <c r="D73"/>
      <c r="E73"/>
      <c r="F73"/>
      <c r="G73"/>
      <c r="H73"/>
      <c r="I73"/>
      <c r="J73"/>
      <c r="K73"/>
      <c r="L73"/>
      <c r="M73"/>
      <c r="N73"/>
      <c r="O73"/>
      <c r="P73"/>
      <c r="Q73"/>
      <c r="R73"/>
      <c r="S73"/>
      <c r="T73"/>
    </row>
    <row r="74" spans="1:20" ht="15.75" outlineLevel="1" x14ac:dyDescent="0.25">
      <c r="A74"/>
      <c r="B74"/>
      <c r="C74"/>
      <c r="D74"/>
      <c r="E74"/>
      <c r="F74"/>
      <c r="G74"/>
      <c r="H74"/>
      <c r="I74"/>
      <c r="J74"/>
      <c r="K74"/>
      <c r="L74"/>
      <c r="M74"/>
      <c r="N74"/>
      <c r="O74"/>
      <c r="P74"/>
      <c r="Q74"/>
      <c r="R74"/>
      <c r="S74"/>
      <c r="T74"/>
    </row>
    <row r="75" spans="1:20" ht="15.75" x14ac:dyDescent="0.25">
      <c r="A75"/>
      <c r="B75"/>
      <c r="C75"/>
      <c r="D75"/>
      <c r="E75"/>
      <c r="F75"/>
      <c r="G75"/>
      <c r="H75"/>
      <c r="I75"/>
      <c r="J75"/>
      <c r="K75"/>
      <c r="L75"/>
      <c r="M75"/>
      <c r="N75"/>
      <c r="O75"/>
      <c r="P75"/>
      <c r="Q75"/>
      <c r="R75"/>
      <c r="S75"/>
      <c r="T75"/>
    </row>
    <row r="76" spans="1:20" ht="15.75" x14ac:dyDescent="0.25">
      <c r="A76"/>
      <c r="B76"/>
      <c r="C76"/>
      <c r="D76"/>
      <c r="E76"/>
      <c r="F76"/>
      <c r="G76"/>
      <c r="H76"/>
      <c r="I76"/>
      <c r="J76"/>
      <c r="K76"/>
      <c r="L76"/>
      <c r="M76"/>
      <c r="N76"/>
      <c r="O76"/>
      <c r="P76"/>
      <c r="Q76"/>
      <c r="R76"/>
      <c r="S76"/>
      <c r="T76"/>
    </row>
    <row r="77" spans="1:20" ht="15.75" x14ac:dyDescent="0.25">
      <c r="A77"/>
      <c r="B77"/>
      <c r="C77"/>
      <c r="D77"/>
      <c r="E77"/>
      <c r="F77"/>
      <c r="G77"/>
      <c r="H77"/>
      <c r="I77"/>
      <c r="J77"/>
      <c r="K77"/>
      <c r="L77"/>
      <c r="M77"/>
      <c r="N77"/>
      <c r="O77"/>
      <c r="P77"/>
      <c r="Q77"/>
      <c r="R77"/>
      <c r="S77"/>
      <c r="T77"/>
    </row>
  </sheetData>
  <mergeCells count="2">
    <mergeCell ref="C7:C8"/>
    <mergeCell ref="O7:O8"/>
  </mergeCells>
  <phoneticPr fontId="0" type="noConversion"/>
  <printOptions horizontalCentered="1" verticalCentered="1"/>
  <pageMargins left="0.25" right="0.25" top="0.5" bottom="0.5" header="0" footer="0"/>
  <pageSetup paperSize="9" scale="62"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0"/>
  <sheetViews>
    <sheetView view="pageBreakPreview" zoomScaleNormal="100" zoomScaleSheetLayoutView="100" workbookViewId="0">
      <pane xSplit="2" topLeftCell="C1" activePane="topRight" state="frozen"/>
      <selection pane="topRight" activeCell="L54" sqref="L54"/>
    </sheetView>
  </sheetViews>
  <sheetFormatPr baseColWidth="10" defaultColWidth="8.77734375" defaultRowHeight="12.75" x14ac:dyDescent="0.2"/>
  <cols>
    <col min="1" max="1" width="3" style="1" customWidth="1"/>
    <col min="2" max="2" width="15.109375" style="1" customWidth="1"/>
    <col min="3" max="3" width="7.77734375" style="1" customWidth="1"/>
    <col min="4" max="4" width="8.109375" style="1" customWidth="1"/>
    <col min="5" max="5" width="8.77734375" style="1" customWidth="1"/>
    <col min="6" max="6" width="8.44140625" style="1" customWidth="1"/>
    <col min="7" max="11" width="10.44140625" style="199" customWidth="1"/>
    <col min="12" max="13" width="10.44140625" style="1" customWidth="1"/>
    <col min="14" max="14" width="15.44140625" style="1" bestFit="1" customWidth="1"/>
    <col min="15" max="15" width="14.77734375" style="1" customWidth="1"/>
    <col min="16" max="16" width="13.77734375" style="1" customWidth="1"/>
    <col min="17" max="17" width="13.109375" style="1" customWidth="1"/>
    <col min="18" max="18" width="5.77734375" style="1" customWidth="1"/>
    <col min="19" max="19" width="11.5546875" style="1" customWidth="1"/>
    <col min="20" max="20" width="7.77734375" style="1" customWidth="1"/>
    <col min="21" max="16384" width="8.77734375" style="1"/>
  </cols>
  <sheetData>
    <row r="1" spans="1:20" ht="12.75" customHeight="1" x14ac:dyDescent="0.2">
      <c r="A1" s="1" t="s">
        <v>51</v>
      </c>
      <c r="C1" s="3"/>
      <c r="D1" s="3"/>
      <c r="E1" s="6">
        <v>46113</v>
      </c>
      <c r="F1" s="462"/>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
        <v>474</v>
      </c>
      <c r="B4" s="132"/>
      <c r="C4" s="132"/>
      <c r="D4" s="132"/>
      <c r="E4" s="132"/>
      <c r="F4" s="132"/>
      <c r="G4" s="132"/>
      <c r="H4" s="132"/>
      <c r="I4" s="132"/>
      <c r="J4" s="132"/>
      <c r="K4" s="132"/>
      <c r="L4" s="132"/>
      <c r="M4" s="132"/>
      <c r="N4" s="132"/>
      <c r="O4" s="132"/>
      <c r="P4" s="132"/>
      <c r="Q4" s="132"/>
      <c r="R4" s="132"/>
      <c r="S4" s="132"/>
      <c r="T4" s="132"/>
    </row>
    <row r="5" spans="1:20" x14ac:dyDescent="0.2">
      <c r="A5" s="132" t="s">
        <v>475</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386">
        <v>7816</v>
      </c>
      <c r="H10" s="386">
        <v>6278</v>
      </c>
      <c r="I10" s="217">
        <v>118.47329999999999</v>
      </c>
      <c r="J10" s="217">
        <v>109.32729999999999</v>
      </c>
      <c r="K10" s="222"/>
      <c r="L10" s="222"/>
      <c r="M10" s="222"/>
      <c r="N10" s="386">
        <v>97.33</v>
      </c>
      <c r="O10" s="215">
        <v>1612246.77</v>
      </c>
      <c r="P10" s="321">
        <v>302296.27</v>
      </c>
      <c r="Q10" s="222">
        <v>241837.02</v>
      </c>
      <c r="R10" s="223">
        <v>0.15</v>
      </c>
      <c r="S10" s="222">
        <v>60459.25</v>
      </c>
      <c r="T10" s="258">
        <v>3.7499999999999999E-2</v>
      </c>
    </row>
    <row r="11" spans="1:20" ht="12.75" customHeight="1" x14ac:dyDescent="0.2">
      <c r="A11" s="23" t="s">
        <v>28</v>
      </c>
      <c r="B11" s="24" t="s">
        <v>14</v>
      </c>
      <c r="C11" s="57" t="s">
        <v>31</v>
      </c>
      <c r="D11" s="25" t="s">
        <v>30</v>
      </c>
      <c r="E11" s="57" t="s">
        <v>101</v>
      </c>
      <c r="F11" s="236" t="s">
        <v>56</v>
      </c>
      <c r="G11" s="386">
        <v>46997.561600000001</v>
      </c>
      <c r="H11" s="386">
        <v>46980.944000000003</v>
      </c>
      <c r="I11" s="217">
        <v>3</v>
      </c>
      <c r="J11" s="217">
        <v>3</v>
      </c>
      <c r="K11" s="222"/>
      <c r="L11" s="222"/>
      <c r="M11" s="222"/>
      <c r="N11" s="386">
        <v>2508.94</v>
      </c>
      <c r="O11" s="215">
        <v>279426.57</v>
      </c>
      <c r="P11" s="321">
        <v>52392.480000000003</v>
      </c>
      <c r="Q11" s="222">
        <v>41913.99</v>
      </c>
      <c r="R11" s="223">
        <v>0.15</v>
      </c>
      <c r="S11" s="222">
        <v>10478.5</v>
      </c>
      <c r="T11" s="258">
        <v>3.7499999999999999E-2</v>
      </c>
    </row>
    <row r="12" spans="1:20" x14ac:dyDescent="0.2">
      <c r="A12" s="23" t="s">
        <v>28</v>
      </c>
      <c r="B12" s="24" t="s">
        <v>3</v>
      </c>
      <c r="C12" s="57" t="s">
        <v>31</v>
      </c>
      <c r="D12" s="25" t="s">
        <v>30</v>
      </c>
      <c r="E12" s="57" t="s">
        <v>101</v>
      </c>
      <c r="F12" s="236" t="s">
        <v>37</v>
      </c>
      <c r="G12" s="386"/>
      <c r="H12" s="386"/>
      <c r="I12" s="217"/>
      <c r="J12" s="217"/>
      <c r="K12" s="222"/>
      <c r="L12" s="222"/>
      <c r="M12" s="222"/>
      <c r="N12" s="386"/>
      <c r="O12" s="215">
        <v>0</v>
      </c>
      <c r="P12" s="321">
        <v>0</v>
      </c>
      <c r="Q12" s="222">
        <v>0</v>
      </c>
      <c r="R12" s="223">
        <v>0.15</v>
      </c>
      <c r="S12" s="222">
        <v>0</v>
      </c>
      <c r="T12" s="258">
        <v>3.7499999999999999E-2</v>
      </c>
    </row>
    <row r="13" spans="1:20" x14ac:dyDescent="0.2">
      <c r="A13" s="242" t="s">
        <v>28</v>
      </c>
      <c r="B13" s="245" t="s">
        <v>369</v>
      </c>
      <c r="C13" s="57" t="s">
        <v>31</v>
      </c>
      <c r="D13" s="25" t="s">
        <v>30</v>
      </c>
      <c r="E13" s="57" t="s">
        <v>101</v>
      </c>
      <c r="F13" s="236" t="s">
        <v>56</v>
      </c>
      <c r="G13" s="386"/>
      <c r="H13" s="386"/>
      <c r="I13" s="217"/>
      <c r="J13" s="217"/>
      <c r="K13" s="222"/>
      <c r="L13" s="222"/>
      <c r="M13" s="222"/>
      <c r="N13" s="386"/>
      <c r="O13" s="215">
        <v>0</v>
      </c>
      <c r="P13" s="321">
        <v>0</v>
      </c>
      <c r="Q13" s="222">
        <v>0</v>
      </c>
      <c r="R13" s="223">
        <v>0.15</v>
      </c>
      <c r="S13" s="222">
        <v>0</v>
      </c>
      <c r="T13" s="258">
        <v>3.7499999999999999E-2</v>
      </c>
    </row>
    <row r="14" spans="1:20" x14ac:dyDescent="0.2">
      <c r="A14" s="23" t="s">
        <v>28</v>
      </c>
      <c r="B14" s="24" t="s">
        <v>4</v>
      </c>
      <c r="C14" s="57" t="s">
        <v>31</v>
      </c>
      <c r="D14" s="25" t="s">
        <v>30</v>
      </c>
      <c r="E14" s="57" t="s">
        <v>101</v>
      </c>
      <c r="F14" s="236" t="s">
        <v>37</v>
      </c>
      <c r="G14" s="386">
        <v>0</v>
      </c>
      <c r="H14" s="386">
        <v>0</v>
      </c>
      <c r="I14" s="217">
        <v>0</v>
      </c>
      <c r="J14" s="217">
        <v>0</v>
      </c>
      <c r="K14" s="222"/>
      <c r="L14" s="222"/>
      <c r="M14" s="222"/>
      <c r="N14" s="386"/>
      <c r="O14" s="215">
        <v>0</v>
      </c>
      <c r="P14" s="321">
        <v>0</v>
      </c>
      <c r="Q14" s="222">
        <v>0</v>
      </c>
      <c r="R14" s="223">
        <v>0.15</v>
      </c>
      <c r="S14" s="222">
        <v>0</v>
      </c>
      <c r="T14" s="258">
        <v>3.7499999999999999E-2</v>
      </c>
    </row>
    <row r="15" spans="1:20" x14ac:dyDescent="0.2">
      <c r="A15" s="23" t="s">
        <v>28</v>
      </c>
      <c r="B15" s="377" t="s">
        <v>370</v>
      </c>
      <c r="C15" s="57" t="s">
        <v>31</v>
      </c>
      <c r="D15" s="25" t="s">
        <v>30</v>
      </c>
      <c r="E15" s="57" t="s">
        <v>101</v>
      </c>
      <c r="F15" s="236" t="s">
        <v>56</v>
      </c>
      <c r="G15" s="386">
        <v>75437.100399999996</v>
      </c>
      <c r="H15" s="386">
        <v>114557.2656</v>
      </c>
      <c r="I15" s="217">
        <v>2.9702999999999999</v>
      </c>
      <c r="J15" s="217">
        <v>2.9702999999999999</v>
      </c>
      <c r="K15" s="222"/>
      <c r="L15" s="222"/>
      <c r="M15" s="222"/>
      <c r="N15" s="222">
        <v>551.54</v>
      </c>
      <c r="O15" s="224">
        <v>563788.73</v>
      </c>
      <c r="P15" s="321">
        <v>105710.39</v>
      </c>
      <c r="Q15" s="222">
        <v>84568.31</v>
      </c>
      <c r="R15" s="223">
        <v>0.15</v>
      </c>
      <c r="S15" s="222">
        <v>21142.080000000002</v>
      </c>
      <c r="T15" s="258">
        <v>3.7499999999999999E-2</v>
      </c>
    </row>
    <row r="16" spans="1:20" ht="13.5" customHeight="1" x14ac:dyDescent="0.2">
      <c r="A16" s="23" t="s">
        <v>28</v>
      </c>
      <c r="B16" s="24" t="s">
        <v>5</v>
      </c>
      <c r="C16" s="57" t="s">
        <v>31</v>
      </c>
      <c r="D16" s="25" t="s">
        <v>30</v>
      </c>
      <c r="E16" s="57" t="s">
        <v>101</v>
      </c>
      <c r="F16" s="236" t="s">
        <v>37</v>
      </c>
      <c r="G16" s="386">
        <v>0</v>
      </c>
      <c r="H16" s="386">
        <v>0</v>
      </c>
      <c r="I16" s="217">
        <v>0</v>
      </c>
      <c r="J16" s="217">
        <v>0</v>
      </c>
      <c r="K16" s="222"/>
      <c r="L16" s="222"/>
      <c r="M16" s="222"/>
      <c r="N16" s="386"/>
      <c r="O16" s="215">
        <v>0</v>
      </c>
      <c r="P16" s="321">
        <v>0</v>
      </c>
      <c r="Q16" s="222">
        <v>0</v>
      </c>
      <c r="R16" s="223">
        <v>0.15</v>
      </c>
      <c r="S16" s="222">
        <v>0</v>
      </c>
      <c r="T16" s="258">
        <v>3.7499999999999999E-2</v>
      </c>
    </row>
    <row r="17" spans="1:20" x14ac:dyDescent="0.2">
      <c r="A17" s="23" t="s">
        <v>28</v>
      </c>
      <c r="B17" s="24" t="s">
        <v>371</v>
      </c>
      <c r="C17" s="57" t="s">
        <v>31</v>
      </c>
      <c r="D17" s="25" t="s">
        <v>30</v>
      </c>
      <c r="E17" s="57" t="s">
        <v>101</v>
      </c>
      <c r="F17" s="236" t="s">
        <v>37</v>
      </c>
      <c r="G17" s="386">
        <v>68788.713499999998</v>
      </c>
      <c r="H17" s="386">
        <v>64803.997799999997</v>
      </c>
      <c r="I17" s="217">
        <v>3.0455999999999999</v>
      </c>
      <c r="J17" s="217">
        <v>3.0455999999999999</v>
      </c>
      <c r="K17" s="222"/>
      <c r="L17" s="222"/>
      <c r="M17" s="222"/>
      <c r="N17" s="386">
        <v>877.46</v>
      </c>
      <c r="O17" s="215">
        <v>405992.50999999995</v>
      </c>
      <c r="P17" s="321">
        <v>76123.600000000006</v>
      </c>
      <c r="Q17" s="222">
        <v>60898.879999999997</v>
      </c>
      <c r="R17" s="223">
        <v>0.15</v>
      </c>
      <c r="S17" s="222">
        <v>15224.72</v>
      </c>
      <c r="T17" s="258">
        <v>3.7499999999999999E-2</v>
      </c>
    </row>
    <row r="18" spans="1:20" x14ac:dyDescent="0.2">
      <c r="A18" s="23" t="s">
        <v>28</v>
      </c>
      <c r="B18" s="24" t="s">
        <v>17</v>
      </c>
      <c r="C18" s="57" t="s">
        <v>31</v>
      </c>
      <c r="D18" s="25" t="s">
        <v>30</v>
      </c>
      <c r="E18" s="57" t="s">
        <v>101</v>
      </c>
      <c r="F18" s="236" t="s">
        <v>37</v>
      </c>
      <c r="G18" s="386">
        <v>4225</v>
      </c>
      <c r="H18" s="386">
        <v>2118</v>
      </c>
      <c r="I18" s="217">
        <v>117.0026</v>
      </c>
      <c r="J18" s="217">
        <v>106.69970000000001</v>
      </c>
      <c r="K18" s="222"/>
      <c r="L18" s="222"/>
      <c r="M18" s="222"/>
      <c r="N18" s="386">
        <v>515.04</v>
      </c>
      <c r="O18" s="224">
        <v>719810.90999999992</v>
      </c>
      <c r="P18" s="321">
        <v>134964.54999999999</v>
      </c>
      <c r="Q18" s="222">
        <v>107971.64</v>
      </c>
      <c r="R18" s="223">
        <v>0.15</v>
      </c>
      <c r="S18" s="222">
        <v>26992.91</v>
      </c>
      <c r="T18" s="258">
        <v>3.7499999999999999E-2</v>
      </c>
    </row>
    <row r="19" spans="1:20" x14ac:dyDescent="0.2">
      <c r="A19" s="376" t="s">
        <v>28</v>
      </c>
      <c r="B19" s="377" t="s">
        <v>237</v>
      </c>
      <c r="C19" s="57" t="s">
        <v>31</v>
      </c>
      <c r="D19" s="25" t="s">
        <v>30</v>
      </c>
      <c r="E19" s="57" t="s">
        <v>101</v>
      </c>
      <c r="F19" s="236" t="s">
        <v>37</v>
      </c>
      <c r="G19" s="386"/>
      <c r="H19" s="386"/>
      <c r="I19" s="216"/>
      <c r="J19" s="217"/>
      <c r="K19" s="222"/>
      <c r="L19" s="222"/>
      <c r="M19" s="222"/>
      <c r="N19" s="386"/>
      <c r="O19" s="224">
        <v>0</v>
      </c>
      <c r="P19" s="321">
        <v>0</v>
      </c>
      <c r="Q19" s="222">
        <v>0</v>
      </c>
      <c r="R19" s="223">
        <v>0.15</v>
      </c>
      <c r="S19" s="222">
        <v>0</v>
      </c>
      <c r="T19" s="258">
        <v>3.7499999999999999E-2</v>
      </c>
    </row>
    <row r="20" spans="1:20" x14ac:dyDescent="0.2">
      <c r="A20" s="376" t="s">
        <v>28</v>
      </c>
      <c r="B20" s="377" t="s">
        <v>239</v>
      </c>
      <c r="C20" s="57" t="s">
        <v>31</v>
      </c>
      <c r="D20" s="25" t="s">
        <v>30</v>
      </c>
      <c r="E20" s="57" t="s">
        <v>101</v>
      </c>
      <c r="F20" s="236" t="s">
        <v>56</v>
      </c>
      <c r="G20" s="386"/>
      <c r="H20" s="386"/>
      <c r="I20" s="216"/>
      <c r="J20" s="217"/>
      <c r="K20" s="222"/>
      <c r="L20" s="222"/>
      <c r="M20" s="222"/>
      <c r="N20" s="386"/>
      <c r="O20" s="224">
        <v>0</v>
      </c>
      <c r="P20" s="321">
        <v>0</v>
      </c>
      <c r="Q20" s="222">
        <v>0</v>
      </c>
      <c r="R20" s="223">
        <v>0.15</v>
      </c>
      <c r="S20" s="222">
        <v>0</v>
      </c>
      <c r="T20" s="258">
        <v>3.7499999999999999E-2</v>
      </c>
    </row>
    <row r="21" spans="1:20" x14ac:dyDescent="0.2">
      <c r="A21" s="376" t="s">
        <v>28</v>
      </c>
      <c r="B21" s="377" t="s">
        <v>238</v>
      </c>
      <c r="C21" s="57" t="s">
        <v>31</v>
      </c>
      <c r="D21" s="25" t="s">
        <v>30</v>
      </c>
      <c r="E21" s="57" t="s">
        <v>101</v>
      </c>
      <c r="F21" s="236" t="s">
        <v>37</v>
      </c>
      <c r="G21" s="386">
        <v>12580</v>
      </c>
      <c r="H21" s="386">
        <v>17683</v>
      </c>
      <c r="I21" s="216">
        <v>117.0026</v>
      </c>
      <c r="J21" s="217">
        <v>106.69970000000001</v>
      </c>
      <c r="K21" s="222"/>
      <c r="L21" s="222"/>
      <c r="M21" s="222"/>
      <c r="N21" s="386">
        <v>304.16000000000003</v>
      </c>
      <c r="O21" s="224">
        <v>3358359.3499999996</v>
      </c>
      <c r="P21" s="321">
        <v>629692.38</v>
      </c>
      <c r="Q21" s="222">
        <v>503753.9</v>
      </c>
      <c r="R21" s="223">
        <v>0.15</v>
      </c>
      <c r="S21" s="222">
        <v>125938.48</v>
      </c>
      <c r="T21" s="258">
        <v>3.7499999999999999E-2</v>
      </c>
    </row>
    <row r="22" spans="1:20" x14ac:dyDescent="0.2">
      <c r="A22" s="23" t="s">
        <v>28</v>
      </c>
      <c r="B22" s="24" t="s">
        <v>18</v>
      </c>
      <c r="C22" s="57" t="s">
        <v>31</v>
      </c>
      <c r="D22" s="25" t="s">
        <v>30</v>
      </c>
      <c r="E22" s="57" t="s">
        <v>101</v>
      </c>
      <c r="F22" s="236" t="s">
        <v>37</v>
      </c>
      <c r="G22" s="386">
        <v>2509</v>
      </c>
      <c r="H22" s="386">
        <v>0</v>
      </c>
      <c r="I22" s="217">
        <v>118.47329999999999</v>
      </c>
      <c r="J22" s="217">
        <v>0</v>
      </c>
      <c r="K22" s="222"/>
      <c r="L22" s="222"/>
      <c r="M22" s="222"/>
      <c r="N22" s="386"/>
      <c r="O22" s="224">
        <v>297249.51</v>
      </c>
      <c r="P22" s="321">
        <v>55734.28</v>
      </c>
      <c r="Q22" s="222">
        <v>44587.43</v>
      </c>
      <c r="R22" s="223">
        <v>0.15</v>
      </c>
      <c r="S22" s="222">
        <v>11146.86</v>
      </c>
      <c r="T22" s="258">
        <v>3.7499999999999999E-2</v>
      </c>
    </row>
    <row r="23" spans="1:20" x14ac:dyDescent="0.2">
      <c r="A23" s="23" t="s">
        <v>28</v>
      </c>
      <c r="B23" s="24" t="s">
        <v>20</v>
      </c>
      <c r="C23" s="57" t="s">
        <v>31</v>
      </c>
      <c r="D23" s="25" t="s">
        <v>30</v>
      </c>
      <c r="E23" s="57" t="s">
        <v>101</v>
      </c>
      <c r="F23" s="236" t="s">
        <v>37</v>
      </c>
      <c r="G23" s="386">
        <v>135000</v>
      </c>
      <c r="H23" s="386">
        <v>111681</v>
      </c>
      <c r="I23" s="217">
        <v>123.44499999999999</v>
      </c>
      <c r="J23" s="217">
        <v>111.1032</v>
      </c>
      <c r="K23" s="222"/>
      <c r="L23" s="222"/>
      <c r="M23" s="222"/>
      <c r="N23" s="386">
        <v>2540.1799999999998</v>
      </c>
      <c r="O23" s="224">
        <v>29070651.300000001</v>
      </c>
      <c r="P23" s="321">
        <v>5450747.1200000001</v>
      </c>
      <c r="Q23" s="222">
        <v>4360597.7</v>
      </c>
      <c r="R23" s="223">
        <v>0.15</v>
      </c>
      <c r="S23" s="222">
        <v>1090149.42</v>
      </c>
      <c r="T23" s="258">
        <v>3.7499999999999999E-2</v>
      </c>
    </row>
    <row r="24" spans="1:20" x14ac:dyDescent="0.2">
      <c r="A24" s="23" t="s">
        <v>28</v>
      </c>
      <c r="B24" s="24" t="s">
        <v>372</v>
      </c>
      <c r="C24" s="57" t="s">
        <v>31</v>
      </c>
      <c r="D24" s="25" t="s">
        <v>30</v>
      </c>
      <c r="E24" s="57" t="s">
        <v>101</v>
      </c>
      <c r="F24" s="236" t="s">
        <v>56</v>
      </c>
      <c r="G24" s="386">
        <v>194027.59</v>
      </c>
      <c r="H24" s="386">
        <v>193724.15</v>
      </c>
      <c r="I24" s="216">
        <v>2.9</v>
      </c>
      <c r="J24" s="217">
        <v>2.9</v>
      </c>
      <c r="K24" s="222"/>
      <c r="L24" s="222"/>
      <c r="M24" s="222"/>
      <c r="N24" s="386">
        <v>1603.38</v>
      </c>
      <c r="O24" s="224">
        <v>1122876.6700000002</v>
      </c>
      <c r="P24" s="321">
        <v>210539.38</v>
      </c>
      <c r="Q24" s="222">
        <v>168431.5</v>
      </c>
      <c r="R24" s="223">
        <v>0.15</v>
      </c>
      <c r="S24" s="222">
        <v>42107.88</v>
      </c>
      <c r="T24" s="258">
        <v>3.7499999999999999E-2</v>
      </c>
    </row>
    <row r="25" spans="1:20" x14ac:dyDescent="0.2">
      <c r="A25" s="23" t="s">
        <v>28</v>
      </c>
      <c r="B25" s="24" t="s">
        <v>9</v>
      </c>
      <c r="C25" s="57" t="s">
        <v>31</v>
      </c>
      <c r="D25" s="25" t="s">
        <v>30</v>
      </c>
      <c r="E25" s="57" t="s">
        <v>101</v>
      </c>
      <c r="F25" s="236" t="s">
        <v>37</v>
      </c>
      <c r="G25" s="386"/>
      <c r="H25" s="386"/>
      <c r="I25" s="217"/>
      <c r="J25" s="217"/>
      <c r="K25" s="222"/>
      <c r="L25" s="222"/>
      <c r="M25" s="222"/>
      <c r="N25" s="386"/>
      <c r="O25" s="224">
        <v>0</v>
      </c>
      <c r="P25" s="321">
        <v>0</v>
      </c>
      <c r="Q25" s="222">
        <v>0</v>
      </c>
      <c r="R25" s="223">
        <v>0.15</v>
      </c>
      <c r="S25" s="222">
        <v>0</v>
      </c>
      <c r="T25" s="258">
        <v>3.7499999999999999E-2</v>
      </c>
    </row>
    <row r="26" spans="1:20" x14ac:dyDescent="0.2">
      <c r="A26" s="23" t="s">
        <v>28</v>
      </c>
      <c r="B26" s="24" t="s">
        <v>165</v>
      </c>
      <c r="C26" s="57" t="s">
        <v>31</v>
      </c>
      <c r="D26" s="25" t="s">
        <v>30</v>
      </c>
      <c r="E26" s="57" t="s">
        <v>101</v>
      </c>
      <c r="F26" s="236" t="s">
        <v>37</v>
      </c>
      <c r="G26" s="386">
        <v>10541</v>
      </c>
      <c r="H26" s="386">
        <v>10219</v>
      </c>
      <c r="I26" s="217">
        <v>115.2533</v>
      </c>
      <c r="J26" s="217">
        <v>109.32729999999999</v>
      </c>
      <c r="K26" s="222"/>
      <c r="L26" s="222"/>
      <c r="M26" s="222"/>
      <c r="N26" s="386">
        <v>3402.5</v>
      </c>
      <c r="O26" s="224">
        <v>2328698.2199999997</v>
      </c>
      <c r="P26" s="321">
        <v>436630.92</v>
      </c>
      <c r="Q26" s="222">
        <v>349304.73</v>
      </c>
      <c r="R26" s="223">
        <v>0.15</v>
      </c>
      <c r="S26" s="222">
        <v>87326.18</v>
      </c>
      <c r="T26" s="258">
        <v>3.7499999999999999E-2</v>
      </c>
    </row>
    <row r="27" spans="1:20" x14ac:dyDescent="0.2">
      <c r="A27" s="23" t="s">
        <v>28</v>
      </c>
      <c r="B27" s="24" t="s">
        <v>157</v>
      </c>
      <c r="C27" s="57" t="s">
        <v>31</v>
      </c>
      <c r="D27" s="25" t="s">
        <v>30</v>
      </c>
      <c r="E27" s="57" t="s">
        <v>101</v>
      </c>
      <c r="F27" s="236" t="s">
        <v>56</v>
      </c>
      <c r="G27" s="386">
        <v>346246.34839999996</v>
      </c>
      <c r="H27" s="386">
        <v>517045.88760000002</v>
      </c>
      <c r="I27" s="386">
        <v>3.0239569452164083</v>
      </c>
      <c r="J27" s="386">
        <v>3.1248341564026392</v>
      </c>
      <c r="K27" s="222"/>
      <c r="L27" s="222"/>
      <c r="M27" s="222"/>
      <c r="N27" s="386"/>
      <c r="O27" s="224">
        <v>2662716.7000000002</v>
      </c>
      <c r="P27" s="1041">
        <v>499259.37999999995</v>
      </c>
      <c r="Q27" s="224">
        <v>399407.49999999994</v>
      </c>
      <c r="R27" s="223">
        <v>0.15</v>
      </c>
      <c r="S27" s="224">
        <v>99851.87000000001</v>
      </c>
      <c r="T27" s="258">
        <v>3.7499999999999999E-2</v>
      </c>
    </row>
    <row r="28" spans="1:20" x14ac:dyDescent="0.2">
      <c r="A28" s="23" t="s">
        <v>28</v>
      </c>
      <c r="B28" s="24" t="s">
        <v>170</v>
      </c>
      <c r="C28" s="57" t="s">
        <v>31</v>
      </c>
      <c r="D28" s="25" t="s">
        <v>30</v>
      </c>
      <c r="E28" s="57" t="s">
        <v>101</v>
      </c>
      <c r="F28" s="236" t="s">
        <v>37</v>
      </c>
      <c r="G28" s="386"/>
      <c r="H28" s="386"/>
      <c r="I28" s="217"/>
      <c r="J28" s="217"/>
      <c r="K28" s="222"/>
      <c r="L28" s="222"/>
      <c r="M28" s="222"/>
      <c r="N28" s="386">
        <v>210.88</v>
      </c>
      <c r="O28" s="224">
        <v>-210.88</v>
      </c>
      <c r="P28" s="321">
        <v>-39.54</v>
      </c>
      <c r="Q28" s="222">
        <v>-7.91</v>
      </c>
      <c r="R28" s="258">
        <v>3.7499999999999999E-2</v>
      </c>
      <c r="S28" s="222">
        <v>-31.63</v>
      </c>
      <c r="T28" s="223">
        <v>0.15</v>
      </c>
    </row>
    <row r="29" spans="1:20" x14ac:dyDescent="0.2">
      <c r="A29" s="23" t="s">
        <v>28</v>
      </c>
      <c r="B29" s="24" t="s">
        <v>368</v>
      </c>
      <c r="C29" s="57" t="s">
        <v>31</v>
      </c>
      <c r="D29" s="25" t="s">
        <v>30</v>
      </c>
      <c r="E29" s="57" t="s">
        <v>101</v>
      </c>
      <c r="F29" s="236" t="s">
        <v>37</v>
      </c>
      <c r="G29" s="386"/>
      <c r="H29" s="386"/>
      <c r="I29" s="217"/>
      <c r="J29" s="217"/>
      <c r="K29" s="222"/>
      <c r="L29" s="222"/>
      <c r="M29" s="222"/>
      <c r="N29" s="372">
        <v>1070.6300000000001</v>
      </c>
      <c r="O29" s="224">
        <v>-1070.6300000000001</v>
      </c>
      <c r="P29" s="321">
        <v>-200.74</v>
      </c>
      <c r="Q29" s="222">
        <v>-40.15</v>
      </c>
      <c r="R29" s="258">
        <v>3.7499999999999999E-2</v>
      </c>
      <c r="S29" s="222">
        <v>-160.59</v>
      </c>
      <c r="T29" s="223">
        <v>0.15</v>
      </c>
    </row>
    <row r="30" spans="1:20" x14ac:dyDescent="0.2">
      <c r="A30" s="26" t="s">
        <v>28</v>
      </c>
      <c r="B30" s="29" t="s">
        <v>302</v>
      </c>
      <c r="C30" s="57" t="s">
        <v>31</v>
      </c>
      <c r="D30" s="25" t="s">
        <v>30</v>
      </c>
      <c r="E30" s="57" t="s">
        <v>101</v>
      </c>
      <c r="F30" s="236" t="s">
        <v>37</v>
      </c>
      <c r="G30" s="386">
        <v>30729</v>
      </c>
      <c r="H30" s="386">
        <v>69301</v>
      </c>
      <c r="I30" s="217">
        <v>100.41800000000001</v>
      </c>
      <c r="J30" s="217">
        <v>104.3245</v>
      </c>
      <c r="K30" s="215"/>
      <c r="L30" s="222"/>
      <c r="M30" s="222"/>
      <c r="N30" s="386">
        <v>3312.43</v>
      </c>
      <c r="O30" s="224">
        <v>10312224.460000001</v>
      </c>
      <c r="P30" s="321">
        <v>1933542.09</v>
      </c>
      <c r="Q30" s="222">
        <v>1546833.67</v>
      </c>
      <c r="R30" s="248">
        <v>0.15</v>
      </c>
      <c r="S30" s="222">
        <v>386708.42</v>
      </c>
      <c r="T30" s="258">
        <v>3.7499999999999999E-2</v>
      </c>
    </row>
    <row r="31" spans="1:20" x14ac:dyDescent="0.2">
      <c r="A31" s="26" t="s">
        <v>28</v>
      </c>
      <c r="B31" s="29" t="s">
        <v>303</v>
      </c>
      <c r="C31" s="57" t="s">
        <v>31</v>
      </c>
      <c r="D31" s="25" t="s">
        <v>30</v>
      </c>
      <c r="E31" s="57" t="s">
        <v>101</v>
      </c>
      <c r="F31" s="236" t="s">
        <v>56</v>
      </c>
      <c r="G31" s="386">
        <v>77136.399999999994</v>
      </c>
      <c r="H31" s="386">
        <v>108171.2</v>
      </c>
      <c r="I31" s="386">
        <v>2.7350672315534559</v>
      </c>
      <c r="J31" s="386">
        <v>2.7391324123241678</v>
      </c>
      <c r="K31" s="215"/>
      <c r="L31" s="222"/>
      <c r="M31" s="222"/>
      <c r="N31" s="386">
        <v>965.19</v>
      </c>
      <c r="O31" s="224">
        <v>507268.48000000004</v>
      </c>
      <c r="P31" s="1041">
        <v>95112.85</v>
      </c>
      <c r="Q31" s="224">
        <v>76090.27</v>
      </c>
      <c r="R31" s="248">
        <v>0.15</v>
      </c>
      <c r="S31" s="224">
        <v>19022.57</v>
      </c>
      <c r="T31" s="258">
        <v>3.7499999999999999E-2</v>
      </c>
    </row>
    <row r="32" spans="1:20" x14ac:dyDescent="0.2">
      <c r="A32" s="26" t="s">
        <v>28</v>
      </c>
      <c r="B32" s="29" t="s">
        <v>304</v>
      </c>
      <c r="C32" s="57" t="s">
        <v>31</v>
      </c>
      <c r="D32" s="25" t="s">
        <v>30</v>
      </c>
      <c r="E32" s="57" t="s">
        <v>101</v>
      </c>
      <c r="F32" s="236" t="s">
        <v>37</v>
      </c>
      <c r="G32" s="386">
        <v>11123</v>
      </c>
      <c r="H32" s="386">
        <v>11003</v>
      </c>
      <c r="I32" s="217">
        <v>57.954799999999999</v>
      </c>
      <c r="J32" s="217">
        <v>57.377499999999998</v>
      </c>
      <c r="K32" s="215"/>
      <c r="L32" s="222"/>
      <c r="M32" s="222"/>
      <c r="N32" s="386">
        <v>1050.3499999999999</v>
      </c>
      <c r="O32" s="224">
        <v>1274905.52</v>
      </c>
      <c r="P32" s="321">
        <v>239044.79</v>
      </c>
      <c r="Q32" s="222">
        <v>191235.83</v>
      </c>
      <c r="R32" s="248">
        <v>0.15</v>
      </c>
      <c r="S32" s="222">
        <v>47808.959999999999</v>
      </c>
      <c r="T32" s="258">
        <v>3.7499999999999999E-2</v>
      </c>
    </row>
    <row r="33" spans="1:20" x14ac:dyDescent="0.2">
      <c r="A33" s="26" t="s">
        <v>28</v>
      </c>
      <c r="B33" s="29" t="s">
        <v>52</v>
      </c>
      <c r="C33" s="56"/>
      <c r="D33" s="56"/>
      <c r="E33" s="27"/>
      <c r="F33" s="236"/>
      <c r="G33" s="222"/>
      <c r="H33" s="222"/>
      <c r="I33" s="216"/>
      <c r="J33" s="216"/>
      <c r="K33" s="222"/>
      <c r="L33" s="222"/>
      <c r="M33" s="577"/>
      <c r="N33" s="222"/>
      <c r="O33" s="224">
        <v>16853256.870000001</v>
      </c>
      <c r="P33" s="224">
        <v>3159985.66</v>
      </c>
      <c r="Q33" s="224">
        <v>2527988.52</v>
      </c>
      <c r="R33" s="224"/>
      <c r="S33" s="224">
        <v>631997.1399999999</v>
      </c>
      <c r="T33" s="223"/>
    </row>
    <row r="34" spans="1:20" x14ac:dyDescent="0.2">
      <c r="A34" s="30"/>
      <c r="B34" s="153" t="s">
        <v>108</v>
      </c>
      <c r="C34" s="31" t="s">
        <v>461</v>
      </c>
      <c r="D34" s="38"/>
      <c r="E34" s="39"/>
      <c r="F34" s="244"/>
      <c r="G34" s="218"/>
      <c r="H34" s="218"/>
      <c r="I34" s="219"/>
      <c r="J34" s="219"/>
      <c r="K34" s="218"/>
      <c r="L34" s="218"/>
      <c r="M34" s="218"/>
      <c r="N34" s="227"/>
      <c r="O34" s="227">
        <v>71368191.060000002</v>
      </c>
      <c r="P34" s="227">
        <v>13381535.859999999</v>
      </c>
      <c r="Q34" s="227">
        <v>10705372.829999998</v>
      </c>
      <c r="R34" s="229"/>
      <c r="S34" s="227">
        <v>2676163.0199999996</v>
      </c>
      <c r="T34" s="511"/>
    </row>
    <row r="35" spans="1:20" x14ac:dyDescent="0.2">
      <c r="A35" s="125"/>
      <c r="B35" s="126"/>
      <c r="C35" s="31" t="s">
        <v>462</v>
      </c>
      <c r="D35" s="56"/>
      <c r="E35" s="56"/>
      <c r="F35" s="137"/>
      <c r="G35" s="177"/>
      <c r="H35" s="177"/>
      <c r="I35" s="202"/>
      <c r="J35" s="202"/>
      <c r="K35" s="177"/>
      <c r="L35" s="177"/>
      <c r="M35" s="177"/>
      <c r="N35" s="177"/>
      <c r="O35" s="209"/>
      <c r="P35" s="210">
        <v>45684563.43</v>
      </c>
      <c r="Q35" s="364">
        <v>36548142.840000004</v>
      </c>
      <c r="R35" s="139"/>
      <c r="S35" s="363">
        <v>9136420.5500000007</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v>10955</v>
      </c>
      <c r="I37" s="217"/>
      <c r="J37" s="217">
        <v>95.322699999999998</v>
      </c>
      <c r="K37" s="222"/>
      <c r="L37" s="222"/>
      <c r="M37" s="222"/>
      <c r="N37" s="386">
        <v>4225.75</v>
      </c>
      <c r="O37" s="224">
        <v>1040034.43</v>
      </c>
      <c r="P37" s="321">
        <v>156005.16</v>
      </c>
      <c r="Q37" s="222">
        <v>156005.16</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
        <v>463</v>
      </c>
      <c r="D39" s="38"/>
      <c r="E39" s="39"/>
      <c r="F39" s="38"/>
      <c r="G39" s="218"/>
      <c r="H39" s="218"/>
      <c r="I39" s="219"/>
      <c r="J39" s="219"/>
      <c r="K39" s="218"/>
      <c r="L39" s="218"/>
      <c r="M39" s="218"/>
      <c r="N39" s="218"/>
      <c r="O39" s="227">
        <v>1040034.43</v>
      </c>
      <c r="P39" s="227">
        <v>156005.16</v>
      </c>
      <c r="Q39" s="227">
        <v>156005.16</v>
      </c>
      <c r="R39" s="229"/>
      <c r="S39" s="227">
        <v>0</v>
      </c>
      <c r="T39" s="229"/>
    </row>
    <row r="40" spans="1:20" x14ac:dyDescent="0.2">
      <c r="A40" s="125"/>
      <c r="B40" s="126"/>
      <c r="C40" s="31" t="s">
        <v>464</v>
      </c>
      <c r="D40" s="56"/>
      <c r="E40" s="56"/>
      <c r="F40" s="137"/>
      <c r="G40" s="177"/>
      <c r="H40" s="177"/>
      <c r="I40" s="202"/>
      <c r="J40" s="202"/>
      <c r="K40" s="177"/>
      <c r="L40" s="177"/>
      <c r="M40" s="177"/>
      <c r="N40" s="177"/>
      <c r="O40" s="209"/>
      <c r="P40" s="210">
        <v>532601.62</v>
      </c>
      <c r="Q40" s="364">
        <v>532601.62</v>
      </c>
      <c r="R40" s="139"/>
      <c r="S40" s="210">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v>28365</v>
      </c>
      <c r="H42" s="222">
        <v>72401</v>
      </c>
      <c r="I42" s="558">
        <v>93.427894235854041</v>
      </c>
      <c r="J42" s="217">
        <v>99.566500000000005</v>
      </c>
      <c r="K42" s="222"/>
      <c r="L42" s="222"/>
      <c r="M42" s="222"/>
      <c r="N42" s="222">
        <v>5661.37</v>
      </c>
      <c r="O42" s="222">
        <v>9853135.0200000014</v>
      </c>
      <c r="P42" s="222">
        <v>1847462.81</v>
      </c>
      <c r="Q42" s="222">
        <v>1477970.25</v>
      </c>
      <c r="R42" s="223">
        <v>0.15</v>
      </c>
      <c r="S42" s="222">
        <v>369492.56</v>
      </c>
      <c r="T42" s="258">
        <v>3.7499999999999999E-2</v>
      </c>
    </row>
    <row r="43" spans="1:20" x14ac:dyDescent="0.2">
      <c r="A43" s="23" t="s">
        <v>28</v>
      </c>
      <c r="B43" s="24" t="s">
        <v>12</v>
      </c>
      <c r="C43" s="57" t="s">
        <v>31</v>
      </c>
      <c r="D43" s="57" t="s">
        <v>30</v>
      </c>
      <c r="E43" s="57" t="s">
        <v>101</v>
      </c>
      <c r="F43" s="238" t="s">
        <v>56</v>
      </c>
      <c r="G43" s="215">
        <v>45408.444199999998</v>
      </c>
      <c r="H43" s="215">
        <v>42990.417300000001</v>
      </c>
      <c r="I43" s="217">
        <v>3.6023000000000001</v>
      </c>
      <c r="J43" s="217">
        <v>3.6030000000000002</v>
      </c>
      <c r="K43" s="222"/>
      <c r="L43" s="222"/>
      <c r="M43" s="222"/>
      <c r="N43" s="386">
        <v>1734.65</v>
      </c>
      <c r="O43" s="224">
        <v>316734.65999999997</v>
      </c>
      <c r="P43" s="321">
        <v>59387.75</v>
      </c>
      <c r="Q43" s="222">
        <v>11877.55</v>
      </c>
      <c r="R43" s="258">
        <v>3.7499999999999999E-2</v>
      </c>
      <c r="S43" s="222">
        <v>47510.2</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v>2396.7600000000002</v>
      </c>
      <c r="O44" s="224">
        <v>-2396.7600000000002</v>
      </c>
      <c r="P44" s="222">
        <v>-449.39</v>
      </c>
      <c r="Q44" s="222">
        <v>-89.88</v>
      </c>
      <c r="R44" s="258">
        <v>3.7499999999999999E-2</v>
      </c>
      <c r="S44" s="222">
        <v>-359.51</v>
      </c>
      <c r="T44" s="223">
        <v>0.15</v>
      </c>
    </row>
    <row r="45" spans="1:20" x14ac:dyDescent="0.2">
      <c r="A45" s="23" t="s">
        <v>28</v>
      </c>
      <c r="B45" s="28">
        <v>95</v>
      </c>
      <c r="C45" s="57" t="s">
        <v>31</v>
      </c>
      <c r="D45" s="57" t="s">
        <v>30</v>
      </c>
      <c r="E45" s="57" t="s">
        <v>101</v>
      </c>
      <c r="F45" s="238" t="s">
        <v>37</v>
      </c>
      <c r="G45" s="215">
        <v>192101</v>
      </c>
      <c r="H45" s="215">
        <v>172868</v>
      </c>
      <c r="I45" s="217">
        <v>80.853099999999998</v>
      </c>
      <c r="J45" s="217">
        <v>83.012500000000003</v>
      </c>
      <c r="K45" s="215"/>
      <c r="L45" s="222"/>
      <c r="M45" s="222"/>
      <c r="N45" s="386">
        <v>5661.37</v>
      </c>
      <c r="O45" s="648">
        <v>29876504.84</v>
      </c>
      <c r="P45" s="321">
        <v>5601844.6600000001</v>
      </c>
      <c r="Q45" s="222">
        <v>4481475.7300000004</v>
      </c>
      <c r="R45" s="223">
        <v>0.15</v>
      </c>
      <c r="S45" s="222">
        <v>1120368.93</v>
      </c>
      <c r="T45" s="258">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222"/>
      <c r="O46" s="224">
        <v>0</v>
      </c>
      <c r="P46" s="222">
        <v>0</v>
      </c>
      <c r="Q46" s="222">
        <v>0</v>
      </c>
      <c r="R46" s="223">
        <v>0.15</v>
      </c>
      <c r="S46" s="222">
        <v>0</v>
      </c>
      <c r="T46" s="258">
        <v>3.7499999999999999E-2</v>
      </c>
    </row>
    <row r="47" spans="1:20" x14ac:dyDescent="0.2">
      <c r="A47" s="18" t="s">
        <v>28</v>
      </c>
      <c r="B47" s="29" t="s">
        <v>54</v>
      </c>
      <c r="C47" s="56"/>
      <c r="D47" s="27"/>
      <c r="E47" s="27"/>
      <c r="F47" s="238"/>
      <c r="G47" s="222"/>
      <c r="H47" s="222"/>
      <c r="I47" s="216"/>
      <c r="J47" s="216"/>
      <c r="K47" s="222"/>
      <c r="L47" s="222"/>
      <c r="M47" s="222"/>
      <c r="N47" s="222"/>
      <c r="O47" s="222">
        <v>6220124.7800000003</v>
      </c>
      <c r="P47" s="222">
        <v>1166273.3999999999</v>
      </c>
      <c r="Q47" s="222">
        <v>933018.72</v>
      </c>
      <c r="R47" s="222">
        <v>0</v>
      </c>
      <c r="S47" s="222">
        <v>233254.68</v>
      </c>
      <c r="T47" s="223"/>
    </row>
    <row r="48" spans="1:20" x14ac:dyDescent="0.2">
      <c r="A48" s="30"/>
      <c r="B48" s="153" t="s">
        <v>108</v>
      </c>
      <c r="C48" s="31" t="s">
        <v>465</v>
      </c>
      <c r="D48" s="19"/>
      <c r="E48" s="19"/>
      <c r="F48" s="251"/>
      <c r="G48" s="249"/>
      <c r="H48" s="249"/>
      <c r="I48" s="250"/>
      <c r="J48" s="240"/>
      <c r="K48" s="239"/>
      <c r="L48" s="239"/>
      <c r="M48" s="239"/>
      <c r="N48" s="227"/>
      <c r="O48" s="227">
        <v>46264102.540000007</v>
      </c>
      <c r="P48" s="227">
        <v>8674519.2300000004</v>
      </c>
      <c r="Q48" s="227">
        <v>6904252.3700000001</v>
      </c>
      <c r="R48" s="241"/>
      <c r="S48" s="227">
        <v>1770266.8599999999</v>
      </c>
      <c r="T48" s="229"/>
    </row>
    <row r="49" spans="1:20" x14ac:dyDescent="0.2">
      <c r="A49" s="145"/>
      <c r="B49" s="146"/>
      <c r="C49" s="31" t="s">
        <v>466</v>
      </c>
      <c r="D49" s="103"/>
      <c r="E49" s="103"/>
      <c r="F49" s="145"/>
      <c r="G49" s="208"/>
      <c r="H49" s="208"/>
      <c r="I49" s="205"/>
      <c r="J49" s="205"/>
      <c r="K49" s="208"/>
      <c r="L49" s="208"/>
      <c r="M49" s="208"/>
      <c r="N49" s="208"/>
      <c r="O49" s="211"/>
      <c r="P49" s="211">
        <v>29614808.649999999</v>
      </c>
      <c r="Q49" s="363">
        <v>23571117.59</v>
      </c>
      <c r="R49" s="160"/>
      <c r="S49" s="363">
        <v>6043691.0599999996</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v>654560</v>
      </c>
      <c r="H51" s="222">
        <v>641780</v>
      </c>
      <c r="I51" s="216">
        <v>52.247300000000003</v>
      </c>
      <c r="J51" s="216">
        <v>53.583199999999998</v>
      </c>
      <c r="K51" s="222"/>
      <c r="L51" s="222"/>
      <c r="M51" s="222"/>
      <c r="N51" s="222"/>
      <c r="O51" s="224">
        <v>68587618.784000009</v>
      </c>
      <c r="P51" s="585">
        <v>25542029.239999998</v>
      </c>
      <c r="Q51" s="321">
        <v>12771014.619999999</v>
      </c>
      <c r="R51" s="223">
        <v>0.5</v>
      </c>
      <c r="S51" s="222"/>
      <c r="T51" s="258"/>
    </row>
    <row r="52" spans="1:20" x14ac:dyDescent="0.2">
      <c r="A52" s="23" t="s">
        <v>28</v>
      </c>
      <c r="B52" s="24" t="s">
        <v>159</v>
      </c>
      <c r="C52" s="57" t="s">
        <v>31</v>
      </c>
      <c r="D52" s="57" t="s">
        <v>30</v>
      </c>
      <c r="E52" s="57" t="s">
        <v>158</v>
      </c>
      <c r="F52" s="238" t="s">
        <v>56</v>
      </c>
      <c r="G52" s="222">
        <v>11303645.3806</v>
      </c>
      <c r="H52" s="222"/>
      <c r="I52" s="222">
        <v>2.8353000000000002</v>
      </c>
      <c r="J52" s="216"/>
      <c r="K52" s="222"/>
      <c r="L52" s="222"/>
      <c r="M52" s="222"/>
      <c r="N52" s="222"/>
      <c r="O52" s="253">
        <v>66090211.350000001</v>
      </c>
      <c r="P52" s="253">
        <v>24652449.260000002</v>
      </c>
      <c r="Q52" s="222">
        <v>12326224.640000001</v>
      </c>
      <c r="R52" s="223">
        <v>0.5</v>
      </c>
      <c r="S52" s="222"/>
      <c r="T52" s="223"/>
    </row>
    <row r="53" spans="1:20" x14ac:dyDescent="0.2">
      <c r="A53" s="23" t="s">
        <v>28</v>
      </c>
      <c r="B53" s="24" t="s">
        <v>168</v>
      </c>
      <c r="C53" s="57" t="s">
        <v>31</v>
      </c>
      <c r="D53" s="57" t="s">
        <v>30</v>
      </c>
      <c r="E53" s="57" t="s">
        <v>158</v>
      </c>
      <c r="F53" s="238" t="s">
        <v>37</v>
      </c>
      <c r="G53" s="222">
        <v>190308</v>
      </c>
      <c r="H53" s="222">
        <v>140375</v>
      </c>
      <c r="I53" s="216">
        <v>52.2346</v>
      </c>
      <c r="J53" s="216">
        <v>53.574399999999997</v>
      </c>
      <c r="K53" s="222"/>
      <c r="L53" s="222"/>
      <c r="M53" s="222"/>
      <c r="N53" s="222"/>
      <c r="O53" s="224">
        <v>17461168.656799998</v>
      </c>
      <c r="P53" s="253">
        <v>6984467.46</v>
      </c>
      <c r="Q53" s="222">
        <v>3492233.73</v>
      </c>
      <c r="R53" s="223">
        <v>0.5</v>
      </c>
      <c r="S53" s="222"/>
      <c r="T53" s="223"/>
    </row>
    <row r="54" spans="1:20" x14ac:dyDescent="0.2">
      <c r="A54" s="23" t="s">
        <v>28</v>
      </c>
      <c r="B54" s="24" t="s">
        <v>169</v>
      </c>
      <c r="C54" s="57" t="s">
        <v>31</v>
      </c>
      <c r="D54" s="57" t="s">
        <v>30</v>
      </c>
      <c r="E54" s="57" t="s">
        <v>158</v>
      </c>
      <c r="F54" s="238" t="s">
        <v>56</v>
      </c>
      <c r="G54" s="222"/>
      <c r="H54" s="222">
        <v>251702.60879999999</v>
      </c>
      <c r="I54" s="216"/>
      <c r="J54" s="216">
        <v>7.6539999999999999</v>
      </c>
      <c r="K54" s="222"/>
      <c r="L54" s="222"/>
      <c r="M54" s="222"/>
      <c r="N54" s="222"/>
      <c r="O54" s="224">
        <v>1926531.7677551999</v>
      </c>
      <c r="P54" s="253">
        <v>732082.07</v>
      </c>
      <c r="Q54" s="222">
        <v>366041.04</v>
      </c>
      <c r="R54" s="223">
        <v>0.5</v>
      </c>
      <c r="S54" s="222"/>
      <c r="T54" s="223"/>
    </row>
    <row r="55" spans="1:20" x14ac:dyDescent="0.2">
      <c r="A55" s="23" t="s">
        <v>28</v>
      </c>
      <c r="B55" s="28" t="s">
        <v>175</v>
      </c>
      <c r="C55" s="57" t="s">
        <v>31</v>
      </c>
      <c r="D55" s="57" t="s">
        <v>30</v>
      </c>
      <c r="E55" s="57" t="s">
        <v>158</v>
      </c>
      <c r="F55" s="238" t="s">
        <v>37</v>
      </c>
      <c r="G55" s="222"/>
      <c r="H55" s="222">
        <v>21981</v>
      </c>
      <c r="I55" s="216"/>
      <c r="J55" s="216">
        <v>48.842700000000001</v>
      </c>
      <c r="K55" s="215"/>
      <c r="L55" s="222"/>
      <c r="M55" s="222"/>
      <c r="N55" s="215"/>
      <c r="O55" s="224">
        <v>1073611.3887</v>
      </c>
      <c r="P55" s="222">
        <v>63879.877704999999</v>
      </c>
      <c r="Q55" s="222">
        <v>31939.94</v>
      </c>
      <c r="R55" s="223">
        <v>0.5</v>
      </c>
      <c r="S55" s="222"/>
      <c r="T55" s="258"/>
    </row>
    <row r="56" spans="1:20" x14ac:dyDescent="0.2">
      <c r="A56" s="23" t="s">
        <v>28</v>
      </c>
      <c r="B56" s="272" t="s">
        <v>176</v>
      </c>
      <c r="C56" s="57" t="s">
        <v>31</v>
      </c>
      <c r="D56" s="57" t="s">
        <v>30</v>
      </c>
      <c r="E56" s="57" t="s">
        <v>158</v>
      </c>
      <c r="F56" s="238" t="s">
        <v>56</v>
      </c>
      <c r="G56" s="222"/>
      <c r="H56" s="222">
        <v>443467.16499999998</v>
      </c>
      <c r="I56" s="216"/>
      <c r="J56" s="216">
        <v>10.204000000000001</v>
      </c>
      <c r="K56" s="559"/>
      <c r="L56" s="222"/>
      <c r="M56" s="222"/>
      <c r="N56" s="215"/>
      <c r="O56" s="224">
        <v>4525138.9516599998</v>
      </c>
      <c r="P56" s="222">
        <v>454776.46447500004</v>
      </c>
      <c r="Q56" s="222">
        <v>227388.23</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198">
        <v>24394833.026276831</v>
      </c>
      <c r="P57" s="198">
        <v>2482661.7318160003</v>
      </c>
      <c r="Q57" s="198">
        <v>1241330.8600000003</v>
      </c>
      <c r="R57" s="148"/>
      <c r="S57" s="188"/>
      <c r="T57" s="148"/>
    </row>
    <row r="58" spans="1:20" x14ac:dyDescent="0.2">
      <c r="A58" s="30"/>
      <c r="B58" s="153" t="s">
        <v>108</v>
      </c>
      <c r="C58" s="31" t="s">
        <v>467</v>
      </c>
      <c r="D58" s="19"/>
      <c r="E58" s="19"/>
      <c r="F58" s="268"/>
      <c r="G58" s="254">
        <v>0</v>
      </c>
      <c r="H58" s="254">
        <v>251702.60879999999</v>
      </c>
      <c r="I58" s="304"/>
      <c r="J58" s="254"/>
      <c r="K58" s="265"/>
      <c r="L58" s="259"/>
      <c r="M58" s="303"/>
      <c r="N58" s="201"/>
      <c r="O58" s="201">
        <v>184059113.92519206</v>
      </c>
      <c r="P58" s="201">
        <v>60912346.103996001</v>
      </c>
      <c r="Q58" s="201">
        <v>30456173.059999999</v>
      </c>
      <c r="R58" s="560"/>
      <c r="S58" s="192"/>
      <c r="T58" s="148"/>
    </row>
    <row r="59" spans="1:20" x14ac:dyDescent="0.2">
      <c r="A59" s="145"/>
      <c r="B59" s="146"/>
      <c r="C59" s="31" t="s">
        <v>468</v>
      </c>
      <c r="D59" s="103"/>
      <c r="E59" s="103"/>
      <c r="F59" s="268"/>
      <c r="G59" s="255" t="e">
        <v>#VALUE!</v>
      </c>
      <c r="H59" s="255">
        <v>7.6539999999999999</v>
      </c>
      <c r="I59" s="305"/>
      <c r="J59" s="254"/>
      <c r="K59" s="266"/>
      <c r="L59" s="260"/>
      <c r="M59" s="357"/>
      <c r="N59" s="358"/>
      <c r="O59" s="358"/>
      <c r="P59" s="194"/>
      <c r="Q59" s="194">
        <v>103977374.82684</v>
      </c>
      <c r="R59" s="185"/>
      <c r="S59" s="192"/>
      <c r="T59" s="148"/>
    </row>
    <row r="60" spans="1:20" x14ac:dyDescent="0.2">
      <c r="A60" s="7" t="s">
        <v>55</v>
      </c>
      <c r="B60" s="8"/>
      <c r="C60" s="8"/>
      <c r="D60" s="8"/>
      <c r="E60" s="8"/>
      <c r="F60" s="269"/>
      <c r="G60" s="256" t="e">
        <v>#VALUE!</v>
      </c>
      <c r="H60" s="256">
        <v>1926531.7677551999</v>
      </c>
      <c r="I60" s="254" t="e">
        <v>#VALUE!</v>
      </c>
      <c r="J60" s="254" t="e">
        <v>#REF!</v>
      </c>
      <c r="K60" s="306" t="e">
        <v>#VALUE!</v>
      </c>
      <c r="L60" s="307"/>
      <c r="M60" s="211">
        <v>0</v>
      </c>
      <c r="N60" s="211">
        <v>38689.909999999996</v>
      </c>
      <c r="O60" s="211">
        <v>302731441.95519209</v>
      </c>
      <c r="P60" s="363">
        <v>52668233.309999995</v>
      </c>
      <c r="Q60" s="196">
        <v>179809348.48684001</v>
      </c>
      <c r="R60" s="55"/>
      <c r="S60" s="196"/>
      <c r="T60" s="55"/>
    </row>
    <row r="61" spans="1:20" x14ac:dyDescent="0.2">
      <c r="G61" s="1"/>
      <c r="H61" s="1"/>
      <c r="I61" s="1"/>
      <c r="J61" s="1"/>
      <c r="K61" s="1"/>
      <c r="N61" s="509"/>
      <c r="O61" s="252"/>
      <c r="S61" s="257"/>
    </row>
    <row r="62" spans="1:20" x14ac:dyDescent="0.2">
      <c r="A62" s="4" t="s">
        <v>93</v>
      </c>
      <c r="B62" s="1" t="s">
        <v>76</v>
      </c>
      <c r="G62" s="1"/>
      <c r="H62" s="4" t="s">
        <v>77</v>
      </c>
      <c r="I62" s="1"/>
      <c r="J62" s="65"/>
      <c r="K62" s="65"/>
      <c r="N62" s="509"/>
      <c r="O62" s="509"/>
      <c r="P62" s="257"/>
      <c r="Q62" s="65"/>
      <c r="S62" s="65"/>
    </row>
    <row r="63" spans="1:20" x14ac:dyDescent="0.2">
      <c r="B63" s="115" t="s">
        <v>78</v>
      </c>
      <c r="C63" s="116" t="s">
        <v>79</v>
      </c>
      <c r="D63" s="117"/>
      <c r="E63" s="118" t="s">
        <v>35</v>
      </c>
      <c r="F63" s="118" t="s">
        <v>80</v>
      </c>
      <c r="G63" s="1"/>
      <c r="H63" s="89" t="s">
        <v>35</v>
      </c>
      <c r="I63" s="8"/>
      <c r="J63" s="8"/>
      <c r="K63" s="8"/>
      <c r="L63" s="90"/>
      <c r="N63" s="509"/>
      <c r="O63" s="509"/>
      <c r="P63" s="257"/>
      <c r="Q63" s="65"/>
      <c r="S63" s="65"/>
    </row>
    <row r="64" spans="1:20" x14ac:dyDescent="0.2">
      <c r="B64" s="91" t="s">
        <v>81</v>
      </c>
      <c r="C64" s="92" t="s">
        <v>82</v>
      </c>
      <c r="D64" s="93"/>
      <c r="E64" s="94"/>
      <c r="F64" s="94"/>
      <c r="G64" s="1"/>
      <c r="H64" s="95" t="s">
        <v>469</v>
      </c>
      <c r="I64" s="1"/>
      <c r="J64" s="1"/>
      <c r="K64" s="1"/>
      <c r="L64" s="96"/>
      <c r="M64" s="561"/>
      <c r="N64" s="561">
        <v>36728.480000000003</v>
      </c>
      <c r="O64" s="65"/>
      <c r="P64" s="314"/>
      <c r="Q64" s="314"/>
      <c r="S64" s="314"/>
    </row>
    <row r="65" spans="1:19" x14ac:dyDescent="0.2">
      <c r="B65" s="97" t="s">
        <v>83</v>
      </c>
      <c r="C65" s="98" t="s">
        <v>84</v>
      </c>
      <c r="D65" s="99"/>
      <c r="E65" s="100"/>
      <c r="F65" s="101"/>
      <c r="G65" s="1"/>
      <c r="H65" s="102">
        <v>0</v>
      </c>
      <c r="I65" s="103"/>
      <c r="J65" s="103"/>
      <c r="K65" s="103"/>
      <c r="L65" s="104"/>
      <c r="M65" s="561">
        <v>9.4199999857272176E-2</v>
      </c>
      <c r="N65" s="561">
        <v>9.8900000237297003E-2</v>
      </c>
      <c r="O65" s="65"/>
      <c r="P65" s="314"/>
      <c r="Q65" s="314"/>
      <c r="S65" s="314"/>
    </row>
    <row r="66" spans="1:19" x14ac:dyDescent="0.2">
      <c r="B66" s="97" t="s">
        <v>85</v>
      </c>
      <c r="C66" s="98" t="s">
        <v>86</v>
      </c>
      <c r="D66" s="99"/>
      <c r="E66" s="100"/>
      <c r="F66" s="100"/>
      <c r="G66" s="1"/>
      <c r="H66" s="1"/>
      <c r="I66" s="105"/>
      <c r="J66" s="1"/>
      <c r="K66" s="1"/>
      <c r="M66" s="561">
        <v>0.39999999969547706</v>
      </c>
      <c r="N66" s="561">
        <v>0.39999999979093542</v>
      </c>
      <c r="O66" s="566"/>
      <c r="P66" s="257"/>
      <c r="Q66" s="257"/>
    </row>
    <row r="67" spans="1:19" x14ac:dyDescent="0.2">
      <c r="B67" s="97" t="s">
        <v>87</v>
      </c>
      <c r="C67" s="98" t="s">
        <v>88</v>
      </c>
      <c r="D67" s="99"/>
      <c r="E67" s="106"/>
      <c r="F67" s="106"/>
      <c r="G67" s="1"/>
      <c r="H67" s="89" t="s">
        <v>80</v>
      </c>
      <c r="I67" s="107"/>
      <c r="J67" s="8"/>
      <c r="K67" s="8"/>
      <c r="L67" s="90"/>
      <c r="M67" s="561">
        <v>0.38000000287019686</v>
      </c>
      <c r="N67" s="561"/>
      <c r="O67" s="257"/>
      <c r="P67" s="257"/>
    </row>
    <row r="68" spans="1:19" x14ac:dyDescent="0.2">
      <c r="B68" s="97" t="s">
        <v>89</v>
      </c>
      <c r="C68" s="98" t="s">
        <v>90</v>
      </c>
      <c r="D68" s="99"/>
      <c r="E68" s="108"/>
      <c r="F68" s="101"/>
      <c r="G68" s="1"/>
      <c r="H68" s="95" t="s">
        <v>469</v>
      </c>
      <c r="I68" s="105"/>
      <c r="J68" s="1"/>
      <c r="K68" s="1"/>
      <c r="L68" s="96"/>
      <c r="N68" s="562"/>
      <c r="O68" s="325"/>
    </row>
    <row r="69" spans="1:19" x14ac:dyDescent="0.2">
      <c r="B69" s="109" t="s">
        <v>91</v>
      </c>
      <c r="C69" s="110" t="s">
        <v>92</v>
      </c>
      <c r="D69" s="111"/>
      <c r="E69" s="112"/>
      <c r="F69" s="112"/>
      <c r="G69" s="1"/>
      <c r="H69" s="102">
        <v>0</v>
      </c>
      <c r="I69" s="113"/>
      <c r="J69" s="103"/>
      <c r="K69" s="103"/>
      <c r="L69" s="104"/>
      <c r="M69" s="325"/>
      <c r="N69" s="325"/>
      <c r="O69" s="325"/>
    </row>
    <row r="70" spans="1:19" x14ac:dyDescent="0.2">
      <c r="A70" s="4"/>
      <c r="G70" s="1"/>
      <c r="H70" s="177"/>
      <c r="I70" s="1"/>
      <c r="J70" s="1"/>
      <c r="K70" s="1"/>
      <c r="M70" s="325"/>
      <c r="N70" s="325"/>
      <c r="O70" s="325"/>
    </row>
  </sheetData>
  <mergeCells count="2">
    <mergeCell ref="C7:C8"/>
    <mergeCell ref="O7:O8"/>
  </mergeCells>
  <printOptions horizontalCentered="1" verticalCentered="1"/>
  <pageMargins left="0.23622047244094491" right="0.23622047244094491" top="0.51181102362204722" bottom="0.51181102362204722" header="0" footer="0"/>
  <pageSetup paperSize="9" scale="48" fitToWidth="3"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5">
    <pageSetUpPr fitToPage="1"/>
  </sheetPr>
  <dimension ref="A1:AM408"/>
  <sheetViews>
    <sheetView view="pageBreakPreview" zoomScale="70" zoomScaleNormal="95" zoomScaleSheetLayoutView="70" workbookViewId="0">
      <pane xSplit="2" topLeftCell="C1" activePane="topRight" state="frozen"/>
      <selection activeCell="F44" sqref="F44"/>
      <selection pane="topRight" activeCell="F44" sqref="F44"/>
    </sheetView>
  </sheetViews>
  <sheetFormatPr baseColWidth="10" defaultColWidth="8.77734375" defaultRowHeight="12.75" outlineLevelRow="1" x14ac:dyDescent="0.2"/>
  <cols>
    <col min="1" max="1" width="3" style="1" customWidth="1"/>
    <col min="2" max="2" width="16" style="1" customWidth="1"/>
    <col min="3" max="3" width="7.77734375" style="1" customWidth="1"/>
    <col min="4" max="4" width="8.109375" style="1" customWidth="1"/>
    <col min="5" max="5" width="8.77734375" style="1" customWidth="1"/>
    <col min="6" max="6" width="8.44140625" style="1" customWidth="1"/>
    <col min="7" max="7" width="11.77734375" style="199" customWidth="1"/>
    <col min="8" max="8" width="12.109375" style="199" customWidth="1"/>
    <col min="9" max="10" width="10.44140625" style="199" customWidth="1"/>
    <col min="11" max="11" width="15.109375" style="199" customWidth="1"/>
    <col min="12" max="12" width="16.77734375" style="1" customWidth="1"/>
    <col min="13" max="13" width="11.77734375" style="1" customWidth="1"/>
    <col min="14" max="14" width="10.44140625" style="114" customWidth="1"/>
    <col min="15" max="15" width="15.5546875" style="1" customWidth="1"/>
    <col min="16" max="16" width="14.77734375" style="1" customWidth="1"/>
    <col min="17" max="17" width="11.77734375" style="1" bestFit="1" customWidth="1"/>
    <col min="18" max="18" width="5.77734375" style="1" customWidth="1"/>
    <col min="19" max="19" width="11.5546875" style="1" customWidth="1"/>
    <col min="20" max="20" width="5.77734375" style="1" customWidth="1"/>
    <col min="21" max="21" width="11.109375" style="1" hidden="1" customWidth="1"/>
    <col min="22" max="23" width="10.77734375" style="1" hidden="1" customWidth="1"/>
    <col min="24" max="24" width="10.5546875" style="1" hidden="1" customWidth="1"/>
    <col min="25" max="25" width="8.77734375" style="1" hidden="1" customWidth="1"/>
    <col min="26" max="26" width="9.5546875" style="1" hidden="1" customWidth="1"/>
    <col min="27" max="34" width="8.77734375" style="1" hidden="1" customWidth="1"/>
    <col min="35" max="35" width="10.109375" style="1" hidden="1" customWidth="1"/>
    <col min="36" max="36" width="10.77734375" style="1" customWidth="1"/>
    <col min="37" max="37" width="11.109375" style="1" customWidth="1"/>
    <col min="38" max="39" width="10.77734375" style="1" customWidth="1"/>
    <col min="40" max="16384" width="8.77734375" style="1"/>
  </cols>
  <sheetData>
    <row r="1" spans="1:33" ht="12.75" customHeight="1" x14ac:dyDescent="0.2">
      <c r="A1" s="1" t="s">
        <v>51</v>
      </c>
      <c r="C1" s="3"/>
      <c r="D1" s="3"/>
      <c r="E1" s="6">
        <v>46143</v>
      </c>
      <c r="F1" s="462"/>
      <c r="S1" s="1" t="s">
        <v>179</v>
      </c>
      <c r="U1" s="51" t="s">
        <v>60</v>
      </c>
      <c r="V1" s="51"/>
      <c r="W1" s="67">
        <f>DATE(YEAR(E1),MONTH(E1)+1,1)-DATE(YEAR(E1),MONTH(E1),1)</f>
        <v>31</v>
      </c>
    </row>
    <row r="2" spans="1:33" x14ac:dyDescent="0.2">
      <c r="A2" s="3" t="s">
        <v>0</v>
      </c>
    </row>
    <row r="3" spans="1:33" x14ac:dyDescent="0.2">
      <c r="A3" s="133" t="s">
        <v>109</v>
      </c>
      <c r="B3" s="133"/>
      <c r="C3" s="133"/>
      <c r="D3" s="133"/>
      <c r="E3" s="133"/>
      <c r="F3" s="133"/>
      <c r="G3" s="133"/>
      <c r="H3" s="133"/>
      <c r="I3" s="133"/>
      <c r="J3" s="133"/>
      <c r="K3" s="133"/>
      <c r="L3" s="133"/>
      <c r="M3" s="133"/>
      <c r="N3" s="132"/>
      <c r="O3" s="133"/>
      <c r="P3" s="133"/>
      <c r="Q3" s="133"/>
      <c r="R3" s="133"/>
      <c r="S3" s="133"/>
      <c r="T3" s="133"/>
    </row>
    <row r="4" spans="1:33" x14ac:dyDescent="0.2">
      <c r="A4" s="132" t="str">
        <f>"Correspondiente a  "&amp;TEXT(E1,"MMMMMMM YYYY")</f>
        <v>Correspondiente a  Mayo 2026</v>
      </c>
      <c r="B4" s="132"/>
      <c r="C4" s="132"/>
      <c r="D4" s="132"/>
      <c r="E4" s="132"/>
      <c r="F4" s="132"/>
      <c r="G4" s="132"/>
      <c r="H4" s="132"/>
      <c r="I4" s="132"/>
      <c r="J4" s="132"/>
      <c r="K4" s="132"/>
      <c r="L4" s="132"/>
      <c r="M4" s="132"/>
      <c r="N4" s="132"/>
      <c r="O4" s="132"/>
      <c r="P4" s="132"/>
      <c r="Q4" s="132"/>
      <c r="R4" s="132"/>
      <c r="S4" s="132"/>
      <c r="T4" s="132"/>
    </row>
    <row r="5" spans="1:33"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c r="U5" s="65"/>
      <c r="V5" s="65"/>
    </row>
    <row r="6" spans="1:33" x14ac:dyDescent="0.2">
      <c r="E6" s="65"/>
      <c r="F6" s="65"/>
      <c r="G6" s="264"/>
      <c r="H6" s="200"/>
      <c r="Q6" s="385"/>
      <c r="U6" s="65"/>
      <c r="W6" s="65"/>
    </row>
    <row r="7" spans="1:33" ht="21.75" customHeight="1" x14ac:dyDescent="0.2">
      <c r="A7" s="171" t="s">
        <v>25</v>
      </c>
      <c r="B7" s="172"/>
      <c r="C7" s="1192" t="s">
        <v>33</v>
      </c>
      <c r="D7" s="62" t="s">
        <v>58</v>
      </c>
      <c r="E7" s="63"/>
      <c r="F7" s="173" t="s">
        <v>106</v>
      </c>
      <c r="G7" s="174"/>
      <c r="H7" s="175"/>
      <c r="I7" s="173" t="s">
        <v>38</v>
      </c>
      <c r="J7" s="175"/>
      <c r="K7" s="173" t="s">
        <v>41</v>
      </c>
      <c r="L7" s="174"/>
      <c r="M7" s="174"/>
      <c r="N7" s="1048"/>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3"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049"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3"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3" x14ac:dyDescent="0.2">
      <c r="A10" s="23" t="s">
        <v>28</v>
      </c>
      <c r="B10" s="24" t="s">
        <v>13</v>
      </c>
      <c r="C10" s="57" t="s">
        <v>31</v>
      </c>
      <c r="D10" s="25" t="s">
        <v>30</v>
      </c>
      <c r="E10" s="57" t="s">
        <v>101</v>
      </c>
      <c r="F10" s="236" t="s">
        <v>37</v>
      </c>
      <c r="G10" s="215"/>
      <c r="H10" s="215"/>
      <c r="I10" s="217"/>
      <c r="J10" s="217"/>
      <c r="K10" s="222"/>
      <c r="L10" s="222"/>
      <c r="M10" s="222"/>
      <c r="N10" s="222"/>
      <c r="O10" s="215">
        <f t="shared" ref="O10:O25" si="0">ROUND(G10*I10,2)+ROUND(H10*J10,2)-K10-L10-M10-N10</f>
        <v>0</v>
      </c>
      <c r="P10" s="222">
        <f>ROUND(18.75%*O10,2)</f>
        <v>0</v>
      </c>
      <c r="Q10" s="222">
        <f>ROUND($O10*R10,2)</f>
        <v>0</v>
      </c>
      <c r="R10" s="223">
        <v>0.15</v>
      </c>
      <c r="S10" s="222">
        <f t="shared" ref="S10:S32" si="1">ROUND($O10*T10,2)</f>
        <v>0</v>
      </c>
      <c r="T10" s="258">
        <v>3.7499999999999999E-2</v>
      </c>
      <c r="U10" s="66">
        <f t="shared" ref="U10:U27" si="2">IF($F10&amp;"/Día"=W$9,SUM($G10:$H10),"")</f>
        <v>0</v>
      </c>
      <c r="V10" s="66">
        <f>IF(U10&lt;&gt;"",$O10,"")</f>
        <v>0</v>
      </c>
      <c r="W10" s="73">
        <f>IF($F10&amp;"/Día"=W$9,ROUND(U10/$W$1,1),"")</f>
        <v>0</v>
      </c>
      <c r="X10" s="74">
        <f t="shared" ref="X10:X27" si="3">IF(U10=0,0,IF($F10&amp;"/Día"=W$9,ROUND(V10/U10,4),""))</f>
        <v>0</v>
      </c>
      <c r="Y10" s="74">
        <f t="shared" ref="Y10:Y27" si="4">IF(U10=0,0,IF($F10&amp;"/Día"=W$9,ROUND(Z10/U10,4),""))</f>
        <v>0</v>
      </c>
      <c r="Z10" s="66">
        <f t="shared" ref="Z10:Z27" si="5">IF(U10&lt;&gt;"",$P10,"")</f>
        <v>0</v>
      </c>
      <c r="AA10" s="66" t="str">
        <f t="shared" ref="AA10:AA27" si="6">IF($F10&amp;"/Día"=AC$9,SUM($G10:$H10),"")</f>
        <v/>
      </c>
      <c r="AB10" s="66" t="str">
        <f>IF(AA10&lt;&gt;"",$O10,"")</f>
        <v/>
      </c>
      <c r="AC10" s="73" t="str">
        <f>IF($F10&amp;"/Día"=AC$9,ROUND(AA10/$W$1,1),"")</f>
        <v/>
      </c>
      <c r="AD10" s="74" t="str">
        <f t="shared" ref="AD10:AD27" si="7">IF(AA10=0,0,IF($F10&amp;"/Día"=AC$9,ROUND(AB10/AA10,4),""))</f>
        <v/>
      </c>
      <c r="AE10" s="74" t="str">
        <f t="shared" ref="AE10:AE27" si="8">IF(AA10=0,0,IF($F10&amp;"/Día"=AC$9,ROUND(AF10/AA10,4),""))</f>
        <v/>
      </c>
      <c r="AF10" s="66" t="str">
        <f t="shared" ref="AF10:AF27" si="9">IF(AA10&lt;&gt;"",$P10,"")</f>
        <v/>
      </c>
      <c r="AG10" s="49"/>
    </row>
    <row r="11" spans="1:33" ht="12.75" customHeight="1" x14ac:dyDescent="0.2">
      <c r="A11" s="23" t="s">
        <v>28</v>
      </c>
      <c r="B11" s="24" t="s">
        <v>14</v>
      </c>
      <c r="C11" s="57" t="s">
        <v>31</v>
      </c>
      <c r="D11" s="25" t="s">
        <v>30</v>
      </c>
      <c r="E11" s="57" t="s">
        <v>101</v>
      </c>
      <c r="F11" s="236" t="s">
        <v>56</v>
      </c>
      <c r="G11" s="215"/>
      <c r="H11" s="215"/>
      <c r="I11" s="217"/>
      <c r="J11" s="217"/>
      <c r="K11" s="222"/>
      <c r="L11" s="222"/>
      <c r="M11" s="222"/>
      <c r="N11" s="883"/>
      <c r="O11" s="215">
        <f t="shared" si="0"/>
        <v>0</v>
      </c>
      <c r="P11" s="222">
        <f t="shared" ref="P11:P25" si="10">ROUND(18.75%*O11,2)</f>
        <v>0</v>
      </c>
      <c r="Q11" s="222">
        <f t="shared" ref="Q11:Q25" si="11">ROUND($O11*R11,2)</f>
        <v>0</v>
      </c>
      <c r="R11" s="223">
        <v>0.15</v>
      </c>
      <c r="S11" s="222">
        <f t="shared" si="1"/>
        <v>0</v>
      </c>
      <c r="T11" s="258">
        <v>3.7499999999999999E-2</v>
      </c>
      <c r="U11" s="40" t="str">
        <f t="shared" si="2"/>
        <v/>
      </c>
      <c r="V11" s="40" t="str">
        <f t="shared" ref="V11:V33" si="12">IF(U11&lt;&gt;"",$O11,"")</f>
        <v/>
      </c>
      <c r="W11" s="75" t="str">
        <f t="shared" ref="W11:W38" si="13">IF($F11&amp;"/Día"=W$9,ROUND(U11/$W$1,1),"")</f>
        <v/>
      </c>
      <c r="X11" s="76" t="str">
        <f t="shared" si="3"/>
        <v/>
      </c>
      <c r="Y11" s="76" t="str">
        <f t="shared" si="4"/>
        <v/>
      </c>
      <c r="Z11" s="40" t="str">
        <f t="shared" si="5"/>
        <v/>
      </c>
      <c r="AA11" s="40">
        <f t="shared" si="6"/>
        <v>0</v>
      </c>
      <c r="AB11" s="40">
        <f t="shared" ref="AB11:AB33" si="14">IF(AA11&lt;&gt;"",$O11,"")</f>
        <v>0</v>
      </c>
      <c r="AC11" s="75">
        <f t="shared" ref="AC11:AC38" si="15">IF($F11&amp;"/Día"=AC$9,ROUND(AA11/$W$1,1),"")</f>
        <v>0</v>
      </c>
      <c r="AD11" s="76">
        <f t="shared" si="7"/>
        <v>0</v>
      </c>
      <c r="AE11" s="76">
        <f t="shared" si="8"/>
        <v>0</v>
      </c>
      <c r="AF11" s="40">
        <f t="shared" si="9"/>
        <v>0</v>
      </c>
      <c r="AG11" s="50"/>
    </row>
    <row r="12" spans="1:33" x14ac:dyDescent="0.2">
      <c r="A12" s="23" t="s">
        <v>28</v>
      </c>
      <c r="B12" s="24" t="s">
        <v>3</v>
      </c>
      <c r="C12" s="57" t="s">
        <v>31</v>
      </c>
      <c r="D12" s="25" t="s">
        <v>30</v>
      </c>
      <c r="E12" s="57" t="s">
        <v>101</v>
      </c>
      <c r="F12" s="236" t="s">
        <v>37</v>
      </c>
      <c r="G12" s="215"/>
      <c r="H12" s="215"/>
      <c r="I12" s="217"/>
      <c r="J12" s="217"/>
      <c r="K12" s="222"/>
      <c r="L12" s="222"/>
      <c r="M12" s="222"/>
      <c r="N12" s="386"/>
      <c r="O12" s="215">
        <f t="shared" si="0"/>
        <v>0</v>
      </c>
      <c r="P12" s="222">
        <f t="shared" si="10"/>
        <v>0</v>
      </c>
      <c r="Q12" s="222">
        <f>ROUND($O12*R12,2)</f>
        <v>0</v>
      </c>
      <c r="R12" s="223">
        <v>0.15</v>
      </c>
      <c r="S12" s="222">
        <f t="shared" si="1"/>
        <v>0</v>
      </c>
      <c r="T12" s="258">
        <v>3.7499999999999999E-2</v>
      </c>
      <c r="U12" s="40">
        <f t="shared" si="2"/>
        <v>0</v>
      </c>
      <c r="V12" s="40">
        <f t="shared" si="12"/>
        <v>0</v>
      </c>
      <c r="W12" s="75">
        <f t="shared" si="13"/>
        <v>0</v>
      </c>
      <c r="X12" s="76">
        <f t="shared" si="3"/>
        <v>0</v>
      </c>
      <c r="Y12" s="76">
        <f t="shared" si="4"/>
        <v>0</v>
      </c>
      <c r="Z12" s="40">
        <f t="shared" si="5"/>
        <v>0</v>
      </c>
      <c r="AA12" s="40" t="str">
        <f t="shared" si="6"/>
        <v/>
      </c>
      <c r="AB12" s="40" t="str">
        <f t="shared" si="14"/>
        <v/>
      </c>
      <c r="AC12" s="75" t="str">
        <f t="shared" si="15"/>
        <v/>
      </c>
      <c r="AD12" s="76" t="str">
        <f t="shared" si="7"/>
        <v/>
      </c>
      <c r="AE12" s="76" t="str">
        <f t="shared" si="8"/>
        <v/>
      </c>
      <c r="AF12" s="40" t="str">
        <f t="shared" si="9"/>
        <v/>
      </c>
      <c r="AG12" s="50"/>
    </row>
    <row r="13" spans="1:33" x14ac:dyDescent="0.2">
      <c r="A13" s="242" t="s">
        <v>28</v>
      </c>
      <c r="B13" s="245" t="s">
        <v>369</v>
      </c>
      <c r="C13" s="57" t="s">
        <v>31</v>
      </c>
      <c r="D13" s="25" t="s">
        <v>30</v>
      </c>
      <c r="E13" s="57" t="s">
        <v>101</v>
      </c>
      <c r="F13" s="236" t="s">
        <v>56</v>
      </c>
      <c r="G13" s="215"/>
      <c r="H13" s="215"/>
      <c r="I13" s="217"/>
      <c r="J13" s="217"/>
      <c r="K13" s="222"/>
      <c r="L13" s="222"/>
      <c r="M13" s="222"/>
      <c r="N13" s="386"/>
      <c r="O13" s="215">
        <f>ROUND(G13*I13,2)+ROUND(H13*J13,2)-K13-L13-M13-N13</f>
        <v>0</v>
      </c>
      <c r="P13" s="222">
        <f t="shared" si="10"/>
        <v>0</v>
      </c>
      <c r="Q13" s="222">
        <f>ROUND($O13*R13,2)</f>
        <v>0</v>
      </c>
      <c r="R13" s="223">
        <v>0.15</v>
      </c>
      <c r="S13" s="222">
        <f t="shared" si="1"/>
        <v>0</v>
      </c>
      <c r="T13" s="258">
        <v>3.7499999999999999E-2</v>
      </c>
      <c r="U13" s="40" t="str">
        <f t="shared" si="2"/>
        <v/>
      </c>
      <c r="V13" s="40" t="str">
        <f t="shared" si="12"/>
        <v/>
      </c>
      <c r="W13" s="75" t="str">
        <f t="shared" si="13"/>
        <v/>
      </c>
      <c r="X13" s="76" t="str">
        <f t="shared" si="3"/>
        <v/>
      </c>
      <c r="Y13" s="76" t="str">
        <f t="shared" si="4"/>
        <v/>
      </c>
      <c r="Z13" s="40" t="str">
        <f t="shared" si="5"/>
        <v/>
      </c>
      <c r="AA13" s="40">
        <f t="shared" si="6"/>
        <v>0</v>
      </c>
      <c r="AB13" s="40">
        <f t="shared" si="14"/>
        <v>0</v>
      </c>
      <c r="AC13" s="75">
        <f t="shared" si="15"/>
        <v>0</v>
      </c>
      <c r="AD13" s="76">
        <f t="shared" si="7"/>
        <v>0</v>
      </c>
      <c r="AE13" s="76">
        <f t="shared" si="8"/>
        <v>0</v>
      </c>
      <c r="AF13" s="40">
        <f t="shared" si="9"/>
        <v>0</v>
      </c>
      <c r="AG13" s="50"/>
    </row>
    <row r="14" spans="1:33" x14ac:dyDescent="0.2">
      <c r="A14" s="23" t="s">
        <v>28</v>
      </c>
      <c r="B14" s="24" t="s">
        <v>4</v>
      </c>
      <c r="C14" s="57" t="s">
        <v>31</v>
      </c>
      <c r="D14" s="25" t="s">
        <v>30</v>
      </c>
      <c r="E14" s="57" t="s">
        <v>101</v>
      </c>
      <c r="F14" s="236" t="s">
        <v>37</v>
      </c>
      <c r="G14" s="215"/>
      <c r="H14" s="215"/>
      <c r="I14" s="217"/>
      <c r="J14" s="217"/>
      <c r="K14" s="222"/>
      <c r="L14" s="222"/>
      <c r="M14" s="222"/>
      <c r="N14" s="386"/>
      <c r="O14" s="215">
        <f t="shared" si="0"/>
        <v>0</v>
      </c>
      <c r="P14" s="222">
        <f t="shared" si="10"/>
        <v>0</v>
      </c>
      <c r="Q14" s="222">
        <f t="shared" si="11"/>
        <v>0</v>
      </c>
      <c r="R14" s="223">
        <v>0.15</v>
      </c>
      <c r="S14" s="222">
        <f t="shared" si="1"/>
        <v>0</v>
      </c>
      <c r="T14" s="258">
        <v>3.7499999999999999E-2</v>
      </c>
      <c r="U14" s="40">
        <f t="shared" si="2"/>
        <v>0</v>
      </c>
      <c r="V14" s="40">
        <f t="shared" si="12"/>
        <v>0</v>
      </c>
      <c r="W14" s="75">
        <f t="shared" si="13"/>
        <v>0</v>
      </c>
      <c r="X14" s="76">
        <f t="shared" si="3"/>
        <v>0</v>
      </c>
      <c r="Y14" s="76">
        <f t="shared" si="4"/>
        <v>0</v>
      </c>
      <c r="Z14" s="40">
        <f t="shared" si="5"/>
        <v>0</v>
      </c>
      <c r="AA14" s="40" t="str">
        <f t="shared" si="6"/>
        <v/>
      </c>
      <c r="AB14" s="40" t="str">
        <f t="shared" si="14"/>
        <v/>
      </c>
      <c r="AC14" s="75" t="str">
        <f t="shared" si="15"/>
        <v/>
      </c>
      <c r="AD14" s="76" t="str">
        <f t="shared" si="7"/>
        <v/>
      </c>
      <c r="AE14" s="76" t="str">
        <f t="shared" si="8"/>
        <v/>
      </c>
      <c r="AF14" s="40" t="str">
        <f t="shared" si="9"/>
        <v/>
      </c>
      <c r="AG14" s="50"/>
    </row>
    <row r="15" spans="1:33" x14ac:dyDescent="0.2">
      <c r="A15" s="23" t="s">
        <v>28</v>
      </c>
      <c r="B15" s="377" t="s">
        <v>370</v>
      </c>
      <c r="C15" s="57" t="s">
        <v>31</v>
      </c>
      <c r="D15" s="25" t="s">
        <v>30</v>
      </c>
      <c r="E15" s="57" t="s">
        <v>101</v>
      </c>
      <c r="F15" s="236" t="s">
        <v>56</v>
      </c>
      <c r="G15" s="215"/>
      <c r="H15" s="215"/>
      <c r="I15" s="217"/>
      <c r="J15" s="217"/>
      <c r="K15" s="222"/>
      <c r="L15" s="222"/>
      <c r="M15" s="222"/>
      <c r="N15" s="222"/>
      <c r="O15" s="224">
        <f t="shared" si="0"/>
        <v>0</v>
      </c>
      <c r="P15" s="222">
        <f t="shared" si="10"/>
        <v>0</v>
      </c>
      <c r="Q15" s="222">
        <f t="shared" si="11"/>
        <v>0</v>
      </c>
      <c r="R15" s="223">
        <v>0.15</v>
      </c>
      <c r="S15" s="222">
        <f t="shared" si="1"/>
        <v>0</v>
      </c>
      <c r="T15" s="258">
        <v>3.7499999999999999E-2</v>
      </c>
      <c r="U15" s="40" t="str">
        <f t="shared" si="2"/>
        <v/>
      </c>
      <c r="V15" s="40" t="str">
        <f t="shared" si="12"/>
        <v/>
      </c>
      <c r="W15" s="75" t="str">
        <f t="shared" si="13"/>
        <v/>
      </c>
      <c r="X15" s="76" t="str">
        <f t="shared" si="3"/>
        <v/>
      </c>
      <c r="Y15" s="76" t="str">
        <f t="shared" si="4"/>
        <v/>
      </c>
      <c r="Z15" s="40" t="str">
        <f t="shared" si="5"/>
        <v/>
      </c>
      <c r="AA15" s="40">
        <f t="shared" si="6"/>
        <v>0</v>
      </c>
      <c r="AB15" s="40">
        <f t="shared" si="14"/>
        <v>0</v>
      </c>
      <c r="AC15" s="75">
        <f t="shared" si="15"/>
        <v>0</v>
      </c>
      <c r="AD15" s="76">
        <f t="shared" si="7"/>
        <v>0</v>
      </c>
      <c r="AE15" s="76">
        <f t="shared" si="8"/>
        <v>0</v>
      </c>
      <c r="AF15" s="40">
        <f t="shared" si="9"/>
        <v>0</v>
      </c>
      <c r="AG15" s="50"/>
    </row>
    <row r="16" spans="1:33" x14ac:dyDescent="0.2">
      <c r="A16" s="23" t="s">
        <v>28</v>
      </c>
      <c r="B16" s="24" t="s">
        <v>5</v>
      </c>
      <c r="C16" s="57" t="s">
        <v>31</v>
      </c>
      <c r="D16" s="25" t="s">
        <v>30</v>
      </c>
      <c r="E16" s="57" t="s">
        <v>101</v>
      </c>
      <c r="F16" s="236" t="s">
        <v>37</v>
      </c>
      <c r="G16" s="215"/>
      <c r="H16" s="215"/>
      <c r="I16" s="217"/>
      <c r="J16" s="217"/>
      <c r="K16" s="222"/>
      <c r="L16" s="222"/>
      <c r="M16" s="222"/>
      <c r="N16" s="222"/>
      <c r="O16" s="215">
        <f t="shared" si="0"/>
        <v>0</v>
      </c>
      <c r="P16" s="222">
        <f t="shared" si="10"/>
        <v>0</v>
      </c>
      <c r="Q16" s="222">
        <f t="shared" si="11"/>
        <v>0</v>
      </c>
      <c r="R16" s="223">
        <v>0.15</v>
      </c>
      <c r="S16" s="222">
        <f t="shared" si="1"/>
        <v>0</v>
      </c>
      <c r="T16" s="258">
        <v>3.7499999999999999E-2</v>
      </c>
      <c r="U16" s="40">
        <f t="shared" si="2"/>
        <v>0</v>
      </c>
      <c r="V16" s="40">
        <f t="shared" si="12"/>
        <v>0</v>
      </c>
      <c r="W16" s="75">
        <f t="shared" si="13"/>
        <v>0</v>
      </c>
      <c r="X16" s="76">
        <f t="shared" si="3"/>
        <v>0</v>
      </c>
      <c r="Y16" s="76">
        <f t="shared" si="4"/>
        <v>0</v>
      </c>
      <c r="Z16" s="40">
        <f t="shared" si="5"/>
        <v>0</v>
      </c>
      <c r="AA16" s="40" t="str">
        <f t="shared" si="6"/>
        <v/>
      </c>
      <c r="AB16" s="40" t="str">
        <f t="shared" si="14"/>
        <v/>
      </c>
      <c r="AC16" s="75" t="str">
        <f t="shared" si="15"/>
        <v/>
      </c>
      <c r="AD16" s="76" t="str">
        <f t="shared" si="7"/>
        <v/>
      </c>
      <c r="AE16" s="76" t="str">
        <f t="shared" si="8"/>
        <v/>
      </c>
      <c r="AF16" s="40" t="str">
        <f t="shared" si="9"/>
        <v/>
      </c>
      <c r="AG16" s="50"/>
    </row>
    <row r="17" spans="1:35" ht="13.35" customHeight="1" x14ac:dyDescent="0.2">
      <c r="A17" s="23" t="s">
        <v>28</v>
      </c>
      <c r="B17" s="24" t="s">
        <v>371</v>
      </c>
      <c r="C17" s="57" t="s">
        <v>31</v>
      </c>
      <c r="D17" s="25" t="s">
        <v>30</v>
      </c>
      <c r="E17" s="57" t="s">
        <v>101</v>
      </c>
      <c r="F17" s="236" t="s">
        <v>56</v>
      </c>
      <c r="G17" s="215"/>
      <c r="H17" s="215"/>
      <c r="I17" s="217"/>
      <c r="J17" s="217"/>
      <c r="K17" s="222"/>
      <c r="L17" s="222"/>
      <c r="M17" s="222"/>
      <c r="N17" s="222"/>
      <c r="O17" s="215">
        <f t="shared" si="0"/>
        <v>0</v>
      </c>
      <c r="P17" s="222">
        <f t="shared" si="10"/>
        <v>0</v>
      </c>
      <c r="Q17" s="222">
        <f t="shared" si="11"/>
        <v>0</v>
      </c>
      <c r="R17" s="223">
        <v>0.15</v>
      </c>
      <c r="S17" s="222">
        <f t="shared" si="1"/>
        <v>0</v>
      </c>
      <c r="T17" s="258">
        <v>3.7499999999999999E-2</v>
      </c>
      <c r="U17" s="40" t="str">
        <f t="shared" si="2"/>
        <v/>
      </c>
      <c r="V17" s="40" t="str">
        <f t="shared" si="12"/>
        <v/>
      </c>
      <c r="W17" s="75" t="str">
        <f t="shared" si="13"/>
        <v/>
      </c>
      <c r="X17" s="76" t="str">
        <f t="shared" si="3"/>
        <v/>
      </c>
      <c r="Y17" s="76" t="str">
        <f t="shared" si="4"/>
        <v/>
      </c>
      <c r="Z17" s="40" t="str">
        <f t="shared" si="5"/>
        <v/>
      </c>
      <c r="AA17" s="40">
        <f t="shared" si="6"/>
        <v>0</v>
      </c>
      <c r="AB17" s="40">
        <f t="shared" si="14"/>
        <v>0</v>
      </c>
      <c r="AC17" s="75">
        <f t="shared" si="15"/>
        <v>0</v>
      </c>
      <c r="AD17" s="76">
        <f t="shared" si="7"/>
        <v>0</v>
      </c>
      <c r="AE17" s="76">
        <f t="shared" si="8"/>
        <v>0</v>
      </c>
      <c r="AF17" s="40">
        <f t="shared" si="9"/>
        <v>0</v>
      </c>
      <c r="AG17" s="50"/>
    </row>
    <row r="18" spans="1:35" ht="12" customHeight="1" x14ac:dyDescent="0.2">
      <c r="A18" s="23" t="s">
        <v>28</v>
      </c>
      <c r="B18" s="24" t="s">
        <v>17</v>
      </c>
      <c r="C18" s="57" t="s">
        <v>31</v>
      </c>
      <c r="D18" s="25" t="s">
        <v>30</v>
      </c>
      <c r="E18" s="57" t="s">
        <v>101</v>
      </c>
      <c r="F18" s="236" t="s">
        <v>37</v>
      </c>
      <c r="G18" s="215"/>
      <c r="H18" s="215"/>
      <c r="I18" s="217"/>
      <c r="J18" s="217"/>
      <c r="K18" s="222"/>
      <c r="L18" s="222"/>
      <c r="M18" s="222"/>
      <c r="N18" s="222"/>
      <c r="O18" s="224">
        <f t="shared" si="0"/>
        <v>0</v>
      </c>
      <c r="P18" s="222">
        <f t="shared" si="10"/>
        <v>0</v>
      </c>
      <c r="Q18" s="222">
        <f t="shared" si="11"/>
        <v>0</v>
      </c>
      <c r="R18" s="223">
        <v>0.15</v>
      </c>
      <c r="S18" s="222">
        <f t="shared" si="1"/>
        <v>0</v>
      </c>
      <c r="T18" s="258">
        <v>3.7499999999999999E-2</v>
      </c>
      <c r="U18" s="40">
        <f t="shared" si="2"/>
        <v>0</v>
      </c>
      <c r="V18" s="40">
        <f t="shared" si="12"/>
        <v>0</v>
      </c>
      <c r="W18" s="75">
        <f t="shared" si="13"/>
        <v>0</v>
      </c>
      <c r="X18" s="76">
        <f t="shared" si="3"/>
        <v>0</v>
      </c>
      <c r="Y18" s="76">
        <f t="shared" si="4"/>
        <v>0</v>
      </c>
      <c r="Z18" s="40">
        <f t="shared" si="5"/>
        <v>0</v>
      </c>
      <c r="AA18" s="40" t="str">
        <f t="shared" si="6"/>
        <v/>
      </c>
      <c r="AB18" s="40" t="str">
        <f t="shared" si="14"/>
        <v/>
      </c>
      <c r="AC18" s="75" t="str">
        <f t="shared" si="15"/>
        <v/>
      </c>
      <c r="AD18" s="76" t="str">
        <f t="shared" si="7"/>
        <v/>
      </c>
      <c r="AE18" s="76" t="str">
        <f t="shared" si="8"/>
        <v/>
      </c>
      <c r="AF18" s="40" t="str">
        <f t="shared" si="9"/>
        <v/>
      </c>
      <c r="AG18" s="50"/>
    </row>
    <row r="19" spans="1:35" x14ac:dyDescent="0.2">
      <c r="A19" s="376" t="s">
        <v>28</v>
      </c>
      <c r="B19" s="377" t="s">
        <v>237</v>
      </c>
      <c r="C19" s="57" t="s">
        <v>31</v>
      </c>
      <c r="D19" s="25" t="s">
        <v>30</v>
      </c>
      <c r="E19" s="57" t="s">
        <v>101</v>
      </c>
      <c r="F19" s="236" t="s">
        <v>37</v>
      </c>
      <c r="G19" s="215"/>
      <c r="H19" s="215"/>
      <c r="I19" s="216"/>
      <c r="J19" s="217"/>
      <c r="K19" s="222"/>
      <c r="L19" s="222"/>
      <c r="M19" s="222"/>
      <c r="N19" s="222"/>
      <c r="O19" s="224">
        <f t="shared" si="0"/>
        <v>0</v>
      </c>
      <c r="P19" s="222">
        <f t="shared" si="10"/>
        <v>0</v>
      </c>
      <c r="Q19" s="367">
        <f t="shared" si="11"/>
        <v>0</v>
      </c>
      <c r="R19" s="223">
        <v>0.15</v>
      </c>
      <c r="S19" s="222">
        <f t="shared" si="1"/>
        <v>0</v>
      </c>
      <c r="T19" s="258">
        <v>3.7499999999999999E-2</v>
      </c>
      <c r="U19" s="40">
        <f t="shared" si="2"/>
        <v>0</v>
      </c>
      <c r="V19" s="40">
        <f t="shared" si="12"/>
        <v>0</v>
      </c>
      <c r="W19" s="75">
        <f t="shared" si="13"/>
        <v>0</v>
      </c>
      <c r="X19" s="76">
        <f t="shared" si="3"/>
        <v>0</v>
      </c>
      <c r="Y19" s="76">
        <f t="shared" si="4"/>
        <v>0</v>
      </c>
      <c r="Z19" s="40">
        <f t="shared" si="5"/>
        <v>0</v>
      </c>
      <c r="AA19" s="40" t="str">
        <f t="shared" si="6"/>
        <v/>
      </c>
      <c r="AB19" s="40" t="str">
        <f t="shared" si="14"/>
        <v/>
      </c>
      <c r="AC19" s="75" t="str">
        <f t="shared" si="15"/>
        <v/>
      </c>
      <c r="AD19" s="76" t="str">
        <f t="shared" si="7"/>
        <v/>
      </c>
      <c r="AE19" s="76" t="str">
        <f t="shared" si="8"/>
        <v/>
      </c>
      <c r="AF19" s="40" t="str">
        <f t="shared" si="9"/>
        <v/>
      </c>
      <c r="AG19" s="50"/>
    </row>
    <row r="20" spans="1:35" x14ac:dyDescent="0.2">
      <c r="A20" s="376" t="s">
        <v>28</v>
      </c>
      <c r="B20" s="377" t="s">
        <v>239</v>
      </c>
      <c r="C20" s="57" t="s">
        <v>31</v>
      </c>
      <c r="D20" s="25" t="s">
        <v>30</v>
      </c>
      <c r="E20" s="57" t="s">
        <v>101</v>
      </c>
      <c r="F20" s="236" t="s">
        <v>56</v>
      </c>
      <c r="G20" s="215"/>
      <c r="H20" s="215"/>
      <c r="I20" s="216"/>
      <c r="J20" s="217"/>
      <c r="K20" s="222"/>
      <c r="L20" s="222"/>
      <c r="M20" s="222"/>
      <c r="N20" s="883"/>
      <c r="O20" s="224">
        <f t="shared" si="0"/>
        <v>0</v>
      </c>
      <c r="P20" s="222">
        <f t="shared" si="10"/>
        <v>0</v>
      </c>
      <c r="Q20" s="222">
        <f t="shared" si="11"/>
        <v>0</v>
      </c>
      <c r="R20" s="223">
        <v>0.15</v>
      </c>
      <c r="S20" s="222">
        <f t="shared" si="1"/>
        <v>0</v>
      </c>
      <c r="T20" s="258">
        <v>3.7499999999999999E-2</v>
      </c>
      <c r="U20" s="40" t="str">
        <f t="shared" si="2"/>
        <v/>
      </c>
      <c r="V20" s="40" t="str">
        <f t="shared" si="12"/>
        <v/>
      </c>
      <c r="W20" s="75" t="str">
        <f t="shared" si="13"/>
        <v/>
      </c>
      <c r="X20" s="76" t="str">
        <f t="shared" si="3"/>
        <v/>
      </c>
      <c r="Y20" s="76" t="str">
        <f t="shared" si="4"/>
        <v/>
      </c>
      <c r="Z20" s="40" t="str">
        <f t="shared" si="5"/>
        <v/>
      </c>
      <c r="AA20" s="40">
        <f t="shared" si="6"/>
        <v>0</v>
      </c>
      <c r="AB20" s="40">
        <f t="shared" si="14"/>
        <v>0</v>
      </c>
      <c r="AC20" s="75">
        <f t="shared" si="15"/>
        <v>0</v>
      </c>
      <c r="AD20" s="76">
        <f t="shared" si="7"/>
        <v>0</v>
      </c>
      <c r="AE20" s="76">
        <f t="shared" si="8"/>
        <v>0</v>
      </c>
      <c r="AF20" s="40">
        <f t="shared" si="9"/>
        <v>0</v>
      </c>
      <c r="AG20" s="50"/>
    </row>
    <row r="21" spans="1:35" x14ac:dyDescent="0.2">
      <c r="A21" s="376" t="s">
        <v>28</v>
      </c>
      <c r="B21" s="377" t="s">
        <v>238</v>
      </c>
      <c r="C21" s="57" t="s">
        <v>31</v>
      </c>
      <c r="D21" s="25" t="s">
        <v>30</v>
      </c>
      <c r="E21" s="57" t="s">
        <v>101</v>
      </c>
      <c r="F21" s="236" t="s">
        <v>37</v>
      </c>
      <c r="G21" s="215"/>
      <c r="H21" s="215"/>
      <c r="I21" s="216"/>
      <c r="J21" s="217"/>
      <c r="K21" s="222"/>
      <c r="L21" s="222"/>
      <c r="M21" s="222"/>
      <c r="N21" s="222"/>
      <c r="O21" s="224">
        <f t="shared" si="0"/>
        <v>0</v>
      </c>
      <c r="P21" s="222">
        <f t="shared" si="10"/>
        <v>0</v>
      </c>
      <c r="Q21" s="222">
        <f t="shared" si="11"/>
        <v>0</v>
      </c>
      <c r="R21" s="223">
        <v>0.15</v>
      </c>
      <c r="S21" s="222">
        <f t="shared" si="1"/>
        <v>0</v>
      </c>
      <c r="T21" s="258">
        <v>3.7499999999999999E-2</v>
      </c>
      <c r="U21" s="40">
        <f t="shared" si="2"/>
        <v>0</v>
      </c>
      <c r="V21" s="40">
        <f t="shared" si="12"/>
        <v>0</v>
      </c>
      <c r="W21" s="75">
        <f t="shared" si="13"/>
        <v>0</v>
      </c>
      <c r="X21" s="76">
        <f t="shared" si="3"/>
        <v>0</v>
      </c>
      <c r="Y21" s="76">
        <f t="shared" si="4"/>
        <v>0</v>
      </c>
      <c r="Z21" s="40">
        <f t="shared" si="5"/>
        <v>0</v>
      </c>
      <c r="AA21" s="40" t="str">
        <f t="shared" si="6"/>
        <v/>
      </c>
      <c r="AB21" s="40" t="str">
        <f t="shared" si="14"/>
        <v/>
      </c>
      <c r="AC21" s="75" t="str">
        <f t="shared" si="15"/>
        <v/>
      </c>
      <c r="AD21" s="76" t="str">
        <f t="shared" si="7"/>
        <v/>
      </c>
      <c r="AE21" s="76" t="str">
        <f t="shared" si="8"/>
        <v/>
      </c>
      <c r="AF21" s="40" t="str">
        <f t="shared" si="9"/>
        <v/>
      </c>
      <c r="AG21" s="50"/>
    </row>
    <row r="22" spans="1:35" x14ac:dyDescent="0.2">
      <c r="A22" s="23" t="s">
        <v>28</v>
      </c>
      <c r="B22" s="24" t="s">
        <v>18</v>
      </c>
      <c r="C22" s="57" t="s">
        <v>31</v>
      </c>
      <c r="D22" s="25" t="s">
        <v>30</v>
      </c>
      <c r="E22" s="57" t="s">
        <v>101</v>
      </c>
      <c r="F22" s="236" t="s">
        <v>37</v>
      </c>
      <c r="G22" s="215"/>
      <c r="H22" s="215"/>
      <c r="I22" s="217"/>
      <c r="J22" s="217"/>
      <c r="K22" s="222"/>
      <c r="L22" s="222"/>
      <c r="M22" s="222"/>
      <c r="N22" s="222"/>
      <c r="O22" s="224">
        <f t="shared" si="0"/>
        <v>0</v>
      </c>
      <c r="P22" s="222">
        <f t="shared" si="10"/>
        <v>0</v>
      </c>
      <c r="Q22" s="222">
        <f t="shared" si="11"/>
        <v>0</v>
      </c>
      <c r="R22" s="223">
        <v>0.15</v>
      </c>
      <c r="S22" s="222">
        <f t="shared" si="1"/>
        <v>0</v>
      </c>
      <c r="T22" s="258">
        <v>3.7499999999999999E-2</v>
      </c>
      <c r="U22" s="40">
        <f t="shared" si="2"/>
        <v>0</v>
      </c>
      <c r="V22" s="40">
        <f t="shared" si="12"/>
        <v>0</v>
      </c>
      <c r="W22" s="75">
        <f t="shared" si="13"/>
        <v>0</v>
      </c>
      <c r="X22" s="76">
        <f t="shared" si="3"/>
        <v>0</v>
      </c>
      <c r="Y22" s="76">
        <f t="shared" si="4"/>
        <v>0</v>
      </c>
      <c r="Z22" s="40">
        <f t="shared" si="5"/>
        <v>0</v>
      </c>
      <c r="AA22" s="40" t="str">
        <f t="shared" si="6"/>
        <v/>
      </c>
      <c r="AB22" s="40" t="str">
        <f t="shared" si="14"/>
        <v/>
      </c>
      <c r="AC22" s="75" t="str">
        <f t="shared" si="15"/>
        <v/>
      </c>
      <c r="AD22" s="76" t="str">
        <f t="shared" si="7"/>
        <v/>
      </c>
      <c r="AE22" s="76" t="str">
        <f t="shared" si="8"/>
        <v/>
      </c>
      <c r="AF22" s="40" t="str">
        <f t="shared" si="9"/>
        <v/>
      </c>
      <c r="AG22" s="50"/>
    </row>
    <row r="23" spans="1:35" x14ac:dyDescent="0.2">
      <c r="A23" s="23" t="s">
        <v>28</v>
      </c>
      <c r="B23" s="24" t="s">
        <v>20</v>
      </c>
      <c r="C23" s="57" t="s">
        <v>31</v>
      </c>
      <c r="D23" s="25" t="s">
        <v>30</v>
      </c>
      <c r="E23" s="57" t="s">
        <v>101</v>
      </c>
      <c r="F23" s="236" t="s">
        <v>37</v>
      </c>
      <c r="G23" s="215"/>
      <c r="H23" s="215"/>
      <c r="I23" s="371"/>
      <c r="J23" s="217"/>
      <c r="K23" s="222"/>
      <c r="L23" s="222"/>
      <c r="M23" s="222"/>
      <c r="N23" s="222"/>
      <c r="O23" s="224">
        <f t="shared" si="0"/>
        <v>0</v>
      </c>
      <c r="P23" s="222">
        <f t="shared" si="10"/>
        <v>0</v>
      </c>
      <c r="Q23" s="222">
        <f t="shared" si="11"/>
        <v>0</v>
      </c>
      <c r="R23" s="223">
        <v>0.15</v>
      </c>
      <c r="S23" s="222">
        <f t="shared" si="1"/>
        <v>0</v>
      </c>
      <c r="T23" s="258">
        <v>3.7499999999999999E-2</v>
      </c>
      <c r="U23" s="40">
        <f t="shared" si="2"/>
        <v>0</v>
      </c>
      <c r="V23" s="40">
        <f t="shared" si="12"/>
        <v>0</v>
      </c>
      <c r="W23" s="75">
        <f t="shared" si="13"/>
        <v>0</v>
      </c>
      <c r="X23" s="76">
        <f t="shared" si="3"/>
        <v>0</v>
      </c>
      <c r="Y23" s="76">
        <f t="shared" si="4"/>
        <v>0</v>
      </c>
      <c r="Z23" s="40">
        <f t="shared" si="5"/>
        <v>0</v>
      </c>
      <c r="AA23" s="40" t="str">
        <f t="shared" si="6"/>
        <v/>
      </c>
      <c r="AB23" s="40" t="str">
        <f t="shared" si="14"/>
        <v/>
      </c>
      <c r="AC23" s="75" t="str">
        <f t="shared" si="15"/>
        <v/>
      </c>
      <c r="AD23" s="76" t="str">
        <f t="shared" si="7"/>
        <v/>
      </c>
      <c r="AE23" s="76" t="str">
        <f t="shared" si="8"/>
        <v/>
      </c>
      <c r="AF23" s="40" t="str">
        <f t="shared" si="9"/>
        <v/>
      </c>
      <c r="AG23" s="50"/>
    </row>
    <row r="24" spans="1:35" x14ac:dyDescent="0.2">
      <c r="A24" s="23" t="s">
        <v>28</v>
      </c>
      <c r="B24" s="24" t="s">
        <v>372</v>
      </c>
      <c r="C24" s="57" t="s">
        <v>31</v>
      </c>
      <c r="D24" s="25" t="s">
        <v>30</v>
      </c>
      <c r="E24" s="57" t="s">
        <v>101</v>
      </c>
      <c r="F24" s="236" t="s">
        <v>56</v>
      </c>
      <c r="G24" s="215"/>
      <c r="H24" s="215"/>
      <c r="I24" s="217"/>
      <c r="J24" s="217"/>
      <c r="K24" s="222"/>
      <c r="L24" s="222"/>
      <c r="M24" s="222"/>
      <c r="N24" s="222"/>
      <c r="O24" s="224">
        <f t="shared" si="0"/>
        <v>0</v>
      </c>
      <c r="P24" s="222">
        <f t="shared" si="10"/>
        <v>0</v>
      </c>
      <c r="Q24" s="222">
        <f t="shared" si="11"/>
        <v>0</v>
      </c>
      <c r="R24" s="223">
        <v>0.15</v>
      </c>
      <c r="S24" s="222">
        <f t="shared" si="1"/>
        <v>0</v>
      </c>
      <c r="T24" s="258">
        <v>3.7499999999999999E-2</v>
      </c>
      <c r="U24" s="40" t="str">
        <f t="shared" si="2"/>
        <v/>
      </c>
      <c r="V24" s="40" t="str">
        <f t="shared" si="12"/>
        <v/>
      </c>
      <c r="W24" s="75" t="str">
        <f t="shared" si="13"/>
        <v/>
      </c>
      <c r="X24" s="76" t="str">
        <f t="shared" si="3"/>
        <v/>
      </c>
      <c r="Y24" s="76" t="str">
        <f t="shared" si="4"/>
        <v/>
      </c>
      <c r="Z24" s="40" t="str">
        <f t="shared" si="5"/>
        <v/>
      </c>
      <c r="AA24" s="40">
        <f t="shared" si="6"/>
        <v>0</v>
      </c>
      <c r="AB24" s="40">
        <f t="shared" si="14"/>
        <v>0</v>
      </c>
      <c r="AC24" s="75">
        <f t="shared" si="15"/>
        <v>0</v>
      </c>
      <c r="AD24" s="76">
        <f t="shared" si="7"/>
        <v>0</v>
      </c>
      <c r="AE24" s="76">
        <f t="shared" si="8"/>
        <v>0</v>
      </c>
      <c r="AF24" s="40">
        <f t="shared" si="9"/>
        <v>0</v>
      </c>
      <c r="AG24" s="50"/>
    </row>
    <row r="25" spans="1:35" x14ac:dyDescent="0.2">
      <c r="A25" s="23" t="s">
        <v>28</v>
      </c>
      <c r="B25" s="24" t="s">
        <v>9</v>
      </c>
      <c r="C25" s="57" t="s">
        <v>31</v>
      </c>
      <c r="D25" s="25" t="s">
        <v>30</v>
      </c>
      <c r="E25" s="57" t="s">
        <v>101</v>
      </c>
      <c r="F25" s="236" t="s">
        <v>37</v>
      </c>
      <c r="G25" s="215"/>
      <c r="H25" s="215"/>
      <c r="I25" s="217"/>
      <c r="J25" s="217"/>
      <c r="K25" s="222"/>
      <c r="L25" s="222"/>
      <c r="M25" s="222"/>
      <c r="N25" s="222"/>
      <c r="O25" s="224">
        <f t="shared" si="0"/>
        <v>0</v>
      </c>
      <c r="P25" s="222">
        <f t="shared" si="10"/>
        <v>0</v>
      </c>
      <c r="Q25" s="222">
        <f t="shared" si="11"/>
        <v>0</v>
      </c>
      <c r="R25" s="223">
        <v>0.15</v>
      </c>
      <c r="S25" s="222">
        <f t="shared" si="1"/>
        <v>0</v>
      </c>
      <c r="T25" s="258">
        <v>3.7499999999999999E-2</v>
      </c>
      <c r="U25" s="40">
        <f t="shared" si="2"/>
        <v>0</v>
      </c>
      <c r="V25" s="40">
        <f t="shared" si="12"/>
        <v>0</v>
      </c>
      <c r="W25" s="75">
        <f t="shared" si="13"/>
        <v>0</v>
      </c>
      <c r="X25" s="76">
        <f t="shared" si="3"/>
        <v>0</v>
      </c>
      <c r="Y25" s="76">
        <f t="shared" si="4"/>
        <v>0</v>
      </c>
      <c r="Z25" s="40">
        <f t="shared" si="5"/>
        <v>0</v>
      </c>
      <c r="AA25" s="40" t="str">
        <f t="shared" si="6"/>
        <v/>
      </c>
      <c r="AB25" s="40" t="str">
        <f t="shared" si="14"/>
        <v/>
      </c>
      <c r="AC25" s="75" t="str">
        <f t="shared" si="15"/>
        <v/>
      </c>
      <c r="AD25" s="76" t="str">
        <f t="shared" si="7"/>
        <v/>
      </c>
      <c r="AE25" s="76" t="str">
        <f t="shared" si="8"/>
        <v/>
      </c>
      <c r="AF25" s="40" t="str">
        <f t="shared" si="9"/>
        <v/>
      </c>
      <c r="AG25" s="50"/>
    </row>
    <row r="26" spans="1:35" ht="13.35" customHeight="1" x14ac:dyDescent="0.2">
      <c r="A26" s="23" t="s">
        <v>28</v>
      </c>
      <c r="B26" s="24" t="s">
        <v>165</v>
      </c>
      <c r="C26" s="57" t="s">
        <v>31</v>
      </c>
      <c r="D26" s="25" t="s">
        <v>30</v>
      </c>
      <c r="E26" s="57" t="s">
        <v>101</v>
      </c>
      <c r="F26" s="236" t="s">
        <v>37</v>
      </c>
      <c r="G26" s="215"/>
      <c r="H26" s="215"/>
      <c r="I26" s="217"/>
      <c r="J26" s="217"/>
      <c r="K26" s="222"/>
      <c r="L26" s="222"/>
      <c r="M26" s="222"/>
      <c r="N26" s="222"/>
      <c r="O26" s="224">
        <f>ROUND(G26*I26,2)+ROUND(H26*J26,2)-K26-L26-M26-N26</f>
        <v>0</v>
      </c>
      <c r="P26" s="222">
        <f t="shared" ref="P26:P32" si="16">ROUND(18.75%*O26,2)</f>
        <v>0</v>
      </c>
      <c r="Q26" s="222">
        <f t="shared" ref="Q26:Q32" si="17">ROUND($O26*R26,2)</f>
        <v>0</v>
      </c>
      <c r="R26" s="223">
        <v>0.15</v>
      </c>
      <c r="S26" s="222">
        <f t="shared" si="1"/>
        <v>0</v>
      </c>
      <c r="T26" s="258">
        <v>3.7499999999999999E-2</v>
      </c>
      <c r="U26" s="40">
        <f>IF($F26&amp;"/Día"=W$9,SUM($G26:$H26),"")</f>
        <v>0</v>
      </c>
      <c r="V26" s="40">
        <f t="shared" si="12"/>
        <v>0</v>
      </c>
      <c r="W26" s="75">
        <f>IF($F26&amp;"/Día"=W$9,ROUND(U26/$W$1,1),"")</f>
        <v>0</v>
      </c>
      <c r="X26" s="76">
        <f>IF(U26=0,0,IF($F26&amp;"/Día"=W$9,ROUND(V26/U26,4),""))</f>
        <v>0</v>
      </c>
      <c r="Y26" s="76">
        <f>IF(U26=0,0,IF($F26&amp;"/Día"=W$9,ROUND(Z26/U26,4),""))</f>
        <v>0</v>
      </c>
      <c r="Z26" s="40">
        <f>IF(U26&lt;&gt;"",$P26,"")</f>
        <v>0</v>
      </c>
      <c r="AA26" s="40" t="str">
        <f>IF($F26&amp;"/Día"=AC$9,SUM($G26:$H26),"")</f>
        <v/>
      </c>
      <c r="AB26" s="40" t="str">
        <f t="shared" si="14"/>
        <v/>
      </c>
      <c r="AC26" s="75" t="str">
        <f>IF($F26&amp;"/Día"=AC$9,ROUND(AA26/$W$1,1),"")</f>
        <v/>
      </c>
      <c r="AD26" s="76" t="str">
        <f>IF(AA26=0,0,IF($F26&amp;"/Día"=AC$9,ROUND(AB26/AA26,4),""))</f>
        <v/>
      </c>
      <c r="AE26" s="76" t="str">
        <f>IF(AA26=0,0,IF($F26&amp;"/Día"=AC$9,ROUND(AF26/AA26,4),""))</f>
        <v/>
      </c>
      <c r="AF26" s="40" t="str">
        <f>IF(AA26&lt;&gt;"",$P26,"")</f>
        <v/>
      </c>
      <c r="AG26" s="50"/>
    </row>
    <row r="27" spans="1:35" x14ac:dyDescent="0.2">
      <c r="A27" s="23" t="s">
        <v>28</v>
      </c>
      <c r="B27" s="24" t="s">
        <v>157</v>
      </c>
      <c r="C27" s="57" t="s">
        <v>31</v>
      </c>
      <c r="D27" s="25" t="s">
        <v>30</v>
      </c>
      <c r="E27" s="57" t="s">
        <v>101</v>
      </c>
      <c r="F27" s="236" t="s">
        <v>56</v>
      </c>
      <c r="G27" s="386"/>
      <c r="H27" s="386"/>
      <c r="I27" s="216"/>
      <c r="J27" s="216"/>
      <c r="K27" s="222"/>
      <c r="L27" s="222"/>
      <c r="M27" s="222"/>
      <c r="N27" s="222"/>
      <c r="O27" s="222">
        <f>O290</f>
        <v>0</v>
      </c>
      <c r="P27" s="222">
        <f>P290</f>
        <v>0</v>
      </c>
      <c r="Q27" s="222">
        <f>Q290</f>
        <v>0</v>
      </c>
      <c r="R27" s="223">
        <v>0.15</v>
      </c>
      <c r="S27" s="222">
        <f>S290</f>
        <v>0</v>
      </c>
      <c r="T27" s="258">
        <v>3.7499999999999999E-2</v>
      </c>
      <c r="U27" s="40" t="str">
        <f t="shared" si="2"/>
        <v/>
      </c>
      <c r="V27" s="40" t="str">
        <f t="shared" si="12"/>
        <v/>
      </c>
      <c r="W27" s="75" t="str">
        <f t="shared" si="13"/>
        <v/>
      </c>
      <c r="X27" s="76" t="str">
        <f t="shared" si="3"/>
        <v/>
      </c>
      <c r="Y27" s="76" t="str">
        <f t="shared" si="4"/>
        <v/>
      </c>
      <c r="Z27" s="40" t="str">
        <f t="shared" si="5"/>
        <v/>
      </c>
      <c r="AA27" s="40">
        <f t="shared" si="6"/>
        <v>0</v>
      </c>
      <c r="AB27" s="40">
        <f t="shared" si="14"/>
        <v>0</v>
      </c>
      <c r="AC27" s="75">
        <f t="shared" si="15"/>
        <v>0</v>
      </c>
      <c r="AD27" s="76">
        <f t="shared" si="7"/>
        <v>0</v>
      </c>
      <c r="AE27" s="76">
        <f t="shared" si="8"/>
        <v>0</v>
      </c>
      <c r="AF27" s="40">
        <f t="shared" si="9"/>
        <v>0</v>
      </c>
      <c r="AG27" s="50"/>
    </row>
    <row r="28" spans="1:35" x14ac:dyDescent="0.2">
      <c r="A28" s="23" t="s">
        <v>28</v>
      </c>
      <c r="B28" s="24" t="s">
        <v>170</v>
      </c>
      <c r="C28" s="57" t="s">
        <v>31</v>
      </c>
      <c r="D28" s="25" t="s">
        <v>30</v>
      </c>
      <c r="E28" s="57" t="s">
        <v>101</v>
      </c>
      <c r="F28" s="236" t="s">
        <v>37</v>
      </c>
      <c r="G28" s="215"/>
      <c r="H28" s="215"/>
      <c r="I28" s="217"/>
      <c r="J28" s="217"/>
      <c r="K28" s="222"/>
      <c r="L28" s="222"/>
      <c r="M28" s="222"/>
      <c r="N28" s="222"/>
      <c r="O28" s="224">
        <f>ROUND(G28*I28,2)+ROUND(H28*J28,2)-K28-L28-M28-N28</f>
        <v>0</v>
      </c>
      <c r="P28" s="222">
        <f t="shared" si="16"/>
        <v>0</v>
      </c>
      <c r="Q28" s="222">
        <f t="shared" si="17"/>
        <v>0</v>
      </c>
      <c r="R28" s="258">
        <v>3.7499999999999999E-2</v>
      </c>
      <c r="S28" s="222">
        <f t="shared" si="1"/>
        <v>0</v>
      </c>
      <c r="T28" s="223">
        <v>0.15</v>
      </c>
      <c r="U28" s="40">
        <f>IF($F28&amp;"/Día"=W$9,SUM($G28:$H28),"")</f>
        <v>0</v>
      </c>
      <c r="V28" s="40">
        <f t="shared" si="12"/>
        <v>0</v>
      </c>
      <c r="W28" s="75">
        <f>IF($F28&amp;"/Día"=W$9,ROUND(U28/$W$1,1),"")</f>
        <v>0</v>
      </c>
      <c r="X28" s="76">
        <f>IF(U28=0,0,IF($F28&amp;"/Día"=W$9,ROUND(V28/U28,4),""))</f>
        <v>0</v>
      </c>
      <c r="Y28" s="76">
        <f>IF(U28=0,0,IF($F28&amp;"/Día"=W$9,ROUND(Z28/U28,4),""))</f>
        <v>0</v>
      </c>
      <c r="Z28" s="40">
        <f>IF(U28&lt;&gt;"",$P28,"")</f>
        <v>0</v>
      </c>
      <c r="AA28" s="40" t="str">
        <f>IF($F28&amp;"/Día"=AC$9,SUM($G28:$H28),"")</f>
        <v/>
      </c>
      <c r="AB28" s="40" t="str">
        <f t="shared" si="14"/>
        <v/>
      </c>
      <c r="AC28" s="75" t="str">
        <f>IF($F28&amp;"/Día"=AC$9,ROUND(AA28/$W$1,1),"")</f>
        <v/>
      </c>
      <c r="AD28" s="76" t="str">
        <f>IF(AA28=0,0,IF($F28&amp;"/Día"=AC$9,ROUND(AB28/AA28,4),""))</f>
        <v/>
      </c>
      <c r="AE28" s="76" t="str">
        <f>IF(AA28=0,0,IF($F28&amp;"/Día"=AC$9,ROUND(AF28/AA28,4),""))</f>
        <v/>
      </c>
      <c r="AF28" s="40" t="str">
        <f>IF(AA28&lt;&gt;"",$P28,"")</f>
        <v/>
      </c>
      <c r="AG28" s="50"/>
    </row>
    <row r="29" spans="1:35" x14ac:dyDescent="0.2">
      <c r="A29" s="23" t="s">
        <v>28</v>
      </c>
      <c r="B29" s="24" t="s">
        <v>368</v>
      </c>
      <c r="C29" s="57" t="s">
        <v>31</v>
      </c>
      <c r="D29" s="25" t="s">
        <v>30</v>
      </c>
      <c r="E29" s="57" t="s">
        <v>101</v>
      </c>
      <c r="F29" s="236" t="s">
        <v>37</v>
      </c>
      <c r="G29" s="215"/>
      <c r="H29" s="215"/>
      <c r="I29" s="217"/>
      <c r="J29" s="217"/>
      <c r="K29" s="222"/>
      <c r="L29" s="222"/>
      <c r="M29" s="222"/>
      <c r="N29" s="222"/>
      <c r="O29" s="224">
        <f>ROUND(G29*I29,2)+ROUND(H29*J29,2)-K29-L29-M29-N29</f>
        <v>0</v>
      </c>
      <c r="P29" s="222">
        <f t="shared" si="16"/>
        <v>0</v>
      </c>
      <c r="Q29" s="222">
        <f t="shared" si="17"/>
        <v>0</v>
      </c>
      <c r="R29" s="258">
        <v>3.7499999999999999E-2</v>
      </c>
      <c r="S29" s="222">
        <f t="shared" si="1"/>
        <v>0</v>
      </c>
      <c r="T29" s="223">
        <v>0.15</v>
      </c>
      <c r="U29" s="40"/>
      <c r="V29" s="40"/>
      <c r="W29" s="75"/>
      <c r="X29" s="76"/>
      <c r="Y29" s="76"/>
      <c r="Z29" s="40"/>
      <c r="AA29" s="40"/>
      <c r="AB29" s="40"/>
      <c r="AC29" s="75"/>
      <c r="AD29" s="76"/>
      <c r="AE29" s="76"/>
      <c r="AF29" s="40"/>
      <c r="AG29" s="50"/>
      <c r="AI29" s="257"/>
    </row>
    <row r="30" spans="1:35" x14ac:dyDescent="0.2">
      <c r="A30" s="26" t="s">
        <v>28</v>
      </c>
      <c r="B30" s="29" t="s">
        <v>302</v>
      </c>
      <c r="C30" s="57" t="s">
        <v>31</v>
      </c>
      <c r="D30" s="25" t="s">
        <v>30</v>
      </c>
      <c r="E30" s="57" t="s">
        <v>101</v>
      </c>
      <c r="F30" s="236" t="s">
        <v>37</v>
      </c>
      <c r="G30" s="386"/>
      <c r="H30" s="386"/>
      <c r="I30" s="217"/>
      <c r="J30" s="217"/>
      <c r="K30" s="215"/>
      <c r="L30" s="222"/>
      <c r="M30" s="222"/>
      <c r="N30" s="222"/>
      <c r="O30" s="224">
        <f>ROUND(G30*I30,2)+ROUND(H30*J30,2)-K30-L30-M30-N30</f>
        <v>0</v>
      </c>
      <c r="P30" s="222">
        <f t="shared" si="16"/>
        <v>0</v>
      </c>
      <c r="Q30" s="222">
        <f t="shared" si="17"/>
        <v>0</v>
      </c>
      <c r="R30" s="248">
        <v>0.15</v>
      </c>
      <c r="S30" s="222">
        <f t="shared" si="1"/>
        <v>0</v>
      </c>
      <c r="T30" s="258">
        <v>3.7499999999999999E-2</v>
      </c>
      <c r="U30" s="40"/>
      <c r="V30" s="40"/>
      <c r="W30" s="75"/>
      <c r="X30" s="76"/>
      <c r="Y30" s="76"/>
      <c r="Z30" s="40"/>
      <c r="AA30" s="40"/>
      <c r="AB30" s="40"/>
      <c r="AC30" s="75"/>
      <c r="AD30" s="76"/>
      <c r="AE30" s="76"/>
      <c r="AF30" s="40"/>
      <c r="AG30" s="50"/>
    </row>
    <row r="31" spans="1:35" x14ac:dyDescent="0.2">
      <c r="A31" s="26" t="s">
        <v>28</v>
      </c>
      <c r="B31" s="29" t="s">
        <v>303</v>
      </c>
      <c r="C31" s="57" t="s">
        <v>31</v>
      </c>
      <c r="D31" s="25" t="s">
        <v>30</v>
      </c>
      <c r="E31" s="57" t="s">
        <v>101</v>
      </c>
      <c r="F31" s="236" t="s">
        <v>56</v>
      </c>
      <c r="G31" s="386"/>
      <c r="H31" s="386"/>
      <c r="I31" s="216"/>
      <c r="J31" s="216"/>
      <c r="K31" s="215"/>
      <c r="L31" s="222"/>
      <c r="M31" s="222"/>
      <c r="N31" s="222"/>
      <c r="O31" s="224">
        <f>O324</f>
        <v>0</v>
      </c>
      <c r="P31" s="224">
        <f>P324</f>
        <v>0</v>
      </c>
      <c r="Q31" s="224">
        <f>Q324</f>
        <v>0</v>
      </c>
      <c r="R31" s="248">
        <v>0.15</v>
      </c>
      <c r="S31" s="222">
        <f>S324</f>
        <v>0</v>
      </c>
      <c r="T31" s="258">
        <v>3.7499999999999999E-2</v>
      </c>
      <c r="U31" s="40"/>
      <c r="V31" s="40"/>
      <c r="W31" s="75"/>
      <c r="X31" s="76"/>
      <c r="Y31" s="76"/>
      <c r="Z31" s="40"/>
      <c r="AA31" s="40"/>
      <c r="AB31" s="40"/>
      <c r="AC31" s="75"/>
      <c r="AD31" s="76"/>
      <c r="AE31" s="76"/>
      <c r="AF31" s="40"/>
      <c r="AG31" s="50"/>
    </row>
    <row r="32" spans="1:35" x14ac:dyDescent="0.2">
      <c r="A32" s="26" t="s">
        <v>28</v>
      </c>
      <c r="B32" s="29" t="s">
        <v>304</v>
      </c>
      <c r="C32" s="57" t="s">
        <v>31</v>
      </c>
      <c r="D32" s="25" t="s">
        <v>30</v>
      </c>
      <c r="E32" s="57" t="s">
        <v>101</v>
      </c>
      <c r="F32" s="236" t="s">
        <v>37</v>
      </c>
      <c r="G32" s="386"/>
      <c r="H32" s="386"/>
      <c r="I32" s="217"/>
      <c r="J32" s="217"/>
      <c r="K32" s="215"/>
      <c r="L32" s="222"/>
      <c r="M32" s="222"/>
      <c r="N32" s="1062"/>
      <c r="O32" s="648">
        <f>ROUND(G32*I32,2)+ROUND(H32*J32,2)-K32-L32-M32-N32</f>
        <v>0</v>
      </c>
      <c r="P32" s="222">
        <f t="shared" si="16"/>
        <v>0</v>
      </c>
      <c r="Q32" s="222">
        <f t="shared" si="17"/>
        <v>0</v>
      </c>
      <c r="R32" s="248">
        <v>0.15</v>
      </c>
      <c r="S32" s="222">
        <f t="shared" si="1"/>
        <v>0</v>
      </c>
      <c r="T32" s="258">
        <v>3.7499999999999999E-2</v>
      </c>
      <c r="U32" s="40"/>
      <c r="V32" s="40"/>
      <c r="W32" s="75"/>
      <c r="X32" s="76"/>
      <c r="Y32" s="76"/>
      <c r="Z32" s="40"/>
      <c r="AA32" s="40"/>
      <c r="AB32" s="40"/>
      <c r="AC32" s="75"/>
      <c r="AD32" s="76"/>
      <c r="AE32" s="76"/>
      <c r="AF32" s="40"/>
      <c r="AG32" s="50"/>
    </row>
    <row r="33" spans="1:35" x14ac:dyDescent="0.2">
      <c r="A33" s="26" t="s">
        <v>28</v>
      </c>
      <c r="B33" s="29" t="s">
        <v>52</v>
      </c>
      <c r="C33" s="56"/>
      <c r="D33" s="56"/>
      <c r="E33" s="27"/>
      <c r="F33" s="236"/>
      <c r="G33" s="222"/>
      <c r="H33" s="222"/>
      <c r="I33" s="216"/>
      <c r="J33" s="216"/>
      <c r="K33" s="222"/>
      <c r="L33" s="222"/>
      <c r="M33" s="577"/>
      <c r="N33" s="222"/>
      <c r="O33" s="224"/>
      <c r="P33" s="224"/>
      <c r="Q33" s="224"/>
      <c r="R33" s="224"/>
      <c r="S33" s="224"/>
      <c r="T33" s="223"/>
      <c r="U33" s="40" t="str">
        <f>IF($F33&amp;"/Día"=W$9,SUM($G33:$H33),"")</f>
        <v/>
      </c>
      <c r="V33" s="40" t="str">
        <f t="shared" si="12"/>
        <v/>
      </c>
      <c r="W33" s="75" t="str">
        <f>IF($F33&amp;"/Día"=W$9,ROUND(U33/$W$1,1),"")</f>
        <v/>
      </c>
      <c r="X33" s="76" t="str">
        <f>IF(U33=0,0,IF($F33&amp;"/Día"=W$9,ROUND(V33/U33,4),""))</f>
        <v/>
      </c>
      <c r="Y33" s="76" t="str">
        <f>IF(U33=0,0,IF($F33&amp;"/Día"=W$9,ROUND(Z33/U33,4),""))</f>
        <v/>
      </c>
      <c r="Z33" s="40" t="str">
        <f>IF(U33&lt;&gt;"",$P33,"")</f>
        <v/>
      </c>
      <c r="AA33" s="40" t="str">
        <f>IF($F33&amp;"/Día"=AC$9,SUM($G33:$H33),"")</f>
        <v/>
      </c>
      <c r="AB33" s="40" t="str">
        <f t="shared" si="14"/>
        <v/>
      </c>
      <c r="AC33" s="75" t="str">
        <f>IF($F33&amp;"/Día"=AC$9,ROUND(AA33/$W$1,1),"")</f>
        <v/>
      </c>
      <c r="AD33" s="76" t="str">
        <f>IF(AA33=0,0,IF($F33&amp;"/Día"=AC$9,ROUND(AB33/AA33,4),""))</f>
        <v/>
      </c>
      <c r="AE33" s="76" t="str">
        <f>IF(AA33=0,0,IF($F33&amp;"/Día"=AC$9,ROUND(AF33/AA33,4),""))</f>
        <v/>
      </c>
      <c r="AF33" s="40" t="str">
        <f>IF(AA33&lt;&gt;"",$P33,"")</f>
        <v/>
      </c>
      <c r="AG33" s="50"/>
      <c r="AI33" s="179"/>
    </row>
    <row r="34" spans="1:35" x14ac:dyDescent="0.2">
      <c r="A34" s="30"/>
      <c r="B34" s="153" t="s">
        <v>108</v>
      </c>
      <c r="C34" s="31" t="str">
        <f>TEXT(A$9,)&amp;" US$"</f>
        <v>Piura / Tumbes US$</v>
      </c>
      <c r="D34" s="38"/>
      <c r="E34" s="39"/>
      <c r="F34" s="244"/>
      <c r="G34" s="218"/>
      <c r="H34" s="218"/>
      <c r="I34" s="219"/>
      <c r="J34" s="219"/>
      <c r="K34" s="218"/>
      <c r="L34" s="218"/>
      <c r="M34" s="218"/>
      <c r="N34" s="227"/>
      <c r="O34" s="227">
        <f>SUM(O10:O33)</f>
        <v>0</v>
      </c>
      <c r="P34" s="227">
        <f>SUM(P10:P33)</f>
        <v>0</v>
      </c>
      <c r="Q34" s="227">
        <f>SUM(Q10:Q33)</f>
        <v>0</v>
      </c>
      <c r="R34" s="229"/>
      <c r="S34" s="227">
        <f>SUM(S10:S33)</f>
        <v>0</v>
      </c>
      <c r="T34" s="511">
        <v>0</v>
      </c>
      <c r="U34" s="77">
        <f>SUM(U10:U33)</f>
        <v>0</v>
      </c>
      <c r="V34" s="77">
        <f>SUM(V10:V33)</f>
        <v>0</v>
      </c>
      <c r="W34" s="78">
        <f>SUM(W10:W33)</f>
        <v>0</v>
      </c>
      <c r="X34" s="79" t="e">
        <f>ROUND(V34/U34,4)</f>
        <v>#DIV/0!</v>
      </c>
      <c r="Y34" s="79" t="e">
        <f>ROUND(Z34/U34,4)</f>
        <v>#DIV/0!</v>
      </c>
      <c r="Z34" s="77">
        <f>SUM(Z10:Z33)</f>
        <v>0</v>
      </c>
      <c r="AA34" s="77">
        <f>SUM(AA10:AA33)</f>
        <v>0</v>
      </c>
      <c r="AB34" s="77">
        <f>SUM(AB10:AB33)</f>
        <v>0</v>
      </c>
      <c r="AC34" s="78">
        <f>SUM(AC10:AC33)</f>
        <v>0</v>
      </c>
      <c r="AD34" s="79" t="e">
        <f>ROUND(AB34/AA34,4)</f>
        <v>#DIV/0!</v>
      </c>
      <c r="AE34" s="79" t="e">
        <f>ROUND(AF34/AA34,4)</f>
        <v>#DIV/0!</v>
      </c>
      <c r="AF34" s="77">
        <f>SUM(AF10:AF33)</f>
        <v>0</v>
      </c>
      <c r="AG34" s="43">
        <f>P34-Z34-AF34</f>
        <v>0</v>
      </c>
      <c r="AI34" s="472"/>
    </row>
    <row r="35" spans="1:35" x14ac:dyDescent="0.2">
      <c r="A35" s="125"/>
      <c r="B35" s="126"/>
      <c r="C35" s="31" t="str">
        <f>TEXT(A$9,)&amp;" S/."</f>
        <v>Piura / Tumbes S/.</v>
      </c>
      <c r="D35" s="56"/>
      <c r="E35" s="56"/>
      <c r="F35" s="137"/>
      <c r="G35" s="177"/>
      <c r="H35" s="177"/>
      <c r="I35" s="202"/>
      <c r="J35" s="202"/>
      <c r="K35" s="177"/>
      <c r="L35" s="177"/>
      <c r="M35" s="177"/>
      <c r="N35" s="177"/>
      <c r="O35" s="209"/>
      <c r="P35" s="210">
        <f>ROUND($F$1*P34,2)</f>
        <v>0</v>
      </c>
      <c r="Q35" s="364">
        <f>ROUND($F$1*Q34,2)</f>
        <v>0</v>
      </c>
      <c r="R35" s="139"/>
      <c r="S35" s="363">
        <f>ROUND($F$1*S34,2)</f>
        <v>0</v>
      </c>
      <c r="T35" s="160"/>
      <c r="U35" s="140"/>
      <c r="V35" s="140"/>
      <c r="W35" s="141"/>
      <c r="X35" s="142"/>
      <c r="Y35" s="142"/>
      <c r="Z35" s="140"/>
      <c r="AA35" s="140"/>
      <c r="AB35" s="140"/>
      <c r="AC35" s="141"/>
      <c r="AD35" s="142"/>
      <c r="AE35" s="142"/>
      <c r="AF35" s="140"/>
      <c r="AG35" s="140"/>
      <c r="AI35" s="472"/>
    </row>
    <row r="36" spans="1:35" x14ac:dyDescent="0.2">
      <c r="A36" s="15" t="s">
        <v>22</v>
      </c>
      <c r="B36" s="16"/>
      <c r="C36" s="58"/>
      <c r="D36" s="58"/>
      <c r="E36" s="17"/>
      <c r="F36" s="34"/>
      <c r="G36" s="220"/>
      <c r="H36" s="220"/>
      <c r="I36" s="221"/>
      <c r="J36" s="221"/>
      <c r="K36" s="220"/>
      <c r="L36" s="220"/>
      <c r="M36" s="220"/>
      <c r="N36" s="220"/>
      <c r="O36" s="231"/>
      <c r="P36" s="220"/>
      <c r="Q36" s="232" t="s">
        <v>49</v>
      </c>
      <c r="R36" s="214"/>
      <c r="S36" s="275"/>
      <c r="T36" s="276"/>
      <c r="U36" s="49"/>
      <c r="V36" s="49"/>
      <c r="W36" s="80"/>
      <c r="X36" s="81"/>
      <c r="Y36" s="81"/>
      <c r="Z36" s="81"/>
      <c r="AA36" s="49"/>
      <c r="AB36" s="49"/>
      <c r="AC36" s="80"/>
      <c r="AD36" s="81"/>
      <c r="AE36" s="81"/>
      <c r="AF36" s="81"/>
      <c r="AG36" s="46"/>
    </row>
    <row r="37" spans="1:35" x14ac:dyDescent="0.2">
      <c r="A37" s="26" t="s">
        <v>28</v>
      </c>
      <c r="B37" s="28">
        <v>131</v>
      </c>
      <c r="C37" s="57" t="s">
        <v>31</v>
      </c>
      <c r="D37" s="25" t="s">
        <v>30</v>
      </c>
      <c r="E37" s="57" t="s">
        <v>101</v>
      </c>
      <c r="F37" s="33" t="s">
        <v>37</v>
      </c>
      <c r="G37" s="215"/>
      <c r="H37" s="215"/>
      <c r="I37" s="217"/>
      <c r="J37" s="217"/>
      <c r="K37" s="222"/>
      <c r="L37" s="222"/>
      <c r="M37" s="222"/>
      <c r="N37" s="1047"/>
      <c r="O37" s="224">
        <f>ROUND(G37*I37,2)+ROUND(H37*J37,2)-K37-L37-M37-N37</f>
        <v>0</v>
      </c>
      <c r="P37" s="222">
        <f>ROUND(15%*O37,2)</f>
        <v>0</v>
      </c>
      <c r="Q37" s="222">
        <f>ROUND($O37*R37,2)</f>
        <v>0</v>
      </c>
      <c r="R37" s="223">
        <v>0.15</v>
      </c>
      <c r="S37" s="226"/>
      <c r="T37" s="225"/>
      <c r="U37" s="40">
        <f>IF($F37&amp;"/Día"=W$9,SUM($G37:$H37),"")</f>
        <v>0</v>
      </c>
      <c r="V37" s="40">
        <f>IF(U37&lt;&gt;"",$O37,"")</f>
        <v>0</v>
      </c>
      <c r="W37" s="75">
        <f t="shared" si="13"/>
        <v>0</v>
      </c>
      <c r="X37" s="76">
        <f>IF(U37=0,0,IF($F37&amp;"/Día"=W$9,ROUND(V37/U37,4),""))</f>
        <v>0</v>
      </c>
      <c r="Y37" s="76">
        <f>IF(U37=0,0,IF($F37&amp;"/Día"=W$9,ROUND(Z37/U37,4),""))</f>
        <v>0</v>
      </c>
      <c r="Z37" s="40">
        <f>IF(U37&lt;&gt;"",$P37,"")</f>
        <v>0</v>
      </c>
      <c r="AA37" s="40" t="str">
        <f>IF($F37&amp;"/Día"=AC$9,SUM($G37:$H37),"")</f>
        <v/>
      </c>
      <c r="AB37" s="40" t="str">
        <f>IF(AA37&lt;&gt;"",$O37,"")</f>
        <v/>
      </c>
      <c r="AC37" s="75" t="str">
        <f t="shared" si="15"/>
        <v/>
      </c>
      <c r="AD37" s="76" t="str">
        <f>IF(AA37=0,0,IF($F37&amp;"/Día"=AC$9,ROUND(AB37/AA37,4),""))</f>
        <v/>
      </c>
      <c r="AE37" s="76" t="str">
        <f>IF(AA37=0,0,IF($F37&amp;"/Día"=AC$9,ROUND(AF37/AA37,4),""))</f>
        <v/>
      </c>
      <c r="AF37" s="40" t="str">
        <f>IF(AA37&lt;&gt;"",$P37,"")</f>
        <v/>
      </c>
      <c r="AG37" s="50"/>
    </row>
    <row r="38" spans="1:35" x14ac:dyDescent="0.2">
      <c r="A38" s="26" t="s">
        <v>28</v>
      </c>
      <c r="B38" s="29" t="s">
        <v>53</v>
      </c>
      <c r="C38" s="56"/>
      <c r="D38" s="56"/>
      <c r="E38" s="5"/>
      <c r="F38" s="33"/>
      <c r="G38" s="222"/>
      <c r="H38" s="222"/>
      <c r="I38" s="216"/>
      <c r="J38" s="216"/>
      <c r="K38" s="222"/>
      <c r="L38" s="222"/>
      <c r="M38" s="222"/>
      <c r="N38" s="222"/>
      <c r="O38" s="224"/>
      <c r="P38" s="224"/>
      <c r="Q38" s="224"/>
      <c r="R38" s="225"/>
      <c r="S38" s="224"/>
      <c r="T38" s="225"/>
      <c r="U38" s="40" t="str">
        <f>IF($F38&amp;"/Día"=W$9,SUM($G38:$H38),"")</f>
        <v/>
      </c>
      <c r="V38" s="40" t="str">
        <f>IF(U38&lt;&gt;"",$O38,"")</f>
        <v/>
      </c>
      <c r="W38" s="75" t="str">
        <f t="shared" si="13"/>
        <v/>
      </c>
      <c r="X38" s="76" t="str">
        <f>IF(U38=0,0,IF($F38&amp;"/Día"=W$9,ROUND(V38/U38,4),""))</f>
        <v/>
      </c>
      <c r="Y38" s="76" t="str">
        <f>IF(U38=0,0,IF($F38&amp;"/Día"=W$9,ROUND(Z38/U38,4),""))</f>
        <v/>
      </c>
      <c r="Z38" s="40" t="str">
        <f>IF(U38&lt;&gt;"",$P38,"")</f>
        <v/>
      </c>
      <c r="AA38" s="40" t="str">
        <f>IF($F38&amp;"/Día"=AC$9,SUM($G38:$H38),"")</f>
        <v/>
      </c>
      <c r="AB38" s="40" t="str">
        <f>IF(AA38&lt;&gt;"",$O38,"")</f>
        <v/>
      </c>
      <c r="AC38" s="75" t="str">
        <f t="shared" si="15"/>
        <v/>
      </c>
      <c r="AD38" s="76" t="str">
        <f>IF(AA38=0,0,IF($F38&amp;"/Día"=AC$9,ROUND(AB38/AA38,4),""))</f>
        <v/>
      </c>
      <c r="AE38" s="76" t="str">
        <f>IF(AA38=0,0,IF($F38&amp;"/Día"=AC$9,ROUND(AF38/AA38,4),""))</f>
        <v/>
      </c>
      <c r="AF38" s="40" t="str">
        <f>IF(AA38&lt;&gt;"",$P38,"")</f>
        <v/>
      </c>
      <c r="AG38" s="50"/>
      <c r="AI38" s="257"/>
    </row>
    <row r="39" spans="1:35"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c r="U39" s="43">
        <f>SUM(U37:U38)</f>
        <v>0</v>
      </c>
      <c r="V39" s="43">
        <f>SUM(V37:V38)</f>
        <v>0</v>
      </c>
      <c r="W39" s="82">
        <f>SUM(W37:W38)</f>
        <v>0</v>
      </c>
      <c r="X39" s="83" t="e">
        <f>ROUND(V39/U39,4)</f>
        <v>#DIV/0!</v>
      </c>
      <c r="Y39" s="83" t="e">
        <f>ROUND(Z39/U39,4)</f>
        <v>#DIV/0!</v>
      </c>
      <c r="Z39" s="43">
        <f>SUM(Z37:Z38)</f>
        <v>0</v>
      </c>
      <c r="AA39" s="43">
        <f>SUM(AA37:AA38)</f>
        <v>0</v>
      </c>
      <c r="AB39" s="43">
        <f>SUM(AB37:AB38)</f>
        <v>0</v>
      </c>
      <c r="AC39" s="82">
        <f>SUM(AC37:AC38)</f>
        <v>0</v>
      </c>
      <c r="AD39" s="83">
        <f>IF(AA39=0,0,ROUND(AB39/AA39,4))</f>
        <v>0</v>
      </c>
      <c r="AE39" s="83">
        <f>IF(AA39=0,0,ROUND(AF39/AA39,4))</f>
        <v>0</v>
      </c>
      <c r="AF39" s="43">
        <f>SUM(AF37:AF38)</f>
        <v>0</v>
      </c>
      <c r="AG39" s="77">
        <f>P39-Z39-AF39</f>
        <v>0</v>
      </c>
    </row>
    <row r="40" spans="1:35"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c r="U40" s="140"/>
      <c r="V40" s="140"/>
      <c r="W40" s="141"/>
      <c r="X40" s="142"/>
      <c r="Y40" s="142"/>
      <c r="Z40" s="140"/>
      <c r="AA40" s="140"/>
      <c r="AB40" s="140"/>
      <c r="AC40" s="141"/>
      <c r="AD40" s="142"/>
      <c r="AE40" s="142"/>
      <c r="AF40" s="140"/>
      <c r="AG40" s="140"/>
      <c r="AI40" s="257"/>
    </row>
    <row r="41" spans="1:35"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c r="U41" s="46"/>
      <c r="V41" s="46"/>
      <c r="W41" s="73"/>
      <c r="X41" s="74"/>
      <c r="Y41" s="74"/>
      <c r="Z41" s="74"/>
      <c r="AA41" s="46"/>
      <c r="AB41" s="46"/>
      <c r="AC41" s="73"/>
      <c r="AD41" s="74"/>
      <c r="AE41" s="74"/>
      <c r="AF41" s="74"/>
      <c r="AG41" s="46"/>
      <c r="AI41" s="257"/>
    </row>
    <row r="42" spans="1:35"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c r="U42" s="40">
        <f t="shared" ref="U42:U47" si="18">IF($F42&amp;"/Día"=W$9,SUM($G42:$H42),"")</f>
        <v>0</v>
      </c>
      <c r="V42" s="40">
        <f t="shared" ref="V42:V47" si="19">IF(U42&lt;&gt;"",$O42,"")</f>
        <v>0</v>
      </c>
      <c r="W42" s="75">
        <f t="shared" ref="W42:W47" si="20">IF($F42&amp;"/Día"=W$9,ROUND(U42/$W$1,1),"")</f>
        <v>0</v>
      </c>
      <c r="X42" s="76">
        <f t="shared" ref="X42:X47" si="21">IF(U42=0,0,IF($F42&amp;"/Día"=W$9,ROUND(V42/U42,4),""))</f>
        <v>0</v>
      </c>
      <c r="Y42" s="76">
        <f t="shared" ref="Y42:Y47" si="22">IF(U42=0,0,IF($F42&amp;"/Día"=W$9,ROUND(Z42/U42,4),""))</f>
        <v>0</v>
      </c>
      <c r="Z42" s="40">
        <f t="shared" ref="Z42:Z47" si="23">IF(U42&lt;&gt;"",$P42,"")</f>
        <v>0</v>
      </c>
      <c r="AA42" s="40" t="str">
        <f t="shared" ref="AA42:AA47" si="24">IF($F42&amp;"/Día"=AC$9,SUM($G42:$H42),"")</f>
        <v/>
      </c>
      <c r="AB42" s="40" t="str">
        <f t="shared" ref="AB42:AB47" si="25">IF(AA42&lt;&gt;"",$O42,"")</f>
        <v/>
      </c>
      <c r="AC42" s="75" t="str">
        <f t="shared" ref="AC42:AC47" si="26">IF($F42&amp;"/Día"=AC$9,ROUND(AA42/$W$1,1),"")</f>
        <v/>
      </c>
      <c r="AD42" s="76" t="str">
        <f t="shared" ref="AD42:AD47" si="27">IF(AA42=0,0,IF($F42&amp;"/Día"=AC$9,ROUND(AB42/AA42,4),""))</f>
        <v/>
      </c>
      <c r="AE42" s="76" t="str">
        <f t="shared" ref="AE42:AE47" si="28">IF(AA42=0,0,IF($F42&amp;"/Día"=AC$9,ROUND(AF42/AA42,4),""))</f>
        <v/>
      </c>
      <c r="AF42" s="40" t="str">
        <f t="shared" ref="AF42:AF47" si="29">IF(AA42&lt;&gt;"",$P42,"")</f>
        <v/>
      </c>
      <c r="AG42" s="50"/>
    </row>
    <row r="43" spans="1:35" x14ac:dyDescent="0.2">
      <c r="A43" s="23" t="s">
        <v>28</v>
      </c>
      <c r="B43" s="24" t="s">
        <v>12</v>
      </c>
      <c r="C43" s="57" t="s">
        <v>31</v>
      </c>
      <c r="D43" s="57" t="s">
        <v>30</v>
      </c>
      <c r="E43" s="57" t="s">
        <v>101</v>
      </c>
      <c r="F43" s="238" t="s">
        <v>56</v>
      </c>
      <c r="G43" s="215"/>
      <c r="H43" s="215"/>
      <c r="I43" s="217"/>
      <c r="J43" s="217"/>
      <c r="K43" s="222"/>
      <c r="L43" s="222"/>
      <c r="M43" s="222"/>
      <c r="N43" s="222"/>
      <c r="O43" s="224">
        <f>ROUND(G43*I43,2)+ROUND(H43*J43,2)-K43-L43-M43-N43</f>
        <v>0</v>
      </c>
      <c r="P43" s="222">
        <f>ROUND(18.75%*O43,2)</f>
        <v>0</v>
      </c>
      <c r="Q43" s="222">
        <f>ROUND($O43*R43,2)</f>
        <v>0</v>
      </c>
      <c r="R43" s="258">
        <v>3.7499999999999999E-2</v>
      </c>
      <c r="S43" s="222">
        <f>ROUND($O43*T43,2)</f>
        <v>0</v>
      </c>
      <c r="T43" s="223">
        <v>0.15</v>
      </c>
      <c r="U43" s="40" t="str">
        <f t="shared" si="18"/>
        <v/>
      </c>
      <c r="V43" s="40" t="str">
        <f t="shared" si="19"/>
        <v/>
      </c>
      <c r="W43" s="75" t="str">
        <f t="shared" si="20"/>
        <v/>
      </c>
      <c r="X43" s="76" t="str">
        <f t="shared" si="21"/>
        <v/>
      </c>
      <c r="Y43" s="76" t="str">
        <f t="shared" si="22"/>
        <v/>
      </c>
      <c r="Z43" s="40" t="str">
        <f t="shared" si="23"/>
        <v/>
      </c>
      <c r="AA43" s="40">
        <f t="shared" si="24"/>
        <v>0</v>
      </c>
      <c r="AB43" s="40">
        <f t="shared" si="25"/>
        <v>0</v>
      </c>
      <c r="AC43" s="75">
        <f t="shared" si="26"/>
        <v>0</v>
      </c>
      <c r="AD43" s="76">
        <f t="shared" si="27"/>
        <v>0</v>
      </c>
      <c r="AE43" s="76">
        <f t="shared" si="28"/>
        <v>0</v>
      </c>
      <c r="AF43" s="40">
        <f t="shared" si="29"/>
        <v>0</v>
      </c>
      <c r="AG43" s="50"/>
      <c r="AI43" s="257"/>
    </row>
    <row r="44" spans="1:35" x14ac:dyDescent="0.2">
      <c r="A44" s="23" t="s">
        <v>28</v>
      </c>
      <c r="B44" s="24" t="s">
        <v>75</v>
      </c>
      <c r="C44" s="57" t="s">
        <v>31</v>
      </c>
      <c r="D44" s="57" t="s">
        <v>30</v>
      </c>
      <c r="E44" s="57" t="s">
        <v>103</v>
      </c>
      <c r="F44" s="238" t="s">
        <v>37</v>
      </c>
      <c r="G44" s="215"/>
      <c r="H44" s="215"/>
      <c r="I44" s="217"/>
      <c r="J44" s="217"/>
      <c r="K44" s="222"/>
      <c r="L44" s="222"/>
      <c r="M44" s="222"/>
      <c r="N44" s="222"/>
      <c r="O44" s="224">
        <f>ROUND(G44*I44,2)+ROUND(H44*J44,2)-K44-L44-M44-N44</f>
        <v>0</v>
      </c>
      <c r="P44" s="222">
        <f>ROUND(18.75%*O44,2)</f>
        <v>0</v>
      </c>
      <c r="Q44" s="222">
        <f>ROUND($O44*R44,2)</f>
        <v>0</v>
      </c>
      <c r="R44" s="258">
        <v>3.7499999999999999E-2</v>
      </c>
      <c r="S44" s="222">
        <f>ROUND($O44*T44,2)</f>
        <v>0</v>
      </c>
      <c r="T44" s="223">
        <v>0.15</v>
      </c>
      <c r="U44" s="40">
        <f t="shared" si="18"/>
        <v>0</v>
      </c>
      <c r="V44" s="40">
        <f t="shared" si="19"/>
        <v>0</v>
      </c>
      <c r="W44" s="75">
        <f t="shared" si="20"/>
        <v>0</v>
      </c>
      <c r="X44" s="76">
        <f t="shared" si="21"/>
        <v>0</v>
      </c>
      <c r="Y44" s="76">
        <f t="shared" si="22"/>
        <v>0</v>
      </c>
      <c r="Z44" s="40">
        <f t="shared" si="23"/>
        <v>0</v>
      </c>
      <c r="AA44" s="40" t="str">
        <f t="shared" si="24"/>
        <v/>
      </c>
      <c r="AB44" s="40" t="str">
        <f t="shared" si="25"/>
        <v/>
      </c>
      <c r="AC44" s="75" t="str">
        <f t="shared" si="26"/>
        <v/>
      </c>
      <c r="AD44" s="76" t="str">
        <f t="shared" si="27"/>
        <v/>
      </c>
      <c r="AE44" s="76" t="str">
        <f t="shared" si="28"/>
        <v/>
      </c>
      <c r="AF44" s="40" t="str">
        <f t="shared" si="29"/>
        <v/>
      </c>
      <c r="AG44" s="50"/>
    </row>
    <row r="45" spans="1:35" x14ac:dyDescent="0.2">
      <c r="A45" s="23" t="s">
        <v>28</v>
      </c>
      <c r="B45" s="28">
        <v>95</v>
      </c>
      <c r="C45" s="57" t="s">
        <v>31</v>
      </c>
      <c r="D45" s="57" t="s">
        <v>30</v>
      </c>
      <c r="E45" s="57" t="s">
        <v>101</v>
      </c>
      <c r="F45" s="238" t="s">
        <v>37</v>
      </c>
      <c r="G45" s="215"/>
      <c r="H45" s="215"/>
      <c r="I45" s="217"/>
      <c r="J45" s="217"/>
      <c r="K45" s="215"/>
      <c r="L45" s="222"/>
      <c r="M45" s="222"/>
      <c r="N45" s="222"/>
      <c r="O45" s="224">
        <f>ROUND(G45*I45,2)+ROUND(H45*J45,2)-K45-L45-M45-N45</f>
        <v>0</v>
      </c>
      <c r="P45" s="222">
        <f>ROUND(18.75%*O45,2)</f>
        <v>0</v>
      </c>
      <c r="Q45" s="222">
        <f>P45-S45</f>
        <v>0</v>
      </c>
      <c r="R45" s="223">
        <v>0.15</v>
      </c>
      <c r="S45" s="222">
        <f>ROUND($O45*T45,2)</f>
        <v>0</v>
      </c>
      <c r="T45" s="258">
        <v>3.7499999999999999E-2</v>
      </c>
      <c r="U45" s="40">
        <f>IF($F45&amp;"/Día"=W$9,SUM($G45:$H45),"")</f>
        <v>0</v>
      </c>
      <c r="V45" s="40">
        <f>IF(U45&lt;&gt;"",$O45,"")</f>
        <v>0</v>
      </c>
      <c r="W45" s="75">
        <f>IF($F45&amp;"/Día"=W$9,ROUND(U45/$W$1,1),"")</f>
        <v>0</v>
      </c>
      <c r="X45" s="76">
        <f>IF(U45=0,0,IF($F45&amp;"/Día"=W$9,ROUND(V45/U45,4),""))</f>
        <v>0</v>
      </c>
      <c r="Y45" s="76">
        <f>IF(U45=0,0,IF($F45&amp;"/Día"=W$9,ROUND(Z45/U45,4),""))</f>
        <v>0</v>
      </c>
      <c r="Z45" s="40">
        <f>IF(U45&lt;&gt;"",$P45,"")</f>
        <v>0</v>
      </c>
      <c r="AA45" s="40" t="str">
        <f>IF($F45&amp;"/Día"=AC$9,SUM($G45:$H45),"")</f>
        <v/>
      </c>
      <c r="AB45" s="40" t="str">
        <f>IF(AA45&lt;&gt;"",$O45,"")</f>
        <v/>
      </c>
      <c r="AC45" s="75" t="str">
        <f>IF($F45&amp;"/Día"=AC$9,ROUND(AA45/$W$1,1),"")</f>
        <v/>
      </c>
      <c r="AD45" s="76" t="str">
        <f>IF(AA45=0,0,IF($F45&amp;"/Día"=AC$9,ROUND(AB45/AA45,4),""))</f>
        <v/>
      </c>
      <c r="AE45" s="76" t="str">
        <f>IF(AA45=0,0,IF($F45&amp;"/Día"=AC$9,ROUND(AF45/AA45,4),""))</f>
        <v/>
      </c>
      <c r="AF45" s="40" t="str">
        <f>IF(AA45&lt;&gt;"",$P45,"")</f>
        <v/>
      </c>
      <c r="AG45" s="50"/>
    </row>
    <row r="46" spans="1:35"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c r="U46" s="40">
        <f>IF($F46&amp;"/Día"=W$9,SUM($G46:$H46),"")</f>
        <v>0</v>
      </c>
      <c r="V46" s="40">
        <f>IF(U46&lt;&gt;"",$O46,"")</f>
        <v>0</v>
      </c>
      <c r="W46" s="75">
        <f>IF($F46&amp;"/Día"=W$9,ROUND(U46/$W$1,1),"")</f>
        <v>0</v>
      </c>
      <c r="X46" s="76">
        <f>IF(U46=0,0,IF($F46&amp;"/Día"=W$9,ROUND(V46/U46,4),""))</f>
        <v>0</v>
      </c>
      <c r="Y46" s="76">
        <f>IF(U46=0,0,IF($F46&amp;"/Día"=W$9,ROUND(Z46/U46,4),""))</f>
        <v>0</v>
      </c>
      <c r="Z46" s="40">
        <f>IF(U46&lt;&gt;"",$P46,"")</f>
        <v>0</v>
      </c>
      <c r="AA46" s="40" t="str">
        <f>IF($F46&amp;"/Día"=AC$9,SUM($G46:$H46),"")</f>
        <v/>
      </c>
      <c r="AB46" s="40" t="str">
        <f>IF(AA46&lt;&gt;"",$O46,"")</f>
        <v/>
      </c>
      <c r="AC46" s="75" t="str">
        <f>IF($F46&amp;"/Día"=AC$9,ROUND(AA46/$W$1,1),"")</f>
        <v/>
      </c>
      <c r="AD46" s="76" t="str">
        <f>IF(AA46=0,0,IF($F46&amp;"/Día"=AC$9,ROUND(AB46/AA46,4),""))</f>
        <v/>
      </c>
      <c r="AE46" s="76" t="str">
        <f>IF(AA46=0,0,IF($F46&amp;"/Día"=AC$9,ROUND(AF46/AA46,4),""))</f>
        <v/>
      </c>
      <c r="AF46" s="40" t="str">
        <f>IF(AA46&lt;&gt;"",$P46,"")</f>
        <v/>
      </c>
      <c r="AG46" s="50"/>
    </row>
    <row r="47" spans="1:35" x14ac:dyDescent="0.2">
      <c r="A47" s="18" t="s">
        <v>28</v>
      </c>
      <c r="B47" s="29" t="s">
        <v>54</v>
      </c>
      <c r="C47" s="56"/>
      <c r="D47" s="27"/>
      <c r="E47" s="27"/>
      <c r="F47" s="238"/>
      <c r="G47" s="222"/>
      <c r="H47" s="222"/>
      <c r="I47" s="216"/>
      <c r="J47" s="216"/>
      <c r="K47" s="222"/>
      <c r="L47" s="222"/>
      <c r="M47" s="222"/>
      <c r="N47" s="222"/>
      <c r="O47" s="222"/>
      <c r="P47" s="222"/>
      <c r="Q47" s="222"/>
      <c r="R47" s="222"/>
      <c r="S47" s="222"/>
      <c r="T47" s="223"/>
      <c r="U47" s="40" t="str">
        <f t="shared" si="18"/>
        <v/>
      </c>
      <c r="V47" s="40" t="str">
        <f t="shared" si="19"/>
        <v/>
      </c>
      <c r="W47" s="75" t="str">
        <f t="shared" si="20"/>
        <v/>
      </c>
      <c r="X47" s="76" t="str">
        <f t="shared" si="21"/>
        <v/>
      </c>
      <c r="Y47" s="76" t="str">
        <f t="shared" si="22"/>
        <v/>
      </c>
      <c r="Z47" s="40" t="str">
        <f t="shared" si="23"/>
        <v/>
      </c>
      <c r="AA47" s="40" t="str">
        <f t="shared" si="24"/>
        <v/>
      </c>
      <c r="AB47" s="40" t="str">
        <f t="shared" si="25"/>
        <v/>
      </c>
      <c r="AC47" s="75" t="str">
        <f t="shared" si="26"/>
        <v/>
      </c>
      <c r="AD47" s="76" t="str">
        <f t="shared" si="27"/>
        <v/>
      </c>
      <c r="AE47" s="76" t="str">
        <f t="shared" si="28"/>
        <v/>
      </c>
      <c r="AF47" s="40" t="str">
        <f t="shared" si="29"/>
        <v/>
      </c>
      <c r="AG47" s="50"/>
    </row>
    <row r="48" spans="1:35"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c r="U48" s="77">
        <f>SUM(U42:U47)</f>
        <v>0</v>
      </c>
      <c r="V48" s="77">
        <f>SUM(V42:V47)</f>
        <v>0</v>
      </c>
      <c r="W48" s="78">
        <f>SUM(W42:W47)</f>
        <v>0</v>
      </c>
      <c r="X48" s="79" t="e">
        <f>ROUND(V48/U48,4)</f>
        <v>#DIV/0!</v>
      </c>
      <c r="Y48" s="79" t="e">
        <f>ROUND(Z48/U48,4)</f>
        <v>#DIV/0!</v>
      </c>
      <c r="Z48" s="77">
        <f>SUM(Z42:Z47)</f>
        <v>0</v>
      </c>
      <c r="AA48" s="77">
        <f>SUM(AA42:AA47)</f>
        <v>0</v>
      </c>
      <c r="AB48" s="77">
        <f>SUM(AB42:AB47)</f>
        <v>0</v>
      </c>
      <c r="AC48" s="78">
        <f>SUM(AC42:AC47)</f>
        <v>0</v>
      </c>
      <c r="AD48" s="79" t="e">
        <f>ROUND(AB48/AA48,4)</f>
        <v>#DIV/0!</v>
      </c>
      <c r="AE48" s="79" t="e">
        <f>ROUND(AF48/AA48,4)</f>
        <v>#DIV/0!</v>
      </c>
      <c r="AF48" s="77">
        <f>SUM(AF42:AF47)</f>
        <v>0</v>
      </c>
      <c r="AG48" s="77">
        <f>P48-Z48-AF48</f>
        <v>0</v>
      </c>
    </row>
    <row r="49" spans="1:39"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c r="U49" s="149"/>
      <c r="V49" s="149"/>
      <c r="W49" s="150"/>
      <c r="X49" s="151"/>
      <c r="Y49" s="151"/>
      <c r="Z49" s="149"/>
      <c r="AA49" s="149"/>
      <c r="AB49" s="149"/>
      <c r="AC49" s="150"/>
      <c r="AD49" s="151"/>
      <c r="AE49" s="151"/>
      <c r="AF49" s="149"/>
      <c r="AG49" s="149"/>
    </row>
    <row r="50" spans="1:39"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c r="U50" s="149"/>
      <c r="V50" s="149"/>
      <c r="W50" s="150"/>
      <c r="X50" s="151"/>
      <c r="Y50" s="151"/>
      <c r="Z50" s="149"/>
      <c r="AA50" s="149"/>
      <c r="AB50" s="149"/>
      <c r="AC50" s="150"/>
      <c r="AD50" s="151"/>
      <c r="AE50" s="151"/>
      <c r="AF50" s="149"/>
      <c r="AG50" s="149"/>
    </row>
    <row r="51" spans="1:39" x14ac:dyDescent="0.2">
      <c r="A51" s="23" t="s">
        <v>28</v>
      </c>
      <c r="B51" s="24" t="s">
        <v>160</v>
      </c>
      <c r="C51" s="57" t="s">
        <v>31</v>
      </c>
      <c r="D51" s="57" t="s">
        <v>30</v>
      </c>
      <c r="E51" s="57" t="s">
        <v>158</v>
      </c>
      <c r="F51" s="238" t="s">
        <v>37</v>
      </c>
      <c r="G51" s="222"/>
      <c r="H51" s="222"/>
      <c r="I51" s="216"/>
      <c r="J51" s="216"/>
      <c r="K51" s="222"/>
      <c r="L51" s="222"/>
      <c r="M51" s="222"/>
      <c r="N51" s="222"/>
      <c r="O51" s="1041">
        <f>G51*I51+H51*J51</f>
        <v>0</v>
      </c>
      <c r="P51" s="585">
        <f>ROUND(37.24%*(G51*I51+H51*J51),2)</f>
        <v>0</v>
      </c>
      <c r="Q51" s="1046">
        <f>ROUND(R51*P51,2)</f>
        <v>0</v>
      </c>
      <c r="R51" s="223">
        <v>0.5</v>
      </c>
      <c r="S51" s="222"/>
      <c r="T51" s="258"/>
      <c r="U51" s="40">
        <f t="shared" ref="U51:U57" si="30">IF($F51&amp;"/Día"=W$9,SUM($G51:$H51),"")</f>
        <v>0</v>
      </c>
      <c r="V51" s="40">
        <f t="shared" ref="V51:V57" si="31">IF(U51&lt;&gt;"",$O51,"")</f>
        <v>0</v>
      </c>
      <c r="W51" s="75">
        <f t="shared" ref="W51:W57" si="32">IF($F51&amp;"/Día"=W$9,ROUND(U51/$W$1,1),"")</f>
        <v>0</v>
      </c>
      <c r="X51" s="76">
        <f t="shared" ref="X51:X57" si="33">IF(U51=0,0,IF($F51&amp;"/Día"=W$9,ROUND(V51/U51,4),""))</f>
        <v>0</v>
      </c>
      <c r="Y51" s="76">
        <f t="shared" ref="Y51:Y57" si="34">IF(U51=0,0,IF($F51&amp;"/Día"=W$9,ROUND(Z51/U51,4),""))</f>
        <v>0</v>
      </c>
      <c r="Z51" s="40">
        <f t="shared" ref="Z51:Z57" si="35">IF(U51&lt;&gt;"",$Q51,"")</f>
        <v>0</v>
      </c>
      <c r="AA51" s="40" t="str">
        <f t="shared" ref="AA51:AA57" si="36">IF($F51&amp;"/Día"=AC$9,SUM($G51:$H51),"")</f>
        <v/>
      </c>
      <c r="AB51" s="40" t="str">
        <f t="shared" ref="AB51:AB57" si="37">IF(AA51&lt;&gt;"",$O51,"")</f>
        <v/>
      </c>
      <c r="AC51" s="75" t="str">
        <f t="shared" ref="AC51:AC57" si="38">IF($F51&amp;"/Día"=AC$9,ROUND(AA51/$W$1,1),"")</f>
        <v/>
      </c>
      <c r="AD51" s="76" t="str">
        <f t="shared" ref="AD51:AD57" si="39">IF(AA51=0,0,IF($F51&amp;"/Día"=AC$9,ROUND(AB51/AA51,4),""))</f>
        <v/>
      </c>
      <c r="AE51" s="76" t="str">
        <f t="shared" ref="AE51:AE57" si="40">IF(AA51=0,0,IF($F51&amp;"/Día"=AC$9,ROUND(AF51/AA51,4),""))</f>
        <v/>
      </c>
      <c r="AF51" s="40" t="str">
        <f t="shared" ref="AF51:AF57" si="41">IF(AA51&lt;&gt;"",$Q51,"")</f>
        <v/>
      </c>
      <c r="AG51" s="149"/>
    </row>
    <row r="52" spans="1:39" x14ac:dyDescent="0.2">
      <c r="A52" s="23" t="s">
        <v>28</v>
      </c>
      <c r="B52" s="24" t="s">
        <v>159</v>
      </c>
      <c r="C52" s="57" t="s">
        <v>31</v>
      </c>
      <c r="D52" s="57" t="s">
        <v>30</v>
      </c>
      <c r="E52" s="57" t="s">
        <v>158</v>
      </c>
      <c r="F52" s="238" t="s">
        <v>56</v>
      </c>
      <c r="G52" s="222"/>
      <c r="H52" s="222"/>
      <c r="I52" s="558"/>
      <c r="J52" s="222"/>
      <c r="K52" s="222"/>
      <c r="L52" s="222"/>
      <c r="M52" s="222"/>
      <c r="N52" s="222"/>
      <c r="O52" s="253">
        <f>O258</f>
        <v>0</v>
      </c>
      <c r="P52" s="253">
        <f>P258</f>
        <v>0</v>
      </c>
      <c r="Q52" s="253">
        <f>Q258</f>
        <v>0</v>
      </c>
      <c r="R52" s="223">
        <v>0.5</v>
      </c>
      <c r="S52" s="222"/>
      <c r="T52" s="223"/>
      <c r="U52" s="40" t="str">
        <f t="shared" si="30"/>
        <v/>
      </c>
      <c r="V52" s="40" t="str">
        <f t="shared" si="31"/>
        <v/>
      </c>
      <c r="W52" s="75" t="str">
        <f t="shared" si="32"/>
        <v/>
      </c>
      <c r="X52" s="76" t="str">
        <f t="shared" si="33"/>
        <v/>
      </c>
      <c r="Y52" s="76" t="str">
        <f t="shared" si="34"/>
        <v/>
      </c>
      <c r="Z52" s="40" t="str">
        <f t="shared" si="35"/>
        <v/>
      </c>
      <c r="AA52" s="40">
        <f t="shared" si="36"/>
        <v>0</v>
      </c>
      <c r="AB52" s="40">
        <f t="shared" si="37"/>
        <v>0</v>
      </c>
      <c r="AC52" s="75">
        <f t="shared" si="38"/>
        <v>0</v>
      </c>
      <c r="AD52" s="76">
        <f t="shared" si="39"/>
        <v>0</v>
      </c>
      <c r="AE52" s="76">
        <f t="shared" si="40"/>
        <v>0</v>
      </c>
      <c r="AF52" s="40">
        <f t="shared" si="41"/>
        <v>0</v>
      </c>
      <c r="AG52" s="149"/>
    </row>
    <row r="53" spans="1:39" x14ac:dyDescent="0.2">
      <c r="A53" s="23" t="s">
        <v>28</v>
      </c>
      <c r="B53" s="24" t="s">
        <v>168</v>
      </c>
      <c r="C53" s="57" t="s">
        <v>31</v>
      </c>
      <c r="D53" s="57" t="s">
        <v>30</v>
      </c>
      <c r="E53" s="57" t="s">
        <v>158</v>
      </c>
      <c r="F53" s="238" t="s">
        <v>37</v>
      </c>
      <c r="G53" s="222"/>
      <c r="H53" s="222"/>
      <c r="I53" s="216"/>
      <c r="J53" s="216"/>
      <c r="K53" s="222"/>
      <c r="L53" s="222"/>
      <c r="M53" s="222"/>
      <c r="N53" s="222"/>
      <c r="O53" s="1041">
        <f>G53*I53+H53*J53</f>
        <v>0</v>
      </c>
      <c r="P53" s="585">
        <f>ROUND(40%*G53*I53,2)+ROUND(40%*H53*J53,2)</f>
        <v>0</v>
      </c>
      <c r="Q53" s="367">
        <f>ROUND(R53*P53,2)</f>
        <v>0</v>
      </c>
      <c r="R53" s="223">
        <v>0.5</v>
      </c>
      <c r="S53" s="222"/>
      <c r="T53" s="223"/>
      <c r="U53" s="40">
        <f t="shared" si="30"/>
        <v>0</v>
      </c>
      <c r="V53" s="40">
        <f t="shared" si="31"/>
        <v>0</v>
      </c>
      <c r="W53" s="75">
        <f t="shared" si="32"/>
        <v>0</v>
      </c>
      <c r="X53" s="76">
        <f t="shared" si="33"/>
        <v>0</v>
      </c>
      <c r="Y53" s="76">
        <f t="shared" si="34"/>
        <v>0</v>
      </c>
      <c r="Z53" s="40">
        <f t="shared" si="35"/>
        <v>0</v>
      </c>
      <c r="AA53" s="40" t="str">
        <f t="shared" si="36"/>
        <v/>
      </c>
      <c r="AB53" s="40" t="str">
        <f t="shared" si="37"/>
        <v/>
      </c>
      <c r="AC53" s="75" t="str">
        <f t="shared" si="38"/>
        <v/>
      </c>
      <c r="AD53" s="76" t="str">
        <f t="shared" si="39"/>
        <v/>
      </c>
      <c r="AE53" s="76" t="str">
        <f t="shared" si="40"/>
        <v/>
      </c>
      <c r="AF53" s="40" t="str">
        <f t="shared" si="41"/>
        <v/>
      </c>
      <c r="AG53" s="149"/>
    </row>
    <row r="54" spans="1:39" x14ac:dyDescent="0.2">
      <c r="A54" s="23" t="s">
        <v>28</v>
      </c>
      <c r="B54" s="24" t="s">
        <v>169</v>
      </c>
      <c r="C54" s="57" t="s">
        <v>31</v>
      </c>
      <c r="D54" s="57" t="s">
        <v>30</v>
      </c>
      <c r="E54" s="57" t="s">
        <v>158</v>
      </c>
      <c r="F54" s="238" t="s">
        <v>56</v>
      </c>
      <c r="G54" s="222"/>
      <c r="H54" s="222"/>
      <c r="I54" s="558"/>
      <c r="J54" s="558"/>
      <c r="K54" s="222"/>
      <c r="L54" s="222"/>
      <c r="M54" s="222"/>
      <c r="N54" s="222"/>
      <c r="O54" s="1041">
        <f>G54*I54+H54*J54</f>
        <v>0</v>
      </c>
      <c r="P54" s="585">
        <f>ROUND(38%*(G54*I54+H54*J54),2)</f>
        <v>0</v>
      </c>
      <c r="Q54" s="367">
        <f>ROUND(R54*P54,2)</f>
        <v>0</v>
      </c>
      <c r="R54" s="223">
        <v>0.5</v>
      </c>
      <c r="S54" s="222"/>
      <c r="T54" s="223"/>
      <c r="U54" s="40" t="str">
        <f t="shared" si="30"/>
        <v/>
      </c>
      <c r="V54" s="40" t="str">
        <f t="shared" si="31"/>
        <v/>
      </c>
      <c r="W54" s="75" t="str">
        <f t="shared" si="32"/>
        <v/>
      </c>
      <c r="X54" s="76" t="str">
        <f t="shared" si="33"/>
        <v/>
      </c>
      <c r="Y54" s="76" t="str">
        <f t="shared" si="34"/>
        <v/>
      </c>
      <c r="Z54" s="40" t="str">
        <f t="shared" si="35"/>
        <v/>
      </c>
      <c r="AA54" s="40">
        <f t="shared" si="36"/>
        <v>0</v>
      </c>
      <c r="AB54" s="40">
        <f t="shared" si="37"/>
        <v>0</v>
      </c>
      <c r="AC54" s="75">
        <f t="shared" si="38"/>
        <v>0</v>
      </c>
      <c r="AD54" s="76">
        <f t="shared" si="39"/>
        <v>0</v>
      </c>
      <c r="AE54" s="76">
        <f t="shared" si="40"/>
        <v>0</v>
      </c>
      <c r="AF54" s="40">
        <f t="shared" si="41"/>
        <v>0</v>
      </c>
      <c r="AG54" s="149"/>
    </row>
    <row r="55" spans="1:39" x14ac:dyDescent="0.2">
      <c r="A55" s="23" t="s">
        <v>28</v>
      </c>
      <c r="B55" s="28" t="s">
        <v>175</v>
      </c>
      <c r="C55" s="57" t="s">
        <v>31</v>
      </c>
      <c r="D55" s="57" t="s">
        <v>30</v>
      </c>
      <c r="E55" s="57" t="s">
        <v>158</v>
      </c>
      <c r="F55" s="238" t="s">
        <v>37</v>
      </c>
      <c r="G55" s="222"/>
      <c r="H55" s="222"/>
      <c r="I55" s="216"/>
      <c r="J55" s="216"/>
      <c r="K55" s="215"/>
      <c r="L55" s="222"/>
      <c r="M55" s="222"/>
      <c r="N55" s="215"/>
      <c r="O55" s="1041">
        <f>G55*I55+H55*J55</f>
        <v>0</v>
      </c>
      <c r="P55" s="628">
        <f>ROUND(G55*I55,2)*6.73%+ROUND(H55*J55,2)*6.61%</f>
        <v>0</v>
      </c>
      <c r="Q55" s="253">
        <f>ROUND(R55*P55,2)</f>
        <v>0</v>
      </c>
      <c r="R55" s="223">
        <v>0.5</v>
      </c>
      <c r="S55" s="222"/>
      <c r="T55" s="258"/>
      <c r="U55" s="40">
        <f>IF($F55&amp;"/Día"=W$9,SUM($G55:$H55),"")</f>
        <v>0</v>
      </c>
      <c r="V55" s="40">
        <f t="shared" si="31"/>
        <v>0</v>
      </c>
      <c r="W55" s="75">
        <f t="shared" si="32"/>
        <v>0</v>
      </c>
      <c r="X55" s="76">
        <f t="shared" si="33"/>
        <v>0</v>
      </c>
      <c r="Y55" s="76">
        <f>IF(U55=0,0,IF($F55&amp;"/Día"=W$9,ROUND(Z55/U55,4),""))</f>
        <v>0</v>
      </c>
      <c r="Z55" s="40">
        <f>IF(U55&lt;&gt;"",$Q55,"")</f>
        <v>0</v>
      </c>
      <c r="AA55" s="40" t="str">
        <f t="shared" si="36"/>
        <v/>
      </c>
      <c r="AB55" s="40" t="str">
        <f t="shared" si="37"/>
        <v/>
      </c>
      <c r="AC55" s="75" t="str">
        <f t="shared" si="38"/>
        <v/>
      </c>
      <c r="AD55" s="76" t="str">
        <f t="shared" si="39"/>
        <v/>
      </c>
      <c r="AE55" s="76" t="str">
        <f>IF(AA55=0,0,IF($F55&amp;"/Día"=AC$9,ROUND(AF55/AA55,4),""))</f>
        <v/>
      </c>
      <c r="AF55" s="40" t="str">
        <f>IF(AA55&lt;&gt;"",$Q55,"")</f>
        <v/>
      </c>
      <c r="AG55" s="149"/>
    </row>
    <row r="56" spans="1:39" x14ac:dyDescent="0.2">
      <c r="A56" s="23" t="s">
        <v>28</v>
      </c>
      <c r="B56" s="272" t="s">
        <v>176</v>
      </c>
      <c r="C56" s="57" t="s">
        <v>31</v>
      </c>
      <c r="D56" s="57" t="s">
        <v>30</v>
      </c>
      <c r="E56" s="57" t="s">
        <v>158</v>
      </c>
      <c r="F56" s="238" t="s">
        <v>56</v>
      </c>
      <c r="G56" s="222"/>
      <c r="H56" s="222"/>
      <c r="I56" s="216"/>
      <c r="J56" s="216"/>
      <c r="K56" s="559"/>
      <c r="L56" s="222"/>
      <c r="M56" s="222"/>
      <c r="N56" s="215"/>
      <c r="O56" s="1041">
        <f>G56*I56+H56*J56</f>
        <v>0</v>
      </c>
      <c r="P56" s="628">
        <f>ROUND(G56*I56,2)*11.48%+ROUND(H56*J56,2)*11.15%</f>
        <v>0</v>
      </c>
      <c r="Q56" s="253">
        <f>ROUND(R56*P56,2)</f>
        <v>0</v>
      </c>
      <c r="R56" s="223">
        <v>0.5</v>
      </c>
      <c r="S56" s="222"/>
      <c r="T56" s="258"/>
      <c r="U56" s="40" t="str">
        <f>IF($F56&amp;"/Día"=W$9,SUM($G56:$H56),"")</f>
        <v/>
      </c>
      <c r="V56" s="40" t="str">
        <f t="shared" si="31"/>
        <v/>
      </c>
      <c r="W56" s="75" t="str">
        <f t="shared" si="32"/>
        <v/>
      </c>
      <c r="X56" s="76" t="str">
        <f t="shared" si="33"/>
        <v/>
      </c>
      <c r="Y56" s="76" t="str">
        <f>IF(U56=0,0,IF($F56&amp;"/Día"=W$9,ROUND(Z56/U56,4),""))</f>
        <v/>
      </c>
      <c r="Z56" s="40" t="str">
        <f>IF(U56&lt;&gt;"",$Q56,"")</f>
        <v/>
      </c>
      <c r="AA56" s="40">
        <f t="shared" si="36"/>
        <v>0</v>
      </c>
      <c r="AB56" s="40">
        <f t="shared" si="37"/>
        <v>0</v>
      </c>
      <c r="AC56" s="75">
        <f t="shared" si="38"/>
        <v>0</v>
      </c>
      <c r="AD56" s="76">
        <f t="shared" si="39"/>
        <v>0</v>
      </c>
      <c r="AE56" s="76">
        <f>IF(AA56=0,0,IF($F56&amp;"/Día"=AC$9,ROUND(AF56/AA56,4),""))</f>
        <v>0</v>
      </c>
      <c r="AF56" s="40">
        <f>IF(AA56&lt;&gt;"",$Q56,"")</f>
        <v>0</v>
      </c>
      <c r="AG56" s="149"/>
    </row>
    <row r="57" spans="1:39" x14ac:dyDescent="0.2">
      <c r="A57" s="181" t="s">
        <v>28</v>
      </c>
      <c r="B57" s="182" t="s">
        <v>162</v>
      </c>
      <c r="C57" s="183"/>
      <c r="D57" s="183"/>
      <c r="E57" s="184"/>
      <c r="F57" s="33"/>
      <c r="G57" s="261"/>
      <c r="H57" s="262"/>
      <c r="I57" s="262"/>
      <c r="J57" s="263"/>
      <c r="K57" s="263"/>
      <c r="L57" s="263"/>
      <c r="M57" s="187"/>
      <c r="N57" s="187"/>
      <c r="O57" s="198"/>
      <c r="P57" s="198"/>
      <c r="Q57" s="198"/>
      <c r="R57" s="148"/>
      <c r="S57" s="188"/>
      <c r="T57" s="148"/>
      <c r="U57" s="40" t="str">
        <f t="shared" si="30"/>
        <v/>
      </c>
      <c r="V57" s="40" t="str">
        <f t="shared" si="31"/>
        <v/>
      </c>
      <c r="W57" s="75" t="str">
        <f t="shared" si="32"/>
        <v/>
      </c>
      <c r="X57" s="76" t="str">
        <f t="shared" si="33"/>
        <v/>
      </c>
      <c r="Y57" s="76" t="str">
        <f t="shared" si="34"/>
        <v/>
      </c>
      <c r="Z57" s="40" t="str">
        <f t="shared" si="35"/>
        <v/>
      </c>
      <c r="AA57" s="40" t="str">
        <f t="shared" si="36"/>
        <v/>
      </c>
      <c r="AB57" s="40" t="str">
        <f t="shared" si="37"/>
        <v/>
      </c>
      <c r="AC57" s="75" t="str">
        <f t="shared" si="38"/>
        <v/>
      </c>
      <c r="AD57" s="76" t="str">
        <f t="shared" si="39"/>
        <v/>
      </c>
      <c r="AE57" s="76" t="str">
        <f t="shared" si="40"/>
        <v/>
      </c>
      <c r="AF57" s="40" t="str">
        <f t="shared" si="41"/>
        <v/>
      </c>
      <c r="AG57" s="149"/>
    </row>
    <row r="58" spans="1:39" x14ac:dyDescent="0.2">
      <c r="A58" s="30"/>
      <c r="B58" s="153" t="s">
        <v>108</v>
      </c>
      <c r="C58" s="31" t="str">
        <f>TEXT(A$50,)&amp;" US$"</f>
        <v>Cusco US$</v>
      </c>
      <c r="D58" s="19"/>
      <c r="E58" s="19"/>
      <c r="F58" s="268"/>
      <c r="G58" s="254">
        <f>SUM(G54:G54)</f>
        <v>0</v>
      </c>
      <c r="H58" s="254">
        <f>SUM(H54:H54)</f>
        <v>0</v>
      </c>
      <c r="I58" s="304"/>
      <c r="J58" s="254"/>
      <c r="K58" s="265"/>
      <c r="L58" s="259"/>
      <c r="M58" s="303"/>
      <c r="N58" s="201"/>
      <c r="O58" s="201">
        <f>SUM(O51:O57)</f>
        <v>0</v>
      </c>
      <c r="P58" s="201">
        <f>SUM(P51:P57)</f>
        <v>0</v>
      </c>
      <c r="Q58" s="201">
        <f>SUM(Q51:Q57)</f>
        <v>0</v>
      </c>
      <c r="R58" s="560"/>
      <c r="S58" s="192"/>
      <c r="T58" s="148"/>
      <c r="U58" s="77">
        <f>SUM(U51:U57)</f>
        <v>0</v>
      </c>
      <c r="V58" s="77">
        <f>SUM(V51:V57)</f>
        <v>0</v>
      </c>
      <c r="W58" s="78">
        <f>SUM(W51:W57)</f>
        <v>0</v>
      </c>
      <c r="X58" s="79" t="e">
        <f>ROUND(V58/U58,4)</f>
        <v>#DIV/0!</v>
      </c>
      <c r="Y58" s="79" t="e">
        <f>ROUND(Z58/U58,4)</f>
        <v>#DIV/0!</v>
      </c>
      <c r="Z58" s="77">
        <f>SUM(Z51:Z57)</f>
        <v>0</v>
      </c>
      <c r="AA58" s="77">
        <f>SUM(AA51:AA57)</f>
        <v>0</v>
      </c>
      <c r="AB58" s="77">
        <f>SUM(AB51:AB57)</f>
        <v>0</v>
      </c>
      <c r="AC58" s="78">
        <f>SUM(AC51:AC57)</f>
        <v>0</v>
      </c>
      <c r="AD58" s="79" t="e">
        <f>ROUND(AB58/AA58,4)</f>
        <v>#DIV/0!</v>
      </c>
      <c r="AE58" s="79" t="e">
        <f>ROUND(AF58/AA58,4)</f>
        <v>#DIV/0!</v>
      </c>
      <c r="AF58" s="77">
        <f>SUM(AF51:AF57)</f>
        <v>0</v>
      </c>
      <c r="AG58" s="77">
        <f>Q58-Z58-AF58</f>
        <v>0</v>
      </c>
    </row>
    <row r="59" spans="1:39"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f>Q58*F1</f>
        <v>0</v>
      </c>
      <c r="R59" s="185"/>
      <c r="S59" s="192"/>
      <c r="T59" s="148"/>
      <c r="U59" s="149"/>
      <c r="V59" s="149"/>
      <c r="W59" s="150"/>
      <c r="X59" s="151"/>
      <c r="Y59" s="151"/>
      <c r="Z59" s="149"/>
      <c r="AA59" s="149"/>
      <c r="AB59" s="149"/>
      <c r="AC59" s="150"/>
      <c r="AD59" s="151"/>
      <c r="AE59" s="151"/>
      <c r="AF59" s="149"/>
      <c r="AG59" s="149"/>
      <c r="AJ59" s="51" t="s">
        <v>189</v>
      </c>
      <c r="AK59" s="143"/>
      <c r="AL59" s="143">
        <f>P34</f>
        <v>0</v>
      </c>
      <c r="AM59" s="143" t="s">
        <v>23</v>
      </c>
    </row>
    <row r="60" spans="1:39"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f>O34+O39+O48+O58</f>
        <v>0</v>
      </c>
      <c r="P60" s="363">
        <f>Q58+P48+P39+P34</f>
        <v>0</v>
      </c>
      <c r="Q60" s="196">
        <f>Q35+S35+Q40+Q49+S49+Q59</f>
        <v>0</v>
      </c>
      <c r="R60" s="55"/>
      <c r="S60" s="196"/>
      <c r="T60" s="55"/>
      <c r="U60" s="84">
        <f>U34+U39+U48+U58</f>
        <v>0</v>
      </c>
      <c r="V60" s="84">
        <f>V34+V39+V48+V58</f>
        <v>0</v>
      </c>
      <c r="W60" s="85">
        <f>W34+W39+W48+W58</f>
        <v>0</v>
      </c>
      <c r="X60" s="86" t="e">
        <f>ROUND(V60/U60,4)</f>
        <v>#DIV/0!</v>
      </c>
      <c r="Y60" s="86" t="e">
        <f>ROUND(Z60/U60,4)</f>
        <v>#DIV/0!</v>
      </c>
      <c r="Z60" s="84">
        <f>Z34+Z39+Z48+Z58</f>
        <v>0</v>
      </c>
      <c r="AA60" s="84">
        <f>AA34+AA39+AA48+AA58</f>
        <v>0</v>
      </c>
      <c r="AB60" s="84">
        <f>AB34+AB39+AB48+AB58</f>
        <v>0</v>
      </c>
      <c r="AC60" s="84">
        <f>AC34+AC39+AC48+AC58</f>
        <v>0</v>
      </c>
      <c r="AD60" s="86" t="e">
        <f>ROUND(AB60/AA60,4)</f>
        <v>#DIV/0!</v>
      </c>
      <c r="AE60" s="86" t="e">
        <f>ROUND(AF60/AA60,4)</f>
        <v>#DIV/0!</v>
      </c>
      <c r="AF60" s="84">
        <f>AF34+AF39+AF48+AF58</f>
        <v>0</v>
      </c>
      <c r="AG60" s="84">
        <f>P60-Z60-AF60</f>
        <v>0</v>
      </c>
      <c r="AI60" s="1">
        <v>57</v>
      </c>
      <c r="AJ60" s="51" t="s">
        <v>190</v>
      </c>
      <c r="AK60" s="143"/>
      <c r="AL60" s="143">
        <f>P48</f>
        <v>0</v>
      </c>
      <c r="AM60" s="143" t="s">
        <v>24</v>
      </c>
    </row>
    <row r="61" spans="1:39" x14ac:dyDescent="0.2">
      <c r="G61" s="1"/>
      <c r="H61" s="1"/>
      <c r="I61" s="1"/>
      <c r="J61" s="1"/>
      <c r="K61" s="1"/>
      <c r="N61" s="1050"/>
      <c r="O61" s="252"/>
      <c r="S61" s="257"/>
      <c r="Z61" s="51"/>
      <c r="AA61" s="51"/>
      <c r="AB61" s="51"/>
      <c r="AC61" s="51"/>
      <c r="AD61" s="51"/>
      <c r="AE61" s="51"/>
      <c r="AI61" s="1">
        <v>56</v>
      </c>
      <c r="AJ61" s="51"/>
      <c r="AK61" s="143"/>
      <c r="AL61" s="143">
        <f>P39</f>
        <v>0</v>
      </c>
      <c r="AM61" s="143" t="s">
        <v>191</v>
      </c>
    </row>
    <row r="62" spans="1:39" x14ac:dyDescent="0.2">
      <c r="A62" s="4" t="s">
        <v>93</v>
      </c>
      <c r="B62" s="1" t="s">
        <v>76</v>
      </c>
      <c r="G62" s="1"/>
      <c r="H62" s="4" t="s">
        <v>77</v>
      </c>
      <c r="I62" s="1"/>
      <c r="J62" s="65"/>
      <c r="K62" s="65"/>
      <c r="N62" s="1050"/>
      <c r="O62" s="509"/>
      <c r="P62" s="257"/>
      <c r="Q62" s="65"/>
      <c r="S62" s="65"/>
      <c r="U62" s="51"/>
      <c r="V62" s="143"/>
      <c r="W62" s="143"/>
      <c r="X62" s="143"/>
      <c r="AI62" s="1">
        <v>88</v>
      </c>
      <c r="AJ62" s="51"/>
      <c r="AK62" s="138">
        <f>SUM(AK59:AK61)</f>
        <v>0</v>
      </c>
      <c r="AL62" s="138">
        <f>SUM(AL59:AL61)</f>
        <v>0</v>
      </c>
      <c r="AM62" s="143">
        <f>+AK62-AL62</f>
        <v>0</v>
      </c>
    </row>
    <row r="63" spans="1:39" x14ac:dyDescent="0.2">
      <c r="B63" s="115" t="s">
        <v>78</v>
      </c>
      <c r="C63" s="116" t="s">
        <v>79</v>
      </c>
      <c r="D63" s="117"/>
      <c r="E63" s="118" t="s">
        <v>35</v>
      </c>
      <c r="F63" s="118" t="s">
        <v>80</v>
      </c>
      <c r="G63" s="1"/>
      <c r="H63" s="89" t="s">
        <v>35</v>
      </c>
      <c r="I63" s="8"/>
      <c r="J63" s="8"/>
      <c r="K63" s="8"/>
      <c r="L63" s="90"/>
      <c r="N63" s="1050"/>
      <c r="O63" s="1043"/>
      <c r="P63" s="257"/>
      <c r="Q63" s="65"/>
      <c r="S63" s="65"/>
      <c r="U63" s="51"/>
      <c r="V63" s="143"/>
      <c r="W63" s="143"/>
      <c r="X63" s="143"/>
      <c r="AJ63" s="51"/>
    </row>
    <row r="64" spans="1:39"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1051">
        <f>547803.45/8532764.09</f>
        <v>6.4199999463479832E-2</v>
      </c>
      <c r="O64" s="375"/>
      <c r="P64" s="314"/>
      <c r="Q64" s="314"/>
      <c r="S64" s="314"/>
      <c r="U64" s="51"/>
      <c r="V64" s="143"/>
      <c r="W64" s="143"/>
      <c r="X64" s="143"/>
      <c r="AJ64" s="51" t="s">
        <v>194</v>
      </c>
      <c r="AK64" s="143"/>
      <c r="AL64" s="143"/>
      <c r="AM64" s="143"/>
    </row>
    <row r="65" spans="1:39" x14ac:dyDescent="0.2">
      <c r="B65" s="97" t="s">
        <v>83</v>
      </c>
      <c r="C65" s="98" t="s">
        <v>84</v>
      </c>
      <c r="D65" s="99"/>
      <c r="E65" s="100"/>
      <c r="F65" s="101"/>
      <c r="G65" s="1"/>
      <c r="H65" s="102">
        <f>((85.98%*E64+4.4221)*E67+(E65-E66-E69)*(1-E67))</f>
        <v>0</v>
      </c>
      <c r="I65" s="103"/>
      <c r="J65" s="103"/>
      <c r="K65" s="103"/>
      <c r="L65" s="104"/>
      <c r="M65" s="561">
        <f>698277.28/7412709.99</f>
        <v>9.4199999857272176E-2</v>
      </c>
      <c r="N65" s="1051">
        <f>1065699.61/10775526.87</f>
        <v>9.8900000237297003E-2</v>
      </c>
      <c r="O65" s="65"/>
      <c r="P65" s="314"/>
      <c r="Q65" s="314"/>
      <c r="S65" s="314"/>
      <c r="U65" s="51"/>
      <c r="V65" s="138"/>
      <c r="W65" s="138"/>
      <c r="X65" s="143"/>
      <c r="Y65" s="65"/>
      <c r="Z65" s="65"/>
      <c r="AA65" s="65"/>
      <c r="AB65" s="65"/>
      <c r="AC65" s="65"/>
      <c r="AJ65" s="51" t="s">
        <v>192</v>
      </c>
      <c r="AK65" s="143"/>
      <c r="AL65" s="143"/>
      <c r="AM65" s="143"/>
    </row>
    <row r="66" spans="1:39" x14ac:dyDescent="0.2">
      <c r="B66" s="97" t="s">
        <v>85</v>
      </c>
      <c r="C66" s="98" t="s">
        <v>86</v>
      </c>
      <c r="D66" s="99"/>
      <c r="E66" s="100"/>
      <c r="F66" s="100"/>
      <c r="G66" s="1"/>
      <c r="H66" s="1"/>
      <c r="I66" s="105"/>
      <c r="J66" s="1"/>
      <c r="K66" s="1"/>
      <c r="M66" s="561">
        <f>5254120.1/13135300.26</f>
        <v>0.39999999969547706</v>
      </c>
      <c r="N66" s="1051">
        <f>7653140.6/19132851.51</f>
        <v>0.39999999979093542</v>
      </c>
      <c r="P66" s="257"/>
      <c r="Q66" s="257"/>
      <c r="U66" s="51"/>
      <c r="V66" s="143"/>
      <c r="W66" s="143"/>
      <c r="X66" s="143"/>
      <c r="Y66" s="65"/>
      <c r="Z66" s="65"/>
      <c r="AA66" s="65"/>
      <c r="AB66" s="65"/>
      <c r="AJ66" s="51" t="s">
        <v>193</v>
      </c>
      <c r="AK66" s="143"/>
      <c r="AL66" s="143"/>
      <c r="AM66" s="143"/>
    </row>
    <row r="67" spans="1:39" x14ac:dyDescent="0.2">
      <c r="B67" s="97" t="s">
        <v>87</v>
      </c>
      <c r="C67" s="98" t="s">
        <v>88</v>
      </c>
      <c r="D67" s="99"/>
      <c r="E67" s="106"/>
      <c r="F67" s="106"/>
      <c r="G67" s="1"/>
      <c r="H67" s="89" t="s">
        <v>80</v>
      </c>
      <c r="I67" s="107"/>
      <c r="J67" s="8"/>
      <c r="K67" s="8"/>
      <c r="L67" s="90"/>
      <c r="M67" s="561">
        <f>503101.38/1323950.99</f>
        <v>0.38000000287019686</v>
      </c>
      <c r="N67" s="1051"/>
      <c r="O67" s="325"/>
      <c r="P67" s="257"/>
      <c r="U67" s="51"/>
      <c r="V67" s="143"/>
      <c r="W67" s="143"/>
      <c r="X67" s="143"/>
      <c r="Y67" s="65"/>
      <c r="Z67" s="65"/>
      <c r="AA67" s="65"/>
      <c r="AB67" s="65"/>
      <c r="AC67" s="65"/>
      <c r="AJ67" s="51" t="s">
        <v>197</v>
      </c>
      <c r="AK67" s="143"/>
      <c r="AL67" s="143"/>
      <c r="AM67" s="143"/>
    </row>
    <row r="68" spans="1:39"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N68" s="1052"/>
      <c r="O68" s="325"/>
      <c r="U68" s="51"/>
      <c r="V68" s="143"/>
      <c r="W68" s="143"/>
      <c r="X68" s="143"/>
      <c r="Y68" s="65"/>
      <c r="Z68" s="65"/>
      <c r="AA68" s="65"/>
      <c r="AB68" s="65"/>
      <c r="AC68" s="65"/>
      <c r="AJ68" s="51" t="s">
        <v>195</v>
      </c>
      <c r="AK68" s="143"/>
      <c r="AL68" s="143"/>
      <c r="AM68" s="143"/>
    </row>
    <row r="69" spans="1:39" x14ac:dyDescent="0.2">
      <c r="B69" s="109" t="s">
        <v>91</v>
      </c>
      <c r="C69" s="110" t="s">
        <v>92</v>
      </c>
      <c r="D69" s="111"/>
      <c r="E69" s="112"/>
      <c r="F69" s="112"/>
      <c r="G69" s="1"/>
      <c r="H69" s="102">
        <f>((85.98%*F64+4.4221)*F67+(F65-F66-F69)*(1-F67))</f>
        <v>0</v>
      </c>
      <c r="I69" s="113"/>
      <c r="J69" s="103"/>
      <c r="K69" s="103"/>
      <c r="L69" s="104"/>
      <c r="M69" s="325"/>
      <c r="N69" s="1053"/>
      <c r="O69" s="325"/>
      <c r="U69" s="51"/>
      <c r="V69" s="143"/>
      <c r="W69" s="143"/>
      <c r="X69" s="143"/>
      <c r="Y69" s="65"/>
      <c r="Z69" s="65"/>
      <c r="AA69" s="65"/>
      <c r="AB69" s="65"/>
      <c r="AC69" s="65"/>
      <c r="AJ69" s="51" t="s">
        <v>196</v>
      </c>
      <c r="AK69" s="143"/>
      <c r="AL69" s="143"/>
      <c r="AM69" s="143"/>
    </row>
    <row r="70" spans="1:39" x14ac:dyDescent="0.2">
      <c r="A70" s="4"/>
      <c r="G70" s="1"/>
      <c r="H70" s="177"/>
      <c r="I70" s="1"/>
      <c r="J70" s="1"/>
      <c r="K70" s="1"/>
      <c r="M70" s="325"/>
      <c r="N70" s="1053"/>
      <c r="O70" s="325"/>
      <c r="U70" s="51"/>
      <c r="V70" s="143"/>
      <c r="W70" s="143"/>
      <c r="X70" s="143"/>
      <c r="Y70" s="65"/>
      <c r="Z70" s="65"/>
      <c r="AA70" s="65"/>
      <c r="AB70" s="65"/>
      <c r="AC70" s="65"/>
      <c r="AJ70" s="51"/>
      <c r="AK70" s="138">
        <f>SUM(AK64:AK69)</f>
        <v>0</v>
      </c>
      <c r="AL70" s="138">
        <f>Q58</f>
        <v>0</v>
      </c>
      <c r="AM70" s="143">
        <f>AK70-AL70</f>
        <v>0</v>
      </c>
    </row>
    <row r="71" spans="1:39" x14ac:dyDescent="0.2">
      <c r="A71" s="406" t="s">
        <v>333</v>
      </c>
      <c r="G71" s="1"/>
      <c r="H71" s="1"/>
      <c r="I71" s="1"/>
      <c r="J71" s="1"/>
      <c r="K71" s="1"/>
      <c r="U71" s="51"/>
      <c r="V71" s="143"/>
      <c r="W71" s="143"/>
      <c r="X71" s="143"/>
      <c r="Y71" s="65"/>
      <c r="Z71" s="65"/>
      <c r="AA71" s="65"/>
      <c r="AB71" s="65"/>
      <c r="AC71" s="65"/>
      <c r="AK71" s="143">
        <f>+AK59+AK64+AK65+AK66</f>
        <v>0</v>
      </c>
    </row>
    <row r="72" spans="1:39" x14ac:dyDescent="0.2">
      <c r="G72" s="1"/>
      <c r="H72" s="1"/>
      <c r="I72" s="1"/>
      <c r="J72" s="1"/>
      <c r="K72" s="1"/>
      <c r="O72" s="65"/>
      <c r="P72" s="65"/>
      <c r="Q72" s="65"/>
      <c r="U72" s="51"/>
      <c r="V72" s="138"/>
      <c r="W72" s="138"/>
      <c r="X72" s="143"/>
      <c r="Y72" s="65"/>
      <c r="Z72" s="65"/>
      <c r="AA72" s="65"/>
      <c r="AB72" s="65"/>
      <c r="AC72" s="65"/>
      <c r="AJ72" s="51"/>
      <c r="AK72" s="143">
        <f>+AK60+AK67+AK68+AK69</f>
        <v>0</v>
      </c>
      <c r="AL72" s="143"/>
      <c r="AM72" s="51"/>
    </row>
    <row r="73" spans="1:39" ht="18" x14ac:dyDescent="0.25">
      <c r="A73" s="271" t="str">
        <f>"AJUSTES PARA "&amp;UPPER(TEXT(E1,"MMMMMMM YYYY"))</f>
        <v>AJUSTES PARA MAYO 2026</v>
      </c>
      <c r="B73" s="156"/>
      <c r="C73" s="156"/>
      <c r="D73" s="156"/>
      <c r="E73" s="156"/>
      <c r="F73" s="156"/>
      <c r="G73" s="156"/>
      <c r="H73" s="156"/>
      <c r="I73" s="156"/>
      <c r="J73" s="156"/>
      <c r="K73" s="156"/>
      <c r="L73" s="156"/>
      <c r="M73" s="156"/>
      <c r="N73" s="1054"/>
      <c r="O73" s="156"/>
      <c r="P73" s="563"/>
      <c r="Q73" s="563"/>
      <c r="R73" s="156"/>
      <c r="S73" s="564"/>
      <c r="T73" s="156"/>
      <c r="U73" s="51"/>
      <c r="V73" s="374"/>
      <c r="W73" s="374"/>
      <c r="X73" s="143"/>
      <c r="Y73" s="360"/>
      <c r="Z73" s="360"/>
      <c r="AA73" s="65"/>
      <c r="AB73" s="65"/>
      <c r="AJ73" s="65"/>
      <c r="AK73" s="407">
        <f>SUM(AK71:AK72)</f>
        <v>0</v>
      </c>
      <c r="AL73" s="65"/>
      <c r="AM73" s="65"/>
    </row>
    <row r="74" spans="1:39" ht="18" x14ac:dyDescent="0.25">
      <c r="A74" s="271"/>
      <c r="B74" s="156"/>
      <c r="C74" s="156"/>
      <c r="D74" s="156"/>
      <c r="E74" s="156"/>
      <c r="F74" s="156"/>
      <c r="G74" s="156"/>
      <c r="H74" s="156"/>
      <c r="I74" s="156"/>
      <c r="J74" s="156"/>
      <c r="K74" s="156"/>
      <c r="L74" s="156"/>
      <c r="M74" s="156"/>
      <c r="N74" s="1054"/>
      <c r="O74" s="156"/>
      <c r="P74" s="156"/>
      <c r="Q74" s="156"/>
      <c r="R74" s="156"/>
      <c r="S74" s="156"/>
      <c r="T74" s="156"/>
      <c r="U74" s="51"/>
      <c r="V74" s="374"/>
      <c r="W74" s="374"/>
      <c r="X74" s="143"/>
      <c r="Y74" s="360"/>
      <c r="Z74" s="360"/>
      <c r="AA74" s="65"/>
      <c r="AB74" s="65"/>
    </row>
    <row r="75" spans="1:39" ht="18" x14ac:dyDescent="0.25">
      <c r="A75" s="271"/>
      <c r="B75" s="156"/>
      <c r="C75" s="156"/>
      <c r="D75" s="156"/>
      <c r="E75" s="156"/>
      <c r="F75" s="156"/>
      <c r="G75" s="156"/>
      <c r="H75" s="156"/>
      <c r="I75" s="156"/>
      <c r="J75" s="156"/>
      <c r="K75" s="156"/>
      <c r="L75" s="156"/>
      <c r="M75" s="156"/>
      <c r="N75" s="1054"/>
      <c r="O75" s="156"/>
      <c r="P75" s="156"/>
      <c r="Q75" s="156"/>
      <c r="R75" s="156"/>
      <c r="S75" s="156"/>
      <c r="T75" s="156"/>
      <c r="U75" s="51"/>
      <c r="V75" s="374"/>
      <c r="W75" s="374"/>
      <c r="X75" s="143"/>
      <c r="Y75" s="360"/>
      <c r="Z75" s="360"/>
      <c r="AA75" s="65"/>
      <c r="AB75" s="65"/>
    </row>
    <row r="76" spans="1:39" ht="18" x14ac:dyDescent="0.25">
      <c r="A76" s="271"/>
      <c r="B76" s="156"/>
      <c r="C76" s="156"/>
      <c r="D76" s="156"/>
      <c r="E76" s="156"/>
      <c r="F76" s="156"/>
      <c r="G76" s="156"/>
      <c r="H76" s="156"/>
      <c r="I76" s="156"/>
      <c r="J76" s="156"/>
      <c r="K76" s="156"/>
      <c r="L76" s="156"/>
      <c r="M76" s="156"/>
      <c r="N76" s="1054"/>
      <c r="O76" s="156"/>
      <c r="P76" s="156"/>
      <c r="Q76" s="156"/>
      <c r="R76" s="156"/>
      <c r="S76" s="156"/>
      <c r="T76" s="156"/>
      <c r="U76" s="51"/>
      <c r="V76" s="374"/>
      <c r="W76" s="374"/>
      <c r="X76" s="143"/>
      <c r="Y76" s="360"/>
      <c r="Z76" s="360"/>
      <c r="AA76" s="65"/>
      <c r="AB76" s="65"/>
    </row>
    <row r="77" spans="1:39" ht="18" x14ac:dyDescent="0.25">
      <c r="A77" s="271"/>
      <c r="B77" s="156"/>
      <c r="C77" s="156"/>
      <c r="D77" s="156"/>
      <c r="E77" s="156"/>
      <c r="F77" s="156"/>
      <c r="G77" s="156"/>
      <c r="H77" s="156"/>
      <c r="I77" s="156"/>
      <c r="J77" s="156"/>
      <c r="K77" s="156"/>
      <c r="L77" s="156"/>
      <c r="M77" s="156"/>
      <c r="N77" s="1054"/>
      <c r="O77" s="156"/>
      <c r="P77" s="156"/>
      <c r="Q77" s="156"/>
      <c r="R77" s="156"/>
      <c r="S77" s="156"/>
      <c r="T77" s="156"/>
      <c r="U77" s="51"/>
      <c r="V77" s="374"/>
      <c r="W77" s="374"/>
      <c r="X77" s="143"/>
      <c r="Y77" s="360"/>
      <c r="Z77" s="360"/>
      <c r="AA77" s="65"/>
      <c r="AB77" s="65"/>
    </row>
    <row r="78" spans="1:39" ht="18" x14ac:dyDescent="0.25">
      <c r="A78" s="271"/>
      <c r="B78" s="156"/>
      <c r="C78" s="156"/>
      <c r="D78" s="156"/>
      <c r="E78" s="156"/>
      <c r="F78" s="156"/>
      <c r="G78" s="156"/>
      <c r="H78" s="156"/>
      <c r="I78" s="156"/>
      <c r="J78" s="156"/>
      <c r="K78" s="156"/>
      <c r="L78" s="156"/>
      <c r="M78" s="156"/>
      <c r="N78" s="1054"/>
      <c r="O78" s="156"/>
      <c r="P78" s="156"/>
      <c r="Q78" s="156"/>
      <c r="R78" s="156"/>
      <c r="S78" s="156"/>
      <c r="T78" s="156"/>
      <c r="U78" s="51"/>
      <c r="V78" s="374"/>
      <c r="W78" s="374"/>
      <c r="X78" s="143"/>
      <c r="Y78" s="360"/>
      <c r="Z78" s="360"/>
      <c r="AA78" s="65"/>
      <c r="AB78" s="65"/>
    </row>
    <row r="79" spans="1:39" ht="18" x14ac:dyDescent="0.25">
      <c r="A79" s="271"/>
      <c r="B79" s="156"/>
      <c r="C79" s="156"/>
      <c r="D79" s="156"/>
      <c r="E79" s="156"/>
      <c r="F79" s="156"/>
      <c r="G79" s="156"/>
      <c r="H79" s="156"/>
      <c r="I79" s="156"/>
      <c r="J79" s="156"/>
      <c r="K79" s="156"/>
      <c r="L79" s="156"/>
      <c r="M79" s="156"/>
      <c r="N79" s="1054"/>
      <c r="O79" s="156"/>
      <c r="P79" s="156"/>
      <c r="Q79" s="156"/>
      <c r="R79" s="156"/>
      <c r="S79" s="156"/>
      <c r="T79" s="156"/>
      <c r="U79" s="51"/>
      <c r="V79" s="374"/>
      <c r="W79" s="374"/>
      <c r="X79" s="143"/>
      <c r="Y79" s="360"/>
      <c r="Z79" s="360"/>
      <c r="AA79" s="65"/>
      <c r="AB79" s="65"/>
    </row>
    <row r="80" spans="1:39" ht="18" x14ac:dyDescent="0.25">
      <c r="A80" s="271"/>
      <c r="B80" s="156"/>
      <c r="C80" s="156"/>
      <c r="D80" s="156"/>
      <c r="E80" s="156"/>
      <c r="F80" s="156"/>
      <c r="G80" s="156"/>
      <c r="H80" s="156"/>
      <c r="I80" s="156"/>
      <c r="J80" s="156"/>
      <c r="K80" s="156"/>
      <c r="L80" s="156"/>
      <c r="M80" s="156"/>
      <c r="N80" s="1054"/>
      <c r="O80" s="156"/>
      <c r="P80" s="156"/>
      <c r="Q80" s="156"/>
      <c r="R80" s="156"/>
      <c r="S80" s="156"/>
      <c r="T80" s="156"/>
      <c r="U80" s="51"/>
      <c r="V80" s="374"/>
      <c r="W80" s="374"/>
      <c r="X80" s="143"/>
      <c r="Y80" s="360"/>
      <c r="Z80" s="360"/>
      <c r="AA80" s="65"/>
      <c r="AB80" s="65"/>
    </row>
    <row r="81" spans="1:28" ht="18" x14ac:dyDescent="0.25">
      <c r="A81" s="271"/>
      <c r="B81" s="156"/>
      <c r="C81" s="156"/>
      <c r="D81" s="156"/>
      <c r="E81" s="156"/>
      <c r="F81" s="156"/>
      <c r="G81" s="156"/>
      <c r="H81" s="156"/>
      <c r="I81" s="156"/>
      <c r="J81" s="156"/>
      <c r="K81" s="156"/>
      <c r="L81" s="156"/>
      <c r="M81" s="156"/>
      <c r="N81" s="1054"/>
      <c r="O81" s="156"/>
      <c r="P81" s="156"/>
      <c r="Q81" s="156"/>
      <c r="R81" s="156"/>
      <c r="S81" s="156"/>
      <c r="T81" s="156"/>
      <c r="U81" s="51"/>
      <c r="V81" s="374"/>
      <c r="W81" s="374"/>
      <c r="X81" s="143"/>
      <c r="Y81" s="360"/>
      <c r="Z81" s="360"/>
      <c r="AA81" s="65"/>
      <c r="AB81" s="65"/>
    </row>
    <row r="82" spans="1:28" ht="18" x14ac:dyDescent="0.25">
      <c r="A82" s="271"/>
      <c r="B82" s="156"/>
      <c r="C82" s="156"/>
      <c r="D82" s="156"/>
      <c r="E82" s="156"/>
      <c r="F82" s="156"/>
      <c r="G82" s="156"/>
      <c r="H82" s="156"/>
      <c r="I82" s="156"/>
      <c r="J82" s="156"/>
      <c r="K82" s="156"/>
      <c r="L82" s="156"/>
      <c r="M82" s="156"/>
      <c r="N82" s="1054"/>
      <c r="O82" s="156"/>
      <c r="P82" s="156"/>
      <c r="Q82" s="156"/>
      <c r="R82" s="156"/>
      <c r="S82" s="156"/>
      <c r="T82" s="156"/>
      <c r="U82" s="51"/>
      <c r="V82" s="374"/>
      <c r="W82" s="374"/>
      <c r="X82" s="143"/>
      <c r="Y82" s="360"/>
      <c r="Z82" s="360"/>
      <c r="AA82" s="65"/>
      <c r="AB82" s="65"/>
    </row>
    <row r="83" spans="1:28" ht="18" x14ac:dyDescent="0.25">
      <c r="A83" s="271"/>
      <c r="B83" s="156"/>
      <c r="C83" s="156"/>
      <c r="D83" s="156"/>
      <c r="E83" s="156"/>
      <c r="F83" s="156"/>
      <c r="G83" s="156"/>
      <c r="H83" s="156"/>
      <c r="I83" s="156"/>
      <c r="J83" s="156"/>
      <c r="K83" s="156"/>
      <c r="L83" s="156"/>
      <c r="M83" s="156"/>
      <c r="N83" s="1054"/>
      <c r="O83" s="156"/>
      <c r="P83" s="156"/>
      <c r="Q83" s="156"/>
      <c r="R83" s="156"/>
      <c r="S83" s="156"/>
      <c r="T83" s="156"/>
      <c r="U83" s="51"/>
      <c r="V83" s="374"/>
      <c r="W83" s="374"/>
      <c r="X83" s="143"/>
      <c r="Y83" s="360"/>
      <c r="Z83" s="360"/>
      <c r="AA83" s="65"/>
      <c r="AB83" s="65"/>
    </row>
    <row r="84" spans="1:28" ht="18" x14ac:dyDescent="0.25">
      <c r="A84" s="271"/>
      <c r="B84" s="156"/>
      <c r="C84" s="156"/>
      <c r="D84" s="156"/>
      <c r="E84" s="156"/>
      <c r="F84" s="156"/>
      <c r="G84" s="156"/>
      <c r="H84" s="156"/>
      <c r="I84" s="156"/>
      <c r="J84" s="156"/>
      <c r="K84" s="156"/>
      <c r="L84" s="156"/>
      <c r="M84" s="156"/>
      <c r="N84" s="1054"/>
      <c r="O84" s="156"/>
      <c r="P84" s="156"/>
      <c r="Q84" s="156"/>
      <c r="R84" s="156"/>
      <c r="S84" s="156"/>
      <c r="T84" s="156"/>
      <c r="U84" s="51"/>
      <c r="V84" s="374"/>
      <c r="W84" s="374"/>
      <c r="X84" s="143"/>
      <c r="Y84" s="360"/>
      <c r="Z84" s="360"/>
      <c r="AA84" s="65"/>
      <c r="AB84" s="65"/>
    </row>
    <row r="85" spans="1:28" ht="18" x14ac:dyDescent="0.25">
      <c r="A85" s="271"/>
      <c r="B85" s="156"/>
      <c r="C85" s="156"/>
      <c r="D85" s="156"/>
      <c r="E85" s="156"/>
      <c r="F85" s="156"/>
      <c r="G85" s="156"/>
      <c r="H85" s="156"/>
      <c r="I85" s="156"/>
      <c r="J85" s="156"/>
      <c r="K85" s="156"/>
      <c r="L85" s="156"/>
      <c r="M85" s="156"/>
      <c r="N85" s="1054"/>
      <c r="O85" s="156"/>
      <c r="P85" s="156"/>
      <c r="Q85" s="156"/>
      <c r="R85" s="156"/>
      <c r="S85" s="156"/>
      <c r="T85" s="156"/>
      <c r="U85" s="51"/>
      <c r="V85" s="374"/>
      <c r="W85" s="374"/>
      <c r="X85" s="143"/>
      <c r="Y85" s="360"/>
      <c r="Z85" s="360"/>
      <c r="AA85" s="65"/>
      <c r="AB85" s="65"/>
    </row>
    <row r="86" spans="1:28" ht="18" x14ac:dyDescent="0.25">
      <c r="A86" s="271"/>
      <c r="B86" s="156"/>
      <c r="C86" s="156"/>
      <c r="D86" s="156"/>
      <c r="E86" s="156"/>
      <c r="F86" s="156"/>
      <c r="G86" s="156"/>
      <c r="H86" s="156"/>
      <c r="I86" s="156"/>
      <c r="J86" s="156"/>
      <c r="K86" s="156"/>
      <c r="L86" s="156"/>
      <c r="M86" s="156"/>
      <c r="N86" s="1054"/>
      <c r="O86" s="156"/>
      <c r="P86" s="156"/>
      <c r="Q86" s="156"/>
      <c r="R86" s="156"/>
      <c r="S86" s="156"/>
      <c r="T86" s="156"/>
      <c r="U86" s="51"/>
      <c r="V86" s="374"/>
      <c r="W86" s="374"/>
      <c r="X86" s="143"/>
      <c r="Y86" s="360"/>
      <c r="Z86" s="360"/>
      <c r="AA86" s="65"/>
      <c r="AB86" s="65"/>
    </row>
    <row r="87" spans="1:28" ht="18" x14ac:dyDescent="0.25">
      <c r="A87" s="271"/>
      <c r="B87" s="156"/>
      <c r="C87" s="156"/>
      <c r="D87" s="156"/>
      <c r="E87" s="156"/>
      <c r="F87" s="156"/>
      <c r="G87" s="156"/>
      <c r="H87" s="156"/>
      <c r="I87" s="156"/>
      <c r="J87" s="156"/>
      <c r="K87" s="156"/>
      <c r="L87" s="156"/>
      <c r="M87" s="156"/>
      <c r="N87" s="1054"/>
      <c r="O87" s="156"/>
      <c r="P87" s="156"/>
      <c r="Q87" s="156"/>
      <c r="R87" s="156"/>
      <c r="S87" s="156"/>
      <c r="T87" s="156"/>
      <c r="U87" s="51"/>
      <c r="V87" s="374"/>
      <c r="W87" s="374"/>
      <c r="X87" s="143"/>
      <c r="Y87" s="360"/>
      <c r="Z87" s="360"/>
      <c r="AA87" s="65"/>
      <c r="AB87" s="65"/>
    </row>
    <row r="88" spans="1:28" ht="18" x14ac:dyDescent="0.25">
      <c r="A88" s="271"/>
      <c r="B88" s="156"/>
      <c r="C88" s="156"/>
      <c r="D88" s="156"/>
      <c r="E88" s="156"/>
      <c r="F88" s="156"/>
      <c r="G88" s="156"/>
      <c r="H88" s="156"/>
      <c r="I88" s="156"/>
      <c r="J88" s="156"/>
      <c r="K88" s="156"/>
      <c r="L88" s="156"/>
      <c r="M88" s="156"/>
      <c r="N88" s="1054"/>
      <c r="O88" s="156"/>
      <c r="P88" s="156"/>
      <c r="Q88" s="156"/>
      <c r="R88" s="156"/>
      <c r="S88" s="156"/>
      <c r="T88" s="156"/>
      <c r="U88" s="51"/>
      <c r="V88" s="374"/>
      <c r="W88" s="374"/>
      <c r="X88" s="143"/>
      <c r="Y88" s="360"/>
      <c r="Z88" s="360"/>
      <c r="AA88" s="65"/>
      <c r="AB88" s="65"/>
    </row>
    <row r="89" spans="1:28" ht="18" x14ac:dyDescent="0.25">
      <c r="A89" s="271"/>
      <c r="B89" s="156"/>
      <c r="C89" s="156"/>
      <c r="D89" s="156"/>
      <c r="E89" s="156"/>
      <c r="F89" s="156"/>
      <c r="G89" s="156"/>
      <c r="H89" s="156"/>
      <c r="I89" s="156"/>
      <c r="J89" s="156"/>
      <c r="K89" s="156"/>
      <c r="L89" s="156"/>
      <c r="M89" s="156"/>
      <c r="N89" s="1054"/>
      <c r="O89" s="156"/>
      <c r="P89" s="156"/>
      <c r="Q89" s="156"/>
      <c r="R89" s="156"/>
      <c r="S89" s="156"/>
      <c r="T89" s="156"/>
      <c r="U89" s="51"/>
      <c r="V89" s="374"/>
      <c r="W89" s="374"/>
      <c r="X89" s="143"/>
      <c r="Y89" s="360"/>
      <c r="Z89" s="360"/>
      <c r="AA89" s="65"/>
      <c r="AB89" s="65"/>
    </row>
    <row r="90" spans="1:28" ht="18" x14ac:dyDescent="0.25">
      <c r="A90" s="271"/>
      <c r="B90" s="156"/>
      <c r="C90" s="156"/>
      <c r="D90" s="156"/>
      <c r="E90" s="156"/>
      <c r="F90" s="156"/>
      <c r="G90" s="156"/>
      <c r="H90" s="156"/>
      <c r="I90" s="156"/>
      <c r="J90" s="156"/>
      <c r="K90" s="156"/>
      <c r="L90" s="156"/>
      <c r="M90" s="156"/>
      <c r="N90" s="1054"/>
      <c r="O90" s="156"/>
      <c r="P90" s="156"/>
      <c r="Q90" s="156"/>
      <c r="R90" s="156"/>
      <c r="S90" s="156"/>
      <c r="T90" s="156"/>
      <c r="U90" s="51"/>
      <c r="V90" s="374"/>
      <c r="W90" s="374"/>
      <c r="X90" s="143"/>
      <c r="Y90" s="360"/>
      <c r="Z90" s="360"/>
      <c r="AA90" s="65"/>
      <c r="AB90" s="65"/>
    </row>
    <row r="91" spans="1:28" ht="18" x14ac:dyDescent="0.25">
      <c r="A91" s="271"/>
      <c r="B91" s="156"/>
      <c r="C91" s="156"/>
      <c r="D91" s="156"/>
      <c r="E91" s="156"/>
      <c r="F91" s="156"/>
      <c r="G91" s="156"/>
      <c r="H91" s="156"/>
      <c r="I91" s="156"/>
      <c r="J91" s="156"/>
      <c r="K91" s="156"/>
      <c r="L91" s="156"/>
      <c r="M91" s="156"/>
      <c r="N91" s="1054"/>
      <c r="O91" s="156"/>
      <c r="P91" s="156"/>
      <c r="Q91" s="156"/>
      <c r="R91" s="156"/>
      <c r="S91" s="156"/>
      <c r="T91" s="156"/>
      <c r="U91" s="51"/>
      <c r="V91" s="374"/>
      <c r="W91" s="374"/>
      <c r="X91" s="143"/>
      <c r="Y91" s="360"/>
      <c r="Z91" s="360"/>
      <c r="AA91" s="65"/>
      <c r="AB91" s="65"/>
    </row>
    <row r="92" spans="1:28" ht="18" x14ac:dyDescent="0.25">
      <c r="A92" s="271"/>
      <c r="B92" s="156"/>
      <c r="C92" s="156"/>
      <c r="D92" s="156"/>
      <c r="E92" s="156"/>
      <c r="F92" s="156"/>
      <c r="G92" s="156"/>
      <c r="H92" s="156"/>
      <c r="I92" s="156"/>
      <c r="J92" s="156"/>
      <c r="K92" s="156"/>
      <c r="L92" s="156"/>
      <c r="M92" s="156"/>
      <c r="N92" s="1054"/>
      <c r="O92" s="156"/>
      <c r="P92" s="156"/>
      <c r="Q92" s="156"/>
      <c r="R92" s="156"/>
      <c r="S92" s="156"/>
      <c r="T92" s="156"/>
      <c r="U92" s="51"/>
      <c r="V92" s="374"/>
      <c r="W92" s="374"/>
      <c r="X92" s="143"/>
      <c r="Y92" s="360"/>
      <c r="Z92" s="360"/>
      <c r="AA92" s="65"/>
      <c r="AB92" s="65"/>
    </row>
    <row r="93" spans="1:28" ht="18" x14ac:dyDescent="0.25">
      <c r="A93" s="271"/>
      <c r="B93" s="156"/>
      <c r="C93" s="156"/>
      <c r="D93" s="156"/>
      <c r="E93" s="156"/>
      <c r="F93" s="156"/>
      <c r="G93" s="156"/>
      <c r="H93" s="156"/>
      <c r="I93" s="156"/>
      <c r="J93" s="156"/>
      <c r="K93" s="156"/>
      <c r="L93" s="156"/>
      <c r="M93" s="156"/>
      <c r="N93" s="1054"/>
      <c r="O93" s="156"/>
      <c r="P93" s="156"/>
      <c r="Q93" s="156"/>
      <c r="R93" s="156"/>
      <c r="S93" s="156"/>
      <c r="T93" s="156"/>
      <c r="U93" s="51"/>
      <c r="V93" s="374"/>
      <c r="W93" s="374"/>
      <c r="X93" s="143"/>
      <c r="Y93" s="360"/>
      <c r="Z93" s="360"/>
      <c r="AA93" s="65"/>
      <c r="AB93" s="65"/>
    </row>
    <row r="94" spans="1:28" ht="18" x14ac:dyDescent="0.25">
      <c r="A94" s="271"/>
      <c r="B94" s="156"/>
      <c r="C94" s="156"/>
      <c r="D94" s="156"/>
      <c r="E94" s="156"/>
      <c r="F94" s="156"/>
      <c r="G94" s="156"/>
      <c r="H94" s="156"/>
      <c r="I94" s="156"/>
      <c r="J94" s="156"/>
      <c r="K94" s="156"/>
      <c r="L94" s="156"/>
      <c r="M94" s="156"/>
      <c r="N94" s="1054"/>
      <c r="O94" s="156"/>
      <c r="P94" s="156"/>
      <c r="Q94" s="156"/>
      <c r="R94" s="156"/>
      <c r="S94" s="156"/>
      <c r="T94" s="156"/>
      <c r="U94" s="51"/>
      <c r="V94" s="374"/>
      <c r="W94" s="374"/>
      <c r="X94" s="143"/>
      <c r="Y94" s="360"/>
      <c r="Z94" s="360"/>
      <c r="AA94" s="65"/>
      <c r="AB94" s="65"/>
    </row>
    <row r="95" spans="1:28" ht="18" x14ac:dyDescent="0.25">
      <c r="A95" s="271"/>
      <c r="B95" s="156"/>
      <c r="C95" s="156"/>
      <c r="D95" s="156"/>
      <c r="E95" s="156"/>
      <c r="F95" s="156"/>
      <c r="G95" s="156"/>
      <c r="H95" s="156"/>
      <c r="I95" s="156"/>
      <c r="J95" s="156"/>
      <c r="K95" s="156"/>
      <c r="L95" s="156"/>
      <c r="M95" s="156"/>
      <c r="N95" s="1054"/>
      <c r="O95" s="156"/>
      <c r="P95" s="156"/>
      <c r="Q95" s="156"/>
      <c r="R95" s="156"/>
      <c r="S95" s="156"/>
      <c r="T95" s="156"/>
      <c r="U95" s="51"/>
      <c r="V95" s="374"/>
      <c r="W95" s="374"/>
      <c r="X95" s="143"/>
      <c r="Y95" s="360"/>
      <c r="Z95" s="360"/>
      <c r="AA95" s="65"/>
      <c r="AB95" s="65"/>
    </row>
    <row r="96" spans="1:28" ht="18" x14ac:dyDescent="0.25">
      <c r="A96" s="271"/>
      <c r="B96" s="156"/>
      <c r="C96" s="156"/>
      <c r="D96" s="156"/>
      <c r="E96" s="156"/>
      <c r="F96" s="156"/>
      <c r="G96" s="156"/>
      <c r="H96" s="156"/>
      <c r="I96" s="156"/>
      <c r="J96" s="156"/>
      <c r="K96" s="156"/>
      <c r="L96" s="156"/>
      <c r="M96" s="156"/>
      <c r="N96" s="1054"/>
      <c r="O96" s="156"/>
      <c r="P96" s="156"/>
      <c r="Q96" s="156"/>
      <c r="R96" s="156"/>
      <c r="S96" s="156"/>
      <c r="T96" s="156"/>
      <c r="U96" s="51"/>
      <c r="V96" s="374"/>
      <c r="W96" s="374"/>
      <c r="X96" s="143"/>
      <c r="Y96" s="360"/>
      <c r="Z96" s="360"/>
      <c r="AA96" s="65"/>
      <c r="AB96" s="65"/>
    </row>
    <row r="97" spans="1:28" ht="18" x14ac:dyDescent="0.25">
      <c r="A97" s="271"/>
      <c r="B97" s="156"/>
      <c r="C97" s="156"/>
      <c r="D97" s="156"/>
      <c r="E97" s="156"/>
      <c r="F97" s="156"/>
      <c r="G97" s="156"/>
      <c r="H97" s="156"/>
      <c r="I97" s="156"/>
      <c r="J97" s="156"/>
      <c r="K97" s="156"/>
      <c r="L97" s="156"/>
      <c r="M97" s="156"/>
      <c r="N97" s="1054"/>
      <c r="O97" s="156"/>
      <c r="P97" s="156"/>
      <c r="Q97" s="156"/>
      <c r="R97" s="156"/>
      <c r="S97" s="156"/>
      <c r="T97" s="156"/>
      <c r="U97" s="51"/>
      <c r="V97" s="374"/>
      <c r="W97" s="374"/>
      <c r="X97" s="143"/>
      <c r="Y97" s="360"/>
      <c r="Z97" s="360"/>
      <c r="AA97" s="65"/>
      <c r="AB97" s="65"/>
    </row>
    <row r="98" spans="1:28" ht="18" x14ac:dyDescent="0.25">
      <c r="A98" s="271"/>
      <c r="B98" s="156"/>
      <c r="C98" s="156"/>
      <c r="D98" s="156"/>
      <c r="E98" s="156"/>
      <c r="F98" s="156"/>
      <c r="G98" s="156"/>
      <c r="H98" s="156"/>
      <c r="I98" s="156"/>
      <c r="J98" s="156"/>
      <c r="K98" s="156"/>
      <c r="L98" s="156"/>
      <c r="M98" s="156"/>
      <c r="N98" s="1054"/>
      <c r="O98" s="156"/>
      <c r="P98" s="156"/>
      <c r="Q98" s="156"/>
      <c r="R98" s="156"/>
      <c r="S98" s="156"/>
      <c r="T98" s="156"/>
      <c r="U98" s="51"/>
      <c r="V98" s="374"/>
      <c r="W98" s="374"/>
      <c r="X98" s="143"/>
      <c r="Y98" s="360"/>
      <c r="Z98" s="360"/>
      <c r="AA98" s="65"/>
      <c r="AB98" s="65"/>
    </row>
    <row r="99" spans="1:28" ht="18" x14ac:dyDescent="0.25">
      <c r="A99" s="271"/>
      <c r="B99" s="156"/>
      <c r="C99" s="156"/>
      <c r="D99" s="156"/>
      <c r="E99" s="156"/>
      <c r="F99" s="156"/>
      <c r="G99" s="156"/>
      <c r="H99" s="156"/>
      <c r="I99" s="156"/>
      <c r="J99" s="156"/>
      <c r="K99" s="156"/>
      <c r="L99" s="156"/>
      <c r="M99" s="156"/>
      <c r="N99" s="1054"/>
      <c r="O99" s="156"/>
      <c r="P99" s="156"/>
      <c r="Q99" s="156"/>
      <c r="R99" s="156"/>
      <c r="S99" s="156"/>
      <c r="T99" s="156"/>
      <c r="U99" s="51"/>
      <c r="V99" s="374"/>
      <c r="W99" s="374"/>
      <c r="X99" s="143"/>
      <c r="Y99" s="360"/>
      <c r="Z99" s="360"/>
      <c r="AA99" s="65"/>
      <c r="AB99" s="65"/>
    </row>
    <row r="100" spans="1:28" ht="18" x14ac:dyDescent="0.25">
      <c r="A100" s="271"/>
      <c r="B100" s="156"/>
      <c r="C100" s="156"/>
      <c r="D100" s="156"/>
      <c r="E100" s="156"/>
      <c r="F100" s="156"/>
      <c r="G100" s="156"/>
      <c r="H100" s="156"/>
      <c r="I100" s="156"/>
      <c r="J100" s="156"/>
      <c r="K100" s="156"/>
      <c r="L100" s="156"/>
      <c r="M100" s="156"/>
      <c r="N100" s="1054"/>
      <c r="O100" s="156"/>
      <c r="P100" s="156"/>
      <c r="Q100" s="156"/>
      <c r="R100" s="156"/>
      <c r="S100" s="156"/>
      <c r="T100" s="156"/>
      <c r="U100" s="51"/>
      <c r="V100" s="374"/>
      <c r="W100" s="374"/>
      <c r="X100" s="143"/>
      <c r="Y100" s="360"/>
      <c r="Z100" s="360"/>
      <c r="AA100" s="65"/>
      <c r="AB100" s="65"/>
    </row>
    <row r="101" spans="1:28" ht="18" x14ac:dyDescent="0.25">
      <c r="A101" s="271"/>
      <c r="B101" s="156"/>
      <c r="C101" s="156"/>
      <c r="D101" s="156"/>
      <c r="E101" s="156"/>
      <c r="F101" s="156"/>
      <c r="G101" s="156"/>
      <c r="H101" s="156"/>
      <c r="I101" s="156"/>
      <c r="J101" s="156"/>
      <c r="K101" s="156"/>
      <c r="L101" s="156"/>
      <c r="M101" s="156"/>
      <c r="N101" s="1054"/>
      <c r="O101" s="156"/>
      <c r="P101" s="156"/>
      <c r="Q101" s="156"/>
      <c r="R101" s="156"/>
      <c r="S101" s="156"/>
      <c r="T101" s="156"/>
      <c r="U101" s="51"/>
      <c r="V101" s="374"/>
      <c r="W101" s="374"/>
      <c r="X101" s="143"/>
      <c r="Y101" s="360"/>
      <c r="Z101" s="360"/>
      <c r="AA101" s="65"/>
      <c r="AB101" s="65"/>
    </row>
    <row r="102" spans="1:28" ht="18" x14ac:dyDescent="0.25">
      <c r="A102" s="271"/>
      <c r="B102" s="156"/>
      <c r="C102" s="156"/>
      <c r="D102" s="156"/>
      <c r="E102" s="156"/>
      <c r="F102" s="156"/>
      <c r="G102" s="156"/>
      <c r="H102" s="156"/>
      <c r="I102" s="156"/>
      <c r="J102" s="156"/>
      <c r="K102" s="156"/>
      <c r="L102" s="156"/>
      <c r="M102" s="156"/>
      <c r="N102" s="1054"/>
      <c r="O102" s="156"/>
      <c r="P102" s="156"/>
      <c r="Q102" s="156"/>
      <c r="R102" s="156"/>
      <c r="S102" s="156"/>
      <c r="T102" s="156"/>
      <c r="U102" s="51"/>
      <c r="V102" s="374"/>
      <c r="W102" s="374"/>
      <c r="X102" s="143"/>
      <c r="Y102" s="360"/>
      <c r="Z102" s="360"/>
      <c r="AA102" s="65"/>
      <c r="AB102" s="65"/>
    </row>
    <row r="103" spans="1:28" ht="18" x14ac:dyDescent="0.25">
      <c r="A103" s="271"/>
      <c r="B103" s="156"/>
      <c r="C103" s="156"/>
      <c r="D103" s="156"/>
      <c r="E103" s="156"/>
      <c r="F103" s="156"/>
      <c r="G103" s="156"/>
      <c r="H103" s="156"/>
      <c r="I103" s="156"/>
      <c r="J103" s="156"/>
      <c r="K103" s="156"/>
      <c r="L103" s="156"/>
      <c r="M103" s="156"/>
      <c r="N103" s="1054"/>
      <c r="O103" s="156"/>
      <c r="P103" s="156"/>
      <c r="Q103" s="156"/>
      <c r="R103" s="156"/>
      <c r="S103" s="156"/>
      <c r="T103" s="156"/>
      <c r="U103" s="51"/>
      <c r="V103" s="374"/>
      <c r="W103" s="374"/>
      <c r="X103" s="143"/>
      <c r="Y103" s="360"/>
      <c r="Z103" s="360"/>
      <c r="AA103" s="65"/>
      <c r="AB103" s="65"/>
    </row>
    <row r="104" spans="1:28" ht="18" x14ac:dyDescent="0.25">
      <c r="A104" s="271"/>
      <c r="B104" s="156"/>
      <c r="C104" s="156"/>
      <c r="D104" s="156"/>
      <c r="E104" s="156"/>
      <c r="F104" s="156"/>
      <c r="G104" s="156"/>
      <c r="H104" s="156"/>
      <c r="I104" s="156"/>
      <c r="J104" s="156"/>
      <c r="K104" s="156"/>
      <c r="L104" s="156"/>
      <c r="M104" s="156"/>
      <c r="N104" s="1054"/>
      <c r="O104" s="156"/>
      <c r="P104" s="156"/>
      <c r="Q104" s="156"/>
      <c r="R104" s="156"/>
      <c r="S104" s="156"/>
      <c r="T104" s="156"/>
      <c r="U104" s="51"/>
      <c r="V104" s="374"/>
      <c r="W104" s="374"/>
      <c r="X104" s="143"/>
      <c r="Y104" s="360"/>
      <c r="Z104" s="360"/>
      <c r="AA104" s="65"/>
      <c r="AB104" s="65"/>
    </row>
    <row r="105" spans="1:28" ht="18" x14ac:dyDescent="0.25">
      <c r="A105" s="271"/>
      <c r="B105" s="156"/>
      <c r="C105" s="156"/>
      <c r="D105" s="156"/>
      <c r="E105" s="156"/>
      <c r="F105" s="156"/>
      <c r="G105" s="156"/>
      <c r="H105" s="156"/>
      <c r="I105" s="156"/>
      <c r="J105" s="156"/>
      <c r="K105" s="156"/>
      <c r="L105" s="156"/>
      <c r="M105" s="156"/>
      <c r="N105" s="1054"/>
      <c r="O105" s="156"/>
      <c r="P105" s="156"/>
      <c r="Q105" s="156"/>
      <c r="R105" s="156"/>
      <c r="S105" s="156"/>
      <c r="T105" s="156"/>
      <c r="U105" s="51"/>
      <c r="V105" s="374"/>
      <c r="W105" s="374"/>
      <c r="X105" s="143"/>
      <c r="Y105" s="360"/>
      <c r="Z105" s="360"/>
      <c r="AA105" s="65"/>
      <c r="AB105" s="65"/>
    </row>
    <row r="106" spans="1:28" ht="18" x14ac:dyDescent="0.25">
      <c r="A106" s="271"/>
      <c r="B106" s="156"/>
      <c r="C106" s="156"/>
      <c r="D106" s="156"/>
      <c r="E106" s="156"/>
      <c r="F106" s="156"/>
      <c r="G106" s="156"/>
      <c r="H106" s="156"/>
      <c r="I106" s="156"/>
      <c r="J106" s="156"/>
      <c r="K106" s="156"/>
      <c r="L106" s="156"/>
      <c r="M106" s="156"/>
      <c r="N106" s="1054"/>
      <c r="O106" s="156"/>
      <c r="P106" s="156"/>
      <c r="Q106" s="156"/>
      <c r="R106" s="156"/>
      <c r="S106" s="156"/>
      <c r="T106" s="156"/>
      <c r="U106" s="51"/>
      <c r="V106" s="374"/>
      <c r="W106" s="374"/>
      <c r="X106" s="143"/>
      <c r="Y106" s="360"/>
      <c r="Z106" s="360"/>
      <c r="AA106" s="65"/>
      <c r="AB106" s="65"/>
    </row>
    <row r="107" spans="1:28" ht="18" x14ac:dyDescent="0.25">
      <c r="A107" s="271"/>
      <c r="B107" s="156"/>
      <c r="C107" s="156"/>
      <c r="D107" s="156"/>
      <c r="E107" s="156"/>
      <c r="F107" s="156"/>
      <c r="G107" s="156"/>
      <c r="H107" s="156"/>
      <c r="I107" s="156"/>
      <c r="J107" s="156"/>
      <c r="K107" s="156"/>
      <c r="L107" s="156"/>
      <c r="M107" s="156"/>
      <c r="N107" s="1054"/>
      <c r="O107" s="156"/>
      <c r="P107" s="156"/>
      <c r="Q107" s="156"/>
      <c r="R107" s="156"/>
      <c r="S107" s="156"/>
      <c r="T107" s="156"/>
      <c r="U107" s="51"/>
      <c r="V107" s="374"/>
      <c r="W107" s="374"/>
      <c r="X107" s="143"/>
      <c r="Y107" s="360"/>
      <c r="Z107" s="360"/>
      <c r="AA107" s="65"/>
      <c r="AB107" s="65"/>
    </row>
    <row r="108" spans="1:28" ht="18" x14ac:dyDescent="0.25">
      <c r="A108" s="271"/>
      <c r="B108" s="156"/>
      <c r="C108" s="156"/>
      <c r="D108" s="156"/>
      <c r="E108" s="156"/>
      <c r="F108" s="156"/>
      <c r="G108" s="156"/>
      <c r="H108" s="156"/>
      <c r="I108" s="156"/>
      <c r="J108" s="156"/>
      <c r="K108" s="156"/>
      <c r="L108" s="156"/>
      <c r="M108" s="156"/>
      <c r="N108" s="1054"/>
      <c r="O108" s="156"/>
      <c r="P108" s="156"/>
      <c r="Q108" s="156"/>
      <c r="R108" s="156"/>
      <c r="S108" s="156"/>
      <c r="T108" s="156"/>
      <c r="U108" s="51"/>
      <c r="V108" s="374"/>
      <c r="W108" s="374"/>
      <c r="X108" s="143"/>
      <c r="Y108" s="360"/>
      <c r="Z108" s="360"/>
      <c r="AA108" s="65"/>
      <c r="AB108" s="65"/>
    </row>
    <row r="109" spans="1:28" ht="18" x14ac:dyDescent="0.25">
      <c r="A109" s="271"/>
      <c r="B109" s="156"/>
      <c r="C109" s="156"/>
      <c r="D109" s="156"/>
      <c r="E109" s="156"/>
      <c r="F109" s="156"/>
      <c r="G109" s="156"/>
      <c r="H109" s="156"/>
      <c r="I109" s="156"/>
      <c r="J109" s="156"/>
      <c r="K109" s="156"/>
      <c r="L109" s="156"/>
      <c r="M109" s="156"/>
      <c r="N109" s="1054"/>
      <c r="O109" s="156"/>
      <c r="P109" s="156"/>
      <c r="Q109" s="156"/>
      <c r="R109" s="156"/>
      <c r="S109" s="156"/>
      <c r="T109" s="156"/>
      <c r="U109" s="51"/>
      <c r="V109" s="374"/>
      <c r="W109" s="374"/>
      <c r="X109" s="143"/>
      <c r="Y109" s="360"/>
      <c r="Z109" s="360"/>
      <c r="AA109" s="65"/>
      <c r="AB109" s="65"/>
    </row>
    <row r="110" spans="1:28" ht="18" x14ac:dyDescent="0.25">
      <c r="A110" s="271"/>
      <c r="B110" s="156"/>
      <c r="C110" s="156"/>
      <c r="D110" s="156"/>
      <c r="E110" s="156"/>
      <c r="F110" s="156"/>
      <c r="G110" s="156"/>
      <c r="H110" s="156"/>
      <c r="I110" s="156"/>
      <c r="J110" s="156"/>
      <c r="K110" s="156"/>
      <c r="L110" s="156"/>
      <c r="M110" s="156"/>
      <c r="N110" s="1054"/>
      <c r="O110" s="156"/>
      <c r="P110" s="156"/>
      <c r="Q110" s="156"/>
      <c r="R110" s="156"/>
      <c r="S110" s="156"/>
      <c r="T110" s="156"/>
      <c r="U110" s="51"/>
      <c r="V110" s="374"/>
      <c r="W110" s="374"/>
      <c r="X110" s="143"/>
      <c r="Y110" s="360"/>
      <c r="Z110" s="360"/>
      <c r="AA110" s="65"/>
      <c r="AB110" s="65"/>
    </row>
    <row r="111" spans="1:28" ht="18" x14ac:dyDescent="0.25">
      <c r="A111" s="271"/>
      <c r="B111" s="156"/>
      <c r="C111" s="156"/>
      <c r="D111" s="156"/>
      <c r="E111" s="156"/>
      <c r="F111" s="156"/>
      <c r="G111" s="156"/>
      <c r="H111" s="156"/>
      <c r="I111" s="156"/>
      <c r="J111" s="156"/>
      <c r="K111" s="156"/>
      <c r="L111" s="156"/>
      <c r="M111" s="156"/>
      <c r="N111" s="1054"/>
      <c r="O111" s="156"/>
      <c r="P111" s="156"/>
      <c r="Q111" s="156"/>
      <c r="R111" s="156"/>
      <c r="S111" s="156"/>
      <c r="T111" s="156"/>
      <c r="U111" s="51"/>
      <c r="V111" s="374"/>
      <c r="W111" s="374"/>
      <c r="X111" s="143"/>
      <c r="Y111" s="360"/>
      <c r="Z111" s="360"/>
      <c r="AA111" s="65"/>
      <c r="AB111" s="65"/>
    </row>
    <row r="112" spans="1:28" ht="18" x14ac:dyDescent="0.25">
      <c r="A112" s="271"/>
      <c r="B112" s="156"/>
      <c r="C112" s="156"/>
      <c r="D112" s="156"/>
      <c r="E112" s="156"/>
      <c r="F112" s="156"/>
      <c r="G112" s="156"/>
      <c r="H112" s="156"/>
      <c r="I112" s="156"/>
      <c r="J112" s="156"/>
      <c r="K112" s="156"/>
      <c r="L112" s="156"/>
      <c r="M112" s="156"/>
      <c r="N112" s="1054"/>
      <c r="O112" s="156"/>
      <c r="P112" s="156"/>
      <c r="Q112" s="156"/>
      <c r="R112" s="156"/>
      <c r="S112" s="156"/>
      <c r="T112" s="156"/>
      <c r="U112" s="51"/>
      <c r="V112" s="374"/>
      <c r="W112" s="374"/>
      <c r="X112" s="143"/>
      <c r="Y112" s="360"/>
      <c r="Z112" s="360"/>
      <c r="AA112" s="65"/>
      <c r="AB112" s="65"/>
    </row>
    <row r="113" spans="1:28" ht="18" x14ac:dyDescent="0.25">
      <c r="A113" s="271"/>
      <c r="B113" s="156"/>
      <c r="C113" s="156"/>
      <c r="D113" s="156"/>
      <c r="E113" s="156"/>
      <c r="F113" s="156"/>
      <c r="G113" s="156"/>
      <c r="H113" s="156"/>
      <c r="I113" s="156"/>
      <c r="J113" s="156"/>
      <c r="K113" s="156"/>
      <c r="L113" s="156"/>
      <c r="M113" s="156"/>
      <c r="N113" s="1054"/>
      <c r="O113" s="156"/>
      <c r="P113" s="156"/>
      <c r="Q113" s="156"/>
      <c r="R113" s="156"/>
      <c r="S113" s="156"/>
      <c r="T113" s="156"/>
      <c r="U113" s="51"/>
      <c r="V113" s="374"/>
      <c r="W113" s="374"/>
      <c r="X113" s="143"/>
      <c r="Y113" s="360"/>
      <c r="Z113" s="360"/>
      <c r="AA113" s="65"/>
      <c r="AB113" s="65"/>
    </row>
    <row r="114" spans="1:28" ht="18" x14ac:dyDescent="0.25">
      <c r="A114" s="271"/>
      <c r="B114" s="156"/>
      <c r="C114" s="156"/>
      <c r="D114" s="156"/>
      <c r="E114" s="156"/>
      <c r="F114" s="156"/>
      <c r="G114" s="156"/>
      <c r="H114" s="156"/>
      <c r="I114" s="156"/>
      <c r="J114" s="156"/>
      <c r="K114" s="156"/>
      <c r="L114" s="156"/>
      <c r="M114" s="156"/>
      <c r="N114" s="1054"/>
      <c r="O114" s="156"/>
      <c r="P114" s="156"/>
      <c r="Q114" s="156"/>
      <c r="R114" s="156"/>
      <c r="S114" s="156"/>
      <c r="T114" s="156"/>
      <c r="U114" s="51"/>
      <c r="V114" s="374"/>
      <c r="W114" s="374"/>
      <c r="X114" s="143"/>
      <c r="Y114" s="360"/>
      <c r="Z114" s="360"/>
      <c r="AA114" s="65"/>
      <c r="AB114" s="65"/>
    </row>
    <row r="115" spans="1:28" ht="18" x14ac:dyDescent="0.25">
      <c r="A115" s="271"/>
      <c r="B115" s="156"/>
      <c r="C115" s="156"/>
      <c r="D115" s="156"/>
      <c r="E115" s="156"/>
      <c r="F115" s="156"/>
      <c r="G115" s="156"/>
      <c r="H115" s="156"/>
      <c r="I115" s="156"/>
      <c r="J115" s="156"/>
      <c r="K115" s="156"/>
      <c r="L115" s="156"/>
      <c r="M115" s="156"/>
      <c r="N115" s="1054"/>
      <c r="O115" s="156"/>
      <c r="P115" s="156"/>
      <c r="Q115" s="156"/>
      <c r="R115" s="156"/>
      <c r="S115" s="156"/>
      <c r="T115" s="156"/>
      <c r="U115" s="51"/>
      <c r="V115" s="374"/>
      <c r="W115" s="374"/>
      <c r="X115" s="143"/>
      <c r="Y115" s="360"/>
      <c r="Z115" s="360"/>
      <c r="AA115" s="65"/>
      <c r="AB115" s="65"/>
    </row>
    <row r="116" spans="1:28" ht="18" x14ac:dyDescent="0.25">
      <c r="A116" s="271"/>
      <c r="B116" s="156"/>
      <c r="C116" s="156"/>
      <c r="D116" s="156"/>
      <c r="E116" s="156"/>
      <c r="F116" s="156"/>
      <c r="G116" s="156"/>
      <c r="H116" s="156"/>
      <c r="I116" s="156"/>
      <c r="J116" s="156"/>
      <c r="K116" s="156"/>
      <c r="L116" s="156"/>
      <c r="M116" s="156"/>
      <c r="N116" s="1054"/>
      <c r="O116" s="156"/>
      <c r="P116" s="156"/>
      <c r="Q116" s="156"/>
      <c r="R116" s="156"/>
      <c r="S116" s="156"/>
      <c r="T116" s="156"/>
      <c r="U116" s="51"/>
      <c r="V116" s="374"/>
      <c r="W116" s="374"/>
      <c r="X116" s="143"/>
      <c r="Y116" s="360"/>
      <c r="Z116" s="360"/>
      <c r="AA116" s="65"/>
      <c r="AB116" s="65"/>
    </row>
    <row r="117" spans="1:28" ht="18" x14ac:dyDescent="0.25">
      <c r="A117" s="271"/>
      <c r="B117" s="156"/>
      <c r="C117" s="156"/>
      <c r="D117" s="156"/>
      <c r="E117" s="156"/>
      <c r="F117" s="156"/>
      <c r="G117" s="156"/>
      <c r="H117" s="156"/>
      <c r="I117" s="156"/>
      <c r="J117" s="156"/>
      <c r="K117" s="156"/>
      <c r="L117" s="156"/>
      <c r="M117" s="156"/>
      <c r="N117" s="1054"/>
      <c r="O117" s="156"/>
      <c r="P117" s="156"/>
      <c r="Q117" s="156"/>
      <c r="R117" s="156"/>
      <c r="S117" s="156"/>
      <c r="T117" s="156"/>
      <c r="U117" s="51"/>
      <c r="V117" s="374"/>
      <c r="W117" s="374"/>
      <c r="X117" s="143"/>
      <c r="Y117" s="360"/>
      <c r="Z117" s="360"/>
      <c r="AA117" s="65"/>
      <c r="AB117" s="65"/>
    </row>
    <row r="118" spans="1:28" ht="18" x14ac:dyDescent="0.25">
      <c r="A118" s="271"/>
      <c r="B118" s="156"/>
      <c r="C118" s="156"/>
      <c r="D118" s="156"/>
      <c r="E118" s="156"/>
      <c r="F118" s="156"/>
      <c r="G118" s="156"/>
      <c r="H118" s="156"/>
      <c r="I118" s="156"/>
      <c r="J118" s="156"/>
      <c r="K118" s="156"/>
      <c r="L118" s="156"/>
      <c r="M118" s="156"/>
      <c r="N118" s="1054"/>
      <c r="O118" s="156"/>
      <c r="P118" s="156"/>
      <c r="Q118" s="156"/>
      <c r="R118" s="156"/>
      <c r="S118" s="156"/>
      <c r="T118" s="156"/>
      <c r="U118" s="51"/>
      <c r="V118" s="374"/>
      <c r="W118" s="374"/>
      <c r="X118" s="143"/>
      <c r="Y118" s="360"/>
      <c r="Z118" s="360"/>
      <c r="AA118" s="65"/>
      <c r="AB118" s="65"/>
    </row>
    <row r="119" spans="1:28" ht="18" x14ac:dyDescent="0.25">
      <c r="A119" s="271"/>
      <c r="B119" s="156"/>
      <c r="C119" s="156"/>
      <c r="D119" s="156"/>
      <c r="E119" s="156"/>
      <c r="F119" s="156"/>
      <c r="G119" s="156"/>
      <c r="H119" s="156"/>
      <c r="I119" s="156"/>
      <c r="J119" s="156"/>
      <c r="K119" s="156"/>
      <c r="L119" s="156"/>
      <c r="M119" s="156"/>
      <c r="N119" s="1054"/>
      <c r="O119" s="156"/>
      <c r="P119" s="156"/>
      <c r="Q119" s="156"/>
      <c r="R119" s="156"/>
      <c r="S119" s="156"/>
      <c r="T119" s="156"/>
      <c r="U119" s="51"/>
      <c r="V119" s="374"/>
      <c r="W119" s="374"/>
      <c r="X119" s="143"/>
      <c r="Y119" s="360"/>
      <c r="Z119" s="360"/>
      <c r="AA119" s="65"/>
      <c r="AB119" s="65"/>
    </row>
    <row r="120" spans="1:28" ht="18" x14ac:dyDescent="0.25">
      <c r="A120" s="271"/>
      <c r="B120" s="156"/>
      <c r="C120" s="156"/>
      <c r="D120" s="156"/>
      <c r="E120" s="156"/>
      <c r="F120" s="156"/>
      <c r="G120" s="156"/>
      <c r="H120" s="156"/>
      <c r="I120" s="156"/>
      <c r="J120" s="156"/>
      <c r="K120" s="156"/>
      <c r="L120" s="156"/>
      <c r="M120" s="156"/>
      <c r="N120" s="1054"/>
      <c r="O120" s="156"/>
      <c r="P120" s="156"/>
      <c r="Q120" s="156"/>
      <c r="R120" s="156"/>
      <c r="S120" s="156"/>
      <c r="T120" s="156"/>
      <c r="U120" s="51"/>
      <c r="V120" s="374"/>
      <c r="W120" s="374"/>
      <c r="X120" s="143"/>
      <c r="Y120" s="360"/>
      <c r="Z120" s="360"/>
      <c r="AA120" s="65"/>
      <c r="AB120" s="65"/>
    </row>
    <row r="121" spans="1:28" ht="18" x14ac:dyDescent="0.25">
      <c r="A121" s="271"/>
      <c r="B121" s="156"/>
      <c r="C121" s="156"/>
      <c r="D121" s="156"/>
      <c r="E121" s="156"/>
      <c r="F121" s="156"/>
      <c r="G121" s="156"/>
      <c r="H121" s="156"/>
      <c r="I121" s="156"/>
      <c r="J121" s="156"/>
      <c r="K121" s="156"/>
      <c r="L121" s="156"/>
      <c r="M121" s="156"/>
      <c r="N121" s="1054"/>
      <c r="O121" s="156"/>
      <c r="P121" s="156"/>
      <c r="Q121" s="156"/>
      <c r="R121" s="156"/>
      <c r="S121" s="156"/>
      <c r="T121" s="156"/>
      <c r="U121" s="51"/>
      <c r="V121" s="374"/>
      <c r="W121" s="374"/>
      <c r="X121" s="143"/>
      <c r="Y121" s="360"/>
      <c r="Z121" s="360"/>
      <c r="AA121" s="65"/>
      <c r="AB121" s="65"/>
    </row>
    <row r="122" spans="1:28" ht="18" x14ac:dyDescent="0.25">
      <c r="A122" s="271"/>
      <c r="B122" s="156"/>
      <c r="C122" s="156"/>
      <c r="D122" s="156"/>
      <c r="E122" s="156"/>
      <c r="F122" s="156"/>
      <c r="G122" s="156"/>
      <c r="H122" s="156"/>
      <c r="I122" s="156"/>
      <c r="J122" s="156"/>
      <c r="K122" s="156"/>
      <c r="L122" s="156"/>
      <c r="M122" s="156"/>
      <c r="N122" s="1054"/>
      <c r="O122" s="156"/>
      <c r="P122" s="156"/>
      <c r="Q122" s="156"/>
      <c r="R122" s="156"/>
      <c r="S122" s="156"/>
      <c r="T122" s="156"/>
      <c r="U122" s="51"/>
      <c r="V122" s="374"/>
      <c r="W122" s="374"/>
      <c r="X122" s="143"/>
      <c r="Y122" s="360"/>
      <c r="Z122" s="360"/>
      <c r="AA122" s="65"/>
      <c r="AB122" s="65"/>
    </row>
    <row r="123" spans="1:28" ht="18" x14ac:dyDescent="0.25">
      <c r="A123" s="271"/>
      <c r="B123" s="156"/>
      <c r="C123" s="156"/>
      <c r="D123" s="156"/>
      <c r="E123" s="156"/>
      <c r="F123" s="156"/>
      <c r="G123" s="156"/>
      <c r="H123" s="156"/>
      <c r="I123" s="156"/>
      <c r="J123" s="156"/>
      <c r="K123" s="156"/>
      <c r="L123" s="156"/>
      <c r="M123" s="156"/>
      <c r="N123" s="1054"/>
      <c r="O123" s="156"/>
      <c r="P123" s="156"/>
      <c r="Q123" s="156"/>
      <c r="R123" s="156"/>
      <c r="S123" s="156"/>
      <c r="T123" s="156"/>
      <c r="U123" s="51"/>
      <c r="V123" s="374"/>
      <c r="W123" s="374"/>
      <c r="X123" s="143"/>
      <c r="Y123" s="360"/>
      <c r="Z123" s="360"/>
      <c r="AA123" s="65"/>
      <c r="AB123" s="65"/>
    </row>
    <row r="124" spans="1:28" ht="18" x14ac:dyDescent="0.25">
      <c r="A124" s="271"/>
      <c r="B124" s="156"/>
      <c r="C124" s="156"/>
      <c r="D124" s="156"/>
      <c r="E124" s="156"/>
      <c r="F124" s="156"/>
      <c r="G124" s="156"/>
      <c r="H124" s="156"/>
      <c r="I124" s="156"/>
      <c r="J124" s="156"/>
      <c r="K124" s="156"/>
      <c r="L124" s="156"/>
      <c r="M124" s="156"/>
      <c r="N124" s="1054"/>
      <c r="O124" s="156"/>
      <c r="P124" s="156"/>
      <c r="Q124" s="156"/>
      <c r="R124" s="156"/>
      <c r="S124" s="156"/>
      <c r="T124" s="156"/>
      <c r="U124" s="51"/>
      <c r="V124" s="374"/>
      <c r="W124" s="374"/>
      <c r="X124" s="143"/>
      <c r="Y124" s="360"/>
      <c r="Z124" s="360"/>
      <c r="AA124" s="65"/>
      <c r="AB124" s="65"/>
    </row>
    <row r="125" spans="1:28" ht="18" x14ac:dyDescent="0.25">
      <c r="A125" s="271"/>
      <c r="B125" s="156"/>
      <c r="C125" s="156"/>
      <c r="D125" s="156"/>
      <c r="E125" s="156"/>
      <c r="F125" s="156"/>
      <c r="G125" s="156"/>
      <c r="H125" s="156"/>
      <c r="I125" s="156"/>
      <c r="J125" s="156"/>
      <c r="K125" s="156"/>
      <c r="L125" s="156"/>
      <c r="M125" s="156"/>
      <c r="N125" s="1054"/>
      <c r="O125" s="156"/>
      <c r="P125" s="156"/>
      <c r="Q125" s="156"/>
      <c r="R125" s="156"/>
      <c r="S125" s="156"/>
      <c r="T125" s="156"/>
      <c r="U125" s="51"/>
      <c r="V125" s="374"/>
      <c r="W125" s="374"/>
      <c r="X125" s="143"/>
      <c r="Y125" s="360"/>
      <c r="Z125" s="360"/>
      <c r="AA125" s="65"/>
      <c r="AB125" s="65"/>
    </row>
    <row r="126" spans="1:28" ht="18" x14ac:dyDescent="0.25">
      <c r="A126" s="271"/>
      <c r="B126" s="156"/>
      <c r="C126" s="156"/>
      <c r="D126" s="156"/>
      <c r="E126" s="156"/>
      <c r="F126" s="156"/>
      <c r="G126" s="156"/>
      <c r="H126" s="156"/>
      <c r="I126" s="156"/>
      <c r="J126" s="156"/>
      <c r="K126" s="156"/>
      <c r="L126" s="156"/>
      <c r="M126" s="156"/>
      <c r="N126" s="1054"/>
      <c r="O126" s="156"/>
      <c r="P126" s="156"/>
      <c r="Q126" s="156"/>
      <c r="R126" s="156"/>
      <c r="S126" s="156"/>
      <c r="T126" s="156"/>
      <c r="U126" s="51"/>
      <c r="V126" s="374"/>
      <c r="W126" s="374"/>
      <c r="X126" s="143"/>
      <c r="Y126" s="360"/>
      <c r="Z126" s="360"/>
      <c r="AA126" s="65"/>
      <c r="AB126" s="65"/>
    </row>
    <row r="127" spans="1:28" ht="18" x14ac:dyDescent="0.25">
      <c r="A127" s="271"/>
      <c r="B127" s="156"/>
      <c r="C127" s="156"/>
      <c r="D127" s="156"/>
      <c r="E127" s="156"/>
      <c r="F127" s="156"/>
      <c r="G127" s="156"/>
      <c r="H127" s="156"/>
      <c r="I127" s="156"/>
      <c r="J127" s="156"/>
      <c r="K127" s="156"/>
      <c r="L127" s="156"/>
      <c r="M127" s="156"/>
      <c r="N127" s="1054"/>
      <c r="O127" s="156"/>
      <c r="P127" s="156"/>
      <c r="Q127" s="156"/>
      <c r="R127" s="156"/>
      <c r="S127" s="156"/>
      <c r="T127" s="156"/>
      <c r="U127" s="51"/>
      <c r="V127" s="374"/>
      <c r="W127" s="374"/>
      <c r="X127" s="143"/>
      <c r="Y127" s="360"/>
      <c r="Z127" s="360"/>
      <c r="AA127" s="65"/>
      <c r="AB127" s="65"/>
    </row>
    <row r="128" spans="1:28" ht="18" x14ac:dyDescent="0.25">
      <c r="A128" s="271"/>
      <c r="B128" s="156"/>
      <c r="C128" s="156"/>
      <c r="D128" s="156"/>
      <c r="E128" s="156"/>
      <c r="F128" s="156"/>
      <c r="G128" s="156"/>
      <c r="H128" s="156"/>
      <c r="I128" s="156"/>
      <c r="J128" s="156"/>
      <c r="K128" s="156"/>
      <c r="L128" s="156"/>
      <c r="M128" s="156"/>
      <c r="N128" s="1054"/>
      <c r="O128" s="156"/>
      <c r="P128" s="156"/>
      <c r="Q128" s="156"/>
      <c r="R128" s="156"/>
      <c r="S128" s="156"/>
      <c r="T128" s="156"/>
      <c r="U128" s="51"/>
      <c r="V128" s="374"/>
      <c r="W128" s="374"/>
      <c r="X128" s="143"/>
      <c r="Y128" s="360"/>
      <c r="Z128" s="360"/>
      <c r="AA128" s="65"/>
      <c r="AB128" s="65"/>
    </row>
    <row r="129" spans="1:28" ht="18" x14ac:dyDescent="0.25">
      <c r="A129" s="271"/>
      <c r="B129" s="156"/>
      <c r="C129" s="156"/>
      <c r="D129" s="156"/>
      <c r="E129" s="156"/>
      <c r="F129" s="156"/>
      <c r="G129" s="156"/>
      <c r="H129" s="156"/>
      <c r="I129" s="156"/>
      <c r="J129" s="156"/>
      <c r="K129" s="156"/>
      <c r="L129" s="156"/>
      <c r="M129" s="156"/>
      <c r="N129" s="1054"/>
      <c r="O129" s="156"/>
      <c r="P129" s="156"/>
      <c r="Q129" s="156"/>
      <c r="R129" s="156"/>
      <c r="S129" s="156"/>
      <c r="T129" s="156"/>
      <c r="U129" s="51"/>
      <c r="V129" s="374"/>
      <c r="W129" s="374"/>
      <c r="X129" s="143"/>
      <c r="Y129" s="360"/>
      <c r="Z129" s="360"/>
      <c r="AA129" s="65"/>
      <c r="AB129" s="65"/>
    </row>
    <row r="130" spans="1:28" ht="18" x14ac:dyDescent="0.25">
      <c r="A130" s="271"/>
      <c r="B130" s="156"/>
      <c r="C130" s="156"/>
      <c r="D130" s="156"/>
      <c r="E130" s="156"/>
      <c r="F130" s="156"/>
      <c r="G130" s="156"/>
      <c r="H130" s="156"/>
      <c r="I130" s="156"/>
      <c r="J130" s="156"/>
      <c r="K130" s="156"/>
      <c r="L130" s="156"/>
      <c r="M130" s="156"/>
      <c r="N130" s="1054"/>
      <c r="O130" s="156"/>
      <c r="P130" s="156"/>
      <c r="Q130" s="156"/>
      <c r="R130" s="156"/>
      <c r="S130" s="156"/>
      <c r="T130" s="156"/>
      <c r="U130" s="51"/>
      <c r="V130" s="374"/>
      <c r="W130" s="374"/>
      <c r="X130" s="143"/>
      <c r="Y130" s="360"/>
      <c r="Z130" s="360"/>
      <c r="AA130" s="65"/>
      <c r="AB130" s="65"/>
    </row>
    <row r="131" spans="1:28" ht="18" x14ac:dyDescent="0.25">
      <c r="A131" s="271"/>
      <c r="B131" s="156"/>
      <c r="C131" s="156"/>
      <c r="D131" s="156"/>
      <c r="E131" s="156"/>
      <c r="F131" s="156"/>
      <c r="G131" s="156"/>
      <c r="H131" s="156"/>
      <c r="I131" s="156"/>
      <c r="J131" s="156"/>
      <c r="K131" s="156"/>
      <c r="L131" s="156"/>
      <c r="M131" s="156"/>
      <c r="N131" s="1054"/>
      <c r="O131" s="156"/>
      <c r="P131" s="156"/>
      <c r="Q131" s="156"/>
      <c r="R131" s="156"/>
      <c r="S131" s="156"/>
      <c r="T131" s="156"/>
      <c r="U131" s="51"/>
      <c r="V131" s="374"/>
      <c r="W131" s="374"/>
      <c r="X131" s="143"/>
      <c r="Y131" s="360"/>
      <c r="Z131" s="360"/>
      <c r="AA131" s="65"/>
      <c r="AB131" s="65"/>
    </row>
    <row r="132" spans="1:28" ht="18" x14ac:dyDescent="0.25">
      <c r="A132" s="271"/>
      <c r="B132" s="156"/>
      <c r="C132" s="156"/>
      <c r="D132" s="156"/>
      <c r="E132" s="156"/>
      <c r="F132" s="156"/>
      <c r="G132" s="156"/>
      <c r="H132" s="156"/>
      <c r="I132" s="156"/>
      <c r="J132" s="156"/>
      <c r="K132" s="156"/>
      <c r="L132" s="156"/>
      <c r="M132" s="156"/>
      <c r="N132" s="1054"/>
      <c r="O132" s="156"/>
      <c r="P132" s="156"/>
      <c r="Q132" s="156"/>
      <c r="R132" s="156"/>
      <c r="S132" s="156"/>
      <c r="T132" s="156"/>
      <c r="U132" s="51"/>
      <c r="V132" s="374"/>
      <c r="W132" s="374"/>
      <c r="X132" s="143"/>
      <c r="Y132" s="360"/>
      <c r="Z132" s="360"/>
      <c r="AA132" s="65"/>
      <c r="AB132" s="65"/>
    </row>
    <row r="133" spans="1:28" ht="18" x14ac:dyDescent="0.25">
      <c r="A133" s="271"/>
      <c r="B133" s="156"/>
      <c r="C133" s="156"/>
      <c r="D133" s="156"/>
      <c r="E133" s="156"/>
      <c r="F133" s="156"/>
      <c r="G133" s="156"/>
      <c r="H133" s="156"/>
      <c r="I133" s="156"/>
      <c r="J133" s="156"/>
      <c r="K133" s="156"/>
      <c r="L133" s="156"/>
      <c r="M133" s="156"/>
      <c r="N133" s="1054"/>
      <c r="O133" s="156"/>
      <c r="P133" s="156"/>
      <c r="Q133" s="156"/>
      <c r="R133" s="156"/>
      <c r="S133" s="156"/>
      <c r="T133" s="156"/>
      <c r="U133" s="51"/>
      <c r="V133" s="374"/>
      <c r="W133" s="374"/>
      <c r="X133" s="143"/>
      <c r="Y133" s="360"/>
      <c r="Z133" s="360"/>
      <c r="AA133" s="65"/>
      <c r="AB133" s="65"/>
    </row>
    <row r="134" spans="1:28" ht="18" x14ac:dyDescent="0.25">
      <c r="A134" s="271"/>
      <c r="B134" s="156"/>
      <c r="C134" s="156"/>
      <c r="D134" s="156"/>
      <c r="E134" s="156"/>
      <c r="F134" s="156"/>
      <c r="G134" s="156"/>
      <c r="H134" s="156"/>
      <c r="I134" s="156"/>
      <c r="J134" s="156"/>
      <c r="K134" s="156"/>
      <c r="L134" s="156"/>
      <c r="M134" s="156"/>
      <c r="N134" s="1054"/>
      <c r="O134" s="156"/>
      <c r="P134" s="156"/>
      <c r="Q134" s="156"/>
      <c r="R134" s="156"/>
      <c r="S134" s="156"/>
      <c r="T134" s="156"/>
      <c r="U134" s="51"/>
      <c r="V134" s="374"/>
      <c r="W134" s="374"/>
      <c r="X134" s="143"/>
      <c r="Y134" s="360"/>
      <c r="Z134" s="360"/>
      <c r="AA134" s="65"/>
      <c r="AB134" s="65"/>
    </row>
    <row r="135" spans="1:28" ht="18" x14ac:dyDescent="0.25">
      <c r="A135" s="271"/>
      <c r="B135" s="156"/>
      <c r="C135" s="156"/>
      <c r="D135" s="156"/>
      <c r="E135" s="156"/>
      <c r="F135" s="156"/>
      <c r="G135" s="156"/>
      <c r="H135" s="156"/>
      <c r="I135" s="156"/>
      <c r="J135" s="156"/>
      <c r="K135" s="156"/>
      <c r="L135" s="156"/>
      <c r="M135" s="156"/>
      <c r="N135" s="1054"/>
      <c r="O135" s="156"/>
      <c r="P135" s="156"/>
      <c r="Q135" s="156"/>
      <c r="R135" s="156"/>
      <c r="S135" s="156"/>
      <c r="T135" s="156"/>
      <c r="U135" s="51"/>
      <c r="V135" s="374"/>
      <c r="W135" s="374"/>
      <c r="X135" s="143"/>
      <c r="Y135" s="360"/>
      <c r="Z135" s="360"/>
      <c r="AA135" s="65"/>
      <c r="AB135" s="65"/>
    </row>
    <row r="136" spans="1:28" ht="18" x14ac:dyDescent="0.25">
      <c r="A136" s="271"/>
      <c r="B136" s="156"/>
      <c r="C136" s="156"/>
      <c r="D136" s="156"/>
      <c r="E136" s="156"/>
      <c r="F136" s="156"/>
      <c r="G136" s="156"/>
      <c r="H136" s="156"/>
      <c r="I136" s="156"/>
      <c r="J136" s="156"/>
      <c r="K136" s="156"/>
      <c r="L136" s="156"/>
      <c r="M136" s="156"/>
      <c r="N136" s="1054"/>
      <c r="O136" s="156"/>
      <c r="P136" s="156"/>
      <c r="Q136" s="156"/>
      <c r="R136" s="156"/>
      <c r="S136" s="156"/>
      <c r="T136" s="156"/>
      <c r="U136" s="51"/>
      <c r="V136" s="374"/>
      <c r="W136" s="374"/>
      <c r="X136" s="143"/>
      <c r="Y136" s="360"/>
      <c r="Z136" s="360"/>
      <c r="AA136" s="65"/>
      <c r="AB136" s="65"/>
    </row>
    <row r="137" spans="1:28" ht="18" x14ac:dyDescent="0.25">
      <c r="A137" s="271"/>
      <c r="B137" s="156"/>
      <c r="C137" s="156"/>
      <c r="D137" s="156"/>
      <c r="E137" s="156"/>
      <c r="F137" s="156"/>
      <c r="G137" s="156"/>
      <c r="H137" s="156"/>
      <c r="I137" s="156"/>
      <c r="J137" s="156"/>
      <c r="K137" s="156"/>
      <c r="L137" s="156"/>
      <c r="M137" s="156"/>
      <c r="N137" s="1054"/>
      <c r="O137" s="156"/>
      <c r="P137" s="156"/>
      <c r="Q137" s="156"/>
      <c r="R137" s="156"/>
      <c r="S137" s="156"/>
      <c r="T137" s="156"/>
      <c r="U137" s="51"/>
      <c r="V137" s="374"/>
      <c r="W137" s="374"/>
      <c r="X137" s="143"/>
      <c r="Y137" s="360"/>
      <c r="Z137" s="360"/>
      <c r="AA137" s="65"/>
      <c r="AB137" s="65"/>
    </row>
    <row r="138" spans="1:28" ht="18" x14ac:dyDescent="0.25">
      <c r="A138" s="271"/>
      <c r="B138" s="156"/>
      <c r="C138" s="156"/>
      <c r="D138" s="156"/>
      <c r="E138" s="156"/>
      <c r="F138" s="156"/>
      <c r="G138" s="156"/>
      <c r="H138" s="156"/>
      <c r="I138" s="156"/>
      <c r="J138" s="156"/>
      <c r="K138" s="156"/>
      <c r="L138" s="156"/>
      <c r="M138" s="156"/>
      <c r="N138" s="1054"/>
      <c r="O138" s="156"/>
      <c r="P138" s="156"/>
      <c r="Q138" s="156"/>
      <c r="R138" s="156"/>
      <c r="S138" s="156"/>
      <c r="T138" s="156"/>
      <c r="U138" s="51"/>
      <c r="V138" s="374"/>
      <c r="W138" s="374"/>
      <c r="X138" s="143"/>
      <c r="Y138" s="360"/>
      <c r="Z138" s="360"/>
      <c r="AA138" s="65"/>
      <c r="AB138" s="65"/>
    </row>
    <row r="139" spans="1:28" ht="18" x14ac:dyDescent="0.25">
      <c r="A139" s="271"/>
      <c r="B139" s="156"/>
      <c r="C139" s="156"/>
      <c r="D139" s="156"/>
      <c r="E139" s="156"/>
      <c r="F139" s="156"/>
      <c r="G139" s="156"/>
      <c r="H139" s="156"/>
      <c r="I139" s="156"/>
      <c r="J139" s="156"/>
      <c r="K139" s="156"/>
      <c r="L139" s="156"/>
      <c r="M139" s="156"/>
      <c r="N139" s="1054"/>
      <c r="O139" s="156"/>
      <c r="P139" s="156"/>
      <c r="Q139" s="156"/>
      <c r="R139" s="156"/>
      <c r="S139" s="156"/>
      <c r="T139" s="156"/>
      <c r="U139" s="51"/>
      <c r="V139" s="374"/>
      <c r="W139" s="374"/>
      <c r="X139" s="143"/>
      <c r="Y139" s="360"/>
      <c r="Z139" s="360"/>
      <c r="AA139" s="65"/>
      <c r="AB139" s="65"/>
    </row>
    <row r="140" spans="1:28" ht="18" x14ac:dyDescent="0.25">
      <c r="A140" s="271"/>
      <c r="B140" s="156"/>
      <c r="C140" s="156"/>
      <c r="D140" s="156"/>
      <c r="E140" s="156"/>
      <c r="F140" s="156"/>
      <c r="G140" s="156"/>
      <c r="H140" s="156"/>
      <c r="I140" s="156"/>
      <c r="J140" s="156"/>
      <c r="K140" s="156"/>
      <c r="L140" s="156"/>
      <c r="M140" s="156"/>
      <c r="N140" s="1054"/>
      <c r="O140" s="156"/>
      <c r="P140" s="156"/>
      <c r="Q140" s="156"/>
      <c r="R140" s="156"/>
      <c r="S140" s="156"/>
      <c r="T140" s="156"/>
      <c r="U140" s="51"/>
      <c r="V140" s="374"/>
      <c r="W140" s="374"/>
      <c r="X140" s="143"/>
      <c r="Y140" s="360"/>
      <c r="Z140" s="360"/>
      <c r="AA140" s="65"/>
      <c r="AB140" s="65"/>
    </row>
    <row r="141" spans="1:28" ht="18" x14ac:dyDescent="0.25">
      <c r="A141" s="271"/>
      <c r="B141" s="156"/>
      <c r="C141" s="156"/>
      <c r="D141" s="156"/>
      <c r="E141" s="156"/>
      <c r="F141" s="156"/>
      <c r="G141" s="156"/>
      <c r="H141" s="156"/>
      <c r="I141" s="156"/>
      <c r="J141" s="156"/>
      <c r="K141" s="156"/>
      <c r="L141" s="156"/>
      <c r="M141" s="156"/>
      <c r="N141" s="1054"/>
      <c r="O141" s="156"/>
      <c r="P141" s="156"/>
      <c r="Q141" s="156"/>
      <c r="R141" s="156"/>
      <c r="S141" s="156"/>
      <c r="T141" s="156"/>
      <c r="U141" s="51"/>
      <c r="V141" s="374"/>
      <c r="W141" s="374"/>
      <c r="X141" s="143"/>
      <c r="Y141" s="360"/>
      <c r="Z141" s="360"/>
      <c r="AA141" s="65"/>
      <c r="AB141" s="65"/>
    </row>
    <row r="142" spans="1:28" ht="18" x14ac:dyDescent="0.25">
      <c r="A142" s="271"/>
      <c r="B142" s="156"/>
      <c r="C142" s="156"/>
      <c r="D142" s="156"/>
      <c r="E142" s="156"/>
      <c r="F142" s="156"/>
      <c r="G142" s="156"/>
      <c r="H142" s="156"/>
      <c r="I142" s="156"/>
      <c r="J142" s="156"/>
      <c r="K142" s="156"/>
      <c r="L142" s="156"/>
      <c r="M142" s="156"/>
      <c r="N142" s="1054"/>
      <c r="O142" s="156"/>
      <c r="P142" s="156"/>
      <c r="Q142" s="156"/>
      <c r="R142" s="156"/>
      <c r="S142" s="156"/>
      <c r="T142" s="156"/>
      <c r="U142" s="51"/>
      <c r="V142" s="374"/>
      <c r="W142" s="374"/>
      <c r="X142" s="143"/>
      <c r="Y142" s="360"/>
      <c r="Z142" s="360"/>
      <c r="AA142" s="65"/>
      <c r="AB142" s="65"/>
    </row>
    <row r="143" spans="1:28" ht="18" x14ac:dyDescent="0.25">
      <c r="A143" s="271"/>
      <c r="B143" s="156"/>
      <c r="C143" s="156"/>
      <c r="D143" s="156"/>
      <c r="E143" s="156"/>
      <c r="F143" s="156"/>
      <c r="G143" s="156"/>
      <c r="H143" s="156"/>
      <c r="I143" s="156"/>
      <c r="J143" s="156"/>
      <c r="K143" s="156"/>
      <c r="L143" s="156"/>
      <c r="M143" s="156"/>
      <c r="N143" s="1054"/>
      <c r="O143" s="156"/>
      <c r="P143" s="156"/>
      <c r="Q143" s="156"/>
      <c r="R143" s="156"/>
      <c r="S143" s="156"/>
      <c r="T143" s="156"/>
      <c r="U143" s="51"/>
      <c r="V143" s="374"/>
      <c r="W143" s="374"/>
      <c r="X143" s="143"/>
      <c r="Y143" s="360"/>
      <c r="Z143" s="360"/>
      <c r="AA143" s="65"/>
      <c r="AB143" s="65"/>
    </row>
    <row r="144" spans="1:28" ht="18" x14ac:dyDescent="0.25">
      <c r="A144" s="271"/>
      <c r="B144" s="156"/>
      <c r="C144" s="156"/>
      <c r="D144" s="156"/>
      <c r="E144" s="156"/>
      <c r="F144" s="156"/>
      <c r="G144" s="156"/>
      <c r="H144" s="156"/>
      <c r="I144" s="156"/>
      <c r="J144" s="156"/>
      <c r="K144" s="156"/>
      <c r="L144" s="156"/>
      <c r="M144" s="156"/>
      <c r="N144" s="1054"/>
      <c r="O144" s="156"/>
      <c r="P144" s="156"/>
      <c r="Q144" s="156"/>
      <c r="R144" s="156"/>
      <c r="S144" s="156"/>
      <c r="T144" s="156"/>
      <c r="U144" s="51"/>
      <c r="V144" s="374"/>
      <c r="W144" s="374"/>
      <c r="X144" s="143"/>
      <c r="Y144" s="360"/>
      <c r="Z144" s="360"/>
      <c r="AA144" s="65"/>
      <c r="AB144" s="65"/>
    </row>
    <row r="145" spans="1:28" ht="18" x14ac:dyDescent="0.25">
      <c r="A145" s="271"/>
      <c r="B145" s="156"/>
      <c r="C145" s="156"/>
      <c r="D145" s="156"/>
      <c r="E145" s="156"/>
      <c r="F145" s="156"/>
      <c r="G145" s="156"/>
      <c r="H145" s="156"/>
      <c r="I145" s="156"/>
      <c r="J145" s="156"/>
      <c r="K145" s="156"/>
      <c r="L145" s="156"/>
      <c r="M145" s="156"/>
      <c r="N145" s="1054"/>
      <c r="O145" s="156"/>
      <c r="P145" s="156"/>
      <c r="Q145" s="156"/>
      <c r="R145" s="156"/>
      <c r="S145" s="156"/>
      <c r="T145" s="156"/>
      <c r="U145" s="51"/>
      <c r="V145" s="374"/>
      <c r="W145" s="374"/>
      <c r="X145" s="143"/>
      <c r="Y145" s="360"/>
      <c r="Z145" s="360"/>
      <c r="AA145" s="65"/>
      <c r="AB145" s="65"/>
    </row>
    <row r="146" spans="1:28" ht="18" x14ac:dyDescent="0.25">
      <c r="A146" s="271"/>
      <c r="B146" s="156"/>
      <c r="C146" s="156"/>
      <c r="D146" s="156"/>
      <c r="E146" s="156"/>
      <c r="F146" s="156"/>
      <c r="G146" s="156"/>
      <c r="H146" s="156"/>
      <c r="I146" s="156"/>
      <c r="J146" s="156"/>
      <c r="K146" s="156"/>
      <c r="L146" s="156"/>
      <c r="M146" s="156"/>
      <c r="N146" s="1054"/>
      <c r="O146" s="156"/>
      <c r="P146" s="156"/>
      <c r="Q146" s="156"/>
      <c r="R146" s="156"/>
      <c r="S146" s="156"/>
      <c r="T146" s="156"/>
      <c r="U146" s="51"/>
      <c r="V146" s="374"/>
      <c r="W146" s="374"/>
      <c r="X146" s="143"/>
      <c r="Y146" s="360"/>
      <c r="Z146" s="360"/>
      <c r="AA146" s="65"/>
      <c r="AB146" s="65"/>
    </row>
    <row r="147" spans="1:28" ht="18" x14ac:dyDescent="0.25">
      <c r="A147" s="271"/>
      <c r="B147" s="156"/>
      <c r="C147" s="156"/>
      <c r="D147" s="156"/>
      <c r="E147" s="156"/>
      <c r="F147" s="156"/>
      <c r="G147" s="156"/>
      <c r="H147" s="156"/>
      <c r="I147" s="156"/>
      <c r="J147" s="156"/>
      <c r="K147" s="156"/>
      <c r="L147" s="156"/>
      <c r="M147" s="156"/>
      <c r="N147" s="1054"/>
      <c r="O147" s="156"/>
      <c r="P147" s="156"/>
      <c r="Q147" s="156"/>
      <c r="R147" s="156"/>
      <c r="S147" s="156"/>
      <c r="T147" s="156"/>
      <c r="U147" s="51"/>
      <c r="V147" s="374"/>
      <c r="W147" s="374"/>
      <c r="X147" s="143"/>
      <c r="Y147" s="360"/>
      <c r="Z147" s="360"/>
      <c r="AA147" s="65"/>
      <c r="AB147" s="65"/>
    </row>
    <row r="148" spans="1:28" ht="18" x14ac:dyDescent="0.25">
      <c r="A148" s="271"/>
      <c r="B148" s="156"/>
      <c r="C148" s="156"/>
      <c r="D148" s="156"/>
      <c r="E148" s="156"/>
      <c r="F148" s="156"/>
      <c r="G148" s="156"/>
      <c r="H148" s="156"/>
      <c r="I148" s="156"/>
      <c r="J148" s="156"/>
      <c r="K148" s="156"/>
      <c r="L148" s="156"/>
      <c r="M148" s="156"/>
      <c r="N148" s="1054"/>
      <c r="O148" s="156"/>
      <c r="P148" s="156"/>
      <c r="Q148" s="156"/>
      <c r="R148" s="156"/>
      <c r="S148" s="156"/>
      <c r="T148" s="156"/>
      <c r="U148" s="51"/>
      <c r="V148" s="374"/>
      <c r="W148" s="374"/>
      <c r="X148" s="143"/>
      <c r="Y148" s="360"/>
      <c r="Z148" s="360"/>
      <c r="AA148" s="65"/>
      <c r="AB148" s="65"/>
    </row>
    <row r="149" spans="1:28" ht="18" x14ac:dyDescent="0.25">
      <c r="A149" s="271"/>
      <c r="B149" s="156"/>
      <c r="C149" s="156"/>
      <c r="D149" s="156"/>
      <c r="E149" s="156"/>
      <c r="F149" s="156"/>
      <c r="G149" s="156"/>
      <c r="H149" s="156"/>
      <c r="I149" s="156"/>
      <c r="J149" s="156"/>
      <c r="K149" s="156"/>
      <c r="L149" s="156"/>
      <c r="M149" s="156"/>
      <c r="N149" s="1054"/>
      <c r="O149" s="156"/>
      <c r="P149" s="156"/>
      <c r="Q149" s="156"/>
      <c r="R149" s="156"/>
      <c r="S149" s="156"/>
      <c r="T149" s="156"/>
      <c r="U149" s="51"/>
      <c r="V149" s="374"/>
      <c r="W149" s="374"/>
      <c r="X149" s="143"/>
      <c r="Y149" s="360"/>
      <c r="Z149" s="360"/>
      <c r="AA149" s="65"/>
      <c r="AB149" s="65"/>
    </row>
    <row r="150" spans="1:28" ht="18" x14ac:dyDescent="0.25">
      <c r="A150" s="271"/>
      <c r="B150" s="156"/>
      <c r="C150" s="156"/>
      <c r="D150" s="156"/>
      <c r="E150" s="156"/>
      <c r="F150" s="156"/>
      <c r="G150" s="156"/>
      <c r="H150" s="156"/>
      <c r="I150" s="156"/>
      <c r="J150" s="156"/>
      <c r="K150" s="156"/>
      <c r="L150" s="156"/>
      <c r="M150" s="156"/>
      <c r="N150" s="1054"/>
      <c r="O150" s="156"/>
      <c r="P150" s="156"/>
      <c r="Q150" s="156"/>
      <c r="R150" s="156"/>
      <c r="S150" s="156"/>
      <c r="T150" s="156"/>
      <c r="U150" s="51"/>
      <c r="V150" s="374"/>
      <c r="W150" s="374"/>
      <c r="X150" s="143"/>
      <c r="Y150" s="360"/>
      <c r="Z150" s="360"/>
      <c r="AA150" s="65"/>
      <c r="AB150" s="65"/>
    </row>
    <row r="151" spans="1:28" ht="18" x14ac:dyDescent="0.25">
      <c r="A151" s="271"/>
      <c r="B151" s="156"/>
      <c r="C151" s="156"/>
      <c r="D151" s="156"/>
      <c r="E151" s="156"/>
      <c r="F151" s="156"/>
      <c r="G151" s="156"/>
      <c r="H151" s="156"/>
      <c r="I151" s="156"/>
      <c r="J151" s="156"/>
      <c r="K151" s="156"/>
      <c r="L151" s="156"/>
      <c r="M151" s="156"/>
      <c r="N151" s="1054"/>
      <c r="O151" s="156"/>
      <c r="P151" s="156"/>
      <c r="Q151" s="156"/>
      <c r="R151" s="156"/>
      <c r="S151" s="156"/>
      <c r="T151" s="156"/>
      <c r="U151" s="51"/>
      <c r="V151" s="374"/>
      <c r="W151" s="374"/>
      <c r="X151" s="143"/>
      <c r="Y151" s="360"/>
      <c r="Z151" s="360"/>
      <c r="AA151" s="65"/>
      <c r="AB151" s="65"/>
    </row>
    <row r="152" spans="1:28" ht="18" x14ac:dyDescent="0.25">
      <c r="A152" s="271"/>
      <c r="B152" s="156"/>
      <c r="C152" s="156"/>
      <c r="D152" s="156"/>
      <c r="E152" s="156"/>
      <c r="F152" s="156"/>
      <c r="G152" s="156"/>
      <c r="H152" s="156"/>
      <c r="I152" s="156"/>
      <c r="J152" s="156"/>
      <c r="K152" s="156"/>
      <c r="L152" s="156"/>
      <c r="M152" s="156"/>
      <c r="N152" s="1054"/>
      <c r="O152" s="156"/>
      <c r="P152" s="156"/>
      <c r="Q152" s="156"/>
      <c r="R152" s="156"/>
      <c r="S152" s="156"/>
      <c r="T152" s="156"/>
      <c r="U152" s="51"/>
      <c r="V152" s="374"/>
      <c r="W152" s="374"/>
      <c r="X152" s="143"/>
      <c r="Y152" s="360"/>
      <c r="Z152" s="360"/>
      <c r="AA152" s="65"/>
      <c r="AB152" s="65"/>
    </row>
    <row r="153" spans="1:28" ht="18" x14ac:dyDescent="0.25">
      <c r="A153" s="271"/>
      <c r="B153" s="156"/>
      <c r="C153" s="156"/>
      <c r="D153" s="156"/>
      <c r="E153" s="156"/>
      <c r="F153" s="156"/>
      <c r="G153" s="156"/>
      <c r="H153" s="156"/>
      <c r="I153" s="156"/>
      <c r="J153" s="156"/>
      <c r="K153" s="156"/>
      <c r="L153" s="156"/>
      <c r="M153" s="156"/>
      <c r="N153" s="1054"/>
      <c r="O153" s="156"/>
      <c r="P153" s="156"/>
      <c r="Q153" s="156"/>
      <c r="R153" s="156"/>
      <c r="S153" s="156"/>
      <c r="T153" s="156"/>
      <c r="U153" s="51"/>
      <c r="V153" s="374"/>
      <c r="W153" s="374"/>
      <c r="X153" s="143"/>
      <c r="Y153" s="360"/>
      <c r="Z153" s="360"/>
      <c r="AA153" s="65"/>
      <c r="AB153" s="65"/>
    </row>
    <row r="154" spans="1:28" ht="18" x14ac:dyDescent="0.25">
      <c r="A154" s="271"/>
      <c r="B154" s="156"/>
      <c r="C154" s="156"/>
      <c r="D154" s="156"/>
      <c r="E154" s="156"/>
      <c r="F154" s="156"/>
      <c r="G154" s="156"/>
      <c r="H154" s="156"/>
      <c r="I154" s="156"/>
      <c r="J154" s="156"/>
      <c r="K154" s="156"/>
      <c r="L154" s="156"/>
      <c r="M154" s="156"/>
      <c r="N154" s="1054"/>
      <c r="O154" s="156"/>
      <c r="P154" s="156"/>
      <c r="Q154" s="156"/>
      <c r="R154" s="156"/>
      <c r="S154" s="156"/>
      <c r="T154" s="156"/>
      <c r="U154" s="51"/>
      <c r="V154" s="374"/>
      <c r="W154" s="374"/>
      <c r="X154" s="143"/>
      <c r="Y154" s="360"/>
      <c r="Z154" s="360"/>
      <c r="AA154" s="65"/>
      <c r="AB154" s="65"/>
    </row>
    <row r="155" spans="1:28" ht="18" x14ac:dyDescent="0.25">
      <c r="A155" s="271"/>
      <c r="B155" s="156"/>
      <c r="C155" s="156"/>
      <c r="D155" s="156"/>
      <c r="E155" s="156"/>
      <c r="F155" s="156"/>
      <c r="G155" s="156"/>
      <c r="H155" s="156"/>
      <c r="I155" s="156"/>
      <c r="J155" s="156"/>
      <c r="K155" s="156"/>
      <c r="L155" s="156"/>
      <c r="M155" s="156"/>
      <c r="N155" s="1054"/>
      <c r="O155" s="156"/>
      <c r="P155" s="156"/>
      <c r="Q155" s="156"/>
      <c r="R155" s="156"/>
      <c r="S155" s="156"/>
      <c r="T155" s="156"/>
      <c r="U155" s="51"/>
      <c r="V155" s="374"/>
      <c r="W155" s="374"/>
      <c r="X155" s="143"/>
      <c r="Y155" s="360"/>
      <c r="Z155" s="360"/>
      <c r="AA155" s="65"/>
      <c r="AB155" s="65"/>
    </row>
    <row r="156" spans="1:28" ht="18" x14ac:dyDescent="0.25">
      <c r="A156" s="271"/>
      <c r="B156" s="156"/>
      <c r="C156" s="156"/>
      <c r="D156" s="156"/>
      <c r="E156" s="156"/>
      <c r="F156" s="156"/>
      <c r="G156" s="156"/>
      <c r="H156" s="156"/>
      <c r="I156" s="156"/>
      <c r="J156" s="156"/>
      <c r="K156" s="156"/>
      <c r="L156" s="156"/>
      <c r="M156" s="156"/>
      <c r="N156" s="1054"/>
      <c r="O156" s="156"/>
      <c r="P156" s="156"/>
      <c r="Q156" s="156"/>
      <c r="R156" s="156"/>
      <c r="S156" s="156"/>
      <c r="T156" s="156"/>
      <c r="U156" s="51"/>
      <c r="V156" s="374"/>
      <c r="W156" s="374"/>
      <c r="X156" s="143"/>
      <c r="Y156" s="360"/>
      <c r="Z156" s="360"/>
      <c r="AA156" s="65"/>
      <c r="AB156" s="65"/>
    </row>
    <row r="157" spans="1:28" ht="18" x14ac:dyDescent="0.25">
      <c r="A157" s="271"/>
      <c r="B157" s="156"/>
      <c r="C157" s="156"/>
      <c r="D157" s="156"/>
      <c r="E157" s="156"/>
      <c r="F157" s="156"/>
      <c r="G157" s="156"/>
      <c r="H157" s="156"/>
      <c r="I157" s="156"/>
      <c r="J157" s="156"/>
      <c r="K157" s="156"/>
      <c r="L157" s="156"/>
      <c r="M157" s="156"/>
      <c r="N157" s="1054"/>
      <c r="O157" s="156"/>
      <c r="P157" s="156"/>
      <c r="Q157" s="156"/>
      <c r="R157" s="156"/>
      <c r="S157" s="156"/>
      <c r="T157" s="156"/>
      <c r="U157" s="51"/>
      <c r="V157" s="374"/>
      <c r="W157" s="374"/>
      <c r="X157" s="143"/>
      <c r="Y157" s="360"/>
      <c r="Z157" s="360"/>
      <c r="AA157" s="65"/>
      <c r="AB157" s="65"/>
    </row>
    <row r="158" spans="1:28" ht="18" x14ac:dyDescent="0.25">
      <c r="A158" s="271"/>
      <c r="B158" s="156"/>
      <c r="C158" s="156"/>
      <c r="D158" s="156"/>
      <c r="E158" s="156"/>
      <c r="F158" s="156"/>
      <c r="G158" s="156"/>
      <c r="H158" s="156"/>
      <c r="I158" s="156"/>
      <c r="J158" s="156"/>
      <c r="K158" s="156"/>
      <c r="L158" s="156"/>
      <c r="M158" s="156"/>
      <c r="N158" s="1054"/>
      <c r="O158" s="156"/>
      <c r="P158" s="156"/>
      <c r="Q158" s="156"/>
      <c r="R158" s="156"/>
      <c r="S158" s="156"/>
      <c r="T158" s="156"/>
      <c r="U158" s="51"/>
      <c r="V158" s="374"/>
      <c r="W158" s="374"/>
      <c r="X158" s="143"/>
      <c r="Y158" s="360"/>
      <c r="Z158" s="360"/>
      <c r="AA158" s="65"/>
      <c r="AB158" s="65"/>
    </row>
    <row r="159" spans="1:28" ht="18" x14ac:dyDescent="0.25">
      <c r="A159" s="271"/>
      <c r="B159" s="156"/>
      <c r="C159" s="156"/>
      <c r="D159" s="156"/>
      <c r="E159" s="156"/>
      <c r="F159" s="156"/>
      <c r="G159" s="156"/>
      <c r="H159" s="156"/>
      <c r="I159" s="156"/>
      <c r="J159" s="156"/>
      <c r="K159" s="156"/>
      <c r="L159" s="156"/>
      <c r="M159" s="156"/>
      <c r="N159" s="1054"/>
      <c r="O159" s="156"/>
      <c r="P159" s="156"/>
      <c r="Q159" s="156"/>
      <c r="R159" s="156"/>
      <c r="S159" s="156"/>
      <c r="T159" s="156"/>
      <c r="U159" s="51"/>
      <c r="V159" s="374"/>
      <c r="W159" s="374"/>
      <c r="X159" s="143"/>
      <c r="Y159" s="360"/>
      <c r="Z159" s="360"/>
      <c r="AA159" s="65"/>
      <c r="AB159" s="65"/>
    </row>
    <row r="160" spans="1:28" ht="18" x14ac:dyDescent="0.25">
      <c r="A160" s="271"/>
      <c r="B160" s="156"/>
      <c r="C160" s="156"/>
      <c r="D160" s="156"/>
      <c r="E160" s="156"/>
      <c r="F160" s="156"/>
      <c r="G160" s="156"/>
      <c r="H160" s="156"/>
      <c r="I160" s="156"/>
      <c r="J160" s="156"/>
      <c r="K160" s="156"/>
      <c r="L160" s="156"/>
      <c r="M160" s="156"/>
      <c r="N160" s="1054"/>
      <c r="O160" s="156"/>
      <c r="P160" s="156"/>
      <c r="Q160" s="156"/>
      <c r="R160" s="156"/>
      <c r="S160" s="156"/>
      <c r="T160" s="156"/>
      <c r="U160" s="51"/>
      <c r="V160" s="374"/>
      <c r="W160" s="374"/>
      <c r="X160" s="143"/>
      <c r="Y160" s="360"/>
      <c r="Z160" s="360"/>
      <c r="AA160" s="65"/>
      <c r="AB160" s="65"/>
    </row>
    <row r="161" spans="1:28" ht="18" x14ac:dyDescent="0.25">
      <c r="A161" s="271"/>
      <c r="B161" s="156"/>
      <c r="C161" s="156"/>
      <c r="D161" s="156"/>
      <c r="E161" s="156"/>
      <c r="F161" s="156"/>
      <c r="G161" s="156"/>
      <c r="H161" s="156"/>
      <c r="I161" s="156"/>
      <c r="J161" s="156"/>
      <c r="K161" s="156"/>
      <c r="L161" s="156"/>
      <c r="M161" s="156"/>
      <c r="N161" s="1054"/>
      <c r="O161" s="156"/>
      <c r="P161" s="156"/>
      <c r="Q161" s="156"/>
      <c r="R161" s="156"/>
      <c r="S161" s="156"/>
      <c r="T161" s="156"/>
      <c r="U161" s="51"/>
      <c r="V161" s="374"/>
      <c r="W161" s="374"/>
      <c r="X161" s="143"/>
      <c r="Y161" s="360"/>
      <c r="Z161" s="360"/>
      <c r="AA161" s="65"/>
      <c r="AB161" s="65"/>
    </row>
    <row r="162" spans="1:28" ht="18" x14ac:dyDescent="0.25">
      <c r="A162" s="271"/>
      <c r="B162" s="156"/>
      <c r="C162" s="156"/>
      <c r="D162" s="156"/>
      <c r="E162" s="156"/>
      <c r="F162" s="156"/>
      <c r="G162" s="156"/>
      <c r="H162" s="156"/>
      <c r="I162" s="156"/>
      <c r="J162" s="156"/>
      <c r="K162" s="156"/>
      <c r="L162" s="156"/>
      <c r="M162" s="156"/>
      <c r="N162" s="1054"/>
      <c r="O162" s="156"/>
      <c r="P162" s="156"/>
      <c r="Q162" s="156"/>
      <c r="R162" s="156"/>
      <c r="S162" s="156"/>
      <c r="T162" s="156"/>
      <c r="U162" s="51"/>
      <c r="V162" s="374"/>
      <c r="W162" s="374"/>
      <c r="X162" s="143"/>
      <c r="Y162" s="360"/>
      <c r="Z162" s="360"/>
      <c r="AA162" s="65"/>
      <c r="AB162" s="65"/>
    </row>
    <row r="163" spans="1:28" ht="18" x14ac:dyDescent="0.25">
      <c r="A163" s="271"/>
      <c r="B163" s="156"/>
      <c r="C163" s="156"/>
      <c r="D163" s="156"/>
      <c r="E163" s="156"/>
      <c r="F163" s="156"/>
      <c r="G163" s="156"/>
      <c r="H163" s="156"/>
      <c r="I163" s="156"/>
      <c r="J163" s="156"/>
      <c r="K163" s="156"/>
      <c r="L163" s="156"/>
      <c r="M163" s="156"/>
      <c r="N163" s="1054"/>
      <c r="O163" s="156"/>
      <c r="P163" s="156"/>
      <c r="Q163" s="156"/>
      <c r="R163" s="156"/>
      <c r="S163" s="156"/>
      <c r="T163" s="156"/>
      <c r="U163" s="51"/>
      <c r="V163" s="374"/>
      <c r="W163" s="374"/>
      <c r="X163" s="143"/>
      <c r="Y163" s="360"/>
      <c r="Z163" s="360"/>
      <c r="AA163" s="65"/>
      <c r="AB163" s="65"/>
    </row>
    <row r="164" spans="1:28" ht="18" x14ac:dyDescent="0.25">
      <c r="A164" s="271"/>
      <c r="B164" s="156"/>
      <c r="C164" s="156"/>
      <c r="D164" s="156"/>
      <c r="E164" s="156"/>
      <c r="F164" s="156"/>
      <c r="G164" s="156"/>
      <c r="H164" s="156"/>
      <c r="I164" s="156"/>
      <c r="J164" s="156"/>
      <c r="K164" s="156"/>
      <c r="L164" s="156"/>
      <c r="M164" s="156"/>
      <c r="N164" s="1054"/>
      <c r="O164" s="156"/>
      <c r="P164" s="156"/>
      <c r="Q164" s="156"/>
      <c r="R164" s="156"/>
      <c r="S164" s="156"/>
      <c r="T164" s="156"/>
      <c r="U164" s="51"/>
      <c r="V164" s="374"/>
      <c r="W164" s="374"/>
      <c r="X164" s="143"/>
      <c r="Y164" s="360"/>
      <c r="Z164" s="360"/>
      <c r="AA164" s="65"/>
      <c r="AB164" s="65"/>
    </row>
    <row r="165" spans="1:28" ht="18" x14ac:dyDescent="0.25">
      <c r="A165" s="271"/>
      <c r="B165" s="156"/>
      <c r="C165" s="156"/>
      <c r="D165" s="156"/>
      <c r="E165" s="156"/>
      <c r="F165" s="156"/>
      <c r="G165" s="156"/>
      <c r="H165" s="156"/>
      <c r="I165" s="156"/>
      <c r="J165" s="156"/>
      <c r="K165" s="156"/>
      <c r="L165" s="156"/>
      <c r="M165" s="156"/>
      <c r="N165" s="1054"/>
      <c r="O165" s="156"/>
      <c r="P165" s="156"/>
      <c r="Q165" s="156"/>
      <c r="R165" s="156"/>
      <c r="S165" s="156"/>
      <c r="T165" s="156"/>
      <c r="U165" s="51"/>
      <c r="V165" s="374"/>
      <c r="W165" s="374"/>
      <c r="X165" s="143"/>
      <c r="Y165" s="360"/>
      <c r="Z165" s="360"/>
      <c r="AA165" s="65"/>
      <c r="AB165" s="65"/>
    </row>
    <row r="166" spans="1:28" ht="18" x14ac:dyDescent="0.25">
      <c r="A166" s="271"/>
      <c r="B166" s="156"/>
      <c r="C166" s="156"/>
      <c r="D166" s="156"/>
      <c r="E166" s="156"/>
      <c r="F166" s="156"/>
      <c r="G166" s="156"/>
      <c r="H166" s="156"/>
      <c r="I166" s="156"/>
      <c r="J166" s="156"/>
      <c r="K166" s="156"/>
      <c r="L166" s="156"/>
      <c r="M166" s="156"/>
      <c r="N166" s="1054"/>
      <c r="O166" s="156"/>
      <c r="P166" s="156"/>
      <c r="Q166" s="156"/>
      <c r="R166" s="156"/>
      <c r="S166" s="156"/>
      <c r="T166" s="156"/>
      <c r="U166" s="51"/>
      <c r="V166" s="374"/>
      <c r="W166" s="374"/>
      <c r="X166" s="143"/>
      <c r="Y166" s="360"/>
      <c r="Z166" s="360"/>
      <c r="AA166" s="65"/>
      <c r="AB166" s="65"/>
    </row>
    <row r="167" spans="1:28" ht="18" x14ac:dyDescent="0.25">
      <c r="A167" s="271"/>
      <c r="B167" s="156"/>
      <c r="C167" s="156"/>
      <c r="D167" s="156"/>
      <c r="E167" s="156"/>
      <c r="F167" s="156"/>
      <c r="G167" s="156"/>
      <c r="H167" s="156"/>
      <c r="I167" s="156"/>
      <c r="J167" s="156"/>
      <c r="K167" s="156"/>
      <c r="L167" s="156"/>
      <c r="M167" s="156"/>
      <c r="N167" s="1054"/>
      <c r="O167" s="156"/>
      <c r="P167" s="156"/>
      <c r="Q167" s="156"/>
      <c r="R167" s="156"/>
      <c r="S167" s="156"/>
      <c r="T167" s="156"/>
      <c r="U167" s="51"/>
      <c r="V167" s="374"/>
      <c r="W167" s="374"/>
      <c r="X167" s="143"/>
      <c r="Y167" s="360"/>
      <c r="Z167" s="360"/>
      <c r="AA167" s="65"/>
      <c r="AB167" s="65"/>
    </row>
    <row r="168" spans="1:28" ht="18" x14ac:dyDescent="0.25">
      <c r="A168" s="271"/>
      <c r="B168" s="156"/>
      <c r="C168" s="156"/>
      <c r="D168" s="156"/>
      <c r="E168" s="156"/>
      <c r="F168" s="156"/>
      <c r="G168" s="156"/>
      <c r="H168" s="156"/>
      <c r="I168" s="156"/>
      <c r="J168" s="156"/>
      <c r="K168" s="156"/>
      <c r="L168" s="156"/>
      <c r="M168" s="156"/>
      <c r="N168" s="1054"/>
      <c r="O168" s="156"/>
      <c r="P168" s="156"/>
      <c r="Q168" s="156"/>
      <c r="R168" s="156"/>
      <c r="S168" s="156"/>
      <c r="T168" s="156"/>
      <c r="U168" s="51"/>
      <c r="V168" s="374"/>
      <c r="W168" s="374"/>
      <c r="X168" s="143"/>
      <c r="Y168" s="360"/>
      <c r="Z168" s="360"/>
      <c r="AA168" s="65"/>
      <c r="AB168" s="65"/>
    </row>
    <row r="169" spans="1:28" ht="18" x14ac:dyDescent="0.25">
      <c r="A169" s="271"/>
      <c r="B169" s="156"/>
      <c r="C169" s="156"/>
      <c r="D169" s="156"/>
      <c r="E169" s="156"/>
      <c r="F169" s="156"/>
      <c r="G169" s="156"/>
      <c r="H169" s="156"/>
      <c r="I169" s="156"/>
      <c r="J169" s="156"/>
      <c r="K169" s="156"/>
      <c r="L169" s="156"/>
      <c r="M169" s="156"/>
      <c r="N169" s="1054"/>
      <c r="O169" s="156"/>
      <c r="P169" s="156"/>
      <c r="Q169" s="156"/>
      <c r="R169" s="156"/>
      <c r="S169" s="156"/>
      <c r="T169" s="156"/>
      <c r="U169" s="51"/>
      <c r="V169" s="374"/>
      <c r="W169" s="374"/>
      <c r="X169" s="143"/>
      <c r="Y169" s="360"/>
      <c r="Z169" s="360"/>
      <c r="AA169" s="65"/>
      <c r="AB169" s="65"/>
    </row>
    <row r="170" spans="1:28" ht="18" x14ac:dyDescent="0.25">
      <c r="A170" s="271"/>
      <c r="B170" s="156"/>
      <c r="C170" s="156"/>
      <c r="D170" s="156"/>
      <c r="E170" s="156"/>
      <c r="F170" s="156"/>
      <c r="G170" s="156"/>
      <c r="H170" s="156"/>
      <c r="I170" s="156"/>
      <c r="J170" s="156"/>
      <c r="K170" s="156"/>
      <c r="L170" s="156"/>
      <c r="M170" s="156"/>
      <c r="N170" s="1054"/>
      <c r="O170" s="156"/>
      <c r="P170" s="156"/>
      <c r="Q170" s="156"/>
      <c r="R170" s="156"/>
      <c r="S170" s="156"/>
      <c r="T170" s="156"/>
      <c r="U170" s="51"/>
      <c r="V170" s="374"/>
      <c r="W170" s="374"/>
      <c r="X170" s="143"/>
      <c r="Y170" s="360"/>
      <c r="Z170" s="360"/>
      <c r="AA170" s="65"/>
      <c r="AB170" s="65"/>
    </row>
    <row r="171" spans="1:28" ht="18" x14ac:dyDescent="0.25">
      <c r="A171" s="271"/>
      <c r="B171" s="156"/>
      <c r="C171" s="156"/>
      <c r="D171" s="156"/>
      <c r="E171" s="156"/>
      <c r="F171" s="156"/>
      <c r="G171" s="156"/>
      <c r="H171" s="156"/>
      <c r="I171" s="156"/>
      <c r="J171" s="156"/>
      <c r="K171" s="156"/>
      <c r="L171" s="156"/>
      <c r="M171" s="156"/>
      <c r="N171" s="1054"/>
      <c r="O171" s="156"/>
      <c r="P171" s="156"/>
      <c r="Q171" s="156"/>
      <c r="R171" s="156"/>
      <c r="S171" s="156"/>
      <c r="T171" s="156"/>
      <c r="U171" s="51"/>
      <c r="V171" s="374"/>
      <c r="W171" s="374"/>
      <c r="X171" s="143"/>
      <c r="Y171" s="360"/>
      <c r="Z171" s="360"/>
      <c r="AA171" s="65"/>
      <c r="AB171" s="65"/>
    </row>
    <row r="172" spans="1:28" ht="18" x14ac:dyDescent="0.25">
      <c r="A172" s="271"/>
      <c r="B172" s="156"/>
      <c r="C172" s="156"/>
      <c r="D172" s="156"/>
      <c r="E172" s="156"/>
      <c r="F172" s="156"/>
      <c r="G172" s="156"/>
      <c r="H172" s="156"/>
      <c r="I172" s="156"/>
      <c r="J172" s="156"/>
      <c r="K172" s="156"/>
      <c r="L172" s="156"/>
      <c r="M172" s="156"/>
      <c r="N172" s="1054"/>
      <c r="O172" s="156"/>
      <c r="P172" s="156"/>
      <c r="Q172" s="156"/>
      <c r="R172" s="156"/>
      <c r="S172" s="156"/>
      <c r="T172" s="156"/>
      <c r="U172" s="51"/>
      <c r="V172" s="374"/>
      <c r="W172" s="374"/>
      <c r="X172" s="143"/>
      <c r="Y172" s="360"/>
      <c r="Z172" s="360"/>
      <c r="AA172" s="65"/>
      <c r="AB172" s="65"/>
    </row>
    <row r="173" spans="1:28" ht="18" x14ac:dyDescent="0.25">
      <c r="A173" s="271"/>
      <c r="B173" s="156"/>
      <c r="C173" s="156"/>
      <c r="D173" s="156"/>
      <c r="E173" s="156"/>
      <c r="F173" s="156"/>
      <c r="G173" s="156"/>
      <c r="H173" s="156"/>
      <c r="I173" s="156"/>
      <c r="J173" s="156"/>
      <c r="K173" s="156"/>
      <c r="L173" s="156"/>
      <c r="M173" s="156"/>
      <c r="N173" s="1054"/>
      <c r="O173" s="156"/>
      <c r="P173" s="156"/>
      <c r="Q173" s="156"/>
      <c r="R173" s="156"/>
      <c r="S173" s="156"/>
      <c r="T173" s="156"/>
      <c r="U173" s="51"/>
      <c r="V173" s="374"/>
      <c r="W173" s="374"/>
      <c r="X173" s="143"/>
      <c r="Y173" s="360"/>
      <c r="Z173" s="360"/>
      <c r="AA173" s="65"/>
      <c r="AB173" s="65"/>
    </row>
    <row r="174" spans="1:28" ht="18" x14ac:dyDescent="0.25">
      <c r="A174" s="271"/>
      <c r="B174" s="156"/>
      <c r="C174" s="156"/>
      <c r="D174" s="156"/>
      <c r="E174" s="156"/>
      <c r="F174" s="156"/>
      <c r="G174" s="156"/>
      <c r="H174" s="156"/>
      <c r="I174" s="156"/>
      <c r="J174" s="156"/>
      <c r="K174" s="156"/>
      <c r="L174" s="156"/>
      <c r="M174" s="156"/>
      <c r="N174" s="1054"/>
      <c r="O174" s="156"/>
      <c r="P174" s="156"/>
      <c r="Q174" s="156"/>
      <c r="R174" s="156"/>
      <c r="S174" s="156"/>
      <c r="T174" s="156"/>
      <c r="U174" s="51"/>
      <c r="V174" s="374"/>
      <c r="W174" s="374"/>
      <c r="X174" s="143"/>
      <c r="Y174" s="360"/>
      <c r="Z174" s="360"/>
      <c r="AA174" s="65"/>
      <c r="AB174" s="65"/>
    </row>
    <row r="175" spans="1:28" ht="18" x14ac:dyDescent="0.25">
      <c r="A175" s="271"/>
      <c r="B175" s="156"/>
      <c r="C175" s="156"/>
      <c r="D175" s="156"/>
      <c r="E175" s="156"/>
      <c r="F175" s="156"/>
      <c r="G175" s="156"/>
      <c r="H175" s="156"/>
      <c r="I175" s="156"/>
      <c r="J175" s="156"/>
      <c r="K175" s="156"/>
      <c r="L175" s="156"/>
      <c r="M175" s="156"/>
      <c r="N175" s="1054"/>
      <c r="O175" s="156"/>
      <c r="P175" s="156"/>
      <c r="Q175" s="156"/>
      <c r="R175" s="156"/>
      <c r="S175" s="156"/>
      <c r="T175" s="156"/>
      <c r="U175" s="51"/>
      <c r="V175" s="374"/>
      <c r="W175" s="374"/>
      <c r="X175" s="143"/>
      <c r="Y175" s="360"/>
      <c r="Z175" s="360"/>
      <c r="AA175" s="65"/>
      <c r="AB175" s="65"/>
    </row>
    <row r="176" spans="1:28" ht="18" x14ac:dyDescent="0.25">
      <c r="A176" s="271"/>
      <c r="B176" s="156"/>
      <c r="C176" s="156"/>
      <c r="D176" s="156"/>
      <c r="E176" s="156"/>
      <c r="F176" s="156"/>
      <c r="G176" s="156"/>
      <c r="H176" s="156"/>
      <c r="I176" s="156"/>
      <c r="J176" s="156"/>
      <c r="K176" s="156"/>
      <c r="L176" s="156"/>
      <c r="M176" s="156"/>
      <c r="N176" s="1054"/>
      <c r="O176" s="156"/>
      <c r="P176" s="156"/>
      <c r="Q176" s="156"/>
      <c r="R176" s="156"/>
      <c r="S176" s="156"/>
      <c r="T176" s="156"/>
      <c r="U176" s="51"/>
      <c r="V176" s="374"/>
      <c r="W176" s="374"/>
      <c r="X176" s="143"/>
      <c r="Y176" s="360"/>
      <c r="Z176" s="360"/>
      <c r="AA176" s="65"/>
      <c r="AB176" s="65"/>
    </row>
    <row r="177" spans="1:28" ht="18" x14ac:dyDescent="0.25">
      <c r="A177" s="271"/>
      <c r="B177" s="156"/>
      <c r="C177" s="156"/>
      <c r="D177" s="156"/>
      <c r="E177" s="156"/>
      <c r="F177" s="156"/>
      <c r="G177" s="156"/>
      <c r="H177" s="156"/>
      <c r="I177" s="156"/>
      <c r="J177" s="156"/>
      <c r="K177" s="156"/>
      <c r="L177" s="156"/>
      <c r="M177" s="156"/>
      <c r="N177" s="1054"/>
      <c r="O177" s="156"/>
      <c r="P177" s="156"/>
      <c r="Q177" s="156"/>
      <c r="R177" s="156"/>
      <c r="S177" s="156"/>
      <c r="T177" s="156"/>
      <c r="U177" s="51"/>
      <c r="V177" s="374"/>
      <c r="W177" s="374"/>
      <c r="X177" s="143"/>
      <c r="Y177" s="360"/>
      <c r="Z177" s="360"/>
      <c r="AA177" s="65"/>
      <c r="AB177" s="65"/>
    </row>
    <row r="178" spans="1:28" ht="18" x14ac:dyDescent="0.25">
      <c r="A178" s="271"/>
      <c r="B178" s="156"/>
      <c r="C178" s="156"/>
      <c r="D178" s="156"/>
      <c r="E178" s="156"/>
      <c r="F178" s="156"/>
      <c r="G178" s="156"/>
      <c r="H178" s="156"/>
      <c r="I178" s="156"/>
      <c r="J178" s="156"/>
      <c r="K178" s="156"/>
      <c r="L178" s="156"/>
      <c r="M178" s="156"/>
      <c r="N178" s="1054"/>
      <c r="O178" s="156"/>
      <c r="P178" s="156"/>
      <c r="Q178" s="156"/>
      <c r="R178" s="156"/>
      <c r="S178" s="156"/>
      <c r="T178" s="156"/>
      <c r="U178" s="51"/>
      <c r="V178" s="374"/>
      <c r="W178" s="374"/>
      <c r="X178" s="143"/>
      <c r="Y178" s="360"/>
      <c r="Z178" s="360"/>
      <c r="AA178" s="65"/>
      <c r="AB178" s="65"/>
    </row>
    <row r="179" spans="1:28" ht="18" x14ac:dyDescent="0.25">
      <c r="A179" s="271"/>
      <c r="B179" s="156"/>
      <c r="C179" s="156"/>
      <c r="D179" s="156"/>
      <c r="E179" s="156"/>
      <c r="F179" s="156"/>
      <c r="G179" s="156"/>
      <c r="H179" s="156"/>
      <c r="I179" s="156"/>
      <c r="J179" s="156"/>
      <c r="K179" s="156"/>
      <c r="L179" s="156"/>
      <c r="M179" s="156"/>
      <c r="N179" s="1054"/>
      <c r="O179" s="156"/>
      <c r="P179" s="156"/>
      <c r="Q179" s="156"/>
      <c r="R179" s="156"/>
      <c r="S179" s="156"/>
      <c r="T179" s="156"/>
      <c r="U179" s="51"/>
      <c r="V179" s="374"/>
      <c r="W179" s="374"/>
      <c r="X179" s="143"/>
      <c r="Y179" s="360"/>
      <c r="Z179" s="360"/>
      <c r="AA179" s="65"/>
      <c r="AB179" s="65"/>
    </row>
    <row r="180" spans="1:28" ht="18" x14ac:dyDescent="0.25">
      <c r="A180" s="271"/>
      <c r="B180" s="156"/>
      <c r="C180" s="156"/>
      <c r="D180" s="156"/>
      <c r="E180" s="156"/>
      <c r="F180" s="156"/>
      <c r="G180" s="156"/>
      <c r="H180" s="156"/>
      <c r="I180" s="156"/>
      <c r="J180" s="156"/>
      <c r="K180" s="156"/>
      <c r="L180" s="156"/>
      <c r="M180" s="156"/>
      <c r="N180" s="1054"/>
      <c r="O180" s="156"/>
      <c r="P180" s="156"/>
      <c r="Q180" s="156"/>
      <c r="R180" s="156"/>
      <c r="S180" s="156"/>
      <c r="T180" s="156"/>
      <c r="U180" s="51"/>
      <c r="V180" s="374"/>
      <c r="W180" s="374"/>
      <c r="X180" s="143"/>
      <c r="Y180" s="360"/>
      <c r="Z180" s="360"/>
      <c r="AA180" s="65"/>
      <c r="AB180" s="65"/>
    </row>
    <row r="181" spans="1:28" ht="18" x14ac:dyDescent="0.25">
      <c r="A181" s="271"/>
      <c r="B181" s="156"/>
      <c r="C181" s="156"/>
      <c r="D181" s="156"/>
      <c r="E181" s="156"/>
      <c r="F181" s="156"/>
      <c r="G181" s="156"/>
      <c r="H181" s="156"/>
      <c r="I181" s="156"/>
      <c r="J181" s="156"/>
      <c r="K181" s="156"/>
      <c r="L181" s="156"/>
      <c r="M181" s="156"/>
      <c r="N181" s="1054"/>
      <c r="O181" s="156"/>
      <c r="P181" s="156"/>
      <c r="Q181" s="156"/>
      <c r="R181" s="156"/>
      <c r="S181" s="156"/>
      <c r="T181" s="156"/>
      <c r="U181" s="51"/>
      <c r="V181" s="374"/>
      <c r="W181" s="374"/>
      <c r="X181" s="143"/>
      <c r="Y181" s="360"/>
      <c r="Z181" s="360"/>
      <c r="AA181" s="65"/>
      <c r="AB181" s="65"/>
    </row>
    <row r="182" spans="1:28" ht="18" x14ac:dyDescent="0.25">
      <c r="A182" s="271"/>
      <c r="B182" s="156"/>
      <c r="C182" s="156"/>
      <c r="D182" s="156"/>
      <c r="E182" s="156"/>
      <c r="F182" s="156"/>
      <c r="G182" s="156"/>
      <c r="H182" s="156"/>
      <c r="I182" s="156"/>
      <c r="J182" s="156"/>
      <c r="K182" s="156"/>
      <c r="L182" s="156"/>
      <c r="M182" s="156"/>
      <c r="N182" s="1054"/>
      <c r="O182" s="156"/>
      <c r="P182" s="156"/>
      <c r="Q182" s="156"/>
      <c r="R182" s="156"/>
      <c r="S182" s="156"/>
      <c r="T182" s="156"/>
      <c r="U182" s="51"/>
      <c r="V182" s="374"/>
      <c r="W182" s="374"/>
      <c r="X182" s="143"/>
      <c r="Y182" s="360"/>
      <c r="Z182" s="360"/>
      <c r="AA182" s="65"/>
      <c r="AB182" s="65"/>
    </row>
    <row r="183" spans="1:28" ht="18" x14ac:dyDescent="0.25">
      <c r="A183" s="271"/>
      <c r="B183" s="156"/>
      <c r="C183" s="156"/>
      <c r="D183" s="156"/>
      <c r="E183" s="156"/>
      <c r="F183" s="156"/>
      <c r="G183" s="156"/>
      <c r="H183" s="156"/>
      <c r="I183" s="156"/>
      <c r="J183" s="156"/>
      <c r="K183" s="156"/>
      <c r="L183" s="156"/>
      <c r="M183" s="156"/>
      <c r="N183" s="1054"/>
      <c r="O183" s="156"/>
      <c r="P183" s="156"/>
      <c r="Q183" s="156"/>
      <c r="R183" s="156"/>
      <c r="S183" s="156"/>
      <c r="T183" s="156"/>
      <c r="U183" s="51"/>
      <c r="V183" s="374"/>
      <c r="W183" s="374"/>
      <c r="X183" s="143"/>
      <c r="Y183" s="360"/>
      <c r="Z183" s="360"/>
      <c r="AA183" s="65"/>
      <c r="AB183" s="65"/>
    </row>
    <row r="184" spans="1:28" ht="18" x14ac:dyDescent="0.25">
      <c r="A184" s="271"/>
      <c r="B184" s="156"/>
      <c r="C184" s="156"/>
      <c r="D184" s="156"/>
      <c r="E184" s="156"/>
      <c r="F184" s="156"/>
      <c r="G184" s="156"/>
      <c r="H184" s="156"/>
      <c r="I184" s="156"/>
      <c r="J184" s="156"/>
      <c r="K184" s="156"/>
      <c r="L184" s="156"/>
      <c r="M184" s="156"/>
      <c r="N184" s="1054"/>
      <c r="O184" s="156"/>
      <c r="P184" s="156"/>
      <c r="Q184" s="156"/>
      <c r="R184" s="156"/>
      <c r="S184" s="156"/>
      <c r="T184" s="156"/>
      <c r="U184" s="51"/>
      <c r="V184" s="374"/>
      <c r="W184" s="374"/>
      <c r="X184" s="143"/>
      <c r="Y184" s="360"/>
      <c r="Z184" s="360"/>
      <c r="AA184" s="65"/>
      <c r="AB184" s="65"/>
    </row>
    <row r="185" spans="1:28" ht="18" x14ac:dyDescent="0.25">
      <c r="A185" s="271"/>
      <c r="B185" s="156"/>
      <c r="C185" s="156"/>
      <c r="D185" s="156"/>
      <c r="E185" s="156"/>
      <c r="F185" s="156"/>
      <c r="G185" s="156"/>
      <c r="H185" s="156"/>
      <c r="I185" s="156"/>
      <c r="J185" s="156"/>
      <c r="K185" s="156"/>
      <c r="L185" s="156"/>
      <c r="M185" s="156"/>
      <c r="N185" s="1054"/>
      <c r="O185" s="156"/>
      <c r="P185" s="156"/>
      <c r="Q185" s="156"/>
      <c r="R185" s="156"/>
      <c r="S185" s="156"/>
      <c r="T185" s="156"/>
      <c r="U185" s="51"/>
      <c r="V185" s="374"/>
      <c r="W185" s="374"/>
      <c r="X185" s="143"/>
      <c r="Y185" s="360"/>
      <c r="Z185" s="360"/>
      <c r="AA185" s="65"/>
      <c r="AB185" s="65"/>
    </row>
    <row r="186" spans="1:28" ht="18" x14ac:dyDescent="0.25">
      <c r="A186" s="271"/>
      <c r="B186" s="156"/>
      <c r="C186" s="156"/>
      <c r="D186" s="156"/>
      <c r="E186" s="156"/>
      <c r="F186" s="156"/>
      <c r="G186" s="156"/>
      <c r="H186" s="156"/>
      <c r="I186" s="156"/>
      <c r="J186" s="156"/>
      <c r="K186" s="156"/>
      <c r="L186" s="156"/>
      <c r="M186" s="156"/>
      <c r="N186" s="1054"/>
      <c r="O186" s="156"/>
      <c r="P186" s="156"/>
      <c r="Q186" s="156"/>
      <c r="R186" s="156"/>
      <c r="S186" s="156"/>
      <c r="T186" s="156"/>
      <c r="U186" s="51"/>
      <c r="V186" s="374"/>
      <c r="W186" s="374"/>
      <c r="X186" s="143"/>
      <c r="Y186" s="360"/>
      <c r="Z186" s="360"/>
      <c r="AA186" s="65"/>
      <c r="AB186" s="65"/>
    </row>
    <row r="187" spans="1:28" ht="18" x14ac:dyDescent="0.25">
      <c r="A187" s="271"/>
      <c r="B187" s="156"/>
      <c r="C187" s="156"/>
      <c r="D187" s="156"/>
      <c r="E187" s="156"/>
      <c r="F187" s="156"/>
      <c r="G187" s="156"/>
      <c r="H187" s="156"/>
      <c r="I187" s="156"/>
      <c r="J187" s="156"/>
      <c r="K187" s="156"/>
      <c r="L187" s="156"/>
      <c r="M187" s="156"/>
      <c r="N187" s="1054"/>
      <c r="O187" s="156"/>
      <c r="P187" s="156"/>
      <c r="Q187" s="156"/>
      <c r="R187" s="156"/>
      <c r="S187" s="156"/>
      <c r="T187" s="156"/>
      <c r="U187" s="51"/>
      <c r="V187" s="374"/>
      <c r="W187" s="374"/>
      <c r="X187" s="143"/>
      <c r="Y187" s="360"/>
      <c r="Z187" s="360"/>
      <c r="AA187" s="65"/>
      <c r="AB187" s="65"/>
    </row>
    <row r="188" spans="1:28" ht="18" x14ac:dyDescent="0.25">
      <c r="A188" s="271"/>
      <c r="B188" s="156"/>
      <c r="C188" s="156"/>
      <c r="D188" s="156"/>
      <c r="E188" s="156"/>
      <c r="F188" s="156"/>
      <c r="G188" s="156"/>
      <c r="H188" s="156"/>
      <c r="I188" s="156"/>
      <c r="J188" s="156"/>
      <c r="K188" s="156"/>
      <c r="L188" s="156"/>
      <c r="M188" s="156"/>
      <c r="N188" s="1054"/>
      <c r="O188" s="156"/>
      <c r="P188" s="156"/>
      <c r="Q188" s="156"/>
      <c r="R188" s="156"/>
      <c r="S188" s="156"/>
      <c r="T188" s="156"/>
      <c r="U188" s="51"/>
      <c r="V188" s="374"/>
      <c r="W188" s="374"/>
      <c r="X188" s="143"/>
      <c r="Y188" s="360"/>
      <c r="Z188" s="360"/>
      <c r="AA188" s="65"/>
      <c r="AB188" s="65"/>
    </row>
    <row r="189" spans="1:28" ht="18" x14ac:dyDescent="0.25">
      <c r="A189" s="271"/>
      <c r="B189" s="156"/>
      <c r="C189" s="156"/>
      <c r="D189" s="156"/>
      <c r="E189" s="156"/>
      <c r="F189" s="156"/>
      <c r="G189" s="156"/>
      <c r="H189" s="156"/>
      <c r="I189" s="156"/>
      <c r="J189" s="156"/>
      <c r="K189" s="156"/>
      <c r="L189" s="156"/>
      <c r="M189" s="156"/>
      <c r="N189" s="1054"/>
      <c r="O189" s="156"/>
      <c r="P189" s="156"/>
      <c r="Q189" s="156"/>
      <c r="R189" s="156"/>
      <c r="S189" s="156"/>
      <c r="T189" s="156"/>
      <c r="U189" s="51"/>
      <c r="V189" s="374"/>
      <c r="W189" s="374"/>
      <c r="X189" s="143"/>
      <c r="Y189" s="360"/>
      <c r="Z189" s="360"/>
      <c r="AA189" s="65"/>
      <c r="AB189" s="65"/>
    </row>
    <row r="190" spans="1:28" ht="18" x14ac:dyDescent="0.25">
      <c r="A190" s="271"/>
      <c r="B190" s="156"/>
      <c r="C190" s="156"/>
      <c r="D190" s="156"/>
      <c r="E190" s="156"/>
      <c r="F190" s="156"/>
      <c r="G190" s="156"/>
      <c r="H190" s="156"/>
      <c r="I190" s="156"/>
      <c r="J190" s="156"/>
      <c r="K190" s="156"/>
      <c r="L190" s="156"/>
      <c r="M190" s="156"/>
      <c r="N190" s="1054"/>
      <c r="O190" s="156"/>
      <c r="P190" s="156"/>
      <c r="Q190" s="156"/>
      <c r="R190" s="156"/>
      <c r="S190" s="156"/>
      <c r="T190" s="156"/>
      <c r="U190" s="51"/>
      <c r="V190" s="374"/>
      <c r="W190" s="374"/>
      <c r="X190" s="143"/>
      <c r="Y190" s="360"/>
      <c r="Z190" s="360"/>
      <c r="AA190" s="65"/>
      <c r="AB190" s="65"/>
    </row>
    <row r="191" spans="1:28" ht="18" x14ac:dyDescent="0.25">
      <c r="A191" s="271"/>
      <c r="B191" s="156"/>
      <c r="C191" s="156"/>
      <c r="D191" s="156"/>
      <c r="E191" s="156"/>
      <c r="F191" s="156"/>
      <c r="G191" s="156"/>
      <c r="H191" s="156"/>
      <c r="I191" s="156"/>
      <c r="J191" s="156"/>
      <c r="K191" s="156"/>
      <c r="L191" s="156"/>
      <c r="M191" s="156"/>
      <c r="N191" s="1054"/>
      <c r="O191" s="156"/>
      <c r="P191" s="156"/>
      <c r="Q191" s="156"/>
      <c r="R191" s="156"/>
      <c r="S191" s="156"/>
      <c r="T191" s="156"/>
      <c r="U191" s="51"/>
      <c r="V191" s="374"/>
      <c r="W191" s="374"/>
      <c r="X191" s="143"/>
      <c r="Y191" s="360"/>
      <c r="Z191" s="360"/>
      <c r="AA191" s="65"/>
      <c r="AB191" s="65"/>
    </row>
    <row r="192" spans="1:28" ht="18" x14ac:dyDescent="0.25">
      <c r="A192" s="271"/>
      <c r="B192" s="156"/>
      <c r="C192" s="156"/>
      <c r="D192" s="156"/>
      <c r="E192" s="156"/>
      <c r="F192" s="156"/>
      <c r="G192" s="156"/>
      <c r="H192" s="156"/>
      <c r="I192" s="156"/>
      <c r="J192" s="156"/>
      <c r="K192" s="156"/>
      <c r="L192" s="156"/>
      <c r="M192" s="156"/>
      <c r="N192" s="1054"/>
      <c r="O192" s="156"/>
      <c r="P192" s="156"/>
      <c r="Q192" s="156"/>
      <c r="R192" s="156"/>
      <c r="S192" s="156"/>
      <c r="T192" s="156"/>
      <c r="U192" s="51"/>
      <c r="V192" s="374"/>
      <c r="W192" s="374"/>
      <c r="X192" s="143"/>
      <c r="Y192" s="360"/>
      <c r="Z192" s="360"/>
      <c r="AA192" s="65"/>
      <c r="AB192" s="65"/>
    </row>
    <row r="193" spans="1:28" ht="18" x14ac:dyDescent="0.25">
      <c r="A193" s="271"/>
      <c r="B193" s="156"/>
      <c r="C193" s="156"/>
      <c r="D193" s="156"/>
      <c r="E193" s="156"/>
      <c r="F193" s="156"/>
      <c r="G193" s="156"/>
      <c r="H193" s="156"/>
      <c r="I193" s="156"/>
      <c r="J193" s="156"/>
      <c r="K193" s="156"/>
      <c r="L193" s="156"/>
      <c r="M193" s="156"/>
      <c r="N193" s="1054"/>
      <c r="O193" s="156"/>
      <c r="P193" s="156"/>
      <c r="Q193" s="156"/>
      <c r="R193" s="156"/>
      <c r="S193" s="156"/>
      <c r="T193" s="156"/>
      <c r="U193" s="51"/>
      <c r="V193" s="374"/>
      <c r="W193" s="374"/>
      <c r="X193" s="143"/>
      <c r="Y193" s="360"/>
      <c r="Z193" s="360"/>
      <c r="AA193" s="65"/>
      <c r="AB193" s="65"/>
    </row>
    <row r="194" spans="1:28" ht="18" x14ac:dyDescent="0.25">
      <c r="A194" s="271"/>
      <c r="B194" s="156"/>
      <c r="C194" s="156"/>
      <c r="D194" s="156"/>
      <c r="E194" s="156"/>
      <c r="F194" s="156"/>
      <c r="G194" s="156"/>
      <c r="H194" s="156"/>
      <c r="I194" s="156"/>
      <c r="J194" s="156"/>
      <c r="K194" s="156"/>
      <c r="L194" s="156"/>
      <c r="M194" s="156"/>
      <c r="N194" s="1054"/>
      <c r="O194" s="156"/>
      <c r="P194" s="156"/>
      <c r="Q194" s="156"/>
      <c r="R194" s="156"/>
      <c r="S194" s="156"/>
      <c r="T194" s="156"/>
      <c r="U194" s="51"/>
      <c r="V194" s="374"/>
      <c r="W194" s="374"/>
      <c r="X194" s="143"/>
      <c r="Y194" s="360"/>
      <c r="Z194" s="360"/>
      <c r="AA194" s="65"/>
      <c r="AB194" s="65"/>
    </row>
    <row r="195" spans="1:28" ht="18" x14ac:dyDescent="0.25">
      <c r="A195" s="271"/>
      <c r="B195" s="156"/>
      <c r="C195" s="156"/>
      <c r="D195" s="156"/>
      <c r="E195" s="156"/>
      <c r="F195" s="156"/>
      <c r="G195" s="156"/>
      <c r="H195" s="156"/>
      <c r="I195" s="156"/>
      <c r="J195" s="156"/>
      <c r="K195" s="156"/>
      <c r="L195" s="156"/>
      <c r="M195" s="156"/>
      <c r="N195" s="1054"/>
      <c r="O195" s="156"/>
      <c r="P195" s="156"/>
      <c r="Q195" s="156"/>
      <c r="R195" s="156"/>
      <c r="S195" s="156"/>
      <c r="T195" s="156"/>
      <c r="U195" s="51"/>
      <c r="V195" s="374"/>
      <c r="W195" s="374"/>
      <c r="X195" s="143"/>
      <c r="Y195" s="360"/>
      <c r="Z195" s="360"/>
      <c r="AA195" s="65"/>
      <c r="AB195" s="65"/>
    </row>
    <row r="196" spans="1:28" ht="18" x14ac:dyDescent="0.25">
      <c r="A196" s="271"/>
      <c r="B196" s="156"/>
      <c r="C196" s="156"/>
      <c r="D196" s="156"/>
      <c r="E196" s="156"/>
      <c r="F196" s="156"/>
      <c r="G196" s="156"/>
      <c r="H196" s="156"/>
      <c r="I196" s="156"/>
      <c r="J196" s="156"/>
      <c r="K196" s="156"/>
      <c r="L196" s="156"/>
      <c r="M196" s="156"/>
      <c r="N196" s="1054"/>
      <c r="O196" s="156"/>
      <c r="P196" s="156"/>
      <c r="Q196" s="156"/>
      <c r="R196" s="156"/>
      <c r="S196" s="156"/>
      <c r="T196" s="156"/>
      <c r="U196" s="51"/>
      <c r="V196" s="374"/>
      <c r="W196" s="374"/>
      <c r="X196" s="143"/>
      <c r="Y196" s="360"/>
      <c r="Z196" s="360"/>
      <c r="AA196" s="65"/>
      <c r="AB196" s="65"/>
    </row>
    <row r="197" spans="1:28" ht="18" x14ac:dyDescent="0.25">
      <c r="A197" s="271"/>
      <c r="B197" s="156"/>
      <c r="C197" s="156"/>
      <c r="D197" s="156"/>
      <c r="E197" s="156"/>
      <c r="F197" s="156"/>
      <c r="G197" s="156"/>
      <c r="H197" s="156"/>
      <c r="I197" s="156"/>
      <c r="J197" s="156"/>
      <c r="K197" s="156"/>
      <c r="L197" s="156"/>
      <c r="M197" s="156"/>
      <c r="N197" s="1054"/>
      <c r="O197" s="156"/>
      <c r="P197" s="156"/>
      <c r="Q197" s="156"/>
      <c r="R197" s="156"/>
      <c r="S197" s="156"/>
      <c r="T197" s="156"/>
      <c r="U197" s="51"/>
      <c r="V197" s="374"/>
      <c r="W197" s="374"/>
      <c r="X197" s="143"/>
      <c r="Y197" s="360"/>
      <c r="Z197" s="360"/>
      <c r="AA197" s="65"/>
      <c r="AB197" s="65"/>
    </row>
    <row r="198" spans="1:28" ht="18" x14ac:dyDescent="0.25">
      <c r="A198" s="271"/>
      <c r="B198" s="156"/>
      <c r="C198" s="156"/>
      <c r="D198" s="156"/>
      <c r="E198" s="156"/>
      <c r="F198" s="156"/>
      <c r="G198" s="156"/>
      <c r="H198" s="156"/>
      <c r="I198" s="156"/>
      <c r="J198" s="156"/>
      <c r="K198" s="156"/>
      <c r="L198" s="156"/>
      <c r="M198" s="156"/>
      <c r="N198" s="1054"/>
      <c r="O198" s="156"/>
      <c r="P198" s="156"/>
      <c r="Q198" s="156"/>
      <c r="R198" s="156"/>
      <c r="S198" s="156"/>
      <c r="T198" s="156"/>
      <c r="U198" s="51"/>
      <c r="V198" s="374"/>
      <c r="W198" s="374"/>
      <c r="X198" s="143"/>
      <c r="Y198" s="360"/>
      <c r="Z198" s="360"/>
      <c r="AA198" s="65"/>
      <c r="AB198" s="65"/>
    </row>
    <row r="199" spans="1:28" ht="18" x14ac:dyDescent="0.25">
      <c r="A199" s="271"/>
      <c r="B199" s="156"/>
      <c r="C199" s="156"/>
      <c r="D199" s="156"/>
      <c r="E199" s="156"/>
      <c r="F199" s="156"/>
      <c r="G199" s="156"/>
      <c r="H199" s="156"/>
      <c r="I199" s="156"/>
      <c r="J199" s="156"/>
      <c r="K199" s="156"/>
      <c r="L199" s="156"/>
      <c r="M199" s="156"/>
      <c r="N199" s="1054"/>
      <c r="O199" s="156"/>
      <c r="P199" s="156"/>
      <c r="Q199" s="156"/>
      <c r="R199" s="156"/>
      <c r="S199" s="156"/>
      <c r="T199" s="156"/>
      <c r="U199" s="51"/>
      <c r="V199" s="374"/>
      <c r="W199" s="374"/>
      <c r="X199" s="143"/>
      <c r="Y199" s="360"/>
      <c r="Z199" s="360"/>
      <c r="AA199" s="65"/>
      <c r="AB199" s="65"/>
    </row>
    <row r="200" spans="1:28" ht="18" x14ac:dyDescent="0.25">
      <c r="A200" s="271"/>
      <c r="B200" s="156"/>
      <c r="C200" s="156"/>
      <c r="D200" s="156"/>
      <c r="E200" s="156"/>
      <c r="F200" s="156"/>
      <c r="G200" s="156"/>
      <c r="H200" s="156"/>
      <c r="I200" s="156"/>
      <c r="J200" s="156"/>
      <c r="K200" s="156"/>
      <c r="L200" s="156"/>
      <c r="M200" s="156"/>
      <c r="N200" s="1054"/>
      <c r="O200" s="156"/>
      <c r="P200" s="156"/>
      <c r="Q200" s="156"/>
      <c r="R200" s="156"/>
      <c r="S200" s="156"/>
      <c r="T200" s="156"/>
      <c r="U200" s="51"/>
      <c r="V200" s="374"/>
      <c r="W200" s="374"/>
      <c r="X200" s="143"/>
      <c r="Y200" s="360"/>
      <c r="Z200" s="360"/>
      <c r="AA200" s="65"/>
      <c r="AB200" s="65"/>
    </row>
    <row r="201" spans="1:28" ht="18" x14ac:dyDescent="0.25">
      <c r="A201" s="271"/>
      <c r="B201" s="156"/>
      <c r="C201" s="156"/>
      <c r="D201" s="156"/>
      <c r="E201" s="156"/>
      <c r="F201" s="156"/>
      <c r="G201" s="156"/>
      <c r="H201" s="156"/>
      <c r="I201" s="156"/>
      <c r="J201" s="156"/>
      <c r="K201" s="156"/>
      <c r="L201" s="156"/>
      <c r="M201" s="156"/>
      <c r="N201" s="1054"/>
      <c r="O201" s="156"/>
      <c r="P201" s="156"/>
      <c r="Q201" s="156"/>
      <c r="R201" s="156"/>
      <c r="S201" s="156"/>
      <c r="T201" s="156"/>
      <c r="U201" s="51"/>
      <c r="V201" s="374"/>
      <c r="W201" s="374"/>
      <c r="X201" s="143"/>
      <c r="Y201" s="360"/>
      <c r="Z201" s="360"/>
      <c r="AA201" s="65"/>
      <c r="AB201" s="65"/>
    </row>
    <row r="202" spans="1:28" ht="18" x14ac:dyDescent="0.25">
      <c r="A202" s="271"/>
      <c r="B202" s="156"/>
      <c r="C202" s="156"/>
      <c r="D202" s="156"/>
      <c r="E202" s="156"/>
      <c r="F202" s="156"/>
      <c r="G202" s="156"/>
      <c r="H202" s="156"/>
      <c r="I202" s="156"/>
      <c r="J202" s="156"/>
      <c r="K202" s="156"/>
      <c r="L202" s="156"/>
      <c r="M202" s="156"/>
      <c r="N202" s="1054"/>
      <c r="O202" s="156"/>
      <c r="P202" s="156"/>
      <c r="Q202" s="156"/>
      <c r="R202" s="156"/>
      <c r="S202" s="156"/>
      <c r="T202" s="156"/>
      <c r="U202" s="51"/>
      <c r="V202" s="374"/>
      <c r="W202" s="374"/>
      <c r="X202" s="143"/>
      <c r="Y202" s="360"/>
      <c r="Z202" s="360"/>
      <c r="AA202" s="65"/>
      <c r="AB202" s="65"/>
    </row>
    <row r="203" spans="1:28" ht="18" x14ac:dyDescent="0.25">
      <c r="A203" s="271"/>
      <c r="B203" s="156"/>
      <c r="C203" s="156"/>
      <c r="D203" s="156"/>
      <c r="E203" s="156"/>
      <c r="F203" s="156"/>
      <c r="G203" s="156"/>
      <c r="H203" s="156"/>
      <c r="I203" s="156"/>
      <c r="J203" s="156"/>
      <c r="K203" s="156"/>
      <c r="L203" s="156"/>
      <c r="M203" s="156"/>
      <c r="N203" s="1054"/>
      <c r="O203" s="156"/>
      <c r="P203" s="156"/>
      <c r="Q203" s="156"/>
      <c r="R203" s="156"/>
      <c r="S203" s="156"/>
      <c r="T203" s="156"/>
      <c r="U203" s="51"/>
      <c r="V203" s="374"/>
      <c r="W203" s="374"/>
      <c r="X203" s="143"/>
      <c r="Y203" s="360"/>
      <c r="Z203" s="360"/>
      <c r="AA203" s="65"/>
      <c r="AB203" s="65"/>
    </row>
    <row r="204" spans="1:28" ht="18" x14ac:dyDescent="0.25">
      <c r="A204" s="271"/>
      <c r="B204" s="156"/>
      <c r="C204" s="156"/>
      <c r="D204" s="156"/>
      <c r="E204" s="156"/>
      <c r="F204" s="156"/>
      <c r="G204" s="156"/>
      <c r="H204" s="156"/>
      <c r="I204" s="156"/>
      <c r="J204" s="156"/>
      <c r="K204" s="156"/>
      <c r="L204" s="156"/>
      <c r="M204" s="156"/>
      <c r="N204" s="1054"/>
      <c r="O204" s="156"/>
      <c r="P204" s="156"/>
      <c r="Q204" s="156"/>
      <c r="R204" s="156"/>
      <c r="S204" s="156"/>
      <c r="T204" s="156"/>
      <c r="U204" s="51"/>
      <c r="V204" s="374"/>
      <c r="W204" s="374"/>
      <c r="X204" s="143"/>
      <c r="Y204" s="360"/>
      <c r="Z204" s="360"/>
      <c r="AA204" s="65"/>
      <c r="AB204" s="65"/>
    </row>
    <row r="205" spans="1:28" ht="18" x14ac:dyDescent="0.25">
      <c r="A205" s="271"/>
      <c r="B205" s="156"/>
      <c r="C205" s="156"/>
      <c r="D205" s="156"/>
      <c r="E205" s="156"/>
      <c r="F205" s="156"/>
      <c r="G205" s="156"/>
      <c r="H205" s="156"/>
      <c r="I205" s="156"/>
      <c r="J205" s="156"/>
      <c r="K205" s="156"/>
      <c r="L205" s="156"/>
      <c r="M205" s="156"/>
      <c r="N205" s="1054"/>
      <c r="O205" s="156"/>
      <c r="P205" s="156"/>
      <c r="Q205" s="156"/>
      <c r="R205" s="156"/>
      <c r="S205" s="156"/>
      <c r="T205" s="156"/>
      <c r="U205" s="51"/>
      <c r="V205" s="374"/>
      <c r="W205" s="374"/>
      <c r="X205" s="143"/>
      <c r="Y205" s="360"/>
      <c r="Z205" s="360"/>
      <c r="AA205" s="65"/>
      <c r="AB205" s="65"/>
    </row>
    <row r="206" spans="1:28" ht="18" x14ac:dyDescent="0.25">
      <c r="A206" s="271"/>
      <c r="B206" s="156"/>
      <c r="C206" s="156"/>
      <c r="D206" s="156"/>
      <c r="E206" s="156"/>
      <c r="F206" s="156"/>
      <c r="G206" s="156"/>
      <c r="H206" s="156"/>
      <c r="I206" s="156"/>
      <c r="J206" s="156"/>
      <c r="K206" s="156"/>
      <c r="L206" s="156"/>
      <c r="M206" s="156"/>
      <c r="N206" s="1054"/>
      <c r="O206" s="156"/>
      <c r="P206" s="156"/>
      <c r="Q206" s="156"/>
      <c r="R206" s="156"/>
      <c r="S206" s="156"/>
      <c r="T206" s="156"/>
      <c r="U206" s="51"/>
      <c r="V206" s="374"/>
      <c r="W206" s="374"/>
      <c r="X206" s="143"/>
      <c r="Y206" s="360"/>
      <c r="Z206" s="360"/>
      <c r="AA206" s="65"/>
      <c r="AB206" s="65"/>
    </row>
    <row r="207" spans="1:28" ht="18" x14ac:dyDescent="0.25">
      <c r="A207" s="271"/>
      <c r="B207" s="156"/>
      <c r="C207" s="156"/>
      <c r="D207" s="156"/>
      <c r="E207" s="156"/>
      <c r="F207" s="156"/>
      <c r="G207" s="156"/>
      <c r="H207" s="156"/>
      <c r="I207" s="156"/>
      <c r="J207" s="156"/>
      <c r="K207" s="156"/>
      <c r="L207" s="156"/>
      <c r="M207" s="156"/>
      <c r="N207" s="1054"/>
      <c r="O207" s="156"/>
      <c r="P207" s="156"/>
      <c r="Q207" s="156"/>
      <c r="R207" s="156"/>
      <c r="S207" s="156"/>
      <c r="T207" s="156"/>
      <c r="U207" s="51"/>
      <c r="V207" s="374"/>
      <c r="W207" s="374"/>
      <c r="X207" s="143"/>
      <c r="Y207" s="360"/>
      <c r="Z207" s="360"/>
      <c r="AA207" s="65"/>
      <c r="AB207" s="65"/>
    </row>
    <row r="208" spans="1:28" ht="18" x14ac:dyDescent="0.25">
      <c r="A208" s="271"/>
      <c r="B208" s="156"/>
      <c r="C208" s="156"/>
      <c r="D208" s="156"/>
      <c r="E208" s="156"/>
      <c r="F208" s="156"/>
      <c r="G208" s="156"/>
      <c r="H208" s="156"/>
      <c r="I208" s="156"/>
      <c r="J208" s="156"/>
      <c r="K208" s="156"/>
      <c r="L208" s="156"/>
      <c r="M208" s="156"/>
      <c r="N208" s="1054"/>
      <c r="O208" s="156"/>
      <c r="P208" s="156"/>
      <c r="Q208" s="156"/>
      <c r="R208" s="156"/>
      <c r="S208" s="156"/>
      <c r="T208" s="156"/>
      <c r="U208" s="51"/>
      <c r="V208" s="374"/>
      <c r="W208" s="374"/>
      <c r="X208" s="143"/>
      <c r="Y208" s="360"/>
      <c r="Z208" s="360"/>
      <c r="AA208" s="65"/>
      <c r="AB208" s="65"/>
    </row>
    <row r="209" spans="1:28" ht="18" x14ac:dyDescent="0.25">
      <c r="A209" s="271"/>
      <c r="B209" s="156"/>
      <c r="C209" s="156"/>
      <c r="D209" s="156"/>
      <c r="E209" s="156"/>
      <c r="F209" s="156"/>
      <c r="G209" s="156"/>
      <c r="H209" s="156"/>
      <c r="I209" s="156"/>
      <c r="J209" s="156"/>
      <c r="K209" s="156"/>
      <c r="L209" s="156"/>
      <c r="M209" s="156"/>
      <c r="N209" s="1054"/>
      <c r="O209" s="156"/>
      <c r="P209" s="156"/>
      <c r="Q209" s="156"/>
      <c r="R209" s="156"/>
      <c r="S209" s="156"/>
      <c r="T209" s="156"/>
      <c r="U209" s="51"/>
      <c r="V209" s="374"/>
      <c r="W209" s="374"/>
      <c r="X209" s="143"/>
      <c r="Y209" s="360"/>
      <c r="Z209" s="360"/>
      <c r="AA209" s="65"/>
      <c r="AB209" s="65"/>
    </row>
    <row r="210" spans="1:28" ht="18" x14ac:dyDescent="0.25">
      <c r="A210" s="271"/>
      <c r="B210" s="156"/>
      <c r="C210" s="156"/>
      <c r="D210" s="156"/>
      <c r="E210" s="156"/>
      <c r="F210" s="156"/>
      <c r="G210" s="156"/>
      <c r="H210" s="156"/>
      <c r="I210" s="156"/>
      <c r="J210" s="156"/>
      <c r="K210" s="156"/>
      <c r="L210" s="156"/>
      <c r="M210" s="156"/>
      <c r="N210" s="1054"/>
      <c r="O210" s="156"/>
      <c r="P210" s="156"/>
      <c r="Q210" s="156"/>
      <c r="R210" s="156"/>
      <c r="S210" s="156"/>
      <c r="T210" s="156"/>
      <c r="U210" s="51"/>
      <c r="V210" s="374"/>
      <c r="W210" s="374"/>
      <c r="X210" s="143"/>
      <c r="Y210" s="360"/>
      <c r="Z210" s="360"/>
      <c r="AA210" s="65"/>
      <c r="AB210" s="65"/>
    </row>
    <row r="211" spans="1:28" ht="18" x14ac:dyDescent="0.25">
      <c r="A211" s="271"/>
      <c r="B211" s="156"/>
      <c r="C211" s="156"/>
      <c r="D211" s="156"/>
      <c r="E211" s="156"/>
      <c r="F211" s="156"/>
      <c r="G211" s="156"/>
      <c r="H211" s="156"/>
      <c r="I211" s="156"/>
      <c r="J211" s="156"/>
      <c r="K211" s="156"/>
      <c r="L211" s="156"/>
      <c r="M211" s="156"/>
      <c r="N211" s="1054"/>
      <c r="O211" s="156"/>
      <c r="P211" s="156"/>
      <c r="Q211" s="156"/>
      <c r="R211" s="156"/>
      <c r="S211" s="156"/>
      <c r="T211" s="156"/>
      <c r="U211" s="51"/>
      <c r="V211" s="374"/>
      <c r="W211" s="374"/>
      <c r="X211" s="143"/>
      <c r="Y211" s="360"/>
      <c r="Z211" s="360"/>
      <c r="AA211" s="65"/>
      <c r="AB211" s="65"/>
    </row>
    <row r="212" spans="1:28" ht="18" x14ac:dyDescent="0.25">
      <c r="A212" s="271"/>
      <c r="B212" s="156"/>
      <c r="C212" s="156"/>
      <c r="D212" s="156"/>
      <c r="E212" s="156"/>
      <c r="F212" s="156"/>
      <c r="G212" s="156"/>
      <c r="H212" s="156"/>
      <c r="I212" s="156"/>
      <c r="J212" s="156"/>
      <c r="K212" s="156"/>
      <c r="L212" s="156"/>
      <c r="M212" s="156"/>
      <c r="N212" s="1054"/>
      <c r="O212" s="156"/>
      <c r="P212" s="156"/>
      <c r="Q212" s="156"/>
      <c r="R212" s="156"/>
      <c r="S212" s="156"/>
      <c r="T212" s="156"/>
      <c r="U212" s="51"/>
      <c r="V212" s="374"/>
      <c r="W212" s="374"/>
      <c r="X212" s="143"/>
      <c r="Y212" s="360"/>
      <c r="Z212" s="360"/>
      <c r="AA212" s="65"/>
      <c r="AB212" s="65"/>
    </row>
    <row r="213" spans="1:28" ht="18" x14ac:dyDescent="0.25">
      <c r="A213" s="271"/>
      <c r="B213" s="156"/>
      <c r="C213" s="156"/>
      <c r="D213" s="156"/>
      <c r="E213" s="156"/>
      <c r="F213" s="156"/>
      <c r="G213" s="156"/>
      <c r="H213" s="156"/>
      <c r="I213" s="156"/>
      <c r="J213" s="156"/>
      <c r="K213" s="156"/>
      <c r="L213" s="156"/>
      <c r="M213" s="156"/>
      <c r="N213" s="1054"/>
      <c r="O213" s="156"/>
      <c r="P213" s="156"/>
      <c r="Q213" s="156"/>
      <c r="R213" s="156"/>
      <c r="S213" s="156"/>
      <c r="T213" s="156"/>
      <c r="U213" s="51"/>
      <c r="V213" s="374"/>
      <c r="W213" s="374"/>
      <c r="X213" s="143"/>
      <c r="Y213" s="360"/>
      <c r="Z213" s="360"/>
      <c r="AA213" s="65"/>
      <c r="AB213" s="65"/>
    </row>
    <row r="214" spans="1:28" ht="18" x14ac:dyDescent="0.25">
      <c r="A214" s="271"/>
      <c r="B214" s="156"/>
      <c r="C214" s="156"/>
      <c r="D214" s="156"/>
      <c r="E214" s="156"/>
      <c r="F214" s="156"/>
      <c r="G214" s="156"/>
      <c r="H214" s="156"/>
      <c r="I214" s="156"/>
      <c r="J214" s="156"/>
      <c r="K214" s="156"/>
      <c r="L214" s="156"/>
      <c r="M214" s="156"/>
      <c r="N214" s="1054"/>
      <c r="O214" s="156"/>
      <c r="P214" s="156"/>
      <c r="Q214" s="156"/>
      <c r="R214" s="156"/>
      <c r="S214" s="156"/>
      <c r="T214" s="156"/>
      <c r="U214" s="51"/>
      <c r="V214" s="374"/>
      <c r="W214" s="374"/>
      <c r="X214" s="143"/>
      <c r="Y214" s="360"/>
      <c r="Z214" s="360"/>
      <c r="AA214" s="65"/>
      <c r="AB214" s="65"/>
    </row>
    <row r="215" spans="1:28" ht="18" x14ac:dyDescent="0.25">
      <c r="A215" s="271"/>
      <c r="B215" s="156"/>
      <c r="C215" s="156"/>
      <c r="D215" s="156"/>
      <c r="E215" s="156"/>
      <c r="F215" s="156"/>
      <c r="G215" s="156"/>
      <c r="H215" s="156"/>
      <c r="I215" s="156"/>
      <c r="J215" s="156"/>
      <c r="K215" s="156"/>
      <c r="L215" s="156"/>
      <c r="M215" s="156"/>
      <c r="N215" s="1054"/>
      <c r="O215" s="156"/>
      <c r="P215" s="156"/>
      <c r="Q215" s="156"/>
      <c r="R215" s="156"/>
      <c r="S215" s="156"/>
      <c r="T215" s="156"/>
      <c r="U215" s="51"/>
      <c r="V215" s="374"/>
      <c r="W215" s="374"/>
      <c r="X215" s="143"/>
      <c r="Y215" s="360"/>
      <c r="Z215" s="360"/>
      <c r="AA215" s="65"/>
      <c r="AB215" s="65"/>
    </row>
    <row r="216" spans="1:28" ht="18" x14ac:dyDescent="0.25">
      <c r="A216" s="271"/>
      <c r="B216" s="156"/>
      <c r="C216" s="156"/>
      <c r="D216" s="156"/>
      <c r="E216" s="156"/>
      <c r="F216" s="156"/>
      <c r="G216" s="156"/>
      <c r="H216" s="156"/>
      <c r="I216" s="156"/>
      <c r="J216" s="156"/>
      <c r="K216" s="156"/>
      <c r="L216" s="156"/>
      <c r="M216" s="156"/>
      <c r="N216" s="1054"/>
      <c r="O216" s="156"/>
      <c r="P216" s="156"/>
      <c r="Q216" s="156"/>
      <c r="R216" s="156"/>
      <c r="S216" s="156"/>
      <c r="T216" s="156"/>
      <c r="U216" s="51"/>
      <c r="V216" s="374"/>
      <c r="W216" s="374"/>
      <c r="X216" s="143"/>
      <c r="Y216" s="360"/>
      <c r="Z216" s="360"/>
      <c r="AA216" s="65"/>
      <c r="AB216" s="65"/>
    </row>
    <row r="217" spans="1:28" ht="18" x14ac:dyDescent="0.25">
      <c r="A217" s="271"/>
      <c r="B217" s="156"/>
      <c r="C217" s="156"/>
      <c r="D217" s="156"/>
      <c r="E217" s="156"/>
      <c r="F217" s="156"/>
      <c r="G217" s="156"/>
      <c r="H217" s="156"/>
      <c r="I217" s="156"/>
      <c r="J217" s="156"/>
      <c r="K217" s="156"/>
      <c r="L217" s="156"/>
      <c r="M217" s="156"/>
      <c r="N217" s="1054"/>
      <c r="O217" s="156"/>
      <c r="P217" s="156"/>
      <c r="Q217" s="156"/>
      <c r="R217" s="156"/>
      <c r="S217" s="156"/>
      <c r="T217" s="156"/>
      <c r="U217" s="51"/>
      <c r="V217" s="374"/>
      <c r="W217" s="374"/>
      <c r="X217" s="143"/>
      <c r="Y217" s="360"/>
      <c r="Z217" s="360"/>
      <c r="AA217" s="65"/>
      <c r="AB217" s="65"/>
    </row>
    <row r="218" spans="1:28" ht="18" x14ac:dyDescent="0.25">
      <c r="A218" s="271"/>
      <c r="B218" s="156"/>
      <c r="C218" s="156"/>
      <c r="D218" s="156"/>
      <c r="E218" s="156"/>
      <c r="F218" s="156"/>
      <c r="G218" s="156"/>
      <c r="H218" s="156"/>
      <c r="I218" s="156"/>
      <c r="J218" s="156"/>
      <c r="K218" s="156"/>
      <c r="L218" s="156"/>
      <c r="M218" s="156"/>
      <c r="N218" s="1054"/>
      <c r="O218" s="156"/>
      <c r="P218" s="156"/>
      <c r="Q218" s="156"/>
      <c r="R218" s="156"/>
      <c r="S218" s="156"/>
      <c r="T218" s="156"/>
      <c r="U218" s="51"/>
      <c r="V218" s="374"/>
      <c r="W218" s="374"/>
      <c r="X218" s="143"/>
      <c r="Y218" s="360"/>
      <c r="Z218" s="360"/>
      <c r="AA218" s="65"/>
      <c r="AB218" s="65"/>
    </row>
    <row r="219" spans="1:28" ht="18" x14ac:dyDescent="0.25">
      <c r="A219" s="271"/>
      <c r="B219" s="156"/>
      <c r="C219" s="156"/>
      <c r="D219" s="156"/>
      <c r="E219" s="156"/>
      <c r="F219" s="156"/>
      <c r="G219" s="156"/>
      <c r="H219" s="156"/>
      <c r="I219" s="156"/>
      <c r="J219" s="156"/>
      <c r="K219" s="156"/>
      <c r="L219" s="156"/>
      <c r="M219" s="156"/>
      <c r="N219" s="1054"/>
      <c r="O219" s="156"/>
      <c r="P219" s="156"/>
      <c r="Q219" s="156"/>
      <c r="R219" s="156"/>
      <c r="S219" s="156"/>
      <c r="T219" s="156"/>
      <c r="U219" s="51"/>
      <c r="V219" s="374"/>
      <c r="W219" s="374"/>
      <c r="X219" s="143"/>
      <c r="Y219" s="360"/>
      <c r="Z219" s="360"/>
      <c r="AA219" s="65"/>
      <c r="AB219" s="65"/>
    </row>
    <row r="220" spans="1:28" ht="18" x14ac:dyDescent="0.25">
      <c r="A220" s="271"/>
      <c r="B220" s="156"/>
      <c r="C220" s="156"/>
      <c r="D220" s="156"/>
      <c r="E220" s="156"/>
      <c r="F220" s="156"/>
      <c r="G220" s="156"/>
      <c r="H220" s="156"/>
      <c r="I220" s="156"/>
      <c r="J220" s="156"/>
      <c r="K220" s="156"/>
      <c r="L220" s="156"/>
      <c r="M220" s="156"/>
      <c r="N220" s="1054"/>
      <c r="O220" s="156"/>
      <c r="P220" s="156"/>
      <c r="Q220" s="156"/>
      <c r="R220" s="156"/>
      <c r="S220" s="156"/>
      <c r="T220" s="156"/>
      <c r="U220" s="51"/>
      <c r="V220" s="374"/>
      <c r="W220" s="374"/>
      <c r="X220" s="143"/>
      <c r="Y220" s="360"/>
      <c r="Z220" s="360"/>
      <c r="AA220" s="65"/>
      <c r="AB220" s="65"/>
    </row>
    <row r="221" spans="1:28" ht="18" x14ac:dyDescent="0.25">
      <c r="A221" s="271"/>
      <c r="B221" s="156"/>
      <c r="C221" s="156"/>
      <c r="D221" s="156"/>
      <c r="E221" s="156"/>
      <c r="F221" s="156"/>
      <c r="G221" s="156"/>
      <c r="H221" s="156"/>
      <c r="I221" s="156"/>
      <c r="J221" s="156"/>
      <c r="K221" s="156"/>
      <c r="L221" s="156"/>
      <c r="M221" s="156"/>
      <c r="N221" s="1054"/>
      <c r="O221" s="156"/>
      <c r="P221" s="156"/>
      <c r="Q221" s="156"/>
      <c r="R221" s="156"/>
      <c r="S221" s="156"/>
      <c r="T221" s="156"/>
      <c r="U221" s="51"/>
      <c r="V221" s="374"/>
      <c r="W221" s="374"/>
      <c r="X221" s="143"/>
      <c r="Y221" s="360"/>
      <c r="Z221" s="360"/>
      <c r="AA221" s="65"/>
      <c r="AB221" s="65"/>
    </row>
    <row r="222" spans="1:28" ht="18" x14ac:dyDescent="0.25">
      <c r="A222" s="271"/>
      <c r="B222" s="156"/>
      <c r="C222" s="156"/>
      <c r="D222" s="156"/>
      <c r="E222" s="156"/>
      <c r="F222" s="156"/>
      <c r="G222" s="156"/>
      <c r="H222" s="156"/>
      <c r="I222" s="156"/>
      <c r="J222" s="156"/>
      <c r="K222" s="156"/>
      <c r="L222" s="156"/>
      <c r="M222" s="156"/>
      <c r="N222" s="1054"/>
      <c r="O222" s="156"/>
      <c r="P222" s="156"/>
      <c r="Q222" s="156"/>
      <c r="R222" s="156"/>
      <c r="S222" s="156"/>
      <c r="T222" s="156"/>
      <c r="U222" s="51"/>
      <c r="V222" s="374"/>
      <c r="W222" s="374"/>
      <c r="X222" s="143"/>
      <c r="Y222" s="360"/>
      <c r="Z222" s="360"/>
      <c r="AA222" s="65"/>
      <c r="AB222" s="65"/>
    </row>
    <row r="223" spans="1:28" ht="18" x14ac:dyDescent="0.25">
      <c r="A223" s="271"/>
      <c r="B223" s="156"/>
      <c r="C223" s="156"/>
      <c r="D223" s="156"/>
      <c r="E223" s="156"/>
      <c r="F223" s="156"/>
      <c r="G223" s="156"/>
      <c r="H223" s="156"/>
      <c r="I223" s="156"/>
      <c r="J223" s="156"/>
      <c r="K223" s="156"/>
      <c r="L223" s="156"/>
      <c r="M223" s="156"/>
      <c r="N223" s="1054"/>
      <c r="O223" s="156"/>
      <c r="P223" s="156"/>
      <c r="Q223" s="156"/>
      <c r="R223" s="156"/>
      <c r="S223" s="156"/>
      <c r="T223" s="156"/>
      <c r="U223" s="51"/>
      <c r="V223" s="374"/>
      <c r="W223" s="374"/>
      <c r="X223" s="143"/>
      <c r="Y223" s="360"/>
      <c r="Z223" s="360"/>
      <c r="AA223" s="65"/>
      <c r="AB223" s="65"/>
    </row>
    <row r="224" spans="1:28" ht="18" x14ac:dyDescent="0.25">
      <c r="A224" s="271"/>
      <c r="B224" s="156"/>
      <c r="C224" s="156"/>
      <c r="D224" s="156"/>
      <c r="E224" s="156"/>
      <c r="F224" s="156"/>
      <c r="G224" s="156"/>
      <c r="H224" s="156"/>
      <c r="I224" s="156"/>
      <c r="J224" s="156"/>
      <c r="K224" s="156"/>
      <c r="L224" s="156"/>
      <c r="M224" s="156"/>
      <c r="N224" s="1054"/>
      <c r="O224" s="156"/>
      <c r="P224" s="156"/>
      <c r="Q224" s="156"/>
      <c r="R224" s="156"/>
      <c r="S224" s="156"/>
      <c r="T224" s="156"/>
      <c r="U224" s="51"/>
      <c r="V224" s="374"/>
      <c r="W224" s="374"/>
      <c r="X224" s="143"/>
      <c r="Y224" s="360"/>
      <c r="Z224" s="360"/>
      <c r="AA224" s="65"/>
      <c r="AB224" s="65"/>
    </row>
    <row r="225" spans="1:28" ht="18" x14ac:dyDescent="0.25">
      <c r="A225" s="271"/>
      <c r="B225" s="156"/>
      <c r="C225" s="156"/>
      <c r="D225" s="156"/>
      <c r="E225" s="156"/>
      <c r="F225" s="156"/>
      <c r="G225" s="156"/>
      <c r="H225" s="156"/>
      <c r="I225" s="156"/>
      <c r="J225" s="156"/>
      <c r="K225" s="156"/>
      <c r="L225" s="156"/>
      <c r="M225" s="156"/>
      <c r="N225" s="1054"/>
      <c r="O225" s="156"/>
      <c r="P225" s="156"/>
      <c r="Q225" s="156"/>
      <c r="R225" s="156"/>
      <c r="S225" s="156"/>
      <c r="T225" s="156"/>
      <c r="U225" s="51"/>
      <c r="V225" s="374"/>
      <c r="W225" s="374"/>
      <c r="X225" s="143"/>
      <c r="Y225" s="360"/>
      <c r="Z225" s="360"/>
      <c r="AA225" s="65"/>
      <c r="AB225" s="65"/>
    </row>
    <row r="226" spans="1:28" ht="18" x14ac:dyDescent="0.25">
      <c r="A226" s="271"/>
      <c r="B226" s="156"/>
      <c r="C226" s="156"/>
      <c r="D226" s="156"/>
      <c r="E226" s="156"/>
      <c r="F226" s="156"/>
      <c r="G226" s="156"/>
      <c r="H226" s="156"/>
      <c r="I226" s="156"/>
      <c r="J226" s="156"/>
      <c r="K226" s="156"/>
      <c r="L226" s="156"/>
      <c r="M226" s="156"/>
      <c r="N226" s="1054"/>
      <c r="O226" s="156"/>
      <c r="P226" s="156"/>
      <c r="Q226" s="156"/>
      <c r="R226" s="156"/>
      <c r="S226" s="156"/>
      <c r="T226" s="156"/>
      <c r="U226" s="51"/>
      <c r="V226" s="374"/>
      <c r="W226" s="374"/>
      <c r="X226" s="143"/>
      <c r="Y226" s="360"/>
      <c r="Z226" s="360"/>
      <c r="AA226" s="65"/>
      <c r="AB226" s="65"/>
    </row>
    <row r="227" spans="1:28" ht="18" x14ac:dyDescent="0.25">
      <c r="A227" s="271"/>
      <c r="B227" s="156"/>
      <c r="C227" s="156"/>
      <c r="D227" s="156"/>
      <c r="E227" s="156"/>
      <c r="F227" s="156"/>
      <c r="G227" s="156"/>
      <c r="H227" s="156"/>
      <c r="I227" s="156"/>
      <c r="J227" s="156"/>
      <c r="K227" s="156"/>
      <c r="L227" s="156"/>
      <c r="M227" s="156"/>
      <c r="N227" s="1054"/>
      <c r="O227" s="156"/>
      <c r="P227" s="156"/>
      <c r="Q227" s="156"/>
      <c r="R227" s="156"/>
      <c r="S227" s="156"/>
      <c r="T227" s="156"/>
      <c r="U227" s="51"/>
      <c r="V227" s="374"/>
      <c r="W227" s="374"/>
      <c r="X227" s="143"/>
      <c r="Y227" s="360"/>
      <c r="Z227" s="360"/>
      <c r="AA227" s="65"/>
      <c r="AB227" s="65"/>
    </row>
    <row r="228" spans="1:28" ht="18" x14ac:dyDescent="0.25">
      <c r="A228" s="271"/>
      <c r="B228" s="156"/>
      <c r="C228" s="156"/>
      <c r="D228" s="156"/>
      <c r="E228" s="156"/>
      <c r="F228" s="156"/>
      <c r="G228" s="156"/>
      <c r="H228" s="156"/>
      <c r="I228" s="156"/>
      <c r="J228" s="156"/>
      <c r="K228" s="156"/>
      <c r="L228" s="156"/>
      <c r="M228" s="156"/>
      <c r="N228" s="1054"/>
      <c r="O228" s="156"/>
      <c r="P228" s="156"/>
      <c r="Q228" s="156"/>
      <c r="R228" s="156"/>
      <c r="S228" s="156"/>
      <c r="T228" s="156"/>
      <c r="U228" s="51"/>
      <c r="V228" s="374"/>
      <c r="W228" s="374"/>
      <c r="X228" s="143"/>
      <c r="Y228" s="360"/>
      <c r="Z228" s="360"/>
      <c r="AA228" s="65"/>
      <c r="AB228" s="65"/>
    </row>
    <row r="229" spans="1:28" ht="18" x14ac:dyDescent="0.25">
      <c r="A229" s="271"/>
      <c r="B229" s="156"/>
      <c r="C229" s="156"/>
      <c r="D229" s="156"/>
      <c r="E229" s="156"/>
      <c r="F229" s="156"/>
      <c r="G229" s="156"/>
      <c r="H229" s="156"/>
      <c r="I229" s="156"/>
      <c r="J229" s="156"/>
      <c r="K229" s="156"/>
      <c r="L229" s="156"/>
      <c r="M229" s="156"/>
      <c r="N229" s="1054"/>
      <c r="O229" s="156"/>
      <c r="P229" s="156"/>
      <c r="Q229" s="156"/>
      <c r="R229" s="156"/>
      <c r="S229" s="156"/>
      <c r="T229" s="156"/>
      <c r="U229" s="51"/>
      <c r="V229" s="374"/>
      <c r="W229" s="374"/>
      <c r="X229" s="143"/>
      <c r="Y229" s="360"/>
      <c r="Z229" s="360"/>
      <c r="AA229" s="65"/>
      <c r="AB229" s="65"/>
    </row>
    <row r="230" spans="1:28" ht="18" x14ac:dyDescent="0.25">
      <c r="A230" s="271"/>
      <c r="B230" s="156"/>
      <c r="C230" s="156"/>
      <c r="D230" s="156"/>
      <c r="E230" s="156"/>
      <c r="F230" s="156"/>
      <c r="G230" s="156"/>
      <c r="H230" s="156"/>
      <c r="I230" s="156"/>
      <c r="J230" s="156"/>
      <c r="K230" s="156"/>
      <c r="L230" s="156"/>
      <c r="M230" s="156"/>
      <c r="N230" s="1054"/>
      <c r="O230" s="156"/>
      <c r="P230" s="156"/>
      <c r="Q230" s="156"/>
      <c r="R230" s="156"/>
      <c r="S230" s="156"/>
      <c r="T230" s="156"/>
      <c r="U230" s="51"/>
      <c r="V230" s="374"/>
      <c r="W230" s="374"/>
      <c r="X230" s="143"/>
      <c r="Y230" s="360"/>
      <c r="Z230" s="360"/>
      <c r="AA230" s="65"/>
      <c r="AB230" s="65"/>
    </row>
    <row r="231" spans="1:28" ht="18" x14ac:dyDescent="0.25">
      <c r="A231" s="271"/>
      <c r="B231" s="156"/>
      <c r="C231" s="156"/>
      <c r="D231" s="156"/>
      <c r="E231" s="156"/>
      <c r="F231" s="156"/>
      <c r="G231" s="156"/>
      <c r="H231" s="156"/>
      <c r="I231" s="156"/>
      <c r="J231" s="156"/>
      <c r="K231" s="156"/>
      <c r="L231" s="156"/>
      <c r="M231" s="156"/>
      <c r="N231" s="1054"/>
      <c r="O231" s="156"/>
      <c r="P231" s="156"/>
      <c r="Q231" s="156"/>
      <c r="R231" s="156"/>
      <c r="S231" s="156"/>
      <c r="T231" s="156"/>
      <c r="U231" s="51"/>
      <c r="V231" s="374"/>
      <c r="W231" s="374"/>
      <c r="X231" s="143"/>
      <c r="Y231" s="360"/>
      <c r="Z231" s="360"/>
      <c r="AA231" s="65"/>
      <c r="AB231" s="65"/>
    </row>
    <row r="232" spans="1:28" ht="18" x14ac:dyDescent="0.25">
      <c r="A232" s="271"/>
      <c r="B232" s="156"/>
      <c r="C232" s="156"/>
      <c r="D232" s="156"/>
      <c r="E232" s="156"/>
      <c r="F232" s="156"/>
      <c r="G232" s="156"/>
      <c r="H232" s="156"/>
      <c r="I232" s="156"/>
      <c r="J232" s="156"/>
      <c r="K232" s="156"/>
      <c r="L232" s="156"/>
      <c r="M232" s="156"/>
      <c r="N232" s="1054"/>
      <c r="O232" s="156"/>
      <c r="P232" s="156"/>
      <c r="Q232" s="156"/>
      <c r="R232" s="156"/>
      <c r="S232" s="156"/>
      <c r="T232" s="156"/>
      <c r="U232" s="51"/>
      <c r="V232" s="374"/>
      <c r="W232" s="374"/>
      <c r="X232" s="143"/>
      <c r="Y232" s="360"/>
      <c r="Z232" s="360"/>
      <c r="AA232" s="65"/>
      <c r="AB232" s="65"/>
    </row>
    <row r="233" spans="1:28" ht="18" x14ac:dyDescent="0.25">
      <c r="A233" s="271"/>
      <c r="B233" s="156"/>
      <c r="C233" s="156"/>
      <c r="D233" s="156"/>
      <c r="E233" s="156"/>
      <c r="F233" s="156"/>
      <c r="G233" s="156"/>
      <c r="H233" s="156"/>
      <c r="I233" s="156"/>
      <c r="J233" s="156"/>
      <c r="K233" s="156"/>
      <c r="L233" s="156"/>
      <c r="M233" s="156"/>
      <c r="N233" s="1054"/>
      <c r="O233" s="156"/>
      <c r="P233" s="156"/>
      <c r="Q233" s="156"/>
      <c r="R233" s="156"/>
      <c r="S233" s="156"/>
      <c r="T233" s="156"/>
      <c r="U233" s="51"/>
      <c r="V233" s="374"/>
      <c r="W233" s="374"/>
      <c r="X233" s="143"/>
      <c r="Y233" s="360"/>
      <c r="Z233" s="360"/>
      <c r="AA233" s="65"/>
      <c r="AB233" s="65"/>
    </row>
    <row r="234" spans="1:28" ht="18" x14ac:dyDescent="0.25">
      <c r="A234" s="271"/>
      <c r="B234" s="156"/>
      <c r="C234" s="156"/>
      <c r="D234" s="156"/>
      <c r="E234" s="156"/>
      <c r="F234" s="156"/>
      <c r="G234" s="156"/>
      <c r="H234" s="156"/>
      <c r="I234" s="156"/>
      <c r="J234" s="156"/>
      <c r="K234" s="156"/>
      <c r="L234" s="156"/>
      <c r="M234" s="156"/>
      <c r="N234" s="1054"/>
      <c r="O234" s="156"/>
      <c r="P234" s="156"/>
      <c r="Q234" s="156"/>
      <c r="R234" s="156"/>
      <c r="S234" s="156"/>
      <c r="T234" s="156"/>
      <c r="U234" s="51"/>
      <c r="V234" s="374"/>
      <c r="W234" s="374"/>
      <c r="X234" s="143"/>
      <c r="Y234" s="360"/>
      <c r="Z234" s="360"/>
      <c r="AA234" s="65"/>
      <c r="AB234" s="65"/>
    </row>
    <row r="235" spans="1:28" ht="18" x14ac:dyDescent="0.25">
      <c r="A235" s="271"/>
      <c r="B235" s="156"/>
      <c r="C235" s="156"/>
      <c r="D235" s="156"/>
      <c r="E235" s="156"/>
      <c r="F235" s="156"/>
      <c r="G235" s="156"/>
      <c r="H235" s="156"/>
      <c r="I235" s="156"/>
      <c r="J235" s="156"/>
      <c r="K235" s="156"/>
      <c r="L235" s="156"/>
      <c r="M235" s="156"/>
      <c r="N235" s="1054"/>
      <c r="O235" s="156"/>
      <c r="P235" s="156"/>
      <c r="Q235" s="156"/>
      <c r="R235" s="156"/>
      <c r="S235" s="156"/>
      <c r="T235" s="156"/>
      <c r="U235" s="51"/>
      <c r="V235" s="374"/>
      <c r="W235" s="374"/>
      <c r="X235" s="143"/>
      <c r="Y235" s="360"/>
      <c r="Z235" s="360"/>
      <c r="AA235" s="65"/>
      <c r="AB235" s="65"/>
    </row>
    <row r="236" spans="1:28" ht="18" x14ac:dyDescent="0.25">
      <c r="A236" s="271"/>
      <c r="B236" s="156"/>
      <c r="C236" s="156"/>
      <c r="D236" s="156"/>
      <c r="E236" s="156"/>
      <c r="F236" s="156"/>
      <c r="G236" s="156"/>
      <c r="H236" s="156"/>
      <c r="I236" s="156"/>
      <c r="J236" s="156"/>
      <c r="K236" s="156"/>
      <c r="L236" s="156"/>
      <c r="M236" s="156"/>
      <c r="N236" s="1054"/>
      <c r="O236" s="156"/>
      <c r="P236" s="156"/>
      <c r="Q236" s="156"/>
      <c r="R236" s="156"/>
      <c r="S236" s="156"/>
      <c r="T236" s="156"/>
      <c r="U236" s="51"/>
      <c r="V236" s="374"/>
      <c r="W236" s="374"/>
      <c r="X236" s="143"/>
      <c r="Y236" s="360"/>
      <c r="Z236" s="360"/>
      <c r="AA236" s="65"/>
      <c r="AB236" s="65"/>
    </row>
    <row r="237" spans="1:28" ht="18" x14ac:dyDescent="0.25">
      <c r="A237" s="271"/>
      <c r="B237" s="156"/>
      <c r="C237" s="156"/>
      <c r="D237" s="156"/>
      <c r="E237" s="156"/>
      <c r="F237" s="156"/>
      <c r="G237" s="156"/>
      <c r="H237" s="156"/>
      <c r="I237" s="156"/>
      <c r="J237" s="156"/>
      <c r="K237" s="156"/>
      <c r="L237" s="156"/>
      <c r="M237" s="156"/>
      <c r="N237" s="1054"/>
      <c r="O237" s="156"/>
      <c r="P237" s="156"/>
      <c r="Q237" s="156"/>
      <c r="R237" s="156"/>
      <c r="S237" s="156"/>
      <c r="T237" s="156"/>
      <c r="U237" s="51"/>
      <c r="V237" s="374"/>
      <c r="W237" s="374"/>
      <c r="X237" s="143"/>
      <c r="Y237" s="360"/>
      <c r="Z237" s="360"/>
      <c r="AA237" s="65"/>
      <c r="AB237" s="65"/>
    </row>
    <row r="238" spans="1:28" ht="18" x14ac:dyDescent="0.25">
      <c r="A238" s="271"/>
      <c r="B238" s="156"/>
      <c r="C238" s="156"/>
      <c r="D238" s="156"/>
      <c r="E238" s="156"/>
      <c r="F238" s="156"/>
      <c r="G238" s="156"/>
      <c r="H238" s="156"/>
      <c r="I238" s="156"/>
      <c r="J238" s="156"/>
      <c r="K238" s="156"/>
      <c r="L238" s="156"/>
      <c r="M238" s="156"/>
      <c r="N238" s="1054"/>
      <c r="O238" s="156"/>
      <c r="P238" s="156"/>
      <c r="Q238" s="156"/>
      <c r="R238" s="156"/>
      <c r="S238" s="156"/>
      <c r="T238" s="156"/>
      <c r="U238" s="51"/>
      <c r="V238" s="374"/>
      <c r="W238" s="374"/>
      <c r="X238" s="143"/>
      <c r="Y238" s="360"/>
      <c r="Z238" s="360"/>
      <c r="AA238" s="65"/>
      <c r="AB238" s="65"/>
    </row>
    <row r="239" spans="1:28" ht="18" x14ac:dyDescent="0.25">
      <c r="A239" s="271"/>
      <c r="B239" s="156"/>
      <c r="C239" s="156"/>
      <c r="D239" s="156"/>
      <c r="E239" s="156"/>
      <c r="F239" s="156"/>
      <c r="G239" s="156"/>
      <c r="H239" s="156"/>
      <c r="I239" s="156"/>
      <c r="J239" s="156"/>
      <c r="K239" s="156"/>
      <c r="L239" s="156"/>
      <c r="M239" s="156"/>
      <c r="N239" s="1054"/>
      <c r="O239" s="156"/>
      <c r="P239" s="156"/>
      <c r="Q239" s="156"/>
      <c r="R239" s="156"/>
      <c r="S239" s="156"/>
      <c r="T239" s="156"/>
      <c r="U239" s="51"/>
      <c r="V239" s="374"/>
      <c r="W239" s="374"/>
      <c r="X239" s="143"/>
      <c r="Y239" s="360"/>
      <c r="Z239" s="360"/>
      <c r="AA239" s="65"/>
      <c r="AB239" s="65"/>
    </row>
    <row r="240" spans="1:28" ht="18" x14ac:dyDescent="0.25">
      <c r="A240" s="271"/>
      <c r="B240" s="156"/>
      <c r="C240" s="156"/>
      <c r="D240" s="156"/>
      <c r="E240" s="156"/>
      <c r="F240" s="156"/>
      <c r="G240" s="156"/>
      <c r="H240" s="156"/>
      <c r="I240" s="156"/>
      <c r="J240" s="156"/>
      <c r="K240" s="156"/>
      <c r="L240" s="156"/>
      <c r="M240" s="156"/>
      <c r="N240" s="1054"/>
      <c r="O240" s="156"/>
      <c r="P240" s="156"/>
      <c r="Q240" s="156"/>
      <c r="R240" s="156"/>
      <c r="S240" s="156"/>
      <c r="T240" s="156"/>
      <c r="U240" s="51"/>
      <c r="V240" s="374"/>
      <c r="W240" s="374"/>
      <c r="X240" s="143"/>
      <c r="Y240" s="360"/>
      <c r="Z240" s="360"/>
      <c r="AA240" s="65"/>
      <c r="AB240" s="65"/>
    </row>
    <row r="241" spans="1:36" ht="18" x14ac:dyDescent="0.25">
      <c r="A241" s="271"/>
      <c r="B241" s="156"/>
      <c r="C241" s="156"/>
      <c r="D241" s="156"/>
      <c r="E241" s="156"/>
      <c r="F241" s="156"/>
      <c r="G241" s="156"/>
      <c r="H241" s="156"/>
      <c r="I241" s="156"/>
      <c r="J241" s="156"/>
      <c r="K241" s="156"/>
      <c r="L241" s="156"/>
      <c r="M241" s="156"/>
      <c r="N241" s="1054"/>
      <c r="O241" s="156"/>
      <c r="P241" s="156"/>
      <c r="Q241" s="156"/>
      <c r="R241" s="156"/>
      <c r="S241" s="156"/>
      <c r="T241" s="156"/>
      <c r="U241" s="51"/>
      <c r="V241" s="374"/>
      <c r="W241" s="374"/>
      <c r="X241" s="143"/>
      <c r="Y241" s="360"/>
      <c r="Z241" s="360"/>
      <c r="AA241" s="65"/>
      <c r="AB241" s="65"/>
    </row>
    <row r="242" spans="1:36" ht="18" x14ac:dyDescent="0.25">
      <c r="A242" s="271"/>
      <c r="B242" s="156"/>
      <c r="C242" s="156"/>
      <c r="D242" s="156"/>
      <c r="E242" s="156"/>
      <c r="F242" s="156"/>
      <c r="G242" s="156"/>
      <c r="H242" s="156"/>
      <c r="I242" s="156"/>
      <c r="J242" s="156"/>
      <c r="K242" s="156"/>
      <c r="L242" s="156"/>
      <c r="M242" s="156"/>
      <c r="N242" s="1054"/>
      <c r="O242" s="156"/>
      <c r="P242" s="156"/>
      <c r="Q242" s="156"/>
      <c r="R242" s="156"/>
      <c r="S242" s="156"/>
      <c r="T242" s="156"/>
      <c r="U242" s="51"/>
      <c r="V242" s="374"/>
      <c r="W242" s="374"/>
      <c r="X242" s="143"/>
      <c r="Y242" s="360"/>
      <c r="Z242" s="360"/>
      <c r="AA242" s="65"/>
      <c r="AB242" s="65"/>
    </row>
    <row r="243" spans="1:36" ht="18" x14ac:dyDescent="0.25">
      <c r="A243" s="271"/>
      <c r="B243" s="156"/>
      <c r="C243" s="156"/>
      <c r="D243" s="156"/>
      <c r="E243" s="156"/>
      <c r="F243" s="156"/>
      <c r="G243" s="156"/>
      <c r="H243" s="156"/>
      <c r="I243" s="156"/>
      <c r="J243" s="156"/>
      <c r="K243" s="156"/>
      <c r="L243" s="156"/>
      <c r="M243" s="156"/>
      <c r="N243" s="1054"/>
      <c r="O243" s="156"/>
      <c r="P243" s="156"/>
      <c r="Q243" s="156"/>
      <c r="R243" s="156"/>
      <c r="S243" s="156"/>
      <c r="T243" s="156"/>
      <c r="U243" s="51"/>
      <c r="V243" s="374"/>
      <c r="W243" s="374"/>
      <c r="X243" s="143"/>
      <c r="Y243" s="360"/>
      <c r="Z243" s="360"/>
      <c r="AA243" s="65"/>
      <c r="AB243" s="65"/>
    </row>
    <row r="244" spans="1:36" ht="18" x14ac:dyDescent="0.25">
      <c r="A244" s="271"/>
      <c r="B244" s="156"/>
      <c r="C244" s="156"/>
      <c r="D244" s="156"/>
      <c r="E244" s="156"/>
      <c r="F244" s="156"/>
      <c r="G244" s="156"/>
      <c r="H244" s="156"/>
      <c r="I244" s="156"/>
      <c r="J244" s="156"/>
      <c r="K244" s="156"/>
      <c r="L244" s="156"/>
      <c r="M244" s="156"/>
      <c r="N244" s="1054"/>
      <c r="O244" s="156"/>
      <c r="P244" s="156"/>
      <c r="Q244" s="156"/>
      <c r="R244" s="156"/>
      <c r="S244" s="156"/>
      <c r="T244" s="156"/>
      <c r="U244" s="51"/>
      <c r="V244" s="374"/>
      <c r="W244" s="374"/>
      <c r="X244" s="143"/>
      <c r="Y244" s="360"/>
      <c r="Z244" s="360"/>
      <c r="AA244" s="65"/>
      <c r="AB244" s="65"/>
    </row>
    <row r="245" spans="1:36" ht="18" x14ac:dyDescent="0.25">
      <c r="A245" s="271"/>
      <c r="B245" s="156"/>
      <c r="C245" s="156"/>
      <c r="D245" s="156"/>
      <c r="E245" s="156"/>
      <c r="F245" s="156"/>
      <c r="G245" s="156"/>
      <c r="H245" s="156"/>
      <c r="I245" s="156"/>
      <c r="J245" s="156"/>
      <c r="K245" s="156"/>
      <c r="L245" s="156"/>
      <c r="M245" s="156"/>
      <c r="N245" s="1054"/>
      <c r="O245" s="156"/>
      <c r="P245" s="156"/>
      <c r="Q245" s="156"/>
      <c r="R245" s="156"/>
      <c r="S245" s="156"/>
      <c r="T245" s="156"/>
      <c r="U245" s="51"/>
      <c r="V245" s="374"/>
      <c r="W245" s="374"/>
      <c r="X245" s="143"/>
      <c r="Y245" s="360"/>
      <c r="Z245" s="360"/>
      <c r="AA245" s="65"/>
      <c r="AB245" s="65"/>
    </row>
    <row r="246" spans="1:36" ht="18" x14ac:dyDescent="0.25">
      <c r="A246" s="271"/>
      <c r="B246" s="156"/>
      <c r="C246" s="156"/>
      <c r="D246" s="156"/>
      <c r="E246" s="156"/>
      <c r="F246" s="156"/>
      <c r="G246" s="156"/>
      <c r="H246" s="156"/>
      <c r="I246" s="156"/>
      <c r="J246" s="156"/>
      <c r="K246" s="156"/>
      <c r="L246" s="156"/>
      <c r="M246" s="156"/>
      <c r="N246" s="1054"/>
      <c r="O246" s="156"/>
      <c r="P246" s="156"/>
      <c r="Q246" s="156"/>
      <c r="R246" s="156"/>
      <c r="S246" s="156"/>
      <c r="T246" s="156"/>
      <c r="U246" s="51"/>
      <c r="V246" s="374"/>
      <c r="W246" s="374"/>
      <c r="X246" s="143"/>
      <c r="Y246" s="360"/>
      <c r="Z246" s="360"/>
      <c r="AA246" s="65"/>
      <c r="AB246" s="65"/>
    </row>
    <row r="247" spans="1:36" ht="18" x14ac:dyDescent="0.25">
      <c r="A247" s="271"/>
      <c r="B247" s="156"/>
      <c r="C247" s="156"/>
      <c r="D247" s="156"/>
      <c r="E247" s="156"/>
      <c r="F247" s="156"/>
      <c r="G247" s="156"/>
      <c r="H247" s="156"/>
      <c r="I247" s="156"/>
      <c r="J247" s="156"/>
      <c r="K247" s="156"/>
      <c r="L247" s="156"/>
      <c r="M247" s="156"/>
      <c r="N247" s="1054"/>
      <c r="O247" s="156"/>
      <c r="P247" s="156"/>
      <c r="Q247" s="156"/>
      <c r="R247" s="156"/>
      <c r="S247" s="156"/>
      <c r="T247" s="156"/>
      <c r="U247" s="51"/>
      <c r="V247" s="374"/>
      <c r="W247" s="374"/>
      <c r="X247" s="143"/>
      <c r="Y247" s="360"/>
      <c r="Z247" s="360"/>
      <c r="AA247" s="65"/>
      <c r="AB247" s="65"/>
    </row>
    <row r="248" spans="1:36" s="65" customFormat="1" ht="15.75" x14ac:dyDescent="0.25">
      <c r="A248"/>
      <c r="B248"/>
      <c r="C248"/>
      <c r="D248"/>
      <c r="E248"/>
      <c r="F248"/>
      <c r="G248"/>
      <c r="H248"/>
      <c r="I248"/>
      <c r="J248"/>
      <c r="K248"/>
      <c r="L248"/>
      <c r="M248"/>
      <c r="N248" s="1055"/>
      <c r="O248"/>
      <c r="P248"/>
      <c r="Q248"/>
      <c r="R248"/>
      <c r="S248"/>
      <c r="T248"/>
      <c r="U248"/>
      <c r="V248"/>
      <c r="W248"/>
      <c r="X248"/>
      <c r="Y248"/>
      <c r="Z248"/>
      <c r="AA248"/>
      <c r="AB248"/>
      <c r="AC248"/>
      <c r="AD248"/>
      <c r="AE248"/>
      <c r="AF248"/>
      <c r="AG248"/>
      <c r="AH248"/>
      <c r="AI248"/>
      <c r="AJ248"/>
    </row>
    <row r="249" spans="1:36" s="65" customFormat="1" ht="15.75" x14ac:dyDescent="0.25">
      <c r="A249"/>
      <c r="B249"/>
      <c r="C249"/>
      <c r="D249"/>
      <c r="E249"/>
      <c r="F249"/>
      <c r="G249"/>
      <c r="H249"/>
      <c r="I249"/>
      <c r="J249"/>
      <c r="K249"/>
      <c r="L249"/>
      <c r="M249"/>
      <c r="N249" s="1055"/>
      <c r="O249"/>
      <c r="P249"/>
      <c r="Q249"/>
      <c r="R249"/>
      <c r="S249"/>
      <c r="T249"/>
      <c r="U249"/>
      <c r="V249"/>
      <c r="W249"/>
      <c r="X249"/>
      <c r="Y249"/>
      <c r="Z249"/>
      <c r="AA249"/>
      <c r="AB249"/>
      <c r="AC249"/>
      <c r="AD249"/>
      <c r="AE249"/>
      <c r="AF249"/>
      <c r="AG249"/>
      <c r="AH249"/>
      <c r="AI249"/>
      <c r="AJ249"/>
    </row>
    <row r="250" spans="1:36" s="65" customFormat="1" ht="15.75" x14ac:dyDescent="0.25">
      <c r="A250"/>
      <c r="B250"/>
      <c r="C250"/>
      <c r="D250"/>
      <c r="E250"/>
      <c r="F250"/>
      <c r="G250"/>
      <c r="H250"/>
      <c r="I250"/>
      <c r="J250"/>
      <c r="K250"/>
      <c r="L250"/>
      <c r="M250"/>
      <c r="N250" s="1055"/>
      <c r="O250"/>
      <c r="P250"/>
      <c r="Q250"/>
      <c r="R250"/>
      <c r="S250"/>
      <c r="T250"/>
      <c r="U250"/>
      <c r="V250"/>
      <c r="W250"/>
      <c r="X250"/>
      <c r="Y250"/>
      <c r="Z250"/>
      <c r="AA250"/>
      <c r="AB250"/>
      <c r="AC250"/>
      <c r="AD250"/>
      <c r="AE250"/>
      <c r="AF250"/>
      <c r="AG250"/>
      <c r="AH250"/>
      <c r="AI250"/>
      <c r="AJ250"/>
    </row>
    <row r="251" spans="1:36" s="65" customFormat="1" ht="16.350000000000001" customHeight="1" x14ac:dyDescent="0.25">
      <c r="A251"/>
      <c r="B251"/>
      <c r="C251"/>
      <c r="D251"/>
      <c r="E251"/>
      <c r="F251"/>
      <c r="G251"/>
      <c r="H251"/>
      <c r="I251"/>
      <c r="J251"/>
      <c r="K251"/>
      <c r="L251"/>
      <c r="M251"/>
      <c r="N251" s="1055"/>
      <c r="O251"/>
      <c r="P251"/>
      <c r="Q251"/>
      <c r="R251"/>
      <c r="S251"/>
      <c r="T251"/>
      <c r="U251"/>
      <c r="V251"/>
      <c r="W251"/>
      <c r="X251"/>
      <c r="Y251"/>
      <c r="Z251"/>
      <c r="AA251"/>
      <c r="AB251"/>
      <c r="AC251"/>
      <c r="AD251"/>
      <c r="AE251"/>
      <c r="AF251"/>
      <c r="AG251"/>
      <c r="AH251"/>
      <c r="AI251"/>
      <c r="AJ251"/>
    </row>
    <row r="252" spans="1:36" ht="15.75" outlineLevel="1" x14ac:dyDescent="0.25">
      <c r="A252" s="880" t="s">
        <v>231</v>
      </c>
      <c r="B252" s="596"/>
      <c r="C252" s="596">
        <v>88</v>
      </c>
      <c r="D252" s="596"/>
      <c r="E252" s="596"/>
      <c r="F252" s="596"/>
      <c r="G252" s="677"/>
      <c r="H252" s="677"/>
      <c r="I252" s="677"/>
      <c r="J252" s="677"/>
      <c r="K252" s="677"/>
      <c r="L252" s="596"/>
      <c r="M252" s="596"/>
      <c r="N252" s="950"/>
      <c r="O252" s="596"/>
      <c r="P252" s="596"/>
      <c r="Q252" s="596"/>
      <c r="R252" s="596"/>
      <c r="S252"/>
      <c r="T252"/>
      <c r="U252"/>
      <c r="V252"/>
      <c r="W252"/>
      <c r="X252"/>
      <c r="Y252"/>
      <c r="Z252"/>
      <c r="AA252"/>
      <c r="AB252"/>
      <c r="AC252"/>
      <c r="AD252"/>
      <c r="AE252"/>
      <c r="AF252"/>
      <c r="AG252"/>
      <c r="AH252"/>
      <c r="AI252"/>
      <c r="AJ252"/>
    </row>
    <row r="253" spans="1:36" ht="15.75" outlineLevel="1" x14ac:dyDescent="0.25">
      <c r="A253" s="887" t="s">
        <v>228</v>
      </c>
      <c r="B253" s="596"/>
      <c r="C253" s="596"/>
      <c r="D253" s="596"/>
      <c r="E253" s="596"/>
      <c r="F253" s="596"/>
      <c r="G253" s="704" t="s">
        <v>35</v>
      </c>
      <c r="H253" s="705" t="s">
        <v>36</v>
      </c>
      <c r="I253" s="705" t="s">
        <v>35</v>
      </c>
      <c r="J253" s="704" t="s">
        <v>36</v>
      </c>
      <c r="K253" s="704" t="s">
        <v>39</v>
      </c>
      <c r="L253" s="704" t="s">
        <v>40</v>
      </c>
      <c r="M253" s="704" t="s">
        <v>42</v>
      </c>
      <c r="N253" s="1058" t="s">
        <v>2</v>
      </c>
      <c r="O253" s="959" t="s">
        <v>180</v>
      </c>
      <c r="P253" s="961" t="s">
        <v>163</v>
      </c>
      <c r="Q253" s="961" t="s">
        <v>184</v>
      </c>
      <c r="R253" s="962"/>
      <c r="S253"/>
      <c r="T253"/>
      <c r="U253"/>
      <c r="V253"/>
      <c r="W253"/>
      <c r="X253"/>
      <c r="Y253"/>
      <c r="Z253"/>
      <c r="AA253"/>
      <c r="AB253"/>
      <c r="AC253"/>
      <c r="AD253"/>
      <c r="AE253"/>
      <c r="AF253"/>
      <c r="AG253"/>
      <c r="AH253"/>
      <c r="AI253"/>
      <c r="AJ253"/>
    </row>
    <row r="254" spans="1:36" ht="15.75" outlineLevel="1" x14ac:dyDescent="0.25">
      <c r="A254" s="888" t="s">
        <v>28</v>
      </c>
      <c r="B254" s="889" t="s">
        <v>159</v>
      </c>
      <c r="C254" s="890" t="s">
        <v>31</v>
      </c>
      <c r="D254" s="890" t="s">
        <v>30</v>
      </c>
      <c r="E254" s="890" t="s">
        <v>158</v>
      </c>
      <c r="F254" s="891" t="s">
        <v>56</v>
      </c>
      <c r="G254" s="253"/>
      <c r="H254" s="253"/>
      <c r="I254" s="806"/>
      <c r="J254" s="728"/>
      <c r="K254" s="253"/>
      <c r="L254" s="253"/>
      <c r="M254" s="253"/>
      <c r="N254" s="557"/>
      <c r="O254" s="984">
        <f>ROUND(G254*I254+H254*J254,2)</f>
        <v>0</v>
      </c>
      <c r="P254" s="984">
        <f>ROUND(37.24%*O254,2)</f>
        <v>0</v>
      </c>
      <c r="Q254" s="557">
        <f>ROUND(R254*P254,2)</f>
        <v>0</v>
      </c>
      <c r="R254" s="893">
        <v>0.5</v>
      </c>
      <c r="S254"/>
      <c r="T254"/>
      <c r="U254"/>
      <c r="V254"/>
      <c r="W254"/>
      <c r="X254"/>
      <c r="Y254"/>
      <c r="Z254"/>
      <c r="AA254"/>
      <c r="AB254"/>
      <c r="AC254"/>
      <c r="AD254"/>
      <c r="AE254"/>
      <c r="AF254"/>
      <c r="AG254"/>
      <c r="AH254"/>
      <c r="AI254"/>
      <c r="AJ254"/>
    </row>
    <row r="255" spans="1:36" ht="15.75" outlineLevel="1" x14ac:dyDescent="0.25">
      <c r="A255" s="894" t="s">
        <v>28</v>
      </c>
      <c r="B255" s="456" t="s">
        <v>177</v>
      </c>
      <c r="C255" s="378" t="s">
        <v>31</v>
      </c>
      <c r="D255" s="378" t="s">
        <v>30</v>
      </c>
      <c r="E255" s="378" t="s">
        <v>158</v>
      </c>
      <c r="F255" s="586" t="s">
        <v>56</v>
      </c>
      <c r="G255" s="253"/>
      <c r="H255" s="253"/>
      <c r="I255" s="806"/>
      <c r="J255" s="728"/>
      <c r="K255" s="253"/>
      <c r="L255" s="253"/>
      <c r="M255" s="253"/>
      <c r="N255" s="557"/>
      <c r="O255" s="984">
        <f>ROUND(G255*I255+H255*J255,2)</f>
        <v>0</v>
      </c>
      <c r="P255" s="984">
        <f>ROUND(37.24%*O255,2)</f>
        <v>0</v>
      </c>
      <c r="Q255" s="557">
        <f>ROUND(R255*P255,2)</f>
        <v>0</v>
      </c>
      <c r="R255" s="896">
        <v>0.5</v>
      </c>
      <c r="S255"/>
      <c r="T255"/>
      <c r="U255"/>
      <c r="V255"/>
      <c r="W255"/>
      <c r="X255"/>
      <c r="Y255"/>
      <c r="Z255"/>
      <c r="AA255"/>
      <c r="AB255"/>
      <c r="AC255"/>
      <c r="AD255"/>
      <c r="AE255"/>
      <c r="AF255"/>
      <c r="AG255"/>
      <c r="AH255"/>
      <c r="AI255"/>
      <c r="AJ255"/>
    </row>
    <row r="256" spans="1:36" ht="15.75" outlineLevel="1" x14ac:dyDescent="0.25">
      <c r="A256" s="894" t="s">
        <v>28</v>
      </c>
      <c r="B256" s="456" t="s">
        <v>234</v>
      </c>
      <c r="C256" s="378" t="s">
        <v>31</v>
      </c>
      <c r="D256" s="378" t="s">
        <v>30</v>
      </c>
      <c r="E256" s="378" t="s">
        <v>158</v>
      </c>
      <c r="F256" s="781" t="s">
        <v>56</v>
      </c>
      <c r="G256" s="253"/>
      <c r="H256" s="253"/>
      <c r="I256" s="806"/>
      <c r="J256" s="728"/>
      <c r="K256" s="253"/>
      <c r="L256" s="253"/>
      <c r="M256" s="253"/>
      <c r="N256" s="557"/>
      <c r="O256" s="984">
        <f>ROUND(G256*I256+H256*J256,2)</f>
        <v>0</v>
      </c>
      <c r="P256" s="984">
        <f>ROUND(37.24%*O256,2)</f>
        <v>0</v>
      </c>
      <c r="Q256" s="557">
        <f>ROUND(R256*P256,2)</f>
        <v>0</v>
      </c>
      <c r="R256" s="775">
        <v>0.5</v>
      </c>
      <c r="S256"/>
      <c r="T256"/>
      <c r="U256"/>
      <c r="V256"/>
      <c r="W256"/>
      <c r="X256"/>
      <c r="Y256"/>
      <c r="Z256"/>
      <c r="AA256"/>
      <c r="AB256"/>
      <c r="AC256"/>
      <c r="AD256"/>
      <c r="AE256"/>
      <c r="AF256"/>
      <c r="AG256"/>
      <c r="AH256"/>
      <c r="AI256"/>
      <c r="AJ256"/>
    </row>
    <row r="257" spans="1:36" ht="15.75" outlineLevel="1" x14ac:dyDescent="0.25">
      <c r="A257" s="898" t="s">
        <v>28</v>
      </c>
      <c r="B257" s="457" t="s">
        <v>178</v>
      </c>
      <c r="C257" s="899" t="s">
        <v>31</v>
      </c>
      <c r="D257" s="899" t="s">
        <v>30</v>
      </c>
      <c r="E257" s="899" t="s">
        <v>158</v>
      </c>
      <c r="F257" s="740" t="s">
        <v>56</v>
      </c>
      <c r="G257" s="424"/>
      <c r="H257" s="424"/>
      <c r="I257" s="907"/>
      <c r="J257" s="741"/>
      <c r="K257" s="424"/>
      <c r="L257" s="424"/>
      <c r="M257" s="424"/>
      <c r="N257" s="895"/>
      <c r="O257" s="1042">
        <f>ROUND(G257*I257+H257*J257,2)</f>
        <v>0</v>
      </c>
      <c r="P257" s="1042">
        <f>ROUND(38%*G257*I257,2)+ROUND(38%*H257*J257,2)</f>
        <v>0</v>
      </c>
      <c r="Q257" s="895">
        <f>ROUND(R257*P257,2)</f>
        <v>0</v>
      </c>
      <c r="R257" s="901">
        <v>0.5</v>
      </c>
      <c r="S257"/>
      <c r="T257"/>
      <c r="U257"/>
      <c r="V257"/>
      <c r="W257"/>
      <c r="X257"/>
      <c r="Y257"/>
      <c r="Z257"/>
      <c r="AA257"/>
      <c r="AB257"/>
      <c r="AC257"/>
      <c r="AD257"/>
      <c r="AE257"/>
      <c r="AF257"/>
      <c r="AG257"/>
      <c r="AH257"/>
      <c r="AI257"/>
      <c r="AJ257"/>
    </row>
    <row r="258" spans="1:36" ht="15.75" outlineLevel="1" x14ac:dyDescent="0.25">
      <c r="A258" s="596"/>
      <c r="B258" s="596"/>
      <c r="C258" s="596"/>
      <c r="D258" s="596"/>
      <c r="E258" s="596"/>
      <c r="F258" s="596"/>
      <c r="G258" s="902">
        <f>SUM(G254:G257)</f>
        <v>0</v>
      </c>
      <c r="H258" s="902">
        <f>SUM(H254:H257)</f>
        <v>0</v>
      </c>
      <c r="I258" s="902"/>
      <c r="J258" s="677"/>
      <c r="K258" s="677"/>
      <c r="L258" s="596"/>
      <c r="M258" s="596"/>
      <c r="N258" s="950"/>
      <c r="O258" s="734">
        <f>SUM(O254:O257)</f>
        <v>0</v>
      </c>
      <c r="P258" s="734">
        <f>SUM(P254:P257)</f>
        <v>0</v>
      </c>
      <c r="Q258" s="734">
        <f>SUM(Q254:Q257)</f>
        <v>0</v>
      </c>
      <c r="R258" s="596"/>
      <c r="S258"/>
      <c r="T258"/>
      <c r="U258"/>
      <c r="V258"/>
      <c r="W258"/>
      <c r="X258"/>
      <c r="Y258"/>
      <c r="Z258"/>
      <c r="AA258"/>
      <c r="AB258"/>
      <c r="AC258"/>
      <c r="AD258"/>
      <c r="AE258"/>
      <c r="AF258"/>
      <c r="AG258"/>
      <c r="AH258"/>
      <c r="AI258"/>
      <c r="AJ258"/>
    </row>
    <row r="259" spans="1:36" ht="15.75" outlineLevel="1" x14ac:dyDescent="0.25">
      <c r="A259" s="596"/>
      <c r="B259" s="596"/>
      <c r="C259" s="596"/>
      <c r="D259" s="596"/>
      <c r="E259" s="596"/>
      <c r="F259" s="596"/>
      <c r="G259" s="677"/>
      <c r="H259" s="677"/>
      <c r="I259" s="677"/>
      <c r="J259" s="677"/>
      <c r="K259" s="677"/>
      <c r="L259" s="596"/>
      <c r="M259" s="596"/>
      <c r="N259" s="950"/>
      <c r="O259" s="596"/>
      <c r="P259" s="861" t="e">
        <f>P258/O258</f>
        <v>#DIV/0!</v>
      </c>
      <c r="Q259" s="596"/>
      <c r="R259" s="596"/>
      <c r="S259"/>
      <c r="T259"/>
      <c r="U259"/>
      <c r="V259"/>
      <c r="W259"/>
      <c r="X259"/>
      <c r="Y259"/>
      <c r="Z259"/>
      <c r="AA259"/>
      <c r="AB259"/>
      <c r="AC259"/>
      <c r="AD259"/>
      <c r="AE259"/>
      <c r="AF259"/>
      <c r="AG259"/>
      <c r="AH259"/>
      <c r="AI259"/>
      <c r="AJ259"/>
    </row>
    <row r="260" spans="1:36" ht="15.75" outlineLevel="1" x14ac:dyDescent="0.25">
      <c r="A260" s="880" t="s">
        <v>232</v>
      </c>
      <c r="B260" s="596"/>
      <c r="C260" s="596"/>
      <c r="D260" s="596"/>
      <c r="E260" s="596"/>
      <c r="F260" s="596"/>
      <c r="G260" s="677"/>
      <c r="H260" s="677"/>
      <c r="I260" s="677"/>
      <c r="J260" s="677"/>
      <c r="K260" s="677"/>
      <c r="L260" s="596"/>
      <c r="M260" s="596"/>
      <c r="N260" s="950"/>
      <c r="O260" s="597"/>
      <c r="P260" s="597"/>
      <c r="Q260" s="683"/>
      <c r="R260" s="596"/>
      <c r="S260"/>
      <c r="T260"/>
      <c r="U260"/>
      <c r="V260"/>
      <c r="W260"/>
      <c r="X260"/>
      <c r="Y260"/>
      <c r="Z260"/>
      <c r="AA260"/>
      <c r="AB260"/>
      <c r="AC260"/>
      <c r="AD260"/>
      <c r="AE260"/>
      <c r="AF260"/>
      <c r="AG260"/>
      <c r="AH260"/>
      <c r="AI260"/>
      <c r="AJ260"/>
    </row>
    <row r="261" spans="1:36" ht="15.75" outlineLevel="1" x14ac:dyDescent="0.25">
      <c r="A261" s="596"/>
      <c r="B261" s="596"/>
      <c r="C261" s="596"/>
      <c r="D261" s="596"/>
      <c r="E261" s="596"/>
      <c r="F261" s="596"/>
      <c r="G261" s="677"/>
      <c r="H261" s="677"/>
      <c r="I261" s="677"/>
      <c r="J261" s="677"/>
      <c r="K261" s="677"/>
      <c r="L261" s="596"/>
      <c r="M261" s="596"/>
      <c r="N261" s="950"/>
      <c r="O261" s="596"/>
      <c r="P261" s="596"/>
      <c r="Q261" s="596"/>
      <c r="R261" s="596"/>
      <c r="S261"/>
      <c r="T261"/>
      <c r="U261"/>
      <c r="V261"/>
      <c r="W261"/>
      <c r="X261"/>
      <c r="Y261"/>
      <c r="Z261"/>
      <c r="AA261"/>
      <c r="AB261"/>
      <c r="AC261"/>
      <c r="AD261"/>
      <c r="AE261"/>
      <c r="AF261"/>
      <c r="AG261"/>
      <c r="AH261"/>
      <c r="AI261"/>
      <c r="AJ261"/>
    </row>
    <row r="262" spans="1:36" ht="15.75" outlineLevel="1" x14ac:dyDescent="0.25">
      <c r="A262" s="888" t="s">
        <v>28</v>
      </c>
      <c r="B262" s="889" t="s">
        <v>159</v>
      </c>
      <c r="C262" s="890" t="s">
        <v>31</v>
      </c>
      <c r="D262" s="890" t="s">
        <v>30</v>
      </c>
      <c r="E262" s="890" t="s">
        <v>158</v>
      </c>
      <c r="F262" s="891" t="s">
        <v>56</v>
      </c>
      <c r="G262" s="420">
        <f>G254</f>
        <v>0</v>
      </c>
      <c r="H262" s="420"/>
      <c r="I262" s="903">
        <f>I254</f>
        <v>0</v>
      </c>
      <c r="J262" s="764"/>
      <c r="K262" s="420"/>
      <c r="L262" s="420"/>
      <c r="M262" s="420"/>
      <c r="N262" s="904"/>
      <c r="O262" s="904">
        <f>ROUND(G262*I262+H262*J262,2)</f>
        <v>0</v>
      </c>
      <c r="P262" s="904">
        <f>ROUND(37.24%*O262,2)</f>
        <v>0</v>
      </c>
      <c r="Q262" s="904">
        <f>ROUND(R262*P262,2)</f>
        <v>0</v>
      </c>
      <c r="R262" s="893">
        <v>0.5</v>
      </c>
      <c r="S262"/>
      <c r="T262"/>
      <c r="U262"/>
      <c r="V262"/>
      <c r="W262"/>
      <c r="X262"/>
      <c r="Y262"/>
      <c r="Z262"/>
      <c r="AA262"/>
      <c r="AB262"/>
      <c r="AC262"/>
      <c r="AD262"/>
      <c r="AE262"/>
      <c r="AF262"/>
      <c r="AG262"/>
      <c r="AH262"/>
      <c r="AI262"/>
      <c r="AJ262"/>
    </row>
    <row r="263" spans="1:36" ht="15.75" outlineLevel="1" x14ac:dyDescent="0.25">
      <c r="A263" s="894" t="s">
        <v>28</v>
      </c>
      <c r="B263" s="456" t="s">
        <v>177</v>
      </c>
      <c r="C263" s="378" t="s">
        <v>31</v>
      </c>
      <c r="D263" s="378" t="s">
        <v>30</v>
      </c>
      <c r="E263" s="378" t="s">
        <v>158</v>
      </c>
      <c r="F263" s="586" t="s">
        <v>56</v>
      </c>
      <c r="G263" s="253">
        <f>G255</f>
        <v>0</v>
      </c>
      <c r="H263" s="253"/>
      <c r="I263" s="806">
        <f>I255</f>
        <v>0</v>
      </c>
      <c r="J263" s="728"/>
      <c r="K263" s="253"/>
      <c r="L263" s="253"/>
      <c r="M263" s="253"/>
      <c r="N263" s="557"/>
      <c r="O263" s="557">
        <f>ROUND(G263*I263+H263*J263,2)</f>
        <v>0</v>
      </c>
      <c r="P263" s="557">
        <f>ROUND(37.24%*O263,2)</f>
        <v>0</v>
      </c>
      <c r="Q263" s="557">
        <f>ROUND(R263*P263,2)</f>
        <v>0</v>
      </c>
      <c r="R263" s="775">
        <v>0.5</v>
      </c>
      <c r="S263"/>
      <c r="T263"/>
      <c r="U263"/>
      <c r="V263"/>
      <c r="W263"/>
      <c r="X263"/>
      <c r="Y263"/>
      <c r="Z263"/>
      <c r="AA263"/>
      <c r="AB263"/>
      <c r="AC263"/>
      <c r="AD263"/>
      <c r="AE263"/>
      <c r="AF263"/>
      <c r="AG263"/>
      <c r="AH263"/>
      <c r="AI263"/>
      <c r="AJ263"/>
    </row>
    <row r="264" spans="1:36" ht="15.75" outlineLevel="1" x14ac:dyDescent="0.25">
      <c r="A264" s="894" t="s">
        <v>28</v>
      </c>
      <c r="B264" s="456" t="s">
        <v>234</v>
      </c>
      <c r="C264" s="378" t="s">
        <v>31</v>
      </c>
      <c r="D264" s="378" t="s">
        <v>30</v>
      </c>
      <c r="E264" s="378" t="s">
        <v>158</v>
      </c>
      <c r="F264" s="586" t="s">
        <v>56</v>
      </c>
      <c r="G264" s="341">
        <f>G256</f>
        <v>0</v>
      </c>
      <c r="H264" s="341"/>
      <c r="I264" s="905">
        <f>I256</f>
        <v>0</v>
      </c>
      <c r="J264" s="728"/>
      <c r="K264" s="341"/>
      <c r="L264" s="341"/>
      <c r="M264" s="341"/>
      <c r="N264" s="897"/>
      <c r="O264" s="557">
        <f>ROUND(G264*I264+H264*J264,2)</f>
        <v>0</v>
      </c>
      <c r="P264" s="557">
        <f>ROUND(37.24%*O264,2)</f>
        <v>0</v>
      </c>
      <c r="Q264" s="557">
        <f>ROUND(R264*P264,2)</f>
        <v>0</v>
      </c>
      <c r="R264" s="906">
        <v>0.5</v>
      </c>
      <c r="S264"/>
      <c r="T264"/>
      <c r="U264"/>
      <c r="V264"/>
      <c r="W264"/>
      <c r="X264"/>
      <c r="Y264"/>
      <c r="Z264"/>
      <c r="AA264"/>
      <c r="AB264"/>
      <c r="AC264"/>
      <c r="AD264"/>
      <c r="AE264"/>
      <c r="AF264"/>
      <c r="AG264"/>
      <c r="AH264"/>
      <c r="AI264"/>
      <c r="AJ264"/>
    </row>
    <row r="265" spans="1:36" ht="15.75" outlineLevel="1" x14ac:dyDescent="0.25">
      <c r="A265" s="898" t="s">
        <v>28</v>
      </c>
      <c r="B265" s="457" t="s">
        <v>178</v>
      </c>
      <c r="C265" s="899" t="s">
        <v>31</v>
      </c>
      <c r="D265" s="899" t="s">
        <v>30</v>
      </c>
      <c r="E265" s="899" t="s">
        <v>158</v>
      </c>
      <c r="F265" s="740" t="s">
        <v>56</v>
      </c>
      <c r="G265" s="424">
        <f>G257</f>
        <v>0</v>
      </c>
      <c r="H265" s="424"/>
      <c r="I265" s="907">
        <f>I257</f>
        <v>0</v>
      </c>
      <c r="J265" s="741"/>
      <c r="K265" s="424"/>
      <c r="L265" s="424"/>
      <c r="M265" s="424"/>
      <c r="N265" s="895"/>
      <c r="O265" s="895">
        <f>ROUND(G265*I265+H265*J265,2)</f>
        <v>0</v>
      </c>
      <c r="P265" s="895">
        <f>ROUND(38%*G265*I265,2)+ROUND(38%*H265*J265,2)</f>
        <v>0</v>
      </c>
      <c r="Q265" s="895">
        <f>ROUND(R265*P265,2)</f>
        <v>0</v>
      </c>
      <c r="R265" s="896">
        <v>0.5</v>
      </c>
      <c r="S265"/>
      <c r="T265"/>
      <c r="U265"/>
      <c r="V265"/>
      <c r="W265"/>
      <c r="X265"/>
      <c r="Y265"/>
      <c r="Z265"/>
      <c r="AA265"/>
      <c r="AB265"/>
      <c r="AC265"/>
      <c r="AD265"/>
      <c r="AE265"/>
      <c r="AF265"/>
      <c r="AG265"/>
      <c r="AH265"/>
      <c r="AI265"/>
      <c r="AJ265"/>
    </row>
    <row r="266" spans="1:36" ht="15.75" outlineLevel="1" x14ac:dyDescent="0.25">
      <c r="A266" s="596"/>
      <c r="B266" s="596"/>
      <c r="C266" s="596"/>
      <c r="D266" s="596"/>
      <c r="E266" s="596"/>
      <c r="F266" s="596"/>
      <c r="G266" s="902">
        <f>SUM(G262:G265)</f>
        <v>0</v>
      </c>
      <c r="H266" s="902"/>
      <c r="I266" s="908" t="e">
        <f>ROUND(O266/G266,4)</f>
        <v>#DIV/0!</v>
      </c>
      <c r="J266" s="677"/>
      <c r="K266" s="677"/>
      <c r="L266" s="596"/>
      <c r="M266" s="596"/>
      <c r="N266" s="950"/>
      <c r="O266" s="734">
        <f>SUM(O262:O265)</f>
        <v>0</v>
      </c>
      <c r="P266" s="734">
        <f>SUM(P262:P265)</f>
        <v>0</v>
      </c>
      <c r="Q266" s="734">
        <f>SUM(Q262:Q265)</f>
        <v>0</v>
      </c>
      <c r="R266" s="596"/>
      <c r="S266"/>
      <c r="T266"/>
      <c r="U266"/>
      <c r="V266"/>
      <c r="W266"/>
      <c r="X266"/>
      <c r="Y266"/>
      <c r="Z266"/>
      <c r="AA266"/>
      <c r="AB266"/>
      <c r="AC266"/>
      <c r="AD266"/>
      <c r="AE266"/>
      <c r="AF266"/>
      <c r="AG266"/>
      <c r="AH266"/>
      <c r="AI266"/>
      <c r="AJ266"/>
    </row>
    <row r="267" spans="1:36" ht="15.75" x14ac:dyDescent="0.25">
      <c r="A267" s="596"/>
      <c r="B267" s="596"/>
      <c r="C267" s="596"/>
      <c r="D267" s="596"/>
      <c r="E267" s="596"/>
      <c r="F267" s="596"/>
      <c r="G267" s="677"/>
      <c r="H267" s="677"/>
      <c r="I267" s="677"/>
      <c r="J267" s="677"/>
      <c r="K267" s="677"/>
      <c r="L267" s="596"/>
      <c r="M267" s="596"/>
      <c r="N267" s="950"/>
      <c r="O267" s="596"/>
      <c r="P267" s="596"/>
      <c r="Q267" s="596"/>
      <c r="R267" s="596"/>
      <c r="S267"/>
      <c r="T267"/>
      <c r="U267"/>
      <c r="V267"/>
      <c r="W267"/>
      <c r="X267"/>
      <c r="Y267"/>
      <c r="Z267"/>
      <c r="AA267"/>
      <c r="AB267"/>
      <c r="AC267"/>
      <c r="AD267"/>
      <c r="AE267"/>
      <c r="AF267"/>
      <c r="AG267"/>
      <c r="AH267"/>
      <c r="AI267"/>
      <c r="AJ267"/>
    </row>
    <row r="268" spans="1:36" ht="15.75" x14ac:dyDescent="0.25">
      <c r="A268" s="880" t="s">
        <v>233</v>
      </c>
      <c r="B268" s="596"/>
      <c r="C268" s="596"/>
      <c r="D268" s="596"/>
      <c r="E268" s="596"/>
      <c r="F268" s="596"/>
      <c r="G268" s="677"/>
      <c r="H268" s="677"/>
      <c r="I268" s="677"/>
      <c r="J268" s="677"/>
      <c r="K268" s="677"/>
      <c r="L268" s="596"/>
      <c r="M268" s="596"/>
      <c r="N268" s="950"/>
      <c r="O268" s="596"/>
      <c r="P268" s="596"/>
      <c r="Q268" s="596"/>
      <c r="R268" s="596"/>
      <c r="S268"/>
      <c r="T268"/>
      <c r="U268"/>
      <c r="V268"/>
      <c r="W268"/>
      <c r="X268"/>
      <c r="Y268"/>
      <c r="Z268"/>
      <c r="AA268"/>
      <c r="AB268"/>
      <c r="AC268"/>
      <c r="AD268"/>
      <c r="AE268"/>
      <c r="AF268"/>
      <c r="AG268"/>
      <c r="AH268"/>
      <c r="AI268"/>
      <c r="AJ268"/>
    </row>
    <row r="269" spans="1:36" ht="15.75" x14ac:dyDescent="0.25">
      <c r="A269" s="596"/>
      <c r="B269" s="596"/>
      <c r="C269" s="596"/>
      <c r="D269" s="596"/>
      <c r="E269" s="596"/>
      <c r="F269" s="596"/>
      <c r="G269" s="677"/>
      <c r="H269" s="677"/>
      <c r="I269" s="677"/>
      <c r="J269" s="677"/>
      <c r="K269" s="677"/>
      <c r="L269" s="596"/>
      <c r="M269" s="596"/>
      <c r="N269" s="950"/>
      <c r="O269" s="596"/>
      <c r="P269" s="596"/>
      <c r="Q269" s="596"/>
      <c r="R269" s="596"/>
      <c r="S269"/>
      <c r="T269"/>
      <c r="U269"/>
      <c r="V269"/>
      <c r="W269"/>
      <c r="X269"/>
      <c r="Y269"/>
      <c r="Z269"/>
      <c r="AA269"/>
      <c r="AB269"/>
      <c r="AC269"/>
      <c r="AD269"/>
      <c r="AE269"/>
      <c r="AF269"/>
      <c r="AG269"/>
      <c r="AH269"/>
      <c r="AI269"/>
      <c r="AJ269"/>
    </row>
    <row r="270" spans="1:36" ht="15.75" x14ac:dyDescent="0.25">
      <c r="A270" s="888" t="s">
        <v>28</v>
      </c>
      <c r="B270" s="889" t="s">
        <v>159</v>
      </c>
      <c r="C270" s="890" t="s">
        <v>31</v>
      </c>
      <c r="D270" s="890" t="s">
        <v>30</v>
      </c>
      <c r="E270" s="890" t="s">
        <v>158</v>
      </c>
      <c r="F270" s="891" t="s">
        <v>56</v>
      </c>
      <c r="G270" s="420"/>
      <c r="H270" s="420">
        <f>H254</f>
        <v>0</v>
      </c>
      <c r="I270" s="764"/>
      <c r="J270" s="903">
        <f>J254</f>
        <v>0</v>
      </c>
      <c r="K270" s="420"/>
      <c r="L270" s="420"/>
      <c r="M270" s="420"/>
      <c r="N270" s="904"/>
      <c r="O270" s="904">
        <f>ROUND(G270*I270+H270*J270,2)</f>
        <v>0</v>
      </c>
      <c r="P270" s="904">
        <f>ROUND(37.24%*O270,2)</f>
        <v>0</v>
      </c>
      <c r="Q270" s="904">
        <f>ROUND(R270*P270,2)</f>
        <v>0</v>
      </c>
      <c r="R270" s="893">
        <v>0.5</v>
      </c>
      <c r="S270"/>
      <c r="T270"/>
      <c r="U270"/>
      <c r="V270"/>
      <c r="W270"/>
      <c r="X270"/>
      <c r="Y270"/>
      <c r="Z270"/>
      <c r="AA270"/>
      <c r="AB270"/>
      <c r="AC270"/>
      <c r="AD270"/>
      <c r="AE270"/>
      <c r="AF270"/>
      <c r="AG270"/>
      <c r="AH270"/>
      <c r="AI270"/>
      <c r="AJ270"/>
    </row>
    <row r="271" spans="1:36" ht="15.75" outlineLevel="1" x14ac:dyDescent="0.25">
      <c r="A271" s="894" t="s">
        <v>28</v>
      </c>
      <c r="B271" s="456" t="s">
        <v>177</v>
      </c>
      <c r="C271" s="378" t="s">
        <v>31</v>
      </c>
      <c r="D271" s="378" t="s">
        <v>30</v>
      </c>
      <c r="E271" s="378" t="s">
        <v>158</v>
      </c>
      <c r="F271" s="586" t="s">
        <v>56</v>
      </c>
      <c r="G271" s="253"/>
      <c r="H271" s="253">
        <f>H255</f>
        <v>0</v>
      </c>
      <c r="I271" s="728"/>
      <c r="J271" s="806">
        <f>J255</f>
        <v>0</v>
      </c>
      <c r="K271" s="253"/>
      <c r="L271" s="253"/>
      <c r="M271" s="253"/>
      <c r="N271" s="557"/>
      <c r="O271" s="557">
        <f>ROUND(G271*I271+H271*J271,2)</f>
        <v>0</v>
      </c>
      <c r="P271" s="557">
        <f>ROUND(37.24%*O271,2)</f>
        <v>0</v>
      </c>
      <c r="Q271" s="557">
        <f>ROUND(R271*P271,2)</f>
        <v>0</v>
      </c>
      <c r="R271" s="775">
        <v>0.5</v>
      </c>
      <c r="S271"/>
      <c r="T271"/>
      <c r="U271"/>
      <c r="V271"/>
      <c r="W271"/>
      <c r="X271"/>
      <c r="Y271"/>
      <c r="Z271"/>
      <c r="AA271"/>
      <c r="AB271"/>
      <c r="AC271"/>
      <c r="AD271"/>
      <c r="AE271"/>
      <c r="AF271"/>
      <c r="AG271"/>
      <c r="AH271"/>
      <c r="AI271"/>
      <c r="AJ271"/>
    </row>
    <row r="272" spans="1:36" ht="15.75" outlineLevel="1" x14ac:dyDescent="0.25">
      <c r="A272" s="894" t="s">
        <v>28</v>
      </c>
      <c r="B272" s="456" t="s">
        <v>234</v>
      </c>
      <c r="C272" s="378" t="s">
        <v>31</v>
      </c>
      <c r="D272" s="378" t="s">
        <v>30</v>
      </c>
      <c r="E272" s="378" t="s">
        <v>158</v>
      </c>
      <c r="F272" s="586" t="s">
        <v>56</v>
      </c>
      <c r="G272" s="253"/>
      <c r="H272" s="253">
        <f>H256</f>
        <v>0</v>
      </c>
      <c r="I272" s="728"/>
      <c r="J272" s="806">
        <f>J256</f>
        <v>0</v>
      </c>
      <c r="K272" s="341"/>
      <c r="L272" s="341"/>
      <c r="M272" s="341"/>
      <c r="N272" s="897"/>
      <c r="O272" s="557">
        <f>ROUND(G272*I272+H272*J272,2)</f>
        <v>0</v>
      </c>
      <c r="P272" s="557">
        <f>ROUND(37.24%*O272,2)</f>
        <v>0</v>
      </c>
      <c r="Q272" s="557">
        <f>ROUND(R272*P272,2)</f>
        <v>0</v>
      </c>
      <c r="R272" s="775">
        <v>0.5</v>
      </c>
      <c r="S272"/>
      <c r="T272"/>
      <c r="U272"/>
      <c r="V272"/>
      <c r="W272"/>
      <c r="X272"/>
      <c r="Y272"/>
      <c r="Z272"/>
      <c r="AA272"/>
      <c r="AB272"/>
      <c r="AC272"/>
      <c r="AD272"/>
      <c r="AE272"/>
      <c r="AF272"/>
      <c r="AG272"/>
      <c r="AH272"/>
      <c r="AI272"/>
      <c r="AJ272"/>
    </row>
    <row r="273" spans="1:36" ht="15.75" outlineLevel="1" x14ac:dyDescent="0.25">
      <c r="A273" s="898" t="s">
        <v>28</v>
      </c>
      <c r="B273" s="457" t="s">
        <v>178</v>
      </c>
      <c r="C273" s="899" t="s">
        <v>31</v>
      </c>
      <c r="D273" s="899" t="s">
        <v>30</v>
      </c>
      <c r="E273" s="899" t="s">
        <v>158</v>
      </c>
      <c r="F273" s="740" t="s">
        <v>56</v>
      </c>
      <c r="G273" s="424"/>
      <c r="H273" s="424">
        <f>H257</f>
        <v>0</v>
      </c>
      <c r="I273" s="741"/>
      <c r="J273" s="907">
        <f>J257</f>
        <v>0</v>
      </c>
      <c r="K273" s="424"/>
      <c r="L273" s="424"/>
      <c r="M273" s="424"/>
      <c r="N273" s="895"/>
      <c r="O273" s="895">
        <f>ROUND(G273*I273+H273*J273,2)</f>
        <v>0</v>
      </c>
      <c r="P273" s="895">
        <f>ROUND(38%*G273*I273,2)+ROUND(38%*H273*J273,2)</f>
        <v>0</v>
      </c>
      <c r="Q273" s="895">
        <f>ROUND(R273*P273,2)</f>
        <v>0</v>
      </c>
      <c r="R273" s="896">
        <v>0.5</v>
      </c>
      <c r="S273"/>
      <c r="T273"/>
      <c r="U273"/>
      <c r="V273"/>
      <c r="W273"/>
      <c r="X273"/>
      <c r="Y273"/>
      <c r="Z273"/>
      <c r="AA273"/>
      <c r="AB273"/>
      <c r="AC273"/>
      <c r="AD273"/>
      <c r="AE273"/>
      <c r="AF273"/>
      <c r="AG273"/>
      <c r="AH273"/>
      <c r="AI273"/>
      <c r="AJ273"/>
    </row>
    <row r="274" spans="1:36" ht="15.75" outlineLevel="1" x14ac:dyDescent="0.25">
      <c r="A274" s="596"/>
      <c r="B274" s="596"/>
      <c r="C274" s="596"/>
      <c r="D274" s="596"/>
      <c r="E274" s="596"/>
      <c r="F274" s="596"/>
      <c r="G274" s="902"/>
      <c r="H274" s="902">
        <f>SUM(H270:H273)</f>
        <v>0</v>
      </c>
      <c r="I274" s="677"/>
      <c r="J274" s="908" t="e">
        <f>ROUND(O274/H274,4)</f>
        <v>#DIV/0!</v>
      </c>
      <c r="K274" s="677"/>
      <c r="L274" s="596"/>
      <c r="M274" s="596"/>
      <c r="N274" s="950"/>
      <c r="O274" s="734">
        <f>SUM(O270:O273)</f>
        <v>0</v>
      </c>
      <c r="P274" s="734">
        <f>SUM(P270:P273)</f>
        <v>0</v>
      </c>
      <c r="Q274" s="734">
        <f>SUM(Q270:Q273)</f>
        <v>0</v>
      </c>
      <c r="R274" s="596"/>
      <c r="S274"/>
      <c r="T274"/>
      <c r="U274"/>
      <c r="V274"/>
      <c r="W274"/>
      <c r="X274"/>
      <c r="Y274"/>
      <c r="Z274"/>
      <c r="AA274"/>
      <c r="AB274"/>
      <c r="AC274"/>
      <c r="AD274"/>
      <c r="AE274"/>
      <c r="AF274"/>
      <c r="AG274"/>
      <c r="AH274"/>
      <c r="AI274"/>
      <c r="AJ274"/>
    </row>
    <row r="275" spans="1:36" ht="15.75" outlineLevel="1" x14ac:dyDescent="0.25">
      <c r="A275" s="596"/>
      <c r="B275" s="596"/>
      <c r="C275" s="596"/>
      <c r="D275" s="596"/>
      <c r="E275" s="596"/>
      <c r="F275" s="596"/>
      <c r="G275" s="902"/>
      <c r="H275" s="902"/>
      <c r="I275" s="677"/>
      <c r="J275" s="677"/>
      <c r="K275" s="677"/>
      <c r="L275" s="596"/>
      <c r="M275" s="596"/>
      <c r="N275" s="950"/>
      <c r="O275" s="734"/>
      <c r="P275" s="734"/>
      <c r="Q275" s="734"/>
      <c r="R275" s="596"/>
      <c r="S275"/>
      <c r="T275"/>
      <c r="U275"/>
      <c r="V275"/>
      <c r="W275"/>
      <c r="X275"/>
      <c r="Y275"/>
      <c r="Z275"/>
      <c r="AA275"/>
      <c r="AB275"/>
      <c r="AC275"/>
      <c r="AD275"/>
      <c r="AE275"/>
      <c r="AF275"/>
      <c r="AG275"/>
      <c r="AH275"/>
      <c r="AI275"/>
      <c r="AJ275"/>
    </row>
    <row r="276" spans="1:36" ht="15.75" outlineLevel="1" x14ac:dyDescent="0.25">
      <c r="A276" s="596"/>
      <c r="B276" s="596"/>
      <c r="C276" s="596"/>
      <c r="D276" s="596"/>
      <c r="E276" s="596"/>
      <c r="F276" s="596"/>
      <c r="G276" s="902"/>
      <c r="H276" s="902"/>
      <c r="I276" s="677"/>
      <c r="J276" s="677"/>
      <c r="K276" s="677"/>
      <c r="L276" s="596"/>
      <c r="M276" s="596"/>
      <c r="N276" s="985" t="s">
        <v>235</v>
      </c>
      <c r="O276" s="589">
        <f>O274+O266</f>
        <v>0</v>
      </c>
      <c r="P276" s="589">
        <f>P274+P266</f>
        <v>0</v>
      </c>
      <c r="Q276" s="589">
        <f>Q274+Q266</f>
        <v>0</v>
      </c>
      <c r="R276" s="910">
        <v>0.5</v>
      </c>
      <c r="S276"/>
      <c r="T276"/>
      <c r="U276"/>
      <c r="V276"/>
      <c r="W276"/>
      <c r="X276"/>
      <c r="Y276"/>
      <c r="Z276"/>
      <c r="AA276"/>
      <c r="AB276"/>
      <c r="AC276"/>
      <c r="AD276"/>
      <c r="AE276"/>
      <c r="AF276"/>
      <c r="AG276"/>
      <c r="AH276"/>
      <c r="AI276"/>
      <c r="AJ276"/>
    </row>
    <row r="277" spans="1:36" ht="15.75" outlineLevel="1" x14ac:dyDescent="0.25">
      <c r="A277" s="596"/>
      <c r="B277" s="596"/>
      <c r="C277" s="596"/>
      <c r="D277" s="596"/>
      <c r="E277" s="596"/>
      <c r="F277" s="596"/>
      <c r="G277" s="902"/>
      <c r="H277" s="902"/>
      <c r="I277" s="677"/>
      <c r="J277" s="677"/>
      <c r="K277" s="677"/>
      <c r="L277" s="596"/>
      <c r="M277" s="596"/>
      <c r="N277" s="950"/>
      <c r="O277" s="596"/>
      <c r="P277" s="596"/>
      <c r="Q277" s="596"/>
      <c r="R277" s="596"/>
      <c r="S277"/>
      <c r="T277"/>
      <c r="U277"/>
      <c r="V277"/>
      <c r="W277"/>
      <c r="X277"/>
      <c r="Y277"/>
      <c r="Z277"/>
      <c r="AA277"/>
      <c r="AB277"/>
      <c r="AC277"/>
      <c r="AD277"/>
      <c r="AE277"/>
      <c r="AF277"/>
      <c r="AG277"/>
      <c r="AH277"/>
      <c r="AI277"/>
      <c r="AJ277"/>
    </row>
    <row r="278" spans="1:36" ht="15.75" outlineLevel="1" x14ac:dyDescent="0.25">
      <c r="A278" s="596"/>
      <c r="B278" s="596"/>
      <c r="C278" s="596"/>
      <c r="D278" s="596"/>
      <c r="E278" s="596"/>
      <c r="F278" s="596"/>
      <c r="G278" s="902"/>
      <c r="H278" s="902"/>
      <c r="I278" s="677"/>
      <c r="J278" s="677"/>
      <c r="K278" s="677"/>
      <c r="L278" s="596"/>
      <c r="M278" s="596"/>
      <c r="N278" s="985" t="s">
        <v>236</v>
      </c>
      <c r="O278" s="879">
        <f>O276-O258</f>
        <v>0</v>
      </c>
      <c r="P278" s="879">
        <f>P276-P258</f>
        <v>0</v>
      </c>
      <c r="Q278" s="879">
        <f>Q276-Q258</f>
        <v>0</v>
      </c>
      <c r="R278" s="596"/>
      <c r="S278"/>
      <c r="T278"/>
      <c r="U278"/>
      <c r="V278"/>
      <c r="W278"/>
      <c r="X278"/>
      <c r="Y278"/>
      <c r="Z278"/>
      <c r="AA278"/>
      <c r="AB278"/>
      <c r="AC278"/>
      <c r="AD278"/>
      <c r="AE278"/>
      <c r="AF278"/>
      <c r="AG278"/>
      <c r="AH278"/>
      <c r="AI278"/>
      <c r="AJ278"/>
    </row>
    <row r="279" spans="1:36" ht="15.75" outlineLevel="1" x14ac:dyDescent="0.25">
      <c r="A279" s="596"/>
      <c r="B279" s="596"/>
      <c r="C279" s="596"/>
      <c r="D279" s="596"/>
      <c r="E279" s="596"/>
      <c r="F279" s="596"/>
      <c r="G279" s="596"/>
      <c r="H279" s="596"/>
      <c r="I279" s="596"/>
      <c r="J279" s="596"/>
      <c r="K279" s="596"/>
      <c r="L279" s="596"/>
      <c r="M279" s="596"/>
      <c r="N279" s="950"/>
      <c r="O279" s="596"/>
      <c r="P279" s="596"/>
      <c r="Q279" s="596"/>
      <c r="R279" s="596"/>
      <c r="S279"/>
      <c r="T279"/>
      <c r="U279"/>
      <c r="V279"/>
      <c r="W279"/>
      <c r="X279"/>
      <c r="Y279"/>
      <c r="Z279"/>
      <c r="AA279"/>
      <c r="AB279"/>
      <c r="AC279"/>
      <c r="AD279"/>
      <c r="AE279"/>
      <c r="AF279"/>
      <c r="AG279"/>
      <c r="AH279"/>
      <c r="AI279"/>
      <c r="AJ279"/>
    </row>
    <row r="280" spans="1:36" ht="15.75" outlineLevel="1" x14ac:dyDescent="0.25">
      <c r="A280" s="880" t="s">
        <v>231</v>
      </c>
      <c r="B280" s="683"/>
      <c r="C280" s="683"/>
      <c r="D280" s="683"/>
      <c r="E280" s="683"/>
      <c r="F280" s="683"/>
      <c r="G280" s="683"/>
      <c r="H280" s="683"/>
      <c r="I280" s="683"/>
      <c r="J280" s="683"/>
      <c r="K280" s="683"/>
      <c r="L280" s="683"/>
      <c r="M280" s="683"/>
      <c r="N280" s="950"/>
      <c r="O280" s="683"/>
      <c r="P280" s="683"/>
      <c r="Q280" s="683">
        <f>P290*R288</f>
        <v>0</v>
      </c>
      <c r="R280" s="911"/>
      <c r="S280" s="683"/>
      <c r="T280" s="912"/>
      <c r="U280"/>
      <c r="V280"/>
      <c r="W280"/>
      <c r="X280"/>
      <c r="Y280"/>
      <c r="Z280"/>
      <c r="AA280"/>
      <c r="AB280"/>
      <c r="AC280"/>
      <c r="AD280"/>
      <c r="AE280"/>
      <c r="AF280"/>
      <c r="AG280"/>
      <c r="AH280"/>
      <c r="AI280"/>
      <c r="AJ280"/>
    </row>
    <row r="281" spans="1:36" ht="15.75" outlineLevel="1" x14ac:dyDescent="0.25">
      <c r="A281" s="887" t="s">
        <v>228</v>
      </c>
      <c r="B281" s="596"/>
      <c r="C281" s="596"/>
      <c r="D281" s="596"/>
      <c r="E281" s="596"/>
      <c r="F281" s="596"/>
      <c r="G281" s="704" t="s">
        <v>35</v>
      </c>
      <c r="H281" s="705" t="s">
        <v>36</v>
      </c>
      <c r="I281" s="705" t="s">
        <v>35</v>
      </c>
      <c r="J281" s="704" t="s">
        <v>36</v>
      </c>
      <c r="K281" s="704" t="s">
        <v>39</v>
      </c>
      <c r="L281" s="704" t="s">
        <v>40</v>
      </c>
      <c r="M281" s="704" t="s">
        <v>42</v>
      </c>
      <c r="N281" s="1058" t="s">
        <v>2</v>
      </c>
      <c r="O281" s="596"/>
      <c r="P281" s="596"/>
      <c r="Q281" s="596"/>
      <c r="R281" s="596"/>
      <c r="S281" s="596"/>
      <c r="T281" s="596"/>
      <c r="U281"/>
      <c r="V281"/>
      <c r="W281"/>
      <c r="X281"/>
      <c r="Y281"/>
      <c r="Z281"/>
      <c r="AA281"/>
      <c r="AB281"/>
      <c r="AC281"/>
      <c r="AD281"/>
      <c r="AE281"/>
      <c r="AF281"/>
      <c r="AG281"/>
      <c r="AH281"/>
      <c r="AI281"/>
      <c r="AJ281"/>
    </row>
    <row r="282" spans="1:36" ht="15.75" outlineLevel="1" x14ac:dyDescent="0.25">
      <c r="A282" s="888" t="s">
        <v>28</v>
      </c>
      <c r="B282" s="889" t="s">
        <v>218</v>
      </c>
      <c r="C282" s="890" t="s">
        <v>31</v>
      </c>
      <c r="D282" s="890" t="s">
        <v>30</v>
      </c>
      <c r="E282" s="890" t="s">
        <v>101</v>
      </c>
      <c r="F282" s="891" t="s">
        <v>56</v>
      </c>
      <c r="G282" s="913"/>
      <c r="H282" s="914"/>
      <c r="I282" s="915"/>
      <c r="J282" s="915"/>
      <c r="K282" s="420"/>
      <c r="L282" s="420"/>
      <c r="M282" s="420"/>
      <c r="N282" s="917"/>
      <c r="O282" s="918">
        <f t="shared" ref="O282:O289" si="42">ROUND(G282*I282,2)+ROUND(H282*J282,2)-K282-L282-M282-N282</f>
        <v>0</v>
      </c>
      <c r="P282" s="420">
        <f>ROUND(18.75%*O282,2)</f>
        <v>0</v>
      </c>
      <c r="Q282" s="420">
        <f t="shared" ref="Q282:Q287" si="43">ROUND($O282*R282,2)</f>
        <v>0</v>
      </c>
      <c r="R282" s="893">
        <v>0.15</v>
      </c>
      <c r="S282" s="938">
        <f t="shared" ref="S282:S289" si="44">ROUND($O282*T282,2)</f>
        <v>0</v>
      </c>
      <c r="T282" s="919">
        <v>3.7499999999999999E-2</v>
      </c>
      <c r="U282"/>
      <c r="V282"/>
      <c r="W282"/>
      <c r="X282"/>
      <c r="Y282"/>
      <c r="Z282"/>
      <c r="AA282"/>
      <c r="AB282"/>
      <c r="AC282"/>
      <c r="AD282"/>
      <c r="AE282"/>
      <c r="AF282"/>
      <c r="AG282"/>
      <c r="AH282"/>
      <c r="AI282"/>
      <c r="AJ282"/>
    </row>
    <row r="283" spans="1:36" ht="15.75" outlineLevel="1" x14ac:dyDescent="0.25">
      <c r="A283" s="894" t="s">
        <v>28</v>
      </c>
      <c r="B283" s="456" t="s">
        <v>219</v>
      </c>
      <c r="C283" s="378" t="s">
        <v>31</v>
      </c>
      <c r="D283" s="378" t="s">
        <v>30</v>
      </c>
      <c r="E283" s="378" t="s">
        <v>101</v>
      </c>
      <c r="F283" s="586" t="s">
        <v>56</v>
      </c>
      <c r="G283" s="587"/>
      <c r="H283" s="587"/>
      <c r="I283" s="920"/>
      <c r="J283" s="920"/>
      <c r="K283" s="253"/>
      <c r="L283" s="253"/>
      <c r="M283" s="253"/>
      <c r="N283" s="557"/>
      <c r="O283" s="892">
        <f t="shared" si="42"/>
        <v>0</v>
      </c>
      <c r="P283" s="253">
        <f>ROUND(18.75%*O283,2)</f>
        <v>0</v>
      </c>
      <c r="Q283" s="253">
        <f t="shared" si="43"/>
        <v>0</v>
      </c>
      <c r="R283" s="775">
        <v>0.15</v>
      </c>
      <c r="S283" s="585">
        <f t="shared" si="44"/>
        <v>0</v>
      </c>
      <c r="T283" s="921">
        <v>3.7499999999999999E-2</v>
      </c>
      <c r="U283"/>
      <c r="V283"/>
      <c r="W283"/>
      <c r="X283"/>
      <c r="Y283"/>
      <c r="Z283"/>
      <c r="AA283"/>
      <c r="AB283"/>
      <c r="AC283"/>
      <c r="AD283"/>
      <c r="AE283"/>
      <c r="AF283"/>
      <c r="AG283"/>
      <c r="AH283"/>
      <c r="AI283"/>
      <c r="AJ283"/>
    </row>
    <row r="284" spans="1:36" ht="15.75" outlineLevel="1" x14ac:dyDescent="0.25">
      <c r="A284" s="922" t="s">
        <v>28</v>
      </c>
      <c r="B284" s="442" t="s">
        <v>217</v>
      </c>
      <c r="C284" s="854" t="s">
        <v>31</v>
      </c>
      <c r="D284" s="854" t="s">
        <v>30</v>
      </c>
      <c r="E284" s="854" t="s">
        <v>101</v>
      </c>
      <c r="F284" s="854" t="s">
        <v>56</v>
      </c>
      <c r="G284" s="587"/>
      <c r="H284" s="587"/>
      <c r="I284" s="587"/>
      <c r="J284" s="588"/>
      <c r="K284" s="441"/>
      <c r="L284" s="441"/>
      <c r="M284" s="441"/>
      <c r="N284" s="923"/>
      <c r="O284" s="253">
        <f t="shared" si="42"/>
        <v>0</v>
      </c>
      <c r="P284" s="441">
        <f t="shared" ref="P284:P289" si="45">ROUND(18.75%*O284,2)</f>
        <v>0</v>
      </c>
      <c r="Q284" s="441">
        <f t="shared" si="43"/>
        <v>0</v>
      </c>
      <c r="R284" s="924">
        <v>0.15</v>
      </c>
      <c r="S284" s="253">
        <f t="shared" si="44"/>
        <v>0</v>
      </c>
      <c r="T284" s="921">
        <v>3.7499999999999999E-2</v>
      </c>
      <c r="U284"/>
      <c r="V284"/>
      <c r="W284"/>
      <c r="X284"/>
      <c r="Y284"/>
      <c r="Z284"/>
      <c r="AA284"/>
      <c r="AB284"/>
      <c r="AC284"/>
      <c r="AD284"/>
      <c r="AE284"/>
      <c r="AF284"/>
      <c r="AG284"/>
      <c r="AH284"/>
      <c r="AI284"/>
      <c r="AJ284"/>
    </row>
    <row r="285" spans="1:36" ht="15.75" outlineLevel="1" x14ac:dyDescent="0.25">
      <c r="A285" s="922" t="s">
        <v>28</v>
      </c>
      <c r="B285" s="442" t="s">
        <v>220</v>
      </c>
      <c r="C285" s="854" t="s">
        <v>31</v>
      </c>
      <c r="D285" s="854" t="s">
        <v>30</v>
      </c>
      <c r="E285" s="854" t="s">
        <v>101</v>
      </c>
      <c r="F285" s="854" t="s">
        <v>56</v>
      </c>
      <c r="G285" s="587"/>
      <c r="H285" s="587"/>
      <c r="I285" s="587"/>
      <c r="J285" s="588"/>
      <c r="K285" s="441"/>
      <c r="L285" s="441"/>
      <c r="M285" s="441"/>
      <c r="N285" s="923"/>
      <c r="O285" s="253">
        <f t="shared" si="42"/>
        <v>0</v>
      </c>
      <c r="P285" s="441">
        <f t="shared" si="45"/>
        <v>0</v>
      </c>
      <c r="Q285" s="441">
        <f t="shared" si="43"/>
        <v>0</v>
      </c>
      <c r="R285" s="924">
        <v>0.15</v>
      </c>
      <c r="S285" s="253">
        <f t="shared" si="44"/>
        <v>0</v>
      </c>
      <c r="T285" s="921">
        <v>3.7499999999999999E-2</v>
      </c>
      <c r="U285"/>
      <c r="V285"/>
      <c r="W285"/>
      <c r="X285"/>
      <c r="Y285"/>
      <c r="Z285"/>
      <c r="AA285"/>
      <c r="AB285"/>
      <c r="AC285"/>
      <c r="AD285"/>
      <c r="AE285"/>
      <c r="AF285"/>
      <c r="AG285"/>
      <c r="AH285"/>
      <c r="AI285"/>
      <c r="AJ285"/>
    </row>
    <row r="286" spans="1:36" ht="15.75" outlineLevel="1" x14ac:dyDescent="0.25">
      <c r="A286" s="922" t="s">
        <v>28</v>
      </c>
      <c r="B286" s="442" t="s">
        <v>222</v>
      </c>
      <c r="C286" s="854" t="s">
        <v>31</v>
      </c>
      <c r="D286" s="854" t="s">
        <v>30</v>
      </c>
      <c r="E286" s="854" t="s">
        <v>101</v>
      </c>
      <c r="F286" s="854" t="s">
        <v>56</v>
      </c>
      <c r="G286" s="587"/>
      <c r="H286" s="587"/>
      <c r="I286" s="920"/>
      <c r="J286" s="588"/>
      <c r="K286" s="441"/>
      <c r="L286" s="441"/>
      <c r="M286" s="441"/>
      <c r="N286" s="925"/>
      <c r="O286" s="253">
        <f t="shared" si="42"/>
        <v>0</v>
      </c>
      <c r="P286" s="441">
        <f t="shared" si="45"/>
        <v>0</v>
      </c>
      <c r="Q286" s="441">
        <f t="shared" si="43"/>
        <v>0</v>
      </c>
      <c r="R286" s="924">
        <v>0.15</v>
      </c>
      <c r="S286" s="253">
        <f t="shared" si="44"/>
        <v>0</v>
      </c>
      <c r="T286" s="921">
        <v>3.7499999999999999E-2</v>
      </c>
      <c r="U286"/>
      <c r="V286"/>
      <c r="W286"/>
      <c r="X286"/>
      <c r="Y286"/>
      <c r="Z286"/>
      <c r="AA286"/>
      <c r="AB286"/>
      <c r="AC286"/>
      <c r="AD286"/>
      <c r="AE286"/>
      <c r="AF286"/>
      <c r="AG286"/>
      <c r="AH286"/>
      <c r="AI286"/>
      <c r="AJ286"/>
    </row>
    <row r="287" spans="1:36" ht="15.75" outlineLevel="1" x14ac:dyDescent="0.25">
      <c r="A287" s="922"/>
      <c r="B287" s="442" t="s">
        <v>226</v>
      </c>
      <c r="C287" s="854" t="s">
        <v>31</v>
      </c>
      <c r="D287" s="854" t="s">
        <v>30</v>
      </c>
      <c r="E287" s="854" t="s">
        <v>101</v>
      </c>
      <c r="F287" s="854" t="s">
        <v>56</v>
      </c>
      <c r="G287" s="587"/>
      <c r="H287" s="587"/>
      <c r="I287" s="920"/>
      <c r="J287" s="588"/>
      <c r="K287" s="441"/>
      <c r="L287" s="441"/>
      <c r="M287" s="441"/>
      <c r="N287" s="925"/>
      <c r="O287" s="253">
        <f t="shared" si="42"/>
        <v>0</v>
      </c>
      <c r="P287" s="441">
        <f>ROUND(18.75%*O287,2)</f>
        <v>0</v>
      </c>
      <c r="Q287" s="441">
        <f t="shared" si="43"/>
        <v>0</v>
      </c>
      <c r="R287" s="924">
        <v>0.15</v>
      </c>
      <c r="S287" s="253">
        <f t="shared" si="44"/>
        <v>0</v>
      </c>
      <c r="T287" s="921">
        <v>3.7499999999999999E-2</v>
      </c>
      <c r="U287"/>
      <c r="V287"/>
      <c r="W287"/>
      <c r="X287"/>
      <c r="Y287"/>
      <c r="Z287"/>
      <c r="AA287"/>
      <c r="AB287"/>
      <c r="AC287"/>
      <c r="AD287"/>
      <c r="AE287"/>
      <c r="AF287"/>
      <c r="AG287"/>
      <c r="AH287"/>
      <c r="AI287"/>
      <c r="AJ287"/>
    </row>
    <row r="288" spans="1:36" ht="15.75" outlineLevel="1" x14ac:dyDescent="0.25">
      <c r="A288" s="1000"/>
      <c r="B288" s="1001" t="s">
        <v>225</v>
      </c>
      <c r="C288" s="1002" t="s">
        <v>31</v>
      </c>
      <c r="D288" s="1002" t="s">
        <v>30</v>
      </c>
      <c r="E288" s="1002" t="s">
        <v>101</v>
      </c>
      <c r="F288" s="1002" t="s">
        <v>56</v>
      </c>
      <c r="G288" s="587"/>
      <c r="H288" s="587"/>
      <c r="I288" s="1003"/>
      <c r="J288" s="588"/>
      <c r="K288" s="1004"/>
      <c r="L288" s="1004"/>
      <c r="M288" s="1004"/>
      <c r="N288" s="1005"/>
      <c r="O288" s="253">
        <f t="shared" si="42"/>
        <v>0</v>
      </c>
      <c r="P288" s="1004">
        <f t="shared" si="45"/>
        <v>0</v>
      </c>
      <c r="Q288" s="1004">
        <f>ROUND($O288*R288,2)</f>
        <v>0</v>
      </c>
      <c r="R288" s="1006">
        <v>0.15</v>
      </c>
      <c r="S288" s="253">
        <f t="shared" si="44"/>
        <v>0</v>
      </c>
      <c r="T288" s="921">
        <v>3.7499999999999999E-2</v>
      </c>
      <c r="U288"/>
      <c r="V288"/>
      <c r="W288"/>
      <c r="X288"/>
      <c r="Y288"/>
      <c r="Z288"/>
      <c r="AA288"/>
      <c r="AB288"/>
      <c r="AC288"/>
      <c r="AD288"/>
      <c r="AE288"/>
      <c r="AF288"/>
      <c r="AG288"/>
      <c r="AH288"/>
      <c r="AI288"/>
      <c r="AJ288"/>
    </row>
    <row r="289" spans="1:37" ht="15.75" outlineLevel="1" x14ac:dyDescent="0.25">
      <c r="A289" s="993"/>
      <c r="B289" s="994" t="s">
        <v>362</v>
      </c>
      <c r="C289" s="995" t="s">
        <v>31</v>
      </c>
      <c r="D289" s="995" t="s">
        <v>30</v>
      </c>
      <c r="E289" s="995" t="s">
        <v>101</v>
      </c>
      <c r="F289" s="995" t="s">
        <v>56</v>
      </c>
      <c r="G289" s="927"/>
      <c r="H289" s="927"/>
      <c r="I289" s="929"/>
      <c r="J289" s="949"/>
      <c r="K289" s="909"/>
      <c r="L289" s="909"/>
      <c r="M289" s="909"/>
      <c r="N289" s="997"/>
      <c r="O289" s="909">
        <f t="shared" si="42"/>
        <v>0</v>
      </c>
      <c r="P289" s="909">
        <f t="shared" si="45"/>
        <v>0</v>
      </c>
      <c r="Q289" s="909">
        <f>ROUND($O289*R289,2)</f>
        <v>0</v>
      </c>
      <c r="R289" s="998">
        <v>0.15</v>
      </c>
      <c r="S289" s="909">
        <f t="shared" si="44"/>
        <v>0</v>
      </c>
      <c r="T289" s="999">
        <v>3.7499999999999999E-2</v>
      </c>
      <c r="U289"/>
      <c r="V289"/>
      <c r="W289"/>
      <c r="X289"/>
      <c r="Y289"/>
      <c r="Z289"/>
      <c r="AA289"/>
      <c r="AB289"/>
      <c r="AC289"/>
      <c r="AD289"/>
      <c r="AE289"/>
      <c r="AF289"/>
      <c r="AG289"/>
      <c r="AH289"/>
      <c r="AI289"/>
      <c r="AJ289"/>
    </row>
    <row r="290" spans="1:37" ht="15.75" outlineLevel="1" x14ac:dyDescent="0.25">
      <c r="A290" s="596"/>
      <c r="B290" s="596"/>
      <c r="C290" s="596"/>
      <c r="D290" s="596"/>
      <c r="E290" s="596"/>
      <c r="F290" s="596"/>
      <c r="G290" s="902">
        <f>SUM(G282:G289)</f>
        <v>0</v>
      </c>
      <c r="H290" s="902">
        <f>SUM(H282:H288)</f>
        <v>0</v>
      </c>
      <c r="I290" s="902"/>
      <c r="J290" s="677"/>
      <c r="K290" s="677"/>
      <c r="L290" s="596"/>
      <c r="M290" s="596"/>
      <c r="N290" s="751">
        <f>SUM(N282:N289)</f>
        <v>0</v>
      </c>
      <c r="O290" s="734">
        <f>SUM(O282:O289)</f>
        <v>0</v>
      </c>
      <c r="P290" s="734">
        <f>SUM(P282:P289)</f>
        <v>0</v>
      </c>
      <c r="Q290" s="734">
        <f>SUM(Q282:Q289)</f>
        <v>0</v>
      </c>
      <c r="R290" s="596"/>
      <c r="S290" s="734">
        <f>SUM(S282:S289)</f>
        <v>0</v>
      </c>
      <c r="T290" s="596"/>
      <c r="U290"/>
      <c r="V290"/>
      <c r="W290"/>
      <c r="X290"/>
      <c r="Y290"/>
      <c r="Z290"/>
      <c r="AA290"/>
      <c r="AB290"/>
      <c r="AC290"/>
      <c r="AD290"/>
      <c r="AE290"/>
      <c r="AF290"/>
      <c r="AG290"/>
      <c r="AH290"/>
      <c r="AI290"/>
      <c r="AJ290"/>
    </row>
    <row r="291" spans="1:37" ht="15.75" outlineLevel="1" x14ac:dyDescent="0.25">
      <c r="A291" s="596"/>
      <c r="B291" s="596"/>
      <c r="C291" s="596"/>
      <c r="D291" s="596"/>
      <c r="E291" s="596"/>
      <c r="F291" s="596"/>
      <c r="G291" s="677"/>
      <c r="H291" s="677"/>
      <c r="I291" s="677"/>
      <c r="J291" s="677"/>
      <c r="K291" s="677"/>
      <c r="L291" s="596"/>
      <c r="M291" s="596"/>
      <c r="N291" s="950"/>
      <c r="O291" s="597"/>
      <c r="P291" s="597"/>
      <c r="Q291" s="597">
        <f>SUM(Q287:Q289)</f>
        <v>0</v>
      </c>
      <c r="R291" s="596"/>
      <c r="S291" s="597">
        <f>SUM(S287:S289)</f>
        <v>0</v>
      </c>
      <c r="T291" s="596"/>
      <c r="U291"/>
      <c r="V291"/>
      <c r="W291"/>
      <c r="X291"/>
      <c r="Y291"/>
      <c r="Z291"/>
      <c r="AA291"/>
      <c r="AB291"/>
      <c r="AC291"/>
      <c r="AD291"/>
      <c r="AE291"/>
      <c r="AF291"/>
      <c r="AG291"/>
      <c r="AH291"/>
      <c r="AI291"/>
      <c r="AJ291"/>
    </row>
    <row r="292" spans="1:37" ht="15.75" outlineLevel="1" x14ac:dyDescent="0.25">
      <c r="A292" s="887" t="s">
        <v>229</v>
      </c>
      <c r="B292" s="596"/>
      <c r="C292" s="596"/>
      <c r="D292" s="596"/>
      <c r="E292" s="596"/>
      <c r="F292" s="596"/>
      <c r="G292" s="677"/>
      <c r="H292" s="677"/>
      <c r="I292" s="677"/>
      <c r="J292" s="677"/>
      <c r="K292" s="677"/>
      <c r="L292" s="596"/>
      <c r="M292" s="596"/>
      <c r="N292" s="950"/>
      <c r="O292" s="596"/>
      <c r="P292" s="596"/>
      <c r="Q292" s="597"/>
      <c r="R292" s="596"/>
      <c r="S292" s="597"/>
      <c r="T292" s="596"/>
      <c r="U292"/>
      <c r="V292"/>
      <c r="W292"/>
      <c r="X292"/>
      <c r="Y292"/>
      <c r="Z292"/>
      <c r="AA292"/>
      <c r="AB292"/>
      <c r="AC292"/>
      <c r="AD292"/>
      <c r="AE292"/>
      <c r="AF292"/>
      <c r="AG292"/>
      <c r="AH292"/>
      <c r="AI292"/>
      <c r="AJ292"/>
    </row>
    <row r="293" spans="1:37" ht="15.75" outlineLevel="1" x14ac:dyDescent="0.25">
      <c r="A293" s="888" t="s">
        <v>28</v>
      </c>
      <c r="B293" s="889" t="s">
        <v>218</v>
      </c>
      <c r="C293" s="890" t="s">
        <v>31</v>
      </c>
      <c r="D293" s="890" t="s">
        <v>30</v>
      </c>
      <c r="E293" s="890" t="s">
        <v>101</v>
      </c>
      <c r="F293" s="891" t="s">
        <v>56</v>
      </c>
      <c r="G293" s="913">
        <f t="shared" ref="G293:G300" si="46">G282</f>
        <v>0</v>
      </c>
      <c r="H293" s="914"/>
      <c r="I293" s="915">
        <f t="shared" ref="I293:I300" si="47">I282</f>
        <v>0</v>
      </c>
      <c r="J293" s="916"/>
      <c r="K293" s="420"/>
      <c r="L293" s="420"/>
      <c r="M293" s="420"/>
      <c r="N293" s="904">
        <f>N282</f>
        <v>0</v>
      </c>
      <c r="O293" s="420">
        <f t="shared" ref="O293:O299" si="48">ROUND(G293*I293,2)+ROUND(H293*J293,2)-K293-L293-M293-N293</f>
        <v>0</v>
      </c>
      <c r="P293" s="420">
        <f t="shared" ref="P293:P300" si="49">ROUND(18.75%*O293,2)</f>
        <v>0</v>
      </c>
      <c r="Q293" s="420">
        <f t="shared" ref="Q293:Q299" si="50">ROUND($O293*R293,2)</f>
        <v>0</v>
      </c>
      <c r="R293" s="893">
        <v>0.15</v>
      </c>
      <c r="S293" s="420">
        <f t="shared" ref="S293:S300" si="51">ROUND($O293*T293,2)</f>
        <v>0</v>
      </c>
      <c r="T293" s="919">
        <v>3.7499999999999999E-2</v>
      </c>
      <c r="U293"/>
      <c r="V293"/>
      <c r="W293"/>
      <c r="X293"/>
      <c r="Y293"/>
      <c r="Z293"/>
      <c r="AA293"/>
      <c r="AB293"/>
      <c r="AC293"/>
      <c r="AD293"/>
      <c r="AE293"/>
      <c r="AF293"/>
      <c r="AG293"/>
      <c r="AH293"/>
      <c r="AI293"/>
      <c r="AJ293"/>
    </row>
    <row r="294" spans="1:37" ht="15.75" x14ac:dyDescent="0.25">
      <c r="A294" s="894" t="s">
        <v>28</v>
      </c>
      <c r="B294" s="456" t="s">
        <v>219</v>
      </c>
      <c r="C294" s="378" t="s">
        <v>31</v>
      </c>
      <c r="D294" s="378" t="s">
        <v>30</v>
      </c>
      <c r="E294" s="378" t="s">
        <v>101</v>
      </c>
      <c r="F294" s="586" t="s">
        <v>56</v>
      </c>
      <c r="G294" s="933">
        <f t="shared" si="46"/>
        <v>0</v>
      </c>
      <c r="H294" s="587"/>
      <c r="I294" s="920">
        <f t="shared" si="47"/>
        <v>0</v>
      </c>
      <c r="J294" s="588"/>
      <c r="K294" s="253"/>
      <c r="L294" s="253"/>
      <c r="M294" s="253"/>
      <c r="N294" s="557"/>
      <c r="O294" s="253">
        <f t="shared" si="48"/>
        <v>0</v>
      </c>
      <c r="P294" s="253">
        <f t="shared" si="49"/>
        <v>0</v>
      </c>
      <c r="Q294" s="253">
        <f t="shared" si="50"/>
        <v>0</v>
      </c>
      <c r="R294" s="775">
        <v>0.15</v>
      </c>
      <c r="S294" s="253">
        <f t="shared" si="51"/>
        <v>0</v>
      </c>
      <c r="T294" s="921">
        <v>3.7499999999999999E-2</v>
      </c>
      <c r="U294"/>
      <c r="V294"/>
      <c r="W294"/>
      <c r="X294"/>
      <c r="Y294"/>
      <c r="Z294"/>
      <c r="AA294"/>
      <c r="AB294"/>
      <c r="AC294"/>
      <c r="AD294"/>
      <c r="AE294"/>
      <c r="AF294"/>
      <c r="AG294"/>
      <c r="AH294"/>
      <c r="AI294"/>
      <c r="AJ294"/>
    </row>
    <row r="295" spans="1:37" ht="15.75" x14ac:dyDescent="0.25">
      <c r="A295" s="894" t="s">
        <v>28</v>
      </c>
      <c r="B295" s="456" t="s">
        <v>217</v>
      </c>
      <c r="C295" s="378" t="s">
        <v>31</v>
      </c>
      <c r="D295" s="378" t="s">
        <v>30</v>
      </c>
      <c r="E295" s="378" t="s">
        <v>101</v>
      </c>
      <c r="F295" s="586" t="s">
        <v>56</v>
      </c>
      <c r="G295" s="933">
        <f t="shared" si="46"/>
        <v>0</v>
      </c>
      <c r="H295" s="587"/>
      <c r="I295" s="920">
        <f t="shared" si="47"/>
        <v>0</v>
      </c>
      <c r="J295" s="588"/>
      <c r="K295" s="253"/>
      <c r="L295" s="253"/>
      <c r="M295" s="253"/>
      <c r="N295" s="557"/>
      <c r="O295" s="253">
        <f t="shared" si="48"/>
        <v>0</v>
      </c>
      <c r="P295" s="253">
        <f t="shared" si="49"/>
        <v>0</v>
      </c>
      <c r="Q295" s="253">
        <f t="shared" si="50"/>
        <v>0</v>
      </c>
      <c r="R295" s="775">
        <v>0.15</v>
      </c>
      <c r="S295" s="253">
        <f t="shared" si="51"/>
        <v>0</v>
      </c>
      <c r="T295" s="921">
        <v>3.7499999999999999E-2</v>
      </c>
      <c r="U295"/>
      <c r="V295"/>
      <c r="W295"/>
      <c r="X295"/>
      <c r="Y295"/>
      <c r="Z295"/>
      <c r="AA295"/>
      <c r="AB295"/>
      <c r="AC295"/>
      <c r="AD295"/>
      <c r="AE295"/>
      <c r="AF295"/>
      <c r="AG295"/>
      <c r="AH295"/>
      <c r="AI295"/>
      <c r="AJ295"/>
    </row>
    <row r="296" spans="1:37" ht="15.75" x14ac:dyDescent="0.25">
      <c r="A296" s="894" t="s">
        <v>28</v>
      </c>
      <c r="B296" s="456" t="s">
        <v>220</v>
      </c>
      <c r="C296" s="378" t="s">
        <v>31</v>
      </c>
      <c r="D296" s="378" t="s">
        <v>30</v>
      </c>
      <c r="E296" s="378" t="s">
        <v>101</v>
      </c>
      <c r="F296" s="586" t="s">
        <v>56</v>
      </c>
      <c r="G296" s="933">
        <f t="shared" si="46"/>
        <v>0</v>
      </c>
      <c r="H296" s="587"/>
      <c r="I296" s="920">
        <f t="shared" si="47"/>
        <v>0</v>
      </c>
      <c r="J296" s="588"/>
      <c r="K296" s="253"/>
      <c r="L296" s="253"/>
      <c r="M296" s="253"/>
      <c r="N296" s="557"/>
      <c r="O296" s="253">
        <f t="shared" si="48"/>
        <v>0</v>
      </c>
      <c r="P296" s="253">
        <f t="shared" si="49"/>
        <v>0</v>
      </c>
      <c r="Q296" s="253">
        <f t="shared" si="50"/>
        <v>0</v>
      </c>
      <c r="R296" s="775">
        <v>0.15</v>
      </c>
      <c r="S296" s="253">
        <f t="shared" si="51"/>
        <v>0</v>
      </c>
      <c r="T296" s="921">
        <v>3.7499999999999999E-2</v>
      </c>
      <c r="U296"/>
      <c r="V296"/>
      <c r="W296"/>
      <c r="X296"/>
      <c r="Y296"/>
      <c r="Z296"/>
      <c r="AA296"/>
      <c r="AB296"/>
      <c r="AC296"/>
      <c r="AD296"/>
      <c r="AE296"/>
      <c r="AF296"/>
      <c r="AG296"/>
      <c r="AH296"/>
      <c r="AI296"/>
      <c r="AJ296"/>
    </row>
    <row r="297" spans="1:37" ht="15.75" outlineLevel="1" x14ac:dyDescent="0.25">
      <c r="A297" s="894" t="s">
        <v>28</v>
      </c>
      <c r="B297" s="456" t="s">
        <v>222</v>
      </c>
      <c r="C297" s="378" t="s">
        <v>31</v>
      </c>
      <c r="D297" s="378" t="s">
        <v>30</v>
      </c>
      <c r="E297" s="378" t="s">
        <v>101</v>
      </c>
      <c r="F297" s="586" t="s">
        <v>56</v>
      </c>
      <c r="G297" s="933">
        <f t="shared" si="46"/>
        <v>0</v>
      </c>
      <c r="H297" s="587"/>
      <c r="I297" s="920">
        <f t="shared" si="47"/>
        <v>0</v>
      </c>
      <c r="J297" s="588"/>
      <c r="K297" s="253"/>
      <c r="L297" s="253"/>
      <c r="M297" s="253"/>
      <c r="N297" s="934"/>
      <c r="O297" s="253">
        <f t="shared" si="48"/>
        <v>0</v>
      </c>
      <c r="P297" s="253">
        <f t="shared" si="49"/>
        <v>0</v>
      </c>
      <c r="Q297" s="253">
        <f t="shared" si="50"/>
        <v>0</v>
      </c>
      <c r="R297" s="775">
        <v>0.15</v>
      </c>
      <c r="S297" s="253">
        <f t="shared" si="51"/>
        <v>0</v>
      </c>
      <c r="T297" s="921">
        <v>3.7499999999999999E-2</v>
      </c>
      <c r="U297"/>
      <c r="V297"/>
      <c r="W297"/>
      <c r="X297"/>
      <c r="Y297"/>
      <c r="Z297"/>
      <c r="AA297"/>
      <c r="AB297"/>
      <c r="AC297"/>
      <c r="AD297"/>
      <c r="AE297"/>
      <c r="AF297"/>
      <c r="AG297"/>
      <c r="AH297"/>
      <c r="AI297"/>
      <c r="AJ297"/>
    </row>
    <row r="298" spans="1:37" ht="15.75" outlineLevel="1" x14ac:dyDescent="0.25">
      <c r="A298" s="894"/>
      <c r="B298" s="456" t="s">
        <v>226</v>
      </c>
      <c r="C298" s="378" t="s">
        <v>31</v>
      </c>
      <c r="D298" s="378" t="s">
        <v>30</v>
      </c>
      <c r="E298" s="378" t="s">
        <v>101</v>
      </c>
      <c r="F298" s="586" t="s">
        <v>56</v>
      </c>
      <c r="G298" s="933">
        <f t="shared" si="46"/>
        <v>0</v>
      </c>
      <c r="H298" s="587"/>
      <c r="I298" s="920">
        <f t="shared" si="47"/>
        <v>0</v>
      </c>
      <c r="J298" s="588"/>
      <c r="K298" s="253"/>
      <c r="L298" s="253"/>
      <c r="M298" s="253"/>
      <c r="N298" s="934"/>
      <c r="O298" s="253">
        <f t="shared" si="48"/>
        <v>0</v>
      </c>
      <c r="P298" s="253">
        <f t="shared" si="49"/>
        <v>0</v>
      </c>
      <c r="Q298" s="253">
        <f t="shared" si="50"/>
        <v>0</v>
      </c>
      <c r="R298" s="775">
        <v>0.15</v>
      </c>
      <c r="S298" s="253">
        <f t="shared" si="51"/>
        <v>0</v>
      </c>
      <c r="T298" s="921">
        <v>3.7499999999999999E-2</v>
      </c>
      <c r="U298"/>
      <c r="V298"/>
      <c r="W298"/>
      <c r="X298"/>
      <c r="Y298"/>
      <c r="Z298"/>
      <c r="AA298"/>
      <c r="AB298"/>
      <c r="AC298"/>
      <c r="AD298"/>
      <c r="AE298"/>
      <c r="AF298"/>
      <c r="AG298"/>
      <c r="AH298"/>
      <c r="AI298"/>
      <c r="AJ298"/>
    </row>
    <row r="299" spans="1:37" ht="15.75" outlineLevel="1" x14ac:dyDescent="0.25">
      <c r="A299" s="1007"/>
      <c r="B299" s="1008" t="s">
        <v>225</v>
      </c>
      <c r="C299" s="1009" t="s">
        <v>31</v>
      </c>
      <c r="D299" s="1009" t="s">
        <v>30</v>
      </c>
      <c r="E299" s="1009" t="s">
        <v>101</v>
      </c>
      <c r="F299" s="1010" t="s">
        <v>56</v>
      </c>
      <c r="G299" s="933">
        <f t="shared" si="46"/>
        <v>0</v>
      </c>
      <c r="H299" s="1011"/>
      <c r="I299" s="920">
        <f t="shared" si="47"/>
        <v>0</v>
      </c>
      <c r="J299" s="1012"/>
      <c r="K299" s="1013"/>
      <c r="L299" s="1013"/>
      <c r="M299" s="1013"/>
      <c r="N299" s="1014"/>
      <c r="O299" s="1013">
        <f t="shared" si="48"/>
        <v>0</v>
      </c>
      <c r="P299" s="1013">
        <f t="shared" si="49"/>
        <v>0</v>
      </c>
      <c r="Q299" s="1013">
        <f t="shared" si="50"/>
        <v>0</v>
      </c>
      <c r="R299" s="1015">
        <v>0.15</v>
      </c>
      <c r="S299" s="1013">
        <f t="shared" si="51"/>
        <v>0</v>
      </c>
      <c r="T299" s="1016">
        <v>3.7499999999999999E-2</v>
      </c>
      <c r="U299"/>
      <c r="V299"/>
      <c r="W299"/>
      <c r="X299"/>
      <c r="Y299"/>
      <c r="Z299"/>
      <c r="AA299"/>
      <c r="AB299"/>
      <c r="AC299"/>
      <c r="AD299"/>
      <c r="AE299"/>
      <c r="AF299"/>
      <c r="AG299"/>
      <c r="AH299"/>
      <c r="AI299"/>
      <c r="AJ299"/>
    </row>
    <row r="300" spans="1:37" ht="15.75" outlineLevel="1" x14ac:dyDescent="0.25">
      <c r="A300" s="993"/>
      <c r="B300" s="994" t="s">
        <v>362</v>
      </c>
      <c r="C300" s="995" t="s">
        <v>31</v>
      </c>
      <c r="D300" s="995" t="s">
        <v>30</v>
      </c>
      <c r="E300" s="995" t="s">
        <v>101</v>
      </c>
      <c r="F300" s="995" t="s">
        <v>56</v>
      </c>
      <c r="G300" s="996">
        <f t="shared" si="46"/>
        <v>0</v>
      </c>
      <c r="H300" s="996"/>
      <c r="I300" s="949">
        <f t="shared" si="47"/>
        <v>0</v>
      </c>
      <c r="J300" s="949"/>
      <c r="K300" s="909"/>
      <c r="L300" s="909"/>
      <c r="M300" s="909"/>
      <c r="N300" s="997"/>
      <c r="O300" s="909">
        <f>ROUND(G300*I300,2)+ROUND(H300*J300,2)-K300-L300-M300-N300</f>
        <v>0</v>
      </c>
      <c r="P300" s="909">
        <f t="shared" si="49"/>
        <v>0</v>
      </c>
      <c r="Q300" s="909">
        <f>ROUND($O300*R300,2)</f>
        <v>0</v>
      </c>
      <c r="R300" s="998">
        <v>0.15</v>
      </c>
      <c r="S300" s="909">
        <f t="shared" si="51"/>
        <v>0</v>
      </c>
      <c r="T300" s="999">
        <v>3.7499999999999999E-2</v>
      </c>
      <c r="U300"/>
      <c r="V300"/>
      <c r="W300"/>
      <c r="X300"/>
      <c r="Y300"/>
      <c r="Z300"/>
      <c r="AA300"/>
      <c r="AB300"/>
      <c r="AC300"/>
      <c r="AD300"/>
      <c r="AE300"/>
      <c r="AF300"/>
      <c r="AG300"/>
      <c r="AH300"/>
      <c r="AI300"/>
      <c r="AJ300"/>
    </row>
    <row r="301" spans="1:37" ht="15.75" outlineLevel="1" x14ac:dyDescent="0.25">
      <c r="A301" s="596"/>
      <c r="B301" s="596"/>
      <c r="C301" s="596"/>
      <c r="D301" s="596"/>
      <c r="E301" s="596"/>
      <c r="F301" s="596"/>
      <c r="G301" s="902">
        <f>SUM(G293:G300)</f>
        <v>0</v>
      </c>
      <c r="H301" s="902"/>
      <c r="I301" s="937" t="e">
        <f>O301/G301</f>
        <v>#DIV/0!</v>
      </c>
      <c r="J301" s="937"/>
      <c r="K301" s="677"/>
      <c r="L301" s="596"/>
      <c r="M301" s="596"/>
      <c r="N301" s="1059">
        <f>SUM(N293:N299)</f>
        <v>0</v>
      </c>
      <c r="O301" s="734">
        <f>SUM(O293:O300)</f>
        <v>0</v>
      </c>
      <c r="P301" s="734">
        <f>SUM(P293:P300)</f>
        <v>0</v>
      </c>
      <c r="Q301" s="734">
        <f>SUM(Q293:Q299)</f>
        <v>0</v>
      </c>
      <c r="R301" s="734">
        <f>SUM(R293:R300)</f>
        <v>1.2</v>
      </c>
      <c r="S301" s="734">
        <f>SUM(S293:S299)</f>
        <v>0</v>
      </c>
      <c r="T301" s="734">
        <f>SUM(T293:T300)</f>
        <v>0.3</v>
      </c>
      <c r="U301"/>
      <c r="V301"/>
      <c r="W301"/>
      <c r="X301"/>
      <c r="Y301"/>
      <c r="Z301"/>
      <c r="AA301"/>
      <c r="AB301"/>
      <c r="AC301"/>
      <c r="AD301"/>
      <c r="AE301"/>
      <c r="AF301"/>
      <c r="AG301"/>
      <c r="AH301"/>
      <c r="AI301"/>
      <c r="AJ301"/>
    </row>
    <row r="302" spans="1:37" ht="15.75" outlineLevel="1" x14ac:dyDescent="0.25">
      <c r="A302" s="596"/>
      <c r="B302" s="596"/>
      <c r="C302" s="596"/>
      <c r="D302" s="596"/>
      <c r="E302" s="596"/>
      <c r="F302" s="596"/>
      <c r="G302" s="677"/>
      <c r="H302" s="677"/>
      <c r="I302" s="677"/>
      <c r="J302" s="677"/>
      <c r="K302" s="677"/>
      <c r="L302" s="596"/>
      <c r="M302" s="596"/>
      <c r="N302" s="950"/>
      <c r="O302" s="683">
        <f>+O301+O313</f>
        <v>0</v>
      </c>
      <c r="P302" s="596"/>
      <c r="Q302" s="596"/>
      <c r="R302" s="596"/>
      <c r="S302" s="596"/>
      <c r="T302" s="596"/>
      <c r="U302"/>
      <c r="V302"/>
      <c r="W302"/>
      <c r="X302"/>
      <c r="Y302"/>
      <c r="Z302"/>
      <c r="AA302"/>
      <c r="AB302"/>
      <c r="AC302"/>
      <c r="AD302"/>
      <c r="AE302"/>
      <c r="AF302"/>
      <c r="AG302"/>
      <c r="AH302"/>
      <c r="AI302"/>
      <c r="AJ302"/>
      <c r="AK302" s="257"/>
    </row>
    <row r="303" spans="1:37" ht="15.75" outlineLevel="1" x14ac:dyDescent="0.25">
      <c r="A303" s="596"/>
      <c r="B303" s="596"/>
      <c r="C303" s="596"/>
      <c r="D303" s="596"/>
      <c r="E303" s="596"/>
      <c r="F303" s="596"/>
      <c r="G303" s="677"/>
      <c r="H303" s="677"/>
      <c r="I303" s="677"/>
      <c r="J303" s="677"/>
      <c r="K303" s="677"/>
      <c r="L303" s="596"/>
      <c r="M303" s="596"/>
      <c r="N303" s="950"/>
      <c r="O303" s="597">
        <f>+O302-O290</f>
        <v>0</v>
      </c>
      <c r="P303" s="596"/>
      <c r="Q303" s="596"/>
      <c r="R303" s="596"/>
      <c r="S303" s="596"/>
      <c r="T303" s="596"/>
      <c r="U303"/>
      <c r="V303"/>
      <c r="W303"/>
      <c r="X303"/>
      <c r="Y303"/>
      <c r="Z303"/>
      <c r="AA303"/>
      <c r="AB303"/>
      <c r="AC303"/>
      <c r="AD303"/>
      <c r="AE303"/>
      <c r="AF303"/>
      <c r="AG303"/>
      <c r="AH303"/>
      <c r="AI303"/>
      <c r="AJ303"/>
      <c r="AK303" s="179"/>
    </row>
    <row r="304" spans="1:37" ht="15.75" outlineLevel="1" x14ac:dyDescent="0.25">
      <c r="A304" s="887" t="s">
        <v>230</v>
      </c>
      <c r="B304" s="596"/>
      <c r="C304" s="596"/>
      <c r="D304" s="596"/>
      <c r="E304" s="596"/>
      <c r="F304" s="596"/>
      <c r="G304" s="677"/>
      <c r="H304" s="677"/>
      <c r="I304" s="677"/>
      <c r="J304" s="677"/>
      <c r="K304" s="677"/>
      <c r="L304" s="596"/>
      <c r="M304" s="596"/>
      <c r="N304" s="950"/>
      <c r="O304" s="596"/>
      <c r="P304" s="596"/>
      <c r="Q304" s="597"/>
      <c r="R304" s="596"/>
      <c r="S304" s="596"/>
      <c r="T304" s="596"/>
      <c r="U304"/>
      <c r="V304"/>
      <c r="W304"/>
      <c r="X304"/>
      <c r="Y304"/>
      <c r="Z304"/>
      <c r="AA304"/>
      <c r="AB304"/>
      <c r="AC304"/>
      <c r="AD304"/>
      <c r="AE304"/>
      <c r="AF304"/>
      <c r="AG304"/>
      <c r="AH304"/>
      <c r="AI304"/>
      <c r="AJ304"/>
      <c r="AK304" s="257"/>
    </row>
    <row r="305" spans="1:36" ht="15.75" outlineLevel="1" x14ac:dyDescent="0.25">
      <c r="A305" s="888" t="s">
        <v>28</v>
      </c>
      <c r="B305" s="889" t="s">
        <v>218</v>
      </c>
      <c r="C305" s="890" t="s">
        <v>31</v>
      </c>
      <c r="D305" s="890" t="s">
        <v>30</v>
      </c>
      <c r="E305" s="890" t="s">
        <v>101</v>
      </c>
      <c r="F305" s="891" t="s">
        <v>56</v>
      </c>
      <c r="G305" s="914"/>
      <c r="H305" s="914">
        <f t="shared" ref="H305:H312" si="52">H282</f>
        <v>0</v>
      </c>
      <c r="I305" s="916"/>
      <c r="J305" s="947">
        <f t="shared" ref="J305:J310" si="53">J282</f>
        <v>0</v>
      </c>
      <c r="K305" s="420"/>
      <c r="L305" s="420"/>
      <c r="M305" s="420"/>
      <c r="N305" s="1060"/>
      <c r="O305" s="420">
        <f t="shared" ref="O305:O312" si="54">ROUND(G305*I305,2)+ROUND(H305*J305,2)-K305-L305-M305-N305</f>
        <v>0</v>
      </c>
      <c r="P305" s="420">
        <f>ROUND(18.75%*O305,2)</f>
        <v>0</v>
      </c>
      <c r="Q305" s="420">
        <f t="shared" ref="Q305:Q311" si="55">ROUND($O305*R305,2)</f>
        <v>0</v>
      </c>
      <c r="R305" s="893">
        <v>0.15</v>
      </c>
      <c r="S305" s="420">
        <f t="shared" ref="S305:S312" si="56">ROUND($O305*T305,2)</f>
        <v>0</v>
      </c>
      <c r="T305" s="919">
        <v>3.7499999999999999E-2</v>
      </c>
      <c r="U305"/>
      <c r="V305"/>
      <c r="W305"/>
      <c r="X305"/>
      <c r="Y305"/>
      <c r="Z305"/>
      <c r="AA305"/>
      <c r="AB305"/>
      <c r="AC305"/>
      <c r="AD305"/>
      <c r="AE305"/>
      <c r="AF305"/>
      <c r="AG305"/>
      <c r="AH305"/>
      <c r="AI305"/>
      <c r="AJ305"/>
    </row>
    <row r="306" spans="1:36" ht="15.75" outlineLevel="1" x14ac:dyDescent="0.25">
      <c r="A306" s="894" t="s">
        <v>28</v>
      </c>
      <c r="B306" s="456" t="s">
        <v>219</v>
      </c>
      <c r="C306" s="378" t="s">
        <v>31</v>
      </c>
      <c r="D306" s="378" t="s">
        <v>30</v>
      </c>
      <c r="E306" s="378" t="s">
        <v>101</v>
      </c>
      <c r="F306" s="586" t="s">
        <v>56</v>
      </c>
      <c r="G306" s="587"/>
      <c r="H306" s="913">
        <f t="shared" si="52"/>
        <v>0</v>
      </c>
      <c r="I306" s="588"/>
      <c r="J306" s="588">
        <f t="shared" si="53"/>
        <v>0</v>
      </c>
      <c r="K306" s="253"/>
      <c r="L306" s="253"/>
      <c r="M306" s="253"/>
      <c r="N306" s="557"/>
      <c r="O306" s="253">
        <f t="shared" si="54"/>
        <v>0</v>
      </c>
      <c r="P306" s="253">
        <f t="shared" ref="P306:P312" si="57">ROUND(18.75%*O306,2)</f>
        <v>0</v>
      </c>
      <c r="Q306" s="253">
        <f t="shared" si="55"/>
        <v>0</v>
      </c>
      <c r="R306" s="775">
        <v>0.15</v>
      </c>
      <c r="S306" s="253">
        <f t="shared" si="56"/>
        <v>0</v>
      </c>
      <c r="T306" s="921">
        <v>3.7499999999999999E-2</v>
      </c>
      <c r="U306"/>
      <c r="V306"/>
      <c r="W306"/>
      <c r="X306"/>
      <c r="Y306"/>
      <c r="Z306"/>
      <c r="AA306"/>
      <c r="AB306"/>
      <c r="AC306"/>
      <c r="AD306"/>
      <c r="AE306"/>
      <c r="AF306"/>
      <c r="AG306"/>
      <c r="AH306"/>
      <c r="AI306"/>
      <c r="AJ306"/>
    </row>
    <row r="307" spans="1:36" ht="15.75" outlineLevel="1" x14ac:dyDescent="0.25">
      <c r="A307" s="894" t="s">
        <v>28</v>
      </c>
      <c r="B307" s="456" t="s">
        <v>217</v>
      </c>
      <c r="C307" s="378" t="s">
        <v>31</v>
      </c>
      <c r="D307" s="378" t="s">
        <v>30</v>
      </c>
      <c r="E307" s="378" t="s">
        <v>101</v>
      </c>
      <c r="F307" s="586" t="s">
        <v>56</v>
      </c>
      <c r="G307" s="587"/>
      <c r="H307" s="933">
        <f t="shared" si="52"/>
        <v>0</v>
      </c>
      <c r="I307" s="588"/>
      <c r="J307" s="588">
        <f t="shared" si="53"/>
        <v>0</v>
      </c>
      <c r="K307" s="253"/>
      <c r="L307" s="253"/>
      <c r="M307" s="253"/>
      <c r="N307" s="557"/>
      <c r="O307" s="253">
        <f t="shared" si="54"/>
        <v>0</v>
      </c>
      <c r="P307" s="253">
        <f t="shared" si="57"/>
        <v>0</v>
      </c>
      <c r="Q307" s="253">
        <f t="shared" si="55"/>
        <v>0</v>
      </c>
      <c r="R307" s="775">
        <v>0.15</v>
      </c>
      <c r="S307" s="253">
        <f t="shared" si="56"/>
        <v>0</v>
      </c>
      <c r="T307" s="921">
        <v>3.7499999999999999E-2</v>
      </c>
      <c r="U307"/>
      <c r="V307"/>
      <c r="W307"/>
      <c r="X307"/>
      <c r="Y307"/>
      <c r="Z307"/>
      <c r="AA307"/>
      <c r="AB307"/>
      <c r="AC307"/>
      <c r="AD307"/>
      <c r="AE307"/>
      <c r="AF307"/>
      <c r="AG307"/>
      <c r="AH307"/>
      <c r="AI307"/>
      <c r="AJ307"/>
    </row>
    <row r="308" spans="1:36" ht="15.75" outlineLevel="1" x14ac:dyDescent="0.25">
      <c r="A308" s="894" t="s">
        <v>28</v>
      </c>
      <c r="B308" s="456" t="s">
        <v>220</v>
      </c>
      <c r="C308" s="378" t="s">
        <v>31</v>
      </c>
      <c r="D308" s="378" t="s">
        <v>30</v>
      </c>
      <c r="E308" s="378" t="s">
        <v>101</v>
      </c>
      <c r="F308" s="586" t="s">
        <v>56</v>
      </c>
      <c r="G308" s="587"/>
      <c r="H308" s="933">
        <f t="shared" si="52"/>
        <v>0</v>
      </c>
      <c r="I308" s="588"/>
      <c r="J308" s="588">
        <f t="shared" si="53"/>
        <v>0</v>
      </c>
      <c r="K308" s="253"/>
      <c r="L308" s="253"/>
      <c r="M308" s="253"/>
      <c r="N308" s="557"/>
      <c r="O308" s="253">
        <f t="shared" si="54"/>
        <v>0</v>
      </c>
      <c r="P308" s="253">
        <f t="shared" si="57"/>
        <v>0</v>
      </c>
      <c r="Q308" s="253">
        <f t="shared" si="55"/>
        <v>0</v>
      </c>
      <c r="R308" s="775">
        <v>0.15</v>
      </c>
      <c r="S308" s="253">
        <f t="shared" si="56"/>
        <v>0</v>
      </c>
      <c r="T308" s="921">
        <v>3.7499999999999999E-2</v>
      </c>
      <c r="U308"/>
      <c r="V308"/>
      <c r="W308"/>
      <c r="X308"/>
      <c r="Y308"/>
      <c r="Z308"/>
      <c r="AA308"/>
      <c r="AB308"/>
      <c r="AC308"/>
      <c r="AD308"/>
      <c r="AE308"/>
      <c r="AF308"/>
      <c r="AG308"/>
      <c r="AH308"/>
      <c r="AI308"/>
      <c r="AJ308"/>
    </row>
    <row r="309" spans="1:36" ht="15.75" outlineLevel="1" x14ac:dyDescent="0.25">
      <c r="A309" s="894" t="s">
        <v>28</v>
      </c>
      <c r="B309" s="456" t="s">
        <v>222</v>
      </c>
      <c r="C309" s="378" t="s">
        <v>31</v>
      </c>
      <c r="D309" s="378" t="s">
        <v>30</v>
      </c>
      <c r="E309" s="378" t="s">
        <v>101</v>
      </c>
      <c r="F309" s="586" t="s">
        <v>56</v>
      </c>
      <c r="G309" s="587"/>
      <c r="H309" s="933">
        <f t="shared" si="52"/>
        <v>0</v>
      </c>
      <c r="I309" s="588"/>
      <c r="J309" s="588">
        <f t="shared" si="53"/>
        <v>0</v>
      </c>
      <c r="K309" s="253"/>
      <c r="L309" s="253"/>
      <c r="M309" s="253"/>
      <c r="N309" s="934"/>
      <c r="O309" s="253">
        <f t="shared" si="54"/>
        <v>0</v>
      </c>
      <c r="P309" s="253">
        <f t="shared" si="57"/>
        <v>0</v>
      </c>
      <c r="Q309" s="253">
        <f t="shared" si="55"/>
        <v>0</v>
      </c>
      <c r="R309" s="775">
        <v>0.15</v>
      </c>
      <c r="S309" s="253">
        <f t="shared" si="56"/>
        <v>0</v>
      </c>
      <c r="T309" s="921">
        <v>3.7499999999999999E-2</v>
      </c>
      <c r="U309"/>
      <c r="V309"/>
      <c r="W309"/>
      <c r="X309"/>
      <c r="Y309"/>
      <c r="Z309"/>
      <c r="AA309"/>
      <c r="AB309"/>
      <c r="AC309"/>
      <c r="AD309"/>
      <c r="AE309"/>
      <c r="AF309"/>
      <c r="AG309"/>
      <c r="AH309"/>
      <c r="AI309"/>
      <c r="AJ309"/>
    </row>
    <row r="310" spans="1:36" ht="15.75" outlineLevel="1" x14ac:dyDescent="0.25">
      <c r="A310" s="894"/>
      <c r="B310" s="456" t="s">
        <v>226</v>
      </c>
      <c r="C310" s="378" t="s">
        <v>31</v>
      </c>
      <c r="D310" s="378" t="s">
        <v>30</v>
      </c>
      <c r="E310" s="378" t="s">
        <v>101</v>
      </c>
      <c r="F310" s="586" t="s">
        <v>56</v>
      </c>
      <c r="G310" s="587"/>
      <c r="H310" s="933">
        <f t="shared" si="52"/>
        <v>0</v>
      </c>
      <c r="I310" s="588"/>
      <c r="J310" s="588">
        <f t="shared" si="53"/>
        <v>0</v>
      </c>
      <c r="K310" s="253"/>
      <c r="L310" s="253"/>
      <c r="M310" s="253"/>
      <c r="N310" s="934"/>
      <c r="O310" s="253">
        <f t="shared" si="54"/>
        <v>0</v>
      </c>
      <c r="P310" s="253">
        <f t="shared" si="57"/>
        <v>0</v>
      </c>
      <c r="Q310" s="253">
        <f t="shared" si="55"/>
        <v>0</v>
      </c>
      <c r="R310" s="775">
        <v>0.15</v>
      </c>
      <c r="S310" s="253">
        <f t="shared" si="56"/>
        <v>0</v>
      </c>
      <c r="T310" s="921">
        <v>3.7499999999999999E-2</v>
      </c>
      <c r="U310"/>
      <c r="V310"/>
      <c r="W310"/>
      <c r="X310"/>
      <c r="Y310"/>
      <c r="Z310"/>
      <c r="AA310"/>
      <c r="AB310"/>
      <c r="AC310"/>
      <c r="AD310"/>
      <c r="AE310"/>
      <c r="AF310"/>
      <c r="AG310"/>
      <c r="AH310"/>
      <c r="AI310"/>
      <c r="AJ310"/>
    </row>
    <row r="311" spans="1:36" ht="15.75" outlineLevel="1" x14ac:dyDescent="0.25">
      <c r="A311" s="894"/>
      <c r="B311" s="456" t="s">
        <v>225</v>
      </c>
      <c r="C311" s="378" t="s">
        <v>31</v>
      </c>
      <c r="D311" s="378" t="s">
        <v>30</v>
      </c>
      <c r="E311" s="378" t="s">
        <v>101</v>
      </c>
      <c r="F311" s="586" t="s">
        <v>56</v>
      </c>
      <c r="G311" s="587"/>
      <c r="H311" s="933">
        <f t="shared" si="52"/>
        <v>0</v>
      </c>
      <c r="I311" s="588"/>
      <c r="J311" s="933">
        <f>J288</f>
        <v>0</v>
      </c>
      <c r="K311" s="253"/>
      <c r="L311" s="253"/>
      <c r="M311" s="253"/>
      <c r="N311" s="557"/>
      <c r="O311" s="253">
        <f t="shared" si="54"/>
        <v>0</v>
      </c>
      <c r="P311" s="253">
        <f t="shared" si="57"/>
        <v>0</v>
      </c>
      <c r="Q311" s="253">
        <f t="shared" si="55"/>
        <v>0</v>
      </c>
      <c r="R311" s="775">
        <v>0.15</v>
      </c>
      <c r="S311" s="253">
        <f t="shared" si="56"/>
        <v>0</v>
      </c>
      <c r="T311" s="921">
        <v>3.7499999999999999E-2</v>
      </c>
      <c r="U311"/>
      <c r="V311"/>
      <c r="W311"/>
      <c r="X311"/>
      <c r="Y311"/>
      <c r="Z311"/>
      <c r="AA311"/>
      <c r="AB311"/>
      <c r="AC311"/>
      <c r="AD311"/>
      <c r="AE311"/>
      <c r="AF311"/>
      <c r="AG311"/>
      <c r="AH311"/>
      <c r="AI311"/>
      <c r="AJ311"/>
    </row>
    <row r="312" spans="1:36" ht="15.75" outlineLevel="1" x14ac:dyDescent="0.25">
      <c r="A312" s="993"/>
      <c r="B312" s="994" t="s">
        <v>362</v>
      </c>
      <c r="C312" s="995" t="s">
        <v>31</v>
      </c>
      <c r="D312" s="995" t="s">
        <v>30</v>
      </c>
      <c r="E312" s="995" t="s">
        <v>101</v>
      </c>
      <c r="F312" s="995" t="s">
        <v>56</v>
      </c>
      <c r="G312" s="996"/>
      <c r="H312" s="935">
        <f t="shared" si="52"/>
        <v>0</v>
      </c>
      <c r="I312" s="949"/>
      <c r="J312" s="929">
        <f>J289</f>
        <v>0</v>
      </c>
      <c r="K312" s="909"/>
      <c r="L312" s="909"/>
      <c r="M312" s="909"/>
      <c r="N312" s="997"/>
      <c r="O312" s="909">
        <f t="shared" si="54"/>
        <v>0</v>
      </c>
      <c r="P312" s="909">
        <f t="shared" si="57"/>
        <v>0</v>
      </c>
      <c r="Q312" s="909">
        <f>ROUND($O312*R312,2)</f>
        <v>0</v>
      </c>
      <c r="R312" s="998">
        <v>0.15</v>
      </c>
      <c r="S312" s="909">
        <f t="shared" si="56"/>
        <v>0</v>
      </c>
      <c r="T312" s="999">
        <v>3.7499999999999999E-2</v>
      </c>
      <c r="U312"/>
      <c r="V312"/>
      <c r="W312"/>
      <c r="X312"/>
      <c r="Y312"/>
      <c r="Z312"/>
      <c r="AA312"/>
      <c r="AB312"/>
      <c r="AC312"/>
      <c r="AD312"/>
      <c r="AE312"/>
      <c r="AF312"/>
      <c r="AG312"/>
      <c r="AH312"/>
      <c r="AI312"/>
      <c r="AJ312"/>
    </row>
    <row r="313" spans="1:36" ht="15.75" outlineLevel="1" x14ac:dyDescent="0.25">
      <c r="A313" s="596"/>
      <c r="B313" s="596"/>
      <c r="C313" s="596"/>
      <c r="D313" s="596"/>
      <c r="E313" s="596"/>
      <c r="F313" s="596"/>
      <c r="G313" s="902"/>
      <c r="H313" s="902">
        <f>SUM(H305:H312)</f>
        <v>0</v>
      </c>
      <c r="I313" s="937"/>
      <c r="J313" s="937" t="e">
        <f>O313/H313</f>
        <v>#DIV/0!</v>
      </c>
      <c r="K313" s="677"/>
      <c r="L313" s="596"/>
      <c r="M313" s="596"/>
      <c r="N313" s="1059">
        <f>SUM(N305:N311)</f>
        <v>0</v>
      </c>
      <c r="O313" s="734">
        <f>SUM(O305:O312)</f>
        <v>0</v>
      </c>
      <c r="P313" s="734">
        <f>SUM(P305:P312)</f>
        <v>0</v>
      </c>
      <c r="Q313" s="734">
        <f>SUM(Q305:Q312)</f>
        <v>0</v>
      </c>
      <c r="R313" s="596"/>
      <c r="S313" s="734">
        <f>SUM(S305:S312)</f>
        <v>0</v>
      </c>
      <c r="T313" s="596"/>
      <c r="U313"/>
      <c r="V313"/>
      <c r="W313"/>
      <c r="X313"/>
      <c r="Y313"/>
      <c r="Z313"/>
      <c r="AA313"/>
      <c r="AB313"/>
      <c r="AC313"/>
      <c r="AD313"/>
      <c r="AE313"/>
      <c r="AF313"/>
      <c r="AG313"/>
      <c r="AH313"/>
      <c r="AI313"/>
      <c r="AJ313"/>
    </row>
    <row r="314" spans="1:36" ht="15.75" outlineLevel="1" x14ac:dyDescent="0.25">
      <c r="A314" s="596"/>
      <c r="B314" s="596"/>
      <c r="C314" s="596"/>
      <c r="D314" s="596"/>
      <c r="E314" s="596"/>
      <c r="F314" s="596"/>
      <c r="G314" s="677"/>
      <c r="H314" s="677"/>
      <c r="I314" s="677"/>
      <c r="J314" s="677"/>
      <c r="K314" s="677"/>
      <c r="L314" s="596"/>
      <c r="M314" s="596"/>
      <c r="N314" s="950"/>
      <c r="O314" s="596"/>
      <c r="P314" s="596"/>
      <c r="Q314" s="596"/>
      <c r="R314" s="596"/>
      <c r="S314" s="596"/>
      <c r="T314" s="596"/>
      <c r="U314"/>
      <c r="V314"/>
      <c r="W314"/>
      <c r="X314"/>
      <c r="Y314"/>
      <c r="Z314"/>
      <c r="AA314"/>
      <c r="AB314"/>
      <c r="AC314"/>
      <c r="AD314"/>
      <c r="AE314"/>
      <c r="AF314"/>
      <c r="AG314"/>
      <c r="AH314"/>
      <c r="AI314"/>
      <c r="AJ314"/>
    </row>
    <row r="315" spans="1:36" ht="15.75" outlineLevel="1" x14ac:dyDescent="0.25">
      <c r="A315" s="596"/>
      <c r="B315" s="596"/>
      <c r="C315" s="596"/>
      <c r="D315" s="596"/>
      <c r="E315" s="596"/>
      <c r="F315" s="596"/>
      <c r="G315" s="596"/>
      <c r="H315" s="596"/>
      <c r="I315" s="596"/>
      <c r="J315" s="596"/>
      <c r="K315" s="596"/>
      <c r="L315" s="596"/>
      <c r="M315" s="596"/>
      <c r="N315" s="1061"/>
      <c r="O315" s="596"/>
      <c r="P315" s="596"/>
      <c r="Q315" s="596"/>
      <c r="R315" s="596"/>
      <c r="S315" s="596"/>
      <c r="T315" s="596"/>
      <c r="U315"/>
      <c r="V315"/>
      <c r="W315"/>
      <c r="X315"/>
      <c r="Y315"/>
      <c r="Z315"/>
      <c r="AA315"/>
      <c r="AB315"/>
      <c r="AC315"/>
      <c r="AD315"/>
      <c r="AE315"/>
      <c r="AF315"/>
      <c r="AG315"/>
      <c r="AH315"/>
      <c r="AI315"/>
      <c r="AJ315"/>
    </row>
    <row r="316" spans="1:36" ht="15.75" outlineLevel="1" x14ac:dyDescent="0.25">
      <c r="A316" s="596"/>
      <c r="B316" s="596"/>
      <c r="C316" s="596"/>
      <c r="D316" s="596"/>
      <c r="E316" s="596"/>
      <c r="F316" s="596"/>
      <c r="G316" s="677"/>
      <c r="H316" s="677"/>
      <c r="I316" s="677"/>
      <c r="J316" s="677"/>
      <c r="K316" s="677"/>
      <c r="L316" s="596"/>
      <c r="M316" s="596"/>
      <c r="N316" s="1061"/>
      <c r="O316" s="596"/>
      <c r="P316" s="596"/>
      <c r="Q316" s="596"/>
      <c r="R316" s="596"/>
      <c r="S316" s="596"/>
      <c r="T316" s="596"/>
      <c r="U316"/>
      <c r="V316"/>
      <c r="W316"/>
      <c r="X316"/>
      <c r="Y316"/>
      <c r="Z316"/>
      <c r="AA316"/>
      <c r="AB316"/>
      <c r="AC316"/>
      <c r="AD316"/>
      <c r="AE316"/>
      <c r="AF316"/>
      <c r="AG316"/>
      <c r="AH316"/>
      <c r="AI316"/>
      <c r="AJ316"/>
    </row>
    <row r="317" spans="1:36" ht="15.75" outlineLevel="1" x14ac:dyDescent="0.25">
      <c r="A317" s="880" t="s">
        <v>231</v>
      </c>
      <c r="B317" s="596"/>
      <c r="C317" s="596" t="s">
        <v>330</v>
      </c>
      <c r="D317" s="596"/>
      <c r="E317" s="596"/>
      <c r="F317" s="596"/>
      <c r="G317" s="596"/>
      <c r="H317" s="596"/>
      <c r="I317" s="596"/>
      <c r="J317" s="596"/>
      <c r="K317" s="596"/>
      <c r="L317" s="596"/>
      <c r="M317" s="596"/>
      <c r="N317" s="1061"/>
      <c r="O317" s="596"/>
      <c r="P317" s="596"/>
      <c r="Q317" s="596"/>
      <c r="R317" s="596"/>
      <c r="S317" s="596"/>
      <c r="T317" s="596"/>
      <c r="U317"/>
      <c r="V317"/>
      <c r="W317"/>
      <c r="X317"/>
      <c r="Y317"/>
      <c r="Z317"/>
      <c r="AA317"/>
      <c r="AB317"/>
      <c r="AC317"/>
      <c r="AD317"/>
      <c r="AE317"/>
      <c r="AF317"/>
      <c r="AG317"/>
      <c r="AH317"/>
      <c r="AI317"/>
      <c r="AJ317"/>
    </row>
    <row r="318" spans="1:36" ht="15.75" outlineLevel="1" x14ac:dyDescent="0.25">
      <c r="A318" s="887" t="s">
        <v>228</v>
      </c>
      <c r="B318" s="596"/>
      <c r="C318" s="596"/>
      <c r="D318" s="596"/>
      <c r="E318" s="596"/>
      <c r="F318" s="596"/>
      <c r="G318" s="704" t="s">
        <v>35</v>
      </c>
      <c r="H318" s="705" t="s">
        <v>36</v>
      </c>
      <c r="I318" s="705" t="s">
        <v>35</v>
      </c>
      <c r="J318" s="704" t="s">
        <v>36</v>
      </c>
      <c r="K318" s="704" t="s">
        <v>39</v>
      </c>
      <c r="L318" s="704" t="s">
        <v>40</v>
      </c>
      <c r="M318" s="704" t="s">
        <v>42</v>
      </c>
      <c r="N318" s="1058" t="s">
        <v>2</v>
      </c>
      <c r="O318" s="596"/>
      <c r="P318" s="596"/>
      <c r="Q318" s="596"/>
      <c r="R318" s="596"/>
      <c r="S318" s="596"/>
      <c r="T318" s="596"/>
      <c r="U318"/>
      <c r="V318"/>
      <c r="W318"/>
      <c r="X318"/>
      <c r="Y318"/>
      <c r="Z318"/>
      <c r="AA318"/>
      <c r="AB318"/>
      <c r="AC318"/>
      <c r="AD318"/>
      <c r="AE318"/>
      <c r="AF318"/>
      <c r="AG318"/>
      <c r="AH318"/>
      <c r="AI318"/>
      <c r="AJ318"/>
    </row>
    <row r="319" spans="1:36" ht="15.75" outlineLevel="1" x14ac:dyDescent="0.25">
      <c r="A319" s="939" t="s">
        <v>28</v>
      </c>
      <c r="B319" s="940" t="s">
        <v>367</v>
      </c>
      <c r="C319" s="845" t="s">
        <v>31</v>
      </c>
      <c r="D319" s="845" t="s">
        <v>30</v>
      </c>
      <c r="E319" s="845" t="s">
        <v>101</v>
      </c>
      <c r="F319" s="845" t="s">
        <v>56</v>
      </c>
      <c r="G319" s="913"/>
      <c r="H319" s="914"/>
      <c r="I319" s="915"/>
      <c r="J319" s="916"/>
      <c r="K319" s="941"/>
      <c r="L319" s="941"/>
      <c r="M319" s="941"/>
      <c r="N319" s="883"/>
      <c r="O319" s="918">
        <f>ROUND(G319*I319,2)+ROUND(H319*J319,2)-K319-L319-M319-N319</f>
        <v>0</v>
      </c>
      <c r="P319" s="918">
        <f>ROUND(18.75%*O319,2)</f>
        <v>0</v>
      </c>
      <c r="Q319" s="941">
        <f>ROUND($O319*R319,2)</f>
        <v>0</v>
      </c>
      <c r="R319" s="942">
        <v>0.15</v>
      </c>
      <c r="S319" s="941">
        <f>ROUND($O319*T319,2)</f>
        <v>0</v>
      </c>
      <c r="T319" s="943">
        <v>3.7499999999999999E-2</v>
      </c>
      <c r="U319"/>
      <c r="V319"/>
      <c r="W319"/>
      <c r="X319"/>
      <c r="Y319"/>
      <c r="Z319"/>
      <c r="AA319"/>
      <c r="AB319"/>
      <c r="AC319"/>
      <c r="AD319"/>
      <c r="AE319"/>
      <c r="AF319"/>
      <c r="AG319"/>
      <c r="AH319"/>
      <c r="AI319"/>
      <c r="AJ319"/>
    </row>
    <row r="320" spans="1:36" ht="15.75" outlineLevel="1" x14ac:dyDescent="0.25">
      <c r="A320" s="922" t="s">
        <v>28</v>
      </c>
      <c r="B320" s="442" t="s">
        <v>373</v>
      </c>
      <c r="C320" s="854" t="s">
        <v>31</v>
      </c>
      <c r="D320" s="854" t="s">
        <v>30</v>
      </c>
      <c r="E320" s="854" t="s">
        <v>101</v>
      </c>
      <c r="F320" s="854" t="s">
        <v>56</v>
      </c>
      <c r="G320" s="933"/>
      <c r="H320" s="587"/>
      <c r="I320" s="920"/>
      <c r="J320" s="588"/>
      <c r="K320" s="441"/>
      <c r="L320" s="441"/>
      <c r="M320" s="441"/>
      <c r="N320" s="923"/>
      <c r="O320" s="944">
        <f>ROUND(G320*I320,2)+ROUND(H320*J320,2)-K320-L320-M320-N320</f>
        <v>0</v>
      </c>
      <c r="P320" s="944">
        <f>ROUND(18.75%*O320,2)</f>
        <v>0</v>
      </c>
      <c r="Q320" s="441">
        <f>ROUND($O320*R320,2)</f>
        <v>0</v>
      </c>
      <c r="R320" s="924">
        <v>0.15</v>
      </c>
      <c r="S320" s="441">
        <f>ROUND($O320*T320,2)</f>
        <v>0</v>
      </c>
      <c r="T320" s="945">
        <v>3.7499999999999999E-2</v>
      </c>
      <c r="U320"/>
      <c r="V320"/>
      <c r="W320"/>
      <c r="X320"/>
      <c r="Y320"/>
      <c r="Z320"/>
      <c r="AA320"/>
      <c r="AB320"/>
      <c r="AC320"/>
      <c r="AD320"/>
      <c r="AE320"/>
      <c r="AF320"/>
      <c r="AG320"/>
      <c r="AH320"/>
      <c r="AI320"/>
      <c r="AJ320"/>
    </row>
    <row r="321" spans="1:36" ht="15.75" x14ac:dyDescent="0.25">
      <c r="A321" s="922" t="s">
        <v>28</v>
      </c>
      <c r="B321" s="442" t="s">
        <v>374</v>
      </c>
      <c r="C321" s="854" t="s">
        <v>31</v>
      </c>
      <c r="D321" s="854" t="s">
        <v>30</v>
      </c>
      <c r="E321" s="854" t="s">
        <v>101</v>
      </c>
      <c r="F321" s="854" t="s">
        <v>56</v>
      </c>
      <c r="G321" s="933"/>
      <c r="H321" s="587"/>
      <c r="I321" s="920"/>
      <c r="J321" s="588"/>
      <c r="K321" s="441"/>
      <c r="L321" s="441"/>
      <c r="M321" s="441"/>
      <c r="N321" s="923"/>
      <c r="O321" s="441">
        <f>ROUND(G321*I321,2)+ROUND(H321*J321,2)-K321-L321-M321-N321</f>
        <v>0</v>
      </c>
      <c r="P321" s="441">
        <f>ROUND(18.75%*O321,2)</f>
        <v>0</v>
      </c>
      <c r="Q321" s="441">
        <f>ROUND($O321*R321,2)</f>
        <v>0</v>
      </c>
      <c r="R321" s="924">
        <v>0.15</v>
      </c>
      <c r="S321" s="441">
        <f>ROUND($O321*T321,2)</f>
        <v>0</v>
      </c>
      <c r="T321" s="945">
        <v>3.7499999999999999E-2</v>
      </c>
      <c r="U321"/>
      <c r="V321"/>
      <c r="W321"/>
      <c r="X321"/>
      <c r="Y321"/>
      <c r="Z321"/>
      <c r="AA321"/>
      <c r="AB321"/>
      <c r="AC321"/>
      <c r="AD321"/>
      <c r="AE321"/>
      <c r="AF321"/>
      <c r="AG321"/>
      <c r="AH321"/>
      <c r="AI321"/>
      <c r="AJ321"/>
    </row>
    <row r="322" spans="1:36" ht="15.75" x14ac:dyDescent="0.25">
      <c r="A322" s="922" t="s">
        <v>28</v>
      </c>
      <c r="B322" s="442" t="s">
        <v>375</v>
      </c>
      <c r="C322" s="854" t="s">
        <v>31</v>
      </c>
      <c r="D322" s="854" t="s">
        <v>30</v>
      </c>
      <c r="E322" s="854" t="s">
        <v>101</v>
      </c>
      <c r="F322" s="854" t="s">
        <v>56</v>
      </c>
      <c r="G322" s="933"/>
      <c r="H322" s="587"/>
      <c r="I322" s="920"/>
      <c r="J322" s="588"/>
      <c r="K322" s="441"/>
      <c r="L322" s="441"/>
      <c r="M322" s="441"/>
      <c r="N322" s="923"/>
      <c r="O322" s="441">
        <f>ROUND(G322*I322,2)+ROUND(H322*J322,2)-K322-L322-M322-N322</f>
        <v>0</v>
      </c>
      <c r="P322" s="441">
        <f>ROUND(18.75%*O322,2)</f>
        <v>0</v>
      </c>
      <c r="Q322" s="441">
        <f>ROUND($O322*R322,2)</f>
        <v>0</v>
      </c>
      <c r="R322" s="924">
        <v>0.15</v>
      </c>
      <c r="S322" s="441">
        <f>ROUND($O322*T322,2)</f>
        <v>0</v>
      </c>
      <c r="T322" s="945">
        <v>3.7499999999999999E-2</v>
      </c>
      <c r="U322"/>
      <c r="V322"/>
      <c r="W322"/>
      <c r="X322"/>
      <c r="Y322"/>
      <c r="Z322"/>
      <c r="AA322"/>
      <c r="AB322"/>
      <c r="AC322"/>
      <c r="AD322"/>
      <c r="AE322"/>
      <c r="AF322"/>
      <c r="AG322"/>
      <c r="AH322"/>
      <c r="AI322"/>
      <c r="AJ322"/>
    </row>
    <row r="323" spans="1:36" ht="15.75" x14ac:dyDescent="0.25">
      <c r="A323" s="926" t="s">
        <v>28</v>
      </c>
      <c r="B323" s="445" t="s">
        <v>376</v>
      </c>
      <c r="C323" s="867" t="s">
        <v>31</v>
      </c>
      <c r="D323" s="867" t="s">
        <v>30</v>
      </c>
      <c r="E323" s="867" t="s">
        <v>101</v>
      </c>
      <c r="F323" s="867" t="s">
        <v>56</v>
      </c>
      <c r="G323" s="935"/>
      <c r="H323" s="927"/>
      <c r="I323" s="928"/>
      <c r="J323" s="928"/>
      <c r="K323" s="568"/>
      <c r="L323" s="568"/>
      <c r="M323" s="568"/>
      <c r="N323" s="930"/>
      <c r="O323" s="568">
        <f>ROUND(G323*I323,2)+ROUND(H323*J323,2)-K323-L323-M323-N323</f>
        <v>0</v>
      </c>
      <c r="P323" s="568">
        <f>ROUND(18.75%*O323,2)</f>
        <v>0</v>
      </c>
      <c r="Q323" s="568">
        <f>ROUND($O323*R323,2)</f>
        <v>0</v>
      </c>
      <c r="R323" s="931">
        <v>0.15</v>
      </c>
      <c r="S323" s="568">
        <f>ROUND($O323*T323,2)</f>
        <v>0</v>
      </c>
      <c r="T323" s="946">
        <v>3.7499999999999999E-2</v>
      </c>
      <c r="U323"/>
      <c r="V323"/>
      <c r="W323"/>
      <c r="X323"/>
      <c r="Y323"/>
      <c r="Z323"/>
      <c r="AA323"/>
      <c r="AB323"/>
      <c r="AC323"/>
      <c r="AD323"/>
      <c r="AE323"/>
      <c r="AF323"/>
      <c r="AG323"/>
      <c r="AH323"/>
      <c r="AI323"/>
      <c r="AJ323"/>
    </row>
    <row r="324" spans="1:36" ht="15.75" x14ac:dyDescent="0.25">
      <c r="A324" s="596"/>
      <c r="B324" s="596"/>
      <c r="C324" s="596"/>
      <c r="D324" s="596"/>
      <c r="E324" s="596"/>
      <c r="F324" s="596"/>
      <c r="G324" s="902"/>
      <c r="H324" s="902"/>
      <c r="I324" s="677"/>
      <c r="J324" s="677"/>
      <c r="K324" s="677"/>
      <c r="L324" s="596"/>
      <c r="M324" s="596"/>
      <c r="N324" s="1059">
        <f>SUM(N319:N323)</f>
        <v>0</v>
      </c>
      <c r="O324" s="734">
        <f>SUM(O319:O323)</f>
        <v>0</v>
      </c>
      <c r="P324" s="734">
        <f>SUM(P319:P323)</f>
        <v>0</v>
      </c>
      <c r="Q324" s="734">
        <f>SUM(Q319:Q323)</f>
        <v>0</v>
      </c>
      <c r="R324" s="596"/>
      <c r="S324" s="734">
        <f>SUM(S319:S323)</f>
        <v>0</v>
      </c>
      <c r="T324" s="596"/>
      <c r="U324"/>
      <c r="V324"/>
      <c r="W324"/>
      <c r="X324"/>
      <c r="Y324"/>
      <c r="Z324"/>
      <c r="AA324"/>
      <c r="AB324"/>
      <c r="AC324"/>
      <c r="AD324"/>
      <c r="AE324"/>
      <c r="AF324"/>
      <c r="AG324"/>
      <c r="AH324"/>
      <c r="AI324"/>
      <c r="AJ324"/>
    </row>
    <row r="325" spans="1:36" ht="15.75" x14ac:dyDescent="0.25">
      <c r="A325" s="596"/>
      <c r="B325" s="596"/>
      <c r="C325" s="596"/>
      <c r="D325" s="596"/>
      <c r="E325" s="596"/>
      <c r="F325" s="596"/>
      <c r="G325" s="677"/>
      <c r="H325" s="677"/>
      <c r="I325" s="677"/>
      <c r="J325" s="677"/>
      <c r="K325" s="677"/>
      <c r="L325" s="596"/>
      <c r="M325" s="596"/>
      <c r="N325" s="950"/>
      <c r="O325" s="597"/>
      <c r="P325" s="597"/>
      <c r="Q325" s="597"/>
      <c r="R325" s="596"/>
      <c r="S325" s="597"/>
      <c r="T325" s="596"/>
      <c r="U325"/>
      <c r="V325"/>
      <c r="W325"/>
      <c r="X325"/>
      <c r="Y325"/>
      <c r="Z325"/>
      <c r="AA325"/>
      <c r="AB325"/>
      <c r="AC325"/>
      <c r="AD325"/>
      <c r="AE325"/>
      <c r="AF325"/>
      <c r="AG325"/>
      <c r="AH325"/>
      <c r="AI325"/>
      <c r="AJ325"/>
    </row>
    <row r="326" spans="1:36" ht="15.75" x14ac:dyDescent="0.25">
      <c r="A326" s="887" t="s">
        <v>229</v>
      </c>
      <c r="B326" s="596"/>
      <c r="C326" s="596"/>
      <c r="D326" s="596"/>
      <c r="E326" s="596"/>
      <c r="F326" s="596"/>
      <c r="G326" s="677"/>
      <c r="H326" s="677"/>
      <c r="I326" s="677"/>
      <c r="J326" s="677"/>
      <c r="K326" s="677"/>
      <c r="L326" s="596"/>
      <c r="M326" s="596"/>
      <c r="N326" s="950"/>
      <c r="O326" s="596"/>
      <c r="P326" s="596"/>
      <c r="Q326" s="597"/>
      <c r="R326" s="596"/>
      <c r="S326" s="596"/>
      <c r="T326" s="596"/>
      <c r="U326"/>
      <c r="V326"/>
      <c r="W326"/>
      <c r="X326"/>
      <c r="Y326"/>
      <c r="Z326"/>
      <c r="AA326"/>
      <c r="AB326"/>
      <c r="AC326"/>
      <c r="AD326"/>
      <c r="AE326"/>
      <c r="AF326"/>
      <c r="AG326"/>
      <c r="AH326"/>
      <c r="AI326"/>
      <c r="AJ326"/>
    </row>
    <row r="327" spans="1:36" ht="15.75" x14ac:dyDescent="0.25">
      <c r="A327" s="888" t="s">
        <v>28</v>
      </c>
      <c r="B327" s="940" t="s">
        <v>303</v>
      </c>
      <c r="C327" s="890" t="s">
        <v>31</v>
      </c>
      <c r="D327" s="890" t="s">
        <v>30</v>
      </c>
      <c r="E327" s="890" t="s">
        <v>101</v>
      </c>
      <c r="F327" s="891" t="s">
        <v>56</v>
      </c>
      <c r="G327" s="913">
        <f>G319</f>
        <v>0</v>
      </c>
      <c r="H327" s="914"/>
      <c r="I327" s="915">
        <f>I319</f>
        <v>0</v>
      </c>
      <c r="J327" s="916"/>
      <c r="K327" s="420"/>
      <c r="L327" s="420"/>
      <c r="M327" s="420"/>
      <c r="N327" s="904">
        <f>N319</f>
        <v>0</v>
      </c>
      <c r="O327" s="420">
        <f>ROUND(G327*I327,2)+ROUND(H327*J327,2)-K327-L327-M327-N327</f>
        <v>0</v>
      </c>
      <c r="P327" s="420">
        <f>ROUND(18.75%*O327,2)</f>
        <v>0</v>
      </c>
      <c r="Q327" s="420">
        <f>ROUND($O327*R327,2)</f>
        <v>0</v>
      </c>
      <c r="R327" s="893">
        <v>0.15</v>
      </c>
      <c r="S327" s="420">
        <f>ROUND($O327*T327,2)</f>
        <v>0</v>
      </c>
      <c r="T327" s="919">
        <v>3.7499999999999999E-2</v>
      </c>
      <c r="U327"/>
      <c r="V327"/>
      <c r="W327"/>
      <c r="X327"/>
      <c r="Y327"/>
      <c r="Z327"/>
      <c r="AA327"/>
      <c r="AB327"/>
      <c r="AC327"/>
      <c r="AD327"/>
      <c r="AE327"/>
      <c r="AF327"/>
      <c r="AG327"/>
      <c r="AH327"/>
      <c r="AI327"/>
      <c r="AJ327"/>
    </row>
    <row r="328" spans="1:36" ht="15.75" x14ac:dyDescent="0.25">
      <c r="A328" s="894" t="s">
        <v>28</v>
      </c>
      <c r="B328" s="442" t="s">
        <v>303</v>
      </c>
      <c r="C328" s="378" t="s">
        <v>31</v>
      </c>
      <c r="D328" s="378" t="s">
        <v>30</v>
      </c>
      <c r="E328" s="378" t="s">
        <v>101</v>
      </c>
      <c r="F328" s="586" t="s">
        <v>56</v>
      </c>
      <c r="G328" s="933">
        <f>G320</f>
        <v>0</v>
      </c>
      <c r="H328" s="587"/>
      <c r="I328" s="920">
        <f>I320</f>
        <v>0</v>
      </c>
      <c r="J328" s="588"/>
      <c r="K328" s="253"/>
      <c r="L328" s="253"/>
      <c r="M328" s="253"/>
      <c r="N328" s="557"/>
      <c r="O328" s="253">
        <f>ROUND(G328*I328,2)+ROUND(H328*J328,2)-K328-L328-M328-N328</f>
        <v>0</v>
      </c>
      <c r="P328" s="253">
        <f>ROUND(18.75%*O328,2)</f>
        <v>0</v>
      </c>
      <c r="Q328" s="253">
        <f>ROUND($O328*R328,2)</f>
        <v>0</v>
      </c>
      <c r="R328" s="775">
        <v>0.15</v>
      </c>
      <c r="S328" s="253">
        <f>ROUND($O328*T328,2)</f>
        <v>0</v>
      </c>
      <c r="T328" s="921">
        <v>3.7499999999999999E-2</v>
      </c>
      <c r="U328"/>
      <c r="V328"/>
      <c r="W328"/>
      <c r="X328"/>
      <c r="Y328"/>
      <c r="Z328"/>
      <c r="AA328"/>
      <c r="AB328"/>
      <c r="AC328"/>
      <c r="AD328"/>
      <c r="AE328"/>
      <c r="AF328"/>
      <c r="AG328"/>
      <c r="AH328"/>
      <c r="AI328"/>
      <c r="AJ328"/>
    </row>
    <row r="329" spans="1:36" ht="15.75" x14ac:dyDescent="0.25">
      <c r="A329" s="894" t="s">
        <v>28</v>
      </c>
      <c r="B329" s="442" t="s">
        <v>303</v>
      </c>
      <c r="C329" s="378" t="s">
        <v>31</v>
      </c>
      <c r="D329" s="378" t="s">
        <v>30</v>
      </c>
      <c r="E329" s="378" t="s">
        <v>101</v>
      </c>
      <c r="F329" s="586" t="s">
        <v>56</v>
      </c>
      <c r="G329" s="933">
        <f>G321</f>
        <v>0</v>
      </c>
      <c r="H329" s="587"/>
      <c r="I329" s="920">
        <f>I321</f>
        <v>0</v>
      </c>
      <c r="J329" s="588"/>
      <c r="K329" s="253"/>
      <c r="L329" s="253"/>
      <c r="M329" s="253"/>
      <c r="N329" s="557"/>
      <c r="O329" s="253">
        <f>ROUND(G329*I329,2)+ROUND(H329*J329,2)-K329-L329-M329-N329</f>
        <v>0</v>
      </c>
      <c r="P329" s="253">
        <f>ROUND(18.75%*O329,2)</f>
        <v>0</v>
      </c>
      <c r="Q329" s="253">
        <f>ROUND($O329*R329,2)</f>
        <v>0</v>
      </c>
      <c r="R329" s="775">
        <v>0.15</v>
      </c>
      <c r="S329" s="253">
        <f>ROUND($O329*T329,2)</f>
        <v>0</v>
      </c>
      <c r="T329" s="921">
        <v>3.7499999999999999E-2</v>
      </c>
      <c r="U329"/>
      <c r="V329"/>
      <c r="W329"/>
      <c r="X329"/>
      <c r="Y329"/>
      <c r="Z329"/>
      <c r="AA329"/>
      <c r="AB329"/>
      <c r="AC329"/>
      <c r="AD329"/>
      <c r="AE329"/>
      <c r="AF329"/>
      <c r="AG329"/>
      <c r="AH329"/>
      <c r="AI329"/>
      <c r="AJ329"/>
    </row>
    <row r="330" spans="1:36" ht="15.75" x14ac:dyDescent="0.25">
      <c r="A330" s="894" t="s">
        <v>28</v>
      </c>
      <c r="B330" s="442" t="s">
        <v>303</v>
      </c>
      <c r="C330" s="378" t="s">
        <v>31</v>
      </c>
      <c r="D330" s="378" t="s">
        <v>30</v>
      </c>
      <c r="E330" s="378" t="s">
        <v>101</v>
      </c>
      <c r="F330" s="586" t="s">
        <v>56</v>
      </c>
      <c r="G330" s="933">
        <f>G322</f>
        <v>0</v>
      </c>
      <c r="H330" s="587"/>
      <c r="I330" s="920">
        <f>I322</f>
        <v>0</v>
      </c>
      <c r="J330" s="588"/>
      <c r="K330" s="253"/>
      <c r="L330" s="253"/>
      <c r="M330" s="253"/>
      <c r="N330" s="557"/>
      <c r="O330" s="253">
        <f>ROUND(G330*I330,2)+ROUND(H330*J330,2)-K330-L330-M330-N330</f>
        <v>0</v>
      </c>
      <c r="P330" s="253">
        <f>ROUND(18.75%*O330,2)</f>
        <v>0</v>
      </c>
      <c r="Q330" s="253">
        <f>ROUND($O330*R330,2)</f>
        <v>0</v>
      </c>
      <c r="R330" s="775">
        <v>0.15</v>
      </c>
      <c r="S330" s="253">
        <f>ROUND($O330*T330,2)</f>
        <v>0</v>
      </c>
      <c r="T330" s="921">
        <v>3.7499999999999999E-2</v>
      </c>
      <c r="U330"/>
      <c r="V330"/>
      <c r="W330"/>
      <c r="X330"/>
      <c r="Y330"/>
      <c r="Z330"/>
      <c r="AA330"/>
      <c r="AB330"/>
      <c r="AC330"/>
      <c r="AD330"/>
      <c r="AE330"/>
      <c r="AF330"/>
      <c r="AG330"/>
      <c r="AH330"/>
      <c r="AI330"/>
      <c r="AJ330"/>
    </row>
    <row r="331" spans="1:36" ht="15.75" x14ac:dyDescent="0.25">
      <c r="A331" s="898" t="s">
        <v>28</v>
      </c>
      <c r="B331" s="445" t="s">
        <v>303</v>
      </c>
      <c r="C331" s="899" t="s">
        <v>31</v>
      </c>
      <c r="D331" s="899" t="s">
        <v>30</v>
      </c>
      <c r="E331" s="899" t="s">
        <v>101</v>
      </c>
      <c r="F331" s="740" t="s">
        <v>56</v>
      </c>
      <c r="G331" s="935">
        <f>G323</f>
        <v>0</v>
      </c>
      <c r="H331" s="927"/>
      <c r="I331" s="928">
        <f>I323</f>
        <v>0</v>
      </c>
      <c r="J331" s="929"/>
      <c r="K331" s="424"/>
      <c r="L331" s="424"/>
      <c r="M331" s="424"/>
      <c r="N331" s="936"/>
      <c r="O331" s="424">
        <f>ROUND(G331*I331,2)+ROUND(H331*J331,2)-K331-L331-M331-N331</f>
        <v>0</v>
      </c>
      <c r="P331" s="424">
        <f>ROUND(18.75%*O331,2)</f>
        <v>0</v>
      </c>
      <c r="Q331" s="424">
        <f>ROUND($O331*R331,2)</f>
        <v>0</v>
      </c>
      <c r="R331" s="901">
        <v>0.15</v>
      </c>
      <c r="S331" s="424">
        <f>ROUND($O331*T331,2)</f>
        <v>0</v>
      </c>
      <c r="T331" s="932">
        <v>3.7499999999999999E-2</v>
      </c>
      <c r="U331"/>
      <c r="V331"/>
      <c r="W331"/>
      <c r="X331"/>
      <c r="Y331"/>
      <c r="Z331"/>
      <c r="AA331"/>
      <c r="AB331"/>
      <c r="AC331"/>
      <c r="AD331"/>
      <c r="AE331"/>
      <c r="AF331"/>
      <c r="AG331"/>
      <c r="AH331"/>
      <c r="AI331"/>
      <c r="AJ331"/>
    </row>
    <row r="332" spans="1:36" ht="15.75" x14ac:dyDescent="0.25">
      <c r="A332" s="596"/>
      <c r="B332" s="596"/>
      <c r="C332" s="596"/>
      <c r="D332" s="596"/>
      <c r="E332" s="596"/>
      <c r="F332" s="596"/>
      <c r="G332" s="902">
        <f>SUM(G327:G331)</f>
        <v>0</v>
      </c>
      <c r="H332" s="902"/>
      <c r="I332" s="937" t="e">
        <f>O332/G332</f>
        <v>#DIV/0!</v>
      </c>
      <c r="J332" s="937"/>
      <c r="K332" s="677"/>
      <c r="L332" s="596"/>
      <c r="M332" s="596"/>
      <c r="N332" s="1059">
        <f>SUM(N327:N331)</f>
        <v>0</v>
      </c>
      <c r="O332" s="734">
        <f>SUM(O327:O331)</f>
        <v>0</v>
      </c>
      <c r="P332" s="734">
        <f>SUM(P327:P331)</f>
        <v>0</v>
      </c>
      <c r="Q332" s="734">
        <f>SUM(Q327:Q331)</f>
        <v>0</v>
      </c>
      <c r="R332" s="596"/>
      <c r="S332" s="734">
        <f>SUM(S327:S331)</f>
        <v>0</v>
      </c>
      <c r="T332" s="596"/>
      <c r="U332"/>
      <c r="V332"/>
      <c r="W332"/>
      <c r="X332"/>
      <c r="Y332"/>
      <c r="Z332"/>
      <c r="AA332"/>
      <c r="AB332"/>
      <c r="AC332"/>
      <c r="AD332"/>
      <c r="AE332"/>
      <c r="AF332"/>
      <c r="AG332"/>
      <c r="AH332"/>
      <c r="AI332"/>
      <c r="AJ332"/>
    </row>
    <row r="333" spans="1:36" x14ac:dyDescent="0.2">
      <c r="A333" s="596"/>
      <c r="B333" s="596"/>
      <c r="C333" s="596"/>
      <c r="D333" s="596"/>
      <c r="E333" s="596"/>
      <c r="F333" s="596"/>
      <c r="G333" s="677"/>
      <c r="H333" s="677"/>
      <c r="I333" s="677"/>
      <c r="J333" s="677"/>
      <c r="K333" s="677"/>
      <c r="L333" s="596"/>
      <c r="M333" s="596"/>
      <c r="N333" s="950"/>
      <c r="O333" s="683"/>
      <c r="P333" s="596"/>
      <c r="Q333" s="596"/>
      <c r="R333" s="596"/>
      <c r="S333" s="596"/>
      <c r="T333" s="596"/>
    </row>
    <row r="334" spans="1:36" x14ac:dyDescent="0.2">
      <c r="A334" s="596"/>
      <c r="B334" s="596"/>
      <c r="C334" s="596"/>
      <c r="D334" s="596"/>
      <c r="E334" s="596"/>
      <c r="F334" s="596"/>
      <c r="G334" s="677"/>
      <c r="H334" s="677"/>
      <c r="I334" s="677"/>
      <c r="J334" s="677"/>
      <c r="K334" s="677"/>
      <c r="L334" s="596"/>
      <c r="M334" s="596"/>
      <c r="N334" s="950"/>
      <c r="O334" s="597"/>
      <c r="P334" s="596"/>
      <c r="Q334" s="596"/>
      <c r="R334" s="596"/>
      <c r="S334" s="596"/>
      <c r="T334" s="596"/>
    </row>
    <row r="335" spans="1:36" ht="15.75" x14ac:dyDescent="0.25">
      <c r="A335" s="887" t="s">
        <v>230</v>
      </c>
      <c r="B335" s="596"/>
      <c r="C335" s="596"/>
      <c r="D335" s="596"/>
      <c r="E335" s="596"/>
      <c r="F335" s="596"/>
      <c r="G335" s="677"/>
      <c r="H335" s="677"/>
      <c r="I335" s="677"/>
      <c r="J335" s="677"/>
      <c r="K335" s="677"/>
      <c r="L335" s="596"/>
      <c r="M335" s="596"/>
      <c r="N335" s="950"/>
      <c r="O335" s="596"/>
      <c r="P335" s="596"/>
      <c r="Q335" s="596"/>
      <c r="R335" s="596"/>
      <c r="S335" s="596"/>
      <c r="T335" s="596"/>
    </row>
    <row r="336" spans="1:36" x14ac:dyDescent="0.2">
      <c r="A336" s="888" t="s">
        <v>28</v>
      </c>
      <c r="B336" s="940" t="s">
        <v>303</v>
      </c>
      <c r="C336" s="890" t="s">
        <v>31</v>
      </c>
      <c r="D336" s="890" t="s">
        <v>30</v>
      </c>
      <c r="E336" s="890" t="s">
        <v>101</v>
      </c>
      <c r="F336" s="891" t="s">
        <v>56</v>
      </c>
      <c r="G336" s="914"/>
      <c r="H336" s="914">
        <f>H319</f>
        <v>0</v>
      </c>
      <c r="I336" s="916"/>
      <c r="J336" s="947">
        <f>J319</f>
        <v>0</v>
      </c>
      <c r="K336" s="420"/>
      <c r="L336" s="420"/>
      <c r="M336" s="420"/>
      <c r="N336" s="904"/>
      <c r="O336" s="420">
        <f>ROUND(G336*I336,2)+ROUND(H336*J336,2)-K336-L336-M336-N336</f>
        <v>0</v>
      </c>
      <c r="P336" s="420">
        <f>ROUND(18.75%*O336,2)</f>
        <v>0</v>
      </c>
      <c r="Q336" s="420">
        <f>ROUND($O336*R336,2)</f>
        <v>0</v>
      </c>
      <c r="R336" s="893">
        <v>0.15</v>
      </c>
      <c r="S336" s="420">
        <f>ROUND($O336*T336,2)</f>
        <v>0</v>
      </c>
      <c r="T336" s="919">
        <v>3.7499999999999999E-2</v>
      </c>
    </row>
    <row r="337" spans="1:36" x14ac:dyDescent="0.2">
      <c r="A337" s="894" t="s">
        <v>28</v>
      </c>
      <c r="B337" s="442" t="s">
        <v>303</v>
      </c>
      <c r="C337" s="378" t="s">
        <v>31</v>
      </c>
      <c r="D337" s="378" t="s">
        <v>30</v>
      </c>
      <c r="E337" s="378" t="s">
        <v>101</v>
      </c>
      <c r="F337" s="586" t="s">
        <v>56</v>
      </c>
      <c r="G337" s="587"/>
      <c r="H337" s="587">
        <f>H320</f>
        <v>0</v>
      </c>
      <c r="I337" s="588"/>
      <c r="J337" s="948">
        <f>J320</f>
        <v>0</v>
      </c>
      <c r="K337" s="253"/>
      <c r="L337" s="253"/>
      <c r="M337" s="253"/>
      <c r="N337" s="557"/>
      <c r="O337" s="253">
        <f>ROUND(G337*I337,2)+ROUND(H337*J337,2)-K337-L337-M337-N337</f>
        <v>0</v>
      </c>
      <c r="P337" s="253">
        <f>ROUND(18.75%*O337,2)</f>
        <v>0</v>
      </c>
      <c r="Q337" s="253">
        <f>ROUND($O337*R337,2)</f>
        <v>0</v>
      </c>
      <c r="R337" s="775">
        <v>0.15</v>
      </c>
      <c r="S337" s="253">
        <f>ROUND($O337*T337,2)</f>
        <v>0</v>
      </c>
      <c r="T337" s="921">
        <v>3.7499999999999999E-2</v>
      </c>
    </row>
    <row r="338" spans="1:36" x14ac:dyDescent="0.2">
      <c r="A338" s="894" t="s">
        <v>28</v>
      </c>
      <c r="B338" s="442" t="s">
        <v>303</v>
      </c>
      <c r="C338" s="378" t="s">
        <v>31</v>
      </c>
      <c r="D338" s="378" t="s">
        <v>30</v>
      </c>
      <c r="E338" s="378" t="s">
        <v>101</v>
      </c>
      <c r="F338" s="586" t="s">
        <v>56</v>
      </c>
      <c r="G338" s="587"/>
      <c r="H338" s="587">
        <f>H321</f>
        <v>0</v>
      </c>
      <c r="I338" s="588"/>
      <c r="J338" s="948">
        <f>J321</f>
        <v>0</v>
      </c>
      <c r="K338" s="253"/>
      <c r="L338" s="253"/>
      <c r="M338" s="253"/>
      <c r="N338" s="557"/>
      <c r="O338" s="253">
        <f>ROUND(G338*I338,2)+ROUND(H338*J338,2)-K338-L338-M338-N338</f>
        <v>0</v>
      </c>
      <c r="P338" s="253">
        <f>ROUND(18.75%*O338,2)</f>
        <v>0</v>
      </c>
      <c r="Q338" s="253">
        <f>ROUND($O338*R338,2)</f>
        <v>0</v>
      </c>
      <c r="R338" s="775">
        <v>0.15</v>
      </c>
      <c r="S338" s="253">
        <f>ROUND($O338*T338,2)</f>
        <v>0</v>
      </c>
      <c r="T338" s="921">
        <v>3.7499999999999999E-2</v>
      </c>
    </row>
    <row r="339" spans="1:36" x14ac:dyDescent="0.2">
      <c r="A339" s="894" t="s">
        <v>28</v>
      </c>
      <c r="B339" s="442" t="s">
        <v>303</v>
      </c>
      <c r="C339" s="378" t="s">
        <v>31</v>
      </c>
      <c r="D339" s="378" t="s">
        <v>30</v>
      </c>
      <c r="E339" s="378" t="s">
        <v>101</v>
      </c>
      <c r="F339" s="586" t="s">
        <v>56</v>
      </c>
      <c r="G339" s="587"/>
      <c r="H339" s="587">
        <f>H322</f>
        <v>0</v>
      </c>
      <c r="I339" s="588"/>
      <c r="J339" s="948">
        <f>J322</f>
        <v>0</v>
      </c>
      <c r="K339" s="253"/>
      <c r="L339" s="253"/>
      <c r="M339" s="253"/>
      <c r="N339" s="557"/>
      <c r="O339" s="253">
        <f>ROUND(G339*I339,2)+ROUND(H339*J339,2)-K339-L339-M339-N339</f>
        <v>0</v>
      </c>
      <c r="P339" s="253">
        <f>ROUND(18.75%*O339,2)</f>
        <v>0</v>
      </c>
      <c r="Q339" s="253">
        <f>ROUND($O339*R339,2)</f>
        <v>0</v>
      </c>
      <c r="R339" s="775">
        <v>0.15</v>
      </c>
      <c r="S339" s="253">
        <f>ROUND($O339*T339,2)</f>
        <v>0</v>
      </c>
      <c r="T339" s="921">
        <v>3.7499999999999999E-2</v>
      </c>
    </row>
    <row r="340" spans="1:36" x14ac:dyDescent="0.2">
      <c r="A340" s="898" t="s">
        <v>28</v>
      </c>
      <c r="B340" s="445" t="s">
        <v>303</v>
      </c>
      <c r="C340" s="899" t="s">
        <v>31</v>
      </c>
      <c r="D340" s="899" t="s">
        <v>30</v>
      </c>
      <c r="E340" s="899" t="s">
        <v>101</v>
      </c>
      <c r="F340" s="740" t="s">
        <v>56</v>
      </c>
      <c r="G340" s="927"/>
      <c r="H340" s="927">
        <f>H323</f>
        <v>0</v>
      </c>
      <c r="I340" s="929"/>
      <c r="J340" s="949">
        <f>J323</f>
        <v>0</v>
      </c>
      <c r="K340" s="424"/>
      <c r="L340" s="424"/>
      <c r="M340" s="424"/>
      <c r="N340" s="936"/>
      <c r="O340" s="424">
        <f>ROUND(G340*I340,2)+ROUND(H340*J340,2)-K340-L340-M340-N340</f>
        <v>0</v>
      </c>
      <c r="P340" s="424">
        <f>ROUND(18.75%*O340,2)</f>
        <v>0</v>
      </c>
      <c r="Q340" s="424">
        <f>ROUND($O340*R340,2)</f>
        <v>0</v>
      </c>
      <c r="R340" s="901">
        <v>0.15</v>
      </c>
      <c r="S340" s="424">
        <f>ROUND($O340*T340,2)</f>
        <v>0</v>
      </c>
      <c r="T340" s="932">
        <v>3.7499999999999999E-2</v>
      </c>
    </row>
    <row r="341" spans="1:36" x14ac:dyDescent="0.2">
      <c r="A341" s="596"/>
      <c r="B341" s="596"/>
      <c r="C341" s="596"/>
      <c r="D341" s="596"/>
      <c r="E341" s="596"/>
      <c r="F341" s="596"/>
      <c r="G341" s="902"/>
      <c r="H341" s="902">
        <f>SUM(H336:H340)</f>
        <v>0</v>
      </c>
      <c r="I341" s="937"/>
      <c r="J341" s="937" t="e">
        <f>O341/H341</f>
        <v>#DIV/0!</v>
      </c>
      <c r="K341" s="677"/>
      <c r="L341" s="596"/>
      <c r="M341" s="596"/>
      <c r="N341" s="1059">
        <f>SUM(N336:N340)</f>
        <v>0</v>
      </c>
      <c r="O341" s="734">
        <f>SUM(O336:O340)</f>
        <v>0</v>
      </c>
      <c r="P341" s="734">
        <f>SUM(P336:P340)</f>
        <v>0</v>
      </c>
      <c r="Q341" s="734">
        <f>SUM(Q336:Q340)</f>
        <v>0</v>
      </c>
      <c r="R341" s="596"/>
      <c r="S341" s="734">
        <f>SUM(S336:S340)</f>
        <v>0</v>
      </c>
      <c r="T341" s="596"/>
    </row>
    <row r="342" spans="1:36" ht="15.75" outlineLevel="1" x14ac:dyDescent="0.25">
      <c r="A342"/>
      <c r="B342"/>
      <c r="C342"/>
      <c r="D342"/>
      <c r="E342"/>
      <c r="F342"/>
      <c r="G342"/>
      <c r="H342"/>
      <c r="I342"/>
      <c r="J342"/>
      <c r="K342"/>
      <c r="L342"/>
      <c r="M342"/>
      <c r="N342" s="1055"/>
      <c r="O342"/>
      <c r="P342"/>
      <c r="Q342"/>
      <c r="R342"/>
      <c r="S342"/>
      <c r="T342"/>
      <c r="U342"/>
      <c r="V342"/>
      <c r="W342"/>
      <c r="X342"/>
      <c r="Y342"/>
      <c r="Z342"/>
      <c r="AA342"/>
      <c r="AB342"/>
      <c r="AC342"/>
      <c r="AD342"/>
      <c r="AE342"/>
      <c r="AF342"/>
      <c r="AG342"/>
      <c r="AH342"/>
      <c r="AI342"/>
      <c r="AJ342"/>
    </row>
    <row r="343" spans="1:36" ht="15.75" outlineLevel="1" x14ac:dyDescent="0.25">
      <c r="A343"/>
      <c r="B343"/>
      <c r="C343"/>
      <c r="D343"/>
      <c r="E343"/>
      <c r="F343"/>
      <c r="G343"/>
      <c r="H343"/>
      <c r="I343"/>
      <c r="J343"/>
      <c r="K343"/>
      <c r="L343"/>
      <c r="M343"/>
      <c r="N343" s="1055"/>
      <c r="O343"/>
      <c r="P343"/>
      <c r="Q343"/>
      <c r="R343"/>
      <c r="S343"/>
      <c r="T343"/>
      <c r="U343"/>
      <c r="V343"/>
      <c r="W343"/>
      <c r="X343"/>
      <c r="Y343"/>
      <c r="Z343"/>
      <c r="AA343"/>
      <c r="AB343"/>
      <c r="AC343"/>
      <c r="AD343"/>
      <c r="AE343"/>
      <c r="AF343"/>
      <c r="AG343"/>
      <c r="AH343"/>
      <c r="AI343"/>
      <c r="AJ343"/>
    </row>
    <row r="344" spans="1:36" ht="15.75" outlineLevel="1" x14ac:dyDescent="0.25">
      <c r="A344"/>
      <c r="B344"/>
      <c r="C344"/>
      <c r="D344"/>
      <c r="E344"/>
      <c r="F344"/>
      <c r="G344"/>
      <c r="H344"/>
      <c r="I344"/>
      <c r="J344"/>
      <c r="K344"/>
      <c r="L344"/>
      <c r="M344"/>
      <c r="N344" s="1055"/>
      <c r="O344"/>
      <c r="P344"/>
      <c r="Q344"/>
      <c r="R344"/>
      <c r="S344"/>
      <c r="T344"/>
      <c r="U344"/>
      <c r="V344"/>
      <c r="W344"/>
      <c r="X344"/>
      <c r="Y344"/>
      <c r="Z344"/>
      <c r="AA344"/>
      <c r="AB344"/>
      <c r="AC344"/>
      <c r="AD344"/>
      <c r="AE344"/>
      <c r="AF344"/>
      <c r="AG344"/>
      <c r="AH344"/>
      <c r="AI344"/>
      <c r="AJ344"/>
    </row>
    <row r="345" spans="1:36" ht="15.75" outlineLevel="1" x14ac:dyDescent="0.25">
      <c r="A345"/>
      <c r="B345"/>
      <c r="C345"/>
      <c r="D345"/>
      <c r="E345"/>
      <c r="F345"/>
      <c r="G345"/>
      <c r="H345"/>
      <c r="I345"/>
      <c r="J345"/>
      <c r="K345"/>
      <c r="L345"/>
      <c r="M345"/>
      <c r="N345" s="1055"/>
      <c r="O345"/>
      <c r="P345"/>
      <c r="Q345"/>
      <c r="R345"/>
      <c r="S345"/>
      <c r="T345"/>
      <c r="U345"/>
      <c r="V345"/>
      <c r="W345"/>
      <c r="X345"/>
      <c r="Y345"/>
      <c r="Z345"/>
      <c r="AA345"/>
      <c r="AB345"/>
      <c r="AC345"/>
      <c r="AD345"/>
      <c r="AE345"/>
      <c r="AF345"/>
      <c r="AG345"/>
      <c r="AH345"/>
      <c r="AI345"/>
      <c r="AJ345"/>
    </row>
    <row r="346" spans="1:36" ht="15.75" outlineLevel="1" x14ac:dyDescent="0.25">
      <c r="A346"/>
      <c r="B346"/>
      <c r="C346"/>
      <c r="D346"/>
      <c r="E346"/>
      <c r="F346"/>
      <c r="G346"/>
      <c r="H346"/>
      <c r="I346"/>
      <c r="J346"/>
      <c r="K346"/>
      <c r="L346"/>
      <c r="M346"/>
      <c r="N346" s="1055"/>
      <c r="O346"/>
      <c r="P346"/>
      <c r="Q346"/>
      <c r="R346"/>
      <c r="S346"/>
      <c r="T346"/>
      <c r="U346"/>
      <c r="V346"/>
      <c r="W346"/>
      <c r="X346"/>
      <c r="Y346"/>
      <c r="Z346"/>
      <c r="AA346"/>
      <c r="AB346"/>
      <c r="AC346"/>
      <c r="AD346"/>
      <c r="AE346"/>
      <c r="AF346"/>
      <c r="AG346"/>
      <c r="AH346"/>
      <c r="AI346"/>
      <c r="AJ346"/>
    </row>
    <row r="347" spans="1:36" ht="15.75" outlineLevel="1" x14ac:dyDescent="0.25">
      <c r="A347"/>
      <c r="B347"/>
      <c r="C347"/>
      <c r="D347"/>
      <c r="E347"/>
      <c r="F347"/>
      <c r="G347"/>
      <c r="H347"/>
      <c r="I347"/>
      <c r="J347"/>
      <c r="K347"/>
      <c r="L347"/>
      <c r="M347"/>
      <c r="N347" s="1055"/>
      <c r="O347"/>
      <c r="P347"/>
      <c r="Q347"/>
      <c r="R347"/>
      <c r="S347"/>
      <c r="T347"/>
      <c r="U347"/>
      <c r="V347"/>
      <c r="W347"/>
      <c r="X347"/>
      <c r="Y347"/>
      <c r="Z347"/>
      <c r="AA347"/>
      <c r="AB347"/>
      <c r="AC347"/>
      <c r="AD347"/>
      <c r="AE347"/>
      <c r="AF347"/>
      <c r="AG347"/>
      <c r="AH347"/>
      <c r="AI347"/>
      <c r="AJ347"/>
    </row>
    <row r="348" spans="1:36" ht="15.75" outlineLevel="1" x14ac:dyDescent="0.25">
      <c r="A348"/>
      <c r="B348"/>
      <c r="C348"/>
      <c r="D348"/>
      <c r="E348"/>
      <c r="F348"/>
      <c r="G348"/>
      <c r="H348"/>
      <c r="I348"/>
      <c r="J348"/>
      <c r="K348"/>
      <c r="L348"/>
      <c r="M348"/>
      <c r="N348" s="1055"/>
      <c r="O348"/>
      <c r="P348"/>
      <c r="Q348"/>
      <c r="R348"/>
      <c r="S348"/>
      <c r="T348"/>
      <c r="U348"/>
      <c r="V348"/>
      <c r="W348"/>
      <c r="X348"/>
      <c r="Y348"/>
      <c r="Z348"/>
      <c r="AA348"/>
      <c r="AB348"/>
      <c r="AC348"/>
      <c r="AD348"/>
      <c r="AE348"/>
      <c r="AF348"/>
      <c r="AG348"/>
      <c r="AH348"/>
      <c r="AI348"/>
      <c r="AJ348"/>
    </row>
    <row r="349" spans="1:36" ht="15.75" outlineLevel="1" x14ac:dyDescent="0.25">
      <c r="A349"/>
      <c r="B349"/>
      <c r="C349"/>
      <c r="D349"/>
      <c r="E349"/>
      <c r="F349"/>
      <c r="G349"/>
      <c r="H349"/>
      <c r="I349"/>
      <c r="J349"/>
      <c r="K349"/>
      <c r="L349"/>
      <c r="M349"/>
      <c r="N349" s="1055"/>
      <c r="O349"/>
      <c r="P349"/>
      <c r="Q349"/>
      <c r="R349"/>
      <c r="S349"/>
      <c r="T349"/>
      <c r="U349"/>
      <c r="V349"/>
      <c r="W349"/>
      <c r="X349"/>
      <c r="Y349"/>
      <c r="Z349"/>
      <c r="AA349"/>
      <c r="AB349"/>
      <c r="AC349"/>
      <c r="AD349"/>
      <c r="AE349"/>
      <c r="AF349"/>
      <c r="AG349"/>
      <c r="AH349"/>
      <c r="AI349"/>
      <c r="AJ349"/>
    </row>
    <row r="350" spans="1:36" ht="15.75" outlineLevel="1" x14ac:dyDescent="0.25">
      <c r="A350"/>
      <c r="B350"/>
      <c r="C350"/>
      <c r="D350"/>
      <c r="E350"/>
      <c r="F350"/>
      <c r="G350"/>
      <c r="H350"/>
      <c r="I350"/>
      <c r="J350"/>
      <c r="K350"/>
      <c r="L350"/>
      <c r="M350"/>
      <c r="N350" s="1055"/>
      <c r="O350"/>
      <c r="P350"/>
      <c r="Q350"/>
      <c r="R350"/>
      <c r="S350"/>
      <c r="T350"/>
      <c r="U350"/>
      <c r="V350"/>
      <c r="W350"/>
      <c r="X350"/>
      <c r="Y350"/>
      <c r="Z350"/>
      <c r="AA350"/>
      <c r="AB350"/>
      <c r="AC350"/>
      <c r="AD350"/>
      <c r="AE350"/>
      <c r="AF350"/>
      <c r="AG350"/>
      <c r="AH350"/>
      <c r="AI350"/>
      <c r="AJ350"/>
    </row>
    <row r="351" spans="1:36" ht="15.75" outlineLevel="1" x14ac:dyDescent="0.25">
      <c r="A351"/>
      <c r="B351"/>
      <c r="C351"/>
      <c r="D351"/>
      <c r="E351"/>
      <c r="F351"/>
      <c r="G351"/>
      <c r="H351"/>
      <c r="I351"/>
      <c r="J351"/>
      <c r="K351"/>
      <c r="L351"/>
      <c r="M351"/>
      <c r="N351" s="1055"/>
      <c r="O351"/>
      <c r="P351"/>
      <c r="Q351"/>
      <c r="R351"/>
      <c r="S351"/>
      <c r="T351"/>
      <c r="U351"/>
      <c r="V351"/>
      <c r="W351"/>
      <c r="X351"/>
      <c r="Y351"/>
      <c r="Z351"/>
      <c r="AA351"/>
      <c r="AB351"/>
      <c r="AC351"/>
      <c r="AD351"/>
      <c r="AE351"/>
      <c r="AF351"/>
      <c r="AG351"/>
      <c r="AH351"/>
      <c r="AI351"/>
      <c r="AJ351"/>
    </row>
    <row r="352" spans="1:36" ht="15.75" outlineLevel="1" x14ac:dyDescent="0.25">
      <c r="A352"/>
      <c r="B352"/>
      <c r="C352"/>
      <c r="D352"/>
      <c r="E352"/>
      <c r="F352"/>
      <c r="G352"/>
      <c r="H352"/>
      <c r="I352"/>
      <c r="J352"/>
      <c r="K352"/>
      <c r="L352"/>
      <c r="M352"/>
      <c r="N352" s="1055"/>
      <c r="O352"/>
      <c r="P352"/>
      <c r="Q352"/>
      <c r="R352"/>
      <c r="S352"/>
      <c r="T352"/>
      <c r="U352"/>
      <c r="V352"/>
      <c r="W352"/>
      <c r="X352"/>
      <c r="Y352"/>
      <c r="Z352"/>
      <c r="AA352"/>
      <c r="AB352"/>
      <c r="AC352"/>
      <c r="AD352"/>
      <c r="AE352"/>
      <c r="AF352"/>
      <c r="AG352"/>
      <c r="AH352"/>
      <c r="AI352"/>
      <c r="AJ352"/>
    </row>
    <row r="353" spans="1:36" ht="15.75" x14ac:dyDescent="0.25">
      <c r="A353"/>
      <c r="B353"/>
      <c r="C353"/>
      <c r="D353"/>
      <c r="E353"/>
      <c r="F353"/>
      <c r="G353"/>
      <c r="H353"/>
      <c r="I353"/>
      <c r="J353"/>
      <c r="K353"/>
      <c r="L353"/>
      <c r="M353"/>
      <c r="N353" s="1055"/>
      <c r="O353"/>
      <c r="P353"/>
      <c r="Q353"/>
      <c r="R353"/>
      <c r="S353"/>
      <c r="T353"/>
      <c r="U353"/>
      <c r="V353"/>
      <c r="W353"/>
      <c r="X353"/>
      <c r="Y353"/>
      <c r="Z353"/>
      <c r="AA353"/>
      <c r="AB353"/>
      <c r="AC353"/>
      <c r="AD353"/>
      <c r="AE353"/>
      <c r="AF353"/>
      <c r="AG353"/>
      <c r="AH353"/>
      <c r="AI353"/>
      <c r="AJ353"/>
    </row>
    <row r="354" spans="1:36" ht="15.75" x14ac:dyDescent="0.25">
      <c r="A354"/>
      <c r="B354"/>
      <c r="C354"/>
      <c r="D354"/>
      <c r="E354"/>
      <c r="F354"/>
      <c r="G354"/>
      <c r="H354"/>
      <c r="I354"/>
      <c r="J354"/>
      <c r="K354"/>
      <c r="L354"/>
      <c r="M354"/>
      <c r="N354" s="1055"/>
      <c r="O354"/>
      <c r="P354"/>
      <c r="Q354"/>
      <c r="R354"/>
      <c r="S354"/>
      <c r="T354"/>
      <c r="U354"/>
      <c r="V354"/>
      <c r="W354"/>
      <c r="X354"/>
      <c r="Y354"/>
      <c r="Z354"/>
      <c r="AA354"/>
      <c r="AB354"/>
      <c r="AC354"/>
      <c r="AD354"/>
      <c r="AE354"/>
      <c r="AF354"/>
      <c r="AG354"/>
      <c r="AH354"/>
      <c r="AI354"/>
      <c r="AJ354"/>
    </row>
    <row r="355" spans="1:36" ht="15.75" x14ac:dyDescent="0.25">
      <c r="A355"/>
      <c r="B355"/>
      <c r="C355"/>
      <c r="D355"/>
      <c r="E355"/>
      <c r="F355"/>
      <c r="G355"/>
      <c r="H355"/>
      <c r="I355"/>
      <c r="J355"/>
      <c r="K355"/>
      <c r="L355"/>
      <c r="M355"/>
      <c r="N355" s="1055"/>
      <c r="O355"/>
      <c r="P355"/>
      <c r="Q355"/>
      <c r="R355"/>
      <c r="S355"/>
      <c r="T355"/>
      <c r="U355"/>
      <c r="V355"/>
      <c r="W355"/>
      <c r="X355"/>
      <c r="Y355"/>
      <c r="Z355"/>
      <c r="AA355"/>
      <c r="AB355"/>
      <c r="AC355"/>
      <c r="AD355"/>
      <c r="AE355"/>
      <c r="AF355"/>
      <c r="AG355"/>
      <c r="AH355"/>
      <c r="AI355"/>
      <c r="AJ355"/>
    </row>
    <row r="356" spans="1:36" ht="15.75" x14ac:dyDescent="0.25">
      <c r="A356"/>
      <c r="B356"/>
      <c r="C356"/>
      <c r="D356"/>
      <c r="E356"/>
      <c r="F356"/>
      <c r="G356"/>
      <c r="H356"/>
      <c r="I356"/>
      <c r="J356"/>
      <c r="K356"/>
      <c r="L356"/>
      <c r="M356"/>
      <c r="N356" s="1055"/>
      <c r="O356"/>
      <c r="P356"/>
      <c r="Q356"/>
      <c r="R356"/>
      <c r="S356"/>
      <c r="T356"/>
      <c r="U356"/>
      <c r="V356"/>
      <c r="W356"/>
      <c r="X356"/>
      <c r="Y356"/>
      <c r="Z356"/>
      <c r="AA356"/>
      <c r="AB356"/>
      <c r="AC356"/>
      <c r="AD356"/>
      <c r="AE356"/>
      <c r="AF356"/>
      <c r="AG356"/>
      <c r="AH356"/>
      <c r="AI356"/>
      <c r="AJ356"/>
    </row>
    <row r="357" spans="1:36" ht="15.75" outlineLevel="1" x14ac:dyDescent="0.25">
      <c r="A357"/>
      <c r="B357"/>
      <c r="C357"/>
      <c r="D357"/>
      <c r="E357"/>
      <c r="F357"/>
      <c r="G357"/>
      <c r="H357"/>
      <c r="I357"/>
      <c r="J357"/>
      <c r="K357"/>
      <c r="L357"/>
      <c r="M357"/>
      <c r="N357" s="1055"/>
      <c r="O357"/>
      <c r="P357"/>
      <c r="Q357"/>
      <c r="R357"/>
      <c r="S357"/>
      <c r="T357"/>
      <c r="U357"/>
      <c r="V357"/>
      <c r="W357"/>
      <c r="X357"/>
      <c r="Y357"/>
      <c r="Z357"/>
      <c r="AA357"/>
      <c r="AB357"/>
      <c r="AC357"/>
      <c r="AD357"/>
      <c r="AE357"/>
      <c r="AF357"/>
      <c r="AG357"/>
      <c r="AH357"/>
      <c r="AI357"/>
      <c r="AJ357"/>
    </row>
    <row r="358" spans="1:36" ht="15.75" outlineLevel="1" x14ac:dyDescent="0.25">
      <c r="A358"/>
      <c r="B358"/>
      <c r="C358"/>
      <c r="D358"/>
      <c r="E358"/>
      <c r="F358"/>
      <c r="G358"/>
      <c r="H358"/>
      <c r="I358"/>
      <c r="J358"/>
      <c r="K358"/>
      <c r="L358"/>
      <c r="M358"/>
      <c r="N358" s="1055"/>
      <c r="O358"/>
      <c r="P358"/>
      <c r="Q358"/>
      <c r="R358"/>
      <c r="S358"/>
      <c r="T358"/>
      <c r="U358"/>
      <c r="V358"/>
      <c r="W358"/>
      <c r="X358"/>
      <c r="Y358"/>
      <c r="Z358"/>
      <c r="AA358"/>
      <c r="AB358"/>
      <c r="AC358"/>
      <c r="AD358"/>
      <c r="AE358"/>
      <c r="AF358"/>
      <c r="AG358"/>
      <c r="AH358"/>
      <c r="AI358"/>
      <c r="AJ358"/>
    </row>
    <row r="359" spans="1:36" ht="15.75" outlineLevel="1" x14ac:dyDescent="0.25">
      <c r="A359"/>
      <c r="B359"/>
      <c r="C359"/>
      <c r="D359"/>
      <c r="E359"/>
      <c r="F359"/>
      <c r="G359"/>
      <c r="H359"/>
      <c r="I359"/>
      <c r="J359"/>
      <c r="K359"/>
      <c r="L359"/>
      <c r="M359"/>
      <c r="N359" s="1055"/>
      <c r="O359"/>
      <c r="P359"/>
      <c r="Q359"/>
      <c r="R359"/>
      <c r="S359"/>
      <c r="T359"/>
      <c r="U359"/>
      <c r="V359"/>
      <c r="W359"/>
      <c r="X359"/>
      <c r="Y359"/>
      <c r="Z359"/>
      <c r="AA359"/>
      <c r="AB359"/>
      <c r="AC359"/>
      <c r="AD359"/>
      <c r="AE359"/>
      <c r="AF359"/>
      <c r="AG359"/>
      <c r="AH359"/>
      <c r="AI359"/>
      <c r="AJ359"/>
    </row>
    <row r="360" spans="1:36" ht="15.75" outlineLevel="1" x14ac:dyDescent="0.25">
      <c r="A360"/>
      <c r="B360"/>
      <c r="C360"/>
      <c r="D360"/>
      <c r="E360"/>
      <c r="F360"/>
      <c r="G360"/>
      <c r="H360"/>
      <c r="I360"/>
      <c r="J360"/>
      <c r="K360"/>
      <c r="L360"/>
      <c r="M360"/>
      <c r="N360" s="1055"/>
      <c r="O360"/>
      <c r="P360"/>
      <c r="Q360"/>
      <c r="R360"/>
      <c r="S360"/>
      <c r="T360"/>
      <c r="U360"/>
      <c r="V360"/>
      <c r="W360"/>
      <c r="X360"/>
      <c r="Y360"/>
      <c r="Z360"/>
      <c r="AA360"/>
      <c r="AB360"/>
      <c r="AC360"/>
      <c r="AD360"/>
      <c r="AE360"/>
      <c r="AF360"/>
      <c r="AG360"/>
      <c r="AH360"/>
      <c r="AI360"/>
      <c r="AJ360"/>
    </row>
    <row r="361" spans="1:36" ht="15.75" outlineLevel="1" x14ac:dyDescent="0.25">
      <c r="A361"/>
      <c r="B361"/>
      <c r="C361"/>
      <c r="D361"/>
      <c r="E361"/>
      <c r="F361"/>
      <c r="G361"/>
      <c r="H361"/>
      <c r="I361"/>
      <c r="J361"/>
      <c r="K361"/>
      <c r="L361"/>
      <c r="M361"/>
      <c r="N361" s="1055"/>
      <c r="O361"/>
      <c r="P361"/>
      <c r="Q361"/>
      <c r="R361"/>
      <c r="S361"/>
      <c r="T361"/>
      <c r="U361"/>
      <c r="V361"/>
      <c r="W361"/>
      <c r="X361"/>
      <c r="Y361"/>
      <c r="Z361"/>
      <c r="AA361"/>
      <c r="AB361"/>
      <c r="AC361"/>
      <c r="AD361"/>
      <c r="AE361"/>
      <c r="AF361"/>
      <c r="AG361"/>
      <c r="AH361"/>
      <c r="AI361"/>
      <c r="AJ361"/>
    </row>
    <row r="362" spans="1:36" ht="15.75" outlineLevel="1" x14ac:dyDescent="0.25">
      <c r="A362"/>
      <c r="B362"/>
      <c r="C362"/>
      <c r="D362"/>
      <c r="E362"/>
      <c r="F362"/>
      <c r="G362"/>
      <c r="H362"/>
      <c r="I362"/>
      <c r="J362"/>
      <c r="K362"/>
      <c r="L362"/>
      <c r="M362"/>
      <c r="N362" s="1055"/>
      <c r="O362"/>
      <c r="P362"/>
      <c r="Q362"/>
      <c r="R362"/>
      <c r="S362"/>
      <c r="T362"/>
      <c r="U362"/>
      <c r="V362"/>
      <c r="W362"/>
      <c r="X362"/>
      <c r="Y362"/>
      <c r="Z362"/>
      <c r="AA362"/>
      <c r="AB362"/>
      <c r="AC362"/>
      <c r="AD362"/>
      <c r="AE362"/>
      <c r="AF362"/>
      <c r="AG362"/>
      <c r="AH362"/>
      <c r="AI362"/>
      <c r="AJ362"/>
    </row>
    <row r="363" spans="1:36" ht="15.75" outlineLevel="1" x14ac:dyDescent="0.25">
      <c r="A363"/>
      <c r="B363"/>
      <c r="C363"/>
      <c r="D363"/>
      <c r="E363"/>
      <c r="F363"/>
      <c r="G363"/>
      <c r="H363"/>
      <c r="I363"/>
      <c r="J363"/>
      <c r="K363"/>
      <c r="L363"/>
      <c r="M363"/>
      <c r="N363" s="1055"/>
      <c r="O363"/>
      <c r="P363"/>
      <c r="Q363"/>
      <c r="R363"/>
      <c r="S363"/>
      <c r="T363"/>
      <c r="U363"/>
      <c r="V363"/>
      <c r="W363"/>
      <c r="X363"/>
      <c r="Y363"/>
      <c r="Z363"/>
      <c r="AA363"/>
      <c r="AB363"/>
      <c r="AC363"/>
      <c r="AD363"/>
      <c r="AE363"/>
      <c r="AF363"/>
      <c r="AG363"/>
      <c r="AH363"/>
      <c r="AI363"/>
      <c r="AJ363"/>
    </row>
    <row r="364" spans="1:36" ht="15.75" outlineLevel="1" x14ac:dyDescent="0.25">
      <c r="A364"/>
      <c r="B364"/>
      <c r="C364"/>
      <c r="D364"/>
      <c r="E364"/>
      <c r="F364"/>
      <c r="G364"/>
      <c r="H364"/>
      <c r="I364"/>
      <c r="J364"/>
      <c r="K364"/>
      <c r="L364"/>
      <c r="M364"/>
      <c r="N364" s="1055"/>
      <c r="O364"/>
      <c r="P364"/>
      <c r="Q364"/>
      <c r="R364"/>
      <c r="S364"/>
      <c r="T364"/>
      <c r="U364"/>
      <c r="V364"/>
      <c r="W364"/>
      <c r="X364"/>
      <c r="Y364"/>
      <c r="Z364"/>
      <c r="AA364"/>
      <c r="AB364"/>
      <c r="AC364"/>
      <c r="AD364"/>
      <c r="AE364"/>
      <c r="AF364"/>
      <c r="AG364"/>
      <c r="AH364"/>
      <c r="AI364"/>
      <c r="AJ364"/>
    </row>
    <row r="365" spans="1:36" ht="15.75" outlineLevel="1" x14ac:dyDescent="0.25">
      <c r="A365"/>
      <c r="B365"/>
      <c r="C365"/>
      <c r="D365"/>
      <c r="E365"/>
      <c r="F365"/>
      <c r="G365"/>
      <c r="H365"/>
      <c r="I365"/>
      <c r="J365"/>
      <c r="K365"/>
      <c r="L365"/>
      <c r="M365"/>
      <c r="N365" s="1055"/>
      <c r="O365"/>
      <c r="P365"/>
      <c r="Q365"/>
      <c r="R365"/>
      <c r="S365"/>
      <c r="T365"/>
      <c r="U365"/>
      <c r="V365"/>
      <c r="W365"/>
      <c r="X365"/>
      <c r="Y365"/>
      <c r="Z365"/>
      <c r="AA365"/>
      <c r="AB365"/>
      <c r="AC365"/>
      <c r="AD365"/>
      <c r="AE365"/>
      <c r="AF365"/>
      <c r="AG365"/>
      <c r="AH365"/>
      <c r="AI365"/>
      <c r="AJ365"/>
    </row>
    <row r="366" spans="1:36" ht="15.75" outlineLevel="1" x14ac:dyDescent="0.25">
      <c r="A366"/>
      <c r="B366"/>
      <c r="C366"/>
      <c r="D366"/>
      <c r="E366"/>
      <c r="F366"/>
      <c r="G366"/>
      <c r="H366"/>
      <c r="I366"/>
      <c r="J366"/>
      <c r="K366"/>
      <c r="L366"/>
      <c r="M366"/>
      <c r="N366" s="1055"/>
      <c r="O366"/>
      <c r="P366"/>
      <c r="Q366"/>
      <c r="R366"/>
      <c r="S366"/>
      <c r="T366"/>
      <c r="U366"/>
      <c r="V366"/>
      <c r="W366"/>
      <c r="X366"/>
      <c r="Y366"/>
      <c r="Z366"/>
      <c r="AA366"/>
      <c r="AB366"/>
      <c r="AC366"/>
      <c r="AD366"/>
      <c r="AE366"/>
      <c r="AF366"/>
      <c r="AG366"/>
      <c r="AH366"/>
      <c r="AI366"/>
      <c r="AJ366"/>
    </row>
    <row r="367" spans="1:36" ht="15.75" outlineLevel="1" x14ac:dyDescent="0.25">
      <c r="A367"/>
      <c r="B367"/>
      <c r="C367"/>
      <c r="D367"/>
      <c r="E367"/>
      <c r="F367"/>
      <c r="G367"/>
      <c r="H367"/>
      <c r="I367"/>
      <c r="J367"/>
      <c r="K367"/>
      <c r="L367"/>
      <c r="M367"/>
      <c r="N367" s="1055"/>
      <c r="O367"/>
      <c r="P367"/>
      <c r="Q367"/>
      <c r="R367"/>
      <c r="S367"/>
      <c r="T367"/>
      <c r="U367"/>
      <c r="V367"/>
      <c r="W367"/>
      <c r="X367"/>
      <c r="Y367"/>
      <c r="Z367"/>
      <c r="AA367"/>
      <c r="AB367"/>
      <c r="AC367"/>
      <c r="AD367"/>
      <c r="AE367"/>
      <c r="AF367"/>
      <c r="AG367"/>
      <c r="AH367"/>
      <c r="AI367"/>
      <c r="AJ367"/>
    </row>
    <row r="368" spans="1:36" ht="15.75" outlineLevel="1" x14ac:dyDescent="0.25">
      <c r="A368"/>
      <c r="B368"/>
      <c r="C368"/>
      <c r="D368"/>
      <c r="E368"/>
      <c r="F368"/>
      <c r="G368"/>
      <c r="H368"/>
      <c r="I368"/>
      <c r="J368"/>
      <c r="K368"/>
      <c r="L368"/>
      <c r="M368"/>
      <c r="N368" s="1055"/>
      <c r="O368"/>
      <c r="P368"/>
      <c r="Q368"/>
      <c r="R368"/>
      <c r="S368"/>
      <c r="T368"/>
      <c r="U368"/>
      <c r="V368"/>
      <c r="W368"/>
      <c r="X368"/>
      <c r="Y368"/>
      <c r="Z368"/>
      <c r="AA368"/>
      <c r="AB368"/>
      <c r="AC368"/>
      <c r="AD368"/>
      <c r="AE368"/>
      <c r="AF368"/>
      <c r="AG368"/>
      <c r="AH368"/>
      <c r="AI368"/>
      <c r="AJ368"/>
    </row>
    <row r="369" spans="1:36" ht="15.75" outlineLevel="1" x14ac:dyDescent="0.25">
      <c r="A369"/>
      <c r="B369"/>
      <c r="C369"/>
      <c r="D369"/>
      <c r="E369"/>
      <c r="F369"/>
      <c r="G369"/>
      <c r="H369"/>
      <c r="I369"/>
      <c r="J369"/>
      <c r="K369"/>
      <c r="L369"/>
      <c r="M369"/>
      <c r="N369" s="1055"/>
      <c r="O369"/>
      <c r="P369"/>
      <c r="Q369"/>
      <c r="R369"/>
      <c r="S369"/>
      <c r="T369"/>
      <c r="U369"/>
      <c r="V369"/>
      <c r="W369"/>
      <c r="X369"/>
      <c r="Y369"/>
      <c r="Z369"/>
      <c r="AA369"/>
      <c r="AB369"/>
      <c r="AC369"/>
      <c r="AD369"/>
      <c r="AE369"/>
      <c r="AF369"/>
      <c r="AG369"/>
      <c r="AH369"/>
      <c r="AI369"/>
      <c r="AJ369"/>
    </row>
    <row r="370" spans="1:36" ht="15.75" outlineLevel="1" x14ac:dyDescent="0.25">
      <c r="A370"/>
      <c r="B370"/>
      <c r="C370"/>
      <c r="D370"/>
      <c r="E370"/>
      <c r="F370"/>
      <c r="G370"/>
      <c r="H370"/>
      <c r="I370"/>
      <c r="J370"/>
      <c r="K370"/>
      <c r="L370"/>
      <c r="M370"/>
      <c r="N370" s="1055"/>
      <c r="O370"/>
      <c r="P370"/>
      <c r="Q370"/>
      <c r="R370"/>
      <c r="S370"/>
      <c r="T370"/>
      <c r="U370"/>
      <c r="V370"/>
      <c r="W370"/>
      <c r="X370"/>
      <c r="Y370"/>
      <c r="Z370"/>
      <c r="AA370"/>
      <c r="AB370"/>
      <c r="AC370"/>
      <c r="AD370"/>
      <c r="AE370"/>
      <c r="AF370"/>
      <c r="AG370"/>
      <c r="AH370"/>
      <c r="AI370"/>
      <c r="AJ370"/>
    </row>
    <row r="371" spans="1:36" ht="15.75" outlineLevel="1" x14ac:dyDescent="0.25">
      <c r="A371"/>
      <c r="B371"/>
      <c r="C371"/>
      <c r="D371"/>
      <c r="E371"/>
      <c r="F371"/>
      <c r="G371"/>
      <c r="H371"/>
      <c r="I371"/>
      <c r="J371"/>
      <c r="K371"/>
      <c r="L371"/>
      <c r="M371"/>
      <c r="N371" s="1055"/>
      <c r="O371"/>
      <c r="P371"/>
      <c r="Q371"/>
      <c r="R371"/>
      <c r="S371"/>
      <c r="T371"/>
      <c r="U371"/>
      <c r="V371"/>
      <c r="W371"/>
      <c r="X371"/>
      <c r="Y371"/>
      <c r="Z371"/>
      <c r="AA371"/>
      <c r="AB371"/>
      <c r="AC371"/>
      <c r="AD371"/>
      <c r="AE371"/>
      <c r="AF371"/>
      <c r="AG371"/>
      <c r="AH371"/>
      <c r="AI371"/>
      <c r="AJ371"/>
    </row>
    <row r="372" spans="1:36" ht="15.75" outlineLevel="1" x14ac:dyDescent="0.25">
      <c r="A372"/>
      <c r="B372"/>
      <c r="C372"/>
      <c r="D372"/>
      <c r="E372"/>
      <c r="F372"/>
      <c r="G372"/>
      <c r="H372"/>
      <c r="I372"/>
      <c r="J372"/>
      <c r="K372"/>
      <c r="L372"/>
      <c r="M372"/>
      <c r="N372" s="1055"/>
      <c r="O372"/>
      <c r="P372"/>
      <c r="Q372"/>
      <c r="R372"/>
      <c r="S372"/>
      <c r="T372"/>
      <c r="U372"/>
      <c r="V372"/>
      <c r="W372"/>
      <c r="X372"/>
      <c r="Y372"/>
      <c r="Z372"/>
      <c r="AA372"/>
      <c r="AB372"/>
      <c r="AC372"/>
      <c r="AD372"/>
      <c r="AE372"/>
      <c r="AF372"/>
      <c r="AG372"/>
      <c r="AH372"/>
      <c r="AI372"/>
      <c r="AJ372"/>
    </row>
    <row r="373" spans="1:36" ht="15.75" outlineLevel="1" x14ac:dyDescent="0.25">
      <c r="A373"/>
      <c r="B373"/>
      <c r="C373"/>
      <c r="D373"/>
      <c r="E373"/>
      <c r="F373"/>
      <c r="G373"/>
      <c r="H373"/>
      <c r="I373"/>
      <c r="J373"/>
      <c r="K373"/>
      <c r="L373"/>
      <c r="M373"/>
      <c r="N373" s="1055"/>
      <c r="O373"/>
      <c r="P373"/>
      <c r="Q373"/>
      <c r="R373"/>
      <c r="S373"/>
      <c r="T373"/>
      <c r="U373"/>
      <c r="V373"/>
      <c r="W373"/>
      <c r="X373"/>
      <c r="Y373"/>
      <c r="Z373"/>
      <c r="AA373"/>
      <c r="AB373"/>
      <c r="AC373"/>
      <c r="AD373"/>
      <c r="AE373"/>
      <c r="AF373"/>
      <c r="AG373"/>
      <c r="AH373"/>
      <c r="AI373"/>
      <c r="AJ373"/>
    </row>
    <row r="374" spans="1:36" ht="15.75" outlineLevel="1" x14ac:dyDescent="0.25">
      <c r="A374"/>
      <c r="B374"/>
      <c r="C374"/>
      <c r="D374"/>
      <c r="E374"/>
      <c r="F374"/>
      <c r="G374"/>
      <c r="H374"/>
      <c r="I374"/>
      <c r="J374"/>
      <c r="K374"/>
      <c r="L374"/>
      <c r="M374"/>
      <c r="N374" s="1055"/>
      <c r="O374"/>
      <c r="P374"/>
      <c r="Q374"/>
      <c r="R374"/>
      <c r="S374"/>
      <c r="T374"/>
      <c r="U374"/>
      <c r="V374"/>
      <c r="W374"/>
      <c r="X374"/>
      <c r="Y374"/>
      <c r="Z374"/>
      <c r="AA374"/>
      <c r="AB374"/>
      <c r="AC374"/>
      <c r="AD374"/>
      <c r="AE374"/>
      <c r="AF374"/>
      <c r="AG374"/>
      <c r="AH374"/>
      <c r="AI374"/>
      <c r="AJ374"/>
    </row>
    <row r="375" spans="1:36" ht="15.75" outlineLevel="1" x14ac:dyDescent="0.25">
      <c r="A375"/>
      <c r="B375"/>
      <c r="C375"/>
      <c r="D375"/>
      <c r="E375"/>
      <c r="F375"/>
      <c r="G375"/>
      <c r="H375"/>
      <c r="I375"/>
      <c r="J375"/>
      <c r="K375"/>
      <c r="L375"/>
      <c r="M375"/>
      <c r="N375" s="1055"/>
      <c r="O375"/>
      <c r="P375"/>
      <c r="Q375"/>
      <c r="R375"/>
      <c r="S375"/>
      <c r="T375"/>
      <c r="U375"/>
      <c r="V375"/>
      <c r="W375"/>
      <c r="X375"/>
      <c r="Y375"/>
      <c r="Z375"/>
      <c r="AA375"/>
      <c r="AB375"/>
      <c r="AC375"/>
      <c r="AD375"/>
      <c r="AE375"/>
      <c r="AF375"/>
      <c r="AG375"/>
      <c r="AH375"/>
      <c r="AI375"/>
      <c r="AJ375"/>
    </row>
    <row r="376" spans="1:36" ht="15.75" outlineLevel="1" x14ac:dyDescent="0.25">
      <c r="A376"/>
      <c r="B376"/>
      <c r="C376"/>
      <c r="D376"/>
      <c r="E376"/>
      <c r="F376"/>
      <c r="G376"/>
      <c r="H376"/>
      <c r="I376"/>
      <c r="J376"/>
      <c r="K376"/>
      <c r="L376"/>
      <c r="M376"/>
      <c r="N376" s="1055"/>
      <c r="O376"/>
      <c r="P376"/>
      <c r="Q376"/>
      <c r="R376"/>
      <c r="S376"/>
      <c r="T376"/>
      <c r="U376"/>
      <c r="V376"/>
      <c r="W376"/>
      <c r="X376"/>
      <c r="Y376"/>
      <c r="Z376"/>
      <c r="AA376"/>
      <c r="AB376"/>
      <c r="AC376"/>
      <c r="AD376"/>
      <c r="AE376"/>
      <c r="AF376"/>
      <c r="AG376"/>
      <c r="AH376"/>
      <c r="AI376"/>
      <c r="AJ376"/>
    </row>
    <row r="377" spans="1:36" ht="15.75" outlineLevel="1" x14ac:dyDescent="0.25">
      <c r="A377"/>
      <c r="B377"/>
      <c r="C377"/>
      <c r="D377"/>
      <c r="E377"/>
      <c r="F377"/>
      <c r="G377"/>
      <c r="H377"/>
      <c r="I377"/>
      <c r="J377"/>
      <c r="K377"/>
      <c r="L377"/>
      <c r="M377"/>
      <c r="N377" s="1055"/>
      <c r="O377"/>
      <c r="P377"/>
      <c r="Q377"/>
      <c r="R377"/>
      <c r="S377"/>
      <c r="T377"/>
      <c r="U377"/>
      <c r="V377"/>
      <c r="W377"/>
      <c r="X377"/>
      <c r="Y377"/>
      <c r="Z377"/>
      <c r="AA377"/>
      <c r="AB377"/>
      <c r="AC377"/>
      <c r="AD377"/>
      <c r="AE377"/>
      <c r="AF377"/>
      <c r="AG377"/>
      <c r="AH377"/>
      <c r="AI377"/>
      <c r="AJ377"/>
    </row>
    <row r="378" spans="1:36" ht="15.75" outlineLevel="1" x14ac:dyDescent="0.25">
      <c r="A378"/>
      <c r="B378"/>
      <c r="C378"/>
      <c r="D378"/>
      <c r="E378"/>
      <c r="F378"/>
      <c r="G378"/>
      <c r="H378"/>
      <c r="I378"/>
      <c r="J378"/>
      <c r="K378"/>
      <c r="L378"/>
      <c r="M378"/>
      <c r="N378" s="1055"/>
      <c r="O378"/>
      <c r="P378"/>
      <c r="Q378"/>
      <c r="R378"/>
      <c r="S378"/>
      <c r="T378"/>
      <c r="U378"/>
      <c r="V378"/>
      <c r="W378"/>
      <c r="X378"/>
      <c r="Y378"/>
      <c r="Z378"/>
      <c r="AA378"/>
      <c r="AB378"/>
      <c r="AC378"/>
      <c r="AD378"/>
      <c r="AE378"/>
      <c r="AF378"/>
      <c r="AG378"/>
      <c r="AH378"/>
      <c r="AI378"/>
      <c r="AJ378"/>
    </row>
    <row r="379" spans="1:36" ht="15.75" outlineLevel="1" x14ac:dyDescent="0.25">
      <c r="A379"/>
      <c r="B379"/>
      <c r="C379"/>
      <c r="D379"/>
      <c r="E379"/>
      <c r="F379"/>
      <c r="G379"/>
      <c r="H379"/>
      <c r="I379"/>
      <c r="J379"/>
      <c r="K379"/>
      <c r="L379"/>
      <c r="M379"/>
      <c r="N379" s="1055"/>
      <c r="O379"/>
      <c r="P379"/>
      <c r="Q379"/>
      <c r="R379"/>
      <c r="S379"/>
      <c r="T379"/>
      <c r="U379"/>
      <c r="V379"/>
      <c r="W379"/>
      <c r="X379"/>
      <c r="Y379"/>
      <c r="Z379"/>
      <c r="AA379"/>
      <c r="AB379"/>
      <c r="AC379"/>
      <c r="AD379"/>
      <c r="AE379"/>
      <c r="AF379"/>
      <c r="AG379"/>
      <c r="AH379"/>
      <c r="AI379"/>
      <c r="AJ379"/>
    </row>
    <row r="380" spans="1:36" ht="15.75" x14ac:dyDescent="0.25">
      <c r="A380"/>
      <c r="B380"/>
      <c r="C380"/>
      <c r="D380"/>
      <c r="E380"/>
      <c r="F380"/>
      <c r="G380"/>
      <c r="H380"/>
      <c r="I380"/>
      <c r="J380"/>
      <c r="K380"/>
      <c r="L380"/>
      <c r="M380"/>
      <c r="N380" s="1055"/>
      <c r="O380"/>
      <c r="P380"/>
      <c r="Q380"/>
      <c r="R380"/>
      <c r="S380"/>
      <c r="T380"/>
      <c r="U380"/>
      <c r="V380"/>
      <c r="W380"/>
      <c r="X380"/>
      <c r="Y380"/>
      <c r="Z380"/>
      <c r="AA380"/>
      <c r="AB380"/>
      <c r="AC380"/>
      <c r="AD380"/>
      <c r="AE380"/>
      <c r="AF380"/>
      <c r="AG380"/>
      <c r="AH380"/>
      <c r="AI380"/>
      <c r="AJ380"/>
    </row>
    <row r="381" spans="1:36" ht="15.75" x14ac:dyDescent="0.25">
      <c r="A381"/>
      <c r="B381"/>
      <c r="C381"/>
      <c r="D381"/>
      <c r="E381"/>
      <c r="F381"/>
      <c r="G381"/>
      <c r="H381"/>
      <c r="I381"/>
      <c r="J381"/>
      <c r="K381"/>
      <c r="L381"/>
      <c r="M381"/>
      <c r="N381" s="1055"/>
      <c r="O381"/>
      <c r="P381"/>
      <c r="Q381"/>
      <c r="R381"/>
      <c r="S381"/>
      <c r="T381"/>
      <c r="U381"/>
      <c r="V381"/>
      <c r="W381"/>
      <c r="X381"/>
      <c r="Y381"/>
      <c r="Z381"/>
      <c r="AA381"/>
      <c r="AB381"/>
      <c r="AC381"/>
      <c r="AD381"/>
      <c r="AE381"/>
      <c r="AF381"/>
      <c r="AG381"/>
      <c r="AH381"/>
      <c r="AI381"/>
      <c r="AJ381"/>
    </row>
    <row r="382" spans="1:36" ht="15.75" x14ac:dyDescent="0.25">
      <c r="A382"/>
      <c r="B382"/>
      <c r="C382"/>
      <c r="D382"/>
      <c r="E382"/>
      <c r="F382"/>
      <c r="G382"/>
      <c r="H382"/>
      <c r="I382"/>
      <c r="J382"/>
      <c r="K382"/>
      <c r="L382"/>
      <c r="M382"/>
      <c r="N382" s="1055"/>
      <c r="O382"/>
      <c r="P382"/>
      <c r="Q382"/>
      <c r="R382"/>
      <c r="S382"/>
      <c r="T382"/>
      <c r="U382"/>
      <c r="V382"/>
      <c r="W382"/>
      <c r="X382"/>
      <c r="Y382"/>
      <c r="Z382"/>
      <c r="AA382"/>
      <c r="AB382"/>
      <c r="AC382"/>
      <c r="AD382"/>
      <c r="AE382"/>
      <c r="AF382"/>
      <c r="AG382"/>
      <c r="AH382"/>
      <c r="AI382"/>
      <c r="AJ382"/>
    </row>
    <row r="383" spans="1:36" ht="15.75" outlineLevel="1" x14ac:dyDescent="0.25">
      <c r="A383"/>
      <c r="B383"/>
      <c r="C383"/>
      <c r="D383"/>
      <c r="E383"/>
      <c r="F383"/>
      <c r="G383"/>
      <c r="H383"/>
      <c r="I383"/>
      <c r="J383"/>
      <c r="K383"/>
      <c r="L383"/>
      <c r="M383"/>
      <c r="N383" s="1055"/>
      <c r="O383"/>
      <c r="P383"/>
      <c r="Q383"/>
      <c r="R383"/>
      <c r="S383"/>
      <c r="T383"/>
      <c r="U383"/>
      <c r="V383"/>
      <c r="W383"/>
      <c r="X383"/>
      <c r="Y383"/>
      <c r="Z383"/>
      <c r="AA383"/>
      <c r="AB383"/>
      <c r="AC383"/>
      <c r="AD383"/>
      <c r="AE383"/>
      <c r="AF383"/>
      <c r="AG383"/>
      <c r="AH383"/>
      <c r="AI383"/>
      <c r="AJ383"/>
    </row>
    <row r="384" spans="1:36" ht="15.75" outlineLevel="1" x14ac:dyDescent="0.25">
      <c r="A384"/>
      <c r="B384"/>
      <c r="C384"/>
      <c r="D384"/>
      <c r="E384"/>
      <c r="F384"/>
      <c r="G384"/>
      <c r="H384"/>
      <c r="I384"/>
      <c r="J384"/>
      <c r="K384"/>
      <c r="L384"/>
      <c r="M384"/>
      <c r="N384" s="1055"/>
      <c r="O384"/>
      <c r="P384"/>
      <c r="Q384"/>
      <c r="R384"/>
      <c r="S384"/>
      <c r="T384"/>
      <c r="U384"/>
      <c r="V384"/>
      <c r="W384"/>
      <c r="X384"/>
      <c r="Y384"/>
      <c r="Z384"/>
      <c r="AA384"/>
      <c r="AB384"/>
      <c r="AC384"/>
      <c r="AD384"/>
      <c r="AE384"/>
      <c r="AF384"/>
      <c r="AG384"/>
      <c r="AH384"/>
      <c r="AI384"/>
      <c r="AJ384"/>
    </row>
    <row r="385" spans="1:36" ht="15.75" outlineLevel="1" x14ac:dyDescent="0.25">
      <c r="A385"/>
      <c r="B385"/>
      <c r="C385"/>
      <c r="D385"/>
      <c r="E385"/>
      <c r="F385"/>
      <c r="G385"/>
      <c r="H385"/>
      <c r="I385"/>
      <c r="J385"/>
      <c r="K385"/>
      <c r="L385"/>
      <c r="M385"/>
      <c r="N385" s="1055"/>
      <c r="O385"/>
      <c r="P385"/>
      <c r="Q385"/>
      <c r="R385"/>
      <c r="S385"/>
      <c r="T385"/>
      <c r="U385"/>
      <c r="V385"/>
      <c r="W385"/>
      <c r="X385"/>
      <c r="Y385"/>
      <c r="Z385"/>
      <c r="AA385"/>
      <c r="AB385"/>
      <c r="AC385"/>
      <c r="AD385"/>
      <c r="AE385"/>
      <c r="AF385"/>
      <c r="AG385"/>
      <c r="AH385"/>
      <c r="AI385"/>
      <c r="AJ385"/>
    </row>
    <row r="386" spans="1:36" ht="15.75" outlineLevel="1" x14ac:dyDescent="0.25">
      <c r="A386"/>
      <c r="B386"/>
      <c r="C386"/>
      <c r="D386"/>
      <c r="E386"/>
      <c r="F386"/>
      <c r="G386"/>
      <c r="H386"/>
      <c r="I386"/>
      <c r="J386"/>
      <c r="K386"/>
      <c r="L386"/>
      <c r="M386"/>
      <c r="N386" s="1055"/>
      <c r="O386"/>
      <c r="P386"/>
      <c r="Q386"/>
      <c r="R386"/>
      <c r="S386"/>
      <c r="T386"/>
      <c r="U386"/>
      <c r="V386"/>
      <c r="W386"/>
      <c r="X386"/>
      <c r="Y386"/>
      <c r="Z386"/>
      <c r="AA386"/>
      <c r="AB386"/>
      <c r="AC386"/>
      <c r="AD386"/>
      <c r="AE386"/>
      <c r="AF386"/>
      <c r="AG386"/>
      <c r="AH386"/>
      <c r="AI386"/>
      <c r="AJ386"/>
    </row>
    <row r="387" spans="1:36" ht="15.75" outlineLevel="1" x14ac:dyDescent="0.25">
      <c r="A387"/>
      <c r="B387"/>
      <c r="C387"/>
      <c r="D387"/>
      <c r="E387"/>
      <c r="F387"/>
      <c r="G387"/>
      <c r="H387"/>
      <c r="I387"/>
      <c r="J387"/>
      <c r="K387"/>
      <c r="L387"/>
      <c r="M387"/>
      <c r="N387" s="1055"/>
      <c r="O387"/>
      <c r="P387"/>
      <c r="Q387"/>
      <c r="R387"/>
      <c r="S387"/>
      <c r="T387"/>
      <c r="U387"/>
      <c r="V387"/>
      <c r="W387"/>
      <c r="X387"/>
      <c r="Y387"/>
      <c r="Z387"/>
      <c r="AA387"/>
      <c r="AB387"/>
      <c r="AC387"/>
      <c r="AD387"/>
      <c r="AE387"/>
      <c r="AF387"/>
      <c r="AG387"/>
      <c r="AH387"/>
      <c r="AI387"/>
      <c r="AJ387"/>
    </row>
    <row r="388" spans="1:36" ht="15.75" outlineLevel="1" x14ac:dyDescent="0.25">
      <c r="A388"/>
      <c r="B388"/>
      <c r="C388"/>
      <c r="D388"/>
      <c r="E388"/>
      <c r="F388"/>
      <c r="G388"/>
      <c r="H388"/>
      <c r="I388"/>
      <c r="J388"/>
      <c r="K388"/>
      <c r="L388"/>
      <c r="M388"/>
      <c r="N388" s="1055"/>
      <c r="O388"/>
      <c r="P388"/>
      <c r="Q388"/>
      <c r="R388"/>
      <c r="S388"/>
      <c r="T388"/>
      <c r="U388"/>
      <c r="V388"/>
      <c r="W388"/>
      <c r="X388"/>
      <c r="Y388"/>
      <c r="Z388"/>
      <c r="AA388"/>
      <c r="AB388"/>
      <c r="AC388"/>
      <c r="AD388"/>
      <c r="AE388"/>
      <c r="AF388"/>
      <c r="AG388"/>
      <c r="AH388"/>
      <c r="AI388"/>
      <c r="AJ388"/>
    </row>
    <row r="389" spans="1:36" ht="15.75" outlineLevel="1" x14ac:dyDescent="0.25">
      <c r="A389"/>
      <c r="B389"/>
      <c r="C389"/>
      <c r="D389"/>
      <c r="E389"/>
      <c r="F389"/>
      <c r="G389"/>
      <c r="H389"/>
      <c r="I389"/>
      <c r="J389"/>
      <c r="K389"/>
      <c r="L389"/>
      <c r="M389"/>
      <c r="N389" s="1055"/>
      <c r="O389"/>
      <c r="P389"/>
      <c r="Q389"/>
      <c r="R389"/>
      <c r="S389"/>
      <c r="T389"/>
      <c r="U389"/>
      <c r="V389"/>
      <c r="W389"/>
      <c r="X389"/>
      <c r="Y389"/>
      <c r="Z389"/>
      <c r="AA389"/>
      <c r="AB389"/>
      <c r="AC389"/>
      <c r="AD389"/>
      <c r="AE389"/>
      <c r="AF389"/>
      <c r="AG389"/>
      <c r="AH389"/>
      <c r="AI389"/>
      <c r="AJ389"/>
    </row>
    <row r="390" spans="1:36" ht="15.75" outlineLevel="1" x14ac:dyDescent="0.25">
      <c r="A390"/>
      <c r="B390"/>
      <c r="C390"/>
      <c r="D390"/>
      <c r="E390"/>
      <c r="F390"/>
      <c r="G390"/>
      <c r="H390"/>
      <c r="I390"/>
      <c r="J390"/>
      <c r="K390"/>
      <c r="L390"/>
      <c r="M390"/>
      <c r="N390" s="1055"/>
      <c r="O390"/>
      <c r="P390"/>
      <c r="Q390"/>
      <c r="R390"/>
      <c r="S390"/>
      <c r="T390"/>
      <c r="U390"/>
      <c r="V390"/>
      <c r="W390"/>
      <c r="X390"/>
      <c r="Y390"/>
      <c r="Z390"/>
      <c r="AA390"/>
      <c r="AB390"/>
      <c r="AC390"/>
      <c r="AD390"/>
      <c r="AE390"/>
      <c r="AF390"/>
      <c r="AG390"/>
      <c r="AH390"/>
      <c r="AI390"/>
      <c r="AJ390"/>
    </row>
    <row r="391" spans="1:36" ht="15.75" outlineLevel="1" x14ac:dyDescent="0.25">
      <c r="A391"/>
      <c r="B391"/>
      <c r="C391"/>
      <c r="D391"/>
      <c r="E391"/>
      <c r="F391"/>
      <c r="G391"/>
      <c r="H391"/>
      <c r="I391"/>
      <c r="J391"/>
      <c r="K391"/>
      <c r="L391"/>
      <c r="M391"/>
      <c r="N391" s="1055"/>
      <c r="O391"/>
      <c r="P391"/>
      <c r="Q391"/>
      <c r="R391"/>
      <c r="S391"/>
      <c r="T391"/>
      <c r="U391"/>
      <c r="V391"/>
      <c r="W391"/>
      <c r="X391"/>
      <c r="Y391"/>
      <c r="Z391"/>
      <c r="AA391"/>
      <c r="AB391"/>
      <c r="AC391"/>
      <c r="AD391"/>
      <c r="AE391"/>
      <c r="AF391"/>
      <c r="AG391"/>
      <c r="AH391"/>
      <c r="AI391"/>
      <c r="AJ391"/>
    </row>
    <row r="392" spans="1:36" ht="15.75" outlineLevel="1" x14ac:dyDescent="0.25">
      <c r="A392"/>
      <c r="B392"/>
      <c r="C392"/>
      <c r="D392"/>
      <c r="E392"/>
      <c r="F392"/>
      <c r="G392"/>
      <c r="H392"/>
      <c r="I392"/>
      <c r="J392"/>
      <c r="K392"/>
      <c r="L392"/>
      <c r="M392"/>
      <c r="N392" s="1055"/>
      <c r="O392"/>
      <c r="P392"/>
      <c r="Q392"/>
      <c r="R392"/>
      <c r="S392"/>
      <c r="T392"/>
      <c r="U392"/>
      <c r="V392"/>
      <c r="W392"/>
      <c r="X392"/>
      <c r="Y392"/>
      <c r="Z392"/>
      <c r="AA392"/>
      <c r="AB392"/>
      <c r="AC392"/>
      <c r="AD392"/>
      <c r="AE392"/>
      <c r="AF392"/>
      <c r="AG392"/>
      <c r="AH392"/>
      <c r="AI392"/>
      <c r="AJ392"/>
    </row>
    <row r="393" spans="1:36" ht="15.75" outlineLevel="1" x14ac:dyDescent="0.25">
      <c r="A393"/>
      <c r="B393"/>
      <c r="C393"/>
      <c r="D393"/>
      <c r="E393"/>
      <c r="F393"/>
      <c r="G393"/>
      <c r="H393"/>
      <c r="I393"/>
      <c r="J393"/>
      <c r="K393"/>
      <c r="L393"/>
      <c r="M393"/>
      <c r="N393" s="1055"/>
      <c r="O393"/>
      <c r="P393"/>
      <c r="Q393"/>
      <c r="R393"/>
      <c r="S393"/>
      <c r="T393"/>
      <c r="U393"/>
      <c r="V393"/>
      <c r="W393"/>
      <c r="X393"/>
      <c r="Y393"/>
      <c r="Z393"/>
      <c r="AA393"/>
      <c r="AB393"/>
      <c r="AC393"/>
      <c r="AD393"/>
      <c r="AE393"/>
      <c r="AF393"/>
      <c r="AG393"/>
      <c r="AH393"/>
      <c r="AI393"/>
      <c r="AJ393"/>
    </row>
    <row r="394" spans="1:36" ht="15.75" outlineLevel="1" x14ac:dyDescent="0.25">
      <c r="A394"/>
      <c r="B394"/>
      <c r="C394"/>
      <c r="D394"/>
      <c r="E394"/>
      <c r="F394"/>
      <c r="G394"/>
      <c r="H394"/>
      <c r="I394"/>
      <c r="J394"/>
      <c r="K394"/>
      <c r="L394"/>
      <c r="M394"/>
      <c r="N394" s="1055"/>
      <c r="O394"/>
      <c r="P394"/>
      <c r="Q394"/>
      <c r="R394"/>
      <c r="S394"/>
      <c r="T394"/>
      <c r="U394"/>
      <c r="V394"/>
      <c r="W394"/>
      <c r="X394"/>
      <c r="Y394"/>
      <c r="Z394"/>
      <c r="AA394"/>
      <c r="AB394"/>
      <c r="AC394"/>
      <c r="AD394"/>
      <c r="AE394"/>
      <c r="AF394"/>
      <c r="AG394"/>
      <c r="AH394"/>
      <c r="AI394"/>
      <c r="AJ394"/>
    </row>
    <row r="395" spans="1:36" ht="15.75" outlineLevel="1" x14ac:dyDescent="0.25">
      <c r="A395"/>
      <c r="B395"/>
      <c r="C395"/>
      <c r="D395"/>
      <c r="E395"/>
      <c r="F395"/>
      <c r="G395"/>
      <c r="H395"/>
      <c r="I395"/>
      <c r="J395"/>
      <c r="K395"/>
      <c r="L395"/>
      <c r="M395"/>
      <c r="N395" s="1055"/>
      <c r="O395"/>
      <c r="P395"/>
      <c r="Q395"/>
      <c r="R395"/>
      <c r="S395"/>
      <c r="T395"/>
      <c r="U395"/>
      <c r="V395"/>
      <c r="W395"/>
      <c r="X395"/>
      <c r="Y395"/>
      <c r="Z395"/>
      <c r="AA395"/>
      <c r="AB395"/>
      <c r="AC395"/>
      <c r="AD395"/>
      <c r="AE395"/>
      <c r="AF395"/>
      <c r="AG395"/>
      <c r="AH395"/>
      <c r="AI395"/>
      <c r="AJ395"/>
    </row>
    <row r="396" spans="1:36" ht="15.75" outlineLevel="1" x14ac:dyDescent="0.25">
      <c r="A396"/>
      <c r="B396"/>
      <c r="C396"/>
      <c r="D396"/>
      <c r="E396"/>
      <c r="F396"/>
      <c r="G396"/>
      <c r="H396"/>
      <c r="I396"/>
      <c r="J396"/>
      <c r="K396"/>
      <c r="L396"/>
      <c r="M396"/>
      <c r="N396" s="1055"/>
      <c r="O396"/>
      <c r="P396"/>
      <c r="Q396"/>
      <c r="R396"/>
      <c r="S396"/>
      <c r="T396"/>
      <c r="U396"/>
      <c r="V396"/>
      <c r="W396"/>
      <c r="X396"/>
      <c r="Y396"/>
      <c r="Z396"/>
      <c r="AA396"/>
      <c r="AB396"/>
      <c r="AC396"/>
      <c r="AD396"/>
      <c r="AE396"/>
      <c r="AF396"/>
      <c r="AG396"/>
      <c r="AH396"/>
      <c r="AI396"/>
      <c r="AJ396"/>
    </row>
    <row r="397" spans="1:36" ht="15.75" outlineLevel="1" x14ac:dyDescent="0.25">
      <c r="A397"/>
      <c r="B397"/>
      <c r="C397"/>
      <c r="D397"/>
      <c r="E397"/>
      <c r="F397"/>
      <c r="G397"/>
      <c r="H397"/>
      <c r="I397"/>
      <c r="J397"/>
      <c r="K397"/>
      <c r="L397"/>
      <c r="M397"/>
      <c r="N397" s="1055"/>
      <c r="O397"/>
      <c r="P397"/>
      <c r="Q397"/>
      <c r="R397"/>
      <c r="S397"/>
      <c r="T397"/>
      <c r="U397"/>
      <c r="V397"/>
      <c r="W397"/>
      <c r="X397"/>
      <c r="Y397"/>
      <c r="Z397"/>
      <c r="AA397"/>
      <c r="AB397"/>
      <c r="AC397"/>
      <c r="AD397"/>
      <c r="AE397"/>
      <c r="AF397"/>
      <c r="AG397"/>
      <c r="AH397"/>
      <c r="AI397"/>
      <c r="AJ397"/>
    </row>
    <row r="398" spans="1:36" ht="15.75" outlineLevel="1" x14ac:dyDescent="0.25">
      <c r="A398"/>
      <c r="B398"/>
      <c r="C398"/>
      <c r="D398"/>
      <c r="E398"/>
      <c r="F398"/>
      <c r="G398"/>
      <c r="H398"/>
      <c r="I398"/>
      <c r="J398"/>
      <c r="K398"/>
      <c r="L398"/>
      <c r="M398"/>
      <c r="N398" s="1055"/>
      <c r="O398"/>
      <c r="P398"/>
      <c r="Q398"/>
      <c r="R398"/>
      <c r="S398"/>
      <c r="T398"/>
      <c r="U398"/>
      <c r="V398"/>
      <c r="W398"/>
      <c r="X398"/>
      <c r="Y398"/>
      <c r="Z398"/>
      <c r="AA398"/>
      <c r="AB398"/>
      <c r="AC398"/>
      <c r="AD398"/>
      <c r="AE398"/>
      <c r="AF398"/>
      <c r="AG398"/>
      <c r="AH398"/>
      <c r="AI398"/>
      <c r="AJ398"/>
    </row>
    <row r="399" spans="1:36" ht="15.75" outlineLevel="1" x14ac:dyDescent="0.25">
      <c r="A399"/>
      <c r="B399"/>
      <c r="C399"/>
      <c r="D399"/>
      <c r="E399"/>
      <c r="F399"/>
      <c r="G399"/>
      <c r="H399"/>
      <c r="I399"/>
      <c r="J399"/>
      <c r="K399"/>
      <c r="L399"/>
      <c r="M399"/>
      <c r="N399" s="1055"/>
      <c r="O399"/>
      <c r="P399"/>
      <c r="Q399"/>
      <c r="R399"/>
      <c r="S399"/>
      <c r="T399"/>
      <c r="U399"/>
      <c r="V399"/>
      <c r="W399"/>
      <c r="X399"/>
      <c r="Y399"/>
      <c r="Z399"/>
      <c r="AA399"/>
      <c r="AB399"/>
      <c r="AC399"/>
      <c r="AD399"/>
      <c r="AE399"/>
      <c r="AF399"/>
      <c r="AG399"/>
      <c r="AH399"/>
      <c r="AI399"/>
      <c r="AJ399"/>
    </row>
    <row r="400" spans="1:36" ht="15.75" outlineLevel="1" x14ac:dyDescent="0.25">
      <c r="A400"/>
      <c r="B400"/>
      <c r="C400"/>
      <c r="D400"/>
      <c r="E400"/>
      <c r="F400"/>
      <c r="G400"/>
      <c r="H400"/>
      <c r="I400"/>
      <c r="J400"/>
      <c r="K400"/>
      <c r="L400"/>
      <c r="M400"/>
      <c r="N400" s="1055"/>
      <c r="O400"/>
      <c r="P400"/>
      <c r="Q400"/>
      <c r="R400"/>
      <c r="S400"/>
      <c r="T400"/>
      <c r="U400"/>
      <c r="V400"/>
      <c r="W400"/>
      <c r="X400"/>
      <c r="Y400"/>
      <c r="Z400"/>
      <c r="AA400"/>
      <c r="AB400"/>
      <c r="AC400"/>
      <c r="AD400"/>
      <c r="AE400"/>
      <c r="AF400"/>
      <c r="AG400"/>
      <c r="AH400"/>
      <c r="AI400"/>
      <c r="AJ400"/>
    </row>
    <row r="401" spans="1:36" ht="15.75" outlineLevel="1" x14ac:dyDescent="0.25">
      <c r="A401"/>
      <c r="B401"/>
      <c r="C401"/>
      <c r="D401"/>
      <c r="E401"/>
      <c r="F401"/>
      <c r="G401"/>
      <c r="H401"/>
      <c r="I401"/>
      <c r="J401"/>
      <c r="K401"/>
      <c r="L401"/>
      <c r="M401"/>
      <c r="N401" s="1055"/>
      <c r="O401"/>
      <c r="P401"/>
      <c r="Q401"/>
      <c r="R401"/>
      <c r="S401"/>
      <c r="T401"/>
      <c r="U401"/>
      <c r="V401"/>
      <c r="W401"/>
      <c r="X401"/>
      <c r="Y401"/>
      <c r="Z401"/>
      <c r="AA401"/>
      <c r="AB401"/>
      <c r="AC401"/>
      <c r="AD401"/>
      <c r="AE401"/>
      <c r="AF401"/>
      <c r="AG401"/>
      <c r="AH401"/>
      <c r="AI401"/>
      <c r="AJ401"/>
    </row>
    <row r="402" spans="1:36" ht="15.75" outlineLevel="1" x14ac:dyDescent="0.25">
      <c r="A402"/>
      <c r="B402"/>
      <c r="C402"/>
      <c r="D402"/>
      <c r="E402"/>
      <c r="F402"/>
      <c r="G402"/>
      <c r="H402"/>
      <c r="I402"/>
      <c r="J402"/>
      <c r="K402"/>
      <c r="L402"/>
      <c r="M402"/>
      <c r="N402" s="1055"/>
      <c r="O402"/>
      <c r="P402"/>
      <c r="Q402"/>
      <c r="R402"/>
      <c r="S402"/>
      <c r="T402"/>
      <c r="U402"/>
      <c r="V402"/>
      <c r="W402"/>
      <c r="X402"/>
      <c r="Y402"/>
      <c r="Z402"/>
      <c r="AA402"/>
      <c r="AB402"/>
      <c r="AC402"/>
      <c r="AD402"/>
      <c r="AE402"/>
      <c r="AF402"/>
      <c r="AG402"/>
      <c r="AH402"/>
      <c r="AI402"/>
      <c r="AJ402"/>
    </row>
    <row r="403" spans="1:36" ht="15.75" outlineLevel="1" x14ac:dyDescent="0.25">
      <c r="A403"/>
      <c r="B403"/>
      <c r="C403"/>
      <c r="D403"/>
      <c r="E403"/>
      <c r="F403"/>
      <c r="G403"/>
      <c r="H403"/>
      <c r="I403"/>
      <c r="J403"/>
      <c r="K403"/>
      <c r="L403"/>
      <c r="M403"/>
      <c r="N403" s="1055"/>
      <c r="O403"/>
      <c r="P403"/>
      <c r="Q403"/>
      <c r="R403"/>
      <c r="S403"/>
      <c r="T403"/>
      <c r="U403"/>
      <c r="V403"/>
      <c r="W403"/>
      <c r="X403"/>
      <c r="Y403"/>
      <c r="Z403"/>
      <c r="AA403"/>
      <c r="AB403"/>
      <c r="AC403"/>
      <c r="AD403"/>
      <c r="AE403"/>
      <c r="AF403"/>
      <c r="AG403"/>
      <c r="AH403"/>
      <c r="AI403"/>
      <c r="AJ403"/>
    </row>
    <row r="404" spans="1:36" ht="15.75" outlineLevel="1" x14ac:dyDescent="0.25">
      <c r="A404"/>
      <c r="B404"/>
      <c r="C404"/>
      <c r="D404"/>
      <c r="E404"/>
      <c r="F404"/>
      <c r="G404"/>
      <c r="H404"/>
      <c r="I404"/>
      <c r="J404"/>
      <c r="K404"/>
      <c r="L404"/>
      <c r="M404"/>
      <c r="N404" s="1055"/>
      <c r="O404"/>
      <c r="P404"/>
      <c r="Q404"/>
      <c r="R404"/>
      <c r="S404"/>
      <c r="T404"/>
      <c r="U404"/>
      <c r="V404"/>
      <c r="W404"/>
      <c r="X404"/>
      <c r="Y404"/>
      <c r="Z404"/>
      <c r="AA404"/>
      <c r="AB404"/>
      <c r="AC404"/>
      <c r="AD404"/>
      <c r="AE404"/>
      <c r="AF404"/>
      <c r="AG404"/>
      <c r="AH404"/>
      <c r="AI404"/>
      <c r="AJ404"/>
    </row>
    <row r="405" spans="1:36" ht="15.75" outlineLevel="1" x14ac:dyDescent="0.25">
      <c r="A405"/>
      <c r="B405"/>
      <c r="C405"/>
      <c r="D405"/>
      <c r="E405"/>
      <c r="F405"/>
      <c r="G405"/>
      <c r="H405"/>
      <c r="I405"/>
      <c r="J405"/>
      <c r="K405"/>
      <c r="L405"/>
      <c r="M405"/>
      <c r="N405" s="1055"/>
      <c r="O405"/>
      <c r="P405"/>
      <c r="Q405"/>
      <c r="R405"/>
      <c r="S405"/>
      <c r="T405"/>
      <c r="U405"/>
      <c r="V405"/>
      <c r="W405"/>
      <c r="X405"/>
      <c r="Y405"/>
      <c r="Z405"/>
      <c r="AA405"/>
      <c r="AB405"/>
      <c r="AC405"/>
      <c r="AD405"/>
      <c r="AE405"/>
      <c r="AF405"/>
      <c r="AG405"/>
      <c r="AH405"/>
      <c r="AI405"/>
      <c r="AJ405"/>
    </row>
    <row r="406" spans="1:36" ht="15.75" outlineLevel="1" x14ac:dyDescent="0.25">
      <c r="A406"/>
      <c r="B406"/>
      <c r="C406"/>
      <c r="D406"/>
      <c r="E406"/>
      <c r="F406"/>
      <c r="G406"/>
      <c r="H406"/>
      <c r="I406"/>
      <c r="J406"/>
      <c r="K406"/>
      <c r="L406"/>
      <c r="M406"/>
      <c r="N406" s="1055"/>
      <c r="O406"/>
      <c r="P406"/>
      <c r="Q406"/>
      <c r="R406"/>
      <c r="S406"/>
      <c r="T406"/>
      <c r="U406"/>
      <c r="V406"/>
      <c r="W406"/>
      <c r="X406"/>
      <c r="Y406"/>
      <c r="Z406"/>
      <c r="AA406"/>
      <c r="AB406"/>
      <c r="AC406"/>
      <c r="AD406"/>
      <c r="AE406"/>
      <c r="AF406"/>
      <c r="AG406"/>
      <c r="AH406"/>
      <c r="AI406"/>
      <c r="AJ406"/>
    </row>
    <row r="407" spans="1:36" ht="15.75" x14ac:dyDescent="0.25">
      <c r="A407"/>
      <c r="B407"/>
      <c r="C407"/>
      <c r="D407"/>
      <c r="E407"/>
      <c r="F407"/>
      <c r="G407"/>
      <c r="H407"/>
      <c r="I407"/>
      <c r="J407"/>
      <c r="K407"/>
      <c r="L407"/>
      <c r="M407"/>
      <c r="N407" s="1055"/>
      <c r="O407"/>
      <c r="P407"/>
      <c r="Q407"/>
      <c r="R407"/>
      <c r="S407"/>
      <c r="T407"/>
      <c r="U407"/>
      <c r="V407"/>
      <c r="W407"/>
      <c r="X407"/>
      <c r="Y407"/>
      <c r="Z407"/>
      <c r="AA407"/>
      <c r="AB407"/>
      <c r="AC407"/>
      <c r="AD407"/>
      <c r="AE407"/>
      <c r="AF407"/>
      <c r="AG407"/>
      <c r="AH407"/>
      <c r="AI407"/>
      <c r="AJ407"/>
    </row>
    <row r="408" spans="1:36" ht="15.75" x14ac:dyDescent="0.25">
      <c r="A408"/>
      <c r="B408"/>
      <c r="C408"/>
      <c r="D408"/>
      <c r="E408"/>
      <c r="F408"/>
      <c r="G408"/>
      <c r="H408"/>
      <c r="I408"/>
      <c r="J408"/>
      <c r="K408"/>
      <c r="L408"/>
      <c r="M408"/>
      <c r="N408" s="1055"/>
      <c r="O408"/>
      <c r="P408"/>
      <c r="Q408"/>
      <c r="R408"/>
      <c r="S408"/>
      <c r="T408"/>
      <c r="U408"/>
      <c r="V408"/>
      <c r="W408"/>
      <c r="X408"/>
      <c r="Y408"/>
      <c r="Z408"/>
      <c r="AA408"/>
      <c r="AB408"/>
      <c r="AC408"/>
      <c r="AD408"/>
      <c r="AE408"/>
      <c r="AF408"/>
      <c r="AG408"/>
      <c r="AH408"/>
      <c r="AI408"/>
      <c r="AJ408"/>
    </row>
  </sheetData>
  <mergeCells count="2">
    <mergeCell ref="C7:C8"/>
    <mergeCell ref="O7:O8"/>
  </mergeCells>
  <phoneticPr fontId="0" type="noConversion"/>
  <printOptions horizontalCentered="1" verticalCentered="1"/>
  <pageMargins left="0.25" right="0.25" top="0.5" bottom="0.5" header="0" footer="0"/>
  <pageSetup paperSize="9" scale="55"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6">
    <pageSetUpPr fitToPage="1"/>
  </sheetPr>
  <dimension ref="A1:T203"/>
  <sheetViews>
    <sheetView view="pageBreakPreview" topLeftCell="A27" zoomScale="70" zoomScaleNormal="95" zoomScaleSheetLayoutView="70" workbookViewId="0">
      <pane xSplit="2" topLeftCell="C1" activePane="topRight" state="frozen"/>
      <selection activeCell="F44" sqref="F44"/>
      <selection pane="topRight" activeCell="F44" sqref="F44"/>
    </sheetView>
  </sheetViews>
  <sheetFormatPr baseColWidth="10" defaultColWidth="8.77734375" defaultRowHeight="12.75" outlineLevelRow="1" x14ac:dyDescent="0.2"/>
  <cols>
    <col min="1" max="1" width="3" style="1" customWidth="1"/>
    <col min="2" max="2" width="15.109375" style="1" customWidth="1"/>
    <col min="3" max="3" width="7.77734375" style="1" customWidth="1"/>
    <col min="4" max="4" width="8.109375" style="1" customWidth="1"/>
    <col min="5" max="5" width="8.77734375" style="1" customWidth="1"/>
    <col min="6" max="6" width="8.44140625" style="1" customWidth="1"/>
    <col min="7" max="11" width="10.44140625" style="199" customWidth="1"/>
    <col min="12" max="13" width="10.44140625" style="1" customWidth="1"/>
    <col min="14" max="14" width="13.77734375" style="1" customWidth="1"/>
    <col min="15" max="15" width="12.77734375" style="1" customWidth="1"/>
    <col min="16" max="16" width="13.21875" style="1" customWidth="1"/>
    <col min="17" max="17" width="13.77734375" style="1" customWidth="1"/>
    <col min="18" max="18" width="5.77734375" style="1" customWidth="1"/>
    <col min="19" max="19" width="13.21875" style="1" customWidth="1"/>
    <col min="20" max="20" width="5.77734375" style="1" customWidth="1"/>
    <col min="21" max="16384" width="8.77734375" style="1"/>
  </cols>
  <sheetData>
    <row r="1" spans="1:20" ht="12.75" customHeight="1" x14ac:dyDescent="0.2">
      <c r="A1" s="1" t="s">
        <v>51</v>
      </c>
      <c r="C1" s="3"/>
      <c r="D1" s="3"/>
      <c r="E1" s="6">
        <v>45809</v>
      </c>
      <c r="F1" s="462" t="s">
        <v>381</v>
      </c>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tr">
        <f>"Correspondiente a  "&amp;TEXT(E1,"MMMMMMM YYYY")</f>
        <v>Correspondiente a  Junio 2025</v>
      </c>
      <c r="B4" s="132"/>
      <c r="C4" s="132"/>
      <c r="D4" s="132"/>
      <c r="E4" s="132"/>
      <c r="F4" s="132"/>
      <c r="G4" s="132"/>
      <c r="H4" s="132"/>
      <c r="I4" s="132"/>
      <c r="J4" s="132"/>
      <c r="K4" s="132"/>
      <c r="L4" s="132"/>
      <c r="M4" s="132"/>
      <c r="N4" s="132"/>
      <c r="O4" s="132"/>
      <c r="P4" s="132"/>
      <c r="Q4" s="132"/>
      <c r="R4" s="132"/>
      <c r="S4" s="132"/>
      <c r="T4" s="132"/>
    </row>
    <row r="5" spans="1:20" x14ac:dyDescent="0.2">
      <c r="A5" s="132" t="str">
        <f>"Tipo de Cambio= "&amp;TEXT(F1,"0.000")</f>
        <v>Tipo de Cambio= 3.556</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c r="H10" s="215"/>
      <c r="I10" s="217"/>
      <c r="J10" s="217"/>
      <c r="K10" s="222"/>
      <c r="L10" s="222"/>
      <c r="M10" s="222"/>
      <c r="N10" s="386"/>
      <c r="O10" s="215">
        <f t="shared" ref="O10:O25" si="0">ROUND(G10*I10,2)+ROUND(H10*J10,2)-K10-L10-M10-N10</f>
        <v>0</v>
      </c>
      <c r="P10" s="222">
        <f>ROUND(18.75%*O10,2)</f>
        <v>0</v>
      </c>
      <c r="Q10" s="222">
        <f>ROUND($O10*R10,2)</f>
        <v>0</v>
      </c>
      <c r="R10" s="223">
        <v>0.15</v>
      </c>
      <c r="S10" s="222">
        <f t="shared" ref="S10:S25" si="1">ROUND($O10*T10,2)</f>
        <v>0</v>
      </c>
      <c r="T10" s="258">
        <v>3.7499999999999999E-2</v>
      </c>
    </row>
    <row r="11" spans="1:20" ht="12.75" customHeight="1" x14ac:dyDescent="0.2">
      <c r="A11" s="23" t="s">
        <v>28</v>
      </c>
      <c r="B11" s="24" t="s">
        <v>14</v>
      </c>
      <c r="C11" s="57" t="s">
        <v>31</v>
      </c>
      <c r="D11" s="25" t="s">
        <v>30</v>
      </c>
      <c r="E11" s="57" t="s">
        <v>101</v>
      </c>
      <c r="F11" s="236" t="s">
        <v>56</v>
      </c>
      <c r="G11" s="215"/>
      <c r="H11" s="215"/>
      <c r="I11" s="217"/>
      <c r="J11" s="217"/>
      <c r="K11" s="222"/>
      <c r="L11" s="222"/>
      <c r="M11" s="222"/>
      <c r="N11" s="386"/>
      <c r="O11" s="215">
        <f t="shared" si="0"/>
        <v>0</v>
      </c>
      <c r="P11" s="222">
        <f t="shared" ref="P11:P26" si="2">ROUND(18.75%*O11,2)</f>
        <v>0</v>
      </c>
      <c r="Q11" s="222">
        <f t="shared" ref="Q11:Q25" si="3">ROUND($O11*R11,2)</f>
        <v>0</v>
      </c>
      <c r="R11" s="223">
        <v>0.15</v>
      </c>
      <c r="S11" s="222">
        <f t="shared" si="1"/>
        <v>0</v>
      </c>
      <c r="T11" s="258">
        <v>3.7499999999999999E-2</v>
      </c>
    </row>
    <row r="12" spans="1:20" x14ac:dyDescent="0.2">
      <c r="A12" s="23" t="s">
        <v>28</v>
      </c>
      <c r="B12" s="24" t="s">
        <v>3</v>
      </c>
      <c r="C12" s="57" t="s">
        <v>31</v>
      </c>
      <c r="D12" s="25" t="s">
        <v>30</v>
      </c>
      <c r="E12" s="57" t="s">
        <v>101</v>
      </c>
      <c r="F12" s="236" t="s">
        <v>37</v>
      </c>
      <c r="G12" s="215"/>
      <c r="H12" s="215"/>
      <c r="I12" s="217"/>
      <c r="J12" s="217"/>
      <c r="K12" s="222"/>
      <c r="L12" s="222"/>
      <c r="M12" s="222"/>
      <c r="N12" s="386"/>
      <c r="O12" s="215">
        <f t="shared" si="0"/>
        <v>0</v>
      </c>
      <c r="P12" s="222">
        <f t="shared" si="2"/>
        <v>0</v>
      </c>
      <c r="Q12" s="222">
        <f>ROUND($O12*R12,2)</f>
        <v>0</v>
      </c>
      <c r="R12" s="223">
        <v>0.15</v>
      </c>
      <c r="S12" s="222">
        <f t="shared" si="1"/>
        <v>0</v>
      </c>
      <c r="T12" s="258">
        <v>3.7499999999999999E-2</v>
      </c>
    </row>
    <row r="13" spans="1:20" x14ac:dyDescent="0.2">
      <c r="A13" s="242" t="s">
        <v>28</v>
      </c>
      <c r="B13" s="245" t="s">
        <v>369</v>
      </c>
      <c r="C13" s="57" t="s">
        <v>31</v>
      </c>
      <c r="D13" s="25" t="s">
        <v>30</v>
      </c>
      <c r="E13" s="57" t="s">
        <v>101</v>
      </c>
      <c r="F13" s="236" t="s">
        <v>56</v>
      </c>
      <c r="G13" s="215"/>
      <c r="H13" s="215"/>
      <c r="I13" s="217"/>
      <c r="J13" s="217"/>
      <c r="K13" s="222"/>
      <c r="L13" s="222"/>
      <c r="M13" s="222"/>
      <c r="N13" s="386"/>
      <c r="O13" s="215">
        <f>ROUND(G13*I13,2)+ROUND(H13*J13,2)-K13-L13-M13-N13</f>
        <v>0</v>
      </c>
      <c r="P13" s="222">
        <f t="shared" si="2"/>
        <v>0</v>
      </c>
      <c r="Q13" s="222">
        <f>ROUND($O13*R13,2)</f>
        <v>0</v>
      </c>
      <c r="R13" s="223">
        <v>0.15</v>
      </c>
      <c r="S13" s="222">
        <f t="shared" si="1"/>
        <v>0</v>
      </c>
      <c r="T13" s="258">
        <v>3.7499999999999999E-2</v>
      </c>
    </row>
    <row r="14" spans="1:20" x14ac:dyDescent="0.2">
      <c r="A14" s="23" t="s">
        <v>28</v>
      </c>
      <c r="B14" s="24" t="s">
        <v>4</v>
      </c>
      <c r="C14" s="57" t="s">
        <v>31</v>
      </c>
      <c r="D14" s="25" t="s">
        <v>30</v>
      </c>
      <c r="E14" s="57" t="s">
        <v>101</v>
      </c>
      <c r="F14" s="236" t="s">
        <v>37</v>
      </c>
      <c r="G14" s="215"/>
      <c r="H14" s="215"/>
      <c r="I14" s="217"/>
      <c r="J14" s="217"/>
      <c r="K14" s="222"/>
      <c r="L14" s="222"/>
      <c r="M14" s="222"/>
      <c r="N14" s="386"/>
      <c r="O14" s="215">
        <f t="shared" si="0"/>
        <v>0</v>
      </c>
      <c r="P14" s="222">
        <f t="shared" si="2"/>
        <v>0</v>
      </c>
      <c r="Q14" s="222">
        <f t="shared" si="3"/>
        <v>0</v>
      </c>
      <c r="R14" s="223">
        <v>0.15</v>
      </c>
      <c r="S14" s="222">
        <f t="shared" si="1"/>
        <v>0</v>
      </c>
      <c r="T14" s="258">
        <v>3.7499999999999999E-2</v>
      </c>
    </row>
    <row r="15" spans="1:20" x14ac:dyDescent="0.2">
      <c r="A15" s="23" t="s">
        <v>28</v>
      </c>
      <c r="B15" s="377" t="s">
        <v>370</v>
      </c>
      <c r="C15" s="57" t="s">
        <v>31</v>
      </c>
      <c r="D15" s="25" t="s">
        <v>30</v>
      </c>
      <c r="E15" s="57" t="s">
        <v>101</v>
      </c>
      <c r="F15" s="236" t="s">
        <v>56</v>
      </c>
      <c r="G15" s="215"/>
      <c r="H15" s="215"/>
      <c r="I15" s="217"/>
      <c r="J15" s="217"/>
      <c r="K15" s="222"/>
      <c r="L15" s="222"/>
      <c r="M15" s="222"/>
      <c r="N15" s="222"/>
      <c r="O15" s="224">
        <f t="shared" si="0"/>
        <v>0</v>
      </c>
      <c r="P15" s="222">
        <f t="shared" si="2"/>
        <v>0</v>
      </c>
      <c r="Q15" s="222">
        <f t="shared" si="3"/>
        <v>0</v>
      </c>
      <c r="R15" s="223">
        <v>0.15</v>
      </c>
      <c r="S15" s="222">
        <f t="shared" si="1"/>
        <v>0</v>
      </c>
      <c r="T15" s="258">
        <v>3.7499999999999999E-2</v>
      </c>
    </row>
    <row r="16" spans="1:20" x14ac:dyDescent="0.2">
      <c r="A16" s="23" t="s">
        <v>28</v>
      </c>
      <c r="B16" s="24" t="s">
        <v>5</v>
      </c>
      <c r="C16" s="57" t="s">
        <v>31</v>
      </c>
      <c r="D16" s="25" t="s">
        <v>30</v>
      </c>
      <c r="E16" s="57" t="s">
        <v>101</v>
      </c>
      <c r="F16" s="236" t="s">
        <v>37</v>
      </c>
      <c r="G16" s="215"/>
      <c r="H16" s="215"/>
      <c r="I16" s="217"/>
      <c r="J16" s="217"/>
      <c r="K16" s="222"/>
      <c r="L16" s="222"/>
      <c r="M16" s="222"/>
      <c r="N16" s="386"/>
      <c r="O16" s="215">
        <f t="shared" si="0"/>
        <v>0</v>
      </c>
      <c r="P16" s="222">
        <f t="shared" si="2"/>
        <v>0</v>
      </c>
      <c r="Q16" s="222">
        <f t="shared" si="3"/>
        <v>0</v>
      </c>
      <c r="R16" s="223">
        <v>0.15</v>
      </c>
      <c r="S16" s="222">
        <f t="shared" si="1"/>
        <v>0</v>
      </c>
      <c r="T16" s="258">
        <v>3.7499999999999999E-2</v>
      </c>
    </row>
    <row r="17" spans="1:20" x14ac:dyDescent="0.2">
      <c r="A17" s="23" t="s">
        <v>28</v>
      </c>
      <c r="B17" s="24" t="s">
        <v>371</v>
      </c>
      <c r="C17" s="57" t="s">
        <v>31</v>
      </c>
      <c r="D17" s="25" t="s">
        <v>30</v>
      </c>
      <c r="E17" s="57" t="s">
        <v>101</v>
      </c>
      <c r="F17" s="236" t="s">
        <v>37</v>
      </c>
      <c r="G17" s="215"/>
      <c r="H17" s="215"/>
      <c r="I17" s="217"/>
      <c r="J17" s="217"/>
      <c r="K17" s="222"/>
      <c r="L17" s="222"/>
      <c r="M17" s="222"/>
      <c r="N17" s="386"/>
      <c r="O17" s="215">
        <f t="shared" si="0"/>
        <v>0</v>
      </c>
      <c r="P17" s="222">
        <f t="shared" si="2"/>
        <v>0</v>
      </c>
      <c r="Q17" s="222">
        <f t="shared" si="3"/>
        <v>0</v>
      </c>
      <c r="R17" s="223">
        <v>0.15</v>
      </c>
      <c r="S17" s="222">
        <f t="shared" si="1"/>
        <v>0</v>
      </c>
      <c r="T17" s="258">
        <v>3.7499999999999999E-2</v>
      </c>
    </row>
    <row r="18" spans="1:20" x14ac:dyDescent="0.2">
      <c r="A18" s="23" t="s">
        <v>28</v>
      </c>
      <c r="B18" s="24" t="s">
        <v>17</v>
      </c>
      <c r="C18" s="57" t="s">
        <v>31</v>
      </c>
      <c r="D18" s="25" t="s">
        <v>30</v>
      </c>
      <c r="E18" s="57" t="s">
        <v>101</v>
      </c>
      <c r="F18" s="236" t="s">
        <v>37</v>
      </c>
      <c r="G18" s="215"/>
      <c r="H18" s="215"/>
      <c r="I18" s="217"/>
      <c r="J18" s="217"/>
      <c r="K18" s="222"/>
      <c r="L18" s="222"/>
      <c r="M18" s="222"/>
      <c r="N18" s="386"/>
      <c r="O18" s="224">
        <f t="shared" si="0"/>
        <v>0</v>
      </c>
      <c r="P18" s="222">
        <f t="shared" si="2"/>
        <v>0</v>
      </c>
      <c r="Q18" s="222">
        <f t="shared" si="3"/>
        <v>0</v>
      </c>
      <c r="R18" s="223">
        <v>0.15</v>
      </c>
      <c r="S18" s="222">
        <f t="shared" si="1"/>
        <v>0</v>
      </c>
      <c r="T18" s="258">
        <v>3.7499999999999999E-2</v>
      </c>
    </row>
    <row r="19" spans="1:20" x14ac:dyDescent="0.2">
      <c r="A19" s="376" t="s">
        <v>28</v>
      </c>
      <c r="B19" s="377" t="s">
        <v>237</v>
      </c>
      <c r="C19" s="57" t="s">
        <v>31</v>
      </c>
      <c r="D19" s="25" t="s">
        <v>30</v>
      </c>
      <c r="E19" s="57" t="s">
        <v>101</v>
      </c>
      <c r="F19" s="236" t="s">
        <v>37</v>
      </c>
      <c r="G19" s="215"/>
      <c r="H19" s="215"/>
      <c r="I19" s="216"/>
      <c r="J19" s="217"/>
      <c r="K19" s="222"/>
      <c r="L19" s="222"/>
      <c r="M19" s="222"/>
      <c r="N19" s="386"/>
      <c r="O19" s="224">
        <f t="shared" si="0"/>
        <v>0</v>
      </c>
      <c r="P19" s="222">
        <f t="shared" si="2"/>
        <v>0</v>
      </c>
      <c r="Q19" s="222">
        <f t="shared" si="3"/>
        <v>0</v>
      </c>
      <c r="R19" s="223">
        <v>0.15</v>
      </c>
      <c r="S19" s="222">
        <f t="shared" si="1"/>
        <v>0</v>
      </c>
      <c r="T19" s="258">
        <v>3.7499999999999999E-2</v>
      </c>
    </row>
    <row r="20" spans="1:20" x14ac:dyDescent="0.2">
      <c r="A20" s="376" t="s">
        <v>28</v>
      </c>
      <c r="B20" s="377" t="s">
        <v>239</v>
      </c>
      <c r="C20" s="57" t="s">
        <v>31</v>
      </c>
      <c r="D20" s="25" t="s">
        <v>30</v>
      </c>
      <c r="E20" s="57" t="s">
        <v>101</v>
      </c>
      <c r="F20" s="236" t="s">
        <v>56</v>
      </c>
      <c r="G20" s="215"/>
      <c r="H20" s="215"/>
      <c r="I20" s="216"/>
      <c r="J20" s="217"/>
      <c r="K20" s="222"/>
      <c r="L20" s="222"/>
      <c r="M20" s="222"/>
      <c r="N20" s="386"/>
      <c r="O20" s="1041">
        <f t="shared" si="0"/>
        <v>0</v>
      </c>
      <c r="P20" s="222">
        <f t="shared" si="2"/>
        <v>0</v>
      </c>
      <c r="Q20" s="222">
        <f t="shared" si="3"/>
        <v>0</v>
      </c>
      <c r="R20" s="223">
        <v>0.15</v>
      </c>
      <c r="S20" s="222">
        <f t="shared" si="1"/>
        <v>0</v>
      </c>
      <c r="T20" s="258">
        <v>3.7499999999999999E-2</v>
      </c>
    </row>
    <row r="21" spans="1:20" x14ac:dyDescent="0.2">
      <c r="A21" s="376" t="s">
        <v>28</v>
      </c>
      <c r="B21" s="377" t="s">
        <v>238</v>
      </c>
      <c r="C21" s="57" t="s">
        <v>31</v>
      </c>
      <c r="D21" s="25" t="s">
        <v>30</v>
      </c>
      <c r="E21" s="57" t="s">
        <v>101</v>
      </c>
      <c r="F21" s="236" t="s">
        <v>37</v>
      </c>
      <c r="G21" s="215"/>
      <c r="H21" s="215"/>
      <c r="I21" s="216"/>
      <c r="J21" s="217"/>
      <c r="K21" s="222"/>
      <c r="L21" s="222"/>
      <c r="M21" s="222"/>
      <c r="N21" s="386"/>
      <c r="O21" s="224">
        <f t="shared" si="0"/>
        <v>0</v>
      </c>
      <c r="P21" s="222">
        <f t="shared" si="2"/>
        <v>0</v>
      </c>
      <c r="Q21" s="222">
        <f t="shared" si="3"/>
        <v>0</v>
      </c>
      <c r="R21" s="223">
        <v>0.15</v>
      </c>
      <c r="S21" s="222">
        <f t="shared" si="1"/>
        <v>0</v>
      </c>
      <c r="T21" s="258">
        <v>3.7499999999999999E-2</v>
      </c>
    </row>
    <row r="22" spans="1:20" x14ac:dyDescent="0.2">
      <c r="A22" s="23" t="s">
        <v>28</v>
      </c>
      <c r="B22" s="24" t="s">
        <v>18</v>
      </c>
      <c r="C22" s="57" t="s">
        <v>31</v>
      </c>
      <c r="D22" s="25" t="s">
        <v>30</v>
      </c>
      <c r="E22" s="57" t="s">
        <v>101</v>
      </c>
      <c r="F22" s="236" t="s">
        <v>37</v>
      </c>
      <c r="G22" s="215"/>
      <c r="H22" s="215"/>
      <c r="I22" s="217"/>
      <c r="J22" s="217"/>
      <c r="K22" s="222"/>
      <c r="L22" s="222"/>
      <c r="M22" s="222"/>
      <c r="N22" s="386"/>
      <c r="O22" s="224">
        <f t="shared" si="0"/>
        <v>0</v>
      </c>
      <c r="P22" s="222">
        <f t="shared" si="2"/>
        <v>0</v>
      </c>
      <c r="Q22" s="222">
        <f t="shared" si="3"/>
        <v>0</v>
      </c>
      <c r="R22" s="223">
        <v>0.15</v>
      </c>
      <c r="S22" s="222">
        <f t="shared" si="1"/>
        <v>0</v>
      </c>
      <c r="T22" s="258">
        <v>3.7499999999999999E-2</v>
      </c>
    </row>
    <row r="23" spans="1:20" x14ac:dyDescent="0.2">
      <c r="A23" s="23" t="s">
        <v>28</v>
      </c>
      <c r="B23" s="24" t="s">
        <v>20</v>
      </c>
      <c r="C23" s="57" t="s">
        <v>31</v>
      </c>
      <c r="D23" s="25" t="s">
        <v>30</v>
      </c>
      <c r="E23" s="57" t="s">
        <v>101</v>
      </c>
      <c r="F23" s="236" t="s">
        <v>37</v>
      </c>
      <c r="G23" s="215"/>
      <c r="H23" s="215"/>
      <c r="I23" s="217"/>
      <c r="J23" s="217"/>
      <c r="K23" s="222"/>
      <c r="L23" s="222"/>
      <c r="M23" s="222"/>
      <c r="N23" s="386"/>
      <c r="O23" s="224">
        <f t="shared" si="0"/>
        <v>0</v>
      </c>
      <c r="P23" s="222">
        <f t="shared" si="2"/>
        <v>0</v>
      </c>
      <c r="Q23" s="222">
        <f t="shared" si="3"/>
        <v>0</v>
      </c>
      <c r="R23" s="223">
        <v>0.15</v>
      </c>
      <c r="S23" s="222">
        <f t="shared" si="1"/>
        <v>0</v>
      </c>
      <c r="T23" s="258">
        <v>3.7499999999999999E-2</v>
      </c>
    </row>
    <row r="24" spans="1:20" x14ac:dyDescent="0.2">
      <c r="A24" s="23" t="s">
        <v>28</v>
      </c>
      <c r="B24" s="24" t="s">
        <v>372</v>
      </c>
      <c r="C24" s="57" t="s">
        <v>31</v>
      </c>
      <c r="D24" s="25" t="s">
        <v>30</v>
      </c>
      <c r="E24" s="57" t="s">
        <v>101</v>
      </c>
      <c r="F24" s="236" t="s">
        <v>56</v>
      </c>
      <c r="G24" s="215"/>
      <c r="H24" s="215"/>
      <c r="I24" s="217"/>
      <c r="J24" s="217"/>
      <c r="K24" s="222"/>
      <c r="L24" s="222"/>
      <c r="M24" s="222"/>
      <c r="N24" s="386"/>
      <c r="O24" s="224">
        <f t="shared" si="0"/>
        <v>0</v>
      </c>
      <c r="P24" s="222">
        <f t="shared" si="2"/>
        <v>0</v>
      </c>
      <c r="Q24" s="222">
        <f t="shared" si="3"/>
        <v>0</v>
      </c>
      <c r="R24" s="223">
        <v>0.15</v>
      </c>
      <c r="S24" s="222">
        <f t="shared" si="1"/>
        <v>0</v>
      </c>
      <c r="T24" s="258">
        <v>3.7499999999999999E-2</v>
      </c>
    </row>
    <row r="25" spans="1:20" x14ac:dyDescent="0.2">
      <c r="A25" s="23" t="s">
        <v>28</v>
      </c>
      <c r="B25" s="24" t="s">
        <v>9</v>
      </c>
      <c r="C25" s="57" t="s">
        <v>31</v>
      </c>
      <c r="D25" s="25" t="s">
        <v>30</v>
      </c>
      <c r="E25" s="57" t="s">
        <v>101</v>
      </c>
      <c r="F25" s="236" t="s">
        <v>37</v>
      </c>
      <c r="G25" s="215"/>
      <c r="H25" s="215"/>
      <c r="I25" s="217"/>
      <c r="J25" s="217"/>
      <c r="K25" s="222"/>
      <c r="L25" s="222"/>
      <c r="M25" s="222"/>
      <c r="N25" s="386"/>
      <c r="O25" s="224">
        <f t="shared" si="0"/>
        <v>0</v>
      </c>
      <c r="P25" s="222">
        <f t="shared" si="2"/>
        <v>0</v>
      </c>
      <c r="Q25" s="222">
        <f t="shared" si="3"/>
        <v>0</v>
      </c>
      <c r="R25" s="223">
        <v>0.15</v>
      </c>
      <c r="S25" s="222">
        <f t="shared" si="1"/>
        <v>0</v>
      </c>
      <c r="T25" s="258">
        <v>3.7499999999999999E-2</v>
      </c>
    </row>
    <row r="26" spans="1:20" x14ac:dyDescent="0.2">
      <c r="A26" s="23" t="s">
        <v>28</v>
      </c>
      <c r="B26" s="24" t="s">
        <v>165</v>
      </c>
      <c r="C26" s="57" t="s">
        <v>31</v>
      </c>
      <c r="D26" s="25" t="s">
        <v>30</v>
      </c>
      <c r="E26" s="57" t="s">
        <v>101</v>
      </c>
      <c r="F26" s="236" t="s">
        <v>37</v>
      </c>
      <c r="G26" s="215"/>
      <c r="H26" s="215"/>
      <c r="I26" s="217"/>
      <c r="J26" s="217"/>
      <c r="K26" s="222"/>
      <c r="L26" s="222"/>
      <c r="M26" s="222"/>
      <c r="N26" s="386"/>
      <c r="O26" s="224">
        <f>ROUND(G26*I26,2)+ROUND(H26*J26,2)-K26-L26-M26-N26</f>
        <v>0</v>
      </c>
      <c r="P26" s="222">
        <f t="shared" si="2"/>
        <v>0</v>
      </c>
      <c r="Q26" s="222">
        <f>ROUND($O26*R26,2)</f>
        <v>0</v>
      </c>
      <c r="R26" s="223">
        <v>0.15</v>
      </c>
      <c r="S26" s="222">
        <f>ROUND($O26*T26,2)</f>
        <v>0</v>
      </c>
      <c r="T26" s="258">
        <v>3.7499999999999999E-2</v>
      </c>
    </row>
    <row r="27" spans="1:20" x14ac:dyDescent="0.2">
      <c r="A27" s="23" t="s">
        <v>28</v>
      </c>
      <c r="B27" s="24" t="s">
        <v>157</v>
      </c>
      <c r="C27" s="57" t="s">
        <v>31</v>
      </c>
      <c r="D27" s="25" t="s">
        <v>30</v>
      </c>
      <c r="E27" s="57" t="s">
        <v>101</v>
      </c>
      <c r="F27" s="236" t="s">
        <v>56</v>
      </c>
      <c r="G27" s="386"/>
      <c r="H27" s="386"/>
      <c r="I27" s="216"/>
      <c r="J27" s="216"/>
      <c r="K27" s="222"/>
      <c r="L27" s="222"/>
      <c r="M27" s="222"/>
      <c r="N27" s="386"/>
      <c r="O27" s="224">
        <f>O151</f>
        <v>0</v>
      </c>
      <c r="P27" s="224">
        <f>P151</f>
        <v>0</v>
      </c>
      <c r="Q27" s="224">
        <f>Q151</f>
        <v>0</v>
      </c>
      <c r="R27" s="223">
        <v>0.15</v>
      </c>
      <c r="S27" s="224">
        <f>S151</f>
        <v>0</v>
      </c>
      <c r="T27" s="258">
        <v>3.7499999999999999E-2</v>
      </c>
    </row>
    <row r="28" spans="1:20" x14ac:dyDescent="0.2">
      <c r="A28" s="23" t="s">
        <v>28</v>
      </c>
      <c r="B28" s="24" t="s">
        <v>170</v>
      </c>
      <c r="C28" s="57" t="s">
        <v>31</v>
      </c>
      <c r="D28" s="25" t="s">
        <v>30</v>
      </c>
      <c r="E28" s="57" t="s">
        <v>101</v>
      </c>
      <c r="F28" s="236" t="s">
        <v>37</v>
      </c>
      <c r="G28" s="215"/>
      <c r="H28" s="215"/>
      <c r="I28" s="217"/>
      <c r="J28" s="217"/>
      <c r="K28" s="222"/>
      <c r="L28" s="222"/>
      <c r="M28" s="222"/>
      <c r="N28" s="386"/>
      <c r="O28" s="224">
        <f>ROUND(G28*I28,2)+ROUND(H28*J28,2)-K28-L28-M28-N28</f>
        <v>0</v>
      </c>
      <c r="P28" s="222">
        <f>ROUND(18.75%*O28,2)</f>
        <v>0</v>
      </c>
      <c r="Q28" s="222">
        <f>ROUND($O28*R28,2)</f>
        <v>0</v>
      </c>
      <c r="R28" s="258">
        <v>3.7499999999999999E-2</v>
      </c>
      <c r="S28" s="222">
        <f>ROUND($O28*T28,2)</f>
        <v>0</v>
      </c>
      <c r="T28" s="223">
        <v>0.15</v>
      </c>
    </row>
    <row r="29" spans="1:20" x14ac:dyDescent="0.2">
      <c r="A29" s="23" t="s">
        <v>28</v>
      </c>
      <c r="B29" s="24" t="s">
        <v>368</v>
      </c>
      <c r="C29" s="57" t="s">
        <v>31</v>
      </c>
      <c r="D29" s="25" t="s">
        <v>30</v>
      </c>
      <c r="E29" s="57" t="s">
        <v>101</v>
      </c>
      <c r="F29" s="236" t="s">
        <v>37</v>
      </c>
      <c r="G29" s="215"/>
      <c r="H29" s="215"/>
      <c r="I29" s="217"/>
      <c r="J29" s="217"/>
      <c r="K29" s="222"/>
      <c r="L29" s="222"/>
      <c r="M29" s="222"/>
      <c r="N29" s="386"/>
      <c r="O29" s="224">
        <f>ROUND(G29*I29,2)+ROUND(H29*J29,2)-K29-L29-M29-N29</f>
        <v>0</v>
      </c>
      <c r="P29" s="222">
        <f>ROUND(18.75%*O29,2)</f>
        <v>0</v>
      </c>
      <c r="Q29" s="222">
        <f>ROUND($O29*R29,2)</f>
        <v>0</v>
      </c>
      <c r="R29" s="258">
        <v>3.7499999999999999E-2</v>
      </c>
      <c r="S29" s="222">
        <f>ROUND($O29*T29,2)</f>
        <v>0</v>
      </c>
      <c r="T29" s="223">
        <v>0.15</v>
      </c>
    </row>
    <row r="30" spans="1:20" x14ac:dyDescent="0.2">
      <c r="A30" s="26" t="s">
        <v>28</v>
      </c>
      <c r="B30" s="29" t="s">
        <v>302</v>
      </c>
      <c r="C30" s="57" t="s">
        <v>31</v>
      </c>
      <c r="D30" s="25" t="s">
        <v>30</v>
      </c>
      <c r="E30" s="57" t="s">
        <v>101</v>
      </c>
      <c r="F30" s="236" t="s">
        <v>37</v>
      </c>
      <c r="G30" s="386"/>
      <c r="H30" s="386"/>
      <c r="I30" s="217"/>
      <c r="J30" s="217"/>
      <c r="K30" s="215"/>
      <c r="L30" s="222"/>
      <c r="M30" s="222"/>
      <c r="N30" s="386"/>
      <c r="O30" s="224">
        <f>ROUND(G30*I30,2)+ROUND(H30*J30,2)-K30-L30-M30-N30</f>
        <v>0</v>
      </c>
      <c r="P30" s="222">
        <f>ROUND(18.75%*O30,2)</f>
        <v>0</v>
      </c>
      <c r="Q30" s="222">
        <f>ROUND($O30*R30,2)</f>
        <v>0</v>
      </c>
      <c r="R30" s="248">
        <v>0.15</v>
      </c>
      <c r="S30" s="222">
        <f>ROUND($O30*T30,2)+2.39</f>
        <v>2.39</v>
      </c>
      <c r="T30" s="258">
        <v>3.7499999999999999E-2</v>
      </c>
    </row>
    <row r="31" spans="1:20" x14ac:dyDescent="0.2">
      <c r="A31" s="26" t="s">
        <v>28</v>
      </c>
      <c r="B31" s="29" t="s">
        <v>303</v>
      </c>
      <c r="C31" s="57" t="s">
        <v>31</v>
      </c>
      <c r="D31" s="25" t="s">
        <v>30</v>
      </c>
      <c r="E31" s="57" t="s">
        <v>101</v>
      </c>
      <c r="F31" s="236" t="s">
        <v>56</v>
      </c>
      <c r="G31" s="386"/>
      <c r="H31" s="386"/>
      <c r="I31" s="216"/>
      <c r="J31" s="386"/>
      <c r="K31" s="215"/>
      <c r="L31" s="222"/>
      <c r="M31" s="222"/>
      <c r="N31" s="386"/>
      <c r="O31" s="224">
        <f>O185</f>
        <v>0</v>
      </c>
      <c r="P31" s="224">
        <f>P185</f>
        <v>0</v>
      </c>
      <c r="Q31" s="224">
        <f>Q185</f>
        <v>0</v>
      </c>
      <c r="R31" s="248">
        <v>0.15</v>
      </c>
      <c r="S31" s="224">
        <f>S185</f>
        <v>0</v>
      </c>
      <c r="T31" s="258">
        <v>3.7499999999999999E-2</v>
      </c>
    </row>
    <row r="32" spans="1:20" x14ac:dyDescent="0.2">
      <c r="A32" s="26" t="s">
        <v>28</v>
      </c>
      <c r="B32" s="29" t="s">
        <v>304</v>
      </c>
      <c r="C32" s="57" t="s">
        <v>31</v>
      </c>
      <c r="D32" s="25" t="s">
        <v>30</v>
      </c>
      <c r="E32" s="57" t="s">
        <v>101</v>
      </c>
      <c r="F32" s="236" t="s">
        <v>37</v>
      </c>
      <c r="G32" s="386"/>
      <c r="H32" s="386"/>
      <c r="I32" s="217"/>
      <c r="J32" s="217"/>
      <c r="K32" s="215"/>
      <c r="L32" s="222"/>
      <c r="M32" s="222"/>
      <c r="N32" s="386"/>
      <c r="O32" s="224">
        <f>ROUND(G32*I32,2)+ROUND(H32*J32,2)-K32-L32-M32-N32</f>
        <v>0</v>
      </c>
      <c r="P32" s="222">
        <f>ROUND(18.75%*O32,2)</f>
        <v>0</v>
      </c>
      <c r="Q32" s="222">
        <f>ROUND($O32*R32,2)</f>
        <v>0</v>
      </c>
      <c r="R32" s="248">
        <v>0.15</v>
      </c>
      <c r="S32" s="222">
        <f>ROUND($O32*T32,2)</f>
        <v>0</v>
      </c>
      <c r="T32" s="258">
        <v>3.7499999999999999E-2</v>
      </c>
    </row>
    <row r="33" spans="1:20" x14ac:dyDescent="0.2">
      <c r="A33" s="26" t="s">
        <v>28</v>
      </c>
      <c r="B33" s="29" t="s">
        <v>52</v>
      </c>
      <c r="C33" s="56"/>
      <c r="D33" s="56"/>
      <c r="E33" s="27"/>
      <c r="F33" s="236"/>
      <c r="G33" s="222"/>
      <c r="H33" s="222"/>
      <c r="I33" s="216"/>
      <c r="J33" s="216"/>
      <c r="K33" s="222"/>
      <c r="L33" s="222"/>
      <c r="M33" s="577"/>
      <c r="N33" s="222"/>
      <c r="O33" s="224"/>
      <c r="P33" s="224"/>
      <c r="Q33" s="224"/>
      <c r="R33" s="248"/>
      <c r="S33" s="224"/>
      <c r="T33" s="223"/>
    </row>
    <row r="34" spans="1:20" x14ac:dyDescent="0.2">
      <c r="A34" s="30"/>
      <c r="B34" s="153" t="s">
        <v>108</v>
      </c>
      <c r="C34" s="31" t="str">
        <f>TEXT(A$9,)&amp;" US$"</f>
        <v>Piura / Tumbes US$</v>
      </c>
      <c r="D34" s="38"/>
      <c r="E34" s="39"/>
      <c r="F34" s="244"/>
      <c r="G34" s="218"/>
      <c r="H34" s="218"/>
      <c r="I34" s="219"/>
      <c r="J34" s="219"/>
      <c r="K34" s="218"/>
      <c r="L34" s="218"/>
      <c r="M34" s="218"/>
      <c r="N34" s="227"/>
      <c r="O34" s="227">
        <f>SUM(O10:O33)</f>
        <v>0</v>
      </c>
      <c r="P34" s="227">
        <f>SUM(P10:P33)</f>
        <v>0</v>
      </c>
      <c r="Q34" s="227">
        <f>SUM(Q10:Q33)</f>
        <v>0</v>
      </c>
      <c r="R34" s="229"/>
      <c r="S34" s="227">
        <f>SUM(S10:S33)</f>
        <v>2.39</v>
      </c>
      <c r="T34" s="511"/>
    </row>
    <row r="35" spans="1:20" x14ac:dyDescent="0.2">
      <c r="A35" s="125"/>
      <c r="B35" s="126"/>
      <c r="C35" s="31" t="str">
        <f>TEXT(A$9,)&amp;" S/."</f>
        <v>Piura / Tumbes S/.</v>
      </c>
      <c r="D35" s="56"/>
      <c r="E35" s="56"/>
      <c r="F35" s="137"/>
      <c r="G35" s="177"/>
      <c r="H35" s="177"/>
      <c r="I35" s="202"/>
      <c r="J35" s="202"/>
      <c r="K35" s="177"/>
      <c r="L35" s="177"/>
      <c r="M35" s="177"/>
      <c r="N35" s="177"/>
      <c r="O35" s="209"/>
      <c r="P35" s="210">
        <f>ROUND($F$1*P34,2)</f>
        <v>0</v>
      </c>
      <c r="Q35" s="364">
        <f>ROUND($F$1*Q34,2)</f>
        <v>0</v>
      </c>
      <c r="R35" s="139"/>
      <c r="S35" s="363">
        <f>ROUND($F$1*S34,2)</f>
        <v>8.5</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row>
    <row r="40" spans="1:20"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row>
    <row r="43" spans="1:20" x14ac:dyDescent="0.2">
      <c r="A43" s="23" t="s">
        <v>28</v>
      </c>
      <c r="B43" s="24" t="s">
        <v>12</v>
      </c>
      <c r="C43" s="57" t="s">
        <v>31</v>
      </c>
      <c r="D43" s="57" t="s">
        <v>30</v>
      </c>
      <c r="E43" s="57" t="s">
        <v>101</v>
      </c>
      <c r="F43" s="238" t="s">
        <v>56</v>
      </c>
      <c r="G43" s="215"/>
      <c r="H43" s="215"/>
      <c r="I43" s="217"/>
      <c r="J43" s="217"/>
      <c r="K43" s="222"/>
      <c r="L43" s="222"/>
      <c r="M43" s="222"/>
      <c r="N43" s="386"/>
      <c r="O43" s="224">
        <f>ROUND(G43*I43,2)+ROUND(H43*J43,2)-K43-L43-M43-N43</f>
        <v>0</v>
      </c>
      <c r="P43" s="222">
        <f>ROUND(18.75%*O43,2)</f>
        <v>0</v>
      </c>
      <c r="Q43" s="222">
        <f>ROUND($O43*R43,2)</f>
        <v>0</v>
      </c>
      <c r="R43" s="258">
        <v>3.7499999999999999E-2</v>
      </c>
      <c r="S43" s="222">
        <f>ROUND($O43*T43,2)</f>
        <v>0</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c r="O44" s="224">
        <f>ROUND(G44*I44,2)+ROUND(H44*J44,2)-K44-L44-M44-N44</f>
        <v>0</v>
      </c>
      <c r="P44" s="222">
        <f>ROUND(18.75%*O44,2)</f>
        <v>0</v>
      </c>
      <c r="Q44" s="222">
        <f>ROUND($O44*R44,2)</f>
        <v>0</v>
      </c>
      <c r="R44" s="258">
        <v>3.7499999999999999E-2</v>
      </c>
      <c r="S44" s="222">
        <f>ROUND($O44*T44,2)</f>
        <v>0</v>
      </c>
      <c r="T44" s="223">
        <v>0.15</v>
      </c>
    </row>
    <row r="45" spans="1:20" x14ac:dyDescent="0.2">
      <c r="A45" s="23" t="s">
        <v>28</v>
      </c>
      <c r="B45" s="28">
        <v>95</v>
      </c>
      <c r="C45" s="57" t="s">
        <v>31</v>
      </c>
      <c r="D45" s="57" t="s">
        <v>30</v>
      </c>
      <c r="E45" s="57" t="s">
        <v>101</v>
      </c>
      <c r="F45" s="238" t="s">
        <v>37</v>
      </c>
      <c r="G45" s="215"/>
      <c r="H45" s="215"/>
      <c r="I45" s="217"/>
      <c r="J45" s="217"/>
      <c r="K45" s="215"/>
      <c r="L45" s="222"/>
      <c r="M45" s="222"/>
      <c r="N45" s="386"/>
      <c r="O45" s="224">
        <f>ROUND(G45*I45,2)+ROUND(H45*J45,2)-K45-L45-M45-N45</f>
        <v>0</v>
      </c>
      <c r="P45" s="222">
        <f>ROUND(18.75%*O45,2)</f>
        <v>0</v>
      </c>
      <c r="Q45" s="222">
        <f>P45-S45</f>
        <v>0</v>
      </c>
      <c r="R45" s="223">
        <v>0.15</v>
      </c>
      <c r="S45" s="222">
        <f>ROUND($O45*T45,2)</f>
        <v>0</v>
      </c>
      <c r="T45" s="258">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321"/>
      <c r="O46" s="224">
        <f>ROUND(G46*I46,2)+ROUND(H46*J46,2)-K46-L46-M46-N46</f>
        <v>0</v>
      </c>
      <c r="P46" s="222">
        <f>ROUND(18.75%*O46,2)</f>
        <v>0</v>
      </c>
      <c r="Q46" s="222">
        <f>P46-S46</f>
        <v>0</v>
      </c>
      <c r="R46" s="223">
        <v>0.15</v>
      </c>
      <c r="S46" s="222">
        <f>ROUND($O46*T46,2)</f>
        <v>0</v>
      </c>
      <c r="T46" s="258">
        <v>3.7499999999999999E-2</v>
      </c>
    </row>
    <row r="47" spans="1:20" x14ac:dyDescent="0.2">
      <c r="A47" s="18" t="s">
        <v>28</v>
      </c>
      <c r="B47" s="29" t="s">
        <v>54</v>
      </c>
      <c r="C47" s="56"/>
      <c r="D47" s="27"/>
      <c r="E47" s="27"/>
      <c r="F47" s="238"/>
      <c r="G47" s="222"/>
      <c r="H47" s="222"/>
      <c r="I47" s="216"/>
      <c r="J47" s="216"/>
      <c r="K47" s="222"/>
      <c r="L47" s="222"/>
      <c r="M47" s="222"/>
      <c r="N47" s="222"/>
      <c r="O47" s="222"/>
      <c r="P47" s="222"/>
      <c r="Q47" s="222"/>
      <c r="R47" s="222"/>
      <c r="S47" s="222"/>
      <c r="T47" s="223"/>
    </row>
    <row r="48" spans="1:20"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row>
    <row r="49" spans="1:20"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c r="H51" s="222"/>
      <c r="I51" s="216"/>
      <c r="J51" s="216"/>
      <c r="K51" s="222"/>
      <c r="L51" s="222"/>
      <c r="M51" s="222"/>
      <c r="N51" s="222"/>
      <c r="O51" s="1041">
        <f>G51*I51+H51*J51</f>
        <v>0</v>
      </c>
      <c r="P51" s="585">
        <f>ROUND(37.24%*(G51*I51+H51*J51),2)</f>
        <v>0</v>
      </c>
      <c r="Q51" s="253">
        <f t="shared" ref="Q51:Q56" si="4">ROUND(R51*P51,2)</f>
        <v>0</v>
      </c>
      <c r="R51" s="223">
        <v>0.5</v>
      </c>
      <c r="S51" s="222"/>
      <c r="T51" s="258"/>
    </row>
    <row r="52" spans="1:20" x14ac:dyDescent="0.2">
      <c r="A52" s="23" t="s">
        <v>28</v>
      </c>
      <c r="B52" s="24" t="s">
        <v>159</v>
      </c>
      <c r="C52" s="57" t="s">
        <v>31</v>
      </c>
      <c r="D52" s="57" t="s">
        <v>30</v>
      </c>
      <c r="E52" s="57" t="s">
        <v>158</v>
      </c>
      <c r="F52" s="238" t="s">
        <v>56</v>
      </c>
      <c r="G52" s="222"/>
      <c r="H52" s="222"/>
      <c r="I52" s="558"/>
      <c r="J52" s="558"/>
      <c r="K52" s="222"/>
      <c r="L52" s="222"/>
      <c r="M52" s="222"/>
      <c r="N52" s="222"/>
      <c r="O52" s="222">
        <f>O119</f>
        <v>0</v>
      </c>
      <c r="P52" s="222">
        <f>P119</f>
        <v>0</v>
      </c>
      <c r="Q52" s="222">
        <f>Q119</f>
        <v>0</v>
      </c>
      <c r="R52" s="223">
        <v>0.5</v>
      </c>
      <c r="S52" s="222"/>
      <c r="T52" s="223"/>
    </row>
    <row r="53" spans="1:20" ht="11.65" customHeight="1" x14ac:dyDescent="0.2">
      <c r="A53" s="23" t="s">
        <v>28</v>
      </c>
      <c r="B53" s="24" t="s">
        <v>168</v>
      </c>
      <c r="C53" s="57" t="s">
        <v>31</v>
      </c>
      <c r="D53" s="57" t="s">
        <v>30</v>
      </c>
      <c r="E53" s="57" t="s">
        <v>158</v>
      </c>
      <c r="F53" s="238" t="s">
        <v>37</v>
      </c>
      <c r="G53" s="222"/>
      <c r="H53" s="222"/>
      <c r="I53" s="216"/>
      <c r="J53" s="216"/>
      <c r="K53" s="222"/>
      <c r="L53" s="222"/>
      <c r="M53" s="222"/>
      <c r="N53" s="222"/>
      <c r="O53" s="1041">
        <f>G53*I53+H53*J53</f>
        <v>0</v>
      </c>
      <c r="P53" s="585">
        <f>ROUND(40%*G53*I53,2)+ROUND(40%*H53*J53,2)</f>
        <v>0</v>
      </c>
      <c r="Q53" s="253">
        <f t="shared" si="4"/>
        <v>0</v>
      </c>
      <c r="R53" s="223">
        <v>0.5</v>
      </c>
      <c r="S53" s="222"/>
      <c r="T53" s="223"/>
    </row>
    <row r="54" spans="1:20" x14ac:dyDescent="0.2">
      <c r="A54" s="23" t="s">
        <v>28</v>
      </c>
      <c r="B54" s="24" t="s">
        <v>169</v>
      </c>
      <c r="C54" s="57" t="s">
        <v>31</v>
      </c>
      <c r="D54" s="57" t="s">
        <v>30</v>
      </c>
      <c r="E54" s="57" t="s">
        <v>158</v>
      </c>
      <c r="F54" s="238" t="s">
        <v>56</v>
      </c>
      <c r="G54" s="222"/>
      <c r="H54" s="222"/>
      <c r="I54" s="558"/>
      <c r="J54" s="558"/>
      <c r="K54" s="222"/>
      <c r="L54" s="222"/>
      <c r="M54" s="222"/>
      <c r="N54" s="222"/>
      <c r="O54" s="1041">
        <f>G54*I54+H54*J54</f>
        <v>0</v>
      </c>
      <c r="P54" s="321">
        <f>ROUND(38%*(G54*I54+H54*J54),2)</f>
        <v>0</v>
      </c>
      <c r="Q54" s="222">
        <f>ROUND(R54*P54,2)</f>
        <v>0</v>
      </c>
      <c r="R54" s="223">
        <v>0.5</v>
      </c>
      <c r="S54" s="222"/>
      <c r="T54" s="223"/>
    </row>
    <row r="55" spans="1:20" x14ac:dyDescent="0.2">
      <c r="A55" s="23" t="s">
        <v>28</v>
      </c>
      <c r="B55" s="28" t="s">
        <v>175</v>
      </c>
      <c r="C55" s="57" t="s">
        <v>31</v>
      </c>
      <c r="D55" s="57" t="s">
        <v>30</v>
      </c>
      <c r="E55" s="57" t="s">
        <v>158</v>
      </c>
      <c r="F55" s="238" t="s">
        <v>37</v>
      </c>
      <c r="G55" s="222"/>
      <c r="H55" s="222"/>
      <c r="I55" s="216"/>
      <c r="J55" s="216"/>
      <c r="K55" s="215"/>
      <c r="L55" s="222"/>
      <c r="M55" s="222"/>
      <c r="N55" s="215"/>
      <c r="O55" s="1041">
        <f>G55*I55+H55*J55</f>
        <v>0</v>
      </c>
      <c r="P55" s="628">
        <f>ROUND(G55*I55,2)*6.53%+ROUND(H55*J55,2)*6.78%</f>
        <v>0</v>
      </c>
      <c r="Q55" s="253">
        <f t="shared" si="4"/>
        <v>0</v>
      </c>
      <c r="R55" s="223">
        <v>0.5</v>
      </c>
      <c r="S55" s="222"/>
      <c r="T55" s="258"/>
    </row>
    <row r="56" spans="1:20" x14ac:dyDescent="0.2">
      <c r="A56" s="23" t="s">
        <v>28</v>
      </c>
      <c r="B56" s="272" t="s">
        <v>176</v>
      </c>
      <c r="C56" s="57" t="s">
        <v>31</v>
      </c>
      <c r="D56" s="57" t="s">
        <v>30</v>
      </c>
      <c r="E56" s="57" t="s">
        <v>158</v>
      </c>
      <c r="F56" s="238" t="s">
        <v>56</v>
      </c>
      <c r="G56" s="222"/>
      <c r="H56" s="222"/>
      <c r="I56" s="216"/>
      <c r="J56" s="216"/>
      <c r="K56" s="559"/>
      <c r="L56" s="222"/>
      <c r="M56" s="222"/>
      <c r="N56" s="215"/>
      <c r="O56" s="1041">
        <f>G56*I56+H56*J56</f>
        <v>0</v>
      </c>
      <c r="P56" s="628">
        <f>ROUND(G56*I56,2)*11.21%+ROUND(H56*J56,2)*11.66%</f>
        <v>0</v>
      </c>
      <c r="Q56" s="253">
        <f t="shared" si="4"/>
        <v>0</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198"/>
      <c r="P57" s="198"/>
      <c r="Q57" s="198"/>
      <c r="R57" s="148"/>
      <c r="S57" s="188"/>
      <c r="T57" s="148"/>
    </row>
    <row r="58" spans="1:20" x14ac:dyDescent="0.2">
      <c r="A58" s="30"/>
      <c r="B58" s="153" t="s">
        <v>108</v>
      </c>
      <c r="C58" s="31" t="str">
        <f>TEXT(A$50,)&amp;" US$"</f>
        <v>Cusco US$</v>
      </c>
      <c r="D58" s="19"/>
      <c r="E58" s="19"/>
      <c r="F58" s="268"/>
      <c r="G58" s="254">
        <f>SUM(G54:G54)</f>
        <v>0</v>
      </c>
      <c r="H58" s="254">
        <f>SUM(H54:H54)</f>
        <v>0</v>
      </c>
      <c r="I58" s="304"/>
      <c r="J58" s="254"/>
      <c r="K58" s="265"/>
      <c r="L58" s="259"/>
      <c r="M58" s="303"/>
      <c r="N58" s="201"/>
      <c r="O58" s="201">
        <f>SUM(O51:O57)</f>
        <v>0</v>
      </c>
      <c r="P58" s="201">
        <f>SUM(P51:P57)</f>
        <v>0</v>
      </c>
      <c r="Q58" s="201">
        <f>SUM(Q51:Q57)</f>
        <v>0</v>
      </c>
      <c r="R58" s="560"/>
      <c r="S58" s="192"/>
      <c r="T58" s="148"/>
    </row>
    <row r="59" spans="1:20"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f>Q58*F1</f>
        <v>0</v>
      </c>
      <c r="R59" s="185"/>
      <c r="S59" s="192"/>
      <c r="T59" s="148"/>
    </row>
    <row r="60" spans="1:20"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f>O34+O39+O48+O58</f>
        <v>0</v>
      </c>
      <c r="P60" s="363">
        <f>Q58+P48+P39+P34</f>
        <v>0</v>
      </c>
      <c r="Q60" s="196">
        <f>Q35+S35+Q40+Q49+S49+Q59</f>
        <v>8.5</v>
      </c>
      <c r="R60" s="55"/>
      <c r="S60" s="196"/>
      <c r="T60" s="55"/>
    </row>
    <row r="61" spans="1:20" x14ac:dyDescent="0.2">
      <c r="G61" s="1"/>
      <c r="H61" s="1"/>
      <c r="I61" s="1"/>
      <c r="J61" s="1"/>
      <c r="K61" s="1"/>
      <c r="N61" s="509"/>
      <c r="O61" s="252"/>
      <c r="P61" s="257"/>
      <c r="S61" s="257"/>
    </row>
    <row r="62" spans="1:20" x14ac:dyDescent="0.2">
      <c r="A62" s="4" t="s">
        <v>93</v>
      </c>
      <c r="B62" s="1" t="s">
        <v>76</v>
      </c>
      <c r="G62" s="1"/>
      <c r="H62" s="4" t="s">
        <v>77</v>
      </c>
      <c r="I62" s="1"/>
      <c r="J62" s="65"/>
      <c r="K62" s="65"/>
      <c r="N62" s="509"/>
      <c r="O62" s="509"/>
      <c r="P62" s="257"/>
      <c r="Q62" s="65"/>
      <c r="S62" s="65"/>
    </row>
    <row r="63" spans="1:20" x14ac:dyDescent="0.2">
      <c r="B63" s="115" t="s">
        <v>78</v>
      </c>
      <c r="C63" s="116" t="s">
        <v>79</v>
      </c>
      <c r="D63" s="117"/>
      <c r="E63" s="118" t="s">
        <v>35</v>
      </c>
      <c r="F63" s="118" t="s">
        <v>80</v>
      </c>
      <c r="G63" s="1"/>
      <c r="H63" s="89" t="s">
        <v>35</v>
      </c>
      <c r="I63" s="8"/>
      <c r="J63" s="8"/>
      <c r="K63" s="8"/>
      <c r="L63" s="90"/>
      <c r="N63" s="509"/>
      <c r="O63" s="509"/>
      <c r="P63" s="257"/>
      <c r="Q63" s="65"/>
      <c r="S63" s="65"/>
    </row>
    <row r="64" spans="1:2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600">
        <f>322536.29/4939300</f>
        <v>6.5299999999999997E-2</v>
      </c>
      <c r="O64" s="375">
        <f>580623.78/8563772.53</f>
        <v>6.7800000287957213E-2</v>
      </c>
      <c r="P64" s="314"/>
      <c r="Q64" s="314"/>
      <c r="S64" s="314"/>
    </row>
    <row r="65" spans="1:20" x14ac:dyDescent="0.2">
      <c r="B65" s="97" t="s">
        <v>83</v>
      </c>
      <c r="C65" s="98" t="s">
        <v>84</v>
      </c>
      <c r="D65" s="99"/>
      <c r="E65" s="100"/>
      <c r="F65" s="101"/>
      <c r="G65" s="1"/>
      <c r="H65" s="102">
        <f>((85.98%*E64+4.4221)*E67+(E65-E66-E69)*(1-E67))</f>
        <v>0</v>
      </c>
      <c r="I65" s="103"/>
      <c r="J65" s="103"/>
      <c r="K65" s="103"/>
      <c r="L65" s="104"/>
      <c r="M65" s="561">
        <f>698277.28/7412709.99</f>
        <v>9.4199999857272176E-2</v>
      </c>
      <c r="N65" s="600">
        <f>1341562.54/11967551.68</f>
        <v>0.11209999972191473</v>
      </c>
      <c r="O65" s="375">
        <f>2230183.24/19126785.91</f>
        <v>0.11660000015130614</v>
      </c>
      <c r="P65" s="314"/>
      <c r="Q65" s="314"/>
      <c r="S65" s="314"/>
    </row>
    <row r="66" spans="1:20" x14ac:dyDescent="0.2">
      <c r="B66" s="97" t="s">
        <v>85</v>
      </c>
      <c r="C66" s="98" t="s">
        <v>86</v>
      </c>
      <c r="D66" s="99"/>
      <c r="E66" s="100"/>
      <c r="F66" s="100"/>
      <c r="G66" s="1"/>
      <c r="H66" s="1"/>
      <c r="I66" s="105"/>
      <c r="J66" s="1"/>
      <c r="K66" s="1"/>
      <c r="M66" s="561">
        <f>5254120.1/13135300.26</f>
        <v>0.39999999969547706</v>
      </c>
      <c r="N66" s="599"/>
      <c r="P66" s="257"/>
      <c r="Q66" s="257"/>
    </row>
    <row r="67" spans="1:20" x14ac:dyDescent="0.2">
      <c r="B67" s="97" t="s">
        <v>87</v>
      </c>
      <c r="C67" s="98" t="s">
        <v>88</v>
      </c>
      <c r="D67" s="99"/>
      <c r="E67" s="598"/>
      <c r="F67" s="598"/>
      <c r="G67" s="1"/>
      <c r="H67" s="89" t="s">
        <v>80</v>
      </c>
      <c r="I67" s="107"/>
      <c r="J67" s="8"/>
      <c r="K67" s="8"/>
      <c r="L67" s="90"/>
      <c r="M67" s="561">
        <f>503101.38/1323950.99</f>
        <v>0.38000000287019686</v>
      </c>
      <c r="N67" s="599"/>
      <c r="O67" s="325"/>
    </row>
    <row r="68" spans="1:20"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N68" s="600"/>
      <c r="O68" s="325"/>
    </row>
    <row r="69" spans="1:20" x14ac:dyDescent="0.2">
      <c r="B69" s="109" t="s">
        <v>91</v>
      </c>
      <c r="C69" s="110" t="s">
        <v>92</v>
      </c>
      <c r="D69" s="111"/>
      <c r="E69" s="112"/>
      <c r="F69" s="112"/>
      <c r="G69" s="1"/>
      <c r="H69" s="102">
        <f>((85.98%*F64+4.4221)*F67+(F65-F66-F69)*(1-F67))</f>
        <v>0</v>
      </c>
      <c r="I69" s="113"/>
      <c r="J69" s="103"/>
      <c r="K69" s="103"/>
      <c r="L69" s="104"/>
      <c r="M69" s="325"/>
      <c r="N69" s="325"/>
      <c r="O69" s="325"/>
    </row>
    <row r="70" spans="1:20" x14ac:dyDescent="0.2">
      <c r="A70" s="4"/>
      <c r="G70" s="1"/>
      <c r="H70" s="177"/>
      <c r="I70" s="1"/>
      <c r="J70" s="1"/>
      <c r="K70" s="1"/>
      <c r="M70" s="325"/>
      <c r="N70" s="325"/>
      <c r="O70" s="325"/>
    </row>
    <row r="71" spans="1:20" x14ac:dyDescent="0.2">
      <c r="A71" s="406"/>
      <c r="G71" s="1"/>
      <c r="H71" s="1"/>
      <c r="I71" s="1"/>
      <c r="J71" s="1"/>
      <c r="K71" s="1"/>
    </row>
    <row r="72" spans="1:20" x14ac:dyDescent="0.2">
      <c r="A72" s="406"/>
      <c r="G72" s="1"/>
      <c r="H72" s="1"/>
      <c r="I72" s="1"/>
      <c r="J72" s="1"/>
      <c r="K72" s="1"/>
    </row>
    <row r="73" spans="1:20" ht="18" x14ac:dyDescent="0.25">
      <c r="A73" s="1063"/>
      <c r="G73" s="1"/>
      <c r="H73" s="1"/>
      <c r="I73" s="1"/>
      <c r="J73" s="1"/>
      <c r="K73" s="1"/>
    </row>
    <row r="74" spans="1:20" x14ac:dyDescent="0.2">
      <c r="A74" s="406"/>
      <c r="G74" s="1"/>
      <c r="H74" s="1"/>
      <c r="I74" s="1"/>
      <c r="J74" s="1"/>
      <c r="K74" s="1"/>
    </row>
    <row r="75" spans="1:20" ht="15.75" x14ac:dyDescent="0.25">
      <c r="A75"/>
      <c r="B75"/>
      <c r="C75"/>
      <c r="D75"/>
      <c r="E75"/>
      <c r="F75"/>
      <c r="G75"/>
      <c r="H75"/>
      <c r="I75"/>
      <c r="J75"/>
      <c r="K75"/>
      <c r="L75"/>
      <c r="M75"/>
      <c r="N75"/>
      <c r="O75"/>
      <c r="P75"/>
      <c r="Q75"/>
      <c r="R75"/>
      <c r="S75"/>
      <c r="T75"/>
    </row>
    <row r="76" spans="1:20" ht="15.75" x14ac:dyDescent="0.25">
      <c r="A76"/>
      <c r="B76"/>
      <c r="C76"/>
      <c r="D76"/>
      <c r="E76"/>
      <c r="F76"/>
      <c r="G76"/>
      <c r="H76"/>
      <c r="I76"/>
      <c r="J76"/>
      <c r="K76"/>
      <c r="L76"/>
      <c r="M76"/>
      <c r="N76"/>
      <c r="O76"/>
      <c r="P76"/>
      <c r="Q76"/>
      <c r="R76"/>
      <c r="S76"/>
      <c r="T76"/>
    </row>
    <row r="77" spans="1:20" ht="15.75" x14ac:dyDescent="0.25">
      <c r="A77"/>
      <c r="B77"/>
      <c r="C77"/>
      <c r="D77"/>
      <c r="E77"/>
      <c r="F77"/>
      <c r="G77"/>
      <c r="H77"/>
      <c r="I77"/>
      <c r="J77"/>
      <c r="K77"/>
      <c r="L77"/>
      <c r="M77"/>
      <c r="N77"/>
      <c r="O77"/>
      <c r="P77"/>
      <c r="Q77"/>
      <c r="R77"/>
      <c r="S77"/>
      <c r="T77"/>
    </row>
    <row r="78" spans="1:20" ht="15.75" x14ac:dyDescent="0.25">
      <c r="A78"/>
      <c r="B78"/>
      <c r="C78"/>
      <c r="D78"/>
      <c r="E78"/>
      <c r="F78"/>
      <c r="G78"/>
      <c r="H78"/>
      <c r="I78"/>
      <c r="J78"/>
      <c r="K78"/>
      <c r="L78"/>
      <c r="M78"/>
      <c r="N78"/>
      <c r="O78"/>
      <c r="P78"/>
      <c r="Q78"/>
      <c r="R78"/>
      <c r="S78"/>
      <c r="T78"/>
    </row>
    <row r="79" spans="1:20" ht="15.75" x14ac:dyDescent="0.25">
      <c r="A79"/>
      <c r="B79"/>
      <c r="C79"/>
      <c r="D79"/>
      <c r="E79"/>
      <c r="F79"/>
      <c r="G79"/>
      <c r="H79"/>
      <c r="I79"/>
      <c r="J79"/>
      <c r="K79"/>
      <c r="L79"/>
      <c r="M79"/>
      <c r="N79"/>
      <c r="O79"/>
      <c r="P79"/>
      <c r="Q79"/>
      <c r="R79"/>
      <c r="S79"/>
      <c r="T79"/>
    </row>
    <row r="80" spans="1:20" ht="15.75" x14ac:dyDescent="0.25">
      <c r="A80"/>
      <c r="B80"/>
      <c r="C80"/>
      <c r="D80"/>
      <c r="E80"/>
      <c r="F80"/>
      <c r="G80"/>
      <c r="H80"/>
      <c r="I80"/>
      <c r="J80"/>
      <c r="K80"/>
      <c r="L80"/>
      <c r="M80"/>
      <c r="N80"/>
      <c r="O80"/>
      <c r="P80"/>
      <c r="Q80"/>
      <c r="R80"/>
      <c r="S80"/>
      <c r="T80"/>
    </row>
    <row r="81" spans="1:20" ht="15.75" x14ac:dyDescent="0.25">
      <c r="A81"/>
      <c r="B81"/>
      <c r="C81"/>
      <c r="D81"/>
      <c r="E81"/>
      <c r="F81"/>
      <c r="G81"/>
      <c r="H81"/>
      <c r="I81"/>
      <c r="J81"/>
      <c r="K81"/>
      <c r="L81"/>
      <c r="M81"/>
      <c r="N81"/>
      <c r="O81"/>
      <c r="P81"/>
      <c r="Q81"/>
      <c r="R81"/>
      <c r="S81"/>
      <c r="T81"/>
    </row>
    <row r="82" spans="1:20" ht="15.75" x14ac:dyDescent="0.25">
      <c r="A82"/>
      <c r="B82"/>
      <c r="C82"/>
      <c r="D82"/>
      <c r="E82"/>
      <c r="F82"/>
      <c r="G82"/>
      <c r="H82"/>
      <c r="I82"/>
      <c r="J82"/>
      <c r="K82"/>
      <c r="L82"/>
      <c r="M82"/>
      <c r="N82"/>
      <c r="O82"/>
      <c r="P82"/>
      <c r="Q82"/>
      <c r="R82"/>
      <c r="S82"/>
      <c r="T82"/>
    </row>
    <row r="83" spans="1:20" ht="15.75" x14ac:dyDescent="0.25">
      <c r="A83"/>
      <c r="B83"/>
      <c r="C83"/>
      <c r="D83"/>
      <c r="E83"/>
      <c r="F83"/>
      <c r="G83"/>
      <c r="H83"/>
      <c r="I83"/>
      <c r="J83"/>
      <c r="K83"/>
      <c r="L83"/>
      <c r="M83"/>
      <c r="N83"/>
      <c r="O83"/>
      <c r="P83"/>
      <c r="Q83"/>
      <c r="R83"/>
      <c r="S83"/>
      <c r="T83"/>
    </row>
    <row r="84" spans="1:20" ht="15.75" x14ac:dyDescent="0.25">
      <c r="A84"/>
      <c r="B84"/>
      <c r="C84"/>
      <c r="D84"/>
      <c r="E84"/>
      <c r="F84"/>
      <c r="G84"/>
      <c r="H84"/>
      <c r="I84"/>
      <c r="J84"/>
      <c r="K84"/>
      <c r="L84"/>
      <c r="M84"/>
      <c r="N84"/>
      <c r="O84"/>
      <c r="P84"/>
      <c r="Q84"/>
      <c r="R84"/>
      <c r="S84"/>
      <c r="T84"/>
    </row>
    <row r="85" spans="1:20" ht="15.75" x14ac:dyDescent="0.25">
      <c r="A85"/>
      <c r="B85"/>
      <c r="C85"/>
      <c r="D85"/>
      <c r="E85"/>
      <c r="F85"/>
      <c r="G85"/>
      <c r="H85"/>
      <c r="I85"/>
      <c r="J85"/>
      <c r="K85"/>
      <c r="L85"/>
      <c r="M85"/>
      <c r="N85"/>
      <c r="O85"/>
      <c r="P85"/>
      <c r="Q85"/>
      <c r="R85"/>
      <c r="S85"/>
      <c r="T85"/>
    </row>
    <row r="86" spans="1:20" ht="15.75" outlineLevel="1" x14ac:dyDescent="0.25">
      <c r="A86"/>
      <c r="B86"/>
      <c r="C86"/>
      <c r="D86"/>
      <c r="E86"/>
      <c r="F86"/>
      <c r="G86"/>
      <c r="H86"/>
      <c r="I86"/>
      <c r="J86"/>
      <c r="K86"/>
      <c r="L86"/>
      <c r="M86"/>
      <c r="N86"/>
      <c r="O86"/>
      <c r="P86"/>
      <c r="Q86"/>
      <c r="R86"/>
      <c r="S86"/>
      <c r="T86"/>
    </row>
    <row r="87" spans="1:20" ht="15.75" outlineLevel="1" x14ac:dyDescent="0.25">
      <c r="A87"/>
      <c r="B87"/>
      <c r="C87"/>
      <c r="D87"/>
      <c r="E87"/>
      <c r="F87"/>
      <c r="G87"/>
      <c r="H87"/>
      <c r="I87"/>
      <c r="J87"/>
      <c r="K87"/>
      <c r="L87"/>
      <c r="M87"/>
      <c r="N87"/>
      <c r="O87"/>
      <c r="P87"/>
      <c r="Q87"/>
      <c r="R87"/>
      <c r="S87"/>
      <c r="T87"/>
    </row>
    <row r="88" spans="1:20" ht="15.75" outlineLevel="1" x14ac:dyDescent="0.25">
      <c r="A88"/>
      <c r="B88"/>
      <c r="C88"/>
      <c r="D88"/>
      <c r="E88"/>
      <c r="F88"/>
      <c r="G88"/>
      <c r="H88"/>
      <c r="I88"/>
      <c r="J88"/>
      <c r="K88"/>
      <c r="L88"/>
      <c r="M88"/>
      <c r="N88"/>
      <c r="O88"/>
      <c r="P88"/>
      <c r="Q88"/>
      <c r="R88"/>
      <c r="S88"/>
      <c r="T88"/>
    </row>
    <row r="89" spans="1:20" ht="15.75" outlineLevel="1" x14ac:dyDescent="0.25">
      <c r="A89"/>
      <c r="B89"/>
      <c r="C89"/>
      <c r="D89"/>
      <c r="E89"/>
      <c r="F89"/>
      <c r="G89"/>
      <c r="H89"/>
      <c r="I89"/>
      <c r="J89"/>
      <c r="K89"/>
      <c r="L89"/>
      <c r="M89"/>
      <c r="N89"/>
      <c r="O89"/>
      <c r="P89"/>
      <c r="Q89"/>
      <c r="R89"/>
      <c r="S89"/>
      <c r="T89"/>
    </row>
    <row r="90" spans="1:20" ht="15.75" outlineLevel="1" x14ac:dyDescent="0.25">
      <c r="A90"/>
      <c r="B90"/>
      <c r="C90"/>
      <c r="D90"/>
      <c r="E90"/>
      <c r="F90"/>
      <c r="G90"/>
      <c r="H90"/>
      <c r="I90"/>
      <c r="J90"/>
      <c r="K90"/>
      <c r="L90"/>
      <c r="M90"/>
      <c r="N90"/>
      <c r="O90"/>
      <c r="P90"/>
      <c r="Q90"/>
      <c r="R90"/>
      <c r="S90"/>
      <c r="T90"/>
    </row>
    <row r="91" spans="1:20" ht="15.75" outlineLevel="1" x14ac:dyDescent="0.25">
      <c r="A91"/>
      <c r="B91"/>
      <c r="C91"/>
      <c r="D91"/>
      <c r="E91"/>
      <c r="F91"/>
      <c r="G91"/>
      <c r="H91"/>
      <c r="I91"/>
      <c r="J91"/>
      <c r="K91"/>
      <c r="L91"/>
      <c r="M91"/>
      <c r="N91"/>
      <c r="O91"/>
      <c r="P91"/>
      <c r="Q91"/>
      <c r="R91"/>
      <c r="S91"/>
      <c r="T91"/>
    </row>
    <row r="92" spans="1:20" ht="15.75" outlineLevel="1" x14ac:dyDescent="0.25">
      <c r="A92"/>
      <c r="B92"/>
      <c r="C92"/>
      <c r="D92"/>
      <c r="E92"/>
      <c r="F92"/>
      <c r="G92"/>
      <c r="H92"/>
      <c r="I92"/>
      <c r="J92"/>
      <c r="K92"/>
      <c r="L92"/>
      <c r="M92"/>
      <c r="N92"/>
      <c r="O92"/>
      <c r="P92"/>
      <c r="Q92"/>
      <c r="R92"/>
      <c r="S92"/>
      <c r="T92"/>
    </row>
    <row r="93" spans="1:20" ht="15.75" outlineLevel="1" x14ac:dyDescent="0.25">
      <c r="A93"/>
      <c r="B93"/>
      <c r="C93"/>
      <c r="D93"/>
      <c r="E93"/>
      <c r="F93"/>
      <c r="G93"/>
      <c r="H93"/>
      <c r="I93"/>
      <c r="J93"/>
      <c r="K93"/>
      <c r="L93"/>
      <c r="M93"/>
      <c r="N93"/>
      <c r="O93"/>
      <c r="P93"/>
      <c r="Q93"/>
      <c r="R93"/>
      <c r="S93"/>
      <c r="T93"/>
    </row>
    <row r="94" spans="1:20" ht="15.75" outlineLevel="1" x14ac:dyDescent="0.25">
      <c r="A94"/>
      <c r="B94"/>
      <c r="C94"/>
      <c r="D94"/>
      <c r="E94"/>
      <c r="F94"/>
      <c r="G94"/>
      <c r="H94"/>
      <c r="I94"/>
      <c r="J94"/>
      <c r="K94"/>
      <c r="L94"/>
      <c r="M94"/>
      <c r="N94"/>
      <c r="O94"/>
      <c r="P94"/>
      <c r="Q94"/>
      <c r="R94"/>
      <c r="S94"/>
      <c r="T94"/>
    </row>
    <row r="95" spans="1:20" ht="15.75" outlineLevel="1" x14ac:dyDescent="0.25">
      <c r="A95"/>
      <c r="B95"/>
      <c r="C95"/>
      <c r="D95"/>
      <c r="E95"/>
      <c r="F95"/>
      <c r="G95"/>
      <c r="H95"/>
      <c r="I95"/>
      <c r="J95"/>
      <c r="K95"/>
      <c r="L95"/>
      <c r="M95"/>
      <c r="N95"/>
      <c r="O95"/>
      <c r="P95"/>
      <c r="Q95"/>
      <c r="R95"/>
      <c r="S95"/>
      <c r="T95"/>
    </row>
    <row r="96" spans="1:20" ht="15.75" outlineLevel="1" x14ac:dyDescent="0.25">
      <c r="A96"/>
      <c r="B96"/>
      <c r="C96"/>
      <c r="D96"/>
      <c r="E96"/>
      <c r="F96"/>
      <c r="G96"/>
      <c r="H96"/>
      <c r="I96"/>
      <c r="J96"/>
      <c r="K96"/>
      <c r="L96"/>
      <c r="M96"/>
      <c r="N96"/>
      <c r="O96"/>
      <c r="P96"/>
      <c r="Q96"/>
      <c r="R96"/>
      <c r="S96"/>
      <c r="T96"/>
    </row>
    <row r="97" spans="1:20" ht="15.75" outlineLevel="1" x14ac:dyDescent="0.25">
      <c r="A97"/>
      <c r="B97"/>
      <c r="C97"/>
      <c r="D97"/>
      <c r="E97"/>
      <c r="F97"/>
      <c r="G97"/>
      <c r="H97"/>
      <c r="I97"/>
      <c r="J97"/>
      <c r="K97"/>
      <c r="L97"/>
      <c r="M97"/>
      <c r="N97"/>
      <c r="O97"/>
      <c r="P97"/>
      <c r="Q97"/>
      <c r="R97"/>
      <c r="S97"/>
      <c r="T97"/>
    </row>
    <row r="98" spans="1:20" ht="15.75" outlineLevel="1" x14ac:dyDescent="0.25">
      <c r="A98"/>
      <c r="B98"/>
      <c r="C98"/>
      <c r="D98"/>
      <c r="E98"/>
      <c r="F98"/>
      <c r="G98"/>
      <c r="H98"/>
      <c r="I98"/>
      <c r="J98"/>
      <c r="K98"/>
      <c r="L98"/>
      <c r="M98"/>
      <c r="N98"/>
      <c r="O98"/>
      <c r="P98"/>
      <c r="Q98"/>
      <c r="R98"/>
      <c r="S98"/>
      <c r="T98"/>
    </row>
    <row r="99" spans="1:20" ht="15.75" outlineLevel="1" x14ac:dyDescent="0.25">
      <c r="A99"/>
      <c r="B99"/>
      <c r="C99"/>
      <c r="D99"/>
      <c r="E99"/>
      <c r="F99"/>
      <c r="G99"/>
      <c r="H99"/>
      <c r="I99"/>
      <c r="J99"/>
      <c r="K99"/>
      <c r="L99"/>
      <c r="M99"/>
      <c r="N99"/>
      <c r="O99"/>
      <c r="P99"/>
      <c r="Q99"/>
      <c r="R99"/>
      <c r="S99"/>
      <c r="T99"/>
    </row>
    <row r="100" spans="1:20" ht="15.75" outlineLevel="1" x14ac:dyDescent="0.25">
      <c r="A100"/>
      <c r="B100"/>
      <c r="C100"/>
      <c r="D100"/>
      <c r="E100"/>
      <c r="F100"/>
      <c r="G100"/>
      <c r="H100"/>
      <c r="I100"/>
      <c r="J100"/>
      <c r="K100"/>
      <c r="L100"/>
      <c r="M100"/>
      <c r="N100"/>
      <c r="O100"/>
      <c r="P100"/>
      <c r="Q100"/>
      <c r="R100"/>
      <c r="S100"/>
      <c r="T100"/>
    </row>
    <row r="101" spans="1:20" ht="15.75" outlineLevel="1" x14ac:dyDescent="0.25">
      <c r="A101"/>
      <c r="B101"/>
      <c r="C101"/>
      <c r="D101"/>
      <c r="E101"/>
      <c r="F101"/>
      <c r="G101"/>
      <c r="H101"/>
      <c r="I101"/>
      <c r="J101"/>
      <c r="K101"/>
      <c r="L101"/>
      <c r="M101"/>
      <c r="N101"/>
      <c r="O101"/>
      <c r="P101"/>
      <c r="Q101"/>
      <c r="R101"/>
      <c r="S101"/>
      <c r="T101"/>
    </row>
    <row r="102" spans="1:20" ht="15.75" outlineLevel="1" x14ac:dyDescent="0.25">
      <c r="A102"/>
      <c r="B102"/>
      <c r="C102"/>
      <c r="D102"/>
      <c r="E102"/>
      <c r="F102"/>
      <c r="G102"/>
      <c r="H102"/>
      <c r="I102"/>
      <c r="J102"/>
      <c r="K102"/>
      <c r="L102"/>
      <c r="M102"/>
      <c r="N102"/>
      <c r="O102"/>
      <c r="P102"/>
      <c r="Q102"/>
      <c r="R102"/>
      <c r="S102"/>
      <c r="T102"/>
    </row>
    <row r="103" spans="1:20" ht="15.75" outlineLevel="1" x14ac:dyDescent="0.25">
      <c r="A103"/>
      <c r="B103"/>
      <c r="C103"/>
      <c r="D103"/>
      <c r="E103"/>
      <c r="F103"/>
      <c r="G103"/>
      <c r="H103"/>
      <c r="I103"/>
      <c r="J103"/>
      <c r="K103"/>
      <c r="L103"/>
      <c r="M103"/>
      <c r="N103"/>
      <c r="O103"/>
      <c r="P103"/>
      <c r="Q103"/>
      <c r="R103"/>
      <c r="S103"/>
      <c r="T103"/>
    </row>
    <row r="104" spans="1:20" ht="15.75" outlineLevel="1" x14ac:dyDescent="0.25">
      <c r="A104"/>
      <c r="B104"/>
      <c r="C104"/>
      <c r="D104"/>
      <c r="E104"/>
      <c r="F104"/>
      <c r="G104"/>
      <c r="H104"/>
      <c r="I104"/>
      <c r="J104"/>
      <c r="K104"/>
      <c r="L104"/>
      <c r="M104"/>
      <c r="N104"/>
      <c r="O104"/>
      <c r="P104"/>
      <c r="Q104"/>
      <c r="R104"/>
      <c r="S104"/>
      <c r="T104"/>
    </row>
    <row r="105" spans="1:20" ht="15.75" outlineLevel="1" x14ac:dyDescent="0.25">
      <c r="A105"/>
      <c r="B105"/>
      <c r="C105"/>
      <c r="D105"/>
      <c r="E105"/>
      <c r="F105"/>
      <c r="G105"/>
      <c r="H105"/>
      <c r="I105"/>
      <c r="J105"/>
      <c r="K105"/>
      <c r="L105"/>
      <c r="M105"/>
      <c r="N105"/>
      <c r="O105"/>
      <c r="P105"/>
      <c r="Q105"/>
      <c r="R105"/>
      <c r="S105"/>
      <c r="T105"/>
    </row>
    <row r="106" spans="1:20" ht="15.75" outlineLevel="1" x14ac:dyDescent="0.25">
      <c r="A106"/>
      <c r="B106"/>
      <c r="C106"/>
      <c r="D106"/>
      <c r="E106"/>
      <c r="F106"/>
      <c r="G106"/>
      <c r="H106"/>
      <c r="I106"/>
      <c r="J106"/>
      <c r="K106"/>
      <c r="L106"/>
      <c r="M106"/>
      <c r="N106"/>
      <c r="O106"/>
      <c r="P106"/>
      <c r="Q106"/>
      <c r="R106"/>
      <c r="S106"/>
      <c r="T106"/>
    </row>
    <row r="107" spans="1:20" ht="15.75" outlineLevel="1" x14ac:dyDescent="0.25">
      <c r="A107"/>
      <c r="B107"/>
      <c r="C107"/>
      <c r="D107"/>
      <c r="E107"/>
      <c r="F107"/>
      <c r="G107"/>
      <c r="H107"/>
      <c r="I107"/>
      <c r="J107"/>
      <c r="K107"/>
      <c r="L107"/>
      <c r="M107"/>
      <c r="N107"/>
      <c r="O107"/>
      <c r="P107"/>
      <c r="Q107"/>
      <c r="R107"/>
      <c r="S107"/>
      <c r="T107"/>
    </row>
    <row r="108" spans="1:20" ht="15.75" outlineLevel="1" x14ac:dyDescent="0.25">
      <c r="A108"/>
      <c r="B108"/>
      <c r="C108"/>
      <c r="D108"/>
      <c r="E108"/>
      <c r="F108"/>
      <c r="G108"/>
      <c r="H108"/>
      <c r="I108"/>
      <c r="J108"/>
      <c r="K108"/>
      <c r="L108"/>
      <c r="M108"/>
      <c r="N108"/>
      <c r="O108"/>
      <c r="P108"/>
      <c r="Q108"/>
      <c r="R108"/>
      <c r="S108"/>
      <c r="T108"/>
    </row>
    <row r="109" spans="1:20" ht="15.75" outlineLevel="1" x14ac:dyDescent="0.25">
      <c r="A109"/>
      <c r="B109"/>
      <c r="C109"/>
      <c r="D109"/>
      <c r="E109"/>
      <c r="F109"/>
      <c r="G109"/>
      <c r="H109"/>
      <c r="I109"/>
      <c r="J109"/>
      <c r="K109"/>
      <c r="L109"/>
      <c r="M109"/>
      <c r="N109"/>
      <c r="O109"/>
      <c r="P109"/>
      <c r="Q109"/>
      <c r="R109"/>
      <c r="S109"/>
      <c r="T109"/>
    </row>
    <row r="110" spans="1:20" ht="15.75" outlineLevel="1" x14ac:dyDescent="0.25">
      <c r="A110"/>
      <c r="B110"/>
      <c r="C110"/>
      <c r="D110"/>
      <c r="E110"/>
      <c r="F110"/>
      <c r="G110"/>
      <c r="H110"/>
      <c r="I110"/>
      <c r="J110"/>
      <c r="K110"/>
      <c r="L110"/>
      <c r="M110"/>
      <c r="N110"/>
      <c r="O110"/>
      <c r="P110"/>
      <c r="Q110"/>
      <c r="R110"/>
      <c r="S110"/>
      <c r="T110"/>
    </row>
    <row r="111" spans="1:20" ht="15.75" outlineLevel="1" x14ac:dyDescent="0.25">
      <c r="A111"/>
      <c r="B111"/>
      <c r="C111"/>
      <c r="D111"/>
      <c r="E111"/>
      <c r="F111"/>
      <c r="G111"/>
      <c r="H111"/>
      <c r="I111"/>
      <c r="J111"/>
      <c r="K111"/>
      <c r="L111"/>
      <c r="M111"/>
      <c r="N111"/>
      <c r="O111"/>
      <c r="P111"/>
      <c r="Q111"/>
      <c r="R111"/>
      <c r="S111"/>
      <c r="T111"/>
    </row>
    <row r="112" spans="1:20" ht="15.75" x14ac:dyDescent="0.25">
      <c r="A112"/>
      <c r="B112"/>
      <c r="C112"/>
      <c r="D112"/>
      <c r="E112"/>
      <c r="F112"/>
      <c r="G112"/>
      <c r="H112"/>
      <c r="I112"/>
      <c r="J112"/>
      <c r="K112"/>
      <c r="L112"/>
      <c r="M112"/>
      <c r="N112"/>
      <c r="O112"/>
      <c r="P112"/>
      <c r="Q112"/>
      <c r="R112"/>
      <c r="S112"/>
      <c r="T112"/>
    </row>
    <row r="113" spans="1:20" ht="15.75" outlineLevel="1" x14ac:dyDescent="0.25">
      <c r="A113" s="880" t="s">
        <v>231</v>
      </c>
      <c r="B113" s="596"/>
      <c r="C113" s="596">
        <v>88</v>
      </c>
      <c r="D113" s="596"/>
      <c r="E113" s="596"/>
      <c r="F113" s="596"/>
      <c r="G113" s="677"/>
      <c r="H113" s="677"/>
      <c r="I113" s="677"/>
      <c r="J113" s="677"/>
      <c r="K113" s="677"/>
      <c r="L113" s="596"/>
      <c r="M113" s="596"/>
      <c r="N113" s="950"/>
      <c r="O113" s="596"/>
      <c r="P113" s="596"/>
      <c r="Q113" s="596"/>
      <c r="R113" s="596"/>
      <c r="S113"/>
      <c r="T113"/>
    </row>
    <row r="114" spans="1:20" ht="15.75" x14ac:dyDescent="0.25">
      <c r="A114" s="887" t="s">
        <v>228</v>
      </c>
      <c r="B114" s="596"/>
      <c r="C114" s="596"/>
      <c r="D114" s="596"/>
      <c r="E114" s="596"/>
      <c r="F114" s="596"/>
      <c r="G114" s="704" t="s">
        <v>35</v>
      </c>
      <c r="H114" s="705" t="s">
        <v>36</v>
      </c>
      <c r="I114" s="705" t="s">
        <v>35</v>
      </c>
      <c r="J114" s="704" t="s">
        <v>36</v>
      </c>
      <c r="K114" s="704" t="s">
        <v>39</v>
      </c>
      <c r="L114" s="704" t="s">
        <v>40</v>
      </c>
      <c r="M114" s="704" t="s">
        <v>42</v>
      </c>
      <c r="N114" s="1058" t="s">
        <v>2</v>
      </c>
      <c r="O114" s="959" t="s">
        <v>180</v>
      </c>
      <c r="P114" s="961" t="s">
        <v>163</v>
      </c>
      <c r="Q114" s="961" t="s">
        <v>184</v>
      </c>
      <c r="R114" s="962"/>
      <c r="S114"/>
      <c r="T114"/>
    </row>
    <row r="115" spans="1:20" ht="15.75" outlineLevel="1" x14ac:dyDescent="0.25">
      <c r="A115" s="888" t="s">
        <v>28</v>
      </c>
      <c r="B115" s="889" t="s">
        <v>159</v>
      </c>
      <c r="C115" s="890" t="s">
        <v>31</v>
      </c>
      <c r="D115" s="890" t="s">
        <v>30</v>
      </c>
      <c r="E115" s="890" t="s">
        <v>158</v>
      </c>
      <c r="F115" s="891" t="s">
        <v>56</v>
      </c>
      <c r="G115" s="253"/>
      <c r="H115" s="420"/>
      <c r="I115" s="806"/>
      <c r="J115" s="764"/>
      <c r="K115" s="253"/>
      <c r="L115" s="253"/>
      <c r="M115" s="253"/>
      <c r="N115" s="557"/>
      <c r="O115" s="984">
        <f>ROUND(G115*I115+H115*J115,2)</f>
        <v>0</v>
      </c>
      <c r="P115" s="984">
        <f>ROUND(37.24%*O115,2)</f>
        <v>0</v>
      </c>
      <c r="Q115" s="557">
        <f>ROUND(R115*P115,2)</f>
        <v>0</v>
      </c>
      <c r="R115" s="893">
        <v>0.5</v>
      </c>
      <c r="S115"/>
      <c r="T115"/>
    </row>
    <row r="116" spans="1:20" ht="15.75" outlineLevel="1" x14ac:dyDescent="0.25">
      <c r="A116" s="894" t="s">
        <v>28</v>
      </c>
      <c r="B116" s="456" t="s">
        <v>177</v>
      </c>
      <c r="C116" s="378" t="s">
        <v>31</v>
      </c>
      <c r="D116" s="378" t="s">
        <v>30</v>
      </c>
      <c r="E116" s="378" t="s">
        <v>158</v>
      </c>
      <c r="F116" s="586" t="s">
        <v>56</v>
      </c>
      <c r="G116" s="253"/>
      <c r="H116" s="253"/>
      <c r="I116" s="806"/>
      <c r="J116" s="728"/>
      <c r="K116" s="253"/>
      <c r="L116" s="253"/>
      <c r="M116" s="253"/>
      <c r="N116" s="557"/>
      <c r="O116" s="984">
        <f>ROUND(G116*I116+H116*J116,2)</f>
        <v>0</v>
      </c>
      <c r="P116" s="984">
        <f>ROUND(37.24%*O116,2)</f>
        <v>0</v>
      </c>
      <c r="Q116" s="557">
        <f>ROUND(R116*P116,2)</f>
        <v>0</v>
      </c>
      <c r="R116" s="896">
        <v>0.5</v>
      </c>
      <c r="S116"/>
      <c r="T116"/>
    </row>
    <row r="117" spans="1:20" ht="15.75" outlineLevel="1" x14ac:dyDescent="0.25">
      <c r="A117" s="894" t="s">
        <v>28</v>
      </c>
      <c r="B117" s="456" t="s">
        <v>234</v>
      </c>
      <c r="C117" s="378" t="s">
        <v>31</v>
      </c>
      <c r="D117" s="378" t="s">
        <v>30</v>
      </c>
      <c r="E117" s="378" t="s">
        <v>158</v>
      </c>
      <c r="F117" s="781" t="s">
        <v>56</v>
      </c>
      <c r="G117" s="253"/>
      <c r="H117" s="341"/>
      <c r="I117" s="806"/>
      <c r="J117" s="728"/>
      <c r="K117" s="253"/>
      <c r="L117" s="253"/>
      <c r="M117" s="253"/>
      <c r="N117" s="557"/>
      <c r="O117" s="984">
        <f>ROUND(G117*I117+H117*J117,2)</f>
        <v>0</v>
      </c>
      <c r="P117" s="984">
        <f>ROUND(38%*G117*I117,2)+ROUND(38%*H117*J117,2)</f>
        <v>0</v>
      </c>
      <c r="Q117" s="557">
        <f>ROUND(R117*P117,2)</f>
        <v>0</v>
      </c>
      <c r="R117" s="775">
        <v>0.5</v>
      </c>
      <c r="S117"/>
      <c r="T117"/>
    </row>
    <row r="118" spans="1:20" ht="15.75" outlineLevel="1" x14ac:dyDescent="0.25">
      <c r="A118" s="898" t="s">
        <v>28</v>
      </c>
      <c r="B118" s="457" t="s">
        <v>178</v>
      </c>
      <c r="C118" s="899" t="s">
        <v>31</v>
      </c>
      <c r="D118" s="899" t="s">
        <v>30</v>
      </c>
      <c r="E118" s="899" t="s">
        <v>158</v>
      </c>
      <c r="F118" s="740" t="s">
        <v>56</v>
      </c>
      <c r="G118" s="424"/>
      <c r="H118" s="424"/>
      <c r="I118" s="907"/>
      <c r="J118" s="741"/>
      <c r="K118" s="424"/>
      <c r="L118" s="424"/>
      <c r="M118" s="424"/>
      <c r="N118" s="895"/>
      <c r="O118" s="1042">
        <f>ROUND(G118*I118+H118*J118,2)</f>
        <v>0</v>
      </c>
      <c r="P118" s="1042">
        <f>ROUND(37.24%*O118,2)</f>
        <v>0</v>
      </c>
      <c r="Q118" s="895">
        <f>ROUND(R118*P118,2)</f>
        <v>0</v>
      </c>
      <c r="R118" s="901">
        <v>0.5</v>
      </c>
      <c r="S118"/>
      <c r="T118"/>
    </row>
    <row r="119" spans="1:20" ht="15.75" outlineLevel="1" x14ac:dyDescent="0.25">
      <c r="A119" s="596"/>
      <c r="B119" s="596"/>
      <c r="C119" s="596"/>
      <c r="D119" s="596"/>
      <c r="E119" s="596"/>
      <c r="F119" s="596"/>
      <c r="G119" s="902">
        <f>SUM(G115:G118)</f>
        <v>0</v>
      </c>
      <c r="H119" s="902">
        <f>SUM(H115:H118)</f>
        <v>0</v>
      </c>
      <c r="I119" s="902"/>
      <c r="J119" s="677"/>
      <c r="K119" s="677"/>
      <c r="L119" s="596"/>
      <c r="M119" s="596"/>
      <c r="N119" s="950"/>
      <c r="O119" s="734">
        <f>SUM(O115:O118)</f>
        <v>0</v>
      </c>
      <c r="P119" s="734">
        <f>SUM(P115:P118)</f>
        <v>0</v>
      </c>
      <c r="Q119" s="734">
        <f>SUM(Q115:Q118)</f>
        <v>0</v>
      </c>
      <c r="R119" s="596"/>
      <c r="S119"/>
      <c r="T119"/>
    </row>
    <row r="120" spans="1:20" ht="15.75" outlineLevel="1" x14ac:dyDescent="0.25">
      <c r="A120" s="596"/>
      <c r="B120" s="596"/>
      <c r="C120" s="596"/>
      <c r="D120" s="596"/>
      <c r="E120" s="596"/>
      <c r="F120" s="596"/>
      <c r="G120" s="677"/>
      <c r="H120" s="677"/>
      <c r="I120" s="677"/>
      <c r="J120" s="677"/>
      <c r="K120" s="677"/>
      <c r="L120" s="596"/>
      <c r="M120" s="596"/>
      <c r="N120" s="950"/>
      <c r="O120" s="596"/>
      <c r="P120" s="861" t="e">
        <f>P119/O119</f>
        <v>#DIV/0!</v>
      </c>
      <c r="Q120" s="596"/>
      <c r="R120" s="596"/>
      <c r="S120"/>
      <c r="T120"/>
    </row>
    <row r="121" spans="1:20" ht="15.75" outlineLevel="1" x14ac:dyDescent="0.25">
      <c r="A121" s="880" t="s">
        <v>232</v>
      </c>
      <c r="B121" s="596"/>
      <c r="C121" s="596"/>
      <c r="D121" s="596"/>
      <c r="E121" s="596"/>
      <c r="F121" s="596"/>
      <c r="G121" s="677"/>
      <c r="H121" s="677"/>
      <c r="I121" s="677"/>
      <c r="J121" s="677"/>
      <c r="K121" s="677"/>
      <c r="L121" s="596"/>
      <c r="M121" s="596"/>
      <c r="N121" s="950"/>
      <c r="O121" s="597"/>
      <c r="P121" s="597"/>
      <c r="Q121" s="683"/>
      <c r="R121" s="596"/>
      <c r="S121"/>
      <c r="T121"/>
    </row>
    <row r="122" spans="1:20" ht="15.75" outlineLevel="1" x14ac:dyDescent="0.25">
      <c r="A122" s="596"/>
      <c r="B122" s="596"/>
      <c r="C122" s="596"/>
      <c r="D122" s="596"/>
      <c r="E122" s="596"/>
      <c r="F122" s="596"/>
      <c r="G122" s="677"/>
      <c r="H122" s="677"/>
      <c r="I122" s="677"/>
      <c r="J122" s="677"/>
      <c r="K122" s="677"/>
      <c r="L122" s="596"/>
      <c r="M122" s="596"/>
      <c r="N122" s="950"/>
      <c r="O122" s="596"/>
      <c r="P122" s="596"/>
      <c r="Q122" s="596"/>
      <c r="R122" s="596"/>
      <c r="S122"/>
      <c r="T122"/>
    </row>
    <row r="123" spans="1:20" ht="15.75" outlineLevel="1" x14ac:dyDescent="0.25">
      <c r="A123" s="888" t="s">
        <v>28</v>
      </c>
      <c r="B123" s="889" t="s">
        <v>159</v>
      </c>
      <c r="C123" s="890" t="s">
        <v>31</v>
      </c>
      <c r="D123" s="890" t="s">
        <v>30</v>
      </c>
      <c r="E123" s="890" t="s">
        <v>158</v>
      </c>
      <c r="F123" s="891" t="s">
        <v>56</v>
      </c>
      <c r="G123" s="420">
        <f>G115</f>
        <v>0</v>
      </c>
      <c r="H123" s="420"/>
      <c r="I123" s="903">
        <f>I115</f>
        <v>0</v>
      </c>
      <c r="J123" s="764"/>
      <c r="K123" s="420"/>
      <c r="L123" s="420"/>
      <c r="M123" s="420"/>
      <c r="N123" s="904"/>
      <c r="O123" s="904">
        <f>ROUND(G123*I123+H123*J123,2)</f>
        <v>0</v>
      </c>
      <c r="P123" s="904">
        <f>ROUND(37.24%*O123,2)</f>
        <v>0</v>
      </c>
      <c r="Q123" s="904">
        <f>ROUND(R123*P123,2)</f>
        <v>0</v>
      </c>
      <c r="R123" s="893">
        <v>0.5</v>
      </c>
      <c r="S123"/>
      <c r="T123"/>
    </row>
    <row r="124" spans="1:20" ht="15.75" outlineLevel="1" x14ac:dyDescent="0.25">
      <c r="A124" s="894" t="s">
        <v>28</v>
      </c>
      <c r="B124" s="456" t="s">
        <v>177</v>
      </c>
      <c r="C124" s="378" t="s">
        <v>31</v>
      </c>
      <c r="D124" s="378" t="s">
        <v>30</v>
      </c>
      <c r="E124" s="378" t="s">
        <v>158</v>
      </c>
      <c r="F124" s="586" t="s">
        <v>56</v>
      </c>
      <c r="G124" s="253">
        <f>G116</f>
        <v>0</v>
      </c>
      <c r="H124" s="253"/>
      <c r="I124" s="806">
        <f>I116</f>
        <v>0</v>
      </c>
      <c r="J124" s="728"/>
      <c r="K124" s="253"/>
      <c r="L124" s="253"/>
      <c r="M124" s="253"/>
      <c r="N124" s="557"/>
      <c r="O124" s="557">
        <f>ROUND(G124*I124+H124*J124,2)</f>
        <v>0</v>
      </c>
      <c r="P124" s="557">
        <f>ROUND(37.24%*O124,2)</f>
        <v>0</v>
      </c>
      <c r="Q124" s="557">
        <f>ROUND(R124*P124,2)</f>
        <v>0</v>
      </c>
      <c r="R124" s="775">
        <v>0.5</v>
      </c>
      <c r="S124"/>
      <c r="T124"/>
    </row>
    <row r="125" spans="1:20" ht="15.75" outlineLevel="1" x14ac:dyDescent="0.25">
      <c r="A125" s="894" t="s">
        <v>28</v>
      </c>
      <c r="B125" s="456" t="s">
        <v>234</v>
      </c>
      <c r="C125" s="378" t="s">
        <v>31</v>
      </c>
      <c r="D125" s="378" t="s">
        <v>30</v>
      </c>
      <c r="E125" s="378" t="s">
        <v>158</v>
      </c>
      <c r="F125" s="586" t="s">
        <v>56</v>
      </c>
      <c r="G125" s="341">
        <f>G117</f>
        <v>0</v>
      </c>
      <c r="H125" s="341"/>
      <c r="I125" s="905">
        <f>I117</f>
        <v>0</v>
      </c>
      <c r="J125" s="728"/>
      <c r="K125" s="341"/>
      <c r="L125" s="341"/>
      <c r="M125" s="341"/>
      <c r="N125" s="897"/>
      <c r="O125" s="557">
        <f>ROUND(G125*I125+H125*J125,2)</f>
        <v>0</v>
      </c>
      <c r="P125" s="557">
        <f>ROUND(38%*G125*I125,2)+ROUND(38%*H125*J125,2)</f>
        <v>0</v>
      </c>
      <c r="Q125" s="557">
        <f>ROUND(R125*P125,2)</f>
        <v>0</v>
      </c>
      <c r="R125" s="906">
        <v>0.5</v>
      </c>
      <c r="S125"/>
      <c r="T125"/>
    </row>
    <row r="126" spans="1:20" ht="15.75" outlineLevel="1" x14ac:dyDescent="0.25">
      <c r="A126" s="898" t="s">
        <v>28</v>
      </c>
      <c r="B126" s="457" t="s">
        <v>178</v>
      </c>
      <c r="C126" s="899" t="s">
        <v>31</v>
      </c>
      <c r="D126" s="899" t="s">
        <v>30</v>
      </c>
      <c r="E126" s="899" t="s">
        <v>158</v>
      </c>
      <c r="F126" s="740" t="s">
        <v>56</v>
      </c>
      <c r="G126" s="424">
        <f>G118</f>
        <v>0</v>
      </c>
      <c r="H126" s="424"/>
      <c r="I126" s="907">
        <f>I118</f>
        <v>0</v>
      </c>
      <c r="J126" s="741"/>
      <c r="K126" s="424"/>
      <c r="L126" s="424"/>
      <c r="M126" s="424"/>
      <c r="N126" s="895"/>
      <c r="O126" s="895">
        <f>ROUND(G126*I126+H126*J126,2)</f>
        <v>0</v>
      </c>
      <c r="P126" s="895">
        <f>ROUND(37.24%*O126,2)</f>
        <v>0</v>
      </c>
      <c r="Q126" s="895">
        <f>ROUND(R126*P126,2)</f>
        <v>0</v>
      </c>
      <c r="R126" s="896">
        <v>0.5</v>
      </c>
      <c r="S126"/>
      <c r="T126"/>
    </row>
    <row r="127" spans="1:20" ht="15.75" outlineLevel="1" x14ac:dyDescent="0.25">
      <c r="A127" s="596"/>
      <c r="B127" s="596"/>
      <c r="C127" s="596"/>
      <c r="D127" s="596"/>
      <c r="E127" s="596"/>
      <c r="F127" s="596"/>
      <c r="G127" s="902">
        <f>SUM(G123:G126)</f>
        <v>0</v>
      </c>
      <c r="H127" s="902"/>
      <c r="I127" s="908" t="e">
        <f>ROUND(O127/G127,4)</f>
        <v>#DIV/0!</v>
      </c>
      <c r="J127" s="677"/>
      <c r="K127" s="677"/>
      <c r="L127" s="596"/>
      <c r="M127" s="596"/>
      <c r="N127" s="950"/>
      <c r="O127" s="734">
        <f>SUM(O123:O126)</f>
        <v>0</v>
      </c>
      <c r="P127" s="734">
        <f>SUM(P123:P126)</f>
        <v>0</v>
      </c>
      <c r="Q127" s="734">
        <f>SUM(Q123:Q126)</f>
        <v>0</v>
      </c>
      <c r="R127" s="596"/>
      <c r="S127"/>
      <c r="T127"/>
    </row>
    <row r="128" spans="1:20" ht="15.75" outlineLevel="1" x14ac:dyDescent="0.25">
      <c r="A128" s="596"/>
      <c r="B128" s="596"/>
      <c r="C128" s="596"/>
      <c r="D128" s="596"/>
      <c r="E128" s="596"/>
      <c r="F128" s="596"/>
      <c r="G128" s="677"/>
      <c r="H128" s="677"/>
      <c r="I128" s="677"/>
      <c r="J128" s="677"/>
      <c r="K128" s="677"/>
      <c r="L128" s="596"/>
      <c r="M128" s="596"/>
      <c r="N128" s="950"/>
      <c r="O128" s="596"/>
      <c r="P128" s="596"/>
      <c r="Q128" s="596"/>
      <c r="R128" s="596"/>
      <c r="S128"/>
      <c r="T128"/>
    </row>
    <row r="129" spans="1:20" ht="15.75" outlineLevel="1" x14ac:dyDescent="0.25">
      <c r="A129" s="880" t="s">
        <v>233</v>
      </c>
      <c r="B129" s="596"/>
      <c r="C129" s="596"/>
      <c r="D129" s="596"/>
      <c r="E129" s="596"/>
      <c r="F129" s="596"/>
      <c r="G129" s="677"/>
      <c r="H129" s="677"/>
      <c r="I129" s="677"/>
      <c r="J129" s="677"/>
      <c r="K129" s="677"/>
      <c r="L129" s="596"/>
      <c r="M129" s="596"/>
      <c r="N129" s="950"/>
      <c r="O129" s="596"/>
      <c r="P129" s="596"/>
      <c r="Q129" s="596"/>
      <c r="R129" s="596"/>
      <c r="S129"/>
      <c r="T129"/>
    </row>
    <row r="130" spans="1:20" ht="15.75" outlineLevel="1" x14ac:dyDescent="0.25">
      <c r="A130" s="596"/>
      <c r="B130" s="596"/>
      <c r="C130" s="596"/>
      <c r="D130" s="596"/>
      <c r="E130" s="596"/>
      <c r="F130" s="596"/>
      <c r="G130" s="677"/>
      <c r="H130" s="677"/>
      <c r="I130" s="677"/>
      <c r="J130" s="677"/>
      <c r="K130" s="677"/>
      <c r="L130" s="596"/>
      <c r="M130" s="596"/>
      <c r="N130" s="950"/>
      <c r="O130" s="596"/>
      <c r="P130" s="596"/>
      <c r="Q130" s="596"/>
      <c r="R130" s="596"/>
      <c r="S130"/>
      <c r="T130"/>
    </row>
    <row r="131" spans="1:20" ht="15.75" outlineLevel="1" x14ac:dyDescent="0.25">
      <c r="A131" s="888" t="s">
        <v>28</v>
      </c>
      <c r="B131" s="889" t="s">
        <v>159</v>
      </c>
      <c r="C131" s="890" t="s">
        <v>31</v>
      </c>
      <c r="D131" s="890" t="s">
        <v>30</v>
      </c>
      <c r="E131" s="890" t="s">
        <v>158</v>
      </c>
      <c r="F131" s="891" t="s">
        <v>56</v>
      </c>
      <c r="G131" s="420"/>
      <c r="H131" s="420">
        <f>H115</f>
        <v>0</v>
      </c>
      <c r="I131" s="764"/>
      <c r="J131" s="903">
        <f>J115</f>
        <v>0</v>
      </c>
      <c r="K131" s="420"/>
      <c r="L131" s="420"/>
      <c r="M131" s="420"/>
      <c r="N131" s="904"/>
      <c r="O131" s="904">
        <f>ROUND(G131*I131+H131*J131,2)</f>
        <v>0</v>
      </c>
      <c r="P131" s="904">
        <f>ROUND(37.24%*O131,2)</f>
        <v>0</v>
      </c>
      <c r="Q131" s="904">
        <f>ROUND(R131*P131,2)</f>
        <v>0</v>
      </c>
      <c r="R131" s="893">
        <v>0.5</v>
      </c>
      <c r="S131"/>
      <c r="T131"/>
    </row>
    <row r="132" spans="1:20" ht="15.75" outlineLevel="1" x14ac:dyDescent="0.25">
      <c r="A132" s="894" t="s">
        <v>28</v>
      </c>
      <c r="B132" s="456" t="s">
        <v>177</v>
      </c>
      <c r="C132" s="378" t="s">
        <v>31</v>
      </c>
      <c r="D132" s="378" t="s">
        <v>30</v>
      </c>
      <c r="E132" s="378" t="s">
        <v>158</v>
      </c>
      <c r="F132" s="586" t="s">
        <v>56</v>
      </c>
      <c r="G132" s="253"/>
      <c r="H132" s="253">
        <f>H116</f>
        <v>0</v>
      </c>
      <c r="I132" s="728"/>
      <c r="J132" s="806">
        <f>J116</f>
        <v>0</v>
      </c>
      <c r="K132" s="253"/>
      <c r="L132" s="253"/>
      <c r="M132" s="253"/>
      <c r="N132" s="557"/>
      <c r="O132" s="557">
        <f>ROUND(G132*I132+H132*J132,2)</f>
        <v>0</v>
      </c>
      <c r="P132" s="557">
        <f>ROUND(37.24%*O132,2)</f>
        <v>0</v>
      </c>
      <c r="Q132" s="557">
        <f>ROUND(R132*P132,2)</f>
        <v>0</v>
      </c>
      <c r="R132" s="775">
        <v>0.5</v>
      </c>
      <c r="S132"/>
      <c r="T132"/>
    </row>
    <row r="133" spans="1:20" ht="15.75" outlineLevel="1" x14ac:dyDescent="0.25">
      <c r="A133" s="894" t="s">
        <v>28</v>
      </c>
      <c r="B133" s="456" t="s">
        <v>234</v>
      </c>
      <c r="C133" s="378" t="s">
        <v>31</v>
      </c>
      <c r="D133" s="378" t="s">
        <v>30</v>
      </c>
      <c r="E133" s="378" t="s">
        <v>158</v>
      </c>
      <c r="F133" s="586" t="s">
        <v>56</v>
      </c>
      <c r="G133" s="253"/>
      <c r="H133" s="253">
        <f>H117</f>
        <v>0</v>
      </c>
      <c r="I133" s="728"/>
      <c r="J133" s="806">
        <f>J117</f>
        <v>0</v>
      </c>
      <c r="K133" s="341"/>
      <c r="L133" s="341"/>
      <c r="M133" s="341"/>
      <c r="N133" s="897"/>
      <c r="O133" s="557">
        <f>ROUND(G133*I133+H133*J133,2)</f>
        <v>0</v>
      </c>
      <c r="P133" s="557">
        <f>ROUND(38%*G133*I133,2)+ROUND(38%*H133*J133,2)</f>
        <v>0</v>
      </c>
      <c r="Q133" s="557">
        <f>ROUND(R133*P133,2)</f>
        <v>0</v>
      </c>
      <c r="R133" s="775">
        <v>0.5</v>
      </c>
      <c r="S133"/>
      <c r="T133"/>
    </row>
    <row r="134" spans="1:20" ht="15.75" outlineLevel="1" x14ac:dyDescent="0.25">
      <c r="A134" s="898" t="s">
        <v>28</v>
      </c>
      <c r="B134" s="457" t="s">
        <v>178</v>
      </c>
      <c r="C134" s="899" t="s">
        <v>31</v>
      </c>
      <c r="D134" s="899" t="s">
        <v>30</v>
      </c>
      <c r="E134" s="899" t="s">
        <v>158</v>
      </c>
      <c r="F134" s="740" t="s">
        <v>56</v>
      </c>
      <c r="G134" s="424"/>
      <c r="H134" s="424">
        <f>H118</f>
        <v>0</v>
      </c>
      <c r="I134" s="741"/>
      <c r="J134" s="907">
        <f>J118</f>
        <v>0</v>
      </c>
      <c r="K134" s="424"/>
      <c r="L134" s="424"/>
      <c r="M134" s="424"/>
      <c r="N134" s="895"/>
      <c r="O134" s="895">
        <f>ROUND(G134*I134+H134*J134,2)</f>
        <v>0</v>
      </c>
      <c r="P134" s="895">
        <f>ROUND(37.24%*O134,2)</f>
        <v>0</v>
      </c>
      <c r="Q134" s="895">
        <f>ROUND(R134*P134,2)</f>
        <v>0</v>
      </c>
      <c r="R134" s="896">
        <v>0.5</v>
      </c>
      <c r="S134"/>
      <c r="T134"/>
    </row>
    <row r="135" spans="1:20" ht="15.75" outlineLevel="1" x14ac:dyDescent="0.25">
      <c r="A135" s="596"/>
      <c r="B135" s="596"/>
      <c r="C135" s="596"/>
      <c r="D135" s="596"/>
      <c r="E135" s="596"/>
      <c r="F135" s="596"/>
      <c r="G135" s="902"/>
      <c r="H135" s="902">
        <f>SUM(H131:H134)</f>
        <v>0</v>
      </c>
      <c r="I135" s="677"/>
      <c r="J135" s="908" t="e">
        <f>ROUND(O135/H135,4)</f>
        <v>#DIV/0!</v>
      </c>
      <c r="K135" s="677"/>
      <c r="L135" s="596"/>
      <c r="M135" s="596"/>
      <c r="N135" s="950"/>
      <c r="O135" s="734">
        <f>SUM(O131:O134)</f>
        <v>0</v>
      </c>
      <c r="P135" s="734">
        <f>SUM(P131:P134)</f>
        <v>0</v>
      </c>
      <c r="Q135" s="734">
        <f>SUM(Q131:Q134)</f>
        <v>0</v>
      </c>
      <c r="R135" s="596"/>
      <c r="S135"/>
      <c r="T135"/>
    </row>
    <row r="136" spans="1:20" ht="15.75" outlineLevel="1" x14ac:dyDescent="0.25">
      <c r="A136" s="596"/>
      <c r="B136" s="596"/>
      <c r="C136" s="596"/>
      <c r="D136" s="596"/>
      <c r="E136" s="596"/>
      <c r="F136" s="596"/>
      <c r="G136" s="902"/>
      <c r="H136" s="902"/>
      <c r="I136" s="677"/>
      <c r="J136" s="677"/>
      <c r="K136" s="677"/>
      <c r="L136" s="596"/>
      <c r="M136" s="596"/>
      <c r="N136" s="950"/>
      <c r="O136" s="734"/>
      <c r="P136" s="734"/>
      <c r="Q136" s="734"/>
      <c r="R136" s="596"/>
      <c r="S136"/>
      <c r="T136"/>
    </row>
    <row r="137" spans="1:20" ht="15.75" outlineLevel="1" x14ac:dyDescent="0.25">
      <c r="A137" s="596"/>
      <c r="B137" s="596"/>
      <c r="C137" s="596"/>
      <c r="D137" s="596"/>
      <c r="E137" s="596"/>
      <c r="F137" s="596"/>
      <c r="G137" s="902"/>
      <c r="H137" s="902"/>
      <c r="I137" s="677"/>
      <c r="J137" s="677"/>
      <c r="K137" s="677"/>
      <c r="L137" s="596"/>
      <c r="M137" s="596"/>
      <c r="N137" s="985" t="s">
        <v>235</v>
      </c>
      <c r="O137" s="589">
        <f>O135+O127</f>
        <v>0</v>
      </c>
      <c r="P137" s="589">
        <f>P135+P127</f>
        <v>0</v>
      </c>
      <c r="Q137" s="589">
        <f>Q135+Q127</f>
        <v>0</v>
      </c>
      <c r="R137" s="910">
        <v>0.5</v>
      </c>
      <c r="S137"/>
      <c r="T137"/>
    </row>
    <row r="138" spans="1:20" ht="15.75" outlineLevel="1" x14ac:dyDescent="0.25">
      <c r="A138" s="596"/>
      <c r="B138" s="596"/>
      <c r="C138" s="596"/>
      <c r="D138" s="596"/>
      <c r="E138" s="596"/>
      <c r="F138" s="596"/>
      <c r="G138" s="902"/>
      <c r="H138" s="902"/>
      <c r="I138" s="677"/>
      <c r="J138" s="677"/>
      <c r="K138" s="677"/>
      <c r="L138" s="596"/>
      <c r="M138" s="596"/>
      <c r="N138" s="950"/>
      <c r="O138" s="596"/>
      <c r="P138" s="596"/>
      <c r="Q138" s="596"/>
      <c r="R138" s="596"/>
      <c r="S138"/>
      <c r="T138"/>
    </row>
    <row r="139" spans="1:20" ht="15.75" outlineLevel="1" x14ac:dyDescent="0.25">
      <c r="A139" s="596"/>
      <c r="B139" s="596"/>
      <c r="C139" s="596"/>
      <c r="D139" s="596"/>
      <c r="E139" s="596"/>
      <c r="F139" s="596"/>
      <c r="G139" s="902"/>
      <c r="H139" s="902"/>
      <c r="I139" s="677"/>
      <c r="J139" s="677"/>
      <c r="K139" s="677"/>
      <c r="L139" s="596"/>
      <c r="M139" s="596"/>
      <c r="N139" s="985" t="s">
        <v>236</v>
      </c>
      <c r="O139" s="879">
        <f>O137-O119</f>
        <v>0</v>
      </c>
      <c r="P139" s="879">
        <f>P137-P119</f>
        <v>0</v>
      </c>
      <c r="Q139" s="879">
        <f>Q137-Q119</f>
        <v>0</v>
      </c>
      <c r="R139" s="596"/>
      <c r="S139"/>
      <c r="T139"/>
    </row>
    <row r="140" spans="1:20" ht="15.75" outlineLevel="1" x14ac:dyDescent="0.25">
      <c r="A140" s="596"/>
      <c r="B140" s="596"/>
      <c r="C140" s="596"/>
      <c r="D140" s="596"/>
      <c r="E140" s="596"/>
      <c r="F140" s="596"/>
      <c r="G140" s="596"/>
      <c r="H140" s="596"/>
      <c r="I140" s="596"/>
      <c r="J140" s="596"/>
      <c r="K140" s="596"/>
      <c r="L140" s="596"/>
      <c r="M140" s="596"/>
      <c r="N140" s="950"/>
      <c r="O140" s="596"/>
      <c r="P140" s="596"/>
      <c r="Q140" s="596"/>
      <c r="R140" s="596"/>
      <c r="S140"/>
      <c r="T140"/>
    </row>
    <row r="141" spans="1:20" outlineLevel="1" x14ac:dyDescent="0.2">
      <c r="A141" s="880" t="s">
        <v>231</v>
      </c>
      <c r="B141" s="683"/>
      <c r="C141" s="683"/>
      <c r="D141" s="683"/>
      <c r="E141" s="683"/>
      <c r="F141" s="683"/>
      <c r="G141" s="683"/>
      <c r="H141" s="683"/>
      <c r="I141" s="683"/>
      <c r="J141" s="683"/>
      <c r="K141" s="683"/>
      <c r="L141" s="683"/>
      <c r="M141" s="683"/>
      <c r="N141" s="950"/>
      <c r="O141" s="683"/>
      <c r="P141" s="683"/>
      <c r="Q141" s="683">
        <f>P151*R149</f>
        <v>0</v>
      </c>
      <c r="R141" s="911"/>
      <c r="S141" s="683"/>
      <c r="T141" s="912"/>
    </row>
    <row r="142" spans="1:20" ht="15.75" outlineLevel="1" x14ac:dyDescent="0.25">
      <c r="A142" s="887" t="s">
        <v>228</v>
      </c>
      <c r="B142" s="596"/>
      <c r="C142" s="596"/>
      <c r="D142" s="596"/>
      <c r="E142" s="596"/>
      <c r="F142" s="596"/>
      <c r="G142" s="704" t="s">
        <v>35</v>
      </c>
      <c r="H142" s="705" t="s">
        <v>36</v>
      </c>
      <c r="I142" s="705" t="s">
        <v>35</v>
      </c>
      <c r="J142" s="704" t="s">
        <v>36</v>
      </c>
      <c r="K142" s="704" t="s">
        <v>39</v>
      </c>
      <c r="L142" s="704" t="s">
        <v>40</v>
      </c>
      <c r="M142" s="704" t="s">
        <v>42</v>
      </c>
      <c r="N142" s="1058" t="s">
        <v>2</v>
      </c>
      <c r="O142" s="596"/>
      <c r="P142" s="596"/>
      <c r="Q142" s="596"/>
      <c r="R142" s="596"/>
      <c r="S142" s="596"/>
      <c r="T142" s="596"/>
    </row>
    <row r="143" spans="1:20" outlineLevel="1" x14ac:dyDescent="0.2">
      <c r="A143" s="888" t="s">
        <v>28</v>
      </c>
      <c r="B143" s="889" t="s">
        <v>218</v>
      </c>
      <c r="C143" s="890" t="s">
        <v>31</v>
      </c>
      <c r="D143" s="890" t="s">
        <v>30</v>
      </c>
      <c r="E143" s="890" t="s">
        <v>101</v>
      </c>
      <c r="F143" s="891" t="s">
        <v>56</v>
      </c>
      <c r="G143" s="913"/>
      <c r="H143" s="914"/>
      <c r="I143" s="915"/>
      <c r="J143" s="915"/>
      <c r="K143" s="420"/>
      <c r="L143" s="420"/>
      <c r="M143" s="420"/>
      <c r="N143" s="917"/>
      <c r="O143" s="918">
        <f>ROUND(G143*I143,2)+ROUND(H143*J143,2)-K143-L143-M143-N143</f>
        <v>0</v>
      </c>
      <c r="P143" s="420">
        <f>ROUND(18.75%*O143,2)</f>
        <v>0</v>
      </c>
      <c r="Q143" s="420">
        <f t="shared" ref="Q143:Q148" si="5">ROUND($O143*R143,2)</f>
        <v>0</v>
      </c>
      <c r="R143" s="893">
        <v>0.15</v>
      </c>
      <c r="S143" s="938">
        <f t="shared" ref="S143:S150" si="6">ROUND($O143*T143,2)</f>
        <v>0</v>
      </c>
      <c r="T143" s="919">
        <v>3.7499999999999999E-2</v>
      </c>
    </row>
    <row r="144" spans="1:20" outlineLevel="1" x14ac:dyDescent="0.2">
      <c r="A144" s="894" t="s">
        <v>28</v>
      </c>
      <c r="B144" s="456" t="s">
        <v>219</v>
      </c>
      <c r="C144" s="378" t="s">
        <v>31</v>
      </c>
      <c r="D144" s="378" t="s">
        <v>30</v>
      </c>
      <c r="E144" s="378" t="s">
        <v>101</v>
      </c>
      <c r="F144" s="586" t="s">
        <v>56</v>
      </c>
      <c r="G144" s="587"/>
      <c r="H144" s="587"/>
      <c r="I144" s="920"/>
      <c r="J144" s="920"/>
      <c r="K144" s="253"/>
      <c r="L144" s="253"/>
      <c r="M144" s="253"/>
      <c r="N144" s="557"/>
      <c r="O144" s="892">
        <f t="shared" ref="O144:O150" si="7">ROUND(G144*I144,2)+ROUND(H144*J144,2)-K144-L144-M144-N144</f>
        <v>0</v>
      </c>
      <c r="P144" s="253">
        <f>ROUND(18.75%*O144,2)</f>
        <v>0</v>
      </c>
      <c r="Q144" s="253">
        <f t="shared" si="5"/>
        <v>0</v>
      </c>
      <c r="R144" s="775">
        <v>0.15</v>
      </c>
      <c r="S144" s="585">
        <f t="shared" si="6"/>
        <v>0</v>
      </c>
      <c r="T144" s="921">
        <v>3.7499999999999999E-2</v>
      </c>
    </row>
    <row r="145" spans="1:20" x14ac:dyDescent="0.2">
      <c r="A145" s="922" t="s">
        <v>28</v>
      </c>
      <c r="B145" s="442" t="s">
        <v>217</v>
      </c>
      <c r="C145" s="854" t="s">
        <v>31</v>
      </c>
      <c r="D145" s="854" t="s">
        <v>30</v>
      </c>
      <c r="E145" s="854" t="s">
        <v>101</v>
      </c>
      <c r="F145" s="854" t="s">
        <v>56</v>
      </c>
      <c r="G145" s="587"/>
      <c r="H145" s="587"/>
      <c r="I145" s="587"/>
      <c r="J145" s="588"/>
      <c r="K145" s="441"/>
      <c r="L145" s="441"/>
      <c r="M145" s="441"/>
      <c r="N145" s="923"/>
      <c r="O145" s="253">
        <f t="shared" si="7"/>
        <v>0</v>
      </c>
      <c r="P145" s="441">
        <f t="shared" ref="P145:P150" si="8">ROUND(18.75%*O145,2)</f>
        <v>0</v>
      </c>
      <c r="Q145" s="441">
        <f t="shared" si="5"/>
        <v>0</v>
      </c>
      <c r="R145" s="924">
        <v>0.15</v>
      </c>
      <c r="S145" s="253">
        <f t="shared" si="6"/>
        <v>0</v>
      </c>
      <c r="T145" s="921">
        <v>3.7499999999999999E-2</v>
      </c>
    </row>
    <row r="146" spans="1:20" x14ac:dyDescent="0.2">
      <c r="A146" s="922" t="s">
        <v>28</v>
      </c>
      <c r="B146" s="442" t="s">
        <v>220</v>
      </c>
      <c r="C146" s="854" t="s">
        <v>31</v>
      </c>
      <c r="D146" s="854" t="s">
        <v>30</v>
      </c>
      <c r="E146" s="854" t="s">
        <v>101</v>
      </c>
      <c r="F146" s="854" t="s">
        <v>56</v>
      </c>
      <c r="G146" s="587"/>
      <c r="H146" s="587"/>
      <c r="I146" s="587"/>
      <c r="J146" s="588"/>
      <c r="K146" s="441"/>
      <c r="L146" s="441"/>
      <c r="M146" s="441"/>
      <c r="N146" s="923"/>
      <c r="O146" s="253">
        <f t="shared" si="7"/>
        <v>0</v>
      </c>
      <c r="P146" s="441">
        <f t="shared" si="8"/>
        <v>0</v>
      </c>
      <c r="Q146" s="441">
        <f t="shared" si="5"/>
        <v>0</v>
      </c>
      <c r="R146" s="924">
        <v>0.15</v>
      </c>
      <c r="S146" s="253">
        <f t="shared" si="6"/>
        <v>0</v>
      </c>
      <c r="T146" s="921">
        <v>3.7499999999999999E-2</v>
      </c>
    </row>
    <row r="147" spans="1:20" x14ac:dyDescent="0.2">
      <c r="A147" s="922" t="s">
        <v>28</v>
      </c>
      <c r="B147" s="442" t="s">
        <v>222</v>
      </c>
      <c r="C147" s="854" t="s">
        <v>31</v>
      </c>
      <c r="D147" s="854" t="s">
        <v>30</v>
      </c>
      <c r="E147" s="854" t="s">
        <v>101</v>
      </c>
      <c r="F147" s="854" t="s">
        <v>56</v>
      </c>
      <c r="G147" s="587"/>
      <c r="H147" s="587"/>
      <c r="I147" s="920"/>
      <c r="J147" s="588"/>
      <c r="K147" s="441"/>
      <c r="L147" s="441"/>
      <c r="M147" s="441"/>
      <c r="N147" s="925"/>
      <c r="O147" s="253">
        <f t="shared" si="7"/>
        <v>0</v>
      </c>
      <c r="P147" s="441">
        <f t="shared" si="8"/>
        <v>0</v>
      </c>
      <c r="Q147" s="441">
        <f t="shared" si="5"/>
        <v>0</v>
      </c>
      <c r="R147" s="924">
        <v>0.15</v>
      </c>
      <c r="S147" s="253">
        <f t="shared" si="6"/>
        <v>0</v>
      </c>
      <c r="T147" s="921">
        <v>3.7499999999999999E-2</v>
      </c>
    </row>
    <row r="148" spans="1:20" x14ac:dyDescent="0.2">
      <c r="A148" s="922"/>
      <c r="B148" s="442" t="s">
        <v>226</v>
      </c>
      <c r="C148" s="854" t="s">
        <v>31</v>
      </c>
      <c r="D148" s="854" t="s">
        <v>30</v>
      </c>
      <c r="E148" s="854" t="s">
        <v>101</v>
      </c>
      <c r="F148" s="854" t="s">
        <v>56</v>
      </c>
      <c r="G148" s="587"/>
      <c r="H148" s="587"/>
      <c r="I148" s="920"/>
      <c r="J148" s="588"/>
      <c r="K148" s="441"/>
      <c r="L148" s="441"/>
      <c r="M148" s="441"/>
      <c r="N148" s="925"/>
      <c r="O148" s="253">
        <f t="shared" si="7"/>
        <v>0</v>
      </c>
      <c r="P148" s="441">
        <f>ROUND(18.75%*O148,2)</f>
        <v>0</v>
      </c>
      <c r="Q148" s="441">
        <f t="shared" si="5"/>
        <v>0</v>
      </c>
      <c r="R148" s="924">
        <v>0.15</v>
      </c>
      <c r="S148" s="253">
        <f t="shared" si="6"/>
        <v>0</v>
      </c>
      <c r="T148" s="921">
        <v>3.7499999999999999E-2</v>
      </c>
    </row>
    <row r="149" spans="1:20" outlineLevel="1" x14ac:dyDescent="0.2">
      <c r="A149" s="1000"/>
      <c r="B149" s="1001" t="s">
        <v>225</v>
      </c>
      <c r="C149" s="1002" t="s">
        <v>31</v>
      </c>
      <c r="D149" s="1002" t="s">
        <v>30</v>
      </c>
      <c r="E149" s="1002" t="s">
        <v>101</v>
      </c>
      <c r="F149" s="1002" t="s">
        <v>56</v>
      </c>
      <c r="G149" s="587"/>
      <c r="H149" s="587"/>
      <c r="I149" s="1003"/>
      <c r="J149" s="588"/>
      <c r="K149" s="1004"/>
      <c r="L149" s="1004"/>
      <c r="M149" s="1004"/>
      <c r="N149" s="1005"/>
      <c r="O149" s="253">
        <f t="shared" si="7"/>
        <v>0</v>
      </c>
      <c r="P149" s="1004">
        <f t="shared" si="8"/>
        <v>0</v>
      </c>
      <c r="Q149" s="1004">
        <f>ROUND($O149*R149,2)</f>
        <v>0</v>
      </c>
      <c r="R149" s="1006">
        <v>0.15</v>
      </c>
      <c r="S149" s="253">
        <f t="shared" si="6"/>
        <v>0</v>
      </c>
      <c r="T149" s="921">
        <v>3.7499999999999999E-2</v>
      </c>
    </row>
    <row r="150" spans="1:20" outlineLevel="1" x14ac:dyDescent="0.2">
      <c r="A150" s="993"/>
      <c r="B150" s="994" t="s">
        <v>362</v>
      </c>
      <c r="C150" s="995" t="s">
        <v>31</v>
      </c>
      <c r="D150" s="995" t="s">
        <v>30</v>
      </c>
      <c r="E150" s="995" t="s">
        <v>101</v>
      </c>
      <c r="F150" s="995" t="s">
        <v>56</v>
      </c>
      <c r="G150" s="927"/>
      <c r="H150" s="927"/>
      <c r="I150" s="929"/>
      <c r="J150" s="949"/>
      <c r="K150" s="909"/>
      <c r="L150" s="909"/>
      <c r="M150" s="909"/>
      <c r="N150" s="997"/>
      <c r="O150" s="909">
        <f t="shared" si="7"/>
        <v>0</v>
      </c>
      <c r="P150" s="909">
        <f t="shared" si="8"/>
        <v>0</v>
      </c>
      <c r="Q150" s="909">
        <f>ROUND($O150*R150,2)</f>
        <v>0</v>
      </c>
      <c r="R150" s="998">
        <v>0.15</v>
      </c>
      <c r="S150" s="909">
        <f t="shared" si="6"/>
        <v>0</v>
      </c>
      <c r="T150" s="999">
        <v>3.7499999999999999E-2</v>
      </c>
    </row>
    <row r="151" spans="1:20" outlineLevel="1" x14ac:dyDescent="0.2">
      <c r="A151" s="596"/>
      <c r="B151" s="596"/>
      <c r="C151" s="596"/>
      <c r="D151" s="596"/>
      <c r="E151" s="596"/>
      <c r="F151" s="596"/>
      <c r="G151" s="902">
        <f>SUM(G143:G150)</f>
        <v>0</v>
      </c>
      <c r="H151" s="902">
        <f>SUM(H143:H149)</f>
        <v>0</v>
      </c>
      <c r="I151" s="902"/>
      <c r="J151" s="677"/>
      <c r="K151" s="677"/>
      <c r="L151" s="596"/>
      <c r="M151" s="596"/>
      <c r="N151" s="751">
        <f>SUM(N143:N150)</f>
        <v>0</v>
      </c>
      <c r="O151" s="734">
        <f>SUM(O143:O150)</f>
        <v>0</v>
      </c>
      <c r="P151" s="734">
        <f>SUM(P143:P150)</f>
        <v>0</v>
      </c>
      <c r="Q151" s="734">
        <f>SUM(Q143:Q150)</f>
        <v>0</v>
      </c>
      <c r="R151" s="596"/>
      <c r="S151" s="734">
        <f>SUM(S143:S150)</f>
        <v>0</v>
      </c>
      <c r="T151" s="596"/>
    </row>
    <row r="152" spans="1:20" outlineLevel="1" x14ac:dyDescent="0.2">
      <c r="A152" s="596"/>
      <c r="B152" s="596"/>
      <c r="C152" s="596"/>
      <c r="D152" s="596"/>
      <c r="E152" s="596"/>
      <c r="F152" s="596"/>
      <c r="G152" s="677"/>
      <c r="H152" s="677"/>
      <c r="I152" s="677"/>
      <c r="J152" s="677"/>
      <c r="K152" s="677"/>
      <c r="L152" s="596"/>
      <c r="M152" s="596"/>
      <c r="N152" s="950"/>
      <c r="O152" s="597"/>
      <c r="P152" s="597"/>
      <c r="Q152" s="597">
        <f>SUM(Q148:Q150)</f>
        <v>0</v>
      </c>
      <c r="R152" s="596"/>
      <c r="S152" s="597">
        <f>SUM(S148:S150)</f>
        <v>0</v>
      </c>
      <c r="T152" s="596"/>
    </row>
    <row r="153" spans="1:20" ht="15.75" outlineLevel="1" x14ac:dyDescent="0.25">
      <c r="A153" s="887" t="s">
        <v>229</v>
      </c>
      <c r="B153" s="596"/>
      <c r="C153" s="596"/>
      <c r="D153" s="596"/>
      <c r="E153" s="596"/>
      <c r="F153" s="596"/>
      <c r="G153" s="677"/>
      <c r="H153" s="677"/>
      <c r="I153" s="677"/>
      <c r="J153" s="677"/>
      <c r="K153" s="677"/>
      <c r="L153" s="596"/>
      <c r="M153" s="596"/>
      <c r="N153" s="950"/>
      <c r="O153" s="596"/>
      <c r="P153" s="596"/>
      <c r="Q153" s="597"/>
      <c r="R153" s="596"/>
      <c r="S153" s="597"/>
      <c r="T153" s="596"/>
    </row>
    <row r="154" spans="1:20" outlineLevel="1" x14ac:dyDescent="0.2">
      <c r="A154" s="888" t="s">
        <v>28</v>
      </c>
      <c r="B154" s="889" t="s">
        <v>218</v>
      </c>
      <c r="C154" s="890" t="s">
        <v>31</v>
      </c>
      <c r="D154" s="890" t="s">
        <v>30</v>
      </c>
      <c r="E154" s="890" t="s">
        <v>101</v>
      </c>
      <c r="F154" s="891" t="s">
        <v>56</v>
      </c>
      <c r="G154" s="913">
        <f t="shared" ref="G154:G161" si="9">G143</f>
        <v>0</v>
      </c>
      <c r="H154" s="914"/>
      <c r="I154" s="915">
        <f t="shared" ref="I154:I161" si="10">I143</f>
        <v>0</v>
      </c>
      <c r="J154" s="916"/>
      <c r="K154" s="420"/>
      <c r="L154" s="420"/>
      <c r="M154" s="420"/>
      <c r="N154" s="904">
        <f>N143</f>
        <v>0</v>
      </c>
      <c r="O154" s="420">
        <f t="shared" ref="O154:O160" si="11">ROUND(G154*I154,2)+ROUND(H154*J154,2)-K154-L154-M154-N154</f>
        <v>0</v>
      </c>
      <c r="P154" s="420">
        <f t="shared" ref="P154:P161" si="12">ROUND(18.75%*O154,2)</f>
        <v>0</v>
      </c>
      <c r="Q154" s="420">
        <f t="shared" ref="Q154:Q160" si="13">ROUND($O154*R154,2)</f>
        <v>0</v>
      </c>
      <c r="R154" s="893">
        <v>0.15</v>
      </c>
      <c r="S154" s="420">
        <f t="shared" ref="S154:S161" si="14">ROUND($O154*T154,2)</f>
        <v>0</v>
      </c>
      <c r="T154" s="919">
        <v>3.7499999999999999E-2</v>
      </c>
    </row>
    <row r="155" spans="1:20" outlineLevel="1" x14ac:dyDescent="0.2">
      <c r="A155" s="894" t="s">
        <v>28</v>
      </c>
      <c r="B155" s="456" t="s">
        <v>219</v>
      </c>
      <c r="C155" s="378" t="s">
        <v>31</v>
      </c>
      <c r="D155" s="378" t="s">
        <v>30</v>
      </c>
      <c r="E155" s="378" t="s">
        <v>101</v>
      </c>
      <c r="F155" s="586" t="s">
        <v>56</v>
      </c>
      <c r="G155" s="933">
        <f t="shared" si="9"/>
        <v>0</v>
      </c>
      <c r="H155" s="587"/>
      <c r="I155" s="920">
        <f t="shared" si="10"/>
        <v>0</v>
      </c>
      <c r="J155" s="588"/>
      <c r="K155" s="253"/>
      <c r="L155" s="253"/>
      <c r="M155" s="253"/>
      <c r="N155" s="557"/>
      <c r="O155" s="253">
        <f t="shared" si="11"/>
        <v>0</v>
      </c>
      <c r="P155" s="253">
        <f t="shared" si="12"/>
        <v>0</v>
      </c>
      <c r="Q155" s="253">
        <f t="shared" si="13"/>
        <v>0</v>
      </c>
      <c r="R155" s="775">
        <v>0.15</v>
      </c>
      <c r="S155" s="253">
        <f t="shared" si="14"/>
        <v>0</v>
      </c>
      <c r="T155" s="921">
        <v>3.7499999999999999E-2</v>
      </c>
    </row>
    <row r="156" spans="1:20" outlineLevel="1" x14ac:dyDescent="0.2">
      <c r="A156" s="894" t="s">
        <v>28</v>
      </c>
      <c r="B156" s="456" t="s">
        <v>217</v>
      </c>
      <c r="C156" s="378" t="s">
        <v>31</v>
      </c>
      <c r="D156" s="378" t="s">
        <v>30</v>
      </c>
      <c r="E156" s="378" t="s">
        <v>101</v>
      </c>
      <c r="F156" s="586" t="s">
        <v>56</v>
      </c>
      <c r="G156" s="933">
        <f t="shared" si="9"/>
        <v>0</v>
      </c>
      <c r="H156" s="587"/>
      <c r="I156" s="920">
        <f t="shared" si="10"/>
        <v>0</v>
      </c>
      <c r="J156" s="588"/>
      <c r="K156" s="253"/>
      <c r="L156" s="253"/>
      <c r="M156" s="253"/>
      <c r="N156" s="557"/>
      <c r="O156" s="253">
        <f t="shared" si="11"/>
        <v>0</v>
      </c>
      <c r="P156" s="253">
        <f t="shared" si="12"/>
        <v>0</v>
      </c>
      <c r="Q156" s="253">
        <f t="shared" si="13"/>
        <v>0</v>
      </c>
      <c r="R156" s="775">
        <v>0.15</v>
      </c>
      <c r="S156" s="253">
        <f t="shared" si="14"/>
        <v>0</v>
      </c>
      <c r="T156" s="921">
        <v>3.7499999999999999E-2</v>
      </c>
    </row>
    <row r="157" spans="1:20" outlineLevel="1" x14ac:dyDescent="0.2">
      <c r="A157" s="894" t="s">
        <v>28</v>
      </c>
      <c r="B157" s="456" t="s">
        <v>220</v>
      </c>
      <c r="C157" s="378" t="s">
        <v>31</v>
      </c>
      <c r="D157" s="378" t="s">
        <v>30</v>
      </c>
      <c r="E157" s="378" t="s">
        <v>101</v>
      </c>
      <c r="F157" s="586" t="s">
        <v>56</v>
      </c>
      <c r="G157" s="933">
        <f t="shared" si="9"/>
        <v>0</v>
      </c>
      <c r="H157" s="587"/>
      <c r="I157" s="920">
        <f t="shared" si="10"/>
        <v>0</v>
      </c>
      <c r="J157" s="588"/>
      <c r="K157" s="253"/>
      <c r="L157" s="253"/>
      <c r="M157" s="253"/>
      <c r="N157" s="557"/>
      <c r="O157" s="253">
        <f t="shared" si="11"/>
        <v>0</v>
      </c>
      <c r="P157" s="253">
        <f t="shared" si="12"/>
        <v>0</v>
      </c>
      <c r="Q157" s="253">
        <f t="shared" si="13"/>
        <v>0</v>
      </c>
      <c r="R157" s="775">
        <v>0.15</v>
      </c>
      <c r="S157" s="253">
        <f t="shared" si="14"/>
        <v>0</v>
      </c>
      <c r="T157" s="921">
        <v>3.7499999999999999E-2</v>
      </c>
    </row>
    <row r="158" spans="1:20" outlineLevel="1" x14ac:dyDescent="0.2">
      <c r="A158" s="894" t="s">
        <v>28</v>
      </c>
      <c r="B158" s="456" t="s">
        <v>222</v>
      </c>
      <c r="C158" s="378" t="s">
        <v>31</v>
      </c>
      <c r="D158" s="378" t="s">
        <v>30</v>
      </c>
      <c r="E158" s="378" t="s">
        <v>101</v>
      </c>
      <c r="F158" s="586" t="s">
        <v>56</v>
      </c>
      <c r="G158" s="933">
        <f t="shared" si="9"/>
        <v>0</v>
      </c>
      <c r="H158" s="587"/>
      <c r="I158" s="920">
        <f t="shared" si="10"/>
        <v>0</v>
      </c>
      <c r="J158" s="588"/>
      <c r="K158" s="253"/>
      <c r="L158" s="253"/>
      <c r="M158" s="253"/>
      <c r="N158" s="934"/>
      <c r="O158" s="253">
        <f t="shared" si="11"/>
        <v>0</v>
      </c>
      <c r="P158" s="253">
        <f t="shared" si="12"/>
        <v>0</v>
      </c>
      <c r="Q158" s="253">
        <f t="shared" si="13"/>
        <v>0</v>
      </c>
      <c r="R158" s="775">
        <v>0.15</v>
      </c>
      <c r="S158" s="253">
        <f t="shared" si="14"/>
        <v>0</v>
      </c>
      <c r="T158" s="921">
        <v>3.7499999999999999E-2</v>
      </c>
    </row>
    <row r="159" spans="1:20" outlineLevel="1" x14ac:dyDescent="0.2">
      <c r="A159" s="894"/>
      <c r="B159" s="456" t="s">
        <v>226</v>
      </c>
      <c r="C159" s="378" t="s">
        <v>31</v>
      </c>
      <c r="D159" s="378" t="s">
        <v>30</v>
      </c>
      <c r="E159" s="378" t="s">
        <v>101</v>
      </c>
      <c r="F159" s="586" t="s">
        <v>56</v>
      </c>
      <c r="G159" s="933">
        <f t="shared" si="9"/>
        <v>0</v>
      </c>
      <c r="H159" s="587"/>
      <c r="I159" s="920">
        <f t="shared" si="10"/>
        <v>0</v>
      </c>
      <c r="J159" s="588"/>
      <c r="K159" s="253"/>
      <c r="L159" s="253"/>
      <c r="M159" s="253"/>
      <c r="N159" s="934"/>
      <c r="O159" s="253">
        <f t="shared" si="11"/>
        <v>0</v>
      </c>
      <c r="P159" s="253">
        <f t="shared" si="12"/>
        <v>0</v>
      </c>
      <c r="Q159" s="253">
        <f t="shared" si="13"/>
        <v>0</v>
      </c>
      <c r="R159" s="775">
        <v>0.15</v>
      </c>
      <c r="S159" s="253">
        <f t="shared" si="14"/>
        <v>0</v>
      </c>
      <c r="T159" s="921">
        <v>3.7499999999999999E-2</v>
      </c>
    </row>
    <row r="160" spans="1:20" outlineLevel="1" x14ac:dyDescent="0.2">
      <c r="A160" s="1007"/>
      <c r="B160" s="1008" t="s">
        <v>225</v>
      </c>
      <c r="C160" s="1009" t="s">
        <v>31</v>
      </c>
      <c r="D160" s="1009" t="s">
        <v>30</v>
      </c>
      <c r="E160" s="1009" t="s">
        <v>101</v>
      </c>
      <c r="F160" s="1010" t="s">
        <v>56</v>
      </c>
      <c r="G160" s="933">
        <f t="shared" si="9"/>
        <v>0</v>
      </c>
      <c r="H160" s="1011"/>
      <c r="I160" s="920">
        <f t="shared" si="10"/>
        <v>0</v>
      </c>
      <c r="J160" s="1012"/>
      <c r="K160" s="1013"/>
      <c r="L160" s="1013"/>
      <c r="M160" s="1013"/>
      <c r="N160" s="1014"/>
      <c r="O160" s="1013">
        <f t="shared" si="11"/>
        <v>0</v>
      </c>
      <c r="P160" s="1013">
        <f t="shared" si="12"/>
        <v>0</v>
      </c>
      <c r="Q160" s="1013">
        <f t="shared" si="13"/>
        <v>0</v>
      </c>
      <c r="R160" s="1015">
        <v>0.15</v>
      </c>
      <c r="S160" s="1013">
        <f t="shared" si="14"/>
        <v>0</v>
      </c>
      <c r="T160" s="1016">
        <v>3.7499999999999999E-2</v>
      </c>
    </row>
    <row r="161" spans="1:20" outlineLevel="1" x14ac:dyDescent="0.2">
      <c r="A161" s="993"/>
      <c r="B161" s="994" t="s">
        <v>362</v>
      </c>
      <c r="C161" s="995" t="s">
        <v>31</v>
      </c>
      <c r="D161" s="995" t="s">
        <v>30</v>
      </c>
      <c r="E161" s="995" t="s">
        <v>101</v>
      </c>
      <c r="F161" s="995" t="s">
        <v>56</v>
      </c>
      <c r="G161" s="996">
        <f t="shared" si="9"/>
        <v>0</v>
      </c>
      <c r="H161" s="996"/>
      <c r="I161" s="949">
        <f t="shared" si="10"/>
        <v>0</v>
      </c>
      <c r="J161" s="949"/>
      <c r="K161" s="909"/>
      <c r="L161" s="909"/>
      <c r="M161" s="909"/>
      <c r="N161" s="997"/>
      <c r="O161" s="909">
        <f>ROUND(G161*I161,2)+ROUND(H161*J161,2)-K161-L161-M161-N161</f>
        <v>0</v>
      </c>
      <c r="P161" s="909">
        <f t="shared" si="12"/>
        <v>0</v>
      </c>
      <c r="Q161" s="909">
        <f>ROUND($O161*R161,2)</f>
        <v>0</v>
      </c>
      <c r="R161" s="998">
        <v>0.15</v>
      </c>
      <c r="S161" s="909">
        <f t="shared" si="14"/>
        <v>0</v>
      </c>
      <c r="T161" s="999">
        <v>3.7499999999999999E-2</v>
      </c>
    </row>
    <row r="162" spans="1:20" outlineLevel="1" x14ac:dyDescent="0.2">
      <c r="A162" s="596"/>
      <c r="B162" s="596"/>
      <c r="C162" s="596"/>
      <c r="D162" s="596"/>
      <c r="E162" s="596"/>
      <c r="F162" s="596"/>
      <c r="G162" s="902">
        <f>SUM(G154:G161)</f>
        <v>0</v>
      </c>
      <c r="H162" s="902"/>
      <c r="I162" s="937" t="e">
        <f>O162/G162</f>
        <v>#DIV/0!</v>
      </c>
      <c r="J162" s="937"/>
      <c r="K162" s="677"/>
      <c r="L162" s="596"/>
      <c r="M162" s="596"/>
      <c r="N162" s="1059">
        <f>SUM(N154:N160)</f>
        <v>0</v>
      </c>
      <c r="O162" s="734">
        <f>SUM(O154:O161)</f>
        <v>0</v>
      </c>
      <c r="P162" s="734">
        <f>SUM(P154:P161)</f>
        <v>0</v>
      </c>
      <c r="Q162" s="734">
        <f>SUM(Q154:Q160)</f>
        <v>0</v>
      </c>
      <c r="R162" s="734">
        <f>SUM(R154:R161)</f>
        <v>1.2</v>
      </c>
      <c r="S162" s="734">
        <f>SUM(S154:S160)</f>
        <v>0</v>
      </c>
      <c r="T162" s="734">
        <f>SUM(T154:T161)</f>
        <v>0.3</v>
      </c>
    </row>
    <row r="163" spans="1:20" outlineLevel="1" x14ac:dyDescent="0.2">
      <c r="A163" s="596"/>
      <c r="B163" s="596"/>
      <c r="C163" s="596"/>
      <c r="D163" s="596"/>
      <c r="E163" s="596"/>
      <c r="F163" s="596"/>
      <c r="G163" s="677"/>
      <c r="H163" s="677"/>
      <c r="I163" s="677"/>
      <c r="J163" s="677"/>
      <c r="K163" s="677"/>
      <c r="L163" s="596"/>
      <c r="M163" s="596"/>
      <c r="N163" s="950"/>
      <c r="O163" s="683">
        <f>+O162+O174</f>
        <v>0</v>
      </c>
      <c r="P163" s="596"/>
      <c r="Q163" s="596"/>
      <c r="R163" s="596"/>
      <c r="S163" s="596"/>
      <c r="T163" s="596"/>
    </row>
    <row r="164" spans="1:20" outlineLevel="1" x14ac:dyDescent="0.2">
      <c r="A164" s="596"/>
      <c r="B164" s="596"/>
      <c r="C164" s="596"/>
      <c r="D164" s="596"/>
      <c r="E164" s="596"/>
      <c r="F164" s="596"/>
      <c r="G164" s="677"/>
      <c r="H164" s="677"/>
      <c r="I164" s="677"/>
      <c r="J164" s="677"/>
      <c r="K164" s="677"/>
      <c r="L164" s="596"/>
      <c r="M164" s="596"/>
      <c r="N164" s="950"/>
      <c r="O164" s="597">
        <f>+O163-O151</f>
        <v>0</v>
      </c>
      <c r="P164" s="596"/>
      <c r="Q164" s="596"/>
      <c r="R164" s="596"/>
      <c r="S164" s="596"/>
      <c r="T164" s="596"/>
    </row>
    <row r="165" spans="1:20" ht="15.75" outlineLevel="1" x14ac:dyDescent="0.25">
      <c r="A165" s="887" t="s">
        <v>230</v>
      </c>
      <c r="B165" s="596"/>
      <c r="C165" s="596"/>
      <c r="D165" s="596"/>
      <c r="E165" s="596"/>
      <c r="F165" s="596"/>
      <c r="G165" s="677"/>
      <c r="H165" s="677"/>
      <c r="I165" s="677"/>
      <c r="J165" s="677"/>
      <c r="K165" s="677"/>
      <c r="L165" s="596"/>
      <c r="M165" s="596"/>
      <c r="N165" s="950"/>
      <c r="O165" s="596"/>
      <c r="P165" s="596"/>
      <c r="Q165" s="597"/>
      <c r="R165" s="596"/>
      <c r="S165" s="596"/>
      <c r="T165" s="596"/>
    </row>
    <row r="166" spans="1:20" outlineLevel="1" x14ac:dyDescent="0.2">
      <c r="A166" s="888" t="s">
        <v>28</v>
      </c>
      <c r="B166" s="889" t="s">
        <v>218</v>
      </c>
      <c r="C166" s="890" t="s">
        <v>31</v>
      </c>
      <c r="D166" s="890" t="s">
        <v>30</v>
      </c>
      <c r="E166" s="890" t="s">
        <v>101</v>
      </c>
      <c r="F166" s="891" t="s">
        <v>56</v>
      </c>
      <c r="G166" s="914"/>
      <c r="H166" s="914">
        <f t="shared" ref="H166:H173" si="15">H143</f>
        <v>0</v>
      </c>
      <c r="I166" s="916"/>
      <c r="J166" s="947">
        <f t="shared" ref="J166:J171" si="16">J143</f>
        <v>0</v>
      </c>
      <c r="K166" s="420"/>
      <c r="L166" s="420"/>
      <c r="M166" s="420"/>
      <c r="N166" s="1060"/>
      <c r="O166" s="420">
        <f t="shared" ref="O166:O173" si="17">ROUND(G166*I166,2)+ROUND(H166*J166,2)-K166-L166-M166-N166</f>
        <v>0</v>
      </c>
      <c r="P166" s="420">
        <f>ROUND(18.75%*O166,2)</f>
        <v>0</v>
      </c>
      <c r="Q166" s="420">
        <f t="shared" ref="Q166:Q172" si="18">ROUND($O166*R166,2)</f>
        <v>0</v>
      </c>
      <c r="R166" s="893">
        <v>0.15</v>
      </c>
      <c r="S166" s="420">
        <f t="shared" ref="S166:S173" si="19">ROUND($O166*T166,2)</f>
        <v>0</v>
      </c>
      <c r="T166" s="919">
        <v>3.7499999999999999E-2</v>
      </c>
    </row>
    <row r="167" spans="1:20" outlineLevel="1" x14ac:dyDescent="0.2">
      <c r="A167" s="894" t="s">
        <v>28</v>
      </c>
      <c r="B167" s="456" t="s">
        <v>219</v>
      </c>
      <c r="C167" s="378" t="s">
        <v>31</v>
      </c>
      <c r="D167" s="378" t="s">
        <v>30</v>
      </c>
      <c r="E167" s="378" t="s">
        <v>101</v>
      </c>
      <c r="F167" s="586" t="s">
        <v>56</v>
      </c>
      <c r="G167" s="587"/>
      <c r="H167" s="913">
        <f t="shared" si="15"/>
        <v>0</v>
      </c>
      <c r="I167" s="588"/>
      <c r="J167" s="588">
        <f t="shared" si="16"/>
        <v>0</v>
      </c>
      <c r="K167" s="253"/>
      <c r="L167" s="253"/>
      <c r="M167" s="253"/>
      <c r="N167" s="557"/>
      <c r="O167" s="253">
        <f t="shared" si="17"/>
        <v>0</v>
      </c>
      <c r="P167" s="253">
        <f t="shared" ref="P167:P173" si="20">ROUND(18.75%*O167,2)</f>
        <v>0</v>
      </c>
      <c r="Q167" s="253">
        <f t="shared" si="18"/>
        <v>0</v>
      </c>
      <c r="R167" s="775">
        <v>0.15</v>
      </c>
      <c r="S167" s="253">
        <f t="shared" si="19"/>
        <v>0</v>
      </c>
      <c r="T167" s="921">
        <v>3.7499999999999999E-2</v>
      </c>
    </row>
    <row r="168" spans="1:20" outlineLevel="1" x14ac:dyDescent="0.2">
      <c r="A168" s="894" t="s">
        <v>28</v>
      </c>
      <c r="B168" s="456" t="s">
        <v>217</v>
      </c>
      <c r="C168" s="378" t="s">
        <v>31</v>
      </c>
      <c r="D168" s="378" t="s">
        <v>30</v>
      </c>
      <c r="E168" s="378" t="s">
        <v>101</v>
      </c>
      <c r="F168" s="586" t="s">
        <v>56</v>
      </c>
      <c r="G168" s="587"/>
      <c r="H168" s="933">
        <f t="shared" si="15"/>
        <v>0</v>
      </c>
      <c r="I168" s="588"/>
      <c r="J168" s="588">
        <f t="shared" si="16"/>
        <v>0</v>
      </c>
      <c r="K168" s="253"/>
      <c r="L168" s="253"/>
      <c r="M168" s="253"/>
      <c r="N168" s="557"/>
      <c r="O168" s="253">
        <f t="shared" si="17"/>
        <v>0</v>
      </c>
      <c r="P168" s="253">
        <f t="shared" si="20"/>
        <v>0</v>
      </c>
      <c r="Q168" s="253">
        <f t="shared" si="18"/>
        <v>0</v>
      </c>
      <c r="R168" s="775">
        <v>0.15</v>
      </c>
      <c r="S168" s="253">
        <f t="shared" si="19"/>
        <v>0</v>
      </c>
      <c r="T168" s="921">
        <v>3.7499999999999999E-2</v>
      </c>
    </row>
    <row r="169" spans="1:20" outlineLevel="1" x14ac:dyDescent="0.2">
      <c r="A169" s="894" t="s">
        <v>28</v>
      </c>
      <c r="B169" s="456" t="s">
        <v>220</v>
      </c>
      <c r="C169" s="378" t="s">
        <v>31</v>
      </c>
      <c r="D169" s="378" t="s">
        <v>30</v>
      </c>
      <c r="E169" s="378" t="s">
        <v>101</v>
      </c>
      <c r="F169" s="586" t="s">
        <v>56</v>
      </c>
      <c r="G169" s="587"/>
      <c r="H169" s="933">
        <f t="shared" si="15"/>
        <v>0</v>
      </c>
      <c r="I169" s="588"/>
      <c r="J169" s="588">
        <f t="shared" si="16"/>
        <v>0</v>
      </c>
      <c r="K169" s="253"/>
      <c r="L169" s="253"/>
      <c r="M169" s="253"/>
      <c r="N169" s="557"/>
      <c r="O169" s="253">
        <f t="shared" si="17"/>
        <v>0</v>
      </c>
      <c r="P169" s="253">
        <f t="shared" si="20"/>
        <v>0</v>
      </c>
      <c r="Q169" s="253">
        <f t="shared" si="18"/>
        <v>0</v>
      </c>
      <c r="R169" s="775">
        <v>0.15</v>
      </c>
      <c r="S169" s="253">
        <f t="shared" si="19"/>
        <v>0</v>
      </c>
      <c r="T169" s="921">
        <v>3.7499999999999999E-2</v>
      </c>
    </row>
    <row r="170" spans="1:20" outlineLevel="1" x14ac:dyDescent="0.2">
      <c r="A170" s="894" t="s">
        <v>28</v>
      </c>
      <c r="B170" s="456" t="s">
        <v>222</v>
      </c>
      <c r="C170" s="378" t="s">
        <v>31</v>
      </c>
      <c r="D170" s="378" t="s">
        <v>30</v>
      </c>
      <c r="E170" s="378" t="s">
        <v>101</v>
      </c>
      <c r="F170" s="586" t="s">
        <v>56</v>
      </c>
      <c r="G170" s="587"/>
      <c r="H170" s="933">
        <f t="shared" si="15"/>
        <v>0</v>
      </c>
      <c r="I170" s="588"/>
      <c r="J170" s="588">
        <f t="shared" si="16"/>
        <v>0</v>
      </c>
      <c r="K170" s="253"/>
      <c r="L170" s="253"/>
      <c r="M170" s="253"/>
      <c r="N170" s="934"/>
      <c r="O170" s="253">
        <f t="shared" si="17"/>
        <v>0</v>
      </c>
      <c r="P170" s="253">
        <f t="shared" si="20"/>
        <v>0</v>
      </c>
      <c r="Q170" s="253">
        <f t="shared" si="18"/>
        <v>0</v>
      </c>
      <c r="R170" s="775">
        <v>0.15</v>
      </c>
      <c r="S170" s="253">
        <f t="shared" si="19"/>
        <v>0</v>
      </c>
      <c r="T170" s="921">
        <v>3.7499999999999999E-2</v>
      </c>
    </row>
    <row r="171" spans="1:20" outlineLevel="1" x14ac:dyDescent="0.2">
      <c r="A171" s="894"/>
      <c r="B171" s="456" t="s">
        <v>226</v>
      </c>
      <c r="C171" s="378" t="s">
        <v>31</v>
      </c>
      <c r="D171" s="378" t="s">
        <v>30</v>
      </c>
      <c r="E171" s="378" t="s">
        <v>101</v>
      </c>
      <c r="F171" s="586" t="s">
        <v>56</v>
      </c>
      <c r="G171" s="587"/>
      <c r="H171" s="933">
        <f t="shared" si="15"/>
        <v>0</v>
      </c>
      <c r="I171" s="588"/>
      <c r="J171" s="588">
        <f t="shared" si="16"/>
        <v>0</v>
      </c>
      <c r="K171" s="253"/>
      <c r="L171" s="253"/>
      <c r="M171" s="253"/>
      <c r="N171" s="934"/>
      <c r="O171" s="253">
        <f t="shared" si="17"/>
        <v>0</v>
      </c>
      <c r="P171" s="253">
        <f t="shared" si="20"/>
        <v>0</v>
      </c>
      <c r="Q171" s="253">
        <f t="shared" si="18"/>
        <v>0</v>
      </c>
      <c r="R171" s="775">
        <v>0.15</v>
      </c>
      <c r="S171" s="253">
        <f t="shared" si="19"/>
        <v>0</v>
      </c>
      <c r="T171" s="921">
        <v>3.7499999999999999E-2</v>
      </c>
    </row>
    <row r="172" spans="1:20" x14ac:dyDescent="0.2">
      <c r="A172" s="894"/>
      <c r="B172" s="456" t="s">
        <v>225</v>
      </c>
      <c r="C172" s="378" t="s">
        <v>31</v>
      </c>
      <c r="D172" s="378" t="s">
        <v>30</v>
      </c>
      <c r="E172" s="378" t="s">
        <v>101</v>
      </c>
      <c r="F172" s="586" t="s">
        <v>56</v>
      </c>
      <c r="G172" s="587"/>
      <c r="H172" s="933">
        <f t="shared" si="15"/>
        <v>0</v>
      </c>
      <c r="I172" s="588"/>
      <c r="J172" s="933">
        <f>J149</f>
        <v>0</v>
      </c>
      <c r="K172" s="253"/>
      <c r="L172" s="253"/>
      <c r="M172" s="253"/>
      <c r="N172" s="557"/>
      <c r="O172" s="253">
        <f t="shared" si="17"/>
        <v>0</v>
      </c>
      <c r="P172" s="253">
        <f t="shared" si="20"/>
        <v>0</v>
      </c>
      <c r="Q172" s="253">
        <f t="shared" si="18"/>
        <v>0</v>
      </c>
      <c r="R172" s="775">
        <v>0.15</v>
      </c>
      <c r="S172" s="253">
        <f t="shared" si="19"/>
        <v>0</v>
      </c>
      <c r="T172" s="921">
        <v>3.7499999999999999E-2</v>
      </c>
    </row>
    <row r="173" spans="1:20" x14ac:dyDescent="0.2">
      <c r="A173" s="993"/>
      <c r="B173" s="994" t="s">
        <v>362</v>
      </c>
      <c r="C173" s="995" t="s">
        <v>31</v>
      </c>
      <c r="D173" s="995" t="s">
        <v>30</v>
      </c>
      <c r="E173" s="995" t="s">
        <v>101</v>
      </c>
      <c r="F173" s="995" t="s">
        <v>56</v>
      </c>
      <c r="G173" s="996"/>
      <c r="H173" s="935">
        <f t="shared" si="15"/>
        <v>0</v>
      </c>
      <c r="I173" s="949"/>
      <c r="J173" s="929">
        <f>J150</f>
        <v>0</v>
      </c>
      <c r="K173" s="909"/>
      <c r="L173" s="909"/>
      <c r="M173" s="909"/>
      <c r="N173" s="997"/>
      <c r="O173" s="909">
        <f t="shared" si="17"/>
        <v>0</v>
      </c>
      <c r="P173" s="909">
        <f t="shared" si="20"/>
        <v>0</v>
      </c>
      <c r="Q173" s="909">
        <f>ROUND($O173*R173,2)</f>
        <v>0</v>
      </c>
      <c r="R173" s="998">
        <v>0.15</v>
      </c>
      <c r="S173" s="909">
        <f t="shared" si="19"/>
        <v>0</v>
      </c>
      <c r="T173" s="999">
        <v>3.7499999999999999E-2</v>
      </c>
    </row>
    <row r="174" spans="1:20" x14ac:dyDescent="0.2">
      <c r="A174" s="596"/>
      <c r="B174" s="596"/>
      <c r="C174" s="596"/>
      <c r="D174" s="596"/>
      <c r="E174" s="596"/>
      <c r="F174" s="596"/>
      <c r="G174" s="902"/>
      <c r="H174" s="902">
        <f>SUM(H166:H173)</f>
        <v>0</v>
      </c>
      <c r="I174" s="937"/>
      <c r="J174" s="937" t="e">
        <f>O174/H174</f>
        <v>#DIV/0!</v>
      </c>
      <c r="K174" s="677"/>
      <c r="L174" s="596"/>
      <c r="M174" s="596"/>
      <c r="N174" s="1059">
        <f>SUM(N166:N172)</f>
        <v>0</v>
      </c>
      <c r="O174" s="734">
        <f>SUM(O166:O173)</f>
        <v>0</v>
      </c>
      <c r="P174" s="734">
        <f>SUM(P166:P173)</f>
        <v>0</v>
      </c>
      <c r="Q174" s="734">
        <f>SUM(Q166:Q173)</f>
        <v>0</v>
      </c>
      <c r="R174" s="596"/>
      <c r="S174" s="734">
        <f>SUM(S166:S173)</f>
        <v>0</v>
      </c>
      <c r="T174" s="596"/>
    </row>
    <row r="175" spans="1:20" outlineLevel="1" x14ac:dyDescent="0.2">
      <c r="A175" s="596"/>
      <c r="B175" s="596"/>
      <c r="C175" s="596"/>
      <c r="D175" s="596"/>
      <c r="E175" s="596"/>
      <c r="F175" s="596"/>
      <c r="G175" s="677"/>
      <c r="H175" s="677"/>
      <c r="I175" s="677"/>
      <c r="J175" s="677"/>
      <c r="K175" s="677"/>
      <c r="L175" s="596"/>
      <c r="M175" s="596"/>
      <c r="N175" s="950"/>
      <c r="O175" s="596"/>
      <c r="P175" s="596"/>
      <c r="Q175" s="596"/>
      <c r="R175" s="596"/>
      <c r="S175" s="596"/>
      <c r="T175" s="596"/>
    </row>
    <row r="176" spans="1:20" outlineLevel="1" x14ac:dyDescent="0.2">
      <c r="A176" s="596"/>
      <c r="B176" s="596"/>
      <c r="C176" s="596"/>
      <c r="D176" s="596"/>
      <c r="E176" s="596"/>
      <c r="F176" s="596"/>
      <c r="G176" s="596"/>
      <c r="H176" s="596"/>
      <c r="I176" s="596"/>
      <c r="J176" s="596"/>
      <c r="K176" s="596"/>
      <c r="L176" s="596"/>
      <c r="M176" s="596"/>
      <c r="N176" s="1061"/>
      <c r="O176" s="596"/>
      <c r="P176" s="596"/>
      <c r="Q176" s="596"/>
      <c r="R176" s="596"/>
      <c r="S176" s="596"/>
      <c r="T176" s="596"/>
    </row>
    <row r="177" spans="1:20" outlineLevel="1" x14ac:dyDescent="0.2">
      <c r="A177" s="596"/>
      <c r="B177" s="596"/>
      <c r="C177" s="596"/>
      <c r="D177" s="596"/>
      <c r="E177" s="596"/>
      <c r="F177" s="596"/>
      <c r="G177" s="677"/>
      <c r="H177" s="677"/>
      <c r="I177" s="677"/>
      <c r="J177" s="677"/>
      <c r="K177" s="677"/>
      <c r="L177" s="596"/>
      <c r="M177" s="596"/>
      <c r="N177" s="1061"/>
      <c r="O177" s="596"/>
      <c r="P177" s="596"/>
      <c r="Q177" s="596"/>
      <c r="R177" s="596"/>
      <c r="S177" s="596"/>
      <c r="T177" s="596"/>
    </row>
    <row r="178" spans="1:20" outlineLevel="1" x14ac:dyDescent="0.2">
      <c r="A178" s="880" t="s">
        <v>231</v>
      </c>
      <c r="B178" s="596"/>
      <c r="C178" s="596" t="s">
        <v>330</v>
      </c>
      <c r="D178" s="596"/>
      <c r="E178" s="596"/>
      <c r="F178" s="596"/>
      <c r="G178" s="596"/>
      <c r="H178" s="596"/>
      <c r="I178" s="596"/>
      <c r="J178" s="596"/>
      <c r="K178" s="596"/>
      <c r="L178" s="596"/>
      <c r="M178" s="596"/>
      <c r="N178" s="1061"/>
      <c r="O178" s="596"/>
      <c r="P178" s="596"/>
      <c r="Q178" s="596"/>
      <c r="R178" s="596"/>
      <c r="S178" s="596"/>
      <c r="T178" s="596"/>
    </row>
    <row r="179" spans="1:20" ht="15.75" outlineLevel="1" x14ac:dyDescent="0.25">
      <c r="A179" s="887" t="s">
        <v>228</v>
      </c>
      <c r="B179" s="596"/>
      <c r="C179" s="596"/>
      <c r="D179" s="596"/>
      <c r="E179" s="596"/>
      <c r="F179" s="596"/>
      <c r="G179" s="704" t="s">
        <v>35</v>
      </c>
      <c r="H179" s="705" t="s">
        <v>36</v>
      </c>
      <c r="I179" s="705" t="s">
        <v>35</v>
      </c>
      <c r="J179" s="704" t="s">
        <v>36</v>
      </c>
      <c r="K179" s="704" t="s">
        <v>39</v>
      </c>
      <c r="L179" s="704" t="s">
        <v>40</v>
      </c>
      <c r="M179" s="704" t="s">
        <v>42</v>
      </c>
      <c r="N179" s="1058" t="s">
        <v>2</v>
      </c>
      <c r="O179" s="596"/>
      <c r="P179" s="596"/>
      <c r="Q179" s="596"/>
      <c r="R179" s="596"/>
      <c r="S179" s="596"/>
      <c r="T179" s="596"/>
    </row>
    <row r="180" spans="1:20" outlineLevel="1" x14ac:dyDescent="0.2">
      <c r="A180" s="939" t="s">
        <v>28</v>
      </c>
      <c r="B180" s="940" t="s">
        <v>367</v>
      </c>
      <c r="C180" s="845" t="s">
        <v>31</v>
      </c>
      <c r="D180" s="845" t="s">
        <v>30</v>
      </c>
      <c r="E180" s="845" t="s">
        <v>101</v>
      </c>
      <c r="F180" s="845" t="s">
        <v>56</v>
      </c>
      <c r="G180" s="913"/>
      <c r="H180" s="914"/>
      <c r="I180" s="915"/>
      <c r="J180" s="916"/>
      <c r="K180" s="941"/>
      <c r="L180" s="941"/>
      <c r="M180" s="941"/>
      <c r="N180" s="883"/>
      <c r="O180" s="918">
        <f>ROUND(G180*I180,2)+ROUND(H180*J180,2)-K180-L180-M180-N180</f>
        <v>0</v>
      </c>
      <c r="P180" s="918">
        <f>ROUND(18.75%*O180,2)</f>
        <v>0</v>
      </c>
      <c r="Q180" s="941">
        <f>ROUND($O180*R180,2)</f>
        <v>0</v>
      </c>
      <c r="R180" s="942">
        <v>0.15</v>
      </c>
      <c r="S180" s="941">
        <f>ROUND($O180*T180,2)</f>
        <v>0</v>
      </c>
      <c r="T180" s="943">
        <v>3.7499999999999999E-2</v>
      </c>
    </row>
    <row r="181" spans="1:20" outlineLevel="1" x14ac:dyDescent="0.2">
      <c r="A181" s="922" t="s">
        <v>28</v>
      </c>
      <c r="B181" s="442" t="s">
        <v>373</v>
      </c>
      <c r="C181" s="854" t="s">
        <v>31</v>
      </c>
      <c r="D181" s="854" t="s">
        <v>30</v>
      </c>
      <c r="E181" s="854" t="s">
        <v>101</v>
      </c>
      <c r="F181" s="854" t="s">
        <v>56</v>
      </c>
      <c r="G181" s="933"/>
      <c r="H181" s="587"/>
      <c r="I181" s="920"/>
      <c r="J181" s="588"/>
      <c r="K181" s="441"/>
      <c r="L181" s="441"/>
      <c r="M181" s="441"/>
      <c r="N181" s="923"/>
      <c r="O181" s="944">
        <f>ROUND(G181*I181,2)+ROUND(H181*J181,2)-K181-L181-M181-N181</f>
        <v>0</v>
      </c>
      <c r="P181" s="944">
        <f>ROUND(18.75%*O181,2)</f>
        <v>0</v>
      </c>
      <c r="Q181" s="441">
        <f>ROUND($O181*R181,2)</f>
        <v>0</v>
      </c>
      <c r="R181" s="924">
        <v>0.15</v>
      </c>
      <c r="S181" s="441">
        <f>ROUND($O181*T181,2)</f>
        <v>0</v>
      </c>
      <c r="T181" s="945">
        <v>3.7499999999999999E-2</v>
      </c>
    </row>
    <row r="182" spans="1:20" outlineLevel="1" x14ac:dyDescent="0.2">
      <c r="A182" s="922" t="s">
        <v>28</v>
      </c>
      <c r="B182" s="442" t="s">
        <v>374</v>
      </c>
      <c r="C182" s="854" t="s">
        <v>31</v>
      </c>
      <c r="D182" s="854" t="s">
        <v>30</v>
      </c>
      <c r="E182" s="854" t="s">
        <v>101</v>
      </c>
      <c r="F182" s="854" t="s">
        <v>56</v>
      </c>
      <c r="G182" s="933"/>
      <c r="H182" s="587"/>
      <c r="I182" s="920"/>
      <c r="J182" s="588"/>
      <c r="K182" s="441"/>
      <c r="L182" s="441"/>
      <c r="M182" s="441"/>
      <c r="N182" s="923"/>
      <c r="O182" s="441">
        <f>ROUND(G182*I182,2)+ROUND(H182*J182,2)-K182-L182-M182-N182</f>
        <v>0</v>
      </c>
      <c r="P182" s="441">
        <f>ROUND(18.75%*O182,2)</f>
        <v>0</v>
      </c>
      <c r="Q182" s="441">
        <f>ROUND($O182*R182,2)</f>
        <v>0</v>
      </c>
      <c r="R182" s="924">
        <v>0.15</v>
      </c>
      <c r="S182" s="441">
        <f>ROUND($O182*T182,2)</f>
        <v>0</v>
      </c>
      <c r="T182" s="945">
        <v>3.7499999999999999E-2</v>
      </c>
    </row>
    <row r="183" spans="1:20" outlineLevel="1" x14ac:dyDescent="0.2">
      <c r="A183" s="922" t="s">
        <v>28</v>
      </c>
      <c r="B183" s="442" t="s">
        <v>375</v>
      </c>
      <c r="C183" s="854" t="s">
        <v>31</v>
      </c>
      <c r="D183" s="854" t="s">
        <v>30</v>
      </c>
      <c r="E183" s="854" t="s">
        <v>101</v>
      </c>
      <c r="F183" s="854" t="s">
        <v>56</v>
      </c>
      <c r="G183" s="933"/>
      <c r="H183" s="587"/>
      <c r="I183" s="920"/>
      <c r="J183" s="588"/>
      <c r="K183" s="441"/>
      <c r="L183" s="441"/>
      <c r="M183" s="441"/>
      <c r="N183" s="923"/>
      <c r="O183" s="441">
        <f>ROUND(G183*I183,2)+ROUND(H183*J183,2)-K183-L183-M183-N183</f>
        <v>0</v>
      </c>
      <c r="P183" s="441">
        <f>ROUND(18.75%*O183,2)</f>
        <v>0</v>
      </c>
      <c r="Q183" s="441">
        <f>ROUND($O183*R183,2)</f>
        <v>0</v>
      </c>
      <c r="R183" s="924">
        <v>0.15</v>
      </c>
      <c r="S183" s="441">
        <f>ROUND($O183*T183,2)</f>
        <v>0</v>
      </c>
      <c r="T183" s="945">
        <v>3.7499999999999999E-2</v>
      </c>
    </row>
    <row r="184" spans="1:20" outlineLevel="1" x14ac:dyDescent="0.2">
      <c r="A184" s="926" t="s">
        <v>28</v>
      </c>
      <c r="B184" s="445" t="s">
        <v>376</v>
      </c>
      <c r="C184" s="867" t="s">
        <v>31</v>
      </c>
      <c r="D184" s="867" t="s">
        <v>30</v>
      </c>
      <c r="E184" s="867" t="s">
        <v>101</v>
      </c>
      <c r="F184" s="867" t="s">
        <v>56</v>
      </c>
      <c r="G184" s="935"/>
      <c r="H184" s="927"/>
      <c r="I184" s="928"/>
      <c r="J184" s="928"/>
      <c r="K184" s="568"/>
      <c r="L184" s="568"/>
      <c r="M184" s="568"/>
      <c r="N184" s="930"/>
      <c r="O184" s="568">
        <f>ROUND(G184*I184,2)+ROUND(H184*J184,2)-K184-L184-M184-N184</f>
        <v>0</v>
      </c>
      <c r="P184" s="568">
        <f>ROUND(18.75%*O184,2)</f>
        <v>0</v>
      </c>
      <c r="Q184" s="568">
        <f>ROUND($O184*R184,2)</f>
        <v>0</v>
      </c>
      <c r="R184" s="931">
        <v>0.15</v>
      </c>
      <c r="S184" s="568">
        <f>ROUND($O184*T184,2)</f>
        <v>0</v>
      </c>
      <c r="T184" s="946">
        <v>3.7499999999999999E-2</v>
      </c>
    </row>
    <row r="185" spans="1:20" outlineLevel="1" x14ac:dyDescent="0.2">
      <c r="A185" s="596"/>
      <c r="B185" s="596"/>
      <c r="C185" s="596"/>
      <c r="D185" s="596"/>
      <c r="E185" s="596"/>
      <c r="F185" s="596"/>
      <c r="G185" s="902"/>
      <c r="H185" s="902"/>
      <c r="I185" s="677"/>
      <c r="J185" s="677"/>
      <c r="K185" s="677"/>
      <c r="L185" s="596"/>
      <c r="M185" s="596"/>
      <c r="N185" s="1059">
        <f>SUM(N180:N184)</f>
        <v>0</v>
      </c>
      <c r="O185" s="734">
        <f>SUM(O180:O184)</f>
        <v>0</v>
      </c>
      <c r="P185" s="734">
        <f>SUM(P180:P184)</f>
        <v>0</v>
      </c>
      <c r="Q185" s="734">
        <f>SUM(Q180:Q184)</f>
        <v>0</v>
      </c>
      <c r="R185" s="596"/>
      <c r="S185" s="734">
        <f>SUM(S180:S184)</f>
        <v>0</v>
      </c>
      <c r="T185" s="596"/>
    </row>
    <row r="186" spans="1:20" outlineLevel="1" x14ac:dyDescent="0.2">
      <c r="A186" s="596"/>
      <c r="B186" s="596"/>
      <c r="C186" s="596"/>
      <c r="D186" s="596"/>
      <c r="E186" s="596"/>
      <c r="F186" s="596"/>
      <c r="G186" s="677"/>
      <c r="H186" s="677"/>
      <c r="I186" s="677"/>
      <c r="J186" s="677"/>
      <c r="K186" s="677"/>
      <c r="L186" s="596"/>
      <c r="M186" s="596"/>
      <c r="N186" s="950"/>
      <c r="O186" s="597"/>
      <c r="P186" s="597"/>
      <c r="Q186" s="597"/>
      <c r="R186" s="596"/>
      <c r="S186" s="597"/>
      <c r="T186" s="596"/>
    </row>
    <row r="187" spans="1:20" ht="15.75" outlineLevel="1" x14ac:dyDescent="0.25">
      <c r="A187" s="887" t="s">
        <v>229</v>
      </c>
      <c r="B187" s="596"/>
      <c r="C187" s="596"/>
      <c r="D187" s="596"/>
      <c r="E187" s="596"/>
      <c r="F187" s="596"/>
      <c r="G187" s="677"/>
      <c r="H187" s="677"/>
      <c r="I187" s="677"/>
      <c r="J187" s="677"/>
      <c r="K187" s="677"/>
      <c r="L187" s="596"/>
      <c r="M187" s="596"/>
      <c r="N187" s="950"/>
      <c r="O187" s="596"/>
      <c r="P187" s="596"/>
      <c r="Q187" s="597"/>
      <c r="R187" s="596"/>
      <c r="S187" s="596"/>
      <c r="T187" s="596"/>
    </row>
    <row r="188" spans="1:20" outlineLevel="1" x14ac:dyDescent="0.2">
      <c r="A188" s="888" t="s">
        <v>28</v>
      </c>
      <c r="B188" s="940" t="s">
        <v>303</v>
      </c>
      <c r="C188" s="890" t="s">
        <v>31</v>
      </c>
      <c r="D188" s="890" t="s">
        <v>30</v>
      </c>
      <c r="E188" s="890" t="s">
        <v>101</v>
      </c>
      <c r="F188" s="891" t="s">
        <v>56</v>
      </c>
      <c r="G188" s="913">
        <f>G180</f>
        <v>0</v>
      </c>
      <c r="H188" s="914"/>
      <c r="I188" s="915">
        <f>I180</f>
        <v>0</v>
      </c>
      <c r="J188" s="916"/>
      <c r="K188" s="420"/>
      <c r="L188" s="420"/>
      <c r="M188" s="420"/>
      <c r="N188" s="904">
        <f>N180</f>
        <v>0</v>
      </c>
      <c r="O188" s="420">
        <f>ROUND(G188*I188,2)+ROUND(H188*J188,2)-K188-L188-M188-N188</f>
        <v>0</v>
      </c>
      <c r="P188" s="420">
        <f>ROUND(18.75%*O188,2)</f>
        <v>0</v>
      </c>
      <c r="Q188" s="420">
        <f>ROUND($O188*R188,2)</f>
        <v>0</v>
      </c>
      <c r="R188" s="893">
        <v>0.15</v>
      </c>
      <c r="S188" s="420">
        <f>ROUND($O188*T188,2)</f>
        <v>0</v>
      </c>
      <c r="T188" s="919">
        <v>3.7499999999999999E-2</v>
      </c>
    </row>
    <row r="189" spans="1:20" outlineLevel="1" x14ac:dyDescent="0.2">
      <c r="A189" s="894" t="s">
        <v>28</v>
      </c>
      <c r="B189" s="442" t="s">
        <v>303</v>
      </c>
      <c r="C189" s="378" t="s">
        <v>31</v>
      </c>
      <c r="D189" s="378" t="s">
        <v>30</v>
      </c>
      <c r="E189" s="378" t="s">
        <v>101</v>
      </c>
      <c r="F189" s="586" t="s">
        <v>56</v>
      </c>
      <c r="G189" s="933">
        <f>G181</f>
        <v>0</v>
      </c>
      <c r="H189" s="587"/>
      <c r="I189" s="920">
        <f>I181</f>
        <v>0</v>
      </c>
      <c r="J189" s="588"/>
      <c r="K189" s="253"/>
      <c r="L189" s="253"/>
      <c r="M189" s="253"/>
      <c r="N189" s="557"/>
      <c r="O189" s="253">
        <f>ROUND(G189*I189,2)+ROUND(H189*J189,2)-K189-L189-M189-N189</f>
        <v>0</v>
      </c>
      <c r="P189" s="253">
        <f>ROUND(18.75%*O189,2)</f>
        <v>0</v>
      </c>
      <c r="Q189" s="253">
        <f>ROUND($O189*R189,2)</f>
        <v>0</v>
      </c>
      <c r="R189" s="775">
        <v>0.15</v>
      </c>
      <c r="S189" s="253">
        <f>ROUND($O189*T189,2)</f>
        <v>0</v>
      </c>
      <c r="T189" s="921">
        <v>3.7499999999999999E-2</v>
      </c>
    </row>
    <row r="190" spans="1:20" outlineLevel="1" x14ac:dyDescent="0.2">
      <c r="A190" s="894" t="s">
        <v>28</v>
      </c>
      <c r="B190" s="442" t="s">
        <v>303</v>
      </c>
      <c r="C190" s="378" t="s">
        <v>31</v>
      </c>
      <c r="D190" s="378" t="s">
        <v>30</v>
      </c>
      <c r="E190" s="378" t="s">
        <v>101</v>
      </c>
      <c r="F190" s="586" t="s">
        <v>56</v>
      </c>
      <c r="G190" s="933">
        <f>G182</f>
        <v>0</v>
      </c>
      <c r="H190" s="587"/>
      <c r="I190" s="920">
        <f>I182</f>
        <v>0</v>
      </c>
      <c r="J190" s="588"/>
      <c r="K190" s="253"/>
      <c r="L190" s="253"/>
      <c r="M190" s="253"/>
      <c r="N190" s="557"/>
      <c r="O190" s="253">
        <f>ROUND(G190*I190,2)+ROUND(H190*J190,2)-K190-L190-M190-N190</f>
        <v>0</v>
      </c>
      <c r="P190" s="253">
        <f>ROUND(18.75%*O190,2)</f>
        <v>0</v>
      </c>
      <c r="Q190" s="253">
        <f>ROUND($O190*R190,2)</f>
        <v>0</v>
      </c>
      <c r="R190" s="775">
        <v>0.15</v>
      </c>
      <c r="S190" s="253">
        <f>ROUND($O190*T190,2)</f>
        <v>0</v>
      </c>
      <c r="T190" s="921">
        <v>3.7499999999999999E-2</v>
      </c>
    </row>
    <row r="191" spans="1:20" outlineLevel="1" x14ac:dyDescent="0.2">
      <c r="A191" s="894" t="s">
        <v>28</v>
      </c>
      <c r="B191" s="442" t="s">
        <v>303</v>
      </c>
      <c r="C191" s="378" t="s">
        <v>31</v>
      </c>
      <c r="D191" s="378" t="s">
        <v>30</v>
      </c>
      <c r="E191" s="378" t="s">
        <v>101</v>
      </c>
      <c r="F191" s="586" t="s">
        <v>56</v>
      </c>
      <c r="G191" s="933">
        <f>G183</f>
        <v>0</v>
      </c>
      <c r="H191" s="587"/>
      <c r="I191" s="920">
        <f>I183</f>
        <v>0</v>
      </c>
      <c r="J191" s="588"/>
      <c r="K191" s="253"/>
      <c r="L191" s="253"/>
      <c r="M191" s="253"/>
      <c r="N191" s="557"/>
      <c r="O191" s="253">
        <f>ROUND(G191*I191,2)+ROUND(H191*J191,2)-K191-L191-M191-N191</f>
        <v>0</v>
      </c>
      <c r="P191" s="253">
        <f>ROUND(18.75%*O191,2)</f>
        <v>0</v>
      </c>
      <c r="Q191" s="253">
        <f>ROUND($O191*R191,2)</f>
        <v>0</v>
      </c>
      <c r="R191" s="775">
        <v>0.15</v>
      </c>
      <c r="S191" s="253">
        <f>ROUND($O191*T191,2)</f>
        <v>0</v>
      </c>
      <c r="T191" s="921">
        <v>3.7499999999999999E-2</v>
      </c>
    </row>
    <row r="192" spans="1:20" outlineLevel="1" x14ac:dyDescent="0.2">
      <c r="A192" s="898" t="s">
        <v>28</v>
      </c>
      <c r="B192" s="445" t="s">
        <v>303</v>
      </c>
      <c r="C192" s="899" t="s">
        <v>31</v>
      </c>
      <c r="D192" s="899" t="s">
        <v>30</v>
      </c>
      <c r="E192" s="899" t="s">
        <v>101</v>
      </c>
      <c r="F192" s="740" t="s">
        <v>56</v>
      </c>
      <c r="G192" s="935">
        <f>G184</f>
        <v>0</v>
      </c>
      <c r="H192" s="927"/>
      <c r="I192" s="928">
        <f>I184</f>
        <v>0</v>
      </c>
      <c r="J192" s="929"/>
      <c r="K192" s="424"/>
      <c r="L192" s="424"/>
      <c r="M192" s="424"/>
      <c r="N192" s="936"/>
      <c r="O192" s="424">
        <f>ROUND(G192*I192,2)+ROUND(H192*J192,2)-K192-L192-M192-N192</f>
        <v>0</v>
      </c>
      <c r="P192" s="424">
        <f>ROUND(18.75%*O192,2)</f>
        <v>0</v>
      </c>
      <c r="Q192" s="424">
        <f>ROUND($O192*R192,2)</f>
        <v>0</v>
      </c>
      <c r="R192" s="901">
        <v>0.15</v>
      </c>
      <c r="S192" s="424">
        <f>ROUND($O192*T192,2)</f>
        <v>0</v>
      </c>
      <c r="T192" s="932">
        <v>3.7499999999999999E-2</v>
      </c>
    </row>
    <row r="193" spans="1:20" outlineLevel="1" x14ac:dyDescent="0.2">
      <c r="A193" s="596"/>
      <c r="B193" s="596"/>
      <c r="C193" s="596"/>
      <c r="D193" s="596"/>
      <c r="E193" s="596"/>
      <c r="F193" s="596"/>
      <c r="G193" s="902">
        <f>SUM(G188:G192)</f>
        <v>0</v>
      </c>
      <c r="H193" s="902"/>
      <c r="I193" s="937" t="e">
        <f>O193/G193</f>
        <v>#DIV/0!</v>
      </c>
      <c r="J193" s="937"/>
      <c r="K193" s="677"/>
      <c r="L193" s="596"/>
      <c r="M193" s="596"/>
      <c r="N193" s="1059">
        <f>SUM(N188:N192)</f>
        <v>0</v>
      </c>
      <c r="O193" s="734">
        <f>SUM(O188:O192)</f>
        <v>0</v>
      </c>
      <c r="P193" s="734">
        <f>SUM(P188:P192)</f>
        <v>0</v>
      </c>
      <c r="Q193" s="734">
        <f>SUM(Q188:Q192)</f>
        <v>0</v>
      </c>
      <c r="R193" s="596"/>
      <c r="S193" s="734">
        <f>SUM(S188:S192)</f>
        <v>0</v>
      </c>
      <c r="T193" s="596"/>
    </row>
    <row r="194" spans="1:20" outlineLevel="1" x14ac:dyDescent="0.2">
      <c r="A194" s="596"/>
      <c r="B194" s="596"/>
      <c r="C194" s="596"/>
      <c r="D194" s="596"/>
      <c r="E194" s="596"/>
      <c r="F194" s="596"/>
      <c r="G194" s="677"/>
      <c r="H194" s="677"/>
      <c r="I194" s="677"/>
      <c r="J194" s="677"/>
      <c r="K194" s="677"/>
      <c r="L194" s="596"/>
      <c r="M194" s="596"/>
      <c r="N194" s="950"/>
      <c r="O194" s="683"/>
      <c r="P194" s="596"/>
      <c r="Q194" s="596"/>
      <c r="R194" s="596"/>
      <c r="S194" s="596"/>
      <c r="T194" s="596"/>
    </row>
    <row r="195" spans="1:20" outlineLevel="1" x14ac:dyDescent="0.2">
      <c r="A195" s="596"/>
      <c r="B195" s="596"/>
      <c r="C195" s="596"/>
      <c r="D195" s="596"/>
      <c r="E195" s="596"/>
      <c r="F195" s="596"/>
      <c r="G195" s="677"/>
      <c r="H195" s="677"/>
      <c r="I195" s="677"/>
      <c r="J195" s="677"/>
      <c r="K195" s="677"/>
      <c r="L195" s="596"/>
      <c r="M195" s="596"/>
      <c r="N195" s="950"/>
      <c r="O195" s="597"/>
      <c r="P195" s="596"/>
      <c r="Q195" s="596"/>
      <c r="R195" s="596"/>
      <c r="S195" s="596"/>
      <c r="T195" s="596"/>
    </row>
    <row r="196" spans="1:20" ht="15.75" outlineLevel="1" x14ac:dyDescent="0.25">
      <c r="A196" s="887" t="s">
        <v>230</v>
      </c>
      <c r="B196" s="596"/>
      <c r="C196" s="596"/>
      <c r="D196" s="596"/>
      <c r="E196" s="596"/>
      <c r="F196" s="596"/>
      <c r="G196" s="677"/>
      <c r="H196" s="677"/>
      <c r="I196" s="677"/>
      <c r="J196" s="677"/>
      <c r="K196" s="677"/>
      <c r="L196" s="596"/>
      <c r="M196" s="596"/>
      <c r="N196" s="950"/>
      <c r="O196" s="596"/>
      <c r="P196" s="596"/>
      <c r="Q196" s="596"/>
      <c r="R196" s="596"/>
      <c r="S196" s="596"/>
      <c r="T196" s="596"/>
    </row>
    <row r="197" spans="1:20" outlineLevel="1" x14ac:dyDescent="0.2">
      <c r="A197" s="888" t="s">
        <v>28</v>
      </c>
      <c r="B197" s="940" t="s">
        <v>303</v>
      </c>
      <c r="C197" s="890" t="s">
        <v>31</v>
      </c>
      <c r="D197" s="890" t="s">
        <v>30</v>
      </c>
      <c r="E197" s="890" t="s">
        <v>101</v>
      </c>
      <c r="F197" s="891" t="s">
        <v>56</v>
      </c>
      <c r="G197" s="914"/>
      <c r="H197" s="914">
        <f>H180</f>
        <v>0</v>
      </c>
      <c r="I197" s="916"/>
      <c r="J197" s="947">
        <f>J180</f>
        <v>0</v>
      </c>
      <c r="K197" s="420"/>
      <c r="L197" s="420"/>
      <c r="M197" s="420"/>
      <c r="N197" s="904"/>
      <c r="O197" s="420">
        <f>ROUND(G197*I197,2)+ROUND(H197*J197,2)-K197-L197-M197-N197</f>
        <v>0</v>
      </c>
      <c r="P197" s="420">
        <f>ROUND(18.75%*O197,2)</f>
        <v>0</v>
      </c>
      <c r="Q197" s="420">
        <f>ROUND($O197*R197,2)</f>
        <v>0</v>
      </c>
      <c r="R197" s="893">
        <v>0.15</v>
      </c>
      <c r="S197" s="420">
        <f>ROUND($O197*T197,2)</f>
        <v>0</v>
      </c>
      <c r="T197" s="919">
        <v>3.7499999999999999E-2</v>
      </c>
    </row>
    <row r="198" spans="1:20" outlineLevel="1" x14ac:dyDescent="0.2">
      <c r="A198" s="894" t="s">
        <v>28</v>
      </c>
      <c r="B198" s="442" t="s">
        <v>303</v>
      </c>
      <c r="C198" s="378" t="s">
        <v>31</v>
      </c>
      <c r="D198" s="378" t="s">
        <v>30</v>
      </c>
      <c r="E198" s="378" t="s">
        <v>101</v>
      </c>
      <c r="F198" s="586" t="s">
        <v>56</v>
      </c>
      <c r="G198" s="587"/>
      <c r="H198" s="587">
        <f>H181</f>
        <v>0</v>
      </c>
      <c r="I198" s="588"/>
      <c r="J198" s="948">
        <f>J181</f>
        <v>0</v>
      </c>
      <c r="K198" s="253"/>
      <c r="L198" s="253"/>
      <c r="M198" s="253"/>
      <c r="N198" s="557"/>
      <c r="O198" s="253">
        <f>ROUND(G198*I198,2)+ROUND(H198*J198,2)-K198-L198-M198-N198</f>
        <v>0</v>
      </c>
      <c r="P198" s="253">
        <f>ROUND(18.75%*O198,2)</f>
        <v>0</v>
      </c>
      <c r="Q198" s="253">
        <f>ROUND($O198*R198,2)</f>
        <v>0</v>
      </c>
      <c r="R198" s="775">
        <v>0.15</v>
      </c>
      <c r="S198" s="253">
        <f>ROUND($O198*T198,2)</f>
        <v>0</v>
      </c>
      <c r="T198" s="921">
        <v>3.7499999999999999E-2</v>
      </c>
    </row>
    <row r="199" spans="1:20" x14ac:dyDescent="0.2">
      <c r="A199" s="894" t="s">
        <v>28</v>
      </c>
      <c r="B199" s="442" t="s">
        <v>303</v>
      </c>
      <c r="C199" s="378" t="s">
        <v>31</v>
      </c>
      <c r="D199" s="378" t="s">
        <v>30</v>
      </c>
      <c r="E199" s="378" t="s">
        <v>101</v>
      </c>
      <c r="F199" s="586" t="s">
        <v>56</v>
      </c>
      <c r="G199" s="587"/>
      <c r="H199" s="587">
        <f>H182</f>
        <v>0</v>
      </c>
      <c r="I199" s="588"/>
      <c r="J199" s="948">
        <f>J182</f>
        <v>0</v>
      </c>
      <c r="K199" s="253"/>
      <c r="L199" s="253"/>
      <c r="M199" s="253"/>
      <c r="N199" s="557"/>
      <c r="O199" s="253">
        <f>ROUND(G199*I199,2)+ROUND(H199*J199,2)-K199-L199-M199-N199</f>
        <v>0</v>
      </c>
      <c r="P199" s="253">
        <f>ROUND(18.75%*O199,2)</f>
        <v>0</v>
      </c>
      <c r="Q199" s="253">
        <f>ROUND($O199*R199,2)</f>
        <v>0</v>
      </c>
      <c r="R199" s="775">
        <v>0.15</v>
      </c>
      <c r="S199" s="253">
        <f>ROUND($O199*T199,2)</f>
        <v>0</v>
      </c>
      <c r="T199" s="921">
        <v>3.7499999999999999E-2</v>
      </c>
    </row>
    <row r="200" spans="1:20" x14ac:dyDescent="0.2">
      <c r="A200" s="894" t="s">
        <v>28</v>
      </c>
      <c r="B200" s="442" t="s">
        <v>303</v>
      </c>
      <c r="C200" s="378" t="s">
        <v>31</v>
      </c>
      <c r="D200" s="378" t="s">
        <v>30</v>
      </c>
      <c r="E200" s="378" t="s">
        <v>101</v>
      </c>
      <c r="F200" s="586" t="s">
        <v>56</v>
      </c>
      <c r="G200" s="587"/>
      <c r="H200" s="587">
        <f>H183</f>
        <v>0</v>
      </c>
      <c r="I200" s="588"/>
      <c r="J200" s="948">
        <f>J183</f>
        <v>0</v>
      </c>
      <c r="K200" s="253"/>
      <c r="L200" s="253"/>
      <c r="M200" s="253"/>
      <c r="N200" s="557"/>
      <c r="O200" s="253">
        <f>ROUND(G200*I200,2)+ROUND(H200*J200,2)-K200-L200-M200-N200</f>
        <v>0</v>
      </c>
      <c r="P200" s="253">
        <f>ROUND(18.75%*O200,2)</f>
        <v>0</v>
      </c>
      <c r="Q200" s="253">
        <f>ROUND($O200*R200,2)</f>
        <v>0</v>
      </c>
      <c r="R200" s="775">
        <v>0.15</v>
      </c>
      <c r="S200" s="253">
        <f>ROUND($O200*T200,2)</f>
        <v>0</v>
      </c>
      <c r="T200" s="921">
        <v>3.7499999999999999E-2</v>
      </c>
    </row>
    <row r="201" spans="1:20" x14ac:dyDescent="0.2">
      <c r="A201" s="898" t="s">
        <v>28</v>
      </c>
      <c r="B201" s="445" t="s">
        <v>303</v>
      </c>
      <c r="C201" s="899" t="s">
        <v>31</v>
      </c>
      <c r="D201" s="899" t="s">
        <v>30</v>
      </c>
      <c r="E201" s="899" t="s">
        <v>101</v>
      </c>
      <c r="F201" s="740" t="s">
        <v>56</v>
      </c>
      <c r="G201" s="927"/>
      <c r="H201" s="927">
        <f>H184</f>
        <v>0</v>
      </c>
      <c r="I201" s="929"/>
      <c r="J201" s="949">
        <f>J184</f>
        <v>0</v>
      </c>
      <c r="K201" s="424"/>
      <c r="L201" s="424"/>
      <c r="M201" s="424"/>
      <c r="N201" s="936"/>
      <c r="O201" s="424">
        <f>ROUND(G201*I201,2)+ROUND(H201*J201,2)-K201-L201-M201-N201</f>
        <v>0</v>
      </c>
      <c r="P201" s="424">
        <f>ROUND(18.75%*O201,2)</f>
        <v>0</v>
      </c>
      <c r="Q201" s="424">
        <f>ROUND($O201*R201,2)</f>
        <v>0</v>
      </c>
      <c r="R201" s="901">
        <v>0.15</v>
      </c>
      <c r="S201" s="424">
        <f>ROUND($O201*T201,2)</f>
        <v>0</v>
      </c>
      <c r="T201" s="932">
        <v>3.7499999999999999E-2</v>
      </c>
    </row>
    <row r="202" spans="1:20" x14ac:dyDescent="0.2">
      <c r="A202" s="596"/>
      <c r="B202" s="596"/>
      <c r="C202" s="596"/>
      <c r="D202" s="596"/>
      <c r="E202" s="596"/>
      <c r="F202" s="596"/>
      <c r="G202" s="902"/>
      <c r="H202" s="902">
        <f>SUM(H197:H201)</f>
        <v>0</v>
      </c>
      <c r="I202" s="937"/>
      <c r="J202" s="937" t="e">
        <f>O202/H202</f>
        <v>#DIV/0!</v>
      </c>
      <c r="K202" s="677"/>
      <c r="L202" s="596"/>
      <c r="M202" s="596"/>
      <c r="N202" s="1059">
        <f>SUM(N197:N201)</f>
        <v>0</v>
      </c>
      <c r="O202" s="734">
        <f>SUM(O197:O201)</f>
        <v>0</v>
      </c>
      <c r="P202" s="734">
        <f>SUM(P197:P201)</f>
        <v>0</v>
      </c>
      <c r="Q202" s="734">
        <f>SUM(Q197:Q201)</f>
        <v>0</v>
      </c>
      <c r="R202" s="596"/>
      <c r="S202" s="734">
        <f>SUM(S197:S201)</f>
        <v>0</v>
      </c>
      <c r="T202" s="596"/>
    </row>
    <row r="203" spans="1:20" ht="15.75" x14ac:dyDescent="0.25">
      <c r="A203"/>
      <c r="B203"/>
      <c r="C203"/>
      <c r="D203"/>
      <c r="E203"/>
      <c r="F203"/>
      <c r="G203"/>
      <c r="H203"/>
      <c r="I203"/>
      <c r="J203"/>
      <c r="K203"/>
      <c r="L203"/>
      <c r="M203"/>
      <c r="N203" s="1055"/>
      <c r="O203"/>
      <c r="P203"/>
      <c r="Q203"/>
      <c r="R203"/>
      <c r="S203"/>
      <c r="T203"/>
    </row>
  </sheetData>
  <mergeCells count="2">
    <mergeCell ref="C7:C8"/>
    <mergeCell ref="O7:O8"/>
  </mergeCells>
  <phoneticPr fontId="0" type="noConversion"/>
  <printOptions horizontalCentered="1" verticalCentered="1"/>
  <pageMargins left="0.25" right="0.25" top="0.5" bottom="0.5" header="0" footer="0"/>
  <pageSetup paperSize="9" scale="59"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7">
    <pageSetUpPr fitToPage="1"/>
  </sheetPr>
  <dimension ref="A1:T383"/>
  <sheetViews>
    <sheetView view="pageBreakPreview" topLeftCell="A22" zoomScale="70" zoomScaleNormal="95" zoomScaleSheetLayoutView="70" workbookViewId="0">
      <pane xSplit="2" topLeftCell="C1" activePane="topRight" state="frozen"/>
      <selection activeCell="F44" sqref="F44"/>
      <selection pane="topRight" activeCell="F44" sqref="F44"/>
    </sheetView>
  </sheetViews>
  <sheetFormatPr baseColWidth="10" defaultColWidth="8.77734375" defaultRowHeight="12.75" outlineLevelRow="1" x14ac:dyDescent="0.2"/>
  <cols>
    <col min="1" max="1" width="3" style="1" customWidth="1"/>
    <col min="2" max="2" width="14.77734375" style="1" customWidth="1"/>
    <col min="3" max="3" width="7.77734375" style="1" customWidth="1"/>
    <col min="4" max="4" width="8.109375" style="1" customWidth="1"/>
    <col min="5" max="5" width="8.77734375" style="1" customWidth="1"/>
    <col min="6" max="6" width="8.44140625" style="1" customWidth="1"/>
    <col min="7" max="7" width="11.77734375" style="199" bestFit="1" customWidth="1"/>
    <col min="8" max="8" width="12.109375" style="199" customWidth="1"/>
    <col min="9" max="11" width="10.44140625" style="199" customWidth="1"/>
    <col min="12" max="13" width="10.44140625" style="1" customWidth="1"/>
    <col min="14" max="14" width="11.5546875" style="1" customWidth="1"/>
    <col min="15" max="15" width="16" style="1" customWidth="1"/>
    <col min="16" max="17" width="12.77734375" style="1" customWidth="1"/>
    <col min="18" max="18" width="5.77734375" style="1" customWidth="1"/>
    <col min="19" max="19" width="11.5546875" style="1" customWidth="1"/>
    <col min="20" max="20" width="5.77734375" style="1" customWidth="1"/>
    <col min="21" max="16384" width="8.77734375" style="1"/>
  </cols>
  <sheetData>
    <row r="1" spans="1:20" ht="12.75" customHeight="1" x14ac:dyDescent="0.2">
      <c r="A1" s="1" t="s">
        <v>51</v>
      </c>
      <c r="C1" s="3"/>
      <c r="D1" s="3"/>
      <c r="E1" s="6">
        <v>46204</v>
      </c>
      <c r="F1" s="462" t="s">
        <v>389</v>
      </c>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tr">
        <f>"Correspondiente a  "&amp;TEXT(E1,"MMMMMMM YYYY")</f>
        <v>Correspondiente a  Julio 2026</v>
      </c>
      <c r="B4" s="132"/>
      <c r="C4" s="132"/>
      <c r="D4" s="132"/>
      <c r="E4" s="132"/>
      <c r="F4" s="132"/>
      <c r="G4" s="132"/>
      <c r="H4" s="132"/>
      <c r="I4" s="132"/>
      <c r="J4" s="132"/>
      <c r="K4" s="132"/>
      <c r="L4" s="132"/>
      <c r="M4" s="132"/>
      <c r="N4" s="132"/>
      <c r="O4" s="132"/>
      <c r="P4" s="132"/>
      <c r="Q4" s="132"/>
      <c r="R4" s="132"/>
      <c r="S4" s="132"/>
      <c r="T4" s="132"/>
    </row>
    <row r="5" spans="1:20" x14ac:dyDescent="0.2">
      <c r="A5" s="132" t="str">
        <f>"Tipo de Cambio= "&amp;TEXT(F1,"0.000")</f>
        <v>Tipo de Cambio= 3.539</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29</v>
      </c>
      <c r="D10" s="25" t="s">
        <v>30</v>
      </c>
      <c r="E10" s="57" t="s">
        <v>101</v>
      </c>
      <c r="F10" s="236" t="s">
        <v>37</v>
      </c>
      <c r="G10" s="215"/>
      <c r="H10" s="215"/>
      <c r="I10" s="217"/>
      <c r="J10" s="217"/>
      <c r="K10" s="222"/>
      <c r="L10" s="222"/>
      <c r="M10" s="222"/>
      <c r="N10" s="386"/>
      <c r="O10" s="215">
        <f t="shared" ref="O10:O25" si="0">ROUND(G10*I10,2)+ROUND(H10*J10,2)-K10-L10-M10-N10</f>
        <v>0</v>
      </c>
      <c r="P10" s="222">
        <f>ROUND(18.75%*O10,2)</f>
        <v>0</v>
      </c>
      <c r="Q10" s="222">
        <f>ROUND($O10*R10,2)</f>
        <v>0</v>
      </c>
      <c r="R10" s="223">
        <v>0.15</v>
      </c>
      <c r="S10" s="222">
        <f t="shared" ref="S10:S25" si="1">ROUND($O10*T10,2)</f>
        <v>0</v>
      </c>
      <c r="T10" s="258">
        <v>3.7499999999999999E-2</v>
      </c>
    </row>
    <row r="11" spans="1:20" ht="12.75" customHeight="1" x14ac:dyDescent="0.2">
      <c r="A11" s="23" t="s">
        <v>28</v>
      </c>
      <c r="B11" s="24" t="s">
        <v>14</v>
      </c>
      <c r="C11" s="57" t="s">
        <v>29</v>
      </c>
      <c r="D11" s="25" t="s">
        <v>30</v>
      </c>
      <c r="E11" s="57" t="s">
        <v>101</v>
      </c>
      <c r="F11" s="236" t="s">
        <v>56</v>
      </c>
      <c r="G11" s="215"/>
      <c r="H11" s="215"/>
      <c r="I11" s="217"/>
      <c r="J11" s="217"/>
      <c r="K11" s="222"/>
      <c r="L11" s="222"/>
      <c r="M11" s="222"/>
      <c r="N11" s="386"/>
      <c r="O11" s="215">
        <f t="shared" si="0"/>
        <v>0</v>
      </c>
      <c r="P11" s="222">
        <f t="shared" ref="P11:P26" si="2">ROUND(18.75%*O11,2)</f>
        <v>0</v>
      </c>
      <c r="Q11" s="222">
        <f t="shared" ref="Q11:Q25" si="3">ROUND($O11*R11,2)</f>
        <v>0</v>
      </c>
      <c r="R11" s="223">
        <v>0.15</v>
      </c>
      <c r="S11" s="222">
        <f t="shared" si="1"/>
        <v>0</v>
      </c>
      <c r="T11" s="258">
        <v>3.7499999999999999E-2</v>
      </c>
    </row>
    <row r="12" spans="1:20" x14ac:dyDescent="0.2">
      <c r="A12" s="23" t="s">
        <v>28</v>
      </c>
      <c r="B12" s="24" t="s">
        <v>3</v>
      </c>
      <c r="C12" s="57" t="s">
        <v>31</v>
      </c>
      <c r="D12" s="25" t="s">
        <v>30</v>
      </c>
      <c r="E12" s="57" t="s">
        <v>101</v>
      </c>
      <c r="F12" s="236" t="s">
        <v>37</v>
      </c>
      <c r="G12" s="215"/>
      <c r="H12" s="215"/>
      <c r="I12" s="217"/>
      <c r="J12" s="217"/>
      <c r="K12" s="222"/>
      <c r="L12" s="222"/>
      <c r="M12" s="222"/>
      <c r="N12" s="386"/>
      <c r="O12" s="215">
        <f t="shared" si="0"/>
        <v>0</v>
      </c>
      <c r="P12" s="222">
        <f t="shared" si="2"/>
        <v>0</v>
      </c>
      <c r="Q12" s="222">
        <f>ROUND($O12*R12,2)</f>
        <v>0</v>
      </c>
      <c r="R12" s="223">
        <v>0.15</v>
      </c>
      <c r="S12" s="222">
        <f t="shared" si="1"/>
        <v>0</v>
      </c>
      <c r="T12" s="258">
        <v>3.7499999999999999E-2</v>
      </c>
    </row>
    <row r="13" spans="1:20" x14ac:dyDescent="0.2">
      <c r="A13" s="242" t="s">
        <v>28</v>
      </c>
      <c r="B13" s="245" t="s">
        <v>369</v>
      </c>
      <c r="C13" s="236" t="s">
        <v>29</v>
      </c>
      <c r="D13" s="25" t="s">
        <v>30</v>
      </c>
      <c r="E13" s="57" t="s">
        <v>101</v>
      </c>
      <c r="F13" s="236" t="s">
        <v>56</v>
      </c>
      <c r="G13" s="215"/>
      <c r="H13" s="215"/>
      <c r="I13" s="217"/>
      <c r="J13" s="217"/>
      <c r="K13" s="222"/>
      <c r="L13" s="222"/>
      <c r="M13" s="222"/>
      <c r="N13" s="386"/>
      <c r="O13" s="215">
        <f>ROUND(G13*I13,2)+ROUND(H13*J13,2)-K13-L13-M13-N13</f>
        <v>0</v>
      </c>
      <c r="P13" s="222">
        <f t="shared" si="2"/>
        <v>0</v>
      </c>
      <c r="Q13" s="222">
        <f>ROUND($O13*R13,2)</f>
        <v>0</v>
      </c>
      <c r="R13" s="223">
        <v>0.15</v>
      </c>
      <c r="S13" s="222">
        <f t="shared" si="1"/>
        <v>0</v>
      </c>
      <c r="T13" s="258">
        <v>3.7499999999999999E-2</v>
      </c>
    </row>
    <row r="14" spans="1:20" x14ac:dyDescent="0.2">
      <c r="A14" s="23" t="s">
        <v>28</v>
      </c>
      <c r="B14" s="24" t="s">
        <v>4</v>
      </c>
      <c r="C14" s="57" t="s">
        <v>31</v>
      </c>
      <c r="D14" s="25" t="s">
        <v>30</v>
      </c>
      <c r="E14" s="57" t="s">
        <v>101</v>
      </c>
      <c r="F14" s="236" t="s">
        <v>37</v>
      </c>
      <c r="G14" s="215"/>
      <c r="H14" s="215"/>
      <c r="I14" s="217"/>
      <c r="J14" s="217"/>
      <c r="K14" s="222"/>
      <c r="L14" s="222"/>
      <c r="M14" s="222"/>
      <c r="N14" s="386"/>
      <c r="O14" s="215">
        <f t="shared" si="0"/>
        <v>0</v>
      </c>
      <c r="P14" s="222">
        <f t="shared" si="2"/>
        <v>0</v>
      </c>
      <c r="Q14" s="222">
        <f t="shared" si="3"/>
        <v>0</v>
      </c>
      <c r="R14" s="223">
        <v>0.15</v>
      </c>
      <c r="S14" s="222">
        <f t="shared" si="1"/>
        <v>0</v>
      </c>
      <c r="T14" s="258">
        <v>3.7499999999999999E-2</v>
      </c>
    </row>
    <row r="15" spans="1:20" x14ac:dyDescent="0.2">
      <c r="A15" s="23" t="s">
        <v>28</v>
      </c>
      <c r="B15" s="377" t="s">
        <v>370</v>
      </c>
      <c r="C15" s="236" t="s">
        <v>29</v>
      </c>
      <c r="D15" s="25" t="s">
        <v>30</v>
      </c>
      <c r="E15" s="57" t="s">
        <v>101</v>
      </c>
      <c r="F15" s="236" t="s">
        <v>56</v>
      </c>
      <c r="G15" s="215"/>
      <c r="H15" s="215"/>
      <c r="I15" s="217"/>
      <c r="J15" s="217"/>
      <c r="K15" s="222"/>
      <c r="L15" s="222"/>
      <c r="M15" s="222"/>
      <c r="N15" s="222"/>
      <c r="O15" s="224">
        <f t="shared" si="0"/>
        <v>0</v>
      </c>
      <c r="P15" s="222">
        <f t="shared" si="2"/>
        <v>0</v>
      </c>
      <c r="Q15" s="222">
        <f t="shared" si="3"/>
        <v>0</v>
      </c>
      <c r="R15" s="223">
        <v>0.15</v>
      </c>
      <c r="S15" s="222">
        <f t="shared" si="1"/>
        <v>0</v>
      </c>
      <c r="T15" s="258">
        <v>3.7499999999999999E-2</v>
      </c>
    </row>
    <row r="16" spans="1:20" x14ac:dyDescent="0.2">
      <c r="A16" s="23" t="s">
        <v>28</v>
      </c>
      <c r="B16" s="24" t="s">
        <v>5</v>
      </c>
      <c r="C16" s="57" t="s">
        <v>31</v>
      </c>
      <c r="D16" s="25" t="s">
        <v>30</v>
      </c>
      <c r="E16" s="57" t="s">
        <v>101</v>
      </c>
      <c r="F16" s="236" t="s">
        <v>37</v>
      </c>
      <c r="G16" s="215"/>
      <c r="H16" s="215"/>
      <c r="I16" s="217"/>
      <c r="J16" s="217"/>
      <c r="K16" s="222"/>
      <c r="L16" s="222"/>
      <c r="M16" s="222"/>
      <c r="N16" s="386"/>
      <c r="O16" s="215">
        <f t="shared" si="0"/>
        <v>0</v>
      </c>
      <c r="P16" s="222">
        <f t="shared" si="2"/>
        <v>0</v>
      </c>
      <c r="Q16" s="222">
        <f t="shared" si="3"/>
        <v>0</v>
      </c>
      <c r="R16" s="223">
        <v>0.15</v>
      </c>
      <c r="S16" s="222">
        <f t="shared" si="1"/>
        <v>0</v>
      </c>
      <c r="T16" s="258">
        <v>3.7499999999999999E-2</v>
      </c>
    </row>
    <row r="17" spans="1:20" ht="12" customHeight="1" x14ac:dyDescent="0.2">
      <c r="A17" s="23" t="s">
        <v>28</v>
      </c>
      <c r="B17" s="24" t="s">
        <v>371</v>
      </c>
      <c r="C17" s="57" t="s">
        <v>31</v>
      </c>
      <c r="D17" s="25" t="s">
        <v>30</v>
      </c>
      <c r="E17" s="57" t="s">
        <v>101</v>
      </c>
      <c r="F17" s="236" t="s">
        <v>37</v>
      </c>
      <c r="G17" s="215"/>
      <c r="H17" s="215"/>
      <c r="I17" s="217"/>
      <c r="J17" s="217"/>
      <c r="K17" s="222"/>
      <c r="L17" s="222"/>
      <c r="M17" s="222"/>
      <c r="N17" s="386"/>
      <c r="O17" s="215">
        <f t="shared" si="0"/>
        <v>0</v>
      </c>
      <c r="P17" s="222">
        <f t="shared" si="2"/>
        <v>0</v>
      </c>
      <c r="Q17" s="222">
        <f t="shared" si="3"/>
        <v>0</v>
      </c>
      <c r="R17" s="223">
        <v>0.15</v>
      </c>
      <c r="S17" s="222">
        <f t="shared" si="1"/>
        <v>0</v>
      </c>
      <c r="T17" s="258">
        <v>3.7499999999999999E-2</v>
      </c>
    </row>
    <row r="18" spans="1:20" ht="12" customHeight="1" x14ac:dyDescent="0.2">
      <c r="A18" s="23" t="s">
        <v>28</v>
      </c>
      <c r="B18" s="24" t="s">
        <v>17</v>
      </c>
      <c r="C18" s="57" t="s">
        <v>29</v>
      </c>
      <c r="D18" s="25" t="s">
        <v>30</v>
      </c>
      <c r="E18" s="57" t="s">
        <v>101</v>
      </c>
      <c r="F18" s="236" t="s">
        <v>37</v>
      </c>
      <c r="G18" s="215"/>
      <c r="H18" s="215"/>
      <c r="I18" s="217"/>
      <c r="J18" s="217"/>
      <c r="K18" s="222"/>
      <c r="L18" s="222"/>
      <c r="M18" s="222"/>
      <c r="N18" s="386"/>
      <c r="O18" s="224">
        <f t="shared" si="0"/>
        <v>0</v>
      </c>
      <c r="P18" s="222">
        <f t="shared" si="2"/>
        <v>0</v>
      </c>
      <c r="Q18" s="222">
        <f t="shared" si="3"/>
        <v>0</v>
      </c>
      <c r="R18" s="223">
        <v>0.15</v>
      </c>
      <c r="S18" s="222">
        <f t="shared" si="1"/>
        <v>0</v>
      </c>
      <c r="T18" s="258">
        <v>3.7499999999999999E-2</v>
      </c>
    </row>
    <row r="19" spans="1:20" x14ac:dyDescent="0.2">
      <c r="A19" s="376" t="s">
        <v>28</v>
      </c>
      <c r="B19" s="377" t="s">
        <v>237</v>
      </c>
      <c r="C19" s="378" t="s">
        <v>31</v>
      </c>
      <c r="D19" s="379" t="s">
        <v>30</v>
      </c>
      <c r="E19" s="57" t="s">
        <v>101</v>
      </c>
      <c r="F19" s="236" t="s">
        <v>37</v>
      </c>
      <c r="G19" s="215"/>
      <c r="H19" s="215"/>
      <c r="I19" s="216"/>
      <c r="J19" s="217"/>
      <c r="K19" s="222"/>
      <c r="L19" s="222"/>
      <c r="M19" s="222"/>
      <c r="N19" s="386"/>
      <c r="O19" s="224">
        <f t="shared" si="0"/>
        <v>0</v>
      </c>
      <c r="P19" s="222">
        <f t="shared" si="2"/>
        <v>0</v>
      </c>
      <c r="Q19" s="222">
        <f t="shared" si="3"/>
        <v>0</v>
      </c>
      <c r="R19" s="223">
        <v>0.15</v>
      </c>
      <c r="S19" s="222">
        <f t="shared" si="1"/>
        <v>0</v>
      </c>
      <c r="T19" s="258">
        <v>3.7499999999999999E-2</v>
      </c>
    </row>
    <row r="20" spans="1:20" x14ac:dyDescent="0.2">
      <c r="A20" s="376" t="s">
        <v>28</v>
      </c>
      <c r="B20" s="377" t="s">
        <v>239</v>
      </c>
      <c r="C20" s="378" t="s">
        <v>31</v>
      </c>
      <c r="D20" s="379" t="s">
        <v>30</v>
      </c>
      <c r="E20" s="57" t="s">
        <v>101</v>
      </c>
      <c r="F20" s="236" t="s">
        <v>56</v>
      </c>
      <c r="G20" s="215"/>
      <c r="H20" s="215"/>
      <c r="I20" s="216"/>
      <c r="J20" s="217"/>
      <c r="K20" s="222"/>
      <c r="L20" s="222"/>
      <c r="M20" s="222"/>
      <c r="N20" s="386"/>
      <c r="O20" s="224">
        <f t="shared" si="0"/>
        <v>0</v>
      </c>
      <c r="P20" s="222">
        <f t="shared" si="2"/>
        <v>0</v>
      </c>
      <c r="Q20" s="222">
        <f t="shared" si="3"/>
        <v>0</v>
      </c>
      <c r="R20" s="223">
        <v>0.15</v>
      </c>
      <c r="S20" s="222">
        <f t="shared" si="1"/>
        <v>0</v>
      </c>
      <c r="T20" s="258">
        <v>3.7499999999999999E-2</v>
      </c>
    </row>
    <row r="21" spans="1:20" x14ac:dyDescent="0.2">
      <c r="A21" s="376" t="s">
        <v>28</v>
      </c>
      <c r="B21" s="377" t="s">
        <v>238</v>
      </c>
      <c r="C21" s="378" t="s">
        <v>31</v>
      </c>
      <c r="D21" s="379" t="s">
        <v>30</v>
      </c>
      <c r="E21" s="57" t="s">
        <v>101</v>
      </c>
      <c r="F21" s="236" t="s">
        <v>37</v>
      </c>
      <c r="G21" s="215"/>
      <c r="H21" s="215"/>
      <c r="I21" s="216"/>
      <c r="J21" s="217"/>
      <c r="K21" s="222"/>
      <c r="L21" s="222"/>
      <c r="M21" s="222"/>
      <c r="N21" s="386"/>
      <c r="O21" s="224">
        <f t="shared" si="0"/>
        <v>0</v>
      </c>
      <c r="P21" s="222">
        <f t="shared" si="2"/>
        <v>0</v>
      </c>
      <c r="Q21" s="222">
        <f t="shared" si="3"/>
        <v>0</v>
      </c>
      <c r="R21" s="223">
        <v>0.15</v>
      </c>
      <c r="S21" s="222">
        <f t="shared" si="1"/>
        <v>0</v>
      </c>
      <c r="T21" s="258">
        <v>3.7499999999999999E-2</v>
      </c>
    </row>
    <row r="22" spans="1:20" x14ac:dyDescent="0.2">
      <c r="A22" s="23" t="s">
        <v>28</v>
      </c>
      <c r="B22" s="24" t="s">
        <v>18</v>
      </c>
      <c r="C22" s="57" t="s">
        <v>31</v>
      </c>
      <c r="D22" s="25" t="s">
        <v>30</v>
      </c>
      <c r="E22" s="57" t="s">
        <v>101</v>
      </c>
      <c r="F22" s="236" t="s">
        <v>37</v>
      </c>
      <c r="G22" s="215"/>
      <c r="H22" s="215"/>
      <c r="I22" s="217"/>
      <c r="J22" s="217"/>
      <c r="K22" s="222"/>
      <c r="L22" s="222"/>
      <c r="M22" s="222"/>
      <c r="N22" s="386"/>
      <c r="O22" s="224">
        <f t="shared" si="0"/>
        <v>0</v>
      </c>
      <c r="P22" s="222">
        <f t="shared" si="2"/>
        <v>0</v>
      </c>
      <c r="Q22" s="222">
        <f t="shared" si="3"/>
        <v>0</v>
      </c>
      <c r="R22" s="223">
        <v>0.15</v>
      </c>
      <c r="S22" s="222">
        <f t="shared" si="1"/>
        <v>0</v>
      </c>
      <c r="T22" s="258">
        <v>3.7499999999999999E-2</v>
      </c>
    </row>
    <row r="23" spans="1:20" x14ac:dyDescent="0.2">
      <c r="A23" s="23" t="s">
        <v>28</v>
      </c>
      <c r="B23" s="24" t="s">
        <v>20</v>
      </c>
      <c r="C23" s="57" t="s">
        <v>31</v>
      </c>
      <c r="D23" s="25" t="s">
        <v>30</v>
      </c>
      <c r="E23" s="57" t="s">
        <v>101</v>
      </c>
      <c r="F23" s="236" t="s">
        <v>37</v>
      </c>
      <c r="G23" s="215"/>
      <c r="H23" s="215"/>
      <c r="I23" s="217"/>
      <c r="J23" s="217"/>
      <c r="K23" s="222"/>
      <c r="L23" s="222"/>
      <c r="M23" s="222"/>
      <c r="N23" s="386"/>
      <c r="O23" s="224">
        <f t="shared" si="0"/>
        <v>0</v>
      </c>
      <c r="P23" s="222">
        <f t="shared" si="2"/>
        <v>0</v>
      </c>
      <c r="Q23" s="222">
        <f t="shared" si="3"/>
        <v>0</v>
      </c>
      <c r="R23" s="223">
        <v>0.15</v>
      </c>
      <c r="S23" s="222">
        <f t="shared" si="1"/>
        <v>0</v>
      </c>
      <c r="T23" s="258">
        <v>3.7499999999999999E-2</v>
      </c>
    </row>
    <row r="24" spans="1:20" x14ac:dyDescent="0.2">
      <c r="A24" s="23" t="s">
        <v>28</v>
      </c>
      <c r="B24" s="24" t="s">
        <v>372</v>
      </c>
      <c r="C24" s="57" t="s">
        <v>31</v>
      </c>
      <c r="D24" s="25" t="s">
        <v>21</v>
      </c>
      <c r="E24" s="57" t="s">
        <v>101</v>
      </c>
      <c r="F24" s="236" t="s">
        <v>56</v>
      </c>
      <c r="G24" s="215"/>
      <c r="H24" s="215"/>
      <c r="I24" s="217"/>
      <c r="J24" s="217"/>
      <c r="K24" s="222"/>
      <c r="L24" s="222"/>
      <c r="M24" s="222"/>
      <c r="N24" s="386"/>
      <c r="O24" s="224">
        <f t="shared" si="0"/>
        <v>0</v>
      </c>
      <c r="P24" s="222">
        <f t="shared" si="2"/>
        <v>0</v>
      </c>
      <c r="Q24" s="222">
        <f t="shared" si="3"/>
        <v>0</v>
      </c>
      <c r="R24" s="223">
        <v>0.15</v>
      </c>
      <c r="S24" s="222">
        <f t="shared" si="1"/>
        <v>0</v>
      </c>
      <c r="T24" s="258">
        <v>3.7499999999999999E-2</v>
      </c>
    </row>
    <row r="25" spans="1:20" x14ac:dyDescent="0.2">
      <c r="A25" s="23" t="s">
        <v>28</v>
      </c>
      <c r="B25" s="24" t="s">
        <v>9</v>
      </c>
      <c r="C25" s="57" t="s">
        <v>31</v>
      </c>
      <c r="D25" s="25" t="s">
        <v>30</v>
      </c>
      <c r="E25" s="57" t="s">
        <v>101</v>
      </c>
      <c r="F25" s="236" t="s">
        <v>37</v>
      </c>
      <c r="G25" s="215"/>
      <c r="H25" s="215"/>
      <c r="I25" s="217"/>
      <c r="J25" s="217"/>
      <c r="K25" s="222"/>
      <c r="L25" s="222"/>
      <c r="M25" s="222"/>
      <c r="N25" s="386"/>
      <c r="O25" s="224">
        <f t="shared" si="0"/>
        <v>0</v>
      </c>
      <c r="P25" s="222">
        <f t="shared" si="2"/>
        <v>0</v>
      </c>
      <c r="Q25" s="222">
        <f t="shared" si="3"/>
        <v>0</v>
      </c>
      <c r="R25" s="223">
        <v>0.15</v>
      </c>
      <c r="S25" s="222">
        <f t="shared" si="1"/>
        <v>0</v>
      </c>
      <c r="T25" s="258">
        <v>3.7499999999999999E-2</v>
      </c>
    </row>
    <row r="26" spans="1:20" x14ac:dyDescent="0.2">
      <c r="A26" s="23" t="s">
        <v>28</v>
      </c>
      <c r="B26" s="24" t="s">
        <v>165</v>
      </c>
      <c r="C26" s="57" t="s">
        <v>31</v>
      </c>
      <c r="D26" s="25" t="s">
        <v>30</v>
      </c>
      <c r="E26" s="57" t="s">
        <v>101</v>
      </c>
      <c r="F26" s="236" t="s">
        <v>37</v>
      </c>
      <c r="G26" s="215"/>
      <c r="H26" s="215"/>
      <c r="I26" s="217"/>
      <c r="J26" s="217"/>
      <c r="K26" s="222"/>
      <c r="L26" s="222"/>
      <c r="M26" s="222"/>
      <c r="N26" s="386"/>
      <c r="O26" s="224">
        <f>ROUND(G26*I26,2)+ROUND(H26*J26,2)-K26-L26-M26-N26</f>
        <v>0</v>
      </c>
      <c r="P26" s="222">
        <f t="shared" si="2"/>
        <v>0</v>
      </c>
      <c r="Q26" s="222">
        <f>ROUND($O26*R26,2)</f>
        <v>0</v>
      </c>
      <c r="R26" s="223">
        <v>0.15</v>
      </c>
      <c r="S26" s="222">
        <f>ROUND($O26*T26,2)</f>
        <v>0</v>
      </c>
      <c r="T26" s="258">
        <v>3.7499999999999999E-2</v>
      </c>
    </row>
    <row r="27" spans="1:20" x14ac:dyDescent="0.2">
      <c r="A27" s="23" t="s">
        <v>28</v>
      </c>
      <c r="B27" s="24" t="s">
        <v>157</v>
      </c>
      <c r="C27" s="57" t="s">
        <v>31</v>
      </c>
      <c r="D27" s="25" t="s">
        <v>30</v>
      </c>
      <c r="E27" s="57" t="s">
        <v>101</v>
      </c>
      <c r="F27" s="236" t="s">
        <v>56</v>
      </c>
      <c r="G27" s="386"/>
      <c r="H27" s="386"/>
      <c r="I27" s="216"/>
      <c r="J27" s="386"/>
      <c r="K27" s="222"/>
      <c r="L27" s="222"/>
      <c r="M27" s="222"/>
      <c r="N27" s="386"/>
      <c r="O27" s="386">
        <f>O303</f>
        <v>0</v>
      </c>
      <c r="P27" s="386">
        <f>P303</f>
        <v>0</v>
      </c>
      <c r="Q27" s="386">
        <f>Q303</f>
        <v>0</v>
      </c>
      <c r="R27" s="223">
        <v>0.15</v>
      </c>
      <c r="S27" s="386">
        <f>S303</f>
        <v>0</v>
      </c>
      <c r="T27" s="258">
        <v>3.7499999999999999E-2</v>
      </c>
    </row>
    <row r="28" spans="1:20" x14ac:dyDescent="0.2">
      <c r="A28" s="23" t="s">
        <v>28</v>
      </c>
      <c r="B28" s="24" t="s">
        <v>170</v>
      </c>
      <c r="C28" s="57" t="s">
        <v>31</v>
      </c>
      <c r="D28" s="25" t="s">
        <v>30</v>
      </c>
      <c r="E28" s="57" t="s">
        <v>101</v>
      </c>
      <c r="F28" s="236" t="s">
        <v>37</v>
      </c>
      <c r="G28" s="215"/>
      <c r="H28" s="215"/>
      <c r="I28" s="217"/>
      <c r="J28" s="217"/>
      <c r="K28" s="222"/>
      <c r="L28" s="222"/>
      <c r="M28" s="222"/>
      <c r="N28" s="386"/>
      <c r="O28" s="224">
        <f>ROUND(G28*I28,2)+ROUND(H28*J28,2)-K28-L28-M28-N28</f>
        <v>0</v>
      </c>
      <c r="P28" s="222">
        <f>ROUND(18.75%*O28,2)</f>
        <v>0</v>
      </c>
      <c r="Q28" s="222">
        <f>ROUND($O28*R28,2)</f>
        <v>0</v>
      </c>
      <c r="R28" s="258">
        <v>3.7499999999999999E-2</v>
      </c>
      <c r="S28" s="222">
        <f>ROUND($O28*T28,2)</f>
        <v>0</v>
      </c>
      <c r="T28" s="223">
        <v>0.15</v>
      </c>
    </row>
    <row r="29" spans="1:20" x14ac:dyDescent="0.2">
      <c r="A29" s="23" t="s">
        <v>28</v>
      </c>
      <c r="B29" s="24" t="s">
        <v>368</v>
      </c>
      <c r="C29" s="57" t="s">
        <v>31</v>
      </c>
      <c r="D29" s="25" t="s">
        <v>30</v>
      </c>
      <c r="E29" s="57" t="s">
        <v>101</v>
      </c>
      <c r="F29" s="236" t="s">
        <v>37</v>
      </c>
      <c r="G29" s="215"/>
      <c r="H29" s="215"/>
      <c r="I29" s="217"/>
      <c r="J29" s="217"/>
      <c r="K29" s="222"/>
      <c r="L29" s="222"/>
      <c r="M29" s="222"/>
      <c r="N29" s="386"/>
      <c r="O29" s="224">
        <f>ROUND(G29*I29,2)+ROUND(H29*J29,2)-K29-L29-M29-N29</f>
        <v>0</v>
      </c>
      <c r="P29" s="222">
        <f>ROUND(18.75%*O29,2)</f>
        <v>0</v>
      </c>
      <c r="Q29" s="222">
        <f>ROUND($O29*R29,2)</f>
        <v>0</v>
      </c>
      <c r="R29" s="258">
        <v>3.7499999999999999E-2</v>
      </c>
      <c r="S29" s="222">
        <f>ROUND($O29*T29,2)</f>
        <v>0</v>
      </c>
      <c r="T29" s="223">
        <v>0.15</v>
      </c>
    </row>
    <row r="30" spans="1:20" x14ac:dyDescent="0.2">
      <c r="A30" s="26" t="s">
        <v>28</v>
      </c>
      <c r="B30" s="29" t="s">
        <v>302</v>
      </c>
      <c r="C30" s="57" t="s">
        <v>31</v>
      </c>
      <c r="D30" s="25" t="s">
        <v>30</v>
      </c>
      <c r="E30" s="57" t="s">
        <v>101</v>
      </c>
      <c r="F30" s="236" t="s">
        <v>37</v>
      </c>
      <c r="G30" s="386"/>
      <c r="H30" s="386"/>
      <c r="I30" s="217"/>
      <c r="J30" s="217"/>
      <c r="K30" s="215"/>
      <c r="L30" s="222"/>
      <c r="M30" s="222"/>
      <c r="N30" s="386"/>
      <c r="O30" s="224">
        <f>ROUND(G30*I30,2)+ROUND(H30*J30,2)-K30-L30-M30-N30</f>
        <v>0</v>
      </c>
      <c r="P30" s="222">
        <f>ROUND(18.75%*O30,2)</f>
        <v>0</v>
      </c>
      <c r="Q30" s="222">
        <f>ROUND($O30*R30,2)</f>
        <v>0</v>
      </c>
      <c r="R30" s="248">
        <v>0.15</v>
      </c>
      <c r="S30" s="222">
        <f>ROUND($O30*T30,2)</f>
        <v>0</v>
      </c>
      <c r="T30" s="258">
        <v>3.7499999999999999E-2</v>
      </c>
    </row>
    <row r="31" spans="1:20" x14ac:dyDescent="0.2">
      <c r="A31" s="26" t="s">
        <v>28</v>
      </c>
      <c r="B31" s="29" t="s">
        <v>303</v>
      </c>
      <c r="C31" s="57" t="s">
        <v>31</v>
      </c>
      <c r="D31" s="25" t="s">
        <v>30</v>
      </c>
      <c r="E31" s="57" t="s">
        <v>101</v>
      </c>
      <c r="F31" s="236" t="s">
        <v>56</v>
      </c>
      <c r="G31" s="386"/>
      <c r="H31" s="386"/>
      <c r="I31" s="216"/>
      <c r="J31" s="216"/>
      <c r="K31" s="215"/>
      <c r="L31" s="222"/>
      <c r="M31" s="222"/>
      <c r="N31" s="386"/>
      <c r="O31" s="386">
        <f>O337</f>
        <v>0</v>
      </c>
      <c r="P31" s="386">
        <f>P337</f>
        <v>0</v>
      </c>
      <c r="Q31" s="386">
        <f>Q337</f>
        <v>0</v>
      </c>
      <c r="R31" s="248">
        <v>0.15</v>
      </c>
      <c r="S31" s="386">
        <f>S337</f>
        <v>0</v>
      </c>
      <c r="T31" s="258">
        <v>3.7499999999999999E-2</v>
      </c>
    </row>
    <row r="32" spans="1:20" x14ac:dyDescent="0.2">
      <c r="A32" s="26" t="s">
        <v>28</v>
      </c>
      <c r="B32" s="29" t="s">
        <v>304</v>
      </c>
      <c r="C32" s="57" t="s">
        <v>31</v>
      </c>
      <c r="D32" s="25" t="s">
        <v>30</v>
      </c>
      <c r="E32" s="57" t="s">
        <v>101</v>
      </c>
      <c r="F32" s="236" t="s">
        <v>37</v>
      </c>
      <c r="G32" s="386"/>
      <c r="H32" s="386"/>
      <c r="I32" s="217"/>
      <c r="J32" s="217"/>
      <c r="K32" s="215"/>
      <c r="L32" s="222"/>
      <c r="M32" s="222"/>
      <c r="N32" s="386"/>
      <c r="O32" s="224">
        <f>ROUND(G32*I32,2)+ROUND(H32*J32,2)-K32-L32-M32-N32</f>
        <v>0</v>
      </c>
      <c r="P32" s="222">
        <f>ROUND(18.75%*O32,2)</f>
        <v>0</v>
      </c>
      <c r="Q32" s="222">
        <f>ROUND($O32*R32,2)</f>
        <v>0</v>
      </c>
      <c r="R32" s="248">
        <v>0.15</v>
      </c>
      <c r="S32" s="222">
        <f>ROUND($O32*T32,2)</f>
        <v>0</v>
      </c>
      <c r="T32" s="258">
        <v>3.7499999999999999E-2</v>
      </c>
    </row>
    <row r="33" spans="1:20" x14ac:dyDescent="0.2">
      <c r="A33" s="26" t="s">
        <v>28</v>
      </c>
      <c r="B33" s="29" t="s">
        <v>52</v>
      </c>
      <c r="C33" s="56"/>
      <c r="D33" s="56"/>
      <c r="E33" s="27"/>
      <c r="F33" s="236"/>
      <c r="G33" s="222"/>
      <c r="H33" s="222"/>
      <c r="I33" s="216"/>
      <c r="J33" s="216"/>
      <c r="K33" s="222"/>
      <c r="L33" s="222"/>
      <c r="M33" s="577"/>
      <c r="N33" s="222"/>
      <c r="O33" s="224"/>
      <c r="P33" s="224"/>
      <c r="Q33" s="224"/>
      <c r="R33" s="248"/>
      <c r="S33" s="224"/>
      <c r="T33" s="223"/>
    </row>
    <row r="34" spans="1:20" x14ac:dyDescent="0.2">
      <c r="A34" s="30"/>
      <c r="B34" s="153" t="s">
        <v>108</v>
      </c>
      <c r="C34" s="31" t="str">
        <f>TEXT(A$9,)&amp;" US$"</f>
        <v>Piura / Tumbes US$</v>
      </c>
      <c r="D34" s="38"/>
      <c r="E34" s="39"/>
      <c r="F34" s="244"/>
      <c r="G34" s="218"/>
      <c r="H34" s="218"/>
      <c r="I34" s="219"/>
      <c r="J34" s="219"/>
      <c r="K34" s="218"/>
      <c r="L34" s="218"/>
      <c r="M34" s="218"/>
      <c r="N34" s="227"/>
      <c r="O34" s="227">
        <f>SUM(O10:O33)</f>
        <v>0</v>
      </c>
      <c r="P34" s="227">
        <f>SUM(P10:P33)</f>
        <v>0</v>
      </c>
      <c r="Q34" s="227">
        <f>SUM(Q10:Q33)</f>
        <v>0</v>
      </c>
      <c r="R34" s="229"/>
      <c r="S34" s="227">
        <f>SUM(S10:S33)</f>
        <v>0</v>
      </c>
      <c r="T34" s="511">
        <v>0</v>
      </c>
    </row>
    <row r="35" spans="1:20" x14ac:dyDescent="0.2">
      <c r="A35" s="125"/>
      <c r="B35" s="126"/>
      <c r="C35" s="31" t="str">
        <f>TEXT(A$9,)&amp;" S/."</f>
        <v>Piura / Tumbes S/.</v>
      </c>
      <c r="D35" s="56"/>
      <c r="E35" s="56"/>
      <c r="F35" s="137"/>
      <c r="G35" s="177"/>
      <c r="H35" s="177"/>
      <c r="I35" s="202"/>
      <c r="J35" s="202"/>
      <c r="K35" s="177"/>
      <c r="L35" s="177"/>
      <c r="M35" s="177"/>
      <c r="N35" s="177"/>
      <c r="O35" s="209"/>
      <c r="P35" s="210">
        <f>ROUND($F$1*P34,2)</f>
        <v>0</v>
      </c>
      <c r="Q35" s="364">
        <f>ROUND($F$1*Q34,2)</f>
        <v>0</v>
      </c>
      <c r="R35" s="139"/>
      <c r="S35" s="363">
        <f>ROUND($F$1*S34,2)</f>
        <v>0</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row>
    <row r="40" spans="1:20"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row>
    <row r="43" spans="1:20" x14ac:dyDescent="0.2">
      <c r="A43" s="23" t="s">
        <v>28</v>
      </c>
      <c r="B43" s="24" t="s">
        <v>12</v>
      </c>
      <c r="C43" s="57" t="s">
        <v>31</v>
      </c>
      <c r="D43" s="57" t="s">
        <v>30</v>
      </c>
      <c r="E43" s="57" t="s">
        <v>101</v>
      </c>
      <c r="F43" s="238" t="s">
        <v>56</v>
      </c>
      <c r="G43" s="215"/>
      <c r="H43" s="215"/>
      <c r="I43" s="217"/>
      <c r="J43" s="217"/>
      <c r="K43" s="222"/>
      <c r="L43" s="222"/>
      <c r="M43" s="222"/>
      <c r="N43" s="386"/>
      <c r="O43" s="224">
        <f>ROUND(G43*I43,2)+ROUND(H43*J43,2)-K43-L43-M43-N43</f>
        <v>0</v>
      </c>
      <c r="P43" s="222">
        <f>ROUND(18.75%*O43,2)</f>
        <v>0</v>
      </c>
      <c r="Q43" s="222">
        <f>ROUND($O43*R43,2)</f>
        <v>0</v>
      </c>
      <c r="R43" s="258">
        <v>3.7499999999999999E-2</v>
      </c>
      <c r="S43" s="222">
        <f>ROUND($O43*T43,2)</f>
        <v>0</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c r="O44" s="224">
        <f>ROUND(G44*I44,2)+ROUND(H44*J44,2)-K44-L44-M44-N44</f>
        <v>0</v>
      </c>
      <c r="P44" s="222">
        <f>ROUND(18.75%*O44,2)</f>
        <v>0</v>
      </c>
      <c r="Q44" s="222">
        <f>ROUND($O44*R44,2)</f>
        <v>0</v>
      </c>
      <c r="R44" s="258">
        <v>3.7499999999999999E-2</v>
      </c>
      <c r="S44" s="222">
        <f>ROUND($O44*T44,2)</f>
        <v>0</v>
      </c>
      <c r="T44" s="223">
        <v>0.15</v>
      </c>
    </row>
    <row r="45" spans="1:20" x14ac:dyDescent="0.2">
      <c r="A45" s="23" t="s">
        <v>28</v>
      </c>
      <c r="B45" s="28">
        <v>95</v>
      </c>
      <c r="C45" s="57" t="s">
        <v>31</v>
      </c>
      <c r="D45" s="57" t="s">
        <v>30</v>
      </c>
      <c r="E45" s="57" t="s">
        <v>101</v>
      </c>
      <c r="F45" s="238" t="s">
        <v>37</v>
      </c>
      <c r="G45" s="215"/>
      <c r="H45" s="215"/>
      <c r="I45" s="217"/>
      <c r="J45" s="217"/>
      <c r="K45" s="215"/>
      <c r="L45" s="222"/>
      <c r="M45" s="222"/>
      <c r="N45" s="386"/>
      <c r="O45" s="224">
        <f>ROUND(G45*I45,2)+ROUND(H45*J45,2)-K45-L45-M45-N45</f>
        <v>0</v>
      </c>
      <c r="P45" s="222">
        <f>ROUND(18.75%*O45,2)</f>
        <v>0</v>
      </c>
      <c r="Q45" s="222">
        <f>P45-S45</f>
        <v>0</v>
      </c>
      <c r="R45" s="223">
        <v>0.15</v>
      </c>
      <c r="S45" s="222">
        <f>ROUND($O45*T45,2)</f>
        <v>0</v>
      </c>
      <c r="T45" s="258">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row>
    <row r="47" spans="1:20" x14ac:dyDescent="0.2">
      <c r="A47" s="18" t="s">
        <v>28</v>
      </c>
      <c r="B47" s="29" t="s">
        <v>54</v>
      </c>
      <c r="C47" s="56"/>
      <c r="D47" s="27"/>
      <c r="E47" s="27"/>
      <c r="F47" s="238"/>
      <c r="G47" s="222"/>
      <c r="H47" s="222"/>
      <c r="I47" s="216"/>
      <c r="J47" s="216"/>
      <c r="K47" s="222"/>
      <c r="L47" s="222"/>
      <c r="M47" s="222"/>
      <c r="N47" s="222"/>
      <c r="O47" s="222"/>
      <c r="P47" s="222"/>
      <c r="Q47" s="222"/>
      <c r="R47" s="222"/>
      <c r="S47" s="222"/>
      <c r="T47" s="223"/>
    </row>
    <row r="48" spans="1:20"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row>
    <row r="49" spans="1:20"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c r="H51" s="222"/>
      <c r="I51" s="216"/>
      <c r="J51" s="216"/>
      <c r="K51" s="222"/>
      <c r="L51" s="222"/>
      <c r="M51" s="222"/>
      <c r="N51" s="222"/>
      <c r="O51" s="1041">
        <f>G51*I51+H51*J51</f>
        <v>0</v>
      </c>
      <c r="P51" s="585">
        <f>ROUND(37.24%*(G51*I51+H51*J51),2)</f>
        <v>0</v>
      </c>
      <c r="Q51" s="585">
        <f t="shared" ref="Q51:Q56" si="4">ROUND(R51*P51,2)</f>
        <v>0</v>
      </c>
      <c r="R51" s="223">
        <v>0.5</v>
      </c>
      <c r="S51" s="222"/>
      <c r="T51" s="258"/>
    </row>
    <row r="52" spans="1:20" x14ac:dyDescent="0.2">
      <c r="A52" s="23" t="s">
        <v>28</v>
      </c>
      <c r="B52" s="24" t="s">
        <v>159</v>
      </c>
      <c r="C52" s="57" t="s">
        <v>31</v>
      </c>
      <c r="D52" s="57" t="s">
        <v>30</v>
      </c>
      <c r="E52" s="57" t="s">
        <v>158</v>
      </c>
      <c r="F52" s="238" t="s">
        <v>56</v>
      </c>
      <c r="G52" s="222"/>
      <c r="H52" s="222"/>
      <c r="I52" s="558"/>
      <c r="J52" s="558"/>
      <c r="K52" s="222"/>
      <c r="L52" s="222"/>
      <c r="M52" s="222"/>
      <c r="N52" s="222"/>
      <c r="O52" s="253">
        <f>O271</f>
        <v>0</v>
      </c>
      <c r="P52" s="253">
        <f>P271</f>
        <v>0</v>
      </c>
      <c r="Q52" s="253">
        <f>Q271</f>
        <v>0</v>
      </c>
      <c r="R52" s="223">
        <v>0.5</v>
      </c>
      <c r="S52" s="253"/>
      <c r="T52" s="223"/>
    </row>
    <row r="53" spans="1:20" x14ac:dyDescent="0.2">
      <c r="A53" s="23" t="s">
        <v>28</v>
      </c>
      <c r="B53" s="24" t="s">
        <v>168</v>
      </c>
      <c r="C53" s="57" t="s">
        <v>31</v>
      </c>
      <c r="D53" s="57" t="s">
        <v>30</v>
      </c>
      <c r="E53" s="57" t="s">
        <v>158</v>
      </c>
      <c r="F53" s="238" t="s">
        <v>37</v>
      </c>
      <c r="G53" s="222"/>
      <c r="H53" s="222"/>
      <c r="I53" s="216"/>
      <c r="J53" s="216"/>
      <c r="K53" s="222"/>
      <c r="L53" s="222"/>
      <c r="M53" s="222"/>
      <c r="N53" s="222"/>
      <c r="O53" s="1041">
        <f>G53*I53+H53*J53</f>
        <v>0</v>
      </c>
      <c r="P53" s="585">
        <f>ROUND(40%*G53*I53,2)+ROUND(40%*H53*J53,2)</f>
        <v>0</v>
      </c>
      <c r="Q53" s="253">
        <f>ROUND(R53*P53,2)</f>
        <v>0</v>
      </c>
      <c r="R53" s="223">
        <v>0.5</v>
      </c>
      <c r="S53" s="222"/>
      <c r="T53" s="223"/>
    </row>
    <row r="54" spans="1:20" x14ac:dyDescent="0.2">
      <c r="A54" s="23" t="s">
        <v>28</v>
      </c>
      <c r="B54" s="24" t="s">
        <v>169</v>
      </c>
      <c r="C54" s="57" t="s">
        <v>31</v>
      </c>
      <c r="D54" s="57" t="s">
        <v>30</v>
      </c>
      <c r="E54" s="57" t="s">
        <v>158</v>
      </c>
      <c r="F54" s="238" t="s">
        <v>56</v>
      </c>
      <c r="G54" s="222"/>
      <c r="H54" s="222"/>
      <c r="I54" s="558"/>
      <c r="J54" s="558"/>
      <c r="K54" s="222"/>
      <c r="L54" s="222"/>
      <c r="M54" s="222"/>
      <c r="N54" s="222"/>
      <c r="O54" s="1041">
        <f>G54*I54+H54*J54</f>
        <v>0</v>
      </c>
      <c r="P54" s="321">
        <f>ROUND(38%*G54*I54,2)+ROUND(38%*H54*J54,2)</f>
        <v>0</v>
      </c>
      <c r="Q54" s="253">
        <f>ROUND(R54*P54,2)</f>
        <v>0</v>
      </c>
      <c r="R54" s="223">
        <v>0.5</v>
      </c>
      <c r="S54" s="222"/>
      <c r="T54" s="223"/>
    </row>
    <row r="55" spans="1:20" x14ac:dyDescent="0.2">
      <c r="A55" s="23" t="s">
        <v>28</v>
      </c>
      <c r="B55" s="28" t="s">
        <v>175</v>
      </c>
      <c r="C55" s="57" t="s">
        <v>31</v>
      </c>
      <c r="D55" s="57" t="s">
        <v>30</v>
      </c>
      <c r="E55" s="57" t="s">
        <v>158</v>
      </c>
      <c r="F55" s="238" t="s">
        <v>37</v>
      </c>
      <c r="G55" s="222"/>
      <c r="H55" s="222"/>
      <c r="I55" s="216"/>
      <c r="J55" s="216"/>
      <c r="K55" s="215"/>
      <c r="L55" s="222"/>
      <c r="M55" s="222"/>
      <c r="N55" s="215"/>
      <c r="O55" s="1041">
        <f>G55*I55+H55*J55</f>
        <v>0</v>
      </c>
      <c r="P55" s="628">
        <f>ROUND(G55*I55,2)*6.8%+ROUND(H55*J55,2)*6.46%</f>
        <v>0</v>
      </c>
      <c r="Q55" s="253">
        <f t="shared" si="4"/>
        <v>0</v>
      </c>
      <c r="R55" s="223">
        <v>0.5</v>
      </c>
      <c r="S55" s="222"/>
      <c r="T55" s="258"/>
    </row>
    <row r="56" spans="1:20" x14ac:dyDescent="0.2">
      <c r="A56" s="23" t="s">
        <v>28</v>
      </c>
      <c r="B56" s="272" t="s">
        <v>176</v>
      </c>
      <c r="C56" s="57" t="s">
        <v>31</v>
      </c>
      <c r="D56" s="57" t="s">
        <v>30</v>
      </c>
      <c r="E56" s="57" t="s">
        <v>158</v>
      </c>
      <c r="F56" s="238" t="s">
        <v>56</v>
      </c>
      <c r="G56" s="222"/>
      <c r="H56" s="222"/>
      <c r="I56" s="216"/>
      <c r="J56" s="216"/>
      <c r="K56" s="559"/>
      <c r="L56" s="222"/>
      <c r="M56" s="222"/>
      <c r="N56" s="215"/>
      <c r="O56" s="1041">
        <f>G56*I56+H56*J56</f>
        <v>0</v>
      </c>
      <c r="P56" s="628">
        <f>ROUND(G56*I56,2)*11.49%+ROUND(H56*J56,2)*10.6%</f>
        <v>0</v>
      </c>
      <c r="Q56" s="253">
        <f t="shared" si="4"/>
        <v>0</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198"/>
      <c r="P57" s="198"/>
      <c r="Q57" s="198"/>
      <c r="R57" s="148"/>
      <c r="S57" s="188"/>
      <c r="T57" s="148"/>
    </row>
    <row r="58" spans="1:20" x14ac:dyDescent="0.2">
      <c r="A58" s="30"/>
      <c r="B58" s="153" t="s">
        <v>108</v>
      </c>
      <c r="C58" s="31" t="str">
        <f>TEXT(A$50,)&amp;" US$"</f>
        <v>Cusco US$</v>
      </c>
      <c r="D58" s="19"/>
      <c r="E58" s="19"/>
      <c r="F58" s="268"/>
      <c r="G58" s="254">
        <f>SUM(G54:G54)</f>
        <v>0</v>
      </c>
      <c r="H58" s="254">
        <f>SUM(H54:H54)</f>
        <v>0</v>
      </c>
      <c r="I58" s="304"/>
      <c r="J58" s="254"/>
      <c r="K58" s="265"/>
      <c r="L58" s="259"/>
      <c r="M58" s="303"/>
      <c r="N58" s="201"/>
      <c r="O58" s="201">
        <f>SUM(O51:O57)</f>
        <v>0</v>
      </c>
      <c r="P58" s="201">
        <f>SUM(P51:P57)</f>
        <v>0</v>
      </c>
      <c r="Q58" s="201">
        <f>SUM(Q51:Q57)</f>
        <v>0</v>
      </c>
      <c r="R58" s="560"/>
      <c r="S58" s="192"/>
      <c r="T58" s="148"/>
    </row>
    <row r="59" spans="1:20"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f>Q58*F1</f>
        <v>0</v>
      </c>
      <c r="R59" s="185"/>
      <c r="S59" s="192"/>
      <c r="T59" s="148"/>
    </row>
    <row r="60" spans="1:20"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f>O34+O39+O48+O58</f>
        <v>0</v>
      </c>
      <c r="P60" s="363">
        <f>Q58+P48+P39+P34</f>
        <v>0</v>
      </c>
      <c r="Q60" s="196">
        <f>Q35+S35+Q40+Q49+S49+Q59</f>
        <v>0</v>
      </c>
      <c r="R60" s="55"/>
      <c r="S60" s="196"/>
      <c r="T60" s="55"/>
    </row>
    <row r="61" spans="1:20" x14ac:dyDescent="0.2">
      <c r="G61" s="1"/>
      <c r="H61" s="1"/>
      <c r="I61" s="1"/>
      <c r="J61" s="1"/>
      <c r="K61" s="1"/>
      <c r="M61" s="1112"/>
      <c r="N61" s="1113"/>
      <c r="O61" s="1112"/>
      <c r="P61" s="1112"/>
      <c r="Q61" s="1112"/>
      <c r="R61" s="1112"/>
      <c r="S61" s="1114"/>
      <c r="T61" s="1112"/>
    </row>
    <row r="62" spans="1:20" x14ac:dyDescent="0.2">
      <c r="A62" s="4" t="s">
        <v>93</v>
      </c>
      <c r="B62" s="1" t="s">
        <v>76</v>
      </c>
      <c r="G62" s="1"/>
      <c r="H62" s="4" t="s">
        <v>77</v>
      </c>
      <c r="I62" s="1"/>
      <c r="J62" s="65"/>
      <c r="K62" s="65"/>
      <c r="M62" s="1112"/>
      <c r="N62" s="1113"/>
      <c r="O62" s="1113"/>
      <c r="P62" s="1114"/>
      <c r="Q62" s="1115"/>
      <c r="R62" s="1112"/>
      <c r="S62" s="1115"/>
      <c r="T62" s="1112"/>
    </row>
    <row r="63" spans="1:20" x14ac:dyDescent="0.2">
      <c r="B63" s="115" t="s">
        <v>78</v>
      </c>
      <c r="C63" s="116" t="s">
        <v>79</v>
      </c>
      <c r="D63" s="117"/>
      <c r="E63" s="118" t="s">
        <v>35</v>
      </c>
      <c r="F63" s="118" t="s">
        <v>80</v>
      </c>
      <c r="G63" s="1"/>
      <c r="H63" s="89" t="s">
        <v>35</v>
      </c>
      <c r="I63" s="8"/>
      <c r="J63" s="8"/>
      <c r="K63" s="8"/>
      <c r="L63" s="90"/>
      <c r="M63" s="1112"/>
      <c r="N63" s="1113"/>
      <c r="O63" s="1119"/>
      <c r="P63" s="1117"/>
      <c r="Q63" s="1115"/>
      <c r="R63" s="1112"/>
      <c r="S63" s="1115"/>
      <c r="T63" s="1112"/>
    </row>
    <row r="64" spans="1:2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1111"/>
      <c r="N64" s="1111"/>
      <c r="O64" s="1119"/>
      <c r="P64" s="1117"/>
      <c r="Q64" s="1116"/>
      <c r="R64" s="1112"/>
      <c r="S64" s="1116"/>
      <c r="T64" s="1112"/>
    </row>
    <row r="65" spans="1:20" x14ac:dyDescent="0.2">
      <c r="B65" s="97" t="s">
        <v>83</v>
      </c>
      <c r="C65" s="98" t="s">
        <v>84</v>
      </c>
      <c r="D65" s="99"/>
      <c r="E65" s="100"/>
      <c r="F65" s="101"/>
      <c r="G65" s="1"/>
      <c r="H65" s="102">
        <f>((85.98%*E64+4.4221)*E67+(E65-E66-E69)*(1-E67))</f>
        <v>0</v>
      </c>
      <c r="I65" s="103"/>
      <c r="J65" s="103"/>
      <c r="K65" s="103"/>
      <c r="L65" s="104"/>
      <c r="M65" s="1111"/>
      <c r="N65" s="1111"/>
      <c r="O65" s="1115"/>
      <c r="P65" s="1116"/>
      <c r="Q65" s="1116"/>
      <c r="R65" s="1112"/>
      <c r="S65" s="1116"/>
      <c r="T65" s="1112"/>
    </row>
    <row r="66" spans="1:20" x14ac:dyDescent="0.2">
      <c r="B66" s="97" t="s">
        <v>85</v>
      </c>
      <c r="C66" s="98" t="s">
        <v>86</v>
      </c>
      <c r="D66" s="99"/>
      <c r="E66" s="100"/>
      <c r="F66" s="100"/>
      <c r="G66" s="1"/>
      <c r="H66" s="1"/>
      <c r="I66" s="105"/>
      <c r="J66" s="1"/>
      <c r="K66" s="1"/>
      <c r="M66" s="1111"/>
      <c r="N66" s="1111"/>
      <c r="O66" s="1112"/>
      <c r="P66" s="1114"/>
      <c r="Q66" s="1114"/>
      <c r="R66" s="1112"/>
      <c r="S66" s="1112"/>
      <c r="T66" s="1112"/>
    </row>
    <row r="67" spans="1:20" x14ac:dyDescent="0.2">
      <c r="B67" s="97" t="s">
        <v>87</v>
      </c>
      <c r="C67" s="98" t="s">
        <v>88</v>
      </c>
      <c r="D67" s="99"/>
      <c r="E67" s="106"/>
      <c r="F67" s="106"/>
      <c r="G67" s="1"/>
      <c r="H67" s="89" t="s">
        <v>80</v>
      </c>
      <c r="I67" s="107"/>
      <c r="J67" s="8"/>
      <c r="K67" s="8"/>
      <c r="L67" s="90"/>
      <c r="M67" s="1111"/>
      <c r="N67" s="1111"/>
      <c r="O67" s="1120"/>
      <c r="P67" s="1112"/>
      <c r="Q67" s="1112"/>
      <c r="R67" s="1112"/>
      <c r="S67" s="1112"/>
      <c r="T67" s="1112"/>
    </row>
    <row r="68" spans="1:20"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M68" s="1112"/>
      <c r="N68" s="1111"/>
      <c r="O68" s="1112"/>
      <c r="P68" s="1112"/>
      <c r="Q68" s="1112"/>
      <c r="R68" s="1112"/>
      <c r="S68" s="1112"/>
      <c r="T68" s="1112"/>
    </row>
    <row r="69" spans="1:20" x14ac:dyDescent="0.2">
      <c r="B69" s="109" t="s">
        <v>91</v>
      </c>
      <c r="C69" s="110" t="s">
        <v>92</v>
      </c>
      <c r="D69" s="111"/>
      <c r="E69" s="112"/>
      <c r="F69" s="112"/>
      <c r="G69" s="1"/>
      <c r="H69" s="102">
        <f>((85.98%*F64+4.4221)*F67+(F65-F66-F69)*(1-F67))</f>
        <v>0</v>
      </c>
      <c r="I69" s="113"/>
      <c r="J69" s="103"/>
      <c r="K69" s="103"/>
      <c r="L69" s="104"/>
      <c r="M69" s="1112"/>
      <c r="N69" s="1112"/>
      <c r="O69" s="1112"/>
      <c r="P69" s="1112"/>
      <c r="Q69" s="1112"/>
      <c r="R69" s="1112"/>
      <c r="S69" s="1112"/>
      <c r="T69" s="1112"/>
    </row>
    <row r="70" spans="1:20" x14ac:dyDescent="0.2">
      <c r="A70" s="4"/>
      <c r="G70" s="1"/>
      <c r="H70" s="177"/>
      <c r="I70" s="1"/>
      <c r="J70" s="1"/>
      <c r="K70" s="1"/>
      <c r="M70" s="1112"/>
      <c r="N70" s="1112"/>
      <c r="O70" s="1112"/>
      <c r="P70" s="1112"/>
      <c r="Q70" s="1112"/>
      <c r="R70" s="1112"/>
      <c r="S70" s="1112"/>
      <c r="T70" s="1112"/>
    </row>
    <row r="71" spans="1:20" x14ac:dyDescent="0.2">
      <c r="A71" s="406"/>
      <c r="G71" s="1"/>
      <c r="H71" s="1"/>
      <c r="I71" s="1"/>
      <c r="J71" s="1"/>
      <c r="K71" s="1"/>
    </row>
    <row r="72" spans="1:20" x14ac:dyDescent="0.2">
      <c r="G72" s="1"/>
      <c r="H72" s="1"/>
      <c r="I72" s="1"/>
      <c r="J72" s="1"/>
      <c r="K72" s="1"/>
      <c r="O72" s="65"/>
      <c r="P72" s="65"/>
      <c r="Q72" s="65"/>
    </row>
    <row r="73" spans="1:20" x14ac:dyDescent="0.2">
      <c r="G73" s="1"/>
      <c r="H73" s="1"/>
      <c r="I73" s="1"/>
      <c r="J73" s="1"/>
      <c r="K73" s="1"/>
      <c r="O73" s="65"/>
      <c r="P73" s="65"/>
      <c r="Q73" s="65"/>
    </row>
    <row r="74" spans="1:20" ht="18" x14ac:dyDescent="0.25">
      <c r="A74" s="271"/>
      <c r="B74" s="156"/>
      <c r="C74" s="156"/>
      <c r="D74" s="156"/>
      <c r="E74" s="156"/>
      <c r="F74" s="156"/>
      <c r="G74" s="156"/>
      <c r="H74" s="156"/>
      <c r="I74" s="156"/>
      <c r="J74" s="156"/>
      <c r="K74" s="156"/>
      <c r="L74" s="156"/>
      <c r="M74" s="156"/>
      <c r="N74" s="156"/>
      <c r="O74" s="156"/>
      <c r="P74" s="563"/>
      <c r="Q74" s="563"/>
      <c r="R74" s="156"/>
      <c r="S74" s="564"/>
      <c r="T74" s="156"/>
    </row>
    <row r="75" spans="1:20" ht="18" x14ac:dyDescent="0.25">
      <c r="A75" s="271"/>
      <c r="B75" s="156"/>
      <c r="C75" s="156"/>
      <c r="D75" s="156"/>
      <c r="E75" s="156"/>
      <c r="F75" s="156"/>
      <c r="G75" s="156"/>
      <c r="H75" s="156"/>
      <c r="I75" s="156"/>
      <c r="J75" s="156"/>
      <c r="K75" s="156"/>
      <c r="L75" s="156"/>
      <c r="M75" s="156"/>
      <c r="N75" s="156"/>
      <c r="O75" s="156"/>
      <c r="P75" s="156"/>
      <c r="Q75" s="156"/>
      <c r="R75" s="156"/>
      <c r="S75" s="156"/>
      <c r="T75" s="156"/>
    </row>
    <row r="76" spans="1:20" ht="18" x14ac:dyDescent="0.25">
      <c r="A76" s="271"/>
      <c r="B76" s="156"/>
      <c r="C76" s="156"/>
      <c r="D76" s="156"/>
      <c r="E76" s="156"/>
      <c r="F76" s="156"/>
      <c r="G76" s="156"/>
      <c r="H76" s="156"/>
      <c r="I76" s="156"/>
      <c r="J76" s="156"/>
      <c r="K76" s="156"/>
      <c r="L76" s="156"/>
      <c r="M76" s="156"/>
      <c r="N76" s="156"/>
      <c r="O76" s="156"/>
      <c r="P76" s="156"/>
      <c r="Q76" s="156"/>
      <c r="R76" s="156"/>
      <c r="S76" s="156"/>
      <c r="T76" s="156"/>
    </row>
    <row r="77" spans="1:20" ht="18" x14ac:dyDescent="0.25">
      <c r="A77" s="271"/>
      <c r="B77" s="156"/>
      <c r="C77" s="156"/>
      <c r="D77" s="156"/>
      <c r="E77" s="156"/>
      <c r="F77" s="156"/>
      <c r="G77" s="156"/>
      <c r="H77" s="156"/>
      <c r="I77" s="156"/>
      <c r="J77" s="156"/>
      <c r="K77" s="156"/>
      <c r="L77" s="156"/>
      <c r="M77" s="156"/>
      <c r="N77" s="156"/>
      <c r="O77" s="156"/>
      <c r="P77" s="156"/>
      <c r="Q77" s="156"/>
      <c r="R77" s="156"/>
      <c r="S77" s="156"/>
      <c r="T77" s="156"/>
    </row>
    <row r="78" spans="1:20" ht="18" x14ac:dyDescent="0.25">
      <c r="A78" s="271"/>
      <c r="B78" s="156"/>
      <c r="C78" s="156"/>
      <c r="D78" s="156"/>
      <c r="E78" s="156"/>
      <c r="F78" s="156"/>
      <c r="G78" s="156"/>
      <c r="H78" s="156"/>
      <c r="I78" s="156"/>
      <c r="J78" s="156"/>
      <c r="K78" s="156"/>
      <c r="L78" s="156"/>
      <c r="M78" s="156"/>
      <c r="N78" s="156"/>
      <c r="O78" s="156"/>
      <c r="P78" s="156"/>
      <c r="Q78" s="156"/>
      <c r="R78" s="156"/>
      <c r="S78" s="156"/>
      <c r="T78" s="156"/>
    </row>
    <row r="79" spans="1:20" ht="18" x14ac:dyDescent="0.25">
      <c r="A79" s="271"/>
      <c r="B79" s="156"/>
      <c r="C79" s="156"/>
      <c r="D79" s="156"/>
      <c r="E79" s="156"/>
      <c r="F79" s="156"/>
      <c r="G79" s="156"/>
      <c r="H79" s="156"/>
      <c r="I79" s="156"/>
      <c r="J79" s="156"/>
      <c r="K79" s="156"/>
      <c r="L79" s="156"/>
      <c r="M79" s="156"/>
      <c r="N79" s="156"/>
      <c r="O79" s="156"/>
      <c r="P79" s="156"/>
      <c r="Q79" s="156"/>
      <c r="R79" s="156"/>
      <c r="S79" s="156"/>
      <c r="T79" s="156"/>
    </row>
    <row r="80" spans="1:20" ht="18" x14ac:dyDescent="0.25">
      <c r="A80" s="271"/>
      <c r="B80" s="156"/>
      <c r="C80" s="156"/>
      <c r="D80" s="156"/>
      <c r="E80" s="156"/>
      <c r="F80" s="156"/>
      <c r="G80" s="156"/>
      <c r="H80" s="156"/>
      <c r="I80" s="156"/>
      <c r="J80" s="156"/>
      <c r="K80" s="156"/>
      <c r="L80" s="156"/>
      <c r="M80" s="156"/>
      <c r="N80" s="156"/>
      <c r="O80" s="156"/>
      <c r="P80" s="156"/>
      <c r="Q80" s="156"/>
      <c r="R80" s="156"/>
      <c r="S80" s="156"/>
      <c r="T80" s="156"/>
    </row>
    <row r="81" spans="1:20" ht="18" x14ac:dyDescent="0.25">
      <c r="A81" s="271"/>
      <c r="B81" s="156"/>
      <c r="C81" s="156"/>
      <c r="D81" s="156"/>
      <c r="E81" s="156"/>
      <c r="F81" s="156"/>
      <c r="G81" s="156"/>
      <c r="H81" s="156"/>
      <c r="I81" s="156"/>
      <c r="J81" s="156"/>
      <c r="K81" s="156"/>
      <c r="L81" s="156"/>
      <c r="M81" s="156"/>
      <c r="N81" s="156"/>
      <c r="O81" s="156"/>
      <c r="P81" s="156"/>
      <c r="Q81" s="156"/>
      <c r="R81" s="156"/>
      <c r="S81" s="156"/>
      <c r="T81" s="156"/>
    </row>
    <row r="82" spans="1:20" ht="18" x14ac:dyDescent="0.25">
      <c r="A82" s="271"/>
      <c r="B82" s="156"/>
      <c r="C82" s="156"/>
      <c r="D82" s="156"/>
      <c r="E82" s="156"/>
      <c r="F82" s="156"/>
      <c r="G82" s="156"/>
      <c r="H82" s="156"/>
      <c r="I82" s="156"/>
      <c r="J82" s="156"/>
      <c r="K82" s="156"/>
      <c r="L82" s="156"/>
      <c r="M82" s="156"/>
      <c r="N82" s="156"/>
      <c r="O82" s="156"/>
      <c r="P82" s="156"/>
      <c r="Q82" s="156"/>
      <c r="R82" s="156"/>
      <c r="S82" s="156"/>
      <c r="T82" s="156"/>
    </row>
    <row r="83" spans="1:20" ht="18" x14ac:dyDescent="0.25">
      <c r="A83" s="271"/>
      <c r="B83" s="156"/>
      <c r="C83" s="156"/>
      <c r="D83" s="156"/>
      <c r="E83" s="156"/>
      <c r="F83" s="156"/>
      <c r="G83" s="156"/>
      <c r="H83" s="156"/>
      <c r="I83" s="156"/>
      <c r="J83" s="156"/>
      <c r="K83" s="156"/>
      <c r="L83" s="156"/>
      <c r="M83" s="156"/>
      <c r="N83" s="156"/>
      <c r="O83" s="156"/>
      <c r="P83" s="156"/>
      <c r="Q83" s="156"/>
      <c r="R83" s="156"/>
      <c r="S83" s="156"/>
      <c r="T83" s="156"/>
    </row>
    <row r="84" spans="1:20" ht="18" x14ac:dyDescent="0.25">
      <c r="A84" s="271"/>
      <c r="B84" s="156"/>
      <c r="C84" s="156"/>
      <c r="D84" s="156"/>
      <c r="E84" s="156"/>
      <c r="F84" s="156"/>
      <c r="G84" s="156"/>
      <c r="H84" s="156"/>
      <c r="I84" s="156"/>
      <c r="J84" s="156"/>
      <c r="K84" s="156"/>
      <c r="L84" s="156"/>
      <c r="M84" s="156"/>
      <c r="N84" s="156"/>
      <c r="O84" s="156"/>
      <c r="P84" s="156"/>
      <c r="Q84" s="156"/>
      <c r="R84" s="156"/>
      <c r="S84" s="156"/>
      <c r="T84" s="156"/>
    </row>
    <row r="85" spans="1:20" ht="18" x14ac:dyDescent="0.25">
      <c r="A85" s="271"/>
      <c r="B85" s="156"/>
      <c r="C85" s="156"/>
      <c r="D85" s="156"/>
      <c r="E85" s="156"/>
      <c r="F85" s="156"/>
      <c r="G85" s="156"/>
      <c r="H85" s="156"/>
      <c r="I85" s="156"/>
      <c r="J85" s="156"/>
      <c r="K85" s="156"/>
      <c r="L85" s="156"/>
      <c r="M85" s="156"/>
      <c r="N85" s="156"/>
      <c r="O85" s="156"/>
      <c r="P85" s="156"/>
      <c r="Q85" s="156"/>
      <c r="R85" s="156"/>
      <c r="S85" s="156"/>
      <c r="T85" s="156"/>
    </row>
    <row r="86" spans="1:20" ht="18" x14ac:dyDescent="0.25">
      <c r="A86" s="271"/>
      <c r="B86" s="156"/>
      <c r="C86" s="156"/>
      <c r="D86" s="156"/>
      <c r="E86" s="156"/>
      <c r="F86" s="156"/>
      <c r="G86" s="156"/>
      <c r="H86" s="156"/>
      <c r="I86" s="156"/>
      <c r="J86" s="156"/>
      <c r="K86" s="156"/>
      <c r="L86" s="156"/>
      <c r="M86" s="156"/>
      <c r="N86" s="156"/>
      <c r="O86" s="156"/>
      <c r="P86" s="156"/>
      <c r="Q86" s="156"/>
      <c r="R86" s="156"/>
      <c r="S86" s="156"/>
      <c r="T86" s="156"/>
    </row>
    <row r="87" spans="1:20" ht="18" x14ac:dyDescent="0.25">
      <c r="A87" s="271"/>
      <c r="B87" s="156"/>
      <c r="C87" s="156"/>
      <c r="D87" s="156"/>
      <c r="E87" s="156"/>
      <c r="F87" s="156"/>
      <c r="G87" s="156"/>
      <c r="H87" s="156"/>
      <c r="I87" s="156"/>
      <c r="J87" s="156"/>
      <c r="K87" s="156"/>
      <c r="L87" s="156"/>
      <c r="M87" s="156"/>
      <c r="N87" s="156"/>
      <c r="O87" s="156"/>
      <c r="P87" s="156"/>
      <c r="Q87" s="156"/>
      <c r="R87" s="156"/>
      <c r="S87" s="156"/>
      <c r="T87" s="156"/>
    </row>
    <row r="88" spans="1:20" ht="18" x14ac:dyDescent="0.25">
      <c r="A88" s="271"/>
      <c r="B88" s="156"/>
      <c r="C88" s="156"/>
      <c r="D88" s="156"/>
      <c r="E88" s="156"/>
      <c r="F88" s="156"/>
      <c r="G88" s="156"/>
      <c r="H88" s="156"/>
      <c r="I88" s="156"/>
      <c r="J88" s="156"/>
      <c r="K88" s="156"/>
      <c r="L88" s="156"/>
      <c r="M88" s="156"/>
      <c r="N88" s="156"/>
      <c r="O88" s="156"/>
      <c r="P88" s="156"/>
      <c r="Q88" s="156"/>
      <c r="R88" s="156"/>
      <c r="S88" s="156"/>
      <c r="T88" s="156"/>
    </row>
    <row r="89" spans="1:20" ht="18" x14ac:dyDescent="0.25">
      <c r="A89" s="271"/>
      <c r="B89" s="156"/>
      <c r="C89" s="156"/>
      <c r="D89" s="156"/>
      <c r="E89" s="156"/>
      <c r="F89" s="156"/>
      <c r="G89" s="156"/>
      <c r="H89" s="156"/>
      <c r="I89" s="156"/>
      <c r="J89" s="156"/>
      <c r="K89" s="156"/>
      <c r="L89" s="156"/>
      <c r="M89" s="156"/>
      <c r="N89" s="156"/>
      <c r="O89" s="156"/>
      <c r="P89" s="156"/>
      <c r="Q89" s="156"/>
      <c r="R89" s="156"/>
      <c r="S89" s="156"/>
      <c r="T89" s="156"/>
    </row>
    <row r="90" spans="1:20" ht="18" x14ac:dyDescent="0.25">
      <c r="A90" s="271"/>
      <c r="B90" s="156"/>
      <c r="C90" s="156"/>
      <c r="D90" s="156"/>
      <c r="E90" s="156"/>
      <c r="F90" s="156"/>
      <c r="G90" s="156"/>
      <c r="H90" s="156"/>
      <c r="I90" s="156"/>
      <c r="J90" s="156"/>
      <c r="K90" s="156"/>
      <c r="L90" s="156"/>
      <c r="M90" s="156"/>
      <c r="N90" s="156"/>
      <c r="O90" s="156"/>
      <c r="P90" s="156"/>
      <c r="Q90" s="156"/>
      <c r="R90" s="156"/>
      <c r="S90" s="156"/>
      <c r="T90" s="156"/>
    </row>
    <row r="91" spans="1:20" ht="18" x14ac:dyDescent="0.25">
      <c r="A91" s="271"/>
      <c r="B91" s="156"/>
      <c r="C91" s="156"/>
      <c r="D91" s="156"/>
      <c r="E91" s="156"/>
      <c r="F91" s="156"/>
      <c r="G91" s="156"/>
      <c r="H91" s="156"/>
      <c r="I91" s="156"/>
      <c r="J91" s="156"/>
      <c r="K91" s="156"/>
      <c r="L91" s="156"/>
      <c r="M91" s="156"/>
      <c r="N91" s="156"/>
      <c r="O91" s="156"/>
      <c r="P91" s="156"/>
      <c r="Q91" s="156"/>
      <c r="R91" s="156"/>
      <c r="S91" s="156"/>
      <c r="T91" s="156"/>
    </row>
    <row r="92" spans="1:20" ht="18" x14ac:dyDescent="0.25">
      <c r="A92" s="271"/>
      <c r="B92" s="156"/>
      <c r="C92" s="156"/>
      <c r="D92" s="156"/>
      <c r="E92" s="156"/>
      <c r="F92" s="156"/>
      <c r="G92" s="156"/>
      <c r="H92" s="156"/>
      <c r="I92" s="156"/>
      <c r="J92" s="156"/>
      <c r="K92" s="156"/>
      <c r="L92" s="156"/>
      <c r="M92" s="156"/>
      <c r="N92" s="156"/>
      <c r="O92" s="156"/>
      <c r="P92" s="156"/>
      <c r="Q92" s="156"/>
      <c r="R92" s="156"/>
      <c r="S92" s="156"/>
      <c r="T92" s="156"/>
    </row>
    <row r="93" spans="1:20" ht="18" x14ac:dyDescent="0.25">
      <c r="A93" s="271"/>
      <c r="B93" s="156"/>
      <c r="C93" s="156"/>
      <c r="D93" s="156"/>
      <c r="E93" s="156"/>
      <c r="F93" s="156"/>
      <c r="G93" s="156"/>
      <c r="H93" s="156"/>
      <c r="I93" s="156"/>
      <c r="J93" s="156"/>
      <c r="K93" s="156"/>
      <c r="L93" s="156"/>
      <c r="M93" s="156"/>
      <c r="N93" s="156"/>
      <c r="O93" s="156"/>
      <c r="P93" s="156"/>
      <c r="Q93" s="156"/>
      <c r="R93" s="156"/>
      <c r="S93" s="156"/>
      <c r="T93" s="156"/>
    </row>
    <row r="94" spans="1:20" ht="18" x14ac:dyDescent="0.25">
      <c r="A94" s="271"/>
      <c r="B94" s="156"/>
      <c r="C94" s="156"/>
      <c r="D94" s="156"/>
      <c r="E94" s="156"/>
      <c r="F94" s="156"/>
      <c r="G94" s="156"/>
      <c r="H94" s="156"/>
      <c r="I94" s="156"/>
      <c r="J94" s="156"/>
      <c r="K94" s="156"/>
      <c r="L94" s="156"/>
      <c r="M94" s="156"/>
      <c r="N94" s="156"/>
      <c r="O94" s="156"/>
      <c r="P94" s="156"/>
      <c r="Q94" s="156"/>
      <c r="R94" s="156"/>
      <c r="S94" s="156"/>
      <c r="T94" s="156"/>
    </row>
    <row r="95" spans="1:20" ht="18" x14ac:dyDescent="0.25">
      <c r="A95" s="271"/>
      <c r="B95" s="156"/>
      <c r="C95" s="156"/>
      <c r="D95" s="156"/>
      <c r="E95" s="156"/>
      <c r="F95" s="156"/>
      <c r="G95" s="156"/>
      <c r="H95" s="156"/>
      <c r="I95" s="156"/>
      <c r="J95" s="156"/>
      <c r="K95" s="156"/>
      <c r="L95" s="156"/>
      <c r="M95" s="156"/>
      <c r="N95" s="156"/>
      <c r="O95" s="156"/>
      <c r="P95" s="156"/>
      <c r="Q95" s="156"/>
      <c r="R95" s="156"/>
      <c r="S95" s="156"/>
      <c r="T95" s="156"/>
    </row>
    <row r="96" spans="1:20" ht="18" x14ac:dyDescent="0.25">
      <c r="A96" s="271"/>
      <c r="B96" s="156"/>
      <c r="C96" s="156"/>
      <c r="D96" s="156"/>
      <c r="E96" s="156"/>
      <c r="F96" s="156"/>
      <c r="G96" s="156"/>
      <c r="H96" s="156"/>
      <c r="I96" s="156"/>
      <c r="J96" s="156"/>
      <c r="K96" s="156"/>
      <c r="L96" s="156"/>
      <c r="M96" s="156"/>
      <c r="N96" s="156"/>
      <c r="O96" s="156"/>
      <c r="P96" s="156"/>
      <c r="Q96" s="156"/>
      <c r="R96" s="156"/>
      <c r="S96" s="156"/>
      <c r="T96" s="156"/>
    </row>
    <row r="97" spans="1:20" ht="18" x14ac:dyDescent="0.25">
      <c r="A97" s="271"/>
      <c r="B97" s="156"/>
      <c r="C97" s="156"/>
      <c r="D97" s="156"/>
      <c r="E97" s="156"/>
      <c r="F97" s="156"/>
      <c r="G97" s="156"/>
      <c r="H97" s="156"/>
      <c r="I97" s="156"/>
      <c r="J97" s="156"/>
      <c r="K97" s="156"/>
      <c r="L97" s="156"/>
      <c r="M97" s="156"/>
      <c r="N97" s="156"/>
      <c r="O97" s="156"/>
      <c r="P97" s="156"/>
      <c r="Q97" s="156"/>
      <c r="R97" s="156"/>
      <c r="S97" s="156"/>
      <c r="T97" s="156"/>
    </row>
    <row r="98" spans="1:20" ht="18" x14ac:dyDescent="0.25">
      <c r="A98" s="271"/>
      <c r="B98" s="156"/>
      <c r="C98" s="156"/>
      <c r="D98" s="156"/>
      <c r="E98" s="156"/>
      <c r="F98" s="156"/>
      <c r="G98" s="156"/>
      <c r="H98" s="156"/>
      <c r="I98" s="156"/>
      <c r="J98" s="156"/>
      <c r="K98" s="156"/>
      <c r="L98" s="156"/>
      <c r="M98" s="156"/>
      <c r="N98" s="156"/>
      <c r="O98" s="156"/>
      <c r="P98" s="156"/>
      <c r="Q98" s="156"/>
      <c r="R98" s="156"/>
      <c r="S98" s="156"/>
      <c r="T98" s="156"/>
    </row>
    <row r="99" spans="1:20" ht="18" x14ac:dyDescent="0.25">
      <c r="A99" s="271"/>
      <c r="B99" s="156"/>
      <c r="C99" s="156"/>
      <c r="D99" s="156"/>
      <c r="E99" s="156"/>
      <c r="F99" s="156"/>
      <c r="G99" s="156"/>
      <c r="H99" s="156"/>
      <c r="I99" s="156"/>
      <c r="J99" s="156"/>
      <c r="K99" s="156"/>
      <c r="L99" s="156"/>
      <c r="M99" s="156"/>
      <c r="N99" s="156"/>
      <c r="O99" s="156"/>
      <c r="P99" s="156"/>
      <c r="Q99" s="156"/>
      <c r="R99" s="156"/>
      <c r="S99" s="156"/>
      <c r="T99" s="156"/>
    </row>
    <row r="100" spans="1:20" ht="18" x14ac:dyDescent="0.25">
      <c r="A100" s="271"/>
      <c r="B100" s="156"/>
      <c r="C100" s="156"/>
      <c r="D100" s="156"/>
      <c r="E100" s="156"/>
      <c r="F100" s="156"/>
      <c r="G100" s="156"/>
      <c r="H100" s="156"/>
      <c r="I100" s="156"/>
      <c r="J100" s="156"/>
      <c r="K100" s="156"/>
      <c r="L100" s="156"/>
      <c r="M100" s="156"/>
      <c r="N100" s="156"/>
      <c r="O100" s="156"/>
      <c r="P100" s="156"/>
      <c r="Q100" s="156"/>
      <c r="R100" s="156"/>
      <c r="S100" s="156"/>
      <c r="T100" s="156"/>
    </row>
    <row r="101" spans="1:20" ht="18" x14ac:dyDescent="0.25">
      <c r="A101" s="271"/>
      <c r="B101" s="156"/>
      <c r="C101" s="156"/>
      <c r="D101" s="156"/>
      <c r="E101" s="156"/>
      <c r="F101" s="156"/>
      <c r="G101" s="156"/>
      <c r="H101" s="156"/>
      <c r="I101" s="156"/>
      <c r="J101" s="156"/>
      <c r="K101" s="156"/>
      <c r="L101" s="156"/>
      <c r="M101" s="156"/>
      <c r="N101" s="156"/>
      <c r="O101" s="156"/>
      <c r="P101" s="156"/>
      <c r="Q101" s="156"/>
      <c r="R101" s="156"/>
      <c r="S101" s="156"/>
      <c r="T101" s="156"/>
    </row>
    <row r="102" spans="1:20" ht="18" x14ac:dyDescent="0.25">
      <c r="A102" s="271"/>
      <c r="B102" s="156"/>
      <c r="C102" s="156"/>
      <c r="D102" s="156"/>
      <c r="E102" s="156"/>
      <c r="F102" s="156"/>
      <c r="G102" s="156"/>
      <c r="H102" s="156"/>
      <c r="I102" s="156"/>
      <c r="J102" s="156"/>
      <c r="K102" s="156"/>
      <c r="L102" s="156"/>
      <c r="M102" s="156"/>
      <c r="N102" s="156"/>
      <c r="O102" s="156"/>
      <c r="P102" s="156"/>
      <c r="Q102" s="156"/>
      <c r="R102" s="156"/>
      <c r="S102" s="156"/>
      <c r="T102" s="156"/>
    </row>
    <row r="103" spans="1:20" ht="18" x14ac:dyDescent="0.25">
      <c r="A103" s="271"/>
      <c r="B103" s="156"/>
      <c r="C103" s="156"/>
      <c r="D103" s="156"/>
      <c r="E103" s="156"/>
      <c r="F103" s="156"/>
      <c r="G103" s="156"/>
      <c r="H103" s="156"/>
      <c r="I103" s="156"/>
      <c r="J103" s="156"/>
      <c r="K103" s="156"/>
      <c r="L103" s="156"/>
      <c r="M103" s="156"/>
      <c r="N103" s="156"/>
      <c r="O103" s="156"/>
      <c r="P103" s="156"/>
      <c r="Q103" s="156"/>
      <c r="R103" s="156"/>
      <c r="S103" s="156"/>
      <c r="T103" s="156"/>
    </row>
    <row r="104" spans="1:20" ht="18" x14ac:dyDescent="0.25">
      <c r="A104" s="271"/>
      <c r="B104" s="156"/>
      <c r="C104" s="156"/>
      <c r="D104" s="156"/>
      <c r="E104" s="156"/>
      <c r="F104" s="156"/>
      <c r="G104" s="156"/>
      <c r="H104" s="156"/>
      <c r="I104" s="156"/>
      <c r="J104" s="156"/>
      <c r="K104" s="156"/>
      <c r="L104" s="156"/>
      <c r="M104" s="156"/>
      <c r="N104" s="156"/>
      <c r="O104" s="156"/>
      <c r="P104" s="156"/>
      <c r="Q104" s="156"/>
      <c r="R104" s="156"/>
      <c r="S104" s="156"/>
      <c r="T104" s="156"/>
    </row>
    <row r="105" spans="1:20" ht="18" x14ac:dyDescent="0.25">
      <c r="A105" s="271"/>
      <c r="B105" s="156"/>
      <c r="C105" s="156"/>
      <c r="D105" s="156"/>
      <c r="E105" s="156"/>
      <c r="F105" s="156"/>
      <c r="G105" s="156"/>
      <c r="H105" s="156"/>
      <c r="I105" s="156"/>
      <c r="J105" s="156"/>
      <c r="K105" s="156"/>
      <c r="L105" s="156"/>
      <c r="M105" s="156"/>
      <c r="N105" s="156"/>
      <c r="O105" s="156"/>
      <c r="P105" s="156"/>
      <c r="Q105" s="156"/>
      <c r="R105" s="156"/>
      <c r="S105" s="156"/>
      <c r="T105" s="156"/>
    </row>
    <row r="106" spans="1:20" ht="18" x14ac:dyDescent="0.25">
      <c r="A106" s="271"/>
      <c r="B106" s="156"/>
      <c r="C106" s="156"/>
      <c r="D106" s="156"/>
      <c r="E106" s="156"/>
      <c r="F106" s="156"/>
      <c r="G106" s="156"/>
      <c r="H106" s="156"/>
      <c r="I106" s="156"/>
      <c r="J106" s="156"/>
      <c r="K106" s="156"/>
      <c r="L106" s="156"/>
      <c r="M106" s="156"/>
      <c r="N106" s="156"/>
      <c r="O106" s="156"/>
      <c r="P106" s="156"/>
      <c r="Q106" s="156"/>
      <c r="R106" s="156"/>
      <c r="S106" s="156"/>
      <c r="T106" s="156"/>
    </row>
    <row r="107" spans="1:20" ht="18" x14ac:dyDescent="0.25">
      <c r="A107" s="271"/>
      <c r="B107" s="156"/>
      <c r="C107" s="156"/>
      <c r="D107" s="156"/>
      <c r="E107" s="156"/>
      <c r="F107" s="156"/>
      <c r="G107" s="156"/>
      <c r="H107" s="156"/>
      <c r="I107" s="156"/>
      <c r="J107" s="156"/>
      <c r="K107" s="156"/>
      <c r="L107" s="156"/>
      <c r="M107" s="156"/>
      <c r="N107" s="156"/>
      <c r="O107" s="156"/>
      <c r="P107" s="156"/>
      <c r="Q107" s="156"/>
      <c r="R107" s="156"/>
      <c r="S107" s="156"/>
      <c r="T107" s="156"/>
    </row>
    <row r="108" spans="1:20" ht="18" x14ac:dyDescent="0.25">
      <c r="A108" s="271"/>
      <c r="B108" s="156"/>
      <c r="C108" s="156"/>
      <c r="D108" s="156"/>
      <c r="E108" s="156"/>
      <c r="F108" s="156"/>
      <c r="G108" s="156"/>
      <c r="H108" s="156"/>
      <c r="I108" s="156"/>
      <c r="J108" s="156"/>
      <c r="K108" s="156"/>
      <c r="L108" s="156"/>
      <c r="M108" s="156"/>
      <c r="N108" s="156"/>
      <c r="O108" s="156"/>
      <c r="P108" s="156"/>
      <c r="Q108" s="156"/>
      <c r="R108" s="156"/>
      <c r="S108" s="156"/>
      <c r="T108" s="156"/>
    </row>
    <row r="109" spans="1:20" ht="18" x14ac:dyDescent="0.25">
      <c r="A109" s="271"/>
      <c r="B109" s="156"/>
      <c r="C109" s="156"/>
      <c r="D109" s="156"/>
      <c r="E109" s="156"/>
      <c r="F109" s="156"/>
      <c r="G109" s="156"/>
      <c r="H109" s="156"/>
      <c r="I109" s="156"/>
      <c r="J109" s="156"/>
      <c r="K109" s="156"/>
      <c r="L109" s="156"/>
      <c r="M109" s="156"/>
      <c r="N109" s="156"/>
      <c r="O109" s="156"/>
      <c r="P109" s="156"/>
      <c r="Q109" s="156"/>
      <c r="R109" s="156"/>
      <c r="S109" s="156"/>
      <c r="T109" s="156"/>
    </row>
    <row r="110" spans="1:20" ht="18" x14ac:dyDescent="0.25">
      <c r="A110" s="271"/>
      <c r="B110" s="156"/>
      <c r="C110" s="156"/>
      <c r="D110" s="156"/>
      <c r="E110" s="156"/>
      <c r="F110" s="156"/>
      <c r="G110" s="156"/>
      <c r="H110" s="156"/>
      <c r="I110" s="156"/>
      <c r="J110" s="156"/>
      <c r="K110" s="156"/>
      <c r="L110" s="156"/>
      <c r="M110" s="156"/>
      <c r="N110" s="156"/>
      <c r="O110" s="156"/>
      <c r="P110" s="156"/>
      <c r="Q110" s="156"/>
      <c r="R110" s="156"/>
      <c r="S110" s="156"/>
      <c r="T110" s="156"/>
    </row>
    <row r="111" spans="1:20" ht="18" x14ac:dyDescent="0.25">
      <c r="A111" s="271"/>
      <c r="B111" s="156"/>
      <c r="C111" s="156"/>
      <c r="D111" s="156"/>
      <c r="E111" s="156"/>
      <c r="F111" s="156"/>
      <c r="G111" s="156"/>
      <c r="H111" s="156"/>
      <c r="I111" s="156"/>
      <c r="J111" s="156"/>
      <c r="K111" s="156"/>
      <c r="L111" s="156"/>
      <c r="M111" s="156"/>
      <c r="N111" s="156"/>
      <c r="O111" s="156"/>
      <c r="P111" s="156"/>
      <c r="Q111" s="156"/>
      <c r="R111" s="156"/>
      <c r="S111" s="156"/>
      <c r="T111" s="156"/>
    </row>
    <row r="112" spans="1:20" ht="18" x14ac:dyDescent="0.25">
      <c r="A112" s="271"/>
      <c r="B112" s="156"/>
      <c r="C112" s="156"/>
      <c r="D112" s="156"/>
      <c r="E112" s="156"/>
      <c r="F112" s="156"/>
      <c r="G112" s="156"/>
      <c r="H112" s="156"/>
      <c r="I112" s="156"/>
      <c r="J112" s="156"/>
      <c r="K112" s="156"/>
      <c r="L112" s="156"/>
      <c r="M112" s="156"/>
      <c r="N112" s="156"/>
      <c r="O112" s="156"/>
      <c r="P112" s="156"/>
      <c r="Q112" s="156"/>
      <c r="R112" s="156"/>
      <c r="S112" s="156"/>
      <c r="T112" s="156"/>
    </row>
    <row r="113" spans="1:20" ht="18" x14ac:dyDescent="0.25">
      <c r="A113" s="271"/>
      <c r="B113" s="156"/>
      <c r="C113" s="156"/>
      <c r="D113" s="156"/>
      <c r="E113" s="156"/>
      <c r="F113" s="156"/>
      <c r="G113" s="156"/>
      <c r="H113" s="156"/>
      <c r="I113" s="156"/>
      <c r="J113" s="156"/>
      <c r="K113" s="156"/>
      <c r="L113" s="156"/>
      <c r="M113" s="156"/>
      <c r="N113" s="156"/>
      <c r="O113" s="156"/>
      <c r="P113" s="156"/>
      <c r="Q113" s="156"/>
      <c r="R113" s="156"/>
      <c r="S113" s="156"/>
      <c r="T113" s="156"/>
    </row>
    <row r="114" spans="1:20" ht="18" x14ac:dyDescent="0.25">
      <c r="A114" s="271"/>
      <c r="B114" s="156"/>
      <c r="C114" s="156"/>
      <c r="D114" s="156"/>
      <c r="E114" s="156"/>
      <c r="F114" s="156"/>
      <c r="G114" s="156"/>
      <c r="H114" s="156"/>
      <c r="I114" s="156"/>
      <c r="J114" s="156"/>
      <c r="K114" s="156"/>
      <c r="L114" s="156"/>
      <c r="M114" s="156"/>
      <c r="N114" s="156"/>
      <c r="O114" s="156"/>
      <c r="P114" s="156"/>
      <c r="Q114" s="156"/>
      <c r="R114" s="156"/>
      <c r="S114" s="156"/>
      <c r="T114" s="156"/>
    </row>
    <row r="115" spans="1:20" ht="18" x14ac:dyDescent="0.25">
      <c r="A115" s="271"/>
      <c r="B115" s="156"/>
      <c r="C115" s="156"/>
      <c r="D115" s="156"/>
      <c r="E115" s="156"/>
      <c r="F115" s="156"/>
      <c r="G115" s="156"/>
      <c r="H115" s="156"/>
      <c r="I115" s="156"/>
      <c r="J115" s="156"/>
      <c r="K115" s="156"/>
      <c r="L115" s="156"/>
      <c r="M115" s="156"/>
      <c r="N115" s="156"/>
      <c r="O115" s="156"/>
      <c r="P115" s="156"/>
      <c r="Q115" s="156"/>
      <c r="R115" s="156"/>
      <c r="S115" s="156"/>
      <c r="T115" s="156"/>
    </row>
    <row r="116" spans="1:20" ht="18" x14ac:dyDescent="0.25">
      <c r="A116" s="271"/>
      <c r="B116" s="156"/>
      <c r="C116" s="156"/>
      <c r="D116" s="156"/>
      <c r="E116" s="156"/>
      <c r="F116" s="156"/>
      <c r="G116" s="156"/>
      <c r="H116" s="156"/>
      <c r="I116" s="156"/>
      <c r="J116" s="156"/>
      <c r="K116" s="156"/>
      <c r="L116" s="156"/>
      <c r="M116" s="156"/>
      <c r="N116" s="156"/>
      <c r="O116" s="156"/>
      <c r="P116" s="156"/>
      <c r="Q116" s="156"/>
      <c r="R116" s="156"/>
      <c r="S116" s="156"/>
      <c r="T116" s="156"/>
    </row>
    <row r="117" spans="1:20" ht="18" x14ac:dyDescent="0.25">
      <c r="A117" s="271"/>
      <c r="B117" s="156"/>
      <c r="C117" s="156"/>
      <c r="D117" s="156"/>
      <c r="E117" s="156"/>
      <c r="F117" s="156"/>
      <c r="G117" s="156"/>
      <c r="H117" s="156"/>
      <c r="I117" s="156"/>
      <c r="J117" s="156"/>
      <c r="K117" s="156"/>
      <c r="L117" s="156"/>
      <c r="M117" s="156"/>
      <c r="N117" s="156"/>
      <c r="O117" s="156"/>
      <c r="P117" s="156"/>
      <c r="Q117" s="156"/>
      <c r="R117" s="156"/>
      <c r="S117" s="156"/>
      <c r="T117" s="156"/>
    </row>
    <row r="118" spans="1:20" ht="18" x14ac:dyDescent="0.25">
      <c r="A118" s="271"/>
      <c r="B118" s="156"/>
      <c r="C118" s="156"/>
      <c r="D118" s="156"/>
      <c r="E118" s="156"/>
      <c r="F118" s="156"/>
      <c r="G118" s="156"/>
      <c r="H118" s="156"/>
      <c r="I118" s="156"/>
      <c r="J118" s="156"/>
      <c r="K118" s="156"/>
      <c r="L118" s="156"/>
      <c r="M118" s="156"/>
      <c r="N118" s="156"/>
      <c r="O118" s="156"/>
      <c r="P118" s="156"/>
      <c r="Q118" s="156"/>
      <c r="R118" s="156"/>
      <c r="S118" s="156"/>
      <c r="T118" s="156"/>
    </row>
    <row r="119" spans="1:20" ht="18" x14ac:dyDescent="0.25">
      <c r="A119" s="271"/>
      <c r="B119" s="156"/>
      <c r="C119" s="156"/>
      <c r="D119" s="156"/>
      <c r="E119" s="156"/>
      <c r="F119" s="156"/>
      <c r="G119" s="156"/>
      <c r="H119" s="156"/>
      <c r="I119" s="156"/>
      <c r="J119" s="156"/>
      <c r="K119" s="156"/>
      <c r="L119" s="156"/>
      <c r="M119" s="156"/>
      <c r="N119" s="156"/>
      <c r="O119" s="156"/>
      <c r="P119" s="156"/>
      <c r="Q119" s="156"/>
      <c r="R119" s="156"/>
      <c r="S119" s="156"/>
      <c r="T119" s="156"/>
    </row>
    <row r="120" spans="1:20" ht="18" x14ac:dyDescent="0.25">
      <c r="A120" s="271"/>
      <c r="B120" s="156"/>
      <c r="C120" s="156"/>
      <c r="D120" s="156"/>
      <c r="E120" s="156"/>
      <c r="F120" s="156"/>
      <c r="G120" s="156"/>
      <c r="H120" s="156"/>
      <c r="I120" s="156"/>
      <c r="J120" s="156"/>
      <c r="K120" s="156"/>
      <c r="L120" s="156"/>
      <c r="M120" s="156"/>
      <c r="N120" s="156"/>
      <c r="O120" s="156"/>
      <c r="P120" s="156"/>
      <c r="Q120" s="156"/>
      <c r="R120" s="156"/>
      <c r="S120" s="156"/>
      <c r="T120" s="156"/>
    </row>
    <row r="121" spans="1:20" ht="18" x14ac:dyDescent="0.25">
      <c r="A121" s="271"/>
      <c r="B121" s="156"/>
      <c r="C121" s="156"/>
      <c r="D121" s="156"/>
      <c r="E121" s="156"/>
      <c r="F121" s="156"/>
      <c r="G121" s="156"/>
      <c r="H121" s="156"/>
      <c r="I121" s="156"/>
      <c r="J121" s="156"/>
      <c r="K121" s="156"/>
      <c r="L121" s="156"/>
      <c r="M121" s="156"/>
      <c r="N121" s="156"/>
      <c r="O121" s="156"/>
      <c r="P121" s="156"/>
      <c r="Q121" s="156"/>
      <c r="R121" s="156"/>
      <c r="S121" s="156"/>
      <c r="T121" s="156"/>
    </row>
    <row r="122" spans="1:20" ht="18" x14ac:dyDescent="0.25">
      <c r="A122" s="271"/>
      <c r="B122" s="156"/>
      <c r="C122" s="156"/>
      <c r="D122" s="156"/>
      <c r="E122" s="156"/>
      <c r="F122" s="156"/>
      <c r="G122" s="156"/>
      <c r="H122" s="156"/>
      <c r="I122" s="156"/>
      <c r="J122" s="156"/>
      <c r="K122" s="156"/>
      <c r="L122" s="156"/>
      <c r="M122" s="156"/>
      <c r="N122" s="156"/>
      <c r="O122" s="156"/>
      <c r="P122" s="156"/>
      <c r="Q122" s="156"/>
      <c r="R122" s="156"/>
      <c r="S122" s="156"/>
      <c r="T122" s="156"/>
    </row>
    <row r="123" spans="1:20" ht="18" x14ac:dyDescent="0.25">
      <c r="A123" s="271"/>
      <c r="B123" s="156"/>
      <c r="C123" s="156"/>
      <c r="D123" s="156"/>
      <c r="E123" s="156"/>
      <c r="F123" s="156"/>
      <c r="G123" s="156"/>
      <c r="H123" s="156"/>
      <c r="I123" s="156"/>
      <c r="J123" s="156"/>
      <c r="K123" s="156"/>
      <c r="L123" s="156"/>
      <c r="M123" s="156"/>
      <c r="N123" s="156"/>
      <c r="O123" s="156"/>
      <c r="P123" s="156"/>
      <c r="Q123" s="156"/>
      <c r="R123" s="156"/>
      <c r="S123" s="156"/>
      <c r="T123" s="156"/>
    </row>
    <row r="124" spans="1:20" ht="18" x14ac:dyDescent="0.25">
      <c r="A124" s="271"/>
      <c r="B124" s="156"/>
      <c r="C124" s="156"/>
      <c r="D124" s="156"/>
      <c r="E124" s="156"/>
      <c r="F124" s="156"/>
      <c r="G124" s="156"/>
      <c r="H124" s="156"/>
      <c r="I124" s="156"/>
      <c r="J124" s="156"/>
      <c r="K124" s="156"/>
      <c r="L124" s="156"/>
      <c r="M124" s="156"/>
      <c r="N124" s="156"/>
      <c r="O124" s="156"/>
      <c r="P124" s="156"/>
      <c r="Q124" s="156"/>
      <c r="R124" s="156"/>
      <c r="S124" s="156"/>
      <c r="T124" s="156"/>
    </row>
    <row r="125" spans="1:20" ht="18" x14ac:dyDescent="0.25">
      <c r="A125" s="271"/>
      <c r="B125" s="156"/>
      <c r="C125" s="156"/>
      <c r="D125" s="156"/>
      <c r="E125" s="156"/>
      <c r="F125" s="156"/>
      <c r="G125" s="156"/>
      <c r="H125" s="156"/>
      <c r="I125" s="156"/>
      <c r="J125" s="156"/>
      <c r="K125" s="156"/>
      <c r="L125" s="156"/>
      <c r="M125" s="156"/>
      <c r="N125" s="156"/>
      <c r="O125" s="156"/>
      <c r="P125" s="156"/>
      <c r="Q125" s="156"/>
      <c r="R125" s="156"/>
      <c r="S125" s="156"/>
      <c r="T125" s="156"/>
    </row>
    <row r="126" spans="1:20" ht="18" x14ac:dyDescent="0.25">
      <c r="A126" s="271"/>
      <c r="B126" s="156"/>
      <c r="C126" s="156"/>
      <c r="D126" s="156"/>
      <c r="E126" s="156"/>
      <c r="F126" s="156"/>
      <c r="G126" s="156"/>
      <c r="H126" s="156"/>
      <c r="I126" s="156"/>
      <c r="J126" s="156"/>
      <c r="K126" s="156"/>
      <c r="L126" s="156"/>
      <c r="M126" s="156"/>
      <c r="N126" s="156"/>
      <c r="O126" s="156"/>
      <c r="P126" s="156"/>
      <c r="Q126" s="156"/>
      <c r="R126" s="156"/>
      <c r="S126" s="156"/>
      <c r="T126" s="156"/>
    </row>
    <row r="127" spans="1:20" ht="18" x14ac:dyDescent="0.25">
      <c r="A127" s="271"/>
      <c r="B127" s="156"/>
      <c r="C127" s="156"/>
      <c r="D127" s="156"/>
      <c r="E127" s="156"/>
      <c r="F127" s="156"/>
      <c r="G127" s="156"/>
      <c r="H127" s="156"/>
      <c r="I127" s="156"/>
      <c r="J127" s="156"/>
      <c r="K127" s="156"/>
      <c r="L127" s="156"/>
      <c r="M127" s="156"/>
      <c r="N127" s="156"/>
      <c r="O127" s="156"/>
      <c r="P127" s="156"/>
      <c r="Q127" s="156"/>
      <c r="R127" s="156"/>
      <c r="S127" s="156"/>
      <c r="T127" s="156"/>
    </row>
    <row r="128" spans="1:20" ht="18" x14ac:dyDescent="0.25">
      <c r="A128" s="271"/>
      <c r="B128" s="156"/>
      <c r="C128" s="156"/>
      <c r="D128" s="156"/>
      <c r="E128" s="156"/>
      <c r="F128" s="156"/>
      <c r="G128" s="156"/>
      <c r="H128" s="156"/>
      <c r="I128" s="156"/>
      <c r="J128" s="156"/>
      <c r="K128" s="156"/>
      <c r="L128" s="156"/>
      <c r="M128" s="156"/>
      <c r="N128" s="156"/>
      <c r="O128" s="156"/>
      <c r="P128" s="156"/>
      <c r="Q128" s="156"/>
      <c r="R128" s="156"/>
      <c r="S128" s="156"/>
      <c r="T128" s="156"/>
    </row>
    <row r="129" spans="1:20" ht="18" x14ac:dyDescent="0.25">
      <c r="A129" s="271"/>
      <c r="B129" s="156"/>
      <c r="C129" s="156"/>
      <c r="D129" s="156"/>
      <c r="E129" s="156"/>
      <c r="F129" s="156"/>
      <c r="G129" s="156"/>
      <c r="H129" s="156"/>
      <c r="I129" s="156"/>
      <c r="J129" s="156"/>
      <c r="K129" s="156"/>
      <c r="L129" s="156"/>
      <c r="M129" s="156"/>
      <c r="N129" s="156"/>
      <c r="O129" s="156"/>
      <c r="P129" s="156"/>
      <c r="Q129" s="156"/>
      <c r="R129" s="156"/>
      <c r="S129" s="156"/>
      <c r="T129" s="156"/>
    </row>
    <row r="130" spans="1:20" ht="18" x14ac:dyDescent="0.25">
      <c r="A130" s="271"/>
      <c r="B130" s="156"/>
      <c r="C130" s="156"/>
      <c r="D130" s="156"/>
      <c r="E130" s="156"/>
      <c r="F130" s="156"/>
      <c r="G130" s="156"/>
      <c r="H130" s="156"/>
      <c r="I130" s="156"/>
      <c r="J130" s="156"/>
      <c r="K130" s="156"/>
      <c r="L130" s="156"/>
      <c r="M130" s="156"/>
      <c r="N130" s="156"/>
      <c r="O130" s="156"/>
      <c r="P130" s="156"/>
      <c r="Q130" s="156"/>
      <c r="R130" s="156"/>
      <c r="S130" s="156"/>
      <c r="T130" s="156"/>
    </row>
    <row r="131" spans="1:20" ht="18" x14ac:dyDescent="0.25">
      <c r="A131" s="271"/>
      <c r="B131" s="156"/>
      <c r="C131" s="156"/>
      <c r="D131" s="156"/>
      <c r="E131" s="156"/>
      <c r="F131" s="156"/>
      <c r="G131" s="156"/>
      <c r="H131" s="156"/>
      <c r="I131" s="156"/>
      <c r="J131" s="156"/>
      <c r="K131" s="156"/>
      <c r="L131" s="156"/>
      <c r="M131" s="156"/>
      <c r="N131" s="156"/>
      <c r="O131" s="156"/>
      <c r="P131" s="156"/>
      <c r="Q131" s="156"/>
      <c r="R131" s="156"/>
      <c r="S131" s="156"/>
      <c r="T131" s="156"/>
    </row>
    <row r="132" spans="1:20" ht="18" x14ac:dyDescent="0.25">
      <c r="A132" s="271"/>
      <c r="B132" s="156"/>
      <c r="C132" s="156"/>
      <c r="D132" s="156"/>
      <c r="E132" s="156"/>
      <c r="F132" s="156"/>
      <c r="G132" s="156"/>
      <c r="H132" s="156"/>
      <c r="I132" s="156"/>
      <c r="J132" s="156"/>
      <c r="K132" s="156"/>
      <c r="L132" s="156"/>
      <c r="M132" s="156"/>
      <c r="N132" s="156"/>
      <c r="O132" s="156"/>
      <c r="P132" s="156"/>
      <c r="Q132" s="156"/>
      <c r="R132" s="156"/>
      <c r="S132" s="156"/>
      <c r="T132" s="156"/>
    </row>
    <row r="133" spans="1:20" ht="18" x14ac:dyDescent="0.25">
      <c r="A133" s="271"/>
      <c r="B133" s="156"/>
      <c r="C133" s="156"/>
      <c r="D133" s="156"/>
      <c r="E133" s="156"/>
      <c r="F133" s="156"/>
      <c r="G133" s="156"/>
      <c r="H133" s="156"/>
      <c r="I133" s="156"/>
      <c r="J133" s="156"/>
      <c r="K133" s="156"/>
      <c r="L133" s="156"/>
      <c r="M133" s="156"/>
      <c r="N133" s="156"/>
      <c r="O133" s="156"/>
      <c r="P133" s="156"/>
      <c r="Q133" s="156"/>
      <c r="R133" s="156"/>
      <c r="S133" s="156"/>
      <c r="T133" s="156"/>
    </row>
    <row r="134" spans="1:20" ht="18" x14ac:dyDescent="0.25">
      <c r="A134" s="271"/>
      <c r="B134" s="156"/>
      <c r="C134" s="156"/>
      <c r="D134" s="156"/>
      <c r="E134" s="156"/>
      <c r="F134" s="156"/>
      <c r="G134" s="156"/>
      <c r="H134" s="156"/>
      <c r="I134" s="156"/>
      <c r="J134" s="156"/>
      <c r="K134" s="156"/>
      <c r="L134" s="156"/>
      <c r="M134" s="156"/>
      <c r="N134" s="156"/>
      <c r="O134" s="156"/>
      <c r="P134" s="156"/>
      <c r="Q134" s="156"/>
      <c r="R134" s="156"/>
      <c r="S134" s="156"/>
      <c r="T134" s="156"/>
    </row>
    <row r="135" spans="1:20" ht="18" x14ac:dyDescent="0.25">
      <c r="A135" s="271"/>
      <c r="B135" s="156"/>
      <c r="C135" s="156"/>
      <c r="D135" s="156"/>
      <c r="E135" s="156"/>
      <c r="F135" s="156"/>
      <c r="G135" s="156"/>
      <c r="H135" s="156"/>
      <c r="I135" s="156"/>
      <c r="J135" s="156"/>
      <c r="K135" s="156"/>
      <c r="L135" s="156"/>
      <c r="M135" s="156"/>
      <c r="N135" s="156"/>
      <c r="O135" s="156"/>
      <c r="P135" s="156"/>
      <c r="Q135" s="156"/>
      <c r="R135" s="156"/>
      <c r="S135" s="156"/>
      <c r="T135" s="156"/>
    </row>
    <row r="136" spans="1:20" ht="18" x14ac:dyDescent="0.25">
      <c r="A136" s="271"/>
      <c r="B136" s="156"/>
      <c r="C136" s="156"/>
      <c r="D136" s="156"/>
      <c r="E136" s="156"/>
      <c r="F136" s="156"/>
      <c r="G136" s="156"/>
      <c r="H136" s="156"/>
      <c r="I136" s="156"/>
      <c r="J136" s="156"/>
      <c r="K136" s="156"/>
      <c r="L136" s="156"/>
      <c r="M136" s="156"/>
      <c r="N136" s="156"/>
      <c r="O136" s="156"/>
      <c r="P136" s="156"/>
      <c r="Q136" s="156"/>
      <c r="R136" s="156"/>
      <c r="S136" s="156"/>
      <c r="T136" s="156"/>
    </row>
    <row r="137" spans="1:20" ht="18" x14ac:dyDescent="0.25">
      <c r="A137" s="271"/>
      <c r="B137" s="156"/>
      <c r="C137" s="156"/>
      <c r="D137" s="156"/>
      <c r="E137" s="156"/>
      <c r="F137" s="156"/>
      <c r="G137" s="156"/>
      <c r="H137" s="156"/>
      <c r="I137" s="156"/>
      <c r="J137" s="156"/>
      <c r="K137" s="156"/>
      <c r="L137" s="156"/>
      <c r="M137" s="156"/>
      <c r="N137" s="156"/>
      <c r="O137" s="156"/>
      <c r="P137" s="156"/>
      <c r="Q137" s="156"/>
      <c r="R137" s="156"/>
      <c r="S137" s="156"/>
      <c r="T137" s="156"/>
    </row>
    <row r="138" spans="1:20" ht="18" x14ac:dyDescent="0.25">
      <c r="A138" s="271"/>
      <c r="B138" s="156"/>
      <c r="C138" s="156"/>
      <c r="D138" s="156"/>
      <c r="E138" s="156"/>
      <c r="F138" s="156"/>
      <c r="G138" s="156"/>
      <c r="H138" s="156"/>
      <c r="I138" s="156"/>
      <c r="J138" s="156"/>
      <c r="K138" s="156"/>
      <c r="L138" s="156"/>
      <c r="M138" s="156"/>
      <c r="N138" s="156"/>
      <c r="O138" s="156"/>
      <c r="P138" s="156"/>
      <c r="Q138" s="156"/>
      <c r="R138" s="156"/>
      <c r="S138" s="156"/>
      <c r="T138" s="156"/>
    </row>
    <row r="139" spans="1:20" ht="18" x14ac:dyDescent="0.25">
      <c r="A139" s="271"/>
      <c r="B139" s="156"/>
      <c r="C139" s="156"/>
      <c r="D139" s="156"/>
      <c r="E139" s="156"/>
      <c r="F139" s="156"/>
      <c r="G139" s="156"/>
      <c r="H139" s="156"/>
      <c r="I139" s="156"/>
      <c r="J139" s="156"/>
      <c r="K139" s="156"/>
      <c r="L139" s="156"/>
      <c r="M139" s="156"/>
      <c r="N139" s="156"/>
      <c r="O139" s="156"/>
      <c r="P139" s="156"/>
      <c r="Q139" s="156"/>
      <c r="R139" s="156"/>
      <c r="S139" s="156"/>
      <c r="T139" s="156"/>
    </row>
    <row r="140" spans="1:20" ht="18" x14ac:dyDescent="0.25">
      <c r="A140" s="271"/>
      <c r="B140" s="156"/>
      <c r="C140" s="156"/>
      <c r="D140" s="156"/>
      <c r="E140" s="156"/>
      <c r="F140" s="156"/>
      <c r="G140" s="156"/>
      <c r="H140" s="156"/>
      <c r="I140" s="156"/>
      <c r="J140" s="156"/>
      <c r="K140" s="156"/>
      <c r="L140" s="156"/>
      <c r="M140" s="156"/>
      <c r="N140" s="156"/>
      <c r="O140" s="156"/>
      <c r="P140" s="156"/>
      <c r="Q140" s="156"/>
      <c r="R140" s="156"/>
      <c r="S140" s="156"/>
      <c r="T140" s="156"/>
    </row>
    <row r="141" spans="1:20" ht="18" x14ac:dyDescent="0.25">
      <c r="A141" s="271"/>
      <c r="B141" s="156"/>
      <c r="C141" s="156"/>
      <c r="D141" s="156"/>
      <c r="E141" s="156"/>
      <c r="F141" s="156"/>
      <c r="G141" s="156"/>
      <c r="H141" s="156"/>
      <c r="I141" s="156"/>
      <c r="J141" s="156"/>
      <c r="K141" s="156"/>
      <c r="L141" s="156"/>
      <c r="M141" s="156"/>
      <c r="N141" s="156"/>
      <c r="O141" s="156"/>
      <c r="P141" s="156"/>
      <c r="Q141" s="156"/>
      <c r="R141" s="156"/>
      <c r="S141" s="156"/>
      <c r="T141" s="156"/>
    </row>
    <row r="142" spans="1:20" ht="18" x14ac:dyDescent="0.25">
      <c r="A142" s="271"/>
      <c r="B142" s="156"/>
      <c r="C142" s="156"/>
      <c r="D142" s="156"/>
      <c r="E142" s="156"/>
      <c r="F142" s="156"/>
      <c r="G142" s="156"/>
      <c r="H142" s="156"/>
      <c r="I142" s="156"/>
      <c r="J142" s="156"/>
      <c r="K142" s="156"/>
      <c r="L142" s="156"/>
      <c r="M142" s="156"/>
      <c r="N142" s="156"/>
      <c r="O142" s="156"/>
      <c r="P142" s="156"/>
      <c r="Q142" s="156"/>
      <c r="R142" s="156"/>
      <c r="S142" s="156"/>
      <c r="T142" s="156"/>
    </row>
    <row r="143" spans="1:20" ht="18" x14ac:dyDescent="0.25">
      <c r="A143" s="271"/>
      <c r="B143" s="156"/>
      <c r="C143" s="156"/>
      <c r="D143" s="156"/>
      <c r="E143" s="156"/>
      <c r="F143" s="156"/>
      <c r="G143" s="156"/>
      <c r="H143" s="156"/>
      <c r="I143" s="156"/>
      <c r="J143" s="156"/>
      <c r="K143" s="156"/>
      <c r="L143" s="156"/>
      <c r="M143" s="156"/>
      <c r="N143" s="156"/>
      <c r="O143" s="156"/>
      <c r="P143" s="156"/>
      <c r="Q143" s="156"/>
      <c r="R143" s="156"/>
      <c r="S143" s="156"/>
      <c r="T143" s="156"/>
    </row>
    <row r="144" spans="1:20" ht="18" x14ac:dyDescent="0.25">
      <c r="A144" s="271"/>
      <c r="B144" s="156"/>
      <c r="C144" s="156"/>
      <c r="D144" s="156"/>
      <c r="E144" s="156"/>
      <c r="F144" s="156"/>
      <c r="G144" s="156"/>
      <c r="H144" s="156"/>
      <c r="I144" s="156"/>
      <c r="J144" s="156"/>
      <c r="K144" s="156"/>
      <c r="L144" s="156"/>
      <c r="M144" s="156"/>
      <c r="N144" s="156"/>
      <c r="O144" s="156"/>
      <c r="P144" s="156"/>
      <c r="Q144" s="156"/>
      <c r="R144" s="156"/>
      <c r="S144" s="156"/>
      <c r="T144" s="156"/>
    </row>
    <row r="145" spans="1:20" ht="18" x14ac:dyDescent="0.25">
      <c r="A145" s="271"/>
      <c r="B145" s="156"/>
      <c r="C145" s="156"/>
      <c r="D145" s="156"/>
      <c r="E145" s="156"/>
      <c r="F145" s="156"/>
      <c r="G145" s="156"/>
      <c r="H145" s="156"/>
      <c r="I145" s="156"/>
      <c r="J145" s="156"/>
      <c r="K145" s="156"/>
      <c r="L145" s="156"/>
      <c r="M145" s="156"/>
      <c r="N145" s="156"/>
      <c r="O145" s="156"/>
      <c r="P145" s="156"/>
      <c r="Q145" s="156"/>
      <c r="R145" s="156"/>
      <c r="S145" s="156"/>
      <c r="T145" s="156"/>
    </row>
    <row r="146" spans="1:20" ht="18" x14ac:dyDescent="0.25">
      <c r="A146" s="271"/>
      <c r="B146" s="156"/>
      <c r="C146" s="156"/>
      <c r="D146" s="156"/>
      <c r="E146" s="156"/>
      <c r="F146" s="156"/>
      <c r="G146" s="156"/>
      <c r="H146" s="156"/>
      <c r="I146" s="156"/>
      <c r="J146" s="156"/>
      <c r="K146" s="156"/>
      <c r="L146" s="156"/>
      <c r="M146" s="156"/>
      <c r="N146" s="156"/>
      <c r="O146" s="156"/>
      <c r="P146" s="156"/>
      <c r="Q146" s="156"/>
      <c r="R146" s="156"/>
      <c r="S146" s="156"/>
      <c r="T146" s="156"/>
    </row>
    <row r="147" spans="1:20" ht="18" x14ac:dyDescent="0.25">
      <c r="A147" s="271"/>
      <c r="B147" s="156"/>
      <c r="C147" s="156"/>
      <c r="D147" s="156"/>
      <c r="E147" s="156"/>
      <c r="F147" s="156"/>
      <c r="G147" s="156"/>
      <c r="H147" s="156"/>
      <c r="I147" s="156"/>
      <c r="J147" s="156"/>
      <c r="K147" s="156"/>
      <c r="L147" s="156"/>
      <c r="M147" s="156"/>
      <c r="N147" s="156"/>
      <c r="O147" s="156"/>
      <c r="P147" s="156"/>
      <c r="Q147" s="156"/>
      <c r="R147" s="156"/>
      <c r="S147" s="156"/>
      <c r="T147" s="156"/>
    </row>
    <row r="148" spans="1:20" ht="18" x14ac:dyDescent="0.25">
      <c r="A148" s="271"/>
      <c r="B148" s="156"/>
      <c r="C148" s="156"/>
      <c r="D148" s="156"/>
      <c r="E148" s="156"/>
      <c r="F148" s="156"/>
      <c r="G148" s="156"/>
      <c r="H148" s="156"/>
      <c r="I148" s="156"/>
      <c r="J148" s="156"/>
      <c r="K148" s="156"/>
      <c r="L148" s="156"/>
      <c r="M148" s="156"/>
      <c r="N148" s="156"/>
      <c r="O148" s="156"/>
      <c r="P148" s="156"/>
      <c r="Q148" s="156"/>
      <c r="R148" s="156"/>
      <c r="S148" s="156"/>
      <c r="T148" s="156"/>
    </row>
    <row r="149" spans="1:20" ht="18" x14ac:dyDescent="0.25">
      <c r="A149" s="271"/>
      <c r="B149" s="156"/>
      <c r="C149" s="156"/>
      <c r="D149" s="156"/>
      <c r="E149" s="156"/>
      <c r="F149" s="156"/>
      <c r="G149" s="156"/>
      <c r="H149" s="156"/>
      <c r="I149" s="156"/>
      <c r="J149" s="156"/>
      <c r="K149" s="156"/>
      <c r="L149" s="156"/>
      <c r="M149" s="156"/>
      <c r="N149" s="156"/>
      <c r="O149" s="156"/>
      <c r="P149" s="156"/>
      <c r="Q149" s="156"/>
      <c r="R149" s="156"/>
      <c r="S149" s="156"/>
      <c r="T149" s="156"/>
    </row>
    <row r="150" spans="1:20" ht="18" x14ac:dyDescent="0.25">
      <c r="A150" s="271"/>
      <c r="B150" s="156"/>
      <c r="C150" s="156"/>
      <c r="D150" s="156"/>
      <c r="E150" s="156"/>
      <c r="F150" s="156"/>
      <c r="G150" s="156"/>
      <c r="H150" s="156"/>
      <c r="I150" s="156"/>
      <c r="J150" s="156"/>
      <c r="K150" s="156"/>
      <c r="L150" s="156"/>
      <c r="M150" s="156"/>
      <c r="N150" s="156"/>
      <c r="O150" s="156"/>
      <c r="P150" s="156"/>
      <c r="Q150" s="156"/>
      <c r="R150" s="156"/>
      <c r="S150" s="156"/>
      <c r="T150" s="156"/>
    </row>
    <row r="151" spans="1:20" ht="18" x14ac:dyDescent="0.25">
      <c r="A151" s="271"/>
      <c r="B151" s="156"/>
      <c r="C151" s="156"/>
      <c r="D151" s="156"/>
      <c r="E151" s="156"/>
      <c r="F151" s="156"/>
      <c r="G151" s="156"/>
      <c r="H151" s="156"/>
      <c r="I151" s="156"/>
      <c r="J151" s="156"/>
      <c r="K151" s="156"/>
      <c r="L151" s="156"/>
      <c r="M151" s="156"/>
      <c r="N151" s="156"/>
      <c r="O151" s="156"/>
      <c r="P151" s="156"/>
      <c r="Q151" s="156"/>
      <c r="R151" s="156"/>
      <c r="S151" s="156"/>
      <c r="T151" s="156"/>
    </row>
    <row r="152" spans="1:20" ht="18" x14ac:dyDescent="0.25">
      <c r="A152" s="271"/>
      <c r="B152" s="156"/>
      <c r="C152" s="156"/>
      <c r="D152" s="156"/>
      <c r="E152" s="156"/>
      <c r="F152" s="156"/>
      <c r="G152" s="156"/>
      <c r="H152" s="156"/>
      <c r="I152" s="156"/>
      <c r="J152" s="156"/>
      <c r="K152" s="156"/>
      <c r="L152" s="156"/>
      <c r="M152" s="156"/>
      <c r="N152" s="156"/>
      <c r="O152" s="156"/>
      <c r="P152" s="156"/>
      <c r="Q152" s="156"/>
      <c r="R152" s="156"/>
      <c r="S152" s="156"/>
      <c r="T152" s="156"/>
    </row>
    <row r="153" spans="1:20" ht="18" x14ac:dyDescent="0.25">
      <c r="A153" s="271"/>
      <c r="B153" s="156"/>
      <c r="C153" s="156"/>
      <c r="D153" s="156"/>
      <c r="E153" s="156"/>
      <c r="F153" s="156"/>
      <c r="G153" s="156"/>
      <c r="H153" s="156"/>
      <c r="I153" s="156"/>
      <c r="J153" s="156"/>
      <c r="K153" s="156"/>
      <c r="L153" s="156"/>
      <c r="M153" s="156"/>
      <c r="N153" s="156"/>
      <c r="O153" s="156"/>
      <c r="P153" s="156"/>
      <c r="Q153" s="156"/>
      <c r="R153" s="156"/>
      <c r="S153" s="156"/>
      <c r="T153" s="156"/>
    </row>
    <row r="154" spans="1:20" ht="18" x14ac:dyDescent="0.25">
      <c r="A154" s="271"/>
      <c r="B154" s="156"/>
      <c r="C154" s="156"/>
      <c r="D154" s="156"/>
      <c r="E154" s="156"/>
      <c r="F154" s="156"/>
      <c r="G154" s="156"/>
      <c r="H154" s="156"/>
      <c r="I154" s="156"/>
      <c r="J154" s="156"/>
      <c r="K154" s="156"/>
      <c r="L154" s="156"/>
      <c r="M154" s="156"/>
      <c r="N154" s="156"/>
      <c r="O154" s="156"/>
      <c r="P154" s="156"/>
      <c r="Q154" s="156"/>
      <c r="R154" s="156"/>
      <c r="S154" s="156"/>
      <c r="T154" s="156"/>
    </row>
    <row r="155" spans="1:20" ht="18" x14ac:dyDescent="0.25">
      <c r="A155" s="271"/>
      <c r="B155" s="156"/>
      <c r="C155" s="156"/>
      <c r="D155" s="156"/>
      <c r="E155" s="156"/>
      <c r="F155" s="156"/>
      <c r="G155" s="156"/>
      <c r="H155" s="156"/>
      <c r="I155" s="156"/>
      <c r="J155" s="156"/>
      <c r="K155" s="156"/>
      <c r="L155" s="156"/>
      <c r="M155" s="156"/>
      <c r="N155" s="156"/>
      <c r="O155" s="156"/>
      <c r="P155" s="156"/>
      <c r="Q155" s="156"/>
      <c r="R155" s="156"/>
      <c r="S155" s="156"/>
      <c r="T155" s="156"/>
    </row>
    <row r="156" spans="1:20" ht="18" x14ac:dyDescent="0.25">
      <c r="A156" s="271"/>
      <c r="B156" s="156"/>
      <c r="C156" s="156"/>
      <c r="D156" s="156"/>
      <c r="E156" s="156"/>
      <c r="F156" s="156"/>
      <c r="G156" s="156"/>
      <c r="H156" s="156"/>
      <c r="I156" s="156"/>
      <c r="J156" s="156"/>
      <c r="K156" s="156"/>
      <c r="L156" s="156"/>
      <c r="M156" s="156"/>
      <c r="N156" s="156"/>
      <c r="O156" s="156"/>
      <c r="P156" s="156"/>
      <c r="Q156" s="156"/>
      <c r="R156" s="156"/>
      <c r="S156" s="156"/>
      <c r="T156" s="156"/>
    </row>
    <row r="157" spans="1:20" ht="18" x14ac:dyDescent="0.25">
      <c r="A157" s="271"/>
      <c r="B157" s="156"/>
      <c r="C157" s="156"/>
      <c r="D157" s="156"/>
      <c r="E157" s="156"/>
      <c r="F157" s="156"/>
      <c r="G157" s="156"/>
      <c r="H157" s="156"/>
      <c r="I157" s="156"/>
      <c r="J157" s="156"/>
      <c r="K157" s="156"/>
      <c r="L157" s="156"/>
      <c r="M157" s="156"/>
      <c r="N157" s="156"/>
      <c r="O157" s="156"/>
      <c r="P157" s="156"/>
      <c r="Q157" s="156"/>
      <c r="R157" s="156"/>
      <c r="S157" s="156"/>
      <c r="T157" s="156"/>
    </row>
    <row r="158" spans="1:20" ht="18" x14ac:dyDescent="0.25">
      <c r="A158" s="271"/>
      <c r="B158" s="156"/>
      <c r="C158" s="156"/>
      <c r="D158" s="156"/>
      <c r="E158" s="156"/>
      <c r="F158" s="156"/>
      <c r="G158" s="156"/>
      <c r="H158" s="156"/>
      <c r="I158" s="156"/>
      <c r="J158" s="156"/>
      <c r="K158" s="156"/>
      <c r="L158" s="156"/>
      <c r="M158" s="156"/>
      <c r="N158" s="156"/>
      <c r="O158" s="156"/>
      <c r="P158" s="156"/>
      <c r="Q158" s="156"/>
      <c r="R158" s="156"/>
      <c r="S158" s="156"/>
      <c r="T158" s="156"/>
    </row>
    <row r="159" spans="1:20" ht="18" x14ac:dyDescent="0.25">
      <c r="A159" s="271"/>
      <c r="B159" s="156"/>
      <c r="C159" s="156"/>
      <c r="D159" s="156"/>
      <c r="E159" s="156"/>
      <c r="F159" s="156"/>
      <c r="G159" s="156"/>
      <c r="H159" s="156"/>
      <c r="I159" s="156"/>
      <c r="J159" s="156"/>
      <c r="K159" s="156"/>
      <c r="L159" s="156"/>
      <c r="M159" s="156"/>
      <c r="N159" s="156"/>
      <c r="O159" s="156"/>
      <c r="P159" s="156"/>
      <c r="Q159" s="156"/>
      <c r="R159" s="156"/>
      <c r="S159" s="156"/>
      <c r="T159" s="156"/>
    </row>
    <row r="160" spans="1:20" ht="18" x14ac:dyDescent="0.25">
      <c r="A160" s="271"/>
      <c r="B160" s="156"/>
      <c r="C160" s="156"/>
      <c r="D160" s="156"/>
      <c r="E160" s="156"/>
      <c r="F160" s="156"/>
      <c r="G160" s="156"/>
      <c r="H160" s="156"/>
      <c r="I160" s="156"/>
      <c r="J160" s="156"/>
      <c r="K160" s="156"/>
      <c r="L160" s="156"/>
      <c r="M160" s="156"/>
      <c r="N160" s="156"/>
      <c r="O160" s="156"/>
      <c r="P160" s="156"/>
      <c r="Q160" s="156"/>
      <c r="R160" s="156"/>
      <c r="S160" s="156"/>
      <c r="T160" s="156"/>
    </row>
    <row r="161" spans="1:20" ht="18" x14ac:dyDescent="0.25">
      <c r="A161" s="271"/>
      <c r="B161" s="156"/>
      <c r="C161" s="156"/>
      <c r="D161" s="156"/>
      <c r="E161" s="156"/>
      <c r="F161" s="156"/>
      <c r="G161" s="156"/>
      <c r="H161" s="156"/>
      <c r="I161" s="156"/>
      <c r="J161" s="156"/>
      <c r="K161" s="156"/>
      <c r="L161" s="156"/>
      <c r="M161" s="156"/>
      <c r="N161" s="156"/>
      <c r="O161" s="156"/>
      <c r="P161" s="156"/>
      <c r="Q161" s="156"/>
      <c r="R161" s="156"/>
      <c r="S161" s="156"/>
      <c r="T161" s="156"/>
    </row>
    <row r="162" spans="1:20" ht="18" x14ac:dyDescent="0.25">
      <c r="A162" s="271"/>
      <c r="B162" s="156"/>
      <c r="C162" s="156"/>
      <c r="D162" s="156"/>
      <c r="E162" s="156"/>
      <c r="F162" s="156"/>
      <c r="G162" s="156"/>
      <c r="H162" s="156"/>
      <c r="I162" s="156"/>
      <c r="J162" s="156"/>
      <c r="K162" s="156"/>
      <c r="L162" s="156"/>
      <c r="M162" s="156"/>
      <c r="N162" s="156"/>
      <c r="O162" s="156"/>
      <c r="P162" s="156"/>
      <c r="Q162" s="156"/>
      <c r="R162" s="156"/>
      <c r="S162" s="156"/>
      <c r="T162" s="156"/>
    </row>
    <row r="163" spans="1:20" ht="18" x14ac:dyDescent="0.25">
      <c r="A163" s="271"/>
      <c r="B163" s="156"/>
      <c r="C163" s="156"/>
      <c r="D163" s="156"/>
      <c r="E163" s="156"/>
      <c r="F163" s="156"/>
      <c r="G163" s="156"/>
      <c r="H163" s="156"/>
      <c r="I163" s="156"/>
      <c r="J163" s="156"/>
      <c r="K163" s="156"/>
      <c r="L163" s="156"/>
      <c r="M163" s="156"/>
      <c r="N163" s="156"/>
      <c r="O163" s="156"/>
      <c r="P163" s="156"/>
      <c r="Q163" s="156"/>
      <c r="R163" s="156"/>
      <c r="S163" s="156"/>
      <c r="T163" s="156"/>
    </row>
    <row r="164" spans="1:20" ht="18" x14ac:dyDescent="0.25">
      <c r="A164" s="271"/>
      <c r="B164" s="156"/>
      <c r="C164" s="156"/>
      <c r="D164" s="156"/>
      <c r="E164" s="156"/>
      <c r="F164" s="156"/>
      <c r="G164" s="156"/>
      <c r="H164" s="156"/>
      <c r="I164" s="156"/>
      <c r="J164" s="156"/>
      <c r="K164" s="156"/>
      <c r="L164" s="156"/>
      <c r="M164" s="156"/>
      <c r="N164" s="156"/>
      <c r="O164" s="156"/>
      <c r="P164" s="156"/>
      <c r="Q164" s="156"/>
      <c r="R164" s="156"/>
      <c r="S164" s="156"/>
      <c r="T164" s="156"/>
    </row>
    <row r="165" spans="1:20" ht="18" x14ac:dyDescent="0.25">
      <c r="A165" s="271"/>
      <c r="B165" s="156"/>
      <c r="C165" s="156"/>
      <c r="D165" s="156"/>
      <c r="E165" s="156"/>
      <c r="F165" s="156"/>
      <c r="G165" s="156"/>
      <c r="H165" s="156"/>
      <c r="I165" s="156"/>
      <c r="J165" s="156"/>
      <c r="K165" s="156"/>
      <c r="L165" s="156"/>
      <c r="M165" s="156"/>
      <c r="N165" s="156"/>
      <c r="O165" s="156"/>
      <c r="P165" s="156"/>
      <c r="Q165" s="156"/>
      <c r="R165" s="156"/>
      <c r="S165" s="156"/>
      <c r="T165" s="156"/>
    </row>
    <row r="166" spans="1:20" ht="18" x14ac:dyDescent="0.25">
      <c r="A166" s="271"/>
      <c r="B166" s="156"/>
      <c r="C166" s="156"/>
      <c r="D166" s="156"/>
      <c r="E166" s="156"/>
      <c r="F166" s="156"/>
      <c r="G166" s="156"/>
      <c r="H166" s="156"/>
      <c r="I166" s="156"/>
      <c r="J166" s="156"/>
      <c r="K166" s="156"/>
      <c r="L166" s="156"/>
      <c r="M166" s="156"/>
      <c r="N166" s="156"/>
      <c r="O166" s="156"/>
      <c r="P166" s="156"/>
      <c r="Q166" s="156"/>
      <c r="R166" s="156"/>
      <c r="S166" s="156"/>
      <c r="T166" s="156"/>
    </row>
    <row r="167" spans="1:20" ht="18" x14ac:dyDescent="0.25">
      <c r="A167" s="271"/>
      <c r="B167" s="156"/>
      <c r="C167" s="156"/>
      <c r="D167" s="156"/>
      <c r="E167" s="156"/>
      <c r="F167" s="156"/>
      <c r="G167" s="156"/>
      <c r="H167" s="156"/>
      <c r="I167" s="156"/>
      <c r="J167" s="156"/>
      <c r="K167" s="156"/>
      <c r="L167" s="156"/>
      <c r="M167" s="156"/>
      <c r="N167" s="156"/>
      <c r="O167" s="156"/>
      <c r="P167" s="156"/>
      <c r="Q167" s="156"/>
      <c r="R167" s="156"/>
      <c r="S167" s="156"/>
      <c r="T167" s="156"/>
    </row>
    <row r="168" spans="1:20" ht="18" x14ac:dyDescent="0.25">
      <c r="A168" s="271"/>
      <c r="B168" s="156"/>
      <c r="C168" s="156"/>
      <c r="D168" s="156"/>
      <c r="E168" s="156"/>
      <c r="F168" s="156"/>
      <c r="G168" s="156"/>
      <c r="H168" s="156"/>
      <c r="I168" s="156"/>
      <c r="J168" s="156"/>
      <c r="K168" s="156"/>
      <c r="L168" s="156"/>
      <c r="M168" s="156"/>
      <c r="N168" s="156"/>
      <c r="O168" s="156"/>
      <c r="P168" s="156"/>
      <c r="Q168" s="156"/>
      <c r="R168" s="156"/>
      <c r="S168" s="156"/>
      <c r="T168" s="156"/>
    </row>
    <row r="169" spans="1:20" ht="18" x14ac:dyDescent="0.25">
      <c r="A169" s="271"/>
      <c r="B169" s="156"/>
      <c r="C169" s="156"/>
      <c r="D169" s="156"/>
      <c r="E169" s="156"/>
      <c r="F169" s="156"/>
      <c r="G169" s="156"/>
      <c r="H169" s="156"/>
      <c r="I169" s="156"/>
      <c r="J169" s="156"/>
      <c r="K169" s="156"/>
      <c r="L169" s="156"/>
      <c r="M169" s="156"/>
      <c r="N169" s="156"/>
      <c r="O169" s="156"/>
      <c r="P169" s="156"/>
      <c r="Q169" s="156"/>
      <c r="R169" s="156"/>
      <c r="S169" s="156"/>
      <c r="T169" s="156"/>
    </row>
    <row r="170" spans="1:20" ht="18" x14ac:dyDescent="0.25">
      <c r="A170" s="271"/>
      <c r="B170" s="156"/>
      <c r="C170" s="156"/>
      <c r="D170" s="156"/>
      <c r="E170" s="156"/>
      <c r="F170" s="156"/>
      <c r="G170" s="156"/>
      <c r="H170" s="156"/>
      <c r="I170" s="156"/>
      <c r="J170" s="156"/>
      <c r="K170" s="156"/>
      <c r="L170" s="156"/>
      <c r="M170" s="156"/>
      <c r="N170" s="156"/>
      <c r="O170" s="156"/>
      <c r="P170" s="156"/>
      <c r="Q170" s="156"/>
      <c r="R170" s="156"/>
      <c r="S170" s="156"/>
      <c r="T170" s="156"/>
    </row>
    <row r="171" spans="1:20" ht="18" x14ac:dyDescent="0.25">
      <c r="A171" s="271"/>
      <c r="B171" s="156"/>
      <c r="C171" s="156"/>
      <c r="D171" s="156"/>
      <c r="E171" s="156"/>
      <c r="F171" s="156"/>
      <c r="G171" s="156"/>
      <c r="H171" s="156"/>
      <c r="I171" s="156"/>
      <c r="J171" s="156"/>
      <c r="K171" s="156"/>
      <c r="L171" s="156"/>
      <c r="M171" s="156"/>
      <c r="N171" s="156"/>
      <c r="O171" s="156"/>
      <c r="P171" s="156"/>
      <c r="Q171" s="156"/>
      <c r="R171" s="156"/>
      <c r="S171" s="156"/>
      <c r="T171" s="156"/>
    </row>
    <row r="172" spans="1:20" ht="18" x14ac:dyDescent="0.25">
      <c r="A172" s="271"/>
      <c r="B172" s="156"/>
      <c r="C172" s="156"/>
      <c r="D172" s="156"/>
      <c r="E172" s="156"/>
      <c r="F172" s="156"/>
      <c r="G172" s="156"/>
      <c r="H172" s="156"/>
      <c r="I172" s="156"/>
      <c r="J172" s="156"/>
      <c r="K172" s="156"/>
      <c r="L172" s="156"/>
      <c r="M172" s="156"/>
      <c r="N172" s="156"/>
      <c r="O172" s="156"/>
      <c r="P172" s="156"/>
      <c r="Q172" s="156"/>
      <c r="R172" s="156"/>
      <c r="S172" s="156"/>
      <c r="T172" s="156"/>
    </row>
    <row r="173" spans="1:20" ht="18" x14ac:dyDescent="0.25">
      <c r="A173" s="271"/>
      <c r="B173" s="156"/>
      <c r="C173" s="156"/>
      <c r="D173" s="156"/>
      <c r="E173" s="156"/>
      <c r="F173" s="156"/>
      <c r="G173" s="156"/>
      <c r="H173" s="156"/>
      <c r="I173" s="156"/>
      <c r="J173" s="156"/>
      <c r="K173" s="156"/>
      <c r="L173" s="156"/>
      <c r="M173" s="156"/>
      <c r="N173" s="156"/>
      <c r="O173" s="156"/>
      <c r="P173" s="156"/>
      <c r="Q173" s="156"/>
      <c r="R173" s="156"/>
      <c r="S173" s="156"/>
      <c r="T173" s="156"/>
    </row>
    <row r="174" spans="1:20" ht="18" x14ac:dyDescent="0.25">
      <c r="A174" s="271"/>
      <c r="B174" s="156"/>
      <c r="C174" s="156"/>
      <c r="D174" s="156"/>
      <c r="E174" s="156"/>
      <c r="F174" s="156"/>
      <c r="G174" s="156"/>
      <c r="H174" s="156"/>
      <c r="I174" s="156"/>
      <c r="J174" s="156"/>
      <c r="K174" s="156"/>
      <c r="L174" s="156"/>
      <c r="M174" s="156"/>
      <c r="N174" s="156"/>
      <c r="O174" s="156"/>
      <c r="P174" s="156"/>
      <c r="Q174" s="156"/>
      <c r="R174" s="156"/>
      <c r="S174" s="156"/>
      <c r="T174" s="156"/>
    </row>
    <row r="175" spans="1:20" ht="18" x14ac:dyDescent="0.25">
      <c r="A175" s="271"/>
      <c r="B175" s="156"/>
      <c r="C175" s="156"/>
      <c r="D175" s="156"/>
      <c r="E175" s="156"/>
      <c r="F175" s="156"/>
      <c r="G175" s="156"/>
      <c r="H175" s="156"/>
      <c r="I175" s="156"/>
      <c r="J175" s="156"/>
      <c r="K175" s="156"/>
      <c r="L175" s="156"/>
      <c r="M175" s="156"/>
      <c r="N175" s="156"/>
      <c r="O175" s="156"/>
      <c r="P175" s="156"/>
      <c r="Q175" s="156"/>
      <c r="R175" s="156"/>
      <c r="S175" s="156"/>
      <c r="T175" s="156"/>
    </row>
    <row r="176" spans="1:20" ht="18" x14ac:dyDescent="0.25">
      <c r="A176" s="271"/>
      <c r="B176" s="156"/>
      <c r="C176" s="156"/>
      <c r="D176" s="156"/>
      <c r="E176" s="156"/>
      <c r="F176" s="156"/>
      <c r="G176" s="156"/>
      <c r="H176" s="156"/>
      <c r="I176" s="156"/>
      <c r="J176" s="156"/>
      <c r="K176" s="156"/>
      <c r="L176" s="156"/>
      <c r="M176" s="156"/>
      <c r="N176" s="156"/>
      <c r="O176" s="156"/>
      <c r="P176" s="156"/>
      <c r="Q176" s="156"/>
      <c r="R176" s="156"/>
      <c r="S176" s="156"/>
      <c r="T176" s="156"/>
    </row>
    <row r="177" spans="1:20" ht="18" x14ac:dyDescent="0.25">
      <c r="A177" s="271"/>
      <c r="B177" s="156"/>
      <c r="C177" s="156"/>
      <c r="D177" s="156"/>
      <c r="E177" s="156"/>
      <c r="F177" s="156"/>
      <c r="G177" s="156"/>
      <c r="H177" s="156"/>
      <c r="I177" s="156"/>
      <c r="J177" s="156"/>
      <c r="K177" s="156"/>
      <c r="L177" s="156"/>
      <c r="M177" s="156"/>
      <c r="N177" s="156"/>
      <c r="O177" s="156"/>
      <c r="P177" s="156"/>
      <c r="Q177" s="156"/>
      <c r="R177" s="156"/>
      <c r="S177" s="156"/>
      <c r="T177" s="156"/>
    </row>
    <row r="178" spans="1:20" ht="18" x14ac:dyDescent="0.25">
      <c r="A178" s="271"/>
      <c r="B178" s="156"/>
      <c r="C178" s="156"/>
      <c r="D178" s="156"/>
      <c r="E178" s="156"/>
      <c r="F178" s="156"/>
      <c r="G178" s="156"/>
      <c r="H178" s="156"/>
      <c r="I178" s="156"/>
      <c r="J178" s="156"/>
      <c r="K178" s="156"/>
      <c r="L178" s="156"/>
      <c r="M178" s="156"/>
      <c r="N178" s="156"/>
      <c r="O178" s="156"/>
      <c r="P178" s="156"/>
      <c r="Q178" s="156"/>
      <c r="R178" s="156"/>
      <c r="S178" s="156"/>
      <c r="T178" s="156"/>
    </row>
    <row r="179" spans="1:20" ht="18" x14ac:dyDescent="0.25">
      <c r="A179" s="271"/>
      <c r="B179" s="156"/>
      <c r="C179" s="156"/>
      <c r="D179" s="156"/>
      <c r="E179" s="156"/>
      <c r="F179" s="156"/>
      <c r="G179" s="156"/>
      <c r="H179" s="156"/>
      <c r="I179" s="156"/>
      <c r="J179" s="156"/>
      <c r="K179" s="156"/>
      <c r="L179" s="156"/>
      <c r="M179" s="156"/>
      <c r="N179" s="156"/>
      <c r="O179" s="156"/>
      <c r="P179" s="156"/>
      <c r="Q179" s="156"/>
      <c r="R179" s="156"/>
      <c r="S179" s="156"/>
      <c r="T179" s="156"/>
    </row>
    <row r="180" spans="1:20" ht="18" x14ac:dyDescent="0.25">
      <c r="A180" s="271"/>
      <c r="B180" s="156"/>
      <c r="C180" s="156"/>
      <c r="D180" s="156"/>
      <c r="E180" s="156"/>
      <c r="F180" s="156"/>
      <c r="G180" s="156"/>
      <c r="H180" s="156"/>
      <c r="I180" s="156"/>
      <c r="J180" s="156"/>
      <c r="K180" s="156"/>
      <c r="L180" s="156"/>
      <c r="M180" s="156"/>
      <c r="N180" s="156"/>
      <c r="O180" s="156"/>
      <c r="P180" s="156"/>
      <c r="Q180" s="156"/>
      <c r="R180" s="156"/>
      <c r="S180" s="156"/>
      <c r="T180" s="156"/>
    </row>
    <row r="181" spans="1:20" ht="18" x14ac:dyDescent="0.25">
      <c r="A181" s="271"/>
      <c r="B181" s="156"/>
      <c r="C181" s="156"/>
      <c r="D181" s="156"/>
      <c r="E181" s="156"/>
      <c r="F181" s="156"/>
      <c r="G181" s="156"/>
      <c r="H181" s="156"/>
      <c r="I181" s="156"/>
      <c r="J181" s="156"/>
      <c r="K181" s="156"/>
      <c r="L181" s="156"/>
      <c r="M181" s="156"/>
      <c r="N181" s="156"/>
      <c r="O181" s="156"/>
      <c r="P181" s="156"/>
      <c r="Q181" s="156"/>
      <c r="R181" s="156"/>
      <c r="S181" s="156"/>
      <c r="T181" s="156"/>
    </row>
    <row r="182" spans="1:20" ht="18" x14ac:dyDescent="0.25">
      <c r="A182" s="271"/>
      <c r="B182" s="156"/>
      <c r="C182" s="156"/>
      <c r="D182" s="156"/>
      <c r="E182" s="156"/>
      <c r="F182" s="156"/>
      <c r="G182" s="156"/>
      <c r="H182" s="156"/>
      <c r="I182" s="156"/>
      <c r="J182" s="156"/>
      <c r="K182" s="156"/>
      <c r="L182" s="156"/>
      <c r="M182" s="156"/>
      <c r="N182" s="156"/>
      <c r="O182" s="156"/>
      <c r="P182" s="156"/>
      <c r="Q182" s="156"/>
      <c r="R182" s="156"/>
      <c r="S182" s="156"/>
      <c r="T182" s="156"/>
    </row>
    <row r="183" spans="1:20" ht="18" x14ac:dyDescent="0.25">
      <c r="A183" s="271"/>
      <c r="B183" s="156"/>
      <c r="C183" s="156"/>
      <c r="D183" s="156"/>
      <c r="E183" s="156"/>
      <c r="F183" s="156"/>
      <c r="G183" s="156"/>
      <c r="H183" s="156"/>
      <c r="I183" s="156"/>
      <c r="J183" s="156"/>
      <c r="K183" s="156"/>
      <c r="L183" s="156"/>
      <c r="M183" s="156"/>
      <c r="N183" s="156"/>
      <c r="O183" s="156"/>
      <c r="P183" s="156"/>
      <c r="Q183" s="156"/>
      <c r="R183" s="156"/>
      <c r="S183" s="156"/>
      <c r="T183" s="156"/>
    </row>
    <row r="184" spans="1:20" ht="18" x14ac:dyDescent="0.25">
      <c r="A184" s="271"/>
      <c r="B184" s="156"/>
      <c r="C184" s="156"/>
      <c r="D184" s="156"/>
      <c r="E184" s="156"/>
      <c r="F184" s="156"/>
      <c r="G184" s="156"/>
      <c r="H184" s="156"/>
      <c r="I184" s="156"/>
      <c r="J184" s="156"/>
      <c r="K184" s="156"/>
      <c r="L184" s="156"/>
      <c r="M184" s="156"/>
      <c r="N184" s="156"/>
      <c r="O184" s="156"/>
      <c r="P184" s="156"/>
      <c r="Q184" s="156"/>
      <c r="R184" s="156"/>
      <c r="S184" s="156"/>
      <c r="T184" s="156"/>
    </row>
    <row r="185" spans="1:20" ht="18" x14ac:dyDescent="0.25">
      <c r="A185" s="271"/>
      <c r="B185" s="156"/>
      <c r="C185" s="156"/>
      <c r="D185" s="156"/>
      <c r="E185" s="156"/>
      <c r="F185" s="156"/>
      <c r="G185" s="156"/>
      <c r="H185" s="156"/>
      <c r="I185" s="156"/>
      <c r="J185" s="156"/>
      <c r="K185" s="156"/>
      <c r="L185" s="156"/>
      <c r="M185" s="156"/>
      <c r="N185" s="156"/>
      <c r="O185" s="156"/>
      <c r="P185" s="156"/>
      <c r="Q185" s="156"/>
      <c r="R185" s="156"/>
      <c r="S185" s="156"/>
      <c r="T185" s="156"/>
    </row>
    <row r="186" spans="1:20" ht="18" x14ac:dyDescent="0.25">
      <c r="A186" s="271"/>
      <c r="B186" s="156"/>
      <c r="C186" s="156"/>
      <c r="D186" s="156"/>
      <c r="E186" s="156"/>
      <c r="F186" s="156"/>
      <c r="G186" s="156"/>
      <c r="H186" s="156"/>
      <c r="I186" s="156"/>
      <c r="J186" s="156"/>
      <c r="K186" s="156"/>
      <c r="L186" s="156"/>
      <c r="M186" s="156"/>
      <c r="N186" s="156"/>
      <c r="O186" s="156"/>
      <c r="P186" s="156"/>
      <c r="Q186" s="156"/>
      <c r="R186" s="156"/>
      <c r="S186" s="156"/>
      <c r="T186" s="156"/>
    </row>
    <row r="187" spans="1:20" ht="18" x14ac:dyDescent="0.25">
      <c r="A187" s="271"/>
      <c r="B187" s="156"/>
      <c r="C187" s="156"/>
      <c r="D187" s="156"/>
      <c r="E187" s="156"/>
      <c r="F187" s="156"/>
      <c r="G187" s="156"/>
      <c r="H187" s="156"/>
      <c r="I187" s="156"/>
      <c r="J187" s="156"/>
      <c r="K187" s="156"/>
      <c r="L187" s="156"/>
      <c r="M187" s="156"/>
      <c r="N187" s="156"/>
      <c r="O187" s="156"/>
      <c r="P187" s="156"/>
      <c r="Q187" s="156"/>
      <c r="R187" s="156"/>
      <c r="S187" s="156"/>
      <c r="T187" s="156"/>
    </row>
    <row r="188" spans="1:20" ht="18" x14ac:dyDescent="0.25">
      <c r="A188" s="271"/>
      <c r="B188" s="156"/>
      <c r="C188" s="156"/>
      <c r="D188" s="156"/>
      <c r="E188" s="156"/>
      <c r="F188" s="156"/>
      <c r="G188" s="156"/>
      <c r="H188" s="156"/>
      <c r="I188" s="156"/>
      <c r="J188" s="156"/>
      <c r="K188" s="156"/>
      <c r="L188" s="156"/>
      <c r="M188" s="156"/>
      <c r="N188" s="156"/>
      <c r="O188" s="156"/>
      <c r="P188" s="156"/>
      <c r="Q188" s="156"/>
      <c r="R188" s="156"/>
      <c r="S188" s="156"/>
      <c r="T188" s="156"/>
    </row>
    <row r="189" spans="1:20" ht="18" x14ac:dyDescent="0.25">
      <c r="A189" s="271"/>
      <c r="B189" s="156"/>
      <c r="C189" s="156"/>
      <c r="D189" s="156"/>
      <c r="E189" s="156"/>
      <c r="F189" s="156"/>
      <c r="G189" s="156"/>
      <c r="H189" s="156"/>
      <c r="I189" s="156"/>
      <c r="J189" s="156"/>
      <c r="K189" s="156"/>
      <c r="L189" s="156"/>
      <c r="M189" s="156"/>
      <c r="N189" s="156"/>
      <c r="O189" s="156"/>
      <c r="P189" s="156"/>
      <c r="Q189" s="156"/>
      <c r="R189" s="156"/>
      <c r="S189" s="156"/>
      <c r="T189" s="156"/>
    </row>
    <row r="190" spans="1:20" ht="18" x14ac:dyDescent="0.25">
      <c r="A190" s="271"/>
      <c r="B190" s="156"/>
      <c r="C190" s="156"/>
      <c r="D190" s="156"/>
      <c r="E190" s="156"/>
      <c r="F190" s="156"/>
      <c r="G190" s="156"/>
      <c r="H190" s="156"/>
      <c r="I190" s="156"/>
      <c r="J190" s="156"/>
      <c r="K190" s="156"/>
      <c r="L190" s="156"/>
      <c r="M190" s="156"/>
      <c r="N190" s="156"/>
      <c r="O190" s="156"/>
      <c r="P190" s="156"/>
      <c r="Q190" s="156"/>
      <c r="R190" s="156"/>
      <c r="S190" s="156"/>
      <c r="T190" s="156"/>
    </row>
    <row r="191" spans="1:20" ht="18" x14ac:dyDescent="0.25">
      <c r="A191" s="271"/>
      <c r="B191" s="156"/>
      <c r="C191" s="156"/>
      <c r="D191" s="156"/>
      <c r="E191" s="156"/>
      <c r="F191" s="156"/>
      <c r="G191" s="156"/>
      <c r="H191" s="156"/>
      <c r="I191" s="156"/>
      <c r="J191" s="156"/>
      <c r="K191" s="156"/>
      <c r="L191" s="156"/>
      <c r="M191" s="156"/>
      <c r="N191" s="156"/>
      <c r="O191" s="156"/>
      <c r="P191" s="156"/>
      <c r="Q191" s="156"/>
      <c r="R191" s="156"/>
      <c r="S191" s="156"/>
      <c r="T191" s="156"/>
    </row>
    <row r="192" spans="1:20" ht="18" x14ac:dyDescent="0.25">
      <c r="A192" s="271"/>
      <c r="B192" s="156"/>
      <c r="C192" s="156"/>
      <c r="D192" s="156"/>
      <c r="E192" s="156"/>
      <c r="F192" s="156"/>
      <c r="G192" s="156"/>
      <c r="H192" s="156"/>
      <c r="I192" s="156"/>
      <c r="J192" s="156"/>
      <c r="K192" s="156"/>
      <c r="L192" s="156"/>
      <c r="M192" s="156"/>
      <c r="N192" s="156"/>
      <c r="O192" s="156"/>
      <c r="P192" s="156"/>
      <c r="Q192" s="156"/>
      <c r="R192" s="156"/>
      <c r="S192" s="156"/>
      <c r="T192" s="156"/>
    </row>
    <row r="193" spans="1:20" ht="18" x14ac:dyDescent="0.25">
      <c r="A193" s="271"/>
      <c r="B193" s="156"/>
      <c r="C193" s="156"/>
      <c r="D193" s="156"/>
      <c r="E193" s="156"/>
      <c r="F193" s="156"/>
      <c r="G193" s="156"/>
      <c r="H193" s="156"/>
      <c r="I193" s="156"/>
      <c r="J193" s="156"/>
      <c r="K193" s="156"/>
      <c r="L193" s="156"/>
      <c r="M193" s="156"/>
      <c r="N193" s="156"/>
      <c r="O193" s="156"/>
      <c r="P193" s="156"/>
      <c r="Q193" s="156"/>
      <c r="R193" s="156"/>
      <c r="S193" s="156"/>
      <c r="T193" s="156"/>
    </row>
    <row r="194" spans="1:20" ht="18" x14ac:dyDescent="0.25">
      <c r="A194" s="271"/>
      <c r="B194" s="156"/>
      <c r="C194" s="156"/>
      <c r="D194" s="156"/>
      <c r="E194" s="156"/>
      <c r="F194" s="156"/>
      <c r="G194" s="156"/>
      <c r="H194" s="156"/>
      <c r="I194" s="156"/>
      <c r="J194" s="156"/>
      <c r="K194" s="156"/>
      <c r="L194" s="156"/>
      <c r="M194" s="156"/>
      <c r="N194" s="156"/>
      <c r="O194" s="156"/>
      <c r="P194" s="156"/>
      <c r="Q194" s="156"/>
      <c r="R194" s="156"/>
      <c r="S194" s="156"/>
      <c r="T194" s="156"/>
    </row>
    <row r="195" spans="1:20" ht="18" x14ac:dyDescent="0.25">
      <c r="A195" s="271"/>
      <c r="B195" s="156"/>
      <c r="C195" s="156"/>
      <c r="D195" s="156"/>
      <c r="E195" s="156"/>
      <c r="F195" s="156"/>
      <c r="G195" s="156"/>
      <c r="H195" s="156"/>
      <c r="I195" s="156"/>
      <c r="J195" s="156"/>
      <c r="K195" s="156"/>
      <c r="L195" s="156"/>
      <c r="M195" s="156"/>
      <c r="N195" s="156"/>
      <c r="O195" s="156"/>
      <c r="P195" s="156"/>
      <c r="Q195" s="156"/>
      <c r="R195" s="156"/>
      <c r="S195" s="156"/>
      <c r="T195" s="156"/>
    </row>
    <row r="196" spans="1:20" ht="18" x14ac:dyDescent="0.25">
      <c r="A196" s="271"/>
      <c r="B196" s="156"/>
      <c r="C196" s="156"/>
      <c r="D196" s="156"/>
      <c r="E196" s="156"/>
      <c r="F196" s="156"/>
      <c r="G196" s="156"/>
      <c r="H196" s="156"/>
      <c r="I196" s="156"/>
      <c r="J196" s="156"/>
      <c r="K196" s="156"/>
      <c r="L196" s="156"/>
      <c r="M196" s="156"/>
      <c r="N196" s="156"/>
      <c r="O196" s="156"/>
      <c r="P196" s="156"/>
      <c r="Q196" s="156"/>
      <c r="R196" s="156"/>
      <c r="S196" s="156"/>
      <c r="T196" s="156"/>
    </row>
    <row r="197" spans="1:20" ht="18" x14ac:dyDescent="0.25">
      <c r="A197" s="271"/>
      <c r="B197" s="156"/>
      <c r="C197" s="156"/>
      <c r="D197" s="156"/>
      <c r="E197" s="156"/>
      <c r="F197" s="156"/>
      <c r="G197" s="156"/>
      <c r="H197" s="156"/>
      <c r="I197" s="156"/>
      <c r="J197" s="156"/>
      <c r="K197" s="156"/>
      <c r="L197" s="156"/>
      <c r="M197" s="156"/>
      <c r="N197" s="156"/>
      <c r="O197" s="156"/>
      <c r="P197" s="156"/>
      <c r="Q197" s="156"/>
      <c r="R197" s="156"/>
      <c r="S197" s="156"/>
      <c r="T197" s="156"/>
    </row>
    <row r="198" spans="1:20" ht="18" x14ac:dyDescent="0.25">
      <c r="A198" s="271"/>
      <c r="B198" s="156"/>
      <c r="C198" s="156"/>
      <c r="D198" s="156"/>
      <c r="E198" s="156"/>
      <c r="F198" s="156"/>
      <c r="G198" s="156"/>
      <c r="H198" s="156"/>
      <c r="I198" s="156"/>
      <c r="J198" s="156"/>
      <c r="K198" s="156"/>
      <c r="L198" s="156"/>
      <c r="M198" s="156"/>
      <c r="N198" s="156"/>
      <c r="O198" s="156"/>
      <c r="P198" s="156"/>
      <c r="Q198" s="156"/>
      <c r="R198" s="156"/>
      <c r="S198" s="156"/>
      <c r="T198" s="156"/>
    </row>
    <row r="199" spans="1:20" ht="18" x14ac:dyDescent="0.25">
      <c r="A199" s="271"/>
      <c r="B199" s="156"/>
      <c r="C199" s="156"/>
      <c r="D199" s="156"/>
      <c r="E199" s="156"/>
      <c r="F199" s="156"/>
      <c r="G199" s="156"/>
      <c r="H199" s="156"/>
      <c r="I199" s="156"/>
      <c r="J199" s="156"/>
      <c r="K199" s="156"/>
      <c r="L199" s="156"/>
      <c r="M199" s="156"/>
      <c r="N199" s="156"/>
      <c r="O199" s="156"/>
      <c r="P199" s="156"/>
      <c r="Q199" s="156"/>
      <c r="R199" s="156"/>
      <c r="S199" s="156"/>
      <c r="T199" s="156"/>
    </row>
    <row r="200" spans="1:20" ht="18" x14ac:dyDescent="0.25">
      <c r="A200" s="271"/>
      <c r="B200" s="156"/>
      <c r="C200" s="156"/>
      <c r="D200" s="156"/>
      <c r="E200" s="156"/>
      <c r="F200" s="156"/>
      <c r="G200" s="156"/>
      <c r="H200" s="156"/>
      <c r="I200" s="156"/>
      <c r="J200" s="156"/>
      <c r="K200" s="156"/>
      <c r="L200" s="156"/>
      <c r="M200" s="156"/>
      <c r="N200" s="156"/>
      <c r="O200" s="156"/>
      <c r="P200" s="156"/>
      <c r="Q200" s="156"/>
      <c r="R200" s="156"/>
      <c r="S200" s="156"/>
      <c r="T200" s="156"/>
    </row>
    <row r="201" spans="1:20" ht="18" x14ac:dyDescent="0.25">
      <c r="A201" s="271"/>
      <c r="B201" s="156"/>
      <c r="C201" s="156"/>
      <c r="D201" s="156"/>
      <c r="E201" s="156"/>
      <c r="F201" s="156"/>
      <c r="G201" s="156"/>
      <c r="H201" s="156"/>
      <c r="I201" s="156"/>
      <c r="J201" s="156"/>
      <c r="K201" s="156"/>
      <c r="L201" s="156"/>
      <c r="M201" s="156"/>
      <c r="N201" s="156"/>
      <c r="O201" s="156"/>
      <c r="P201" s="156"/>
      <c r="Q201" s="156"/>
      <c r="R201" s="156"/>
      <c r="S201" s="156"/>
      <c r="T201" s="156"/>
    </row>
    <row r="202" spans="1:20" ht="18" x14ac:dyDescent="0.25">
      <c r="A202" s="271"/>
      <c r="B202" s="156"/>
      <c r="C202" s="156"/>
      <c r="D202" s="156"/>
      <c r="E202" s="156"/>
      <c r="F202" s="156"/>
      <c r="G202" s="156"/>
      <c r="H202" s="156"/>
      <c r="I202" s="156"/>
      <c r="J202" s="156"/>
      <c r="K202" s="156"/>
      <c r="L202" s="156"/>
      <c r="M202" s="156"/>
      <c r="N202" s="156"/>
      <c r="O202" s="156"/>
      <c r="P202" s="156"/>
      <c r="Q202" s="156"/>
      <c r="R202" s="156"/>
      <c r="S202" s="156"/>
      <c r="T202" s="156"/>
    </row>
    <row r="203" spans="1:20" ht="18" x14ac:dyDescent="0.25">
      <c r="A203" s="271"/>
      <c r="B203" s="156"/>
      <c r="C203" s="156"/>
      <c r="D203" s="156"/>
      <c r="E203" s="156"/>
      <c r="F203" s="156"/>
      <c r="G203" s="156"/>
      <c r="H203" s="156"/>
      <c r="I203" s="156"/>
      <c r="J203" s="156"/>
      <c r="K203" s="156"/>
      <c r="L203" s="156"/>
      <c r="M203" s="156"/>
      <c r="N203" s="156"/>
      <c r="O203" s="156"/>
      <c r="P203" s="156"/>
      <c r="Q203" s="156"/>
      <c r="R203" s="156"/>
      <c r="S203" s="156"/>
      <c r="T203" s="156"/>
    </row>
    <row r="204" spans="1:20" ht="18" x14ac:dyDescent="0.25">
      <c r="A204" s="271"/>
      <c r="B204" s="156"/>
      <c r="C204" s="156"/>
      <c r="D204" s="156"/>
      <c r="E204" s="156"/>
      <c r="F204" s="156"/>
      <c r="G204" s="156"/>
      <c r="H204" s="156"/>
      <c r="I204" s="156"/>
      <c r="J204" s="156"/>
      <c r="K204" s="156"/>
      <c r="L204" s="156"/>
      <c r="M204" s="156"/>
      <c r="N204" s="156"/>
      <c r="O204" s="156"/>
      <c r="P204" s="156"/>
      <c r="Q204" s="156"/>
      <c r="R204" s="156"/>
      <c r="S204" s="156"/>
      <c r="T204" s="156"/>
    </row>
    <row r="205" spans="1:20" ht="18" x14ac:dyDescent="0.25">
      <c r="A205" s="271"/>
      <c r="B205" s="156"/>
      <c r="C205" s="156"/>
      <c r="D205" s="156"/>
      <c r="E205" s="156"/>
      <c r="F205" s="156"/>
      <c r="G205" s="156"/>
      <c r="H205" s="156"/>
      <c r="I205" s="156"/>
      <c r="J205" s="156"/>
      <c r="K205" s="156"/>
      <c r="L205" s="156"/>
      <c r="M205" s="156"/>
      <c r="N205" s="156"/>
      <c r="O205" s="156"/>
      <c r="P205" s="156"/>
      <c r="Q205" s="156"/>
      <c r="R205" s="156"/>
      <c r="S205" s="156"/>
      <c r="T205" s="156"/>
    </row>
    <row r="206" spans="1:20" ht="18" x14ac:dyDescent="0.25">
      <c r="A206" s="271"/>
      <c r="B206" s="156"/>
      <c r="C206" s="156"/>
      <c r="D206" s="156"/>
      <c r="E206" s="156"/>
      <c r="F206" s="156"/>
      <c r="G206" s="156"/>
      <c r="H206" s="156"/>
      <c r="I206" s="156"/>
      <c r="J206" s="156"/>
      <c r="K206" s="156"/>
      <c r="L206" s="156"/>
      <c r="M206" s="156"/>
      <c r="N206" s="156"/>
      <c r="O206" s="156"/>
      <c r="P206" s="156"/>
      <c r="Q206" s="156"/>
      <c r="R206" s="156"/>
      <c r="S206" s="156"/>
      <c r="T206" s="156"/>
    </row>
    <row r="207" spans="1:20" ht="18" x14ac:dyDescent="0.25">
      <c r="A207" s="271"/>
      <c r="B207" s="156"/>
      <c r="C207" s="156"/>
      <c r="D207" s="156"/>
      <c r="E207" s="156"/>
      <c r="F207" s="156"/>
      <c r="G207" s="156"/>
      <c r="H207" s="156"/>
      <c r="I207" s="156"/>
      <c r="J207" s="156"/>
      <c r="K207" s="156"/>
      <c r="L207" s="156"/>
      <c r="M207" s="156"/>
      <c r="N207" s="156"/>
      <c r="O207" s="156"/>
      <c r="P207" s="156"/>
      <c r="Q207" s="156"/>
      <c r="R207" s="156"/>
      <c r="S207" s="156"/>
      <c r="T207" s="156"/>
    </row>
    <row r="208" spans="1:20" ht="18" x14ac:dyDescent="0.25">
      <c r="A208" s="271"/>
      <c r="B208" s="156"/>
      <c r="C208" s="156"/>
      <c r="D208" s="156"/>
      <c r="E208" s="156"/>
      <c r="F208" s="156"/>
      <c r="G208" s="156"/>
      <c r="H208" s="156"/>
      <c r="I208" s="156"/>
      <c r="J208" s="156"/>
      <c r="K208" s="156"/>
      <c r="L208" s="156"/>
      <c r="M208" s="156"/>
      <c r="N208" s="156"/>
      <c r="O208" s="156"/>
      <c r="P208" s="156"/>
      <c r="Q208" s="156"/>
      <c r="R208" s="156"/>
      <c r="S208" s="156"/>
      <c r="T208" s="156"/>
    </row>
    <row r="209" spans="1:20" ht="18" x14ac:dyDescent="0.25">
      <c r="A209" s="271"/>
      <c r="B209" s="156"/>
      <c r="C209" s="156"/>
      <c r="D209" s="156"/>
      <c r="E209" s="156"/>
      <c r="F209" s="156"/>
      <c r="G209" s="156"/>
      <c r="H209" s="156"/>
      <c r="I209" s="156"/>
      <c r="J209" s="156"/>
      <c r="K209" s="156"/>
      <c r="L209" s="156"/>
      <c r="M209" s="156"/>
      <c r="N209" s="156"/>
      <c r="O209" s="156"/>
      <c r="P209" s="156"/>
      <c r="Q209" s="156"/>
      <c r="R209" s="156"/>
      <c r="S209" s="156"/>
      <c r="T209" s="156"/>
    </row>
    <row r="210" spans="1:20" ht="18" x14ac:dyDescent="0.25">
      <c r="A210" s="271"/>
      <c r="B210" s="156"/>
      <c r="C210" s="156"/>
      <c r="D210" s="156"/>
      <c r="E210" s="156"/>
      <c r="F210" s="156"/>
      <c r="G210" s="156"/>
      <c r="H210" s="156"/>
      <c r="I210" s="156"/>
      <c r="J210" s="156"/>
      <c r="K210" s="156"/>
      <c r="L210" s="156"/>
      <c r="M210" s="156"/>
      <c r="N210" s="156"/>
      <c r="O210" s="156"/>
      <c r="P210" s="156"/>
      <c r="Q210" s="156"/>
      <c r="R210" s="156"/>
      <c r="S210" s="156"/>
      <c r="T210" s="156"/>
    </row>
    <row r="211" spans="1:20" ht="18" x14ac:dyDescent="0.25">
      <c r="A211" s="271"/>
      <c r="B211" s="156"/>
      <c r="C211" s="156"/>
      <c r="D211" s="156"/>
      <c r="E211" s="156"/>
      <c r="F211" s="156"/>
      <c r="G211" s="156"/>
      <c r="H211" s="156"/>
      <c r="I211" s="156"/>
      <c r="J211" s="156"/>
      <c r="K211" s="156"/>
      <c r="L211" s="156"/>
      <c r="M211" s="156"/>
      <c r="N211" s="156"/>
      <c r="O211" s="156"/>
      <c r="P211" s="156"/>
      <c r="Q211" s="156"/>
      <c r="R211" s="156"/>
      <c r="S211" s="156"/>
      <c r="T211" s="156"/>
    </row>
    <row r="212" spans="1:20" ht="18" x14ac:dyDescent="0.25">
      <c r="A212" s="271"/>
      <c r="B212" s="156"/>
      <c r="C212" s="156"/>
      <c r="D212" s="156"/>
      <c r="E212" s="156"/>
      <c r="F212" s="156"/>
      <c r="G212" s="156"/>
      <c r="H212" s="156"/>
      <c r="I212" s="156"/>
      <c r="J212" s="156"/>
      <c r="K212" s="156"/>
      <c r="L212" s="156"/>
      <c r="M212" s="156"/>
      <c r="N212" s="156"/>
      <c r="O212" s="156"/>
      <c r="P212" s="156"/>
      <c r="Q212" s="156"/>
      <c r="R212" s="156"/>
      <c r="S212" s="156"/>
      <c r="T212" s="156"/>
    </row>
    <row r="213" spans="1:20" ht="18" x14ac:dyDescent="0.25">
      <c r="A213" s="271"/>
      <c r="B213" s="156"/>
      <c r="C213" s="156"/>
      <c r="D213" s="156"/>
      <c r="E213" s="156"/>
      <c r="F213" s="156"/>
      <c r="G213" s="156"/>
      <c r="H213" s="156"/>
      <c r="I213" s="156"/>
      <c r="J213" s="156"/>
      <c r="K213" s="156"/>
      <c r="L213" s="156"/>
      <c r="M213" s="156"/>
      <c r="N213" s="156"/>
      <c r="O213" s="156"/>
      <c r="P213" s="156"/>
      <c r="Q213" s="156"/>
      <c r="R213" s="156"/>
      <c r="S213" s="156"/>
      <c r="T213" s="156"/>
    </row>
    <row r="214" spans="1:20" ht="18" x14ac:dyDescent="0.25">
      <c r="A214" s="271"/>
      <c r="B214" s="156"/>
      <c r="C214" s="156"/>
      <c r="D214" s="156"/>
      <c r="E214" s="156"/>
      <c r="F214" s="156"/>
      <c r="G214" s="156"/>
      <c r="H214" s="156"/>
      <c r="I214" s="156"/>
      <c r="J214" s="156"/>
      <c r="K214" s="156"/>
      <c r="L214" s="156"/>
      <c r="M214" s="156"/>
      <c r="N214" s="156"/>
      <c r="O214" s="156"/>
      <c r="P214" s="156"/>
      <c r="Q214" s="156"/>
      <c r="R214" s="156"/>
      <c r="S214" s="156"/>
      <c r="T214" s="156"/>
    </row>
    <row r="215" spans="1:20" ht="18" x14ac:dyDescent="0.25">
      <c r="A215" s="271"/>
      <c r="B215" s="156"/>
      <c r="C215" s="156"/>
      <c r="D215" s="156"/>
      <c r="E215" s="156"/>
      <c r="F215" s="156"/>
      <c r="G215" s="156"/>
      <c r="H215" s="156"/>
      <c r="I215" s="156"/>
      <c r="J215" s="156"/>
      <c r="K215" s="156"/>
      <c r="L215" s="156"/>
      <c r="M215" s="156"/>
      <c r="N215" s="156"/>
      <c r="O215" s="156"/>
      <c r="P215" s="156"/>
      <c r="Q215" s="156"/>
      <c r="R215" s="156"/>
      <c r="S215" s="156"/>
      <c r="T215" s="156"/>
    </row>
    <row r="216" spans="1:20" ht="18" x14ac:dyDescent="0.25">
      <c r="A216" s="271"/>
      <c r="B216" s="156"/>
      <c r="C216" s="156"/>
      <c r="D216" s="156"/>
      <c r="E216" s="156"/>
      <c r="F216" s="156"/>
      <c r="G216" s="156"/>
      <c r="H216" s="156"/>
      <c r="I216" s="156"/>
      <c r="J216" s="156"/>
      <c r="K216" s="156"/>
      <c r="L216" s="156"/>
      <c r="M216" s="156"/>
      <c r="N216" s="156"/>
      <c r="O216" s="156"/>
      <c r="P216" s="156"/>
      <c r="Q216" s="156"/>
      <c r="R216" s="156"/>
      <c r="S216" s="156"/>
      <c r="T216" s="156"/>
    </row>
    <row r="217" spans="1:20" ht="18" x14ac:dyDescent="0.25">
      <c r="A217" s="271"/>
      <c r="B217" s="156"/>
      <c r="C217" s="156"/>
      <c r="D217" s="156"/>
      <c r="E217" s="156"/>
      <c r="F217" s="156"/>
      <c r="G217" s="156"/>
      <c r="H217" s="156"/>
      <c r="I217" s="156"/>
      <c r="J217" s="156"/>
      <c r="K217" s="156"/>
      <c r="L217" s="156"/>
      <c r="M217" s="156"/>
      <c r="N217" s="156"/>
      <c r="O217" s="156"/>
      <c r="P217" s="156"/>
      <c r="Q217" s="156"/>
      <c r="R217" s="156"/>
      <c r="S217" s="156"/>
      <c r="T217" s="156"/>
    </row>
    <row r="218" spans="1:20" ht="18" x14ac:dyDescent="0.25">
      <c r="A218" s="271"/>
      <c r="B218" s="156"/>
      <c r="C218" s="156"/>
      <c r="D218" s="156"/>
      <c r="E218" s="156"/>
      <c r="F218" s="156"/>
      <c r="G218" s="156"/>
      <c r="H218" s="156"/>
      <c r="I218" s="156"/>
      <c r="J218" s="156"/>
      <c r="K218" s="156"/>
      <c r="L218" s="156"/>
      <c r="M218" s="156"/>
      <c r="N218" s="156"/>
      <c r="O218" s="156"/>
      <c r="P218" s="156"/>
      <c r="Q218" s="156"/>
      <c r="R218" s="156"/>
      <c r="S218" s="156"/>
      <c r="T218" s="156"/>
    </row>
    <row r="219" spans="1:20" ht="18" x14ac:dyDescent="0.25">
      <c r="A219" s="271"/>
      <c r="B219" s="156"/>
      <c r="C219" s="156"/>
      <c r="D219" s="156"/>
      <c r="E219" s="156"/>
      <c r="F219" s="156"/>
      <c r="G219" s="156"/>
      <c r="H219" s="156"/>
      <c r="I219" s="156"/>
      <c r="J219" s="156"/>
      <c r="K219" s="156"/>
      <c r="L219" s="156"/>
      <c r="M219" s="156"/>
      <c r="N219" s="156"/>
      <c r="O219" s="156"/>
      <c r="P219" s="156"/>
      <c r="Q219" s="156"/>
      <c r="R219" s="156"/>
      <c r="S219" s="156"/>
      <c r="T219" s="156"/>
    </row>
    <row r="220" spans="1:20" ht="18" x14ac:dyDescent="0.25">
      <c r="A220" s="271"/>
      <c r="B220" s="156"/>
      <c r="C220" s="156"/>
      <c r="D220" s="156"/>
      <c r="E220" s="156"/>
      <c r="F220" s="156"/>
      <c r="G220" s="156"/>
      <c r="H220" s="156"/>
      <c r="I220" s="156"/>
      <c r="J220" s="156"/>
      <c r="K220" s="156"/>
      <c r="L220" s="156"/>
      <c r="M220" s="156"/>
      <c r="N220" s="156"/>
      <c r="O220" s="156"/>
      <c r="P220" s="156"/>
      <c r="Q220" s="156"/>
      <c r="R220" s="156"/>
      <c r="S220" s="156"/>
      <c r="T220" s="156"/>
    </row>
    <row r="221" spans="1:20" ht="18" x14ac:dyDescent="0.25">
      <c r="A221" s="271"/>
      <c r="B221" s="156"/>
      <c r="C221" s="156"/>
      <c r="D221" s="156"/>
      <c r="E221" s="156"/>
      <c r="F221" s="156"/>
      <c r="G221" s="156"/>
      <c r="H221" s="156"/>
      <c r="I221" s="156"/>
      <c r="J221" s="156"/>
      <c r="K221" s="156"/>
      <c r="L221" s="156"/>
      <c r="M221" s="156"/>
      <c r="N221" s="156"/>
      <c r="O221" s="156"/>
      <c r="P221" s="156"/>
      <c r="Q221" s="156"/>
      <c r="R221" s="156"/>
      <c r="S221" s="156"/>
      <c r="T221" s="156"/>
    </row>
    <row r="222" spans="1:20" ht="18" x14ac:dyDescent="0.25">
      <c r="A222" s="271"/>
      <c r="B222" s="156"/>
      <c r="C222" s="156"/>
      <c r="D222" s="156"/>
      <c r="E222" s="156"/>
      <c r="F222" s="156"/>
      <c r="G222" s="156"/>
      <c r="H222" s="156"/>
      <c r="I222" s="156"/>
      <c r="J222" s="156"/>
      <c r="K222" s="156"/>
      <c r="L222" s="156"/>
      <c r="M222" s="156"/>
      <c r="N222" s="156"/>
      <c r="O222" s="156"/>
      <c r="P222" s="156"/>
      <c r="Q222" s="156"/>
      <c r="R222" s="156"/>
      <c r="S222" s="156"/>
      <c r="T222" s="156"/>
    </row>
    <row r="223" spans="1:20" ht="18" x14ac:dyDescent="0.25">
      <c r="A223" s="271"/>
      <c r="B223" s="156"/>
      <c r="C223" s="156"/>
      <c r="D223" s="156"/>
      <c r="E223" s="156"/>
      <c r="F223" s="156"/>
      <c r="G223" s="156"/>
      <c r="H223" s="156"/>
      <c r="I223" s="156"/>
      <c r="J223" s="156"/>
      <c r="K223" s="156"/>
      <c r="L223" s="156"/>
      <c r="M223" s="156"/>
      <c r="N223" s="156"/>
      <c r="O223" s="156"/>
      <c r="P223" s="156"/>
      <c r="Q223" s="156"/>
      <c r="R223" s="156"/>
      <c r="S223" s="156"/>
      <c r="T223" s="156"/>
    </row>
    <row r="224" spans="1:20" ht="18" x14ac:dyDescent="0.25">
      <c r="A224" s="271"/>
      <c r="B224" s="156"/>
      <c r="C224" s="156"/>
      <c r="D224" s="156"/>
      <c r="E224" s="156"/>
      <c r="F224" s="156"/>
      <c r="G224" s="156"/>
      <c r="H224" s="156"/>
      <c r="I224" s="156"/>
      <c r="J224" s="156"/>
      <c r="K224" s="156"/>
      <c r="L224" s="156"/>
      <c r="M224" s="156"/>
      <c r="N224" s="156"/>
      <c r="O224" s="156"/>
      <c r="P224" s="156"/>
      <c r="Q224" s="156"/>
      <c r="R224" s="156"/>
      <c r="S224" s="156"/>
      <c r="T224" s="156"/>
    </row>
    <row r="225" spans="1:20" ht="18" x14ac:dyDescent="0.25">
      <c r="A225" s="271"/>
      <c r="B225" s="156"/>
      <c r="C225" s="156"/>
      <c r="D225" s="156"/>
      <c r="E225" s="156"/>
      <c r="F225" s="156"/>
      <c r="G225" s="156"/>
      <c r="H225" s="156"/>
      <c r="I225" s="156"/>
      <c r="J225" s="156"/>
      <c r="K225" s="156"/>
      <c r="L225" s="156"/>
      <c r="M225" s="156"/>
      <c r="N225" s="156"/>
      <c r="O225" s="156"/>
      <c r="P225" s="156"/>
      <c r="Q225" s="156"/>
      <c r="R225" s="156"/>
      <c r="S225" s="156"/>
      <c r="T225" s="156"/>
    </row>
    <row r="226" spans="1:20" ht="18" x14ac:dyDescent="0.25">
      <c r="A226" s="271"/>
      <c r="B226" s="156"/>
      <c r="C226" s="156"/>
      <c r="D226" s="156"/>
      <c r="E226" s="156"/>
      <c r="F226" s="156"/>
      <c r="G226" s="156"/>
      <c r="H226" s="156"/>
      <c r="I226" s="156"/>
      <c r="J226" s="156"/>
      <c r="K226" s="156"/>
      <c r="L226" s="156"/>
      <c r="M226" s="156"/>
      <c r="N226" s="156"/>
      <c r="O226" s="156"/>
      <c r="P226" s="156"/>
      <c r="Q226" s="156"/>
      <c r="R226" s="156"/>
      <c r="S226" s="156"/>
      <c r="T226" s="156"/>
    </row>
    <row r="227" spans="1:20" ht="18" x14ac:dyDescent="0.25">
      <c r="A227" s="271"/>
      <c r="B227" s="156"/>
      <c r="C227" s="156"/>
      <c r="D227" s="156"/>
      <c r="E227" s="156"/>
      <c r="F227" s="156"/>
      <c r="G227" s="156"/>
      <c r="H227" s="156"/>
      <c r="I227" s="156"/>
      <c r="J227" s="156"/>
      <c r="K227" s="156"/>
      <c r="L227" s="156"/>
      <c r="M227" s="156"/>
      <c r="N227" s="156"/>
      <c r="O227" s="156"/>
      <c r="P227" s="156"/>
      <c r="Q227" s="156"/>
      <c r="R227" s="156"/>
      <c r="S227" s="156"/>
      <c r="T227" s="156"/>
    </row>
    <row r="228" spans="1:20" ht="18" x14ac:dyDescent="0.25">
      <c r="A228" s="271"/>
      <c r="B228" s="156"/>
      <c r="C228" s="156"/>
      <c r="D228" s="156"/>
      <c r="E228" s="156"/>
      <c r="F228" s="156"/>
      <c r="G228" s="156"/>
      <c r="H228" s="156"/>
      <c r="I228" s="156"/>
      <c r="J228" s="156"/>
      <c r="K228" s="156"/>
      <c r="L228" s="156"/>
      <c r="M228" s="156"/>
      <c r="N228" s="156"/>
      <c r="O228" s="156"/>
      <c r="P228" s="156"/>
      <c r="Q228" s="156"/>
      <c r="R228" s="156"/>
      <c r="S228" s="156"/>
      <c r="T228" s="156"/>
    </row>
    <row r="229" spans="1:20" ht="18" x14ac:dyDescent="0.25">
      <c r="A229" s="271"/>
      <c r="B229" s="156"/>
      <c r="C229" s="156"/>
      <c r="D229" s="156"/>
      <c r="E229" s="156"/>
      <c r="F229" s="156"/>
      <c r="G229" s="156"/>
      <c r="H229" s="156"/>
      <c r="I229" s="156"/>
      <c r="J229" s="156"/>
      <c r="K229" s="156"/>
      <c r="L229" s="156"/>
      <c r="M229" s="156"/>
      <c r="N229" s="156"/>
      <c r="O229" s="156"/>
      <c r="P229" s="156"/>
      <c r="Q229" s="156"/>
      <c r="R229" s="156"/>
      <c r="S229" s="156"/>
      <c r="T229" s="156"/>
    </row>
    <row r="230" spans="1:20" ht="18" x14ac:dyDescent="0.25">
      <c r="A230" s="271"/>
      <c r="B230" s="156"/>
      <c r="C230" s="156"/>
      <c r="D230" s="156"/>
      <c r="E230" s="156"/>
      <c r="F230" s="156"/>
      <c r="G230" s="156"/>
      <c r="H230" s="156"/>
      <c r="I230" s="156"/>
      <c r="J230" s="156"/>
      <c r="K230" s="156"/>
      <c r="L230" s="156"/>
      <c r="M230" s="156"/>
      <c r="N230" s="156"/>
      <c r="O230" s="156"/>
      <c r="P230" s="156"/>
      <c r="Q230" s="156"/>
      <c r="R230" s="156"/>
      <c r="S230" s="156"/>
      <c r="T230" s="156"/>
    </row>
    <row r="231" spans="1:20" ht="18" x14ac:dyDescent="0.25">
      <c r="A231" s="271"/>
      <c r="B231" s="156"/>
      <c r="C231" s="156"/>
      <c r="D231" s="156"/>
      <c r="E231" s="156"/>
      <c r="F231" s="156"/>
      <c r="G231" s="156"/>
      <c r="H231" s="156"/>
      <c r="I231" s="156"/>
      <c r="J231" s="156"/>
      <c r="K231" s="156"/>
      <c r="L231" s="156"/>
      <c r="M231" s="156"/>
      <c r="N231" s="156"/>
      <c r="O231" s="156"/>
      <c r="P231" s="156"/>
      <c r="Q231" s="156"/>
      <c r="R231" s="156"/>
      <c r="S231" s="156"/>
      <c r="T231" s="156"/>
    </row>
    <row r="232" spans="1:20" ht="18" x14ac:dyDescent="0.25">
      <c r="A232" s="271"/>
      <c r="B232" s="156"/>
      <c r="C232" s="156"/>
      <c r="D232" s="156"/>
      <c r="E232" s="156"/>
      <c r="F232" s="156"/>
      <c r="G232" s="156"/>
      <c r="H232" s="156"/>
      <c r="I232" s="156"/>
      <c r="J232" s="156"/>
      <c r="K232" s="156"/>
      <c r="L232" s="156"/>
      <c r="M232" s="156"/>
      <c r="N232" s="156"/>
      <c r="O232" s="156"/>
      <c r="P232" s="156"/>
      <c r="Q232" s="156"/>
      <c r="R232" s="156"/>
      <c r="S232" s="156"/>
      <c r="T232" s="156"/>
    </row>
    <row r="233" spans="1:20" ht="18" x14ac:dyDescent="0.25">
      <c r="A233" s="271"/>
      <c r="B233" s="156"/>
      <c r="C233" s="156"/>
      <c r="D233" s="156"/>
      <c r="E233" s="156"/>
      <c r="F233" s="156"/>
      <c r="G233" s="156"/>
      <c r="H233" s="156"/>
      <c r="I233" s="156"/>
      <c r="J233" s="156"/>
      <c r="K233" s="156"/>
      <c r="L233" s="156"/>
      <c r="M233" s="156"/>
      <c r="N233" s="156"/>
      <c r="O233" s="156"/>
      <c r="P233" s="156"/>
      <c r="Q233" s="156"/>
      <c r="R233" s="156"/>
      <c r="S233" s="156"/>
      <c r="T233" s="156"/>
    </row>
    <row r="234" spans="1:20" ht="18" x14ac:dyDescent="0.25">
      <c r="A234" s="271"/>
      <c r="B234" s="156"/>
      <c r="C234" s="156"/>
      <c r="D234" s="156"/>
      <c r="E234" s="156"/>
      <c r="F234" s="156"/>
      <c r="G234" s="156"/>
      <c r="H234" s="156"/>
      <c r="I234" s="156"/>
      <c r="J234" s="156"/>
      <c r="K234" s="156"/>
      <c r="L234" s="156"/>
      <c r="M234" s="156"/>
      <c r="N234" s="156"/>
      <c r="O234" s="156"/>
      <c r="P234" s="156"/>
      <c r="Q234" s="156"/>
      <c r="R234" s="156"/>
      <c r="S234" s="156"/>
      <c r="T234" s="156"/>
    </row>
    <row r="235" spans="1:20" ht="18" x14ac:dyDescent="0.25">
      <c r="A235" s="271"/>
      <c r="B235" s="156"/>
      <c r="C235" s="156"/>
      <c r="D235" s="156"/>
      <c r="E235" s="156"/>
      <c r="F235" s="156"/>
      <c r="G235" s="156"/>
      <c r="H235" s="156"/>
      <c r="I235" s="156"/>
      <c r="J235" s="156"/>
      <c r="K235" s="156"/>
      <c r="L235" s="156"/>
      <c r="M235" s="156"/>
      <c r="N235" s="156"/>
      <c r="O235" s="156"/>
      <c r="P235" s="156"/>
      <c r="Q235" s="156"/>
      <c r="R235" s="156"/>
      <c r="S235" s="156"/>
      <c r="T235" s="156"/>
    </row>
    <row r="236" spans="1:20" ht="18" x14ac:dyDescent="0.25">
      <c r="A236" s="271"/>
      <c r="B236" s="156"/>
      <c r="C236" s="156"/>
      <c r="D236" s="156"/>
      <c r="E236" s="156"/>
      <c r="F236" s="156"/>
      <c r="G236" s="156"/>
      <c r="H236" s="156"/>
      <c r="I236" s="156"/>
      <c r="J236" s="156"/>
      <c r="K236" s="156"/>
      <c r="L236" s="156"/>
      <c r="M236" s="156"/>
      <c r="N236" s="156"/>
      <c r="O236" s="156"/>
      <c r="P236" s="156"/>
      <c r="Q236" s="156"/>
      <c r="R236" s="156"/>
      <c r="S236" s="156"/>
      <c r="T236" s="156"/>
    </row>
    <row r="237" spans="1:20" ht="18" x14ac:dyDescent="0.25">
      <c r="A237" s="271"/>
      <c r="B237" s="156"/>
      <c r="C237" s="156"/>
      <c r="D237" s="156"/>
      <c r="E237" s="156"/>
      <c r="F237" s="156"/>
      <c r="G237" s="156"/>
      <c r="H237" s="156"/>
      <c r="I237" s="156"/>
      <c r="J237" s="156"/>
      <c r="K237" s="156"/>
      <c r="L237" s="156"/>
      <c r="M237" s="156"/>
      <c r="N237" s="156"/>
      <c r="O237" s="156"/>
      <c r="P237" s="156"/>
      <c r="Q237" s="156"/>
      <c r="R237" s="156"/>
      <c r="S237" s="156"/>
      <c r="T237" s="156"/>
    </row>
    <row r="238" spans="1:20" ht="18" x14ac:dyDescent="0.25">
      <c r="A238" s="271"/>
      <c r="B238" s="156"/>
      <c r="C238" s="156"/>
      <c r="D238" s="156"/>
      <c r="E238" s="156"/>
      <c r="F238" s="156"/>
      <c r="G238" s="156"/>
      <c r="H238" s="156"/>
      <c r="I238" s="156"/>
      <c r="J238" s="156"/>
      <c r="K238" s="156"/>
      <c r="L238" s="156"/>
      <c r="M238" s="156"/>
      <c r="N238" s="156"/>
      <c r="O238" s="156"/>
      <c r="P238" s="156"/>
      <c r="Q238" s="156"/>
      <c r="R238" s="156"/>
      <c r="S238" s="156"/>
      <c r="T238" s="156"/>
    </row>
    <row r="239" spans="1:20" ht="18" x14ac:dyDescent="0.25">
      <c r="A239" s="271"/>
      <c r="B239" s="156"/>
      <c r="C239" s="156"/>
      <c r="D239" s="156"/>
      <c r="E239" s="156"/>
      <c r="F239" s="156"/>
      <c r="G239" s="156"/>
      <c r="H239" s="156"/>
      <c r="I239" s="156"/>
      <c r="J239" s="156"/>
      <c r="K239" s="156"/>
      <c r="L239" s="156"/>
      <c r="M239" s="156"/>
      <c r="N239" s="156"/>
      <c r="O239" s="156"/>
      <c r="P239" s="156"/>
      <c r="Q239" s="156"/>
      <c r="R239" s="156"/>
      <c r="S239" s="156"/>
      <c r="T239" s="156"/>
    </row>
    <row r="240" spans="1:20" ht="18" x14ac:dyDescent="0.25">
      <c r="A240" s="271"/>
      <c r="B240" s="156"/>
      <c r="C240" s="156"/>
      <c r="D240" s="156"/>
      <c r="E240" s="156"/>
      <c r="F240" s="156"/>
      <c r="G240" s="156"/>
      <c r="H240" s="156"/>
      <c r="I240" s="156"/>
      <c r="J240" s="156"/>
      <c r="K240" s="156"/>
      <c r="L240" s="156"/>
      <c r="M240" s="156"/>
      <c r="N240" s="156"/>
      <c r="O240" s="156"/>
      <c r="P240" s="156"/>
      <c r="Q240" s="156"/>
      <c r="R240" s="156"/>
      <c r="S240" s="156"/>
      <c r="T240" s="156"/>
    </row>
    <row r="241" spans="1:20" ht="18" x14ac:dyDescent="0.25">
      <c r="A241" s="271"/>
      <c r="B241" s="156"/>
      <c r="C241" s="156"/>
      <c r="D241" s="156"/>
      <c r="E241" s="156"/>
      <c r="F241" s="156"/>
      <c r="G241" s="156"/>
      <c r="H241" s="156"/>
      <c r="I241" s="156"/>
      <c r="J241" s="156"/>
      <c r="K241" s="156"/>
      <c r="L241" s="156"/>
      <c r="M241" s="156"/>
      <c r="N241" s="156"/>
      <c r="O241" s="156"/>
      <c r="P241" s="156"/>
      <c r="Q241" s="156"/>
      <c r="R241" s="156"/>
      <c r="S241" s="156"/>
      <c r="T241" s="156"/>
    </row>
    <row r="242" spans="1:20" ht="18" x14ac:dyDescent="0.25">
      <c r="A242" s="271"/>
      <c r="B242" s="156"/>
      <c r="C242" s="156"/>
      <c r="D242" s="156"/>
      <c r="E242" s="156"/>
      <c r="F242" s="156"/>
      <c r="G242" s="156"/>
      <c r="H242" s="156"/>
      <c r="I242" s="156"/>
      <c r="J242" s="156"/>
      <c r="K242" s="156"/>
      <c r="L242" s="156"/>
      <c r="M242" s="156"/>
      <c r="N242" s="156"/>
      <c r="O242" s="156"/>
      <c r="P242" s="156"/>
      <c r="Q242" s="156"/>
      <c r="R242" s="156"/>
      <c r="S242" s="156"/>
      <c r="T242" s="156"/>
    </row>
    <row r="243" spans="1:20" ht="18" x14ac:dyDescent="0.25">
      <c r="A243" s="271"/>
      <c r="B243" s="156"/>
      <c r="C243" s="156"/>
      <c r="D243" s="156"/>
      <c r="E243" s="156"/>
      <c r="F243" s="156"/>
      <c r="G243" s="156"/>
      <c r="H243" s="156"/>
      <c r="I243" s="156"/>
      <c r="J243" s="156"/>
      <c r="K243" s="156"/>
      <c r="L243" s="156"/>
      <c r="M243" s="156"/>
      <c r="N243" s="156"/>
      <c r="O243" s="156"/>
      <c r="P243" s="156"/>
      <c r="Q243" s="156"/>
      <c r="R243" s="156"/>
      <c r="S243" s="156"/>
      <c r="T243" s="156"/>
    </row>
    <row r="244" spans="1:20" ht="18" x14ac:dyDescent="0.25">
      <c r="A244" s="271"/>
      <c r="B244" s="156"/>
      <c r="C244" s="156"/>
      <c r="D244" s="156"/>
      <c r="E244" s="156"/>
      <c r="F244" s="156"/>
      <c r="G244" s="156"/>
      <c r="H244" s="156"/>
      <c r="I244" s="156"/>
      <c r="J244" s="156"/>
      <c r="K244" s="156"/>
      <c r="L244" s="156"/>
      <c r="M244" s="156"/>
      <c r="N244" s="156"/>
      <c r="O244" s="156"/>
      <c r="P244" s="156"/>
      <c r="Q244" s="156"/>
      <c r="R244" s="156"/>
      <c r="S244" s="156"/>
      <c r="T244" s="156"/>
    </row>
    <row r="245" spans="1:20" ht="18" x14ac:dyDescent="0.25">
      <c r="A245" s="271"/>
      <c r="B245" s="156"/>
      <c r="C245" s="156"/>
      <c r="D245" s="156"/>
      <c r="E245" s="156"/>
      <c r="F245" s="156"/>
      <c r="G245" s="156"/>
      <c r="H245" s="156"/>
      <c r="I245" s="156"/>
      <c r="J245" s="156"/>
      <c r="K245" s="156"/>
      <c r="L245" s="156"/>
      <c r="M245" s="156"/>
      <c r="N245" s="156"/>
      <c r="O245" s="156"/>
      <c r="P245" s="156"/>
      <c r="Q245" s="156"/>
      <c r="R245" s="156"/>
      <c r="S245" s="156"/>
      <c r="T245" s="156"/>
    </row>
    <row r="246" spans="1:20" ht="18" x14ac:dyDescent="0.25">
      <c r="A246" s="271"/>
      <c r="B246" s="156"/>
      <c r="C246" s="156"/>
      <c r="D246" s="156"/>
      <c r="E246" s="156"/>
      <c r="F246" s="156"/>
      <c r="G246" s="156"/>
      <c r="H246" s="156"/>
      <c r="I246" s="156"/>
      <c r="J246" s="156"/>
      <c r="K246" s="156"/>
      <c r="L246" s="156"/>
      <c r="M246" s="156"/>
      <c r="N246" s="156"/>
      <c r="O246" s="156"/>
      <c r="P246" s="156"/>
      <c r="Q246" s="156"/>
      <c r="R246" s="156"/>
      <c r="S246" s="156"/>
      <c r="T246" s="156"/>
    </row>
    <row r="247" spans="1:20" ht="18" x14ac:dyDescent="0.25">
      <c r="A247" s="271"/>
      <c r="B247" s="156"/>
      <c r="C247" s="156"/>
      <c r="D247" s="156"/>
      <c r="E247" s="156"/>
      <c r="F247" s="156"/>
      <c r="G247" s="156"/>
      <c r="H247" s="156"/>
      <c r="I247" s="156"/>
      <c r="J247" s="156"/>
      <c r="K247" s="156"/>
      <c r="L247" s="156"/>
      <c r="M247" s="156"/>
      <c r="N247" s="156"/>
      <c r="O247" s="156"/>
      <c r="P247" s="156"/>
      <c r="Q247" s="156"/>
      <c r="R247" s="156"/>
      <c r="S247" s="156"/>
      <c r="T247" s="156"/>
    </row>
    <row r="248" spans="1:20" ht="18" x14ac:dyDescent="0.25">
      <c r="A248" s="271"/>
      <c r="B248" s="156"/>
      <c r="C248" s="156"/>
      <c r="D248" s="156"/>
      <c r="E248" s="156"/>
      <c r="F248" s="156"/>
      <c r="G248" s="156"/>
      <c r="H248" s="156"/>
      <c r="I248" s="156"/>
      <c r="J248" s="156"/>
      <c r="K248" s="156"/>
      <c r="L248" s="156"/>
      <c r="M248" s="156"/>
      <c r="N248" s="156"/>
      <c r="O248" s="156"/>
      <c r="P248" s="156"/>
      <c r="Q248" s="156"/>
      <c r="R248" s="156"/>
      <c r="S248" s="156"/>
      <c r="T248" s="156"/>
    </row>
    <row r="249" spans="1:20" ht="18" x14ac:dyDescent="0.25">
      <c r="A249" s="271"/>
      <c r="B249" s="156"/>
      <c r="C249" s="156"/>
      <c r="D249" s="156"/>
      <c r="E249" s="156"/>
      <c r="F249" s="156"/>
      <c r="G249" s="156"/>
      <c r="H249" s="156"/>
      <c r="I249" s="156"/>
      <c r="J249" s="156"/>
      <c r="K249" s="156"/>
      <c r="L249" s="156"/>
      <c r="M249" s="156"/>
      <c r="N249" s="156"/>
      <c r="O249" s="156"/>
      <c r="P249" s="156"/>
      <c r="Q249" s="156"/>
      <c r="R249" s="156"/>
      <c r="S249" s="156"/>
      <c r="T249" s="156"/>
    </row>
    <row r="250" spans="1:20" ht="18" x14ac:dyDescent="0.25">
      <c r="A250" s="271"/>
      <c r="B250" s="156"/>
      <c r="C250" s="156"/>
      <c r="D250" s="156"/>
      <c r="E250" s="156"/>
      <c r="F250" s="156"/>
      <c r="G250" s="156"/>
      <c r="H250" s="156"/>
      <c r="I250" s="156"/>
      <c r="J250" s="156"/>
      <c r="K250" s="156"/>
      <c r="L250" s="156"/>
      <c r="M250" s="156"/>
      <c r="N250" s="156"/>
      <c r="O250" s="156"/>
      <c r="P250" s="156"/>
      <c r="Q250" s="156"/>
      <c r="R250" s="156"/>
      <c r="S250" s="156"/>
      <c r="T250" s="156"/>
    </row>
    <row r="251" spans="1:20" ht="18" x14ac:dyDescent="0.25">
      <c r="A251" s="271"/>
      <c r="B251" s="156"/>
      <c r="C251" s="156"/>
      <c r="D251" s="156"/>
      <c r="E251" s="156"/>
      <c r="F251" s="156"/>
      <c r="G251" s="156"/>
      <c r="H251" s="156"/>
      <c r="I251" s="156"/>
      <c r="J251" s="156"/>
      <c r="K251" s="156"/>
      <c r="L251" s="156"/>
      <c r="M251" s="156"/>
      <c r="N251" s="156"/>
      <c r="O251" s="156"/>
      <c r="P251" s="156"/>
      <c r="Q251" s="156"/>
      <c r="R251" s="156"/>
      <c r="S251" s="156"/>
      <c r="T251" s="156"/>
    </row>
    <row r="252" spans="1:20" ht="18" x14ac:dyDescent="0.25">
      <c r="A252" s="271"/>
      <c r="B252" s="156"/>
      <c r="C252" s="156"/>
      <c r="D252" s="156"/>
      <c r="E252" s="156"/>
      <c r="F252" s="156"/>
      <c r="G252" s="156"/>
      <c r="H252" s="156"/>
      <c r="I252" s="156"/>
      <c r="J252" s="156"/>
      <c r="K252" s="156"/>
      <c r="L252" s="156"/>
      <c r="M252" s="156"/>
      <c r="N252" s="156"/>
      <c r="O252" s="156"/>
      <c r="P252" s="156"/>
      <c r="Q252" s="156"/>
      <c r="R252" s="156"/>
      <c r="S252" s="156"/>
      <c r="T252" s="156"/>
    </row>
    <row r="253" spans="1:20" ht="18" x14ac:dyDescent="0.25">
      <c r="A253" s="271"/>
      <c r="B253" s="156"/>
      <c r="C253" s="156"/>
      <c r="D253" s="156"/>
      <c r="E253" s="156"/>
      <c r="F253" s="156"/>
      <c r="G253" s="156"/>
      <c r="H253" s="156"/>
      <c r="I253" s="156"/>
      <c r="J253" s="156"/>
      <c r="K253" s="156"/>
      <c r="L253" s="156"/>
      <c r="M253" s="156"/>
      <c r="N253" s="156"/>
      <c r="O253" s="156"/>
      <c r="P253" s="156"/>
      <c r="Q253" s="156"/>
      <c r="R253" s="156"/>
      <c r="S253" s="156"/>
      <c r="T253" s="156"/>
    </row>
    <row r="254" spans="1:20" ht="18" x14ac:dyDescent="0.25">
      <c r="A254" s="271"/>
      <c r="B254" s="156"/>
      <c r="C254" s="156"/>
      <c r="D254" s="156"/>
      <c r="E254" s="156"/>
      <c r="F254" s="156"/>
      <c r="G254" s="156"/>
      <c r="H254" s="156"/>
      <c r="I254" s="156"/>
      <c r="J254" s="156"/>
      <c r="K254" s="156"/>
      <c r="L254" s="156"/>
      <c r="M254" s="156"/>
      <c r="N254" s="156"/>
      <c r="O254" s="156"/>
      <c r="P254" s="156"/>
      <c r="Q254" s="156"/>
      <c r="R254" s="156"/>
      <c r="S254" s="156"/>
      <c r="T254" s="156"/>
    </row>
    <row r="255" spans="1:20" ht="18" x14ac:dyDescent="0.25">
      <c r="A255" s="271"/>
      <c r="B255" s="156"/>
      <c r="C255" s="156"/>
      <c r="D255" s="156"/>
      <c r="E255" s="156"/>
      <c r="F255" s="156"/>
      <c r="G255" s="156"/>
      <c r="H255" s="156"/>
      <c r="I255" s="156"/>
      <c r="J255" s="156"/>
      <c r="K255" s="156"/>
      <c r="L255" s="156"/>
      <c r="M255" s="156"/>
      <c r="N255" s="156"/>
      <c r="O255" s="156"/>
      <c r="P255" s="156"/>
      <c r="Q255" s="156"/>
      <c r="R255" s="156"/>
      <c r="S255" s="156"/>
      <c r="T255" s="156"/>
    </row>
    <row r="256" spans="1:20" ht="18" x14ac:dyDescent="0.25">
      <c r="A256" s="271"/>
      <c r="B256" s="156"/>
      <c r="C256" s="156"/>
      <c r="D256" s="156"/>
      <c r="E256" s="156"/>
      <c r="F256" s="156"/>
      <c r="G256" s="156"/>
      <c r="H256" s="156"/>
      <c r="I256" s="156"/>
      <c r="J256" s="156"/>
      <c r="K256" s="156"/>
      <c r="L256" s="156"/>
      <c r="M256" s="156"/>
      <c r="N256" s="156"/>
      <c r="O256" s="156"/>
      <c r="P256" s="156"/>
      <c r="Q256" s="156"/>
      <c r="R256" s="156"/>
      <c r="S256" s="156"/>
      <c r="T256" s="156"/>
    </row>
    <row r="257" spans="1:20" ht="18" x14ac:dyDescent="0.25">
      <c r="A257" s="271"/>
      <c r="B257" s="156"/>
      <c r="C257" s="156"/>
      <c r="D257" s="156"/>
      <c r="E257" s="156"/>
      <c r="F257" s="156"/>
      <c r="G257" s="156"/>
      <c r="H257" s="156"/>
      <c r="I257" s="156"/>
      <c r="J257" s="156"/>
      <c r="K257" s="156"/>
      <c r="L257" s="156"/>
      <c r="M257" s="156"/>
      <c r="N257" s="156"/>
      <c r="O257" s="156"/>
      <c r="P257" s="156"/>
      <c r="Q257" s="156"/>
      <c r="R257" s="156"/>
      <c r="S257" s="156"/>
      <c r="T257" s="156"/>
    </row>
    <row r="258" spans="1:20" ht="18" x14ac:dyDescent="0.25">
      <c r="A258" s="271"/>
      <c r="B258" s="156"/>
      <c r="C258" s="156"/>
      <c r="D258" s="156"/>
      <c r="E258" s="156"/>
      <c r="F258" s="156"/>
      <c r="G258" s="156"/>
      <c r="H258" s="156"/>
      <c r="I258" s="156"/>
      <c r="J258" s="156"/>
      <c r="K258" s="156"/>
      <c r="L258" s="156"/>
      <c r="M258" s="156"/>
      <c r="N258" s="156"/>
      <c r="O258" s="156"/>
      <c r="P258" s="156"/>
      <c r="Q258" s="156"/>
      <c r="R258" s="156"/>
      <c r="S258" s="156"/>
      <c r="T258" s="156"/>
    </row>
    <row r="259" spans="1:20" ht="18" x14ac:dyDescent="0.25">
      <c r="A259" s="271"/>
      <c r="B259" s="156"/>
      <c r="C259" s="156"/>
      <c r="D259" s="156"/>
      <c r="E259" s="156"/>
      <c r="F259" s="156"/>
      <c r="G259" s="156"/>
      <c r="H259" s="156"/>
      <c r="I259" s="156"/>
      <c r="J259" s="156"/>
      <c r="K259" s="156"/>
      <c r="L259" s="156"/>
      <c r="M259" s="156"/>
      <c r="N259" s="156"/>
      <c r="O259" s="156"/>
      <c r="P259" s="156"/>
      <c r="Q259" s="156"/>
      <c r="R259" s="156"/>
      <c r="S259" s="156"/>
      <c r="T259" s="156"/>
    </row>
    <row r="260" spans="1:20" ht="18" x14ac:dyDescent="0.25">
      <c r="A260" s="271"/>
      <c r="B260" s="156"/>
      <c r="C260" s="156"/>
      <c r="D260" s="156"/>
      <c r="E260" s="156"/>
      <c r="F260" s="156"/>
      <c r="G260" s="156"/>
      <c r="H260" s="156"/>
      <c r="I260" s="156"/>
      <c r="J260" s="156"/>
      <c r="K260" s="156"/>
      <c r="L260" s="156"/>
      <c r="M260" s="156"/>
      <c r="N260" s="156"/>
      <c r="O260" s="156"/>
      <c r="P260" s="156"/>
      <c r="Q260" s="156"/>
      <c r="R260" s="156"/>
      <c r="S260" s="156"/>
      <c r="T260" s="156"/>
    </row>
    <row r="261" spans="1:20" ht="18" x14ac:dyDescent="0.25">
      <c r="A261" s="271"/>
      <c r="B261" s="156"/>
      <c r="C261" s="156"/>
      <c r="D261" s="156"/>
      <c r="E261" s="156"/>
      <c r="F261" s="156"/>
      <c r="G261" s="156"/>
      <c r="H261" s="156"/>
      <c r="I261" s="156"/>
      <c r="J261" s="156"/>
      <c r="K261" s="156"/>
      <c r="L261" s="156"/>
      <c r="M261" s="156"/>
      <c r="N261" s="156"/>
      <c r="O261" s="156"/>
      <c r="P261" s="156"/>
      <c r="Q261" s="156"/>
      <c r="R261" s="156"/>
      <c r="S261" s="156"/>
      <c r="T261" s="156"/>
    </row>
    <row r="262" spans="1:20" ht="15.75" x14ac:dyDescent="0.25">
      <c r="A262"/>
      <c r="B262"/>
      <c r="C262"/>
      <c r="D262"/>
      <c r="E262"/>
      <c r="F262"/>
      <c r="G262"/>
      <c r="H262"/>
      <c r="I262"/>
      <c r="J262"/>
      <c r="K262"/>
      <c r="L262"/>
      <c r="M262"/>
      <c r="N262"/>
      <c r="O262"/>
      <c r="P262"/>
      <c r="Q262"/>
      <c r="R262"/>
      <c r="S262"/>
      <c r="T262"/>
    </row>
    <row r="263" spans="1:20" ht="15.75" x14ac:dyDescent="0.25">
      <c r="A263"/>
      <c r="B263"/>
      <c r="C263"/>
      <c r="D263"/>
      <c r="E263"/>
      <c r="F263"/>
      <c r="G263"/>
      <c r="H263"/>
      <c r="I263"/>
      <c r="J263"/>
      <c r="K263"/>
      <c r="L263"/>
      <c r="M263"/>
      <c r="N263"/>
      <c r="O263"/>
      <c r="P263"/>
      <c r="Q263"/>
      <c r="R263"/>
      <c r="S263"/>
      <c r="T263"/>
    </row>
    <row r="264" spans="1:20" ht="15.75" x14ac:dyDescent="0.25">
      <c r="A264"/>
      <c r="B264"/>
      <c r="C264"/>
      <c r="D264"/>
      <c r="E264"/>
      <c r="F264"/>
      <c r="G264"/>
      <c r="H264"/>
      <c r="I264"/>
      <c r="J264"/>
      <c r="K264"/>
      <c r="L264"/>
      <c r="M264"/>
      <c r="N264"/>
      <c r="O264"/>
      <c r="P264"/>
      <c r="Q264"/>
      <c r="R264"/>
      <c r="S264"/>
      <c r="T264"/>
    </row>
    <row r="265" spans="1:20" ht="15.75" x14ac:dyDescent="0.25">
      <c r="A265" s="880" t="s">
        <v>231</v>
      </c>
      <c r="B265" s="596"/>
      <c r="C265" s="596">
        <v>88</v>
      </c>
      <c r="D265" s="596"/>
      <c r="E265" s="596"/>
      <c r="F265" s="596"/>
      <c r="G265" s="677"/>
      <c r="H265" s="677"/>
      <c r="I265" s="677"/>
      <c r="J265" s="677"/>
      <c r="K265" s="677"/>
      <c r="L265" s="596"/>
      <c r="M265" s="596"/>
      <c r="N265" s="950"/>
      <c r="O265" s="596"/>
      <c r="P265" s="596"/>
      <c r="Q265" s="596"/>
      <c r="R265" s="596"/>
      <c r="S265"/>
      <c r="T265"/>
    </row>
    <row r="266" spans="1:20" ht="15.75" x14ac:dyDescent="0.25">
      <c r="A266" s="887" t="s">
        <v>228</v>
      </c>
      <c r="B266" s="596"/>
      <c r="C266" s="596"/>
      <c r="D266" s="596"/>
      <c r="E266" s="596"/>
      <c r="F266" s="596"/>
      <c r="G266" s="704" t="s">
        <v>35</v>
      </c>
      <c r="H266" s="705" t="s">
        <v>36</v>
      </c>
      <c r="I266" s="705" t="s">
        <v>35</v>
      </c>
      <c r="J266" s="704" t="s">
        <v>36</v>
      </c>
      <c r="K266" s="704" t="s">
        <v>39</v>
      </c>
      <c r="L266" s="704" t="s">
        <v>40</v>
      </c>
      <c r="M266" s="704" t="s">
        <v>42</v>
      </c>
      <c r="N266" s="1058" t="s">
        <v>2</v>
      </c>
      <c r="O266" s="959" t="s">
        <v>180</v>
      </c>
      <c r="P266" s="961" t="s">
        <v>163</v>
      </c>
      <c r="Q266" s="961" t="s">
        <v>184</v>
      </c>
      <c r="R266" s="962"/>
      <c r="S266"/>
      <c r="T266"/>
    </row>
    <row r="267" spans="1:20" ht="15.75" outlineLevel="1" x14ac:dyDescent="0.25">
      <c r="A267" s="888" t="s">
        <v>28</v>
      </c>
      <c r="B267" s="889" t="s">
        <v>159</v>
      </c>
      <c r="C267" s="890" t="s">
        <v>31</v>
      </c>
      <c r="D267" s="890" t="s">
        <v>30</v>
      </c>
      <c r="E267" s="890" t="s">
        <v>158</v>
      </c>
      <c r="F267" s="891" t="s">
        <v>56</v>
      </c>
      <c r="G267" s="253"/>
      <c r="H267" s="420"/>
      <c r="I267" s="806"/>
      <c r="J267" s="764"/>
      <c r="K267" s="253"/>
      <c r="L267" s="253"/>
      <c r="M267" s="253"/>
      <c r="N267" s="557"/>
      <c r="O267" s="984">
        <f>ROUND(G267*I267+H267*J267,2)</f>
        <v>0</v>
      </c>
      <c r="P267" s="984">
        <f>ROUND(37.24%*O267,2)</f>
        <v>0</v>
      </c>
      <c r="Q267" s="557">
        <f>ROUND(R267*P267,2)</f>
        <v>0</v>
      </c>
      <c r="R267" s="893">
        <v>0.5</v>
      </c>
      <c r="S267"/>
      <c r="T267"/>
    </row>
    <row r="268" spans="1:20" ht="15.75" outlineLevel="1" x14ac:dyDescent="0.25">
      <c r="A268" s="894" t="s">
        <v>28</v>
      </c>
      <c r="B268" s="456" t="s">
        <v>177</v>
      </c>
      <c r="C268" s="378" t="s">
        <v>31</v>
      </c>
      <c r="D268" s="378" t="s">
        <v>30</v>
      </c>
      <c r="E268" s="378" t="s">
        <v>158</v>
      </c>
      <c r="F268" s="586" t="s">
        <v>56</v>
      </c>
      <c r="G268" s="253"/>
      <c r="H268" s="253"/>
      <c r="I268" s="806"/>
      <c r="J268" s="728"/>
      <c r="K268" s="253"/>
      <c r="L268" s="253"/>
      <c r="M268" s="253"/>
      <c r="N268" s="557"/>
      <c r="O268" s="984">
        <f>ROUND(G268*I268+H268*J268,2)</f>
        <v>0</v>
      </c>
      <c r="P268" s="984">
        <f>ROUND(37.24%*O268,2)</f>
        <v>0</v>
      </c>
      <c r="Q268" s="557">
        <f>ROUND(R268*P268,2)</f>
        <v>0</v>
      </c>
      <c r="R268" s="896">
        <v>0.5</v>
      </c>
      <c r="S268"/>
      <c r="T268"/>
    </row>
    <row r="269" spans="1:20" ht="15.75" outlineLevel="1" x14ac:dyDescent="0.25">
      <c r="A269" s="894" t="s">
        <v>28</v>
      </c>
      <c r="B269" s="456" t="s">
        <v>234</v>
      </c>
      <c r="C269" s="378" t="s">
        <v>31</v>
      </c>
      <c r="D269" s="378" t="s">
        <v>30</v>
      </c>
      <c r="E269" s="378" t="s">
        <v>158</v>
      </c>
      <c r="F269" s="781" t="s">
        <v>56</v>
      </c>
      <c r="G269" s="253"/>
      <c r="H269" s="341"/>
      <c r="I269" s="806"/>
      <c r="J269" s="728"/>
      <c r="K269" s="253"/>
      <c r="L269" s="253"/>
      <c r="M269" s="253"/>
      <c r="N269" s="557"/>
      <c r="O269" s="984">
        <f>ROUND(G269*I269+H269*J269,2)</f>
        <v>0</v>
      </c>
      <c r="P269" s="984">
        <f>ROUND(38%*G269*I269,2)+ROUND(38%*H269*J269,2)</f>
        <v>0</v>
      </c>
      <c r="Q269" s="557">
        <f>ROUND(R269*P269,2)</f>
        <v>0</v>
      </c>
      <c r="R269" s="775">
        <v>0.5</v>
      </c>
      <c r="S269"/>
      <c r="T269"/>
    </row>
    <row r="270" spans="1:20" ht="15.75" outlineLevel="1" x14ac:dyDescent="0.25">
      <c r="A270" s="898" t="s">
        <v>28</v>
      </c>
      <c r="B270" s="457" t="s">
        <v>178</v>
      </c>
      <c r="C270" s="899" t="s">
        <v>31</v>
      </c>
      <c r="D270" s="899" t="s">
        <v>30</v>
      </c>
      <c r="E270" s="899" t="s">
        <v>158</v>
      </c>
      <c r="F270" s="740" t="s">
        <v>56</v>
      </c>
      <c r="G270" s="424"/>
      <c r="H270" s="424"/>
      <c r="I270" s="907"/>
      <c r="J270" s="741"/>
      <c r="K270" s="424"/>
      <c r="L270" s="424"/>
      <c r="M270" s="424"/>
      <c r="N270" s="895"/>
      <c r="O270" s="1042">
        <f>ROUND(G270*I270+H270*J270,2)</f>
        <v>0</v>
      </c>
      <c r="P270" s="1042">
        <f>ROUND(37.24%*O270,2)</f>
        <v>0</v>
      </c>
      <c r="Q270" s="895">
        <f>ROUND(R270*P270,2)</f>
        <v>0</v>
      </c>
      <c r="R270" s="901">
        <v>0.5</v>
      </c>
      <c r="S270"/>
      <c r="T270"/>
    </row>
    <row r="271" spans="1:20" ht="15.75" outlineLevel="1" x14ac:dyDescent="0.25">
      <c r="A271" s="596"/>
      <c r="B271" s="596"/>
      <c r="C271" s="596"/>
      <c r="D271" s="596"/>
      <c r="E271" s="596"/>
      <c r="F271" s="596"/>
      <c r="G271" s="902">
        <f>SUM(G267:G270)</f>
        <v>0</v>
      </c>
      <c r="H271" s="902">
        <f>SUM(H267:H270)</f>
        <v>0</v>
      </c>
      <c r="I271" s="902"/>
      <c r="J271" s="677"/>
      <c r="K271" s="677"/>
      <c r="L271" s="596"/>
      <c r="M271" s="596"/>
      <c r="N271" s="950"/>
      <c r="O271" s="734">
        <f>SUM(O267:O270)</f>
        <v>0</v>
      </c>
      <c r="P271" s="734">
        <f>SUM(P267:P270)</f>
        <v>0</v>
      </c>
      <c r="Q271" s="734">
        <f>SUM(Q267:Q270)</f>
        <v>0</v>
      </c>
      <c r="R271" s="596"/>
      <c r="S271"/>
      <c r="T271"/>
    </row>
    <row r="272" spans="1:20" ht="15.75" outlineLevel="1" x14ac:dyDescent="0.25">
      <c r="A272" s="596"/>
      <c r="B272" s="596"/>
      <c r="C272" s="596"/>
      <c r="D272" s="596"/>
      <c r="E272" s="596"/>
      <c r="F272" s="596"/>
      <c r="G272" s="677"/>
      <c r="H272" s="677"/>
      <c r="I272" s="677"/>
      <c r="J272" s="677"/>
      <c r="K272" s="677"/>
      <c r="L272" s="596"/>
      <c r="M272" s="596"/>
      <c r="N272" s="950"/>
      <c r="O272" s="596"/>
      <c r="P272" s="861" t="e">
        <f>P271/O271</f>
        <v>#DIV/0!</v>
      </c>
      <c r="Q272" s="596"/>
      <c r="R272" s="596"/>
      <c r="S272"/>
      <c r="T272"/>
    </row>
    <row r="273" spans="1:20" ht="15.75" outlineLevel="1" x14ac:dyDescent="0.25">
      <c r="A273" s="880" t="s">
        <v>232</v>
      </c>
      <c r="B273" s="596"/>
      <c r="C273" s="596"/>
      <c r="D273" s="596"/>
      <c r="E273" s="596"/>
      <c r="F273" s="596"/>
      <c r="G273" s="677"/>
      <c r="H273" s="677"/>
      <c r="I273" s="677"/>
      <c r="J273" s="677"/>
      <c r="K273" s="677"/>
      <c r="L273" s="596"/>
      <c r="M273" s="596"/>
      <c r="N273" s="950"/>
      <c r="O273" s="597"/>
      <c r="P273" s="597"/>
      <c r="Q273" s="683"/>
      <c r="R273" s="596"/>
      <c r="S273"/>
      <c r="T273"/>
    </row>
    <row r="274" spans="1:20" ht="15.75" outlineLevel="1" x14ac:dyDescent="0.25">
      <c r="A274" s="596"/>
      <c r="B274" s="596"/>
      <c r="C274" s="596"/>
      <c r="D274" s="596"/>
      <c r="E274" s="596"/>
      <c r="F274" s="596"/>
      <c r="G274" s="677"/>
      <c r="H274" s="677"/>
      <c r="I274" s="677"/>
      <c r="J274" s="677"/>
      <c r="K274" s="677"/>
      <c r="L274" s="596"/>
      <c r="M274" s="596"/>
      <c r="N274" s="950"/>
      <c r="O274" s="596"/>
      <c r="P274" s="596"/>
      <c r="Q274" s="596"/>
      <c r="R274" s="596"/>
      <c r="S274"/>
      <c r="T274"/>
    </row>
    <row r="275" spans="1:20" ht="15.75" outlineLevel="1" x14ac:dyDescent="0.25">
      <c r="A275" s="888" t="s">
        <v>28</v>
      </c>
      <c r="B275" s="889" t="s">
        <v>159</v>
      </c>
      <c r="C275" s="890" t="s">
        <v>31</v>
      </c>
      <c r="D275" s="890" t="s">
        <v>30</v>
      </c>
      <c r="E275" s="890" t="s">
        <v>158</v>
      </c>
      <c r="F275" s="891" t="s">
        <v>56</v>
      </c>
      <c r="G275" s="420">
        <f>G267</f>
        <v>0</v>
      </c>
      <c r="H275" s="420"/>
      <c r="I275" s="903">
        <f>I267</f>
        <v>0</v>
      </c>
      <c r="J275" s="764"/>
      <c r="K275" s="420"/>
      <c r="L275" s="420"/>
      <c r="M275" s="420"/>
      <c r="N275" s="904"/>
      <c r="O275" s="904">
        <f>ROUND(G275*I275+H275*J275,2)</f>
        <v>0</v>
      </c>
      <c r="P275" s="904">
        <f>ROUND(37.24%*O275,2)</f>
        <v>0</v>
      </c>
      <c r="Q275" s="904">
        <f>ROUND(R275*P275,2)</f>
        <v>0</v>
      </c>
      <c r="R275" s="893">
        <v>0.5</v>
      </c>
      <c r="S275"/>
      <c r="T275"/>
    </row>
    <row r="276" spans="1:20" ht="15.75" outlineLevel="1" x14ac:dyDescent="0.25">
      <c r="A276" s="894" t="s">
        <v>28</v>
      </c>
      <c r="B276" s="456" t="s">
        <v>177</v>
      </c>
      <c r="C276" s="378" t="s">
        <v>31</v>
      </c>
      <c r="D276" s="378" t="s">
        <v>30</v>
      </c>
      <c r="E276" s="378" t="s">
        <v>158</v>
      </c>
      <c r="F276" s="586" t="s">
        <v>56</v>
      </c>
      <c r="G276" s="253">
        <f>G268</f>
        <v>0</v>
      </c>
      <c r="H276" s="253"/>
      <c r="I276" s="806">
        <f>I268</f>
        <v>0</v>
      </c>
      <c r="J276" s="728"/>
      <c r="K276" s="253"/>
      <c r="L276" s="253"/>
      <c r="M276" s="253"/>
      <c r="N276" s="557"/>
      <c r="O276" s="557">
        <f>ROUND(G276*I276+H276*J276,2)</f>
        <v>0</v>
      </c>
      <c r="P276" s="557">
        <f>ROUND(37.24%*O276,2)</f>
        <v>0</v>
      </c>
      <c r="Q276" s="557">
        <f>ROUND(R276*P276,2)</f>
        <v>0</v>
      </c>
      <c r="R276" s="775">
        <v>0.5</v>
      </c>
      <c r="S276"/>
      <c r="T276"/>
    </row>
    <row r="277" spans="1:20" ht="15.75" outlineLevel="1" x14ac:dyDescent="0.25">
      <c r="A277" s="894" t="s">
        <v>28</v>
      </c>
      <c r="B277" s="456" t="s">
        <v>234</v>
      </c>
      <c r="C277" s="378" t="s">
        <v>31</v>
      </c>
      <c r="D277" s="378" t="s">
        <v>30</v>
      </c>
      <c r="E277" s="378" t="s">
        <v>158</v>
      </c>
      <c r="F277" s="586" t="s">
        <v>56</v>
      </c>
      <c r="G277" s="253">
        <f>G269</f>
        <v>0</v>
      </c>
      <c r="H277" s="341"/>
      <c r="I277" s="806">
        <f>I269</f>
        <v>0</v>
      </c>
      <c r="J277" s="728"/>
      <c r="K277" s="341"/>
      <c r="L277" s="341"/>
      <c r="M277" s="341"/>
      <c r="N277" s="897"/>
      <c r="O277" s="557">
        <f>ROUND(G277*I277+H277*J277,2)</f>
        <v>0</v>
      </c>
      <c r="P277" s="557">
        <f>ROUND(38%*G277*I277,2)+ROUND(38%*H277*J277,2)</f>
        <v>0</v>
      </c>
      <c r="Q277" s="557">
        <f>ROUND(R277*P277,2)</f>
        <v>0</v>
      </c>
      <c r="R277" s="906">
        <v>0.5</v>
      </c>
      <c r="S277"/>
      <c r="T277"/>
    </row>
    <row r="278" spans="1:20" ht="15.75" outlineLevel="1" x14ac:dyDescent="0.25">
      <c r="A278" s="898" t="s">
        <v>28</v>
      </c>
      <c r="B278" s="457" t="s">
        <v>178</v>
      </c>
      <c r="C278" s="899" t="s">
        <v>31</v>
      </c>
      <c r="D278" s="899" t="s">
        <v>30</v>
      </c>
      <c r="E278" s="899" t="s">
        <v>158</v>
      </c>
      <c r="F278" s="740" t="s">
        <v>56</v>
      </c>
      <c r="G278" s="424">
        <f>G270</f>
        <v>0</v>
      </c>
      <c r="H278" s="424"/>
      <c r="I278" s="907">
        <f>I270</f>
        <v>0</v>
      </c>
      <c r="J278" s="741"/>
      <c r="K278" s="424"/>
      <c r="L278" s="424"/>
      <c r="M278" s="424"/>
      <c r="N278" s="895"/>
      <c r="O278" s="895">
        <f>ROUND(G278*I278+H278*J278,2)</f>
        <v>0</v>
      </c>
      <c r="P278" s="895">
        <f>ROUND(37.24%*O278,2)</f>
        <v>0</v>
      </c>
      <c r="Q278" s="895">
        <f>ROUND(R278*P278,2)</f>
        <v>0</v>
      </c>
      <c r="R278" s="896">
        <v>0.5</v>
      </c>
      <c r="S278"/>
      <c r="T278"/>
    </row>
    <row r="279" spans="1:20" ht="15.75" outlineLevel="1" x14ac:dyDescent="0.25">
      <c r="A279" s="596"/>
      <c r="B279" s="596"/>
      <c r="C279" s="596"/>
      <c r="D279" s="596"/>
      <c r="E279" s="596"/>
      <c r="F279" s="596"/>
      <c r="G279" s="902">
        <f>SUM(G275:G278)</f>
        <v>0</v>
      </c>
      <c r="H279" s="902"/>
      <c r="I279" s="908" t="e">
        <f>ROUND(O279/G279,4)</f>
        <v>#DIV/0!</v>
      </c>
      <c r="J279" s="677"/>
      <c r="K279" s="677"/>
      <c r="L279" s="596"/>
      <c r="M279" s="596"/>
      <c r="N279" s="950"/>
      <c r="O279" s="734">
        <f>SUM(O275:O278)</f>
        <v>0</v>
      </c>
      <c r="P279" s="734">
        <f>SUM(P275:P278)</f>
        <v>0</v>
      </c>
      <c r="Q279" s="734">
        <f>SUM(Q275:Q278)</f>
        <v>0</v>
      </c>
      <c r="R279" s="596"/>
      <c r="S279"/>
      <c r="T279"/>
    </row>
    <row r="280" spans="1:20" ht="15.75" outlineLevel="1" x14ac:dyDescent="0.25">
      <c r="A280" s="596"/>
      <c r="B280" s="596"/>
      <c r="C280" s="596"/>
      <c r="D280" s="596"/>
      <c r="E280" s="596"/>
      <c r="F280" s="596"/>
      <c r="G280" s="677"/>
      <c r="H280" s="677"/>
      <c r="I280" s="677"/>
      <c r="J280" s="677"/>
      <c r="K280" s="677"/>
      <c r="L280" s="596"/>
      <c r="M280" s="596"/>
      <c r="N280" s="950"/>
      <c r="O280" s="596"/>
      <c r="P280" s="596"/>
      <c r="Q280" s="596"/>
      <c r="R280" s="596"/>
      <c r="S280"/>
      <c r="T280"/>
    </row>
    <row r="281" spans="1:20" ht="15.75" outlineLevel="1" x14ac:dyDescent="0.25">
      <c r="A281" s="880" t="s">
        <v>233</v>
      </c>
      <c r="B281" s="596"/>
      <c r="C281" s="596"/>
      <c r="D281" s="596"/>
      <c r="E281" s="596"/>
      <c r="F281" s="596"/>
      <c r="G281" s="677"/>
      <c r="H281" s="677"/>
      <c r="I281" s="677"/>
      <c r="J281" s="677"/>
      <c r="K281" s="677"/>
      <c r="L281" s="596"/>
      <c r="M281" s="596"/>
      <c r="N281" s="950"/>
      <c r="O281" s="596"/>
      <c r="P281" s="596"/>
      <c r="Q281" s="596"/>
      <c r="R281" s="596"/>
      <c r="S281"/>
      <c r="T281"/>
    </row>
    <row r="282" spans="1:20" ht="15.75" outlineLevel="1" x14ac:dyDescent="0.25">
      <c r="A282" s="596"/>
      <c r="B282" s="596"/>
      <c r="C282" s="596"/>
      <c r="D282" s="596"/>
      <c r="E282" s="596"/>
      <c r="F282" s="596"/>
      <c r="G282" s="677"/>
      <c r="H282" s="677"/>
      <c r="I282" s="677"/>
      <c r="J282" s="677"/>
      <c r="K282" s="677"/>
      <c r="L282" s="596"/>
      <c r="M282" s="596"/>
      <c r="N282" s="950"/>
      <c r="O282" s="596"/>
      <c r="P282" s="596"/>
      <c r="Q282" s="596"/>
      <c r="R282" s="596"/>
      <c r="S282"/>
      <c r="T282"/>
    </row>
    <row r="283" spans="1:20" ht="15.75" outlineLevel="1" x14ac:dyDescent="0.25">
      <c r="A283" s="888" t="s">
        <v>28</v>
      </c>
      <c r="B283" s="889" t="s">
        <v>159</v>
      </c>
      <c r="C283" s="890" t="s">
        <v>31</v>
      </c>
      <c r="D283" s="890" t="s">
        <v>30</v>
      </c>
      <c r="E283" s="890" t="s">
        <v>158</v>
      </c>
      <c r="F283" s="891" t="s">
        <v>56</v>
      </c>
      <c r="G283" s="420"/>
      <c r="H283" s="420">
        <f>H267</f>
        <v>0</v>
      </c>
      <c r="I283" s="764"/>
      <c r="J283" s="903">
        <f>J267</f>
        <v>0</v>
      </c>
      <c r="K283" s="420"/>
      <c r="L283" s="420"/>
      <c r="M283" s="420"/>
      <c r="N283" s="904"/>
      <c r="O283" s="904">
        <f>ROUND(G283*I283+H283*J283,2)</f>
        <v>0</v>
      </c>
      <c r="P283" s="904">
        <f>ROUND(37.24%*O283,2)</f>
        <v>0</v>
      </c>
      <c r="Q283" s="904">
        <f>ROUND(R283*P283,2)</f>
        <v>0</v>
      </c>
      <c r="R283" s="893">
        <v>0.5</v>
      </c>
      <c r="S283"/>
      <c r="T283"/>
    </row>
    <row r="284" spans="1:20" ht="15.75" outlineLevel="1" x14ac:dyDescent="0.25">
      <c r="A284" s="894" t="s">
        <v>28</v>
      </c>
      <c r="B284" s="456" t="s">
        <v>177</v>
      </c>
      <c r="C284" s="378" t="s">
        <v>31</v>
      </c>
      <c r="D284" s="378" t="s">
        <v>30</v>
      </c>
      <c r="E284" s="378" t="s">
        <v>158</v>
      </c>
      <c r="F284" s="586" t="s">
        <v>56</v>
      </c>
      <c r="G284" s="253"/>
      <c r="H284" s="253">
        <f>H268</f>
        <v>0</v>
      </c>
      <c r="I284" s="728"/>
      <c r="J284" s="806">
        <f>J268</f>
        <v>0</v>
      </c>
      <c r="K284" s="253"/>
      <c r="L284" s="253"/>
      <c r="M284" s="253"/>
      <c r="N284" s="557"/>
      <c r="O284" s="557">
        <f>ROUND(G284*I284+H284*J284,2)</f>
        <v>0</v>
      </c>
      <c r="P284" s="557">
        <f>ROUND(37.24%*O284,2)</f>
        <v>0</v>
      </c>
      <c r="Q284" s="557">
        <f>ROUND(R284*P284,2)</f>
        <v>0</v>
      </c>
      <c r="R284" s="775">
        <v>0.5</v>
      </c>
      <c r="S284"/>
      <c r="T284"/>
    </row>
    <row r="285" spans="1:20" ht="15.75" outlineLevel="1" x14ac:dyDescent="0.25">
      <c r="A285" s="894" t="s">
        <v>28</v>
      </c>
      <c r="B285" s="456" t="s">
        <v>234</v>
      </c>
      <c r="C285" s="378" t="s">
        <v>31</v>
      </c>
      <c r="D285" s="378" t="s">
        <v>30</v>
      </c>
      <c r="E285" s="378" t="s">
        <v>158</v>
      </c>
      <c r="F285" s="586" t="s">
        <v>56</v>
      </c>
      <c r="G285" s="253"/>
      <c r="H285" s="253">
        <f>H269</f>
        <v>0</v>
      </c>
      <c r="I285" s="728"/>
      <c r="J285" s="806">
        <f>J269</f>
        <v>0</v>
      </c>
      <c r="K285" s="341"/>
      <c r="L285" s="341"/>
      <c r="M285" s="341"/>
      <c r="N285" s="897"/>
      <c r="O285" s="557">
        <f>ROUND(G285*I285+H285*J285,2)</f>
        <v>0</v>
      </c>
      <c r="P285" s="557">
        <f>ROUND(38%*G285*I285,2)+ROUND(38%*H285*J285,2)</f>
        <v>0</v>
      </c>
      <c r="Q285" s="557">
        <f>ROUND(R285*P285,2)</f>
        <v>0</v>
      </c>
      <c r="R285" s="775">
        <v>0.5</v>
      </c>
      <c r="S285"/>
      <c r="T285"/>
    </row>
    <row r="286" spans="1:20" ht="15.75" outlineLevel="1" x14ac:dyDescent="0.25">
      <c r="A286" s="898" t="s">
        <v>28</v>
      </c>
      <c r="B286" s="457" t="s">
        <v>178</v>
      </c>
      <c r="C286" s="899" t="s">
        <v>31</v>
      </c>
      <c r="D286" s="899" t="s">
        <v>30</v>
      </c>
      <c r="E286" s="899" t="s">
        <v>158</v>
      </c>
      <c r="F286" s="740" t="s">
        <v>56</v>
      </c>
      <c r="G286" s="424"/>
      <c r="H286" s="424">
        <f>H270</f>
        <v>0</v>
      </c>
      <c r="I286" s="741"/>
      <c r="J286" s="907">
        <f>J270</f>
        <v>0</v>
      </c>
      <c r="K286" s="424"/>
      <c r="L286" s="424"/>
      <c r="M286" s="424"/>
      <c r="N286" s="895"/>
      <c r="O286" s="895">
        <f>ROUND(G286*I286+H286*J286,2)</f>
        <v>0</v>
      </c>
      <c r="P286" s="895">
        <f>ROUND(37.24%*O286,2)</f>
        <v>0</v>
      </c>
      <c r="Q286" s="895">
        <f>ROUND(R286*P286,2)</f>
        <v>0</v>
      </c>
      <c r="R286" s="896">
        <v>0.5</v>
      </c>
      <c r="S286"/>
      <c r="T286"/>
    </row>
    <row r="287" spans="1:20" ht="15.75" outlineLevel="1" x14ac:dyDescent="0.25">
      <c r="A287" s="596"/>
      <c r="B287" s="596"/>
      <c r="C287" s="596"/>
      <c r="D287" s="596"/>
      <c r="E287" s="596"/>
      <c r="F287" s="596"/>
      <c r="G287" s="902"/>
      <c r="H287" s="902">
        <f>SUM(H283:H286)</f>
        <v>0</v>
      </c>
      <c r="I287" s="677"/>
      <c r="J287" s="908" t="e">
        <f>ROUND(O287/H287,4)</f>
        <v>#DIV/0!</v>
      </c>
      <c r="K287" s="677"/>
      <c r="L287" s="596"/>
      <c r="M287" s="596"/>
      <c r="N287" s="950"/>
      <c r="O287" s="734">
        <f>SUM(O283:O286)</f>
        <v>0</v>
      </c>
      <c r="P287" s="734">
        <f>SUM(P283:P286)</f>
        <v>0</v>
      </c>
      <c r="Q287" s="734">
        <f>SUM(Q283:Q286)</f>
        <v>0</v>
      </c>
      <c r="R287" s="596"/>
      <c r="S287"/>
      <c r="T287"/>
    </row>
    <row r="288" spans="1:20" ht="15.75" outlineLevel="1" x14ac:dyDescent="0.25">
      <c r="A288" s="596"/>
      <c r="B288" s="596"/>
      <c r="C288" s="596"/>
      <c r="D288" s="596"/>
      <c r="E288" s="596"/>
      <c r="F288" s="596"/>
      <c r="G288" s="902"/>
      <c r="H288" s="902"/>
      <c r="I288" s="677"/>
      <c r="J288" s="677"/>
      <c r="K288" s="677"/>
      <c r="L288" s="596"/>
      <c r="M288" s="596"/>
      <c r="N288" s="950"/>
      <c r="O288" s="734"/>
      <c r="P288" s="734"/>
      <c r="Q288" s="734"/>
      <c r="R288" s="596"/>
      <c r="S288"/>
      <c r="T288"/>
    </row>
    <row r="289" spans="1:20" ht="15.75" outlineLevel="1" x14ac:dyDescent="0.25">
      <c r="A289" s="596"/>
      <c r="B289" s="596"/>
      <c r="C289" s="596"/>
      <c r="D289" s="596"/>
      <c r="E289" s="596"/>
      <c r="F289" s="596"/>
      <c r="G289" s="902"/>
      <c r="H289" s="902"/>
      <c r="I289" s="677"/>
      <c r="J289" s="677"/>
      <c r="K289" s="677"/>
      <c r="L289" s="596"/>
      <c r="M289" s="596"/>
      <c r="N289" s="985"/>
      <c r="O289" s="589">
        <f>O287+O279</f>
        <v>0</v>
      </c>
      <c r="P289" s="589">
        <f>P287+P279</f>
        <v>0</v>
      </c>
      <c r="Q289" s="589">
        <f>Q287+Q279</f>
        <v>0</v>
      </c>
      <c r="R289" s="910">
        <v>0.5</v>
      </c>
      <c r="S289"/>
      <c r="T289"/>
    </row>
    <row r="290" spans="1:20" ht="15.75" outlineLevel="1" x14ac:dyDescent="0.25">
      <c r="A290" s="596"/>
      <c r="B290" s="596"/>
      <c r="C290" s="596"/>
      <c r="D290" s="596"/>
      <c r="E290" s="596"/>
      <c r="F290" s="596"/>
      <c r="G290" s="902"/>
      <c r="H290" s="902"/>
      <c r="I290" s="677"/>
      <c r="J290" s="677"/>
      <c r="K290" s="677"/>
      <c r="L290" s="596"/>
      <c r="M290" s="596"/>
      <c r="N290" s="950"/>
      <c r="O290" s="596"/>
      <c r="P290" s="596"/>
      <c r="Q290" s="596"/>
      <c r="R290" s="596"/>
      <c r="S290"/>
      <c r="T290"/>
    </row>
    <row r="291" spans="1:20" ht="15.75" outlineLevel="1" x14ac:dyDescent="0.25">
      <c r="A291" s="596"/>
      <c r="B291" s="596"/>
      <c r="C291" s="596"/>
      <c r="D291" s="596"/>
      <c r="E291" s="596"/>
      <c r="F291" s="596"/>
      <c r="G291" s="902"/>
      <c r="H291" s="902"/>
      <c r="I291" s="677"/>
      <c r="J291" s="677"/>
      <c r="K291" s="677"/>
      <c r="L291" s="596"/>
      <c r="M291" s="596"/>
      <c r="N291" s="985"/>
      <c r="O291" s="879">
        <f>O289-O271</f>
        <v>0</v>
      </c>
      <c r="P291" s="879">
        <f>P289-P271</f>
        <v>0</v>
      </c>
      <c r="Q291" s="879">
        <f>Q289-Q271</f>
        <v>0</v>
      </c>
      <c r="R291" s="596"/>
      <c r="S291"/>
      <c r="T291"/>
    </row>
    <row r="292" spans="1:20" ht="15.75" outlineLevel="1" x14ac:dyDescent="0.25">
      <c r="A292" s="596"/>
      <c r="B292" s="596"/>
      <c r="C292" s="596"/>
      <c r="D292" s="596"/>
      <c r="E292" s="596"/>
      <c r="F292" s="596"/>
      <c r="G292" s="596"/>
      <c r="H292" s="596"/>
      <c r="I292" s="596"/>
      <c r="J292" s="596"/>
      <c r="K292" s="596"/>
      <c r="L292" s="596"/>
      <c r="M292" s="596"/>
      <c r="N292" s="950"/>
      <c r="O292" s="596"/>
      <c r="P292" s="596"/>
      <c r="Q292" s="596"/>
      <c r="R292" s="596"/>
      <c r="S292"/>
      <c r="T292"/>
    </row>
    <row r="293" spans="1:20" x14ac:dyDescent="0.2">
      <c r="A293" s="880" t="s">
        <v>231</v>
      </c>
      <c r="B293" s="683"/>
      <c r="C293" s="683"/>
      <c r="D293" s="683"/>
      <c r="E293" s="683"/>
      <c r="F293" s="683"/>
      <c r="G293" s="683"/>
      <c r="H293" s="683"/>
      <c r="I293" s="683"/>
      <c r="J293" s="683"/>
      <c r="K293" s="683"/>
      <c r="L293" s="683"/>
      <c r="M293" s="683"/>
      <c r="N293" s="950"/>
      <c r="O293" s="683"/>
      <c r="P293" s="683"/>
      <c r="Q293" s="683">
        <f>P303*R301</f>
        <v>0</v>
      </c>
      <c r="R293" s="911"/>
      <c r="S293" s="683"/>
      <c r="T293" s="912"/>
    </row>
    <row r="294" spans="1:20" ht="15.75" outlineLevel="1" x14ac:dyDescent="0.25">
      <c r="A294" s="887" t="s">
        <v>228</v>
      </c>
      <c r="B294" s="596"/>
      <c r="C294" s="596"/>
      <c r="D294" s="596"/>
      <c r="E294" s="596"/>
      <c r="F294" s="596"/>
      <c r="G294" s="704" t="s">
        <v>35</v>
      </c>
      <c r="H294" s="705" t="s">
        <v>36</v>
      </c>
      <c r="I294" s="705" t="s">
        <v>35</v>
      </c>
      <c r="J294" s="704" t="s">
        <v>36</v>
      </c>
      <c r="K294" s="704" t="s">
        <v>39</v>
      </c>
      <c r="L294" s="704" t="s">
        <v>40</v>
      </c>
      <c r="M294" s="704" t="s">
        <v>42</v>
      </c>
      <c r="N294" s="1058" t="s">
        <v>2</v>
      </c>
      <c r="O294" s="1066" t="s">
        <v>180</v>
      </c>
      <c r="P294" s="1067" t="s">
        <v>163</v>
      </c>
      <c r="Q294" s="790"/>
      <c r="R294" s="596"/>
      <c r="S294" s="596"/>
      <c r="T294" s="596"/>
    </row>
    <row r="295" spans="1:20" x14ac:dyDescent="0.2">
      <c r="A295" s="888" t="s">
        <v>28</v>
      </c>
      <c r="B295" s="889" t="s">
        <v>218</v>
      </c>
      <c r="C295" s="890" t="s">
        <v>31</v>
      </c>
      <c r="D295" s="890" t="s">
        <v>30</v>
      </c>
      <c r="E295" s="890" t="s">
        <v>101</v>
      </c>
      <c r="F295" s="891" t="s">
        <v>56</v>
      </c>
      <c r="G295" s="913"/>
      <c r="H295" s="914"/>
      <c r="I295" s="915"/>
      <c r="J295" s="915"/>
      <c r="K295" s="420"/>
      <c r="L295" s="420"/>
      <c r="M295" s="420"/>
      <c r="N295" s="917"/>
      <c r="O295" s="420">
        <f>ROUND(G295*I295,2)+ROUND(H295*J295,2)-K295-L295-M295-N295</f>
        <v>0</v>
      </c>
      <c r="P295" s="420">
        <f>ROUND(18.75%*O295,2)</f>
        <v>0</v>
      </c>
      <c r="Q295" s="420">
        <f t="shared" ref="Q295:Q302" si="5">ROUND($O295*R295,2)</f>
        <v>0</v>
      </c>
      <c r="R295" s="893">
        <v>0.15</v>
      </c>
      <c r="S295" s="420">
        <f t="shared" ref="S295:S302" si="6">ROUND($O295*T295,2)</f>
        <v>0</v>
      </c>
      <c r="T295" s="919">
        <v>3.7499999999999999E-2</v>
      </c>
    </row>
    <row r="296" spans="1:20" outlineLevel="1" x14ac:dyDescent="0.2">
      <c r="A296" s="894" t="s">
        <v>28</v>
      </c>
      <c r="B296" s="456" t="s">
        <v>219</v>
      </c>
      <c r="C296" s="378" t="s">
        <v>31</v>
      </c>
      <c r="D296" s="378" t="s">
        <v>30</v>
      </c>
      <c r="E296" s="378" t="s">
        <v>101</v>
      </c>
      <c r="F296" s="586" t="s">
        <v>56</v>
      </c>
      <c r="G296" s="587"/>
      <c r="H296" s="587"/>
      <c r="I296" s="920"/>
      <c r="J296" s="920"/>
      <c r="K296" s="253"/>
      <c r="L296" s="253"/>
      <c r="M296" s="253"/>
      <c r="N296" s="557"/>
      <c r="O296" s="892">
        <f t="shared" ref="O296:O302" si="7">ROUND(G296*I296,2)+ROUND(H296*J296,2)-K296-L296-M296-N296</f>
        <v>0</v>
      </c>
      <c r="P296" s="253">
        <f>ROUND(18.75%*O296,2)</f>
        <v>0</v>
      </c>
      <c r="Q296" s="253">
        <f t="shared" si="5"/>
        <v>0</v>
      </c>
      <c r="R296" s="775">
        <v>0.15</v>
      </c>
      <c r="S296" s="253">
        <f t="shared" si="6"/>
        <v>0</v>
      </c>
      <c r="T296" s="921">
        <v>3.7499999999999999E-2</v>
      </c>
    </row>
    <row r="297" spans="1:20" outlineLevel="1" x14ac:dyDescent="0.2">
      <c r="A297" s="922" t="s">
        <v>28</v>
      </c>
      <c r="B297" s="442" t="s">
        <v>217</v>
      </c>
      <c r="C297" s="854" t="s">
        <v>31</v>
      </c>
      <c r="D297" s="854" t="s">
        <v>30</v>
      </c>
      <c r="E297" s="854" t="s">
        <v>101</v>
      </c>
      <c r="F297" s="854" t="s">
        <v>56</v>
      </c>
      <c r="G297" s="587"/>
      <c r="H297" s="587"/>
      <c r="I297" s="587"/>
      <c r="J297" s="588"/>
      <c r="K297" s="441"/>
      <c r="L297" s="441"/>
      <c r="M297" s="441"/>
      <c r="N297" s="923"/>
      <c r="O297" s="253">
        <f t="shared" si="7"/>
        <v>0</v>
      </c>
      <c r="P297" s="441">
        <f t="shared" ref="P297:P302" si="8">ROUND(18.75%*O297,2)</f>
        <v>0</v>
      </c>
      <c r="Q297" s="441">
        <f t="shared" si="5"/>
        <v>0</v>
      </c>
      <c r="R297" s="924">
        <v>0.15</v>
      </c>
      <c r="S297" s="253">
        <f t="shared" si="6"/>
        <v>0</v>
      </c>
      <c r="T297" s="921">
        <v>3.7499999999999999E-2</v>
      </c>
    </row>
    <row r="298" spans="1:20" outlineLevel="1" x14ac:dyDescent="0.2">
      <c r="A298" s="922" t="s">
        <v>28</v>
      </c>
      <c r="B298" s="442" t="s">
        <v>220</v>
      </c>
      <c r="C298" s="854" t="s">
        <v>31</v>
      </c>
      <c r="D298" s="854" t="s">
        <v>30</v>
      </c>
      <c r="E298" s="854" t="s">
        <v>101</v>
      </c>
      <c r="F298" s="854" t="s">
        <v>56</v>
      </c>
      <c r="G298" s="587"/>
      <c r="H298" s="587"/>
      <c r="I298" s="587"/>
      <c r="J298" s="588"/>
      <c r="K298" s="441"/>
      <c r="L298" s="441"/>
      <c r="M298" s="441"/>
      <c r="N298" s="923"/>
      <c r="O298" s="253">
        <f t="shared" si="7"/>
        <v>0</v>
      </c>
      <c r="P298" s="441">
        <f t="shared" si="8"/>
        <v>0</v>
      </c>
      <c r="Q298" s="441">
        <f t="shared" si="5"/>
        <v>0</v>
      </c>
      <c r="R298" s="924">
        <v>0.15</v>
      </c>
      <c r="S298" s="253">
        <f t="shared" si="6"/>
        <v>0</v>
      </c>
      <c r="T298" s="921">
        <v>3.7499999999999999E-2</v>
      </c>
    </row>
    <row r="299" spans="1:20" outlineLevel="1" x14ac:dyDescent="0.2">
      <c r="A299" s="922" t="s">
        <v>28</v>
      </c>
      <c r="B299" s="442" t="s">
        <v>222</v>
      </c>
      <c r="C299" s="854" t="s">
        <v>31</v>
      </c>
      <c r="D299" s="854" t="s">
        <v>30</v>
      </c>
      <c r="E299" s="854" t="s">
        <v>101</v>
      </c>
      <c r="F299" s="854" t="s">
        <v>56</v>
      </c>
      <c r="G299" s="587"/>
      <c r="H299" s="587"/>
      <c r="I299" s="920"/>
      <c r="J299" s="588"/>
      <c r="K299" s="441"/>
      <c r="L299" s="441"/>
      <c r="M299" s="441"/>
      <c r="N299" s="925"/>
      <c r="O299" s="253">
        <f t="shared" si="7"/>
        <v>0</v>
      </c>
      <c r="P299" s="441">
        <f t="shared" si="8"/>
        <v>0</v>
      </c>
      <c r="Q299" s="441">
        <f t="shared" si="5"/>
        <v>0</v>
      </c>
      <c r="R299" s="924">
        <v>0.15</v>
      </c>
      <c r="S299" s="253">
        <f t="shared" si="6"/>
        <v>0</v>
      </c>
      <c r="T299" s="921">
        <v>3.7499999999999999E-2</v>
      </c>
    </row>
    <row r="300" spans="1:20" outlineLevel="1" x14ac:dyDescent="0.2">
      <c r="A300" s="922"/>
      <c r="B300" s="442" t="s">
        <v>226</v>
      </c>
      <c r="C300" s="854" t="s">
        <v>31</v>
      </c>
      <c r="D300" s="854" t="s">
        <v>30</v>
      </c>
      <c r="E300" s="854" t="s">
        <v>101</v>
      </c>
      <c r="F300" s="854" t="s">
        <v>56</v>
      </c>
      <c r="G300" s="587"/>
      <c r="H300" s="587"/>
      <c r="I300" s="920"/>
      <c r="J300" s="588"/>
      <c r="K300" s="441"/>
      <c r="L300" s="441"/>
      <c r="M300" s="441"/>
      <c r="N300" s="925"/>
      <c r="O300" s="253">
        <f t="shared" si="7"/>
        <v>0</v>
      </c>
      <c r="P300" s="441">
        <f>ROUND(18.75%*O300,2)</f>
        <v>0</v>
      </c>
      <c r="Q300" s="441">
        <f t="shared" si="5"/>
        <v>0</v>
      </c>
      <c r="R300" s="924">
        <v>0.15</v>
      </c>
      <c r="S300" s="253">
        <f t="shared" si="6"/>
        <v>0</v>
      </c>
      <c r="T300" s="921">
        <v>3.7499999999999999E-2</v>
      </c>
    </row>
    <row r="301" spans="1:20" outlineLevel="1" x14ac:dyDescent="0.2">
      <c r="A301" s="1000"/>
      <c r="B301" s="1001" t="s">
        <v>225</v>
      </c>
      <c r="C301" s="1002" t="s">
        <v>31</v>
      </c>
      <c r="D301" s="1002" t="s">
        <v>30</v>
      </c>
      <c r="E301" s="1002" t="s">
        <v>101</v>
      </c>
      <c r="F301" s="1002" t="s">
        <v>56</v>
      </c>
      <c r="G301" s="587"/>
      <c r="H301" s="587"/>
      <c r="I301" s="1003"/>
      <c r="J301" s="588"/>
      <c r="K301" s="1004"/>
      <c r="L301" s="1004"/>
      <c r="M301" s="1004"/>
      <c r="N301" s="1005"/>
      <c r="O301" s="253">
        <f t="shared" si="7"/>
        <v>0</v>
      </c>
      <c r="P301" s="1004">
        <f t="shared" si="8"/>
        <v>0</v>
      </c>
      <c r="Q301" s="1004">
        <f t="shared" si="5"/>
        <v>0</v>
      </c>
      <c r="R301" s="1006">
        <v>0.15</v>
      </c>
      <c r="S301" s="253">
        <f t="shared" si="6"/>
        <v>0</v>
      </c>
      <c r="T301" s="921">
        <v>3.7499999999999999E-2</v>
      </c>
    </row>
    <row r="302" spans="1:20" outlineLevel="1" x14ac:dyDescent="0.2">
      <c r="A302" s="993"/>
      <c r="B302" s="994" t="s">
        <v>362</v>
      </c>
      <c r="C302" s="995" t="s">
        <v>31</v>
      </c>
      <c r="D302" s="995" t="s">
        <v>30</v>
      </c>
      <c r="E302" s="995" t="s">
        <v>101</v>
      </c>
      <c r="F302" s="995" t="s">
        <v>56</v>
      </c>
      <c r="G302" s="927"/>
      <c r="H302" s="927"/>
      <c r="I302" s="929"/>
      <c r="J302" s="949"/>
      <c r="K302" s="909"/>
      <c r="L302" s="909"/>
      <c r="M302" s="909"/>
      <c r="N302" s="997"/>
      <c r="O302" s="909">
        <f t="shared" si="7"/>
        <v>0</v>
      </c>
      <c r="P302" s="909">
        <f t="shared" si="8"/>
        <v>0</v>
      </c>
      <c r="Q302" s="909">
        <f t="shared" si="5"/>
        <v>0</v>
      </c>
      <c r="R302" s="998">
        <v>0.15</v>
      </c>
      <c r="S302" s="909">
        <f t="shared" si="6"/>
        <v>0</v>
      </c>
      <c r="T302" s="999">
        <v>3.7499999999999999E-2</v>
      </c>
    </row>
    <row r="303" spans="1:20" outlineLevel="1" x14ac:dyDescent="0.2">
      <c r="A303" s="596"/>
      <c r="B303" s="596"/>
      <c r="C303" s="596"/>
      <c r="D303" s="596"/>
      <c r="E303" s="596"/>
      <c r="F303" s="596"/>
      <c r="G303" s="902">
        <f>SUM(G295:G302)</f>
        <v>0</v>
      </c>
      <c r="H303" s="902">
        <f>SUM(H295:H301)</f>
        <v>0</v>
      </c>
      <c r="I303" s="902"/>
      <c r="J303" s="677"/>
      <c r="K303" s="677"/>
      <c r="L303" s="596"/>
      <c r="M303" s="596"/>
      <c r="N303" s="751">
        <f>SUM(N295:N302)</f>
        <v>0</v>
      </c>
      <c r="O303" s="734">
        <f>SUM(O295:O302)</f>
        <v>0</v>
      </c>
      <c r="P303" s="734">
        <f>SUM(P295:P302)</f>
        <v>0</v>
      </c>
      <c r="Q303" s="734">
        <f>SUM(Q295:Q302)</f>
        <v>0</v>
      </c>
      <c r="R303" s="596"/>
      <c r="S303" s="734">
        <f>SUM(S295:S302)</f>
        <v>0</v>
      </c>
      <c r="T303" s="596"/>
    </row>
    <row r="304" spans="1:20" outlineLevel="1" x14ac:dyDescent="0.2">
      <c r="A304" s="596"/>
      <c r="B304" s="596"/>
      <c r="C304" s="596"/>
      <c r="D304" s="596"/>
      <c r="E304" s="596"/>
      <c r="F304" s="596"/>
      <c r="G304" s="677"/>
      <c r="H304" s="677"/>
      <c r="I304" s="677"/>
      <c r="J304" s="677"/>
      <c r="K304" s="677"/>
      <c r="L304" s="596"/>
      <c r="M304" s="596"/>
      <c r="N304" s="950"/>
      <c r="O304" s="597"/>
      <c r="P304" s="597"/>
      <c r="Q304" s="597">
        <f>SUM(Q300:Q302)</f>
        <v>0</v>
      </c>
      <c r="R304" s="596"/>
      <c r="S304" s="597">
        <f>SUM(S300:S302)</f>
        <v>0</v>
      </c>
      <c r="T304" s="596"/>
    </row>
    <row r="305" spans="1:20" ht="15.75" outlineLevel="1" x14ac:dyDescent="0.25">
      <c r="A305" s="887" t="s">
        <v>229</v>
      </c>
      <c r="B305" s="596"/>
      <c r="C305" s="596"/>
      <c r="D305" s="596"/>
      <c r="E305" s="596"/>
      <c r="F305" s="596"/>
      <c r="G305" s="677"/>
      <c r="H305" s="677"/>
      <c r="I305" s="677"/>
      <c r="J305" s="677"/>
      <c r="K305" s="677"/>
      <c r="L305" s="596"/>
      <c r="M305" s="596"/>
      <c r="N305" s="950"/>
      <c r="O305" s="596"/>
      <c r="P305" s="596"/>
      <c r="Q305" s="597"/>
      <c r="R305" s="596"/>
      <c r="S305" s="597"/>
      <c r="T305" s="596"/>
    </row>
    <row r="306" spans="1:20" outlineLevel="1" x14ac:dyDescent="0.2">
      <c r="A306" s="888" t="s">
        <v>28</v>
      </c>
      <c r="B306" s="889" t="s">
        <v>218</v>
      </c>
      <c r="C306" s="890" t="s">
        <v>31</v>
      </c>
      <c r="D306" s="890" t="s">
        <v>30</v>
      </c>
      <c r="E306" s="890" t="s">
        <v>101</v>
      </c>
      <c r="F306" s="891" t="s">
        <v>56</v>
      </c>
      <c r="G306" s="913">
        <f>G295</f>
        <v>0</v>
      </c>
      <c r="H306" s="914"/>
      <c r="I306" s="915">
        <f>I295</f>
        <v>0</v>
      </c>
      <c r="J306" s="916"/>
      <c r="K306" s="420"/>
      <c r="L306" s="420"/>
      <c r="M306" s="420"/>
      <c r="N306" s="904">
        <f>N295</f>
        <v>0</v>
      </c>
      <c r="O306" s="420">
        <f t="shared" ref="O306:O312" si="9">ROUND(G306*I306,2)+ROUND(H306*J306,2)-K306-L306-M306-N306</f>
        <v>0</v>
      </c>
      <c r="P306" s="420">
        <f t="shared" ref="P306:P313" si="10">ROUND(18.75%*O306,2)</f>
        <v>0</v>
      </c>
      <c r="Q306" s="420">
        <f t="shared" ref="Q306:Q313" si="11">ROUND($O306*R306,2)</f>
        <v>0</v>
      </c>
      <c r="R306" s="893">
        <v>0.15</v>
      </c>
      <c r="S306" s="420">
        <f t="shared" ref="S306:S313" si="12">ROUND($O306*T306,2)</f>
        <v>0</v>
      </c>
      <c r="T306" s="919">
        <v>3.7499999999999999E-2</v>
      </c>
    </row>
    <row r="307" spans="1:20" outlineLevel="1" x14ac:dyDescent="0.2">
      <c r="A307" s="894" t="s">
        <v>28</v>
      </c>
      <c r="B307" s="456" t="s">
        <v>219</v>
      </c>
      <c r="C307" s="378" t="s">
        <v>31</v>
      </c>
      <c r="D307" s="378" t="s">
        <v>30</v>
      </c>
      <c r="E307" s="378" t="s">
        <v>101</v>
      </c>
      <c r="F307" s="586" t="s">
        <v>56</v>
      </c>
      <c r="G307" s="933">
        <f>G296</f>
        <v>0</v>
      </c>
      <c r="H307" s="587"/>
      <c r="I307" s="920">
        <f>I296</f>
        <v>0</v>
      </c>
      <c r="J307" s="588"/>
      <c r="K307" s="253"/>
      <c r="L307" s="253"/>
      <c r="M307" s="253"/>
      <c r="N307" s="557"/>
      <c r="O307" s="253">
        <f t="shared" si="9"/>
        <v>0</v>
      </c>
      <c r="P307" s="253">
        <f t="shared" si="10"/>
        <v>0</v>
      </c>
      <c r="Q307" s="253">
        <f t="shared" si="11"/>
        <v>0</v>
      </c>
      <c r="R307" s="775">
        <v>0.15</v>
      </c>
      <c r="S307" s="253">
        <f t="shared" si="12"/>
        <v>0</v>
      </c>
      <c r="T307" s="921">
        <v>3.7499999999999999E-2</v>
      </c>
    </row>
    <row r="308" spans="1:20" outlineLevel="1" x14ac:dyDescent="0.2">
      <c r="A308" s="894" t="s">
        <v>28</v>
      </c>
      <c r="B308" s="456" t="s">
        <v>217</v>
      </c>
      <c r="C308" s="378" t="s">
        <v>31</v>
      </c>
      <c r="D308" s="378" t="s">
        <v>30</v>
      </c>
      <c r="E308" s="378" t="s">
        <v>101</v>
      </c>
      <c r="F308" s="586" t="s">
        <v>56</v>
      </c>
      <c r="G308" s="933">
        <f t="shared" ref="G308:G313" si="13">G297</f>
        <v>0</v>
      </c>
      <c r="H308" s="587"/>
      <c r="I308" s="920">
        <f t="shared" ref="I308:I313" si="14">I297</f>
        <v>0</v>
      </c>
      <c r="J308" s="588"/>
      <c r="K308" s="253"/>
      <c r="L308" s="253"/>
      <c r="M308" s="253"/>
      <c r="N308" s="557"/>
      <c r="O308" s="253">
        <f t="shared" si="9"/>
        <v>0</v>
      </c>
      <c r="P308" s="253">
        <f t="shared" si="10"/>
        <v>0</v>
      </c>
      <c r="Q308" s="253">
        <f t="shared" si="11"/>
        <v>0</v>
      </c>
      <c r="R308" s="775">
        <v>0.15</v>
      </c>
      <c r="S308" s="253">
        <f t="shared" si="12"/>
        <v>0</v>
      </c>
      <c r="T308" s="921">
        <v>3.7499999999999999E-2</v>
      </c>
    </row>
    <row r="309" spans="1:20" outlineLevel="1" x14ac:dyDescent="0.2">
      <c r="A309" s="894" t="s">
        <v>28</v>
      </c>
      <c r="B309" s="456" t="s">
        <v>220</v>
      </c>
      <c r="C309" s="378" t="s">
        <v>31</v>
      </c>
      <c r="D309" s="378" t="s">
        <v>30</v>
      </c>
      <c r="E309" s="378" t="s">
        <v>101</v>
      </c>
      <c r="F309" s="586" t="s">
        <v>56</v>
      </c>
      <c r="G309" s="933">
        <f t="shared" si="13"/>
        <v>0</v>
      </c>
      <c r="H309" s="587"/>
      <c r="I309" s="920">
        <f t="shared" si="14"/>
        <v>0</v>
      </c>
      <c r="J309" s="588"/>
      <c r="K309" s="253"/>
      <c r="L309" s="253"/>
      <c r="M309" s="253"/>
      <c r="N309" s="557"/>
      <c r="O309" s="253">
        <f t="shared" si="9"/>
        <v>0</v>
      </c>
      <c r="P309" s="253">
        <f t="shared" si="10"/>
        <v>0</v>
      </c>
      <c r="Q309" s="253">
        <f t="shared" si="11"/>
        <v>0</v>
      </c>
      <c r="R309" s="775">
        <v>0.15</v>
      </c>
      <c r="S309" s="253">
        <f t="shared" si="12"/>
        <v>0</v>
      </c>
      <c r="T309" s="921">
        <v>3.7499999999999999E-2</v>
      </c>
    </row>
    <row r="310" spans="1:20" outlineLevel="1" x14ac:dyDescent="0.2">
      <c r="A310" s="894" t="s">
        <v>28</v>
      </c>
      <c r="B310" s="456" t="s">
        <v>222</v>
      </c>
      <c r="C310" s="378" t="s">
        <v>31</v>
      </c>
      <c r="D310" s="378" t="s">
        <v>30</v>
      </c>
      <c r="E310" s="378" t="s">
        <v>101</v>
      </c>
      <c r="F310" s="586" t="s">
        <v>56</v>
      </c>
      <c r="G310" s="933">
        <f t="shared" si="13"/>
        <v>0</v>
      </c>
      <c r="H310" s="587"/>
      <c r="I310" s="920">
        <f t="shared" si="14"/>
        <v>0</v>
      </c>
      <c r="J310" s="588"/>
      <c r="K310" s="253"/>
      <c r="L310" s="253"/>
      <c r="M310" s="253"/>
      <c r="N310" s="934"/>
      <c r="O310" s="253">
        <f t="shared" si="9"/>
        <v>0</v>
      </c>
      <c r="P310" s="253">
        <f t="shared" si="10"/>
        <v>0</v>
      </c>
      <c r="Q310" s="253">
        <f t="shared" si="11"/>
        <v>0</v>
      </c>
      <c r="R310" s="775">
        <v>0.15</v>
      </c>
      <c r="S310" s="253">
        <f t="shared" si="12"/>
        <v>0</v>
      </c>
      <c r="T310" s="921">
        <v>3.7499999999999999E-2</v>
      </c>
    </row>
    <row r="311" spans="1:20" outlineLevel="1" x14ac:dyDescent="0.2">
      <c r="A311" s="894"/>
      <c r="B311" s="456" t="s">
        <v>226</v>
      </c>
      <c r="C311" s="378" t="s">
        <v>31</v>
      </c>
      <c r="D311" s="378" t="s">
        <v>30</v>
      </c>
      <c r="E311" s="378" t="s">
        <v>101</v>
      </c>
      <c r="F311" s="586" t="s">
        <v>56</v>
      </c>
      <c r="G311" s="933">
        <f t="shared" si="13"/>
        <v>0</v>
      </c>
      <c r="H311" s="587"/>
      <c r="I311" s="920">
        <f t="shared" si="14"/>
        <v>0</v>
      </c>
      <c r="J311" s="588"/>
      <c r="K311" s="253"/>
      <c r="L311" s="253"/>
      <c r="M311" s="253"/>
      <c r="N311" s="934"/>
      <c r="O311" s="253">
        <f t="shared" si="9"/>
        <v>0</v>
      </c>
      <c r="P311" s="253">
        <f t="shared" si="10"/>
        <v>0</v>
      </c>
      <c r="Q311" s="253">
        <f t="shared" si="11"/>
        <v>0</v>
      </c>
      <c r="R311" s="775">
        <v>0.15</v>
      </c>
      <c r="S311" s="253">
        <f t="shared" si="12"/>
        <v>0</v>
      </c>
      <c r="T311" s="921">
        <v>3.7499999999999999E-2</v>
      </c>
    </row>
    <row r="312" spans="1:20" outlineLevel="1" x14ac:dyDescent="0.2">
      <c r="A312" s="1007"/>
      <c r="B312" s="1008" t="s">
        <v>225</v>
      </c>
      <c r="C312" s="1009" t="s">
        <v>31</v>
      </c>
      <c r="D312" s="1009" t="s">
        <v>30</v>
      </c>
      <c r="E312" s="1009" t="s">
        <v>101</v>
      </c>
      <c r="F312" s="1010" t="s">
        <v>56</v>
      </c>
      <c r="G312" s="933">
        <f t="shared" si="13"/>
        <v>0</v>
      </c>
      <c r="H312" s="1011"/>
      <c r="I312" s="920">
        <f t="shared" si="14"/>
        <v>0</v>
      </c>
      <c r="J312" s="1012"/>
      <c r="K312" s="1013"/>
      <c r="L312" s="1013"/>
      <c r="M312" s="1013"/>
      <c r="N312" s="1014"/>
      <c r="O312" s="1013">
        <f t="shared" si="9"/>
        <v>0</v>
      </c>
      <c r="P312" s="1013">
        <f t="shared" si="10"/>
        <v>0</v>
      </c>
      <c r="Q312" s="1013">
        <f t="shared" si="11"/>
        <v>0</v>
      </c>
      <c r="R312" s="1015">
        <v>0.15</v>
      </c>
      <c r="S312" s="1013">
        <f t="shared" si="12"/>
        <v>0</v>
      </c>
      <c r="T312" s="1016">
        <v>3.7499999999999999E-2</v>
      </c>
    </row>
    <row r="313" spans="1:20" outlineLevel="1" x14ac:dyDescent="0.2">
      <c r="A313" s="993"/>
      <c r="B313" s="994" t="s">
        <v>362</v>
      </c>
      <c r="C313" s="995" t="s">
        <v>31</v>
      </c>
      <c r="D313" s="995" t="s">
        <v>30</v>
      </c>
      <c r="E313" s="995" t="s">
        <v>101</v>
      </c>
      <c r="F313" s="995" t="s">
        <v>56</v>
      </c>
      <c r="G313" s="1068">
        <f t="shared" si="13"/>
        <v>0</v>
      </c>
      <c r="H313" s="996"/>
      <c r="I313" s="949">
        <f t="shared" si="14"/>
        <v>0</v>
      </c>
      <c r="J313" s="949"/>
      <c r="K313" s="909"/>
      <c r="L313" s="909"/>
      <c r="M313" s="909"/>
      <c r="N313" s="997"/>
      <c r="O313" s="909">
        <f>ROUND(G313*I313,2)+ROUND(H313*J313,2)-K313-L313-M313-N313</f>
        <v>0</v>
      </c>
      <c r="P313" s="909">
        <f t="shared" si="10"/>
        <v>0</v>
      </c>
      <c r="Q313" s="909">
        <f t="shared" si="11"/>
        <v>0</v>
      </c>
      <c r="R313" s="998">
        <v>0.15</v>
      </c>
      <c r="S313" s="909">
        <f t="shared" si="12"/>
        <v>0</v>
      </c>
      <c r="T313" s="999">
        <v>3.7499999999999999E-2</v>
      </c>
    </row>
    <row r="314" spans="1:20" outlineLevel="1" x14ac:dyDescent="0.2">
      <c r="A314" s="596"/>
      <c r="B314" s="596"/>
      <c r="C314" s="596"/>
      <c r="D314" s="596"/>
      <c r="E314" s="596"/>
      <c r="F314" s="596"/>
      <c r="G314" s="902">
        <f>SUM(G306:G313)</f>
        <v>0</v>
      </c>
      <c r="H314" s="902"/>
      <c r="I314" s="937" t="e">
        <f>O314/G314</f>
        <v>#DIV/0!</v>
      </c>
      <c r="J314" s="937"/>
      <c r="K314" s="677"/>
      <c r="L314" s="596"/>
      <c r="M314" s="596"/>
      <c r="N314" s="1059">
        <f>SUM(N306:N312)</f>
        <v>0</v>
      </c>
      <c r="O314" s="734">
        <f>SUM(O306:O313)</f>
        <v>0</v>
      </c>
      <c r="P314" s="734">
        <f>SUM(P306:P313)</f>
        <v>0</v>
      </c>
      <c r="Q314" s="734">
        <f>SUM(Q306:Q312)</f>
        <v>0</v>
      </c>
      <c r="R314" s="734">
        <f>SUM(R306:R313)</f>
        <v>1.2</v>
      </c>
      <c r="S314" s="734">
        <f>SUM(S306:S312)</f>
        <v>0</v>
      </c>
      <c r="T314" s="734">
        <f>SUM(T306:T313)</f>
        <v>0.3</v>
      </c>
    </row>
    <row r="315" spans="1:20" outlineLevel="1" x14ac:dyDescent="0.2">
      <c r="A315" s="596"/>
      <c r="B315" s="596"/>
      <c r="C315" s="596"/>
      <c r="D315" s="596"/>
      <c r="E315" s="596"/>
      <c r="F315" s="596"/>
      <c r="G315" s="677"/>
      <c r="H315" s="677"/>
      <c r="I315" s="677"/>
      <c r="J315" s="677"/>
      <c r="K315" s="677"/>
      <c r="L315" s="596"/>
      <c r="M315" s="596"/>
      <c r="N315" s="950"/>
      <c r="O315" s="683">
        <f>+O314+O326</f>
        <v>0</v>
      </c>
      <c r="P315" s="596"/>
      <c r="Q315" s="596"/>
      <c r="R315" s="596"/>
      <c r="S315" s="596"/>
      <c r="T315" s="596"/>
    </row>
    <row r="316" spans="1:20" outlineLevel="1" x14ac:dyDescent="0.2">
      <c r="A316" s="596"/>
      <c r="B316" s="596"/>
      <c r="C316" s="596"/>
      <c r="D316" s="596"/>
      <c r="E316" s="596"/>
      <c r="F316" s="596"/>
      <c r="G316" s="677"/>
      <c r="H316" s="677"/>
      <c r="I316" s="677"/>
      <c r="J316" s="677"/>
      <c r="K316" s="677"/>
      <c r="L316" s="596"/>
      <c r="M316" s="596"/>
      <c r="N316" s="950"/>
      <c r="O316" s="597">
        <f>+O315-O303</f>
        <v>0</v>
      </c>
      <c r="P316" s="596"/>
      <c r="Q316" s="596"/>
      <c r="R316" s="596"/>
      <c r="S316" s="596"/>
      <c r="T316" s="596"/>
    </row>
    <row r="317" spans="1:20" ht="15.75" outlineLevel="1" x14ac:dyDescent="0.25">
      <c r="A317" s="887" t="s">
        <v>230</v>
      </c>
      <c r="B317" s="596"/>
      <c r="C317" s="596"/>
      <c r="D317" s="596"/>
      <c r="E317" s="596"/>
      <c r="F317" s="596"/>
      <c r="G317" s="677"/>
      <c r="H317" s="677"/>
      <c r="I317" s="677"/>
      <c r="J317" s="677"/>
      <c r="K317" s="677"/>
      <c r="L317" s="596"/>
      <c r="M317" s="596"/>
      <c r="N317" s="950"/>
      <c r="O317" s="596"/>
      <c r="P317" s="596"/>
      <c r="Q317" s="597"/>
      <c r="R317" s="596"/>
      <c r="S317" s="596"/>
      <c r="T317" s="596"/>
    </row>
    <row r="318" spans="1:20" outlineLevel="1" x14ac:dyDescent="0.2">
      <c r="A318" s="888" t="s">
        <v>28</v>
      </c>
      <c r="B318" s="889" t="s">
        <v>218</v>
      </c>
      <c r="C318" s="890" t="s">
        <v>31</v>
      </c>
      <c r="D318" s="890" t="s">
        <v>30</v>
      </c>
      <c r="E318" s="890" t="s">
        <v>101</v>
      </c>
      <c r="F318" s="891" t="s">
        <v>56</v>
      </c>
      <c r="G318" s="914"/>
      <c r="H318" s="947">
        <f>H295</f>
        <v>0</v>
      </c>
      <c r="I318" s="916"/>
      <c r="J318" s="947">
        <f>J295</f>
        <v>0</v>
      </c>
      <c r="K318" s="420"/>
      <c r="L318" s="420"/>
      <c r="M318" s="420"/>
      <c r="N318" s="1060"/>
      <c r="O318" s="420">
        <f>ROUND(G318*I318,2)+ROUND(H318*J318,2)-K318-L318-M318-N318</f>
        <v>0</v>
      </c>
      <c r="P318" s="420">
        <f>ROUND(18.75%*O318,2)</f>
        <v>0</v>
      </c>
      <c r="Q318" s="420" cm="1">
        <f t="array" aca="1" ref="Q318" ca="1">REDON+I336+Q318</f>
        <v>0</v>
      </c>
      <c r="R318" s="893">
        <v>0.15</v>
      </c>
      <c r="S318" s="420">
        <f t="shared" ref="S318:S325" si="15">ROUND($O318*T318,2)</f>
        <v>0</v>
      </c>
      <c r="T318" s="919">
        <v>3.7499999999999999E-2</v>
      </c>
    </row>
    <row r="319" spans="1:20" outlineLevel="1" x14ac:dyDescent="0.2">
      <c r="A319" s="894" t="s">
        <v>28</v>
      </c>
      <c r="B319" s="456" t="s">
        <v>219</v>
      </c>
      <c r="C319" s="378" t="s">
        <v>31</v>
      </c>
      <c r="D319" s="378" t="s">
        <v>30</v>
      </c>
      <c r="E319" s="378" t="s">
        <v>101</v>
      </c>
      <c r="F319" s="586" t="s">
        <v>56</v>
      </c>
      <c r="G319" s="587"/>
      <c r="H319" s="1011">
        <f>H296</f>
        <v>0</v>
      </c>
      <c r="I319" s="588"/>
      <c r="J319" s="588">
        <f>J296</f>
        <v>0</v>
      </c>
      <c r="K319" s="253"/>
      <c r="L319" s="253"/>
      <c r="M319" s="253"/>
      <c r="N319" s="557"/>
      <c r="O319" s="253">
        <f t="shared" ref="O319:O325" si="16">ROUND(G319*I319,2)+ROUND(H319*J319,2)-K319-L319-M319-N319</f>
        <v>0</v>
      </c>
      <c r="P319" s="253">
        <f t="shared" ref="P319:P325" si="17">ROUND(18.75%*O319,2)</f>
        <v>0</v>
      </c>
      <c r="Q319" s="253">
        <f t="shared" ref="Q319:Q325" si="18">ROUND($O319*R319,2)</f>
        <v>0</v>
      </c>
      <c r="R319" s="775">
        <v>0.15</v>
      </c>
      <c r="S319" s="253">
        <f t="shared" si="15"/>
        <v>0</v>
      </c>
      <c r="T319" s="921">
        <v>3.7499999999999999E-2</v>
      </c>
    </row>
    <row r="320" spans="1:20" outlineLevel="1" x14ac:dyDescent="0.2">
      <c r="A320" s="894" t="s">
        <v>28</v>
      </c>
      <c r="B320" s="456" t="s">
        <v>217</v>
      </c>
      <c r="C320" s="378" t="s">
        <v>31</v>
      </c>
      <c r="D320" s="378" t="s">
        <v>30</v>
      </c>
      <c r="E320" s="378" t="s">
        <v>101</v>
      </c>
      <c r="F320" s="586" t="s">
        <v>56</v>
      </c>
      <c r="G320" s="587"/>
      <c r="H320" s="933"/>
      <c r="I320" s="588"/>
      <c r="J320" s="588"/>
      <c r="K320" s="253"/>
      <c r="L320" s="253"/>
      <c r="M320" s="253"/>
      <c r="N320" s="557"/>
      <c r="O320" s="253">
        <f t="shared" si="16"/>
        <v>0</v>
      </c>
      <c r="P320" s="253">
        <f t="shared" si="17"/>
        <v>0</v>
      </c>
      <c r="Q320" s="253">
        <f t="shared" si="18"/>
        <v>0</v>
      </c>
      <c r="R320" s="775">
        <v>0.15</v>
      </c>
      <c r="S320" s="253">
        <f t="shared" si="15"/>
        <v>0</v>
      </c>
      <c r="T320" s="921">
        <v>3.7499999999999999E-2</v>
      </c>
    </row>
    <row r="321" spans="1:20" outlineLevel="1" x14ac:dyDescent="0.2">
      <c r="A321" s="894" t="s">
        <v>28</v>
      </c>
      <c r="B321" s="456" t="s">
        <v>220</v>
      </c>
      <c r="C321" s="378" t="s">
        <v>31</v>
      </c>
      <c r="D321" s="378" t="s">
        <v>30</v>
      </c>
      <c r="E321" s="378" t="s">
        <v>101</v>
      </c>
      <c r="F321" s="586" t="s">
        <v>56</v>
      </c>
      <c r="G321" s="587"/>
      <c r="H321" s="933"/>
      <c r="I321" s="588"/>
      <c r="J321" s="588"/>
      <c r="K321" s="253"/>
      <c r="L321" s="253"/>
      <c r="M321" s="253"/>
      <c r="N321" s="557"/>
      <c r="O321" s="253">
        <f t="shared" si="16"/>
        <v>0</v>
      </c>
      <c r="P321" s="253">
        <f t="shared" si="17"/>
        <v>0</v>
      </c>
      <c r="Q321" s="253">
        <f t="shared" si="18"/>
        <v>0</v>
      </c>
      <c r="R321" s="775">
        <v>0.15</v>
      </c>
      <c r="S321" s="253">
        <f t="shared" si="15"/>
        <v>0</v>
      </c>
      <c r="T321" s="921">
        <v>3.7499999999999999E-2</v>
      </c>
    </row>
    <row r="322" spans="1:20" outlineLevel="1" x14ac:dyDescent="0.2">
      <c r="A322" s="894" t="s">
        <v>28</v>
      </c>
      <c r="B322" s="456" t="s">
        <v>222</v>
      </c>
      <c r="C322" s="378" t="s">
        <v>31</v>
      </c>
      <c r="D322" s="378" t="s">
        <v>30</v>
      </c>
      <c r="E322" s="378" t="s">
        <v>101</v>
      </c>
      <c r="F322" s="586" t="s">
        <v>56</v>
      </c>
      <c r="G322" s="587"/>
      <c r="H322" s="933"/>
      <c r="I322" s="588"/>
      <c r="J322" s="588"/>
      <c r="K322" s="253"/>
      <c r="L322" s="253"/>
      <c r="M322" s="253"/>
      <c r="N322" s="934"/>
      <c r="O322" s="253">
        <f t="shared" si="16"/>
        <v>0</v>
      </c>
      <c r="P322" s="253">
        <f t="shared" si="17"/>
        <v>0</v>
      </c>
      <c r="Q322" s="253">
        <f t="shared" si="18"/>
        <v>0</v>
      </c>
      <c r="R322" s="775">
        <v>0.15</v>
      </c>
      <c r="S322" s="253">
        <f t="shared" si="15"/>
        <v>0</v>
      </c>
      <c r="T322" s="921">
        <v>3.7499999999999999E-2</v>
      </c>
    </row>
    <row r="323" spans="1:20" outlineLevel="1" x14ac:dyDescent="0.2">
      <c r="A323" s="894"/>
      <c r="B323" s="456" t="s">
        <v>226</v>
      </c>
      <c r="C323" s="378" t="s">
        <v>31</v>
      </c>
      <c r="D323" s="378" t="s">
        <v>30</v>
      </c>
      <c r="E323" s="378" t="s">
        <v>101</v>
      </c>
      <c r="F323" s="586" t="s">
        <v>56</v>
      </c>
      <c r="G323" s="587"/>
      <c r="H323" s="933">
        <f>H300</f>
        <v>0</v>
      </c>
      <c r="I323" s="588"/>
      <c r="J323" s="588">
        <f>J300</f>
        <v>0</v>
      </c>
      <c r="K323" s="253"/>
      <c r="L323" s="253"/>
      <c r="M323" s="253"/>
      <c r="N323" s="934"/>
      <c r="O323" s="253">
        <f t="shared" si="16"/>
        <v>0</v>
      </c>
      <c r="P323" s="253">
        <f t="shared" si="17"/>
        <v>0</v>
      </c>
      <c r="Q323" s="253">
        <f t="shared" si="18"/>
        <v>0</v>
      </c>
      <c r="R323" s="775">
        <v>0.15</v>
      </c>
      <c r="S323" s="253">
        <f t="shared" si="15"/>
        <v>0</v>
      </c>
      <c r="T323" s="921">
        <v>3.7499999999999999E-2</v>
      </c>
    </row>
    <row r="324" spans="1:20" outlineLevel="1" x14ac:dyDescent="0.2">
      <c r="A324" s="894"/>
      <c r="B324" s="456" t="s">
        <v>225</v>
      </c>
      <c r="C324" s="378" t="s">
        <v>31</v>
      </c>
      <c r="D324" s="378" t="s">
        <v>30</v>
      </c>
      <c r="E324" s="378" t="s">
        <v>101</v>
      </c>
      <c r="F324" s="586" t="s">
        <v>56</v>
      </c>
      <c r="G324" s="587"/>
      <c r="H324" s="933"/>
      <c r="I324" s="588"/>
      <c r="J324" s="933"/>
      <c r="K324" s="253"/>
      <c r="L324" s="253"/>
      <c r="M324" s="253"/>
      <c r="N324" s="557"/>
      <c r="O324" s="253">
        <f t="shared" si="16"/>
        <v>0</v>
      </c>
      <c r="P324" s="253">
        <f t="shared" si="17"/>
        <v>0</v>
      </c>
      <c r="Q324" s="253">
        <f t="shared" si="18"/>
        <v>0</v>
      </c>
      <c r="R324" s="775">
        <v>0.15</v>
      </c>
      <c r="S324" s="253">
        <f t="shared" si="15"/>
        <v>0</v>
      </c>
      <c r="T324" s="921">
        <v>3.7499999999999999E-2</v>
      </c>
    </row>
    <row r="325" spans="1:20" outlineLevel="1" x14ac:dyDescent="0.2">
      <c r="A325" s="993"/>
      <c r="B325" s="994" t="s">
        <v>362</v>
      </c>
      <c r="C325" s="995" t="s">
        <v>31</v>
      </c>
      <c r="D325" s="995" t="s">
        <v>30</v>
      </c>
      <c r="E325" s="995" t="s">
        <v>101</v>
      </c>
      <c r="F325" s="995" t="s">
        <v>56</v>
      </c>
      <c r="G325" s="996"/>
      <c r="H325" s="935">
        <f>H302</f>
        <v>0</v>
      </c>
      <c r="I325" s="949"/>
      <c r="J325" s="929">
        <f>J302</f>
        <v>0</v>
      </c>
      <c r="K325" s="909"/>
      <c r="L325" s="909"/>
      <c r="M325" s="909"/>
      <c r="N325" s="997"/>
      <c r="O325" s="909">
        <f t="shared" si="16"/>
        <v>0</v>
      </c>
      <c r="P325" s="909">
        <f t="shared" si="17"/>
        <v>0</v>
      </c>
      <c r="Q325" s="909">
        <f t="shared" si="18"/>
        <v>0</v>
      </c>
      <c r="R325" s="998">
        <v>0.15</v>
      </c>
      <c r="S325" s="909">
        <f t="shared" si="15"/>
        <v>0</v>
      </c>
      <c r="T325" s="999">
        <v>3.7499999999999999E-2</v>
      </c>
    </row>
    <row r="326" spans="1:20" x14ac:dyDescent="0.2">
      <c r="A326" s="596"/>
      <c r="B326" s="596"/>
      <c r="C326" s="596"/>
      <c r="D326" s="596"/>
      <c r="E326" s="596"/>
      <c r="F326" s="596"/>
      <c r="G326" s="902"/>
      <c r="H326" s="902">
        <f>SUM(H318:H325)</f>
        <v>0</v>
      </c>
      <c r="I326" s="937"/>
      <c r="J326" s="937" t="e">
        <f>O326/H326</f>
        <v>#DIV/0!</v>
      </c>
      <c r="K326" s="677"/>
      <c r="L326" s="596"/>
      <c r="M326" s="596"/>
      <c r="N326" s="1059"/>
      <c r="O326" s="734">
        <f>SUM(O318:O325)</f>
        <v>0</v>
      </c>
      <c r="P326" s="734">
        <f>SUM(P318:P325)</f>
        <v>0</v>
      </c>
      <c r="Q326" s="734">
        <f ca="1">SUM(Q318:Q325)</f>
        <v>0</v>
      </c>
      <c r="R326" s="596"/>
      <c r="S326" s="734">
        <f>SUM(S318:S325)</f>
        <v>0</v>
      </c>
      <c r="T326" s="596"/>
    </row>
    <row r="327" spans="1:20" x14ac:dyDescent="0.2">
      <c r="A327" s="596"/>
      <c r="B327" s="596"/>
      <c r="C327" s="596"/>
      <c r="D327" s="596"/>
      <c r="E327" s="596"/>
      <c r="F327" s="596"/>
      <c r="G327" s="677"/>
      <c r="H327" s="677"/>
      <c r="I327" s="677"/>
      <c r="J327" s="677"/>
      <c r="K327" s="677"/>
      <c r="L327" s="596"/>
      <c r="M327" s="596"/>
      <c r="N327" s="950"/>
      <c r="O327" s="596"/>
      <c r="P327" s="596"/>
      <c r="Q327" s="596"/>
      <c r="R327" s="596"/>
      <c r="S327" s="596"/>
      <c r="T327" s="596"/>
    </row>
    <row r="328" spans="1:20" x14ac:dyDescent="0.2">
      <c r="A328" s="596"/>
      <c r="B328" s="596"/>
      <c r="C328" s="596"/>
      <c r="D328" s="596"/>
      <c r="E328" s="596"/>
      <c r="F328" s="596"/>
      <c r="G328" s="596"/>
      <c r="H328" s="596"/>
      <c r="I328" s="596"/>
      <c r="J328" s="596"/>
      <c r="K328" s="596"/>
      <c r="L328" s="596"/>
      <c r="M328" s="596"/>
      <c r="N328" s="1061"/>
      <c r="O328" s="596"/>
      <c r="P328" s="596"/>
      <c r="Q328" s="596"/>
      <c r="R328" s="596"/>
      <c r="S328" s="596"/>
      <c r="T328" s="596"/>
    </row>
    <row r="329" spans="1:20" x14ac:dyDescent="0.2">
      <c r="A329" s="596"/>
      <c r="B329" s="596"/>
      <c r="C329" s="596"/>
      <c r="D329" s="596"/>
      <c r="E329" s="596"/>
      <c r="F329" s="596"/>
      <c r="G329" s="677"/>
      <c r="H329" s="677"/>
      <c r="I329" s="677"/>
      <c r="J329" s="677"/>
      <c r="K329" s="677"/>
      <c r="L329" s="596"/>
      <c r="M329" s="596"/>
      <c r="N329" s="1061"/>
      <c r="O329" s="596"/>
      <c r="P329" s="596"/>
      <c r="Q329" s="596"/>
      <c r="R329" s="596"/>
      <c r="S329" s="596"/>
      <c r="T329" s="596"/>
    </row>
    <row r="330" spans="1:20" outlineLevel="1" x14ac:dyDescent="0.2">
      <c r="A330" s="880" t="s">
        <v>231</v>
      </c>
      <c r="B330" s="596"/>
      <c r="C330" s="596" t="s">
        <v>330</v>
      </c>
      <c r="D330" s="596"/>
      <c r="E330" s="596"/>
      <c r="F330" s="596"/>
      <c r="G330" s="596"/>
      <c r="H330" s="596"/>
      <c r="I330" s="596"/>
      <c r="J330" s="596"/>
      <c r="K330" s="596"/>
      <c r="L330" s="596"/>
      <c r="M330" s="596"/>
      <c r="N330" s="1061"/>
      <c r="O330" s="596"/>
      <c r="P330" s="596"/>
      <c r="Q330" s="596"/>
      <c r="R330" s="596"/>
      <c r="S330" s="596"/>
      <c r="T330" s="596"/>
    </row>
    <row r="331" spans="1:20" ht="15.75" outlineLevel="1" x14ac:dyDescent="0.25">
      <c r="A331" s="887" t="s">
        <v>228</v>
      </c>
      <c r="B331" s="596"/>
      <c r="C331" s="596"/>
      <c r="D331" s="596"/>
      <c r="E331" s="596"/>
      <c r="F331" s="596"/>
      <c r="G331" s="704" t="s">
        <v>35</v>
      </c>
      <c r="H331" s="705" t="s">
        <v>36</v>
      </c>
      <c r="I331" s="705" t="s">
        <v>35</v>
      </c>
      <c r="J331" s="704" t="s">
        <v>36</v>
      </c>
      <c r="K331" s="704" t="s">
        <v>39</v>
      </c>
      <c r="L331" s="704" t="s">
        <v>40</v>
      </c>
      <c r="M331" s="704" t="s">
        <v>42</v>
      </c>
      <c r="N331" s="1058" t="s">
        <v>2</v>
      </c>
      <c r="O331" s="596"/>
      <c r="P331" s="596"/>
      <c r="Q331" s="596"/>
      <c r="R331" s="596"/>
      <c r="S331" s="596"/>
      <c r="T331" s="596"/>
    </row>
    <row r="332" spans="1:20" outlineLevel="1" x14ac:dyDescent="0.2">
      <c r="A332" s="939" t="s">
        <v>28</v>
      </c>
      <c r="B332" s="940" t="s">
        <v>367</v>
      </c>
      <c r="C332" s="845" t="s">
        <v>31</v>
      </c>
      <c r="D332" s="845" t="s">
        <v>30</v>
      </c>
      <c r="E332" s="845" t="s">
        <v>101</v>
      </c>
      <c r="F332" s="845" t="s">
        <v>56</v>
      </c>
      <c r="G332" s="913"/>
      <c r="H332" s="914"/>
      <c r="I332" s="915"/>
      <c r="J332" s="916"/>
      <c r="K332" s="941"/>
      <c r="L332" s="941"/>
      <c r="M332" s="941"/>
      <c r="N332" s="904"/>
      <c r="O332" s="918">
        <f>ROUND(G332*I332,2)+ROUND(H332*J332,2)-K332-L332-M332-N332</f>
        <v>0</v>
      </c>
      <c r="P332" s="918">
        <f>ROUND(18.75%*O332,2)</f>
        <v>0</v>
      </c>
      <c r="Q332" s="941">
        <f>ROUND($O332*R332,2)</f>
        <v>0</v>
      </c>
      <c r="R332" s="942">
        <v>0.15</v>
      </c>
      <c r="S332" s="941">
        <f>ROUND($O332*T332,2)</f>
        <v>0</v>
      </c>
      <c r="T332" s="943">
        <v>3.7499999999999999E-2</v>
      </c>
    </row>
    <row r="333" spans="1:20" outlineLevel="1" x14ac:dyDescent="0.2">
      <c r="A333" s="922" t="s">
        <v>28</v>
      </c>
      <c r="B333" s="442" t="s">
        <v>373</v>
      </c>
      <c r="C333" s="854" t="s">
        <v>31</v>
      </c>
      <c r="D333" s="854" t="s">
        <v>30</v>
      </c>
      <c r="E333" s="854" t="s">
        <v>101</v>
      </c>
      <c r="F333" s="854" t="s">
        <v>56</v>
      </c>
      <c r="G333" s="933"/>
      <c r="H333" s="587"/>
      <c r="I333" s="920"/>
      <c r="J333" s="588"/>
      <c r="K333" s="441"/>
      <c r="L333" s="441"/>
      <c r="M333" s="441"/>
      <c r="N333" s="923"/>
      <c r="O333" s="944">
        <f>ROUND(G333*I333,2)+ROUND(H333*J333,2)-K333-L333-M333-N333</f>
        <v>0</v>
      </c>
      <c r="P333" s="944">
        <f>ROUND(18.75%*O333,2)</f>
        <v>0</v>
      </c>
      <c r="Q333" s="441">
        <f>ROUND($O333*R333,2)</f>
        <v>0</v>
      </c>
      <c r="R333" s="924">
        <v>0.15</v>
      </c>
      <c r="S333" s="441">
        <f>ROUND($O333*T333,2)</f>
        <v>0</v>
      </c>
      <c r="T333" s="945">
        <v>3.7499999999999999E-2</v>
      </c>
    </row>
    <row r="334" spans="1:20" outlineLevel="1" x14ac:dyDescent="0.2">
      <c r="A334" s="922" t="s">
        <v>28</v>
      </c>
      <c r="B334" s="442" t="s">
        <v>374</v>
      </c>
      <c r="C334" s="854" t="s">
        <v>31</v>
      </c>
      <c r="D334" s="854" t="s">
        <v>30</v>
      </c>
      <c r="E334" s="854" t="s">
        <v>101</v>
      </c>
      <c r="F334" s="854" t="s">
        <v>56</v>
      </c>
      <c r="G334" s="933"/>
      <c r="H334" s="587"/>
      <c r="I334" s="920"/>
      <c r="J334" s="588"/>
      <c r="K334" s="441"/>
      <c r="L334" s="441"/>
      <c r="M334" s="441"/>
      <c r="N334" s="923"/>
      <c r="O334" s="441">
        <f>ROUND(G334*I334,2)+ROUND(H334*J334,2)-K334-L334-M334-N334</f>
        <v>0</v>
      </c>
      <c r="P334" s="441">
        <f>ROUND(18.75%*O334,2)</f>
        <v>0</v>
      </c>
      <c r="Q334" s="441">
        <f>ROUND($O334*R334,2)</f>
        <v>0</v>
      </c>
      <c r="R334" s="924">
        <v>0.15</v>
      </c>
      <c r="S334" s="441">
        <f>ROUND($O334*T334,2)</f>
        <v>0</v>
      </c>
      <c r="T334" s="945">
        <v>3.7499999999999999E-2</v>
      </c>
    </row>
    <row r="335" spans="1:20" outlineLevel="1" x14ac:dyDescent="0.2">
      <c r="A335" s="922" t="s">
        <v>28</v>
      </c>
      <c r="B335" s="442" t="s">
        <v>375</v>
      </c>
      <c r="C335" s="854" t="s">
        <v>31</v>
      </c>
      <c r="D335" s="854" t="s">
        <v>30</v>
      </c>
      <c r="E335" s="854" t="s">
        <v>101</v>
      </c>
      <c r="F335" s="854" t="s">
        <v>56</v>
      </c>
      <c r="G335" s="933"/>
      <c r="H335" s="587"/>
      <c r="I335" s="920"/>
      <c r="J335" s="588"/>
      <c r="K335" s="441"/>
      <c r="L335" s="441"/>
      <c r="M335" s="441"/>
      <c r="N335" s="923"/>
      <c r="O335" s="441">
        <f>ROUND(G335*I335,2)+ROUND(H335*J335,2)-K335-L335-M335-N335</f>
        <v>0</v>
      </c>
      <c r="P335" s="441">
        <f>ROUND(18.75%*O335,2)</f>
        <v>0</v>
      </c>
      <c r="Q335" s="441">
        <f>ROUND($O335*R335,2)</f>
        <v>0</v>
      </c>
      <c r="R335" s="924">
        <v>0.15</v>
      </c>
      <c r="S335" s="441">
        <f>ROUND($O335*T335,2)</f>
        <v>0</v>
      </c>
      <c r="T335" s="945">
        <v>3.7499999999999999E-2</v>
      </c>
    </row>
    <row r="336" spans="1:20" outlineLevel="1" x14ac:dyDescent="0.2">
      <c r="A336" s="926" t="s">
        <v>28</v>
      </c>
      <c r="B336" s="445" t="s">
        <v>376</v>
      </c>
      <c r="C336" s="867" t="s">
        <v>31</v>
      </c>
      <c r="D336" s="867" t="s">
        <v>30</v>
      </c>
      <c r="E336" s="867" t="s">
        <v>101</v>
      </c>
      <c r="F336" s="867" t="s">
        <v>56</v>
      </c>
      <c r="G336" s="935"/>
      <c r="H336" s="927"/>
      <c r="I336" s="928"/>
      <c r="J336" s="928"/>
      <c r="K336" s="568"/>
      <c r="L336" s="568"/>
      <c r="M336" s="568"/>
      <c r="N336" s="930"/>
      <c r="O336" s="568">
        <f>ROUND(G336*I336,2)+ROUND(H336*J336,2)-K336-L336-M336-N336</f>
        <v>0</v>
      </c>
      <c r="P336" s="568">
        <f>ROUND(18.75%*O336,2)</f>
        <v>0</v>
      </c>
      <c r="Q336" s="568">
        <f>ROUND($O336*R336,2)</f>
        <v>0</v>
      </c>
      <c r="R336" s="931">
        <v>0.15</v>
      </c>
      <c r="S336" s="568">
        <f>ROUND($O336*T336,2)</f>
        <v>0</v>
      </c>
      <c r="T336" s="946">
        <v>3.7499999999999999E-2</v>
      </c>
    </row>
    <row r="337" spans="1:20" outlineLevel="1" x14ac:dyDescent="0.2">
      <c r="A337" s="596"/>
      <c r="B337" s="596"/>
      <c r="C337" s="596"/>
      <c r="D337" s="596"/>
      <c r="E337" s="596"/>
      <c r="F337" s="596"/>
      <c r="G337" s="902">
        <f>SUM(G332:G336)</f>
        <v>0</v>
      </c>
      <c r="H337" s="902">
        <f>SUM(H332:H336)</f>
        <v>0</v>
      </c>
      <c r="I337" s="677"/>
      <c r="J337" s="677"/>
      <c r="K337" s="677"/>
      <c r="L337" s="596"/>
      <c r="M337" s="596"/>
      <c r="N337" s="1059">
        <f>SUM(N332:N336)</f>
        <v>0</v>
      </c>
      <c r="O337" s="734">
        <f>SUM(O332:O336)</f>
        <v>0</v>
      </c>
      <c r="P337" s="734">
        <f>SUM(P332:P336)</f>
        <v>0</v>
      </c>
      <c r="Q337" s="734">
        <f>SUM(Q332:Q336)</f>
        <v>0</v>
      </c>
      <c r="R337" s="596"/>
      <c r="S337" s="734">
        <f>SUM(S332:S336)</f>
        <v>0</v>
      </c>
      <c r="T337" s="596"/>
    </row>
    <row r="338" spans="1:20" outlineLevel="1" x14ac:dyDescent="0.2">
      <c r="A338" s="596"/>
      <c r="B338" s="596"/>
      <c r="C338" s="596"/>
      <c r="D338" s="596"/>
      <c r="E338" s="596"/>
      <c r="F338" s="596"/>
      <c r="G338" s="677"/>
      <c r="H338" s="677"/>
      <c r="I338" s="677"/>
      <c r="J338" s="677"/>
      <c r="K338" s="677"/>
      <c r="L338" s="596"/>
      <c r="M338" s="596"/>
      <c r="N338" s="950"/>
      <c r="O338" s="597"/>
      <c r="P338" s="597"/>
      <c r="Q338" s="597"/>
      <c r="R338" s="596"/>
      <c r="S338" s="597"/>
      <c r="T338" s="596"/>
    </row>
    <row r="339" spans="1:20" ht="15.75" outlineLevel="1" x14ac:dyDescent="0.25">
      <c r="A339" s="887" t="s">
        <v>229</v>
      </c>
      <c r="B339" s="596"/>
      <c r="C339" s="596"/>
      <c r="D339" s="596"/>
      <c r="E339" s="596"/>
      <c r="F339" s="596"/>
      <c r="G339" s="677"/>
      <c r="H339" s="677"/>
      <c r="I339" s="677"/>
      <c r="J339" s="677"/>
      <c r="K339" s="677"/>
      <c r="L339" s="596"/>
      <c r="M339" s="596"/>
      <c r="N339" s="950"/>
      <c r="O339" s="596"/>
      <c r="P339" s="596"/>
      <c r="Q339" s="597"/>
      <c r="R339" s="596"/>
      <c r="S339" s="596"/>
      <c r="T339" s="596"/>
    </row>
    <row r="340" spans="1:20" outlineLevel="1" x14ac:dyDescent="0.2">
      <c r="A340" s="888" t="s">
        <v>28</v>
      </c>
      <c r="B340" s="940" t="s">
        <v>303</v>
      </c>
      <c r="C340" s="890" t="s">
        <v>31</v>
      </c>
      <c r="D340" s="890" t="s">
        <v>30</v>
      </c>
      <c r="E340" s="890" t="s">
        <v>101</v>
      </c>
      <c r="F340" s="891" t="s">
        <v>56</v>
      </c>
      <c r="G340" s="913">
        <f>G332</f>
        <v>0</v>
      </c>
      <c r="H340" s="914"/>
      <c r="I340" s="913">
        <f>I332</f>
        <v>0</v>
      </c>
      <c r="J340" s="916"/>
      <c r="K340" s="420"/>
      <c r="L340" s="420"/>
      <c r="M340" s="420"/>
      <c r="N340" s="904">
        <f>N332</f>
        <v>0</v>
      </c>
      <c r="O340" s="420">
        <f>ROUND(G340*I340,2)+ROUND(H340*J340,2)-K340-L340-M340-N340</f>
        <v>0</v>
      </c>
      <c r="P340" s="420"/>
      <c r="Q340" s="420">
        <f>ROUND($O340*R340,2)</f>
        <v>0</v>
      </c>
      <c r="R340" s="893">
        <v>0.15</v>
      </c>
      <c r="S340" s="420">
        <f>ROUND($O340*T340,2)</f>
        <v>0</v>
      </c>
      <c r="T340" s="919">
        <v>3.7499999999999999E-2</v>
      </c>
    </row>
    <row r="341" spans="1:20" outlineLevel="1" x14ac:dyDescent="0.2">
      <c r="A341" s="894" t="s">
        <v>28</v>
      </c>
      <c r="B341" s="442" t="s">
        <v>303</v>
      </c>
      <c r="C341" s="378" t="s">
        <v>31</v>
      </c>
      <c r="D341" s="378" t="s">
        <v>30</v>
      </c>
      <c r="E341" s="378" t="s">
        <v>101</v>
      </c>
      <c r="F341" s="586" t="s">
        <v>56</v>
      </c>
      <c r="G341" s="933">
        <f>G333</f>
        <v>0</v>
      </c>
      <c r="H341" s="587"/>
      <c r="I341" s="933">
        <f>I333</f>
        <v>0</v>
      </c>
      <c r="J341" s="588"/>
      <c r="K341" s="253"/>
      <c r="L341" s="253"/>
      <c r="M341" s="253"/>
      <c r="N341" s="557"/>
      <c r="O341" s="253">
        <f>ROUND(G341*I341,2)+ROUND(H341*J341,2)-K341-L341-M341-N341</f>
        <v>0</v>
      </c>
      <c r="P341" s="253"/>
      <c r="Q341" s="253">
        <f>ROUND($O341*R341,2)</f>
        <v>0</v>
      </c>
      <c r="R341" s="775">
        <v>0.15</v>
      </c>
      <c r="S341" s="253">
        <f>ROUND($O341*T341,2)</f>
        <v>0</v>
      </c>
      <c r="T341" s="921">
        <v>3.7499999999999999E-2</v>
      </c>
    </row>
    <row r="342" spans="1:20" outlineLevel="1" x14ac:dyDescent="0.2">
      <c r="A342" s="894" t="s">
        <v>28</v>
      </c>
      <c r="B342" s="442" t="s">
        <v>303</v>
      </c>
      <c r="C342" s="378" t="s">
        <v>31</v>
      </c>
      <c r="D342" s="378" t="s">
        <v>30</v>
      </c>
      <c r="E342" s="378" t="s">
        <v>101</v>
      </c>
      <c r="F342" s="586" t="s">
        <v>56</v>
      </c>
      <c r="G342" s="933">
        <f>G334</f>
        <v>0</v>
      </c>
      <c r="H342" s="587"/>
      <c r="I342" s="933">
        <f>I334</f>
        <v>0</v>
      </c>
      <c r="J342" s="588"/>
      <c r="K342" s="253"/>
      <c r="L342" s="253"/>
      <c r="M342" s="253"/>
      <c r="N342" s="557"/>
      <c r="O342" s="253">
        <f>ROUND(G342*I342,2)+ROUND(H342*J342,2)-K342-L342-M342-N342</f>
        <v>0</v>
      </c>
      <c r="P342" s="253"/>
      <c r="Q342" s="253">
        <f>ROUND($O342*R342,2)</f>
        <v>0</v>
      </c>
      <c r="R342" s="775">
        <v>0.15</v>
      </c>
      <c r="S342" s="253">
        <f>ROUND($O342*T342,2)</f>
        <v>0</v>
      </c>
      <c r="T342" s="921">
        <v>3.7499999999999999E-2</v>
      </c>
    </row>
    <row r="343" spans="1:20" outlineLevel="1" x14ac:dyDescent="0.2">
      <c r="A343" s="894" t="s">
        <v>28</v>
      </c>
      <c r="B343" s="442" t="s">
        <v>303</v>
      </c>
      <c r="C343" s="378" t="s">
        <v>31</v>
      </c>
      <c r="D343" s="378" t="s">
        <v>30</v>
      </c>
      <c r="E343" s="378" t="s">
        <v>101</v>
      </c>
      <c r="F343" s="586" t="s">
        <v>56</v>
      </c>
      <c r="G343" s="933">
        <f>G335</f>
        <v>0</v>
      </c>
      <c r="H343" s="587"/>
      <c r="I343" s="933">
        <f>I335</f>
        <v>0</v>
      </c>
      <c r="J343" s="588"/>
      <c r="K343" s="253"/>
      <c r="L343" s="253"/>
      <c r="M343" s="253"/>
      <c r="N343" s="557"/>
      <c r="O343" s="253">
        <f>ROUND(G343*I343,2)+ROUND(H343*J343,2)-K343-L343-M343-N343</f>
        <v>0</v>
      </c>
      <c r="P343" s="253"/>
      <c r="Q343" s="253">
        <f>ROUND($O343*R343,2)</f>
        <v>0</v>
      </c>
      <c r="R343" s="775">
        <v>0.15</v>
      </c>
      <c r="S343" s="253">
        <f>ROUND($O343*T343,2)</f>
        <v>0</v>
      </c>
      <c r="T343" s="921">
        <v>3.7499999999999999E-2</v>
      </c>
    </row>
    <row r="344" spans="1:20" outlineLevel="1" x14ac:dyDescent="0.2">
      <c r="A344" s="898" t="s">
        <v>28</v>
      </c>
      <c r="B344" s="445" t="s">
        <v>303</v>
      </c>
      <c r="C344" s="899" t="s">
        <v>31</v>
      </c>
      <c r="D344" s="899" t="s">
        <v>30</v>
      </c>
      <c r="E344" s="899" t="s">
        <v>101</v>
      </c>
      <c r="F344" s="740" t="s">
        <v>56</v>
      </c>
      <c r="G344" s="935">
        <f>G336</f>
        <v>0</v>
      </c>
      <c r="H344" s="927"/>
      <c r="I344" s="935">
        <f>I336</f>
        <v>0</v>
      </c>
      <c r="J344" s="929"/>
      <c r="K344" s="424"/>
      <c r="L344" s="424"/>
      <c r="M344" s="424"/>
      <c r="N344" s="936"/>
      <c r="O344" s="424">
        <f>ROUND(G344*I344,2)+ROUND(H344*J344,2)-K344-L344-M344-N344</f>
        <v>0</v>
      </c>
      <c r="P344" s="424"/>
      <c r="Q344" s="424">
        <f>ROUND($O344*R344,2)</f>
        <v>0</v>
      </c>
      <c r="R344" s="901">
        <v>0.15</v>
      </c>
      <c r="S344" s="424">
        <f>ROUND($O344*T344,2)</f>
        <v>0</v>
      </c>
      <c r="T344" s="932">
        <v>3.7499999999999999E-2</v>
      </c>
    </row>
    <row r="345" spans="1:20" outlineLevel="1" x14ac:dyDescent="0.2">
      <c r="A345" s="596"/>
      <c r="B345" s="596"/>
      <c r="C345" s="596"/>
      <c r="D345" s="596"/>
      <c r="E345" s="596"/>
      <c r="F345" s="596"/>
      <c r="G345" s="902">
        <f>SUM(G340:G344)</f>
        <v>0</v>
      </c>
      <c r="H345" s="902"/>
      <c r="I345" s="937" t="e">
        <f>O345/G345</f>
        <v>#DIV/0!</v>
      </c>
      <c r="J345" s="937"/>
      <c r="K345" s="677"/>
      <c r="L345" s="596"/>
      <c r="M345" s="596"/>
      <c r="N345" s="1059"/>
      <c r="O345" s="734">
        <f>SUM(O340:O344)</f>
        <v>0</v>
      </c>
      <c r="P345" s="734"/>
      <c r="Q345" s="734">
        <f>SUM(Q340:Q344)</f>
        <v>0</v>
      </c>
      <c r="R345" s="596"/>
      <c r="S345" s="734">
        <f>SUM(S340:S344)</f>
        <v>0</v>
      </c>
      <c r="T345" s="596"/>
    </row>
    <row r="346" spans="1:20" outlineLevel="1" x14ac:dyDescent="0.2">
      <c r="A346" s="596"/>
      <c r="B346" s="596"/>
      <c r="C346" s="596"/>
      <c r="D346" s="596"/>
      <c r="E346" s="596"/>
      <c r="F346" s="596"/>
      <c r="G346" s="677"/>
      <c r="H346" s="677"/>
      <c r="I346" s="677"/>
      <c r="J346" s="677"/>
      <c r="K346" s="677"/>
      <c r="L346" s="596"/>
      <c r="M346" s="596"/>
      <c r="N346" s="950"/>
      <c r="O346" s="683"/>
      <c r="P346" s="683"/>
      <c r="Q346" s="596"/>
      <c r="R346" s="596"/>
      <c r="S346" s="596"/>
      <c r="T346" s="596"/>
    </row>
    <row r="347" spans="1:20" outlineLevel="1" x14ac:dyDescent="0.2">
      <c r="A347" s="596"/>
      <c r="B347" s="596"/>
      <c r="C347" s="596"/>
      <c r="D347" s="596"/>
      <c r="E347" s="596"/>
      <c r="F347" s="596"/>
      <c r="G347" s="677"/>
      <c r="H347" s="677"/>
      <c r="I347" s="677"/>
      <c r="J347" s="677"/>
      <c r="K347" s="677"/>
      <c r="L347" s="596"/>
      <c r="M347" s="596"/>
      <c r="N347" s="950"/>
      <c r="O347" s="597"/>
      <c r="P347" s="597"/>
      <c r="Q347" s="596"/>
      <c r="R347" s="596"/>
      <c r="S347" s="596"/>
      <c r="T347" s="596"/>
    </row>
    <row r="348" spans="1:20" ht="15.75" outlineLevel="1" x14ac:dyDescent="0.25">
      <c r="A348" s="887" t="s">
        <v>230</v>
      </c>
      <c r="B348" s="596"/>
      <c r="C348" s="596"/>
      <c r="D348" s="596"/>
      <c r="E348" s="596"/>
      <c r="F348" s="596"/>
      <c r="G348" s="677"/>
      <c r="H348" s="677"/>
      <c r="I348" s="677"/>
      <c r="J348" s="677"/>
      <c r="K348" s="677"/>
      <c r="L348" s="596"/>
      <c r="M348" s="596"/>
      <c r="N348" s="950"/>
      <c r="O348" s="596"/>
      <c r="P348" s="596"/>
      <c r="Q348" s="596"/>
      <c r="R348" s="596"/>
      <c r="S348" s="596"/>
      <c r="T348" s="596"/>
    </row>
    <row r="349" spans="1:20" outlineLevel="1" x14ac:dyDescent="0.2">
      <c r="A349" s="888" t="s">
        <v>28</v>
      </c>
      <c r="B349" s="940" t="s">
        <v>303</v>
      </c>
      <c r="C349" s="890" t="s">
        <v>31</v>
      </c>
      <c r="D349" s="890" t="s">
        <v>30</v>
      </c>
      <c r="E349" s="890" t="s">
        <v>101</v>
      </c>
      <c r="F349" s="891" t="s">
        <v>56</v>
      </c>
      <c r="G349" s="914"/>
      <c r="H349" s="914">
        <f>H332</f>
        <v>0</v>
      </c>
      <c r="I349" s="916"/>
      <c r="J349" s="914">
        <f>J332</f>
        <v>0</v>
      </c>
      <c r="K349" s="420"/>
      <c r="L349" s="420"/>
      <c r="M349" s="420"/>
      <c r="N349" s="904"/>
      <c r="O349" s="420">
        <f>ROUND(G349*I349,2)+ROUND(H349*J349,2)-K349-L349-M349-N349</f>
        <v>0</v>
      </c>
      <c r="P349" s="420"/>
      <c r="Q349" s="420">
        <f>ROUND($O349*R349,2)</f>
        <v>0</v>
      </c>
      <c r="R349" s="893">
        <v>0.15</v>
      </c>
      <c r="S349" s="420">
        <f>ROUND($O349*T349,2)</f>
        <v>0</v>
      </c>
      <c r="T349" s="919">
        <v>3.7499999999999999E-2</v>
      </c>
    </row>
    <row r="350" spans="1:20" outlineLevel="1" x14ac:dyDescent="0.2">
      <c r="A350" s="894" t="s">
        <v>28</v>
      </c>
      <c r="B350" s="442" t="s">
        <v>303</v>
      </c>
      <c r="C350" s="378" t="s">
        <v>31</v>
      </c>
      <c r="D350" s="378" t="s">
        <v>30</v>
      </c>
      <c r="E350" s="378" t="s">
        <v>101</v>
      </c>
      <c r="F350" s="586" t="s">
        <v>56</v>
      </c>
      <c r="G350" s="587"/>
      <c r="H350" s="587">
        <f>H333</f>
        <v>0</v>
      </c>
      <c r="I350" s="588"/>
      <c r="J350" s="587">
        <f>J333</f>
        <v>0</v>
      </c>
      <c r="K350" s="253"/>
      <c r="L350" s="253"/>
      <c r="M350" s="253"/>
      <c r="N350" s="557"/>
      <c r="O350" s="253">
        <f>ROUND(G350*I350,2)+ROUND(H350*J350,2)-K350-L350-M350-N350</f>
        <v>0</v>
      </c>
      <c r="P350" s="253"/>
      <c r="Q350" s="253">
        <f>ROUND($O350*R350,2)</f>
        <v>0</v>
      </c>
      <c r="R350" s="775">
        <v>0.15</v>
      </c>
      <c r="S350" s="253">
        <f>ROUND($O350*T350,2)</f>
        <v>0</v>
      </c>
      <c r="T350" s="921">
        <v>3.7499999999999999E-2</v>
      </c>
    </row>
    <row r="351" spans="1:20" outlineLevel="1" x14ac:dyDescent="0.2">
      <c r="A351" s="894" t="s">
        <v>28</v>
      </c>
      <c r="B351" s="442" t="s">
        <v>303</v>
      </c>
      <c r="C351" s="378" t="s">
        <v>31</v>
      </c>
      <c r="D351" s="378" t="s">
        <v>30</v>
      </c>
      <c r="E351" s="378" t="s">
        <v>101</v>
      </c>
      <c r="F351" s="586" t="s">
        <v>56</v>
      </c>
      <c r="G351" s="587"/>
      <c r="H351" s="587">
        <f>H334</f>
        <v>0</v>
      </c>
      <c r="I351" s="588"/>
      <c r="J351" s="587">
        <f>J334</f>
        <v>0</v>
      </c>
      <c r="K351" s="253"/>
      <c r="L351" s="253"/>
      <c r="M351" s="253"/>
      <c r="N351" s="557"/>
      <c r="O351" s="253">
        <f>ROUND(G351*I351,2)+ROUND(H351*J351,2)-K351-L351-M351-N351</f>
        <v>0</v>
      </c>
      <c r="P351" s="253"/>
      <c r="Q351" s="253">
        <f>ROUND($O351*R351,2)</f>
        <v>0</v>
      </c>
      <c r="R351" s="775">
        <v>0.15</v>
      </c>
      <c r="S351" s="253">
        <f>ROUND($O351*T351,2)</f>
        <v>0</v>
      </c>
      <c r="T351" s="921">
        <v>3.7499999999999999E-2</v>
      </c>
    </row>
    <row r="352" spans="1:20" outlineLevel="1" x14ac:dyDescent="0.2">
      <c r="A352" s="894" t="s">
        <v>28</v>
      </c>
      <c r="B352" s="442" t="s">
        <v>303</v>
      </c>
      <c r="C352" s="378" t="s">
        <v>31</v>
      </c>
      <c r="D352" s="378" t="s">
        <v>30</v>
      </c>
      <c r="E352" s="378" t="s">
        <v>101</v>
      </c>
      <c r="F352" s="586" t="s">
        <v>56</v>
      </c>
      <c r="G352" s="587"/>
      <c r="H352" s="587">
        <f>H335</f>
        <v>0</v>
      </c>
      <c r="I352" s="588"/>
      <c r="J352" s="587">
        <f>J335</f>
        <v>0</v>
      </c>
      <c r="K352" s="253"/>
      <c r="L352" s="253"/>
      <c r="M352" s="253"/>
      <c r="N352" s="557"/>
      <c r="O352" s="253">
        <f>ROUND(G352*I352,2)+ROUND(H352*J352,2)-K352-L352-M352-N352</f>
        <v>0</v>
      </c>
      <c r="P352" s="253"/>
      <c r="Q352" s="253">
        <f>ROUND($O352*R352,2)</f>
        <v>0</v>
      </c>
      <c r="R352" s="775">
        <v>0.15</v>
      </c>
      <c r="S352" s="253">
        <f>ROUND($O352*T352,2)</f>
        <v>0</v>
      </c>
      <c r="T352" s="921">
        <v>3.7499999999999999E-2</v>
      </c>
    </row>
    <row r="353" spans="1:20" x14ac:dyDescent="0.2">
      <c r="A353" s="898" t="s">
        <v>28</v>
      </c>
      <c r="B353" s="445" t="s">
        <v>303</v>
      </c>
      <c r="C353" s="899" t="s">
        <v>31</v>
      </c>
      <c r="D353" s="899" t="s">
        <v>30</v>
      </c>
      <c r="E353" s="899" t="s">
        <v>101</v>
      </c>
      <c r="F353" s="740" t="s">
        <v>56</v>
      </c>
      <c r="G353" s="927"/>
      <c r="H353" s="927">
        <f>H336</f>
        <v>0</v>
      </c>
      <c r="I353" s="929"/>
      <c r="J353" s="927">
        <f>J336</f>
        <v>0</v>
      </c>
      <c r="K353" s="424"/>
      <c r="L353" s="424"/>
      <c r="M353" s="424"/>
      <c r="N353" s="936"/>
      <c r="O353" s="424">
        <f>ROUND(G353*I353,2)+ROUND(H353*J353,2)-K353-L353-M353-N353</f>
        <v>0</v>
      </c>
      <c r="P353" s="424"/>
      <c r="Q353" s="424">
        <f>ROUND($O353*R353,2)</f>
        <v>0</v>
      </c>
      <c r="R353" s="901">
        <v>0.15</v>
      </c>
      <c r="S353" s="424">
        <f>ROUND($O353*T353,2)</f>
        <v>0</v>
      </c>
      <c r="T353" s="932">
        <v>3.7499999999999999E-2</v>
      </c>
    </row>
    <row r="354" spans="1:20" x14ac:dyDescent="0.2">
      <c r="A354" s="596"/>
      <c r="B354" s="596"/>
      <c r="C354" s="596"/>
      <c r="D354" s="596"/>
      <c r="E354" s="596"/>
      <c r="F354" s="596"/>
      <c r="G354" s="902"/>
      <c r="H354" s="902">
        <f>SUM(H349:H353)</f>
        <v>0</v>
      </c>
      <c r="I354" s="937"/>
      <c r="J354" s="937" t="e">
        <f>O354/H354</f>
        <v>#DIV/0!</v>
      </c>
      <c r="K354" s="677"/>
      <c r="L354" s="596"/>
      <c r="M354" s="596"/>
      <c r="N354" s="1059"/>
      <c r="O354" s="734">
        <f>SUM(O349:O353)</f>
        <v>0</v>
      </c>
      <c r="P354" s="734"/>
      <c r="Q354" s="734">
        <f>SUM(Q349:Q353)</f>
        <v>0</v>
      </c>
      <c r="R354" s="596"/>
      <c r="S354" s="734">
        <f>SUM(S349:S353)</f>
        <v>0</v>
      </c>
      <c r="T354" s="596"/>
    </row>
    <row r="355" spans="1:20" x14ac:dyDescent="0.2">
      <c r="G355" s="1"/>
      <c r="H355" s="1"/>
      <c r="I355" s="1"/>
      <c r="J355" s="1"/>
      <c r="K355" s="1"/>
    </row>
    <row r="356" spans="1:20" hidden="1" outlineLevel="1" x14ac:dyDescent="0.2">
      <c r="G356" s="1"/>
      <c r="H356" s="1"/>
      <c r="I356" s="1"/>
      <c r="J356" s="1"/>
      <c r="K356" s="1"/>
    </row>
    <row r="357" spans="1:20" hidden="1" outlineLevel="1" x14ac:dyDescent="0.2">
      <c r="G357" s="1"/>
      <c r="H357" s="1"/>
      <c r="I357" s="1"/>
      <c r="J357" s="1"/>
      <c r="K357" s="1"/>
    </row>
    <row r="358" spans="1:20" hidden="1" outlineLevel="1" x14ac:dyDescent="0.2">
      <c r="G358" s="1"/>
      <c r="H358" s="1"/>
      <c r="I358" s="1"/>
      <c r="J358" s="1"/>
      <c r="K358" s="1"/>
    </row>
    <row r="359" spans="1:20" hidden="1" outlineLevel="1" x14ac:dyDescent="0.2">
      <c r="G359" s="1"/>
      <c r="H359" s="1"/>
      <c r="I359" s="1"/>
      <c r="J359" s="1"/>
      <c r="K359" s="1"/>
    </row>
    <row r="360" spans="1:20" hidden="1" outlineLevel="1" x14ac:dyDescent="0.2">
      <c r="G360" s="1"/>
      <c r="H360" s="1"/>
      <c r="I360" s="1"/>
      <c r="J360" s="1"/>
      <c r="K360" s="1"/>
    </row>
    <row r="361" spans="1:20" hidden="1" outlineLevel="1" x14ac:dyDescent="0.2">
      <c r="G361" s="1"/>
      <c r="H361" s="1"/>
      <c r="I361" s="1"/>
      <c r="J361" s="1"/>
      <c r="K361" s="1"/>
    </row>
    <row r="362" spans="1:20" hidden="1" outlineLevel="1" x14ac:dyDescent="0.2">
      <c r="G362" s="1"/>
      <c r="H362" s="1"/>
      <c r="I362" s="1"/>
      <c r="J362" s="1"/>
      <c r="K362" s="1"/>
    </row>
    <row r="363" spans="1:20" hidden="1" outlineLevel="1" x14ac:dyDescent="0.2">
      <c r="G363" s="1"/>
      <c r="H363" s="1"/>
      <c r="I363" s="1"/>
      <c r="J363" s="1"/>
      <c r="K363" s="1"/>
    </row>
    <row r="364" spans="1:20" hidden="1" outlineLevel="1" x14ac:dyDescent="0.2">
      <c r="G364" s="1"/>
      <c r="H364" s="1"/>
      <c r="I364" s="1"/>
      <c r="J364" s="1"/>
      <c r="K364" s="1"/>
    </row>
    <row r="365" spans="1:20" hidden="1" outlineLevel="1" x14ac:dyDescent="0.2">
      <c r="G365" s="1"/>
      <c r="H365" s="1"/>
      <c r="I365" s="1"/>
      <c r="J365" s="1"/>
      <c r="K365" s="1"/>
    </row>
    <row r="366" spans="1:20" hidden="1" outlineLevel="1" x14ac:dyDescent="0.2">
      <c r="G366" s="1"/>
      <c r="H366" s="1"/>
      <c r="I366" s="1"/>
      <c r="J366" s="1"/>
      <c r="K366" s="1"/>
    </row>
    <row r="367" spans="1:20" hidden="1" outlineLevel="1" x14ac:dyDescent="0.2">
      <c r="G367" s="1"/>
      <c r="H367" s="1"/>
      <c r="I367" s="1"/>
      <c r="J367" s="1"/>
      <c r="K367" s="1"/>
    </row>
    <row r="368" spans="1:20" hidden="1" outlineLevel="1" x14ac:dyDescent="0.2">
      <c r="G368" s="1"/>
      <c r="H368" s="1"/>
      <c r="I368" s="1"/>
      <c r="J368" s="1"/>
      <c r="K368" s="1"/>
    </row>
    <row r="369" s="1" customFormat="1" hidden="1" outlineLevel="1" x14ac:dyDescent="0.2"/>
    <row r="370" s="1" customFormat="1" hidden="1" outlineLevel="1" x14ac:dyDescent="0.2"/>
    <row r="371" s="1" customFormat="1" hidden="1" outlineLevel="1" x14ac:dyDescent="0.2"/>
    <row r="372" s="1" customFormat="1" hidden="1" outlineLevel="1" x14ac:dyDescent="0.2"/>
    <row r="373" s="1" customFormat="1" hidden="1" outlineLevel="1" x14ac:dyDescent="0.2"/>
    <row r="374" s="1" customFormat="1" hidden="1" outlineLevel="1" x14ac:dyDescent="0.2"/>
    <row r="375" s="1" customFormat="1" hidden="1" outlineLevel="1" x14ac:dyDescent="0.2"/>
    <row r="376" s="1" customFormat="1" hidden="1" outlineLevel="1" x14ac:dyDescent="0.2"/>
    <row r="377" s="1" customFormat="1" hidden="1" outlineLevel="1" x14ac:dyDescent="0.2"/>
    <row r="378" s="1" customFormat="1" hidden="1" outlineLevel="1" x14ac:dyDescent="0.2"/>
    <row r="379" s="1" customFormat="1" hidden="1" outlineLevel="1" x14ac:dyDescent="0.2"/>
    <row r="380" s="1" customFormat="1" collapsed="1" x14ac:dyDescent="0.2"/>
    <row r="381" s="1" customFormat="1" x14ac:dyDescent="0.2"/>
    <row r="382" s="1" customFormat="1" x14ac:dyDescent="0.2"/>
    <row r="383" s="1" customFormat="1" x14ac:dyDescent="0.2"/>
  </sheetData>
  <mergeCells count="2">
    <mergeCell ref="C7:C8"/>
    <mergeCell ref="O7:O8"/>
  </mergeCells>
  <phoneticPr fontId="0" type="noConversion"/>
  <printOptions horizontalCentered="1" verticalCentered="1"/>
  <pageMargins left="0.23622047244094491" right="0.23622047244094491" top="0.51181102362204722" bottom="0.51181102362204722" header="0" footer="0"/>
  <pageSetup paperSize="9" scale="63" fitToWidth="2"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8">
    <pageSetUpPr fitToPage="1"/>
  </sheetPr>
  <dimension ref="A1:T303"/>
  <sheetViews>
    <sheetView view="pageBreakPreview" zoomScale="70" zoomScaleNormal="95" zoomScaleSheetLayoutView="70" workbookViewId="0">
      <pane xSplit="2" topLeftCell="C1" activePane="topRight" state="frozen"/>
      <selection activeCell="F44" sqref="F44"/>
      <selection pane="topRight" activeCell="F44" sqref="F44"/>
    </sheetView>
  </sheetViews>
  <sheetFormatPr baseColWidth="10" defaultColWidth="8.77734375" defaultRowHeight="12.75" outlineLevelRow="1" x14ac:dyDescent="0.2"/>
  <cols>
    <col min="1" max="1" width="3" style="1" customWidth="1"/>
    <col min="2" max="2" width="17.77734375" style="1" customWidth="1"/>
    <col min="3" max="3" width="7.77734375" style="1" customWidth="1"/>
    <col min="4" max="4" width="8.109375" style="1" customWidth="1"/>
    <col min="5" max="5" width="8.77734375" style="1" customWidth="1"/>
    <col min="6" max="6" width="8.44140625" style="1" customWidth="1"/>
    <col min="7" max="7" width="13.21875" style="199" customWidth="1"/>
    <col min="8" max="8" width="11.5546875" style="199" customWidth="1"/>
    <col min="9" max="11" width="10.44140625" style="199" customWidth="1"/>
    <col min="12" max="14" width="10.44140625" style="1" customWidth="1"/>
    <col min="15" max="15" width="14.44140625" style="1" bestFit="1" customWidth="1"/>
    <col min="16" max="17" width="14.44140625" style="1" customWidth="1"/>
    <col min="18" max="18" width="5.77734375" style="1" customWidth="1"/>
    <col min="19" max="19" width="11.5546875" style="1" customWidth="1"/>
    <col min="20" max="20" width="5.77734375" style="1" customWidth="1"/>
    <col min="21" max="16384" width="8.77734375" style="1"/>
  </cols>
  <sheetData>
    <row r="1" spans="1:20" ht="12.75" customHeight="1" x14ac:dyDescent="0.2">
      <c r="A1" s="1" t="s">
        <v>51</v>
      </c>
      <c r="C1" s="3"/>
      <c r="D1" s="3"/>
      <c r="E1" s="6">
        <v>45870</v>
      </c>
      <c r="F1" s="462"/>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tr">
        <f>"Correspondiente a  "&amp;TEXT(E1,"MMMMMMM YYYY")</f>
        <v>Correspondiente a  Agosto 2025</v>
      </c>
      <c r="B4" s="132"/>
      <c r="C4" s="132"/>
      <c r="D4" s="132"/>
      <c r="E4" s="132"/>
      <c r="F4" s="132"/>
      <c r="G4" s="132"/>
      <c r="H4" s="132"/>
      <c r="I4" s="132"/>
      <c r="J4" s="132"/>
      <c r="K4" s="132"/>
      <c r="L4" s="132"/>
      <c r="M4" s="132"/>
      <c r="N4" s="132"/>
      <c r="O4" s="132"/>
      <c r="P4" s="132"/>
      <c r="Q4" s="132"/>
      <c r="R4" s="132"/>
      <c r="S4" s="132"/>
      <c r="T4" s="132"/>
    </row>
    <row r="5" spans="1:20"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c r="H10" s="215"/>
      <c r="I10" s="217"/>
      <c r="J10" s="217"/>
      <c r="K10" s="222"/>
      <c r="L10" s="222"/>
      <c r="M10" s="222"/>
      <c r="N10" s="386"/>
      <c r="O10" s="215">
        <f t="shared" ref="O10:O25" si="0">ROUND(G10*I10,2)+ROUND(H10*J10,2)-K10-L10-M10-N10</f>
        <v>0</v>
      </c>
      <c r="P10" s="222">
        <f>ROUND(18.75%*O10,2)</f>
        <v>0</v>
      </c>
      <c r="Q10" s="222">
        <f>ROUND($O10*R10,2)</f>
        <v>0</v>
      </c>
      <c r="R10" s="223">
        <v>0.15</v>
      </c>
      <c r="S10" s="222">
        <f t="shared" ref="S10:S25" si="1">ROUND($O10*T10,2)</f>
        <v>0</v>
      </c>
      <c r="T10" s="258">
        <v>3.7499999999999999E-2</v>
      </c>
    </row>
    <row r="11" spans="1:20" ht="12.75" customHeight="1" x14ac:dyDescent="0.2">
      <c r="A11" s="23" t="s">
        <v>28</v>
      </c>
      <c r="B11" s="24" t="s">
        <v>14</v>
      </c>
      <c r="C11" s="57" t="s">
        <v>31</v>
      </c>
      <c r="D11" s="25" t="s">
        <v>30</v>
      </c>
      <c r="E11" s="57" t="s">
        <v>101</v>
      </c>
      <c r="F11" s="236" t="s">
        <v>56</v>
      </c>
      <c r="G11" s="215"/>
      <c r="H11" s="215"/>
      <c r="I11" s="217"/>
      <c r="J11" s="217"/>
      <c r="K11" s="222"/>
      <c r="L11" s="222"/>
      <c r="M11" s="222"/>
      <c r="N11" s="386"/>
      <c r="O11" s="215">
        <f t="shared" si="0"/>
        <v>0</v>
      </c>
      <c r="P11" s="222">
        <f t="shared" ref="P11:P26" si="2">ROUND(18.75%*O11,2)</f>
        <v>0</v>
      </c>
      <c r="Q11" s="222">
        <f t="shared" ref="Q11:Q25" si="3">ROUND($O11*R11,2)</f>
        <v>0</v>
      </c>
      <c r="R11" s="223">
        <v>0.15</v>
      </c>
      <c r="S11" s="222">
        <f t="shared" si="1"/>
        <v>0</v>
      </c>
      <c r="T11" s="258">
        <v>3.7499999999999999E-2</v>
      </c>
    </row>
    <row r="12" spans="1:20" x14ac:dyDescent="0.2">
      <c r="A12" s="23" t="s">
        <v>28</v>
      </c>
      <c r="B12" s="24" t="s">
        <v>3</v>
      </c>
      <c r="C12" s="57" t="s">
        <v>31</v>
      </c>
      <c r="D12" s="25" t="s">
        <v>30</v>
      </c>
      <c r="E12" s="57" t="s">
        <v>101</v>
      </c>
      <c r="F12" s="236" t="s">
        <v>37</v>
      </c>
      <c r="G12" s="215"/>
      <c r="H12" s="215"/>
      <c r="I12" s="217"/>
      <c r="J12" s="217"/>
      <c r="K12" s="222"/>
      <c r="L12" s="222"/>
      <c r="M12" s="222"/>
      <c r="N12" s="386"/>
      <c r="O12" s="215">
        <f t="shared" si="0"/>
        <v>0</v>
      </c>
      <c r="P12" s="222">
        <f t="shared" si="2"/>
        <v>0</v>
      </c>
      <c r="Q12" s="222">
        <f>ROUND($O12*R12,2)</f>
        <v>0</v>
      </c>
      <c r="R12" s="223">
        <v>0.15</v>
      </c>
      <c r="S12" s="222">
        <f t="shared" si="1"/>
        <v>0</v>
      </c>
      <c r="T12" s="258">
        <v>3.7499999999999999E-2</v>
      </c>
    </row>
    <row r="13" spans="1:20" x14ac:dyDescent="0.2">
      <c r="A13" s="242" t="s">
        <v>28</v>
      </c>
      <c r="B13" s="245" t="s">
        <v>369</v>
      </c>
      <c r="C13" s="57" t="s">
        <v>31</v>
      </c>
      <c r="D13" s="25" t="s">
        <v>30</v>
      </c>
      <c r="E13" s="57" t="s">
        <v>101</v>
      </c>
      <c r="F13" s="236" t="s">
        <v>56</v>
      </c>
      <c r="G13" s="215"/>
      <c r="H13" s="215"/>
      <c r="I13" s="217"/>
      <c r="J13" s="217"/>
      <c r="K13" s="222"/>
      <c r="L13" s="222"/>
      <c r="M13" s="222"/>
      <c r="N13" s="386"/>
      <c r="O13" s="215">
        <f>ROUND(G13*I13,2)+ROUND(H13*J13,2)-K13-L13-M13-N13</f>
        <v>0</v>
      </c>
      <c r="P13" s="222">
        <f t="shared" si="2"/>
        <v>0</v>
      </c>
      <c r="Q13" s="222">
        <f>ROUND($O13*R13,2)</f>
        <v>0</v>
      </c>
      <c r="R13" s="223">
        <v>0.15</v>
      </c>
      <c r="S13" s="222">
        <f t="shared" si="1"/>
        <v>0</v>
      </c>
      <c r="T13" s="258">
        <v>3.7499999999999999E-2</v>
      </c>
    </row>
    <row r="14" spans="1:20" x14ac:dyDescent="0.2">
      <c r="A14" s="23" t="s">
        <v>28</v>
      </c>
      <c r="B14" s="24" t="s">
        <v>4</v>
      </c>
      <c r="C14" s="57" t="s">
        <v>31</v>
      </c>
      <c r="D14" s="25" t="s">
        <v>30</v>
      </c>
      <c r="E14" s="57" t="s">
        <v>101</v>
      </c>
      <c r="F14" s="236" t="s">
        <v>37</v>
      </c>
      <c r="G14" s="215"/>
      <c r="H14" s="215"/>
      <c r="I14" s="217"/>
      <c r="J14" s="217"/>
      <c r="K14" s="222"/>
      <c r="L14" s="222"/>
      <c r="M14" s="222"/>
      <c r="N14" s="386"/>
      <c r="O14" s="215">
        <f t="shared" si="0"/>
        <v>0</v>
      </c>
      <c r="P14" s="222">
        <f t="shared" si="2"/>
        <v>0</v>
      </c>
      <c r="Q14" s="222">
        <f t="shared" si="3"/>
        <v>0</v>
      </c>
      <c r="R14" s="223">
        <v>0.15</v>
      </c>
      <c r="S14" s="222">
        <f t="shared" si="1"/>
        <v>0</v>
      </c>
      <c r="T14" s="258">
        <v>3.7499999999999999E-2</v>
      </c>
    </row>
    <row r="15" spans="1:20" x14ac:dyDescent="0.2">
      <c r="A15" s="23" t="s">
        <v>28</v>
      </c>
      <c r="B15" s="377" t="s">
        <v>370</v>
      </c>
      <c r="C15" s="57" t="s">
        <v>31</v>
      </c>
      <c r="D15" s="25" t="s">
        <v>30</v>
      </c>
      <c r="E15" s="57" t="s">
        <v>101</v>
      </c>
      <c r="F15" s="236" t="s">
        <v>56</v>
      </c>
      <c r="G15" s="215"/>
      <c r="H15" s="215"/>
      <c r="I15" s="217"/>
      <c r="J15" s="217"/>
      <c r="K15" s="222"/>
      <c r="L15" s="222"/>
      <c r="M15" s="222"/>
      <c r="N15" s="222"/>
      <c r="O15" s="224">
        <f t="shared" si="0"/>
        <v>0</v>
      </c>
      <c r="P15" s="222">
        <f t="shared" si="2"/>
        <v>0</v>
      </c>
      <c r="Q15" s="222">
        <f t="shared" si="3"/>
        <v>0</v>
      </c>
      <c r="R15" s="223">
        <v>0.15</v>
      </c>
      <c r="S15" s="222">
        <f t="shared" si="1"/>
        <v>0</v>
      </c>
      <c r="T15" s="258">
        <v>3.7499999999999999E-2</v>
      </c>
    </row>
    <row r="16" spans="1:20" x14ac:dyDescent="0.2">
      <c r="A16" s="23" t="s">
        <v>28</v>
      </c>
      <c r="B16" s="24" t="s">
        <v>5</v>
      </c>
      <c r="C16" s="57" t="s">
        <v>31</v>
      </c>
      <c r="D16" s="25" t="s">
        <v>30</v>
      </c>
      <c r="E16" s="57" t="s">
        <v>101</v>
      </c>
      <c r="F16" s="236" t="s">
        <v>37</v>
      </c>
      <c r="G16" s="215"/>
      <c r="H16" s="215"/>
      <c r="I16" s="217"/>
      <c r="J16" s="217"/>
      <c r="K16" s="222"/>
      <c r="L16" s="222"/>
      <c r="M16" s="222"/>
      <c r="N16" s="386"/>
      <c r="O16" s="215">
        <f t="shared" si="0"/>
        <v>0</v>
      </c>
      <c r="P16" s="222">
        <f t="shared" si="2"/>
        <v>0</v>
      </c>
      <c r="Q16" s="222">
        <f t="shared" si="3"/>
        <v>0</v>
      </c>
      <c r="R16" s="223">
        <v>0.15</v>
      </c>
      <c r="S16" s="222">
        <f t="shared" si="1"/>
        <v>0</v>
      </c>
      <c r="T16" s="258">
        <v>3.7499999999999999E-2</v>
      </c>
    </row>
    <row r="17" spans="1:20" x14ac:dyDescent="0.2">
      <c r="A17" s="23" t="s">
        <v>28</v>
      </c>
      <c r="B17" s="24" t="s">
        <v>371</v>
      </c>
      <c r="C17" s="57" t="s">
        <v>31</v>
      </c>
      <c r="D17" s="25" t="s">
        <v>30</v>
      </c>
      <c r="E17" s="57" t="s">
        <v>101</v>
      </c>
      <c r="F17" s="236" t="s">
        <v>37</v>
      </c>
      <c r="G17" s="215"/>
      <c r="H17" s="215"/>
      <c r="I17" s="217"/>
      <c r="J17" s="217"/>
      <c r="K17" s="222"/>
      <c r="L17" s="222"/>
      <c r="M17" s="222"/>
      <c r="N17" s="386"/>
      <c r="O17" s="215">
        <f t="shared" si="0"/>
        <v>0</v>
      </c>
      <c r="P17" s="222">
        <f t="shared" si="2"/>
        <v>0</v>
      </c>
      <c r="Q17" s="222">
        <f t="shared" si="3"/>
        <v>0</v>
      </c>
      <c r="R17" s="223">
        <v>0.15</v>
      </c>
      <c r="S17" s="222">
        <f t="shared" si="1"/>
        <v>0</v>
      </c>
      <c r="T17" s="258">
        <v>3.7499999999999999E-2</v>
      </c>
    </row>
    <row r="18" spans="1:20" x14ac:dyDescent="0.2">
      <c r="A18" s="23" t="s">
        <v>28</v>
      </c>
      <c r="B18" s="24" t="s">
        <v>17</v>
      </c>
      <c r="C18" s="57" t="s">
        <v>31</v>
      </c>
      <c r="D18" s="25" t="s">
        <v>30</v>
      </c>
      <c r="E18" s="57" t="s">
        <v>101</v>
      </c>
      <c r="F18" s="236" t="s">
        <v>37</v>
      </c>
      <c r="G18" s="215"/>
      <c r="H18" s="215"/>
      <c r="I18" s="217"/>
      <c r="J18" s="217"/>
      <c r="K18" s="222"/>
      <c r="L18" s="222"/>
      <c r="M18" s="222"/>
      <c r="N18" s="386"/>
      <c r="O18" s="224">
        <f t="shared" si="0"/>
        <v>0</v>
      </c>
      <c r="P18" s="222">
        <f t="shared" si="2"/>
        <v>0</v>
      </c>
      <c r="Q18" s="222">
        <f t="shared" si="3"/>
        <v>0</v>
      </c>
      <c r="R18" s="223">
        <v>0.15</v>
      </c>
      <c r="S18" s="222">
        <f t="shared" si="1"/>
        <v>0</v>
      </c>
      <c r="T18" s="258">
        <v>3.7499999999999999E-2</v>
      </c>
    </row>
    <row r="19" spans="1:20" x14ac:dyDescent="0.2">
      <c r="A19" s="376" t="s">
        <v>28</v>
      </c>
      <c r="B19" s="377" t="s">
        <v>237</v>
      </c>
      <c r="C19" s="378" t="s">
        <v>31</v>
      </c>
      <c r="D19" s="379" t="s">
        <v>30</v>
      </c>
      <c r="E19" s="378" t="s">
        <v>98</v>
      </c>
      <c r="F19" s="236" t="s">
        <v>37</v>
      </c>
      <c r="G19" s="215"/>
      <c r="H19" s="215"/>
      <c r="I19" s="216"/>
      <c r="J19" s="217"/>
      <c r="K19" s="222"/>
      <c r="L19" s="222"/>
      <c r="M19" s="222"/>
      <c r="N19" s="386"/>
      <c r="O19" s="224">
        <f t="shared" si="0"/>
        <v>0</v>
      </c>
      <c r="P19" s="222">
        <f t="shared" si="2"/>
        <v>0</v>
      </c>
      <c r="Q19" s="222">
        <f t="shared" si="3"/>
        <v>0</v>
      </c>
      <c r="R19" s="223">
        <v>0.15</v>
      </c>
      <c r="S19" s="222">
        <f t="shared" si="1"/>
        <v>0</v>
      </c>
      <c r="T19" s="258">
        <v>3.7499999999999999E-2</v>
      </c>
    </row>
    <row r="20" spans="1:20" x14ac:dyDescent="0.2">
      <c r="A20" s="376" t="s">
        <v>28</v>
      </c>
      <c r="B20" s="377" t="s">
        <v>239</v>
      </c>
      <c r="C20" s="378" t="s">
        <v>31</v>
      </c>
      <c r="D20" s="379" t="s">
        <v>30</v>
      </c>
      <c r="E20" s="378" t="s">
        <v>98</v>
      </c>
      <c r="F20" s="236" t="s">
        <v>56</v>
      </c>
      <c r="G20" s="215"/>
      <c r="H20" s="215"/>
      <c r="I20" s="216"/>
      <c r="J20" s="217"/>
      <c r="K20" s="222"/>
      <c r="L20" s="222"/>
      <c r="M20" s="222"/>
      <c r="N20" s="883"/>
      <c r="O20" s="224">
        <f t="shared" si="0"/>
        <v>0</v>
      </c>
      <c r="P20" s="222">
        <f t="shared" si="2"/>
        <v>0</v>
      </c>
      <c r="Q20" s="222">
        <f t="shared" si="3"/>
        <v>0</v>
      </c>
      <c r="R20" s="223">
        <v>0.15</v>
      </c>
      <c r="S20" s="222">
        <f t="shared" si="1"/>
        <v>0</v>
      </c>
      <c r="T20" s="258">
        <v>3.7499999999999999E-2</v>
      </c>
    </row>
    <row r="21" spans="1:20" x14ac:dyDescent="0.2">
      <c r="A21" s="376" t="s">
        <v>28</v>
      </c>
      <c r="B21" s="377" t="s">
        <v>238</v>
      </c>
      <c r="C21" s="378" t="s">
        <v>31</v>
      </c>
      <c r="D21" s="379" t="s">
        <v>30</v>
      </c>
      <c r="E21" s="378" t="s">
        <v>98</v>
      </c>
      <c r="F21" s="236" t="s">
        <v>37</v>
      </c>
      <c r="G21" s="215"/>
      <c r="H21" s="215"/>
      <c r="I21" s="216"/>
      <c r="J21" s="217"/>
      <c r="K21" s="222"/>
      <c r="L21" s="222"/>
      <c r="M21" s="222"/>
      <c r="N21" s="386"/>
      <c r="O21" s="224">
        <f t="shared" si="0"/>
        <v>0</v>
      </c>
      <c r="P21" s="222">
        <f t="shared" si="2"/>
        <v>0</v>
      </c>
      <c r="Q21" s="222">
        <f t="shared" si="3"/>
        <v>0</v>
      </c>
      <c r="R21" s="223">
        <v>0.15</v>
      </c>
      <c r="S21" s="222">
        <f t="shared" si="1"/>
        <v>0</v>
      </c>
      <c r="T21" s="258">
        <v>3.7499999999999999E-2</v>
      </c>
    </row>
    <row r="22" spans="1:20" x14ac:dyDescent="0.2">
      <c r="A22" s="23" t="s">
        <v>28</v>
      </c>
      <c r="B22" s="24" t="s">
        <v>18</v>
      </c>
      <c r="C22" s="57" t="s">
        <v>31</v>
      </c>
      <c r="D22" s="25" t="s">
        <v>30</v>
      </c>
      <c r="E22" s="57" t="s">
        <v>101</v>
      </c>
      <c r="F22" s="236" t="s">
        <v>37</v>
      </c>
      <c r="G22" s="215"/>
      <c r="H22" s="215"/>
      <c r="I22" s="217"/>
      <c r="J22" s="217"/>
      <c r="K22" s="222"/>
      <c r="L22" s="222"/>
      <c r="M22" s="222"/>
      <c r="N22" s="386"/>
      <c r="O22" s="224">
        <f t="shared" si="0"/>
        <v>0</v>
      </c>
      <c r="P22" s="222">
        <f t="shared" si="2"/>
        <v>0</v>
      </c>
      <c r="Q22" s="222">
        <f t="shared" si="3"/>
        <v>0</v>
      </c>
      <c r="R22" s="223">
        <v>0.15</v>
      </c>
      <c r="S22" s="222">
        <f t="shared" si="1"/>
        <v>0</v>
      </c>
      <c r="T22" s="258">
        <v>3.7499999999999999E-2</v>
      </c>
    </row>
    <row r="23" spans="1:20" x14ac:dyDescent="0.2">
      <c r="A23" s="23" t="s">
        <v>28</v>
      </c>
      <c r="B23" s="24" t="s">
        <v>20</v>
      </c>
      <c r="C23" s="57" t="s">
        <v>31</v>
      </c>
      <c r="D23" s="25" t="s">
        <v>30</v>
      </c>
      <c r="E23" s="57" t="s">
        <v>101</v>
      </c>
      <c r="F23" s="236" t="s">
        <v>37</v>
      </c>
      <c r="G23" s="215"/>
      <c r="H23" s="215"/>
      <c r="I23" s="217"/>
      <c r="J23" s="217"/>
      <c r="K23" s="222"/>
      <c r="L23" s="222"/>
      <c r="M23" s="222"/>
      <c r="N23" s="386"/>
      <c r="O23" s="224">
        <f t="shared" si="0"/>
        <v>0</v>
      </c>
      <c r="P23" s="222">
        <f t="shared" si="2"/>
        <v>0</v>
      </c>
      <c r="Q23" s="222">
        <f t="shared" si="3"/>
        <v>0</v>
      </c>
      <c r="R23" s="223">
        <v>0.15</v>
      </c>
      <c r="S23" s="222">
        <f t="shared" si="1"/>
        <v>0</v>
      </c>
      <c r="T23" s="258">
        <v>3.7499999999999999E-2</v>
      </c>
    </row>
    <row r="24" spans="1:20" x14ac:dyDescent="0.2">
      <c r="A24" s="23" t="s">
        <v>28</v>
      </c>
      <c r="B24" s="24" t="s">
        <v>372</v>
      </c>
      <c r="C24" s="57" t="s">
        <v>31</v>
      </c>
      <c r="D24" s="25" t="s">
        <v>30</v>
      </c>
      <c r="E24" s="57" t="s">
        <v>101</v>
      </c>
      <c r="F24" s="236" t="s">
        <v>56</v>
      </c>
      <c r="G24" s="215"/>
      <c r="H24" s="215"/>
      <c r="I24" s="217"/>
      <c r="J24" s="217"/>
      <c r="K24" s="222"/>
      <c r="L24" s="222"/>
      <c r="M24" s="222"/>
      <c r="N24" s="386"/>
      <c r="O24" s="224">
        <f t="shared" si="0"/>
        <v>0</v>
      </c>
      <c r="P24" s="222">
        <f t="shared" si="2"/>
        <v>0</v>
      </c>
      <c r="Q24" s="222">
        <f t="shared" si="3"/>
        <v>0</v>
      </c>
      <c r="R24" s="223">
        <v>0.15</v>
      </c>
      <c r="S24" s="222">
        <f t="shared" si="1"/>
        <v>0</v>
      </c>
      <c r="T24" s="258">
        <v>3.7499999999999999E-2</v>
      </c>
    </row>
    <row r="25" spans="1:20" x14ac:dyDescent="0.2">
      <c r="A25" s="23" t="s">
        <v>28</v>
      </c>
      <c r="B25" s="24" t="s">
        <v>9</v>
      </c>
      <c r="C25" s="57" t="s">
        <v>31</v>
      </c>
      <c r="D25" s="25" t="s">
        <v>30</v>
      </c>
      <c r="E25" s="57" t="s">
        <v>101</v>
      </c>
      <c r="F25" s="236" t="s">
        <v>37</v>
      </c>
      <c r="G25" s="215"/>
      <c r="H25" s="215"/>
      <c r="I25" s="217"/>
      <c r="J25" s="217"/>
      <c r="K25" s="222"/>
      <c r="L25" s="222"/>
      <c r="M25" s="222"/>
      <c r="N25" s="386"/>
      <c r="O25" s="224">
        <f t="shared" si="0"/>
        <v>0</v>
      </c>
      <c r="P25" s="222">
        <f t="shared" si="2"/>
        <v>0</v>
      </c>
      <c r="Q25" s="222">
        <f t="shared" si="3"/>
        <v>0</v>
      </c>
      <c r="R25" s="223">
        <v>0.15</v>
      </c>
      <c r="S25" s="222">
        <f t="shared" si="1"/>
        <v>0</v>
      </c>
      <c r="T25" s="258">
        <v>3.7499999999999999E-2</v>
      </c>
    </row>
    <row r="26" spans="1:20" x14ac:dyDescent="0.2">
      <c r="A26" s="23" t="s">
        <v>28</v>
      </c>
      <c r="B26" s="24" t="s">
        <v>165</v>
      </c>
      <c r="C26" s="57" t="s">
        <v>31</v>
      </c>
      <c r="D26" s="25" t="s">
        <v>30</v>
      </c>
      <c r="E26" s="57" t="s">
        <v>101</v>
      </c>
      <c r="F26" s="236" t="s">
        <v>37</v>
      </c>
      <c r="G26" s="215"/>
      <c r="H26" s="215"/>
      <c r="I26" s="217"/>
      <c r="J26" s="217"/>
      <c r="K26" s="222"/>
      <c r="L26" s="222"/>
      <c r="M26" s="222"/>
      <c r="N26" s="386"/>
      <c r="O26" s="224">
        <f>ROUND(G26*I26,2)+ROUND(H26*J26,2)-K26-L26-M26-N26</f>
        <v>0</v>
      </c>
      <c r="P26" s="222">
        <f t="shared" si="2"/>
        <v>0</v>
      </c>
      <c r="Q26" s="222">
        <f t="shared" ref="Q26:Q32" si="4">ROUND($O26*R26,2)</f>
        <v>0</v>
      </c>
      <c r="R26" s="223">
        <v>0.15</v>
      </c>
      <c r="S26" s="222">
        <f>ROUND($O26*T26,2)</f>
        <v>0</v>
      </c>
      <c r="T26" s="258">
        <v>3.7499999999999999E-2</v>
      </c>
    </row>
    <row r="27" spans="1:20" x14ac:dyDescent="0.2">
      <c r="A27" s="23" t="s">
        <v>28</v>
      </c>
      <c r="B27" s="24" t="s">
        <v>157</v>
      </c>
      <c r="C27" s="57" t="s">
        <v>31</v>
      </c>
      <c r="D27" s="25" t="s">
        <v>30</v>
      </c>
      <c r="E27" s="57" t="s">
        <v>101</v>
      </c>
      <c r="F27" s="236" t="s">
        <v>56</v>
      </c>
      <c r="G27" s="386"/>
      <c r="H27" s="386"/>
      <c r="I27" s="216"/>
      <c r="J27" s="216"/>
      <c r="K27" s="222"/>
      <c r="L27" s="222"/>
      <c r="M27" s="222"/>
      <c r="N27" s="386"/>
      <c r="O27" s="224">
        <f>O252</f>
        <v>0</v>
      </c>
      <c r="P27" s="224">
        <f>P252</f>
        <v>0</v>
      </c>
      <c r="Q27" s="224">
        <f>Q252</f>
        <v>0</v>
      </c>
      <c r="R27" s="248">
        <v>0.15</v>
      </c>
      <c r="S27" s="224">
        <f>S252</f>
        <v>0</v>
      </c>
      <c r="T27" s="258">
        <v>3.7499999999999999E-2</v>
      </c>
    </row>
    <row r="28" spans="1:20" x14ac:dyDescent="0.2">
      <c r="A28" s="23" t="s">
        <v>28</v>
      </c>
      <c r="B28" s="24" t="s">
        <v>170</v>
      </c>
      <c r="C28" s="57" t="s">
        <v>31</v>
      </c>
      <c r="D28" s="25" t="s">
        <v>30</v>
      </c>
      <c r="E28" s="57" t="s">
        <v>101</v>
      </c>
      <c r="F28" s="236" t="s">
        <v>37</v>
      </c>
      <c r="G28" s="215"/>
      <c r="H28" s="215"/>
      <c r="I28" s="217"/>
      <c r="J28" s="217"/>
      <c r="K28" s="222"/>
      <c r="L28" s="222"/>
      <c r="M28" s="222"/>
      <c r="N28" s="386"/>
      <c r="O28" s="224">
        <f>ROUND(G28*I28,2)+ROUND(H28*J28,2)-K28-L28-M28-N28</f>
        <v>0</v>
      </c>
      <c r="P28" s="222">
        <f>ROUND(18.75%*O28,2)</f>
        <v>0</v>
      </c>
      <c r="Q28" s="222">
        <f t="shared" si="4"/>
        <v>0</v>
      </c>
      <c r="R28" s="258">
        <v>3.7499999999999999E-2</v>
      </c>
      <c r="S28" s="222">
        <f>ROUND($O28*T28,2)</f>
        <v>0</v>
      </c>
      <c r="T28" s="223">
        <v>0.15</v>
      </c>
    </row>
    <row r="29" spans="1:20" x14ac:dyDescent="0.2">
      <c r="A29" s="23" t="s">
        <v>28</v>
      </c>
      <c r="B29" s="24" t="s">
        <v>368</v>
      </c>
      <c r="C29" s="57" t="s">
        <v>31</v>
      </c>
      <c r="D29" s="25" t="s">
        <v>30</v>
      </c>
      <c r="E29" s="57" t="s">
        <v>101</v>
      </c>
      <c r="F29" s="236" t="s">
        <v>37</v>
      </c>
      <c r="G29" s="215"/>
      <c r="H29" s="215"/>
      <c r="I29" s="217"/>
      <c r="J29" s="217"/>
      <c r="K29" s="222"/>
      <c r="L29" s="222"/>
      <c r="M29" s="222"/>
      <c r="N29" s="386"/>
      <c r="O29" s="224">
        <f>ROUND(G29*I29,2)+ROUND(H29*J29,2)-K29-L29-M29-N29</f>
        <v>0</v>
      </c>
      <c r="P29" s="222">
        <f>ROUND(18.75%*O29,2)</f>
        <v>0</v>
      </c>
      <c r="Q29" s="222">
        <f t="shared" si="4"/>
        <v>0</v>
      </c>
      <c r="R29" s="258">
        <v>3.7499999999999999E-2</v>
      </c>
      <c r="S29" s="222">
        <f>ROUND($O29*T29,2)</f>
        <v>0</v>
      </c>
      <c r="T29" s="223">
        <v>0.15</v>
      </c>
    </row>
    <row r="30" spans="1:20" x14ac:dyDescent="0.2">
      <c r="A30" s="26" t="s">
        <v>28</v>
      </c>
      <c r="B30" s="29" t="s">
        <v>302</v>
      </c>
      <c r="C30" s="57" t="s">
        <v>31</v>
      </c>
      <c r="D30" s="25" t="s">
        <v>30</v>
      </c>
      <c r="E30" s="57" t="s">
        <v>101</v>
      </c>
      <c r="F30" s="236" t="s">
        <v>37</v>
      </c>
      <c r="G30" s="386"/>
      <c r="H30" s="386"/>
      <c r="I30" s="217"/>
      <c r="J30" s="217"/>
      <c r="K30" s="215"/>
      <c r="L30" s="222"/>
      <c r="M30" s="222"/>
      <c r="N30" s="386"/>
      <c r="O30" s="224">
        <f>ROUND(G30*I30,2)+ROUND(H30*J30,2)-K30-L30-M30-N30</f>
        <v>0</v>
      </c>
      <c r="P30" s="222">
        <f>ROUND(18.75%*O30,2)</f>
        <v>0</v>
      </c>
      <c r="Q30" s="222">
        <f t="shared" si="4"/>
        <v>0</v>
      </c>
      <c r="R30" s="248">
        <v>0.15</v>
      </c>
      <c r="S30" s="222">
        <f>ROUND($O30*T30,2)</f>
        <v>0</v>
      </c>
      <c r="T30" s="258">
        <v>3.7499999999999999E-2</v>
      </c>
    </row>
    <row r="31" spans="1:20" x14ac:dyDescent="0.2">
      <c r="A31" s="26" t="s">
        <v>28</v>
      </c>
      <c r="B31" s="29" t="s">
        <v>303</v>
      </c>
      <c r="C31" s="57" t="s">
        <v>31</v>
      </c>
      <c r="D31" s="25" t="s">
        <v>30</v>
      </c>
      <c r="E31" s="57" t="s">
        <v>101</v>
      </c>
      <c r="F31" s="236" t="s">
        <v>56</v>
      </c>
      <c r="G31" s="386"/>
      <c r="H31" s="386"/>
      <c r="I31" s="216"/>
      <c r="J31" s="216"/>
      <c r="K31" s="215"/>
      <c r="L31" s="222"/>
      <c r="M31" s="222"/>
      <c r="N31" s="386"/>
      <c r="O31" s="224">
        <f>O286</f>
        <v>0</v>
      </c>
      <c r="P31" s="224">
        <f>P286</f>
        <v>0</v>
      </c>
      <c r="Q31" s="224">
        <f>Q286</f>
        <v>0</v>
      </c>
      <c r="R31" s="258">
        <v>0.15</v>
      </c>
      <c r="S31" s="224">
        <f>S286</f>
        <v>0</v>
      </c>
      <c r="T31" s="258">
        <v>3.7499999999999999E-2</v>
      </c>
    </row>
    <row r="32" spans="1:20" x14ac:dyDescent="0.2">
      <c r="A32" s="26" t="s">
        <v>28</v>
      </c>
      <c r="B32" s="29" t="s">
        <v>304</v>
      </c>
      <c r="C32" s="57" t="s">
        <v>31</v>
      </c>
      <c r="D32" s="25" t="s">
        <v>30</v>
      </c>
      <c r="E32" s="57" t="s">
        <v>101</v>
      </c>
      <c r="F32" s="236" t="s">
        <v>37</v>
      </c>
      <c r="G32" s="386"/>
      <c r="H32" s="386"/>
      <c r="I32" s="217"/>
      <c r="J32" s="217"/>
      <c r="K32" s="215"/>
      <c r="L32" s="222"/>
      <c r="M32" s="222"/>
      <c r="N32" s="386"/>
      <c r="O32" s="224">
        <f>ROUND(G32*I32,2)+ROUND(H32*J32,2)-K32-L32-M32-N32</f>
        <v>0</v>
      </c>
      <c r="P32" s="222">
        <f>ROUND(18.75%*O32,2)</f>
        <v>0</v>
      </c>
      <c r="Q32" s="222">
        <f t="shared" si="4"/>
        <v>0</v>
      </c>
      <c r="R32" s="248">
        <v>0.15</v>
      </c>
      <c r="S32" s="222">
        <f>ROUND($O32*T32,2)</f>
        <v>0</v>
      </c>
      <c r="T32" s="258">
        <v>3.7499999999999999E-2</v>
      </c>
    </row>
    <row r="33" spans="1:20" x14ac:dyDescent="0.2">
      <c r="A33" s="26" t="s">
        <v>28</v>
      </c>
      <c r="B33" s="29" t="s">
        <v>52</v>
      </c>
      <c r="C33" s="56"/>
      <c r="D33" s="56"/>
      <c r="E33" s="27"/>
      <c r="F33" s="236"/>
      <c r="G33" s="222"/>
      <c r="H33" s="222"/>
      <c r="I33" s="216"/>
      <c r="J33" s="216"/>
      <c r="K33" s="222"/>
      <c r="L33" s="222"/>
      <c r="M33" s="577"/>
      <c r="N33" s="222"/>
      <c r="O33" s="224"/>
      <c r="P33" s="224"/>
      <c r="Q33" s="224"/>
      <c r="R33" s="248"/>
      <c r="S33" s="224"/>
      <c r="T33" s="223"/>
    </row>
    <row r="34" spans="1:20" x14ac:dyDescent="0.2">
      <c r="A34" s="30"/>
      <c r="B34" s="153" t="s">
        <v>108</v>
      </c>
      <c r="C34" s="31" t="str">
        <f>TEXT(A$9,)&amp;" US$"</f>
        <v>Piura / Tumbes US$</v>
      </c>
      <c r="D34" s="38"/>
      <c r="E34" s="39"/>
      <c r="F34" s="244"/>
      <c r="G34" s="218"/>
      <c r="H34" s="218"/>
      <c r="I34" s="219"/>
      <c r="J34" s="219"/>
      <c r="K34" s="218"/>
      <c r="L34" s="218"/>
      <c r="M34" s="218"/>
      <c r="N34" s="227"/>
      <c r="O34" s="227">
        <f>SUM(O10:O33)</f>
        <v>0</v>
      </c>
      <c r="P34" s="227">
        <f>SUM(P10:P33)</f>
        <v>0</v>
      </c>
      <c r="Q34" s="227">
        <f>SUM(Q10:Q33)</f>
        <v>0</v>
      </c>
      <c r="R34" s="229"/>
      <c r="S34" s="227">
        <f>SUM(S10:S33)</f>
        <v>0</v>
      </c>
      <c r="T34" s="511">
        <v>0</v>
      </c>
    </row>
    <row r="35" spans="1:20" x14ac:dyDescent="0.2">
      <c r="A35" s="125"/>
      <c r="B35" s="126"/>
      <c r="C35" s="31" t="str">
        <f>TEXT(A$9,)&amp;" S/."</f>
        <v>Piura / Tumbes S/.</v>
      </c>
      <c r="D35" s="56"/>
      <c r="E35" s="56"/>
      <c r="F35" s="137"/>
      <c r="G35" s="177"/>
      <c r="H35" s="177"/>
      <c r="I35" s="202"/>
      <c r="J35" s="202"/>
      <c r="K35" s="177"/>
      <c r="L35" s="177"/>
      <c r="M35" s="177"/>
      <c r="N35" s="177"/>
      <c r="O35" s="209"/>
      <c r="P35" s="210">
        <f>ROUND($F$1*P34,2)</f>
        <v>0</v>
      </c>
      <c r="Q35" s="364">
        <f>ROUND($F$1*Q34,2)</f>
        <v>0</v>
      </c>
      <c r="R35" s="139"/>
      <c r="S35" s="363">
        <f>ROUND($F$1*S34,2)</f>
        <v>0</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row>
    <row r="40" spans="1:20"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row>
    <row r="43" spans="1:20" x14ac:dyDescent="0.2">
      <c r="A43" s="23" t="s">
        <v>28</v>
      </c>
      <c r="B43" s="24" t="s">
        <v>12</v>
      </c>
      <c r="C43" s="57" t="s">
        <v>31</v>
      </c>
      <c r="D43" s="57" t="s">
        <v>30</v>
      </c>
      <c r="E43" s="57" t="s">
        <v>101</v>
      </c>
      <c r="F43" s="238" t="s">
        <v>56</v>
      </c>
      <c r="G43" s="215"/>
      <c r="H43" s="215"/>
      <c r="I43" s="217"/>
      <c r="J43" s="217"/>
      <c r="K43" s="222"/>
      <c r="L43" s="222"/>
      <c r="M43" s="222"/>
      <c r="N43" s="222"/>
      <c r="O43" s="224">
        <f>ROUND(G43*I43,2)+ROUND(H43*J43,2)-K43-L43-M43-N43</f>
        <v>0</v>
      </c>
      <c r="P43" s="222">
        <f>ROUND(18.75%*O43,2)</f>
        <v>0</v>
      </c>
      <c r="Q43" s="222">
        <f>ROUND($O43*R43,2)</f>
        <v>0</v>
      </c>
      <c r="R43" s="258">
        <v>3.7499999999999999E-2</v>
      </c>
      <c r="S43" s="222">
        <f>ROUND($O43*T43,2)</f>
        <v>0</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222"/>
      <c r="O44" s="224">
        <f>ROUND(G44*I44,2)+ROUND(H44*J44,2)-K44-L44-M44-N44</f>
        <v>0</v>
      </c>
      <c r="P44" s="222">
        <f>ROUND(18.75%*O44,2)</f>
        <v>0</v>
      </c>
      <c r="Q44" s="222">
        <f>ROUND($O44*R44,2)</f>
        <v>0</v>
      </c>
      <c r="R44" s="258">
        <v>3.7499999999999999E-2</v>
      </c>
      <c r="S44" s="222">
        <f>ROUND($O44*T44,2)</f>
        <v>0</v>
      </c>
      <c r="T44" s="223">
        <v>0.15</v>
      </c>
    </row>
    <row r="45" spans="1:20" x14ac:dyDescent="0.2">
      <c r="A45" s="23" t="s">
        <v>28</v>
      </c>
      <c r="B45" s="28">
        <v>95</v>
      </c>
      <c r="C45" s="57" t="s">
        <v>31</v>
      </c>
      <c r="D45" s="57" t="s">
        <v>30</v>
      </c>
      <c r="E45" s="57" t="s">
        <v>101</v>
      </c>
      <c r="F45" s="238" t="s">
        <v>37</v>
      </c>
      <c r="G45" s="518"/>
      <c r="H45" s="518"/>
      <c r="I45" s="519"/>
      <c r="J45" s="519"/>
      <c r="K45" s="215"/>
      <c r="L45" s="222"/>
      <c r="M45" s="222"/>
      <c r="N45" s="222"/>
      <c r="O45" s="582">
        <f>ROUND(G45*I45,2)+ROUND(H45*J45,2)-K45-L45-M45-N45</f>
        <v>0</v>
      </c>
      <c r="P45" s="222">
        <f>ROUND(18.75%*O45,2)</f>
        <v>0</v>
      </c>
      <c r="Q45" s="222">
        <f>P45-S45</f>
        <v>0</v>
      </c>
      <c r="R45" s="223">
        <v>0.15</v>
      </c>
      <c r="S45" s="222">
        <f>ROUND($O45*T45,2)</f>
        <v>0</v>
      </c>
      <c r="T45" s="258">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row>
    <row r="47" spans="1:20" x14ac:dyDescent="0.2">
      <c r="A47" s="18" t="s">
        <v>28</v>
      </c>
      <c r="B47" s="29" t="s">
        <v>54</v>
      </c>
      <c r="C47" s="56"/>
      <c r="D47" s="27"/>
      <c r="E47" s="27"/>
      <c r="F47" s="238"/>
      <c r="G47" s="222"/>
      <c r="H47" s="222"/>
      <c r="I47" s="216"/>
      <c r="J47" s="216"/>
      <c r="K47" s="222"/>
      <c r="L47" s="222"/>
      <c r="M47" s="222"/>
      <c r="N47" s="222"/>
      <c r="O47" s="222"/>
      <c r="P47" s="222"/>
      <c r="Q47" s="222"/>
      <c r="R47" s="222"/>
      <c r="S47" s="222"/>
      <c r="T47" s="223"/>
    </row>
    <row r="48" spans="1:20"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row>
    <row r="49" spans="1:20"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c r="H51" s="222"/>
      <c r="I51" s="216"/>
      <c r="J51" s="216"/>
      <c r="K51" s="222"/>
      <c r="L51" s="222"/>
      <c r="M51" s="222"/>
      <c r="N51" s="222"/>
      <c r="O51" s="224">
        <f>G51*I51+H51*J51</f>
        <v>0</v>
      </c>
      <c r="P51" s="222">
        <f>ROUND(37.24%*(G51*I51+H51*J51),2)</f>
        <v>0</v>
      </c>
      <c r="Q51" s="253">
        <f>ROUND(R51*P51,2)</f>
        <v>0</v>
      </c>
      <c r="R51" s="223">
        <v>0.5</v>
      </c>
      <c r="S51" s="222"/>
      <c r="T51" s="258"/>
    </row>
    <row r="52" spans="1:20" x14ac:dyDescent="0.2">
      <c r="A52" s="23" t="s">
        <v>28</v>
      </c>
      <c r="B52" s="24" t="s">
        <v>159</v>
      </c>
      <c r="C52" s="57" t="s">
        <v>31</v>
      </c>
      <c r="D52" s="57" t="s">
        <v>30</v>
      </c>
      <c r="E52" s="57" t="s">
        <v>158</v>
      </c>
      <c r="F52" s="238" t="s">
        <v>56</v>
      </c>
      <c r="G52" s="222"/>
      <c r="H52" s="222"/>
      <c r="I52" s="558"/>
      <c r="J52" s="558"/>
      <c r="K52" s="222"/>
      <c r="L52" s="222"/>
      <c r="M52" s="222"/>
      <c r="N52" s="222"/>
      <c r="O52" s="222">
        <f>O220</f>
        <v>0</v>
      </c>
      <c r="P52" s="222">
        <f>P220</f>
        <v>0</v>
      </c>
      <c r="Q52" s="253">
        <f>Q220</f>
        <v>0</v>
      </c>
      <c r="R52" s="223">
        <v>0.5</v>
      </c>
      <c r="S52" s="222"/>
      <c r="T52" s="223"/>
    </row>
    <row r="53" spans="1:20" x14ac:dyDescent="0.2">
      <c r="A53" s="23" t="s">
        <v>28</v>
      </c>
      <c r="B53" s="24" t="s">
        <v>168</v>
      </c>
      <c r="C53" s="57" t="s">
        <v>31</v>
      </c>
      <c r="D53" s="57" t="s">
        <v>30</v>
      </c>
      <c r="E53" s="57" t="s">
        <v>158</v>
      </c>
      <c r="F53" s="238" t="s">
        <v>37</v>
      </c>
      <c r="G53" s="222"/>
      <c r="H53" s="222"/>
      <c r="I53" s="216"/>
      <c r="J53" s="216"/>
      <c r="K53" s="222"/>
      <c r="L53" s="222"/>
      <c r="M53" s="222"/>
      <c r="N53" s="222"/>
      <c r="O53" s="224">
        <f>G53*I53+H53*J53</f>
        <v>0</v>
      </c>
      <c r="P53" s="253">
        <f>ROUND(40%*G53*I53,2)+ROUND(40%*H53*J53,2)</f>
        <v>0</v>
      </c>
      <c r="Q53" s="253">
        <f>ROUND(R53*P53,2)</f>
        <v>0</v>
      </c>
      <c r="R53" s="223">
        <v>0.5</v>
      </c>
      <c r="S53" s="222"/>
      <c r="T53" s="223"/>
    </row>
    <row r="54" spans="1:20" x14ac:dyDescent="0.2">
      <c r="A54" s="23" t="s">
        <v>28</v>
      </c>
      <c r="B54" s="24" t="s">
        <v>169</v>
      </c>
      <c r="C54" s="57" t="s">
        <v>31</v>
      </c>
      <c r="D54" s="57" t="s">
        <v>30</v>
      </c>
      <c r="E54" s="57" t="s">
        <v>158</v>
      </c>
      <c r="F54" s="238" t="s">
        <v>56</v>
      </c>
      <c r="G54" s="222"/>
      <c r="H54" s="222"/>
      <c r="I54" s="558"/>
      <c r="J54" s="558"/>
      <c r="K54" s="222"/>
      <c r="L54" s="222"/>
      <c r="M54" s="222"/>
      <c r="N54" s="222"/>
      <c r="O54" s="224">
        <f>G54*I54+H54*J54</f>
        <v>0</v>
      </c>
      <c r="P54" s="222">
        <f>ROUND(30%*G54*I54,2)+ROUND(38%*H54*J54,2)</f>
        <v>0</v>
      </c>
      <c r="Q54" s="253">
        <f>ROUND(R54*P54,2)</f>
        <v>0</v>
      </c>
      <c r="R54" s="223">
        <v>0.5</v>
      </c>
      <c r="S54" s="222"/>
      <c r="T54" s="223"/>
    </row>
    <row r="55" spans="1:20" x14ac:dyDescent="0.2">
      <c r="A55" s="23" t="s">
        <v>28</v>
      </c>
      <c r="B55" s="28" t="s">
        <v>175</v>
      </c>
      <c r="C55" s="57" t="s">
        <v>31</v>
      </c>
      <c r="D55" s="57" t="s">
        <v>30</v>
      </c>
      <c r="E55" s="57" t="s">
        <v>158</v>
      </c>
      <c r="F55" s="238" t="s">
        <v>37</v>
      </c>
      <c r="G55" s="222"/>
      <c r="H55" s="222"/>
      <c r="I55" s="216"/>
      <c r="J55" s="216"/>
      <c r="K55" s="215"/>
      <c r="L55" s="222"/>
      <c r="M55" s="222"/>
      <c r="N55" s="215"/>
      <c r="O55" s="224">
        <f>G55*I55+H55*J55</f>
        <v>0</v>
      </c>
      <c r="P55" s="583">
        <f>ROUND(G55*I55,2)*6.6%+ROUND(H55*J55,2)*6.76%</f>
        <v>0</v>
      </c>
      <c r="Q55" s="253">
        <f>ROUND(R55*P55,2)</f>
        <v>0</v>
      </c>
      <c r="R55" s="223">
        <v>0.5</v>
      </c>
      <c r="S55" s="222"/>
      <c r="T55" s="258"/>
    </row>
    <row r="56" spans="1:20" x14ac:dyDescent="0.2">
      <c r="A56" s="23" t="s">
        <v>28</v>
      </c>
      <c r="B56" s="272" t="s">
        <v>176</v>
      </c>
      <c r="C56" s="57" t="s">
        <v>31</v>
      </c>
      <c r="D56" s="57" t="s">
        <v>30</v>
      </c>
      <c r="E56" s="57" t="s">
        <v>158</v>
      </c>
      <c r="F56" s="238" t="s">
        <v>56</v>
      </c>
      <c r="G56" s="222"/>
      <c r="H56" s="222"/>
      <c r="I56" s="216"/>
      <c r="J56" s="216"/>
      <c r="K56" s="559"/>
      <c r="L56" s="222"/>
      <c r="M56" s="222"/>
      <c r="N56" s="215"/>
      <c r="O56" s="224">
        <f>G56*I56+H56*J56</f>
        <v>0</v>
      </c>
      <c r="P56" s="583">
        <f>ROUND(G56*I56,2)*10.82%+ROUND(H56*J56,2)*11.36%</f>
        <v>0</v>
      </c>
      <c r="Q56" s="253">
        <f>ROUND(R56*P56,2)</f>
        <v>0</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198"/>
      <c r="P57" s="198"/>
      <c r="Q57" s="198"/>
      <c r="R57" s="148"/>
      <c r="S57" s="188"/>
      <c r="T57" s="148"/>
    </row>
    <row r="58" spans="1:20" x14ac:dyDescent="0.2">
      <c r="A58" s="30"/>
      <c r="B58" s="153" t="s">
        <v>108</v>
      </c>
      <c r="C58" s="31" t="str">
        <f>TEXT(A$50,)&amp;" US$"</f>
        <v>Cusco US$</v>
      </c>
      <c r="D58" s="19"/>
      <c r="E58" s="19"/>
      <c r="F58" s="268"/>
      <c r="G58" s="254">
        <f>SUM(G54:G54)</f>
        <v>0</v>
      </c>
      <c r="H58" s="254">
        <f>SUM(H54:H54)</f>
        <v>0</v>
      </c>
      <c r="I58" s="304"/>
      <c r="J58" s="254"/>
      <c r="K58" s="265"/>
      <c r="L58" s="259"/>
      <c r="M58" s="303"/>
      <c r="N58" s="201"/>
      <c r="O58" s="201">
        <f>SUM(O51:O57)</f>
        <v>0</v>
      </c>
      <c r="P58" s="201">
        <f>SUM(P51:P57)</f>
        <v>0</v>
      </c>
      <c r="Q58" s="201">
        <f>SUM(Q51:Q57)</f>
        <v>0</v>
      </c>
      <c r="R58" s="560"/>
      <c r="S58" s="192"/>
      <c r="T58" s="148"/>
    </row>
    <row r="59" spans="1:20"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f>Q58*F1</f>
        <v>0</v>
      </c>
      <c r="R59" s="185"/>
      <c r="S59" s="192"/>
      <c r="T59" s="148"/>
    </row>
    <row r="60" spans="1:20"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f>O34+O39+O48+O58</f>
        <v>0</v>
      </c>
      <c r="P60" s="363">
        <f>Q58+P48+P39+P34</f>
        <v>0</v>
      </c>
      <c r="Q60" s="196">
        <f>Q35+S35+Q40+Q49+S49+Q59</f>
        <v>0</v>
      </c>
      <c r="R60" s="55"/>
      <c r="S60" s="196"/>
      <c r="T60" s="55"/>
    </row>
    <row r="61" spans="1:20" x14ac:dyDescent="0.2">
      <c r="G61" s="1"/>
      <c r="H61" s="1"/>
      <c r="I61" s="1"/>
      <c r="J61" s="1"/>
      <c r="K61" s="1"/>
      <c r="N61" s="509"/>
      <c r="O61" s="252"/>
      <c r="S61" s="257"/>
    </row>
    <row r="62" spans="1:20" x14ac:dyDescent="0.2">
      <c r="A62" s="4" t="s">
        <v>93</v>
      </c>
      <c r="B62" s="1" t="s">
        <v>76</v>
      </c>
      <c r="G62" s="1"/>
      <c r="H62" s="4" t="s">
        <v>77</v>
      </c>
      <c r="I62" s="1"/>
      <c r="J62" s="65"/>
      <c r="K62" s="65"/>
      <c r="N62" s="509"/>
      <c r="O62" s="509"/>
      <c r="P62" s="257"/>
      <c r="Q62" s="65"/>
      <c r="S62" s="65"/>
    </row>
    <row r="63" spans="1:20" x14ac:dyDescent="0.2">
      <c r="B63" s="115" t="s">
        <v>78</v>
      </c>
      <c r="C63" s="116" t="s">
        <v>79</v>
      </c>
      <c r="D63" s="117"/>
      <c r="E63" s="118" t="s">
        <v>35</v>
      </c>
      <c r="F63" s="118" t="s">
        <v>80</v>
      </c>
      <c r="G63" s="1"/>
      <c r="H63" s="89" t="s">
        <v>35</v>
      </c>
      <c r="I63" s="8"/>
      <c r="J63" s="8"/>
      <c r="K63" s="8"/>
      <c r="L63" s="90"/>
      <c r="N63" s="1073"/>
      <c r="O63" s="1073"/>
      <c r="P63" s="257"/>
      <c r="Q63" s="65"/>
      <c r="S63" s="65"/>
    </row>
    <row r="64" spans="1:2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1073"/>
      <c r="O64" s="1073"/>
      <c r="P64" s="314"/>
      <c r="Q64" s="314"/>
      <c r="S64" s="314"/>
    </row>
    <row r="65" spans="1:20" x14ac:dyDescent="0.2">
      <c r="B65" s="97" t="s">
        <v>83</v>
      </c>
      <c r="C65" s="98" t="s">
        <v>84</v>
      </c>
      <c r="D65" s="99"/>
      <c r="E65" s="100"/>
      <c r="F65" s="101"/>
      <c r="G65" s="1"/>
      <c r="H65" s="102">
        <f>((85.98%*E64+4.4221)*E67+(E65-E66-E69)*(1-E67))</f>
        <v>0</v>
      </c>
      <c r="I65" s="103"/>
      <c r="J65" s="103"/>
      <c r="K65" s="103"/>
      <c r="L65" s="104"/>
      <c r="M65" s="561">
        <f>698277.28/7412709.99</f>
        <v>9.4199999857272176E-2</v>
      </c>
      <c r="N65" s="561"/>
      <c r="O65" s="65"/>
      <c r="P65" s="314"/>
      <c r="Q65" s="314"/>
      <c r="S65" s="314"/>
    </row>
    <row r="66" spans="1:20" x14ac:dyDescent="0.2">
      <c r="B66" s="97" t="s">
        <v>85</v>
      </c>
      <c r="C66" s="98" t="s">
        <v>86</v>
      </c>
      <c r="D66" s="99"/>
      <c r="E66" s="100"/>
      <c r="F66" s="100"/>
      <c r="G66" s="1"/>
      <c r="H66" s="1"/>
      <c r="I66" s="105"/>
      <c r="J66" s="1"/>
      <c r="K66" s="1"/>
      <c r="M66" s="561">
        <f>5254120.1/13135300.26</f>
        <v>0.39999999969547706</v>
      </c>
      <c r="N66" s="561"/>
      <c r="P66" s="257"/>
      <c r="Q66" s="257"/>
    </row>
    <row r="67" spans="1:20" x14ac:dyDescent="0.2">
      <c r="B67" s="97" t="s">
        <v>87</v>
      </c>
      <c r="C67" s="98" t="s">
        <v>88</v>
      </c>
      <c r="D67" s="99"/>
      <c r="E67" s="106"/>
      <c r="F67" s="106"/>
      <c r="G67" s="1"/>
      <c r="H67" s="89" t="s">
        <v>80</v>
      </c>
      <c r="I67" s="107"/>
      <c r="J67" s="8"/>
      <c r="K67" s="8"/>
      <c r="L67" s="90"/>
      <c r="M67" s="561">
        <f>503101.38/1323950.99</f>
        <v>0.38000000287019686</v>
      </c>
      <c r="N67" s="561"/>
      <c r="O67" s="325"/>
    </row>
    <row r="68" spans="1:20"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N68" s="562"/>
      <c r="O68" s="325"/>
    </row>
    <row r="69" spans="1:20" x14ac:dyDescent="0.2">
      <c r="B69" s="109" t="s">
        <v>91</v>
      </c>
      <c r="C69" s="110" t="s">
        <v>92</v>
      </c>
      <c r="D69" s="111"/>
      <c r="E69" s="112"/>
      <c r="F69" s="112"/>
      <c r="G69" s="1"/>
      <c r="H69" s="102">
        <f>((85.98%*F64+4.4221)*F67+(F65-F66-F69)*(1-F67))</f>
        <v>0</v>
      </c>
      <c r="I69" s="113"/>
      <c r="J69" s="103"/>
      <c r="K69" s="103"/>
      <c r="L69" s="104"/>
      <c r="M69" s="325"/>
      <c r="N69" s="325"/>
      <c r="O69" s="325"/>
    </row>
    <row r="70" spans="1:20" x14ac:dyDescent="0.2">
      <c r="A70" s="4"/>
      <c r="G70" s="1"/>
      <c r="H70" s="177"/>
      <c r="I70" s="1"/>
      <c r="J70" s="1"/>
      <c r="K70" s="1"/>
      <c r="M70" s="325"/>
      <c r="N70" s="325"/>
      <c r="O70" s="325"/>
    </row>
    <row r="71" spans="1:20" x14ac:dyDescent="0.2">
      <c r="A71" s="406"/>
      <c r="G71" s="1"/>
      <c r="H71" s="1"/>
      <c r="I71" s="1"/>
      <c r="J71" s="1"/>
      <c r="K71" s="1"/>
    </row>
    <row r="72" spans="1:20" x14ac:dyDescent="0.2">
      <c r="A72" s="1" t="s">
        <v>334</v>
      </c>
      <c r="G72" s="1"/>
      <c r="H72" s="1"/>
      <c r="I72" s="1"/>
      <c r="J72" s="1"/>
      <c r="K72" s="1"/>
      <c r="O72" s="65"/>
      <c r="P72" s="65"/>
      <c r="Q72" s="65"/>
    </row>
    <row r="73" spans="1:20" x14ac:dyDescent="0.2">
      <c r="G73" s="1"/>
      <c r="H73" s="1"/>
      <c r="I73" s="1"/>
      <c r="J73" s="1"/>
      <c r="K73" s="1"/>
      <c r="O73" s="65"/>
      <c r="P73" s="65"/>
      <c r="Q73" s="65"/>
    </row>
    <row r="74" spans="1:20" ht="16.899999999999999" customHeight="1" x14ac:dyDescent="0.25">
      <c r="A74" s="271" t="str">
        <f>"AJUSTES PARA "&amp;UPPER(TEXT(E1,"MMMMMMM YYYY"))</f>
        <v>AJUSTES PARA AGOSTO 2025</v>
      </c>
      <c r="B74" s="156"/>
      <c r="C74" s="156"/>
      <c r="D74" s="156"/>
      <c r="E74" s="156"/>
      <c r="F74" s="156"/>
      <c r="G74" s="156"/>
      <c r="H74" s="156"/>
      <c r="I74" s="156"/>
      <c r="J74" s="156"/>
      <c r="K74" s="156"/>
      <c r="L74" s="156"/>
      <c r="M74" s="156"/>
      <c r="N74" s="156"/>
      <c r="O74" s="156"/>
      <c r="P74" s="563"/>
      <c r="Q74" s="563"/>
      <c r="R74" s="156"/>
      <c r="S74" s="564"/>
      <c r="T74" s="156"/>
    </row>
    <row r="211" spans="1:20" ht="15.75" x14ac:dyDescent="0.25">
      <c r="A211"/>
      <c r="B211"/>
      <c r="C211"/>
      <c r="D211"/>
      <c r="E211"/>
      <c r="F211"/>
      <c r="G211"/>
      <c r="H211"/>
      <c r="I211"/>
      <c r="J211"/>
      <c r="K211"/>
      <c r="L211"/>
      <c r="M211"/>
      <c r="N211"/>
      <c r="O211"/>
      <c r="P211"/>
      <c r="Q211"/>
      <c r="R211"/>
      <c r="S211"/>
      <c r="T211"/>
    </row>
    <row r="212" spans="1:20" ht="15.75" x14ac:dyDescent="0.25">
      <c r="A212"/>
      <c r="B212"/>
      <c r="C212"/>
      <c r="D212"/>
      <c r="E212"/>
      <c r="F212"/>
      <c r="G212"/>
      <c r="H212"/>
      <c r="I212"/>
      <c r="J212"/>
      <c r="K212"/>
      <c r="L212"/>
      <c r="M212"/>
      <c r="N212"/>
      <c r="O212"/>
      <c r="P212"/>
      <c r="Q212" s="498"/>
      <c r="R212"/>
      <c r="S212"/>
      <c r="T212"/>
    </row>
    <row r="213" spans="1:20" ht="15.75" x14ac:dyDescent="0.25">
      <c r="A213"/>
      <c r="B213"/>
      <c r="C213"/>
      <c r="D213"/>
      <c r="E213"/>
      <c r="F213"/>
      <c r="G213"/>
      <c r="H213"/>
      <c r="I213"/>
      <c r="J213"/>
      <c r="K213"/>
      <c r="L213"/>
      <c r="M213"/>
      <c r="N213"/>
      <c r="O213"/>
      <c r="P213"/>
      <c r="Q213"/>
      <c r="R213"/>
      <c r="S213"/>
      <c r="T213"/>
    </row>
    <row r="214" spans="1:20" ht="15.75" x14ac:dyDescent="0.25">
      <c r="A214" s="880" t="s">
        <v>231</v>
      </c>
      <c r="B214" s="596"/>
      <c r="C214" s="596">
        <v>88</v>
      </c>
      <c r="D214" s="596"/>
      <c r="E214" s="596"/>
      <c r="F214" s="596"/>
      <c r="G214" s="677"/>
      <c r="H214" s="677"/>
      <c r="I214" s="677"/>
      <c r="J214" s="677"/>
      <c r="K214" s="677"/>
      <c r="L214" s="596"/>
      <c r="M214" s="596"/>
      <c r="N214" s="950"/>
      <c r="O214" s="596"/>
      <c r="P214" s="596"/>
      <c r="Q214" s="596"/>
      <c r="R214" s="596"/>
      <c r="S214"/>
      <c r="T214"/>
    </row>
    <row r="215" spans="1:20" ht="15.75" x14ac:dyDescent="0.25">
      <c r="A215" s="887" t="s">
        <v>228</v>
      </c>
      <c r="B215" s="596"/>
      <c r="C215" s="596"/>
      <c r="D215" s="596"/>
      <c r="E215" s="596"/>
      <c r="F215" s="596"/>
      <c r="G215" s="704" t="s">
        <v>35</v>
      </c>
      <c r="H215" s="705" t="s">
        <v>36</v>
      </c>
      <c r="I215" s="705" t="s">
        <v>35</v>
      </c>
      <c r="J215" s="704" t="s">
        <v>36</v>
      </c>
      <c r="K215" s="704" t="s">
        <v>39</v>
      </c>
      <c r="L215" s="704" t="s">
        <v>40</v>
      </c>
      <c r="M215" s="704" t="s">
        <v>42</v>
      </c>
      <c r="N215" s="1058" t="s">
        <v>2</v>
      </c>
      <c r="O215" s="959" t="s">
        <v>180</v>
      </c>
      <c r="P215" s="961" t="s">
        <v>163</v>
      </c>
      <c r="Q215" s="961" t="s">
        <v>184</v>
      </c>
      <c r="R215" s="962"/>
      <c r="S215"/>
      <c r="T215"/>
    </row>
    <row r="216" spans="1:20" ht="15.75" outlineLevel="1" x14ac:dyDescent="0.25">
      <c r="A216" s="888" t="s">
        <v>28</v>
      </c>
      <c r="B216" s="889" t="s">
        <v>159</v>
      </c>
      <c r="C216" s="890" t="s">
        <v>31</v>
      </c>
      <c r="D216" s="890" t="s">
        <v>30</v>
      </c>
      <c r="E216" s="890" t="s">
        <v>158</v>
      </c>
      <c r="F216" s="891" t="s">
        <v>56</v>
      </c>
      <c r="G216" s="253"/>
      <c r="H216" s="420"/>
      <c r="I216" s="806"/>
      <c r="J216" s="764"/>
      <c r="K216" s="253"/>
      <c r="L216" s="253"/>
      <c r="M216" s="253"/>
      <c r="N216" s="557"/>
      <c r="O216" s="557">
        <f>ROUND(G216*I216+H216*J216,2)</f>
        <v>0</v>
      </c>
      <c r="P216" s="557">
        <f>ROUND(37.24%*O216,2)</f>
        <v>0</v>
      </c>
      <c r="Q216" s="557">
        <f>ROUND(R216*P216,2)</f>
        <v>0</v>
      </c>
      <c r="R216" s="893">
        <v>0.5</v>
      </c>
      <c r="S216"/>
      <c r="T216"/>
    </row>
    <row r="217" spans="1:20" ht="15.75" outlineLevel="1" x14ac:dyDescent="0.25">
      <c r="A217" s="894" t="s">
        <v>28</v>
      </c>
      <c r="B217" s="456" t="s">
        <v>177</v>
      </c>
      <c r="C217" s="378" t="s">
        <v>31</v>
      </c>
      <c r="D217" s="378" t="s">
        <v>30</v>
      </c>
      <c r="E217" s="378" t="s">
        <v>158</v>
      </c>
      <c r="F217" s="586" t="s">
        <v>56</v>
      </c>
      <c r="G217" s="253"/>
      <c r="H217" s="253"/>
      <c r="I217" s="806"/>
      <c r="J217" s="728"/>
      <c r="K217" s="253"/>
      <c r="L217" s="253"/>
      <c r="M217" s="253"/>
      <c r="N217" s="557"/>
      <c r="O217" s="557">
        <f>ROUND(G217*I217+H217*J217,2)</f>
        <v>0</v>
      </c>
      <c r="P217" s="557">
        <f>ROUND(37.24%*O217,2)</f>
        <v>0</v>
      </c>
      <c r="Q217" s="557">
        <f>ROUND(R217*P217,2)</f>
        <v>0</v>
      </c>
      <c r="R217" s="775">
        <v>0.5</v>
      </c>
      <c r="S217"/>
      <c r="T217"/>
    </row>
    <row r="218" spans="1:20" ht="15.75" outlineLevel="1" x14ac:dyDescent="0.25">
      <c r="A218" s="894" t="s">
        <v>28</v>
      </c>
      <c r="B218" s="456" t="s">
        <v>234</v>
      </c>
      <c r="C218" s="378" t="s">
        <v>31</v>
      </c>
      <c r="D218" s="378" t="s">
        <v>30</v>
      </c>
      <c r="E218" s="378" t="s">
        <v>158</v>
      </c>
      <c r="F218" s="781" t="s">
        <v>56</v>
      </c>
      <c r="G218" s="253"/>
      <c r="H218" s="341"/>
      <c r="I218" s="806"/>
      <c r="J218" s="728"/>
      <c r="K218" s="253"/>
      <c r="L218" s="253"/>
      <c r="M218" s="253"/>
      <c r="N218" s="557"/>
      <c r="O218" s="557">
        <f>ROUND(G218*I218+H218*J218,2)</f>
        <v>0</v>
      </c>
      <c r="P218" s="557">
        <f>ROUND(37.24%*O218,2)</f>
        <v>0</v>
      </c>
      <c r="Q218" s="557">
        <f>ROUND(R218*P218,2)</f>
        <v>0</v>
      </c>
      <c r="R218" s="775">
        <v>0.5</v>
      </c>
      <c r="S218"/>
      <c r="T218"/>
    </row>
    <row r="219" spans="1:20" ht="15.75" outlineLevel="1" x14ac:dyDescent="0.25">
      <c r="A219" s="898" t="s">
        <v>28</v>
      </c>
      <c r="B219" s="457" t="s">
        <v>178</v>
      </c>
      <c r="C219" s="899" t="s">
        <v>31</v>
      </c>
      <c r="D219" s="899" t="s">
        <v>30</v>
      </c>
      <c r="E219" s="899" t="s">
        <v>158</v>
      </c>
      <c r="F219" s="740" t="s">
        <v>56</v>
      </c>
      <c r="G219" s="424"/>
      <c r="H219" s="424"/>
      <c r="I219" s="907"/>
      <c r="J219" s="741"/>
      <c r="K219" s="424"/>
      <c r="L219" s="424"/>
      <c r="M219" s="424"/>
      <c r="N219" s="895"/>
      <c r="O219" s="895">
        <f>ROUND(G219*I219+H219*J219,2)</f>
        <v>0</v>
      </c>
      <c r="P219" s="218">
        <f>ROUND(30%*G219*I219,2)+ROUND(38%*H219*J219,2)</f>
        <v>0</v>
      </c>
      <c r="Q219" s="895">
        <f>ROUND(R219*P219,2)</f>
        <v>0</v>
      </c>
      <c r="R219" s="901">
        <v>0.5</v>
      </c>
      <c r="S219"/>
      <c r="T219"/>
    </row>
    <row r="220" spans="1:20" ht="15.75" outlineLevel="1" x14ac:dyDescent="0.25">
      <c r="A220" s="596"/>
      <c r="B220" s="596"/>
      <c r="C220" s="596"/>
      <c r="D220" s="596"/>
      <c r="E220" s="596"/>
      <c r="F220" s="596"/>
      <c r="G220" s="902">
        <f>SUM(G216:G219)</f>
        <v>0</v>
      </c>
      <c r="H220" s="902">
        <f>SUM(H216:H219)</f>
        <v>0</v>
      </c>
      <c r="I220" s="902"/>
      <c r="J220" s="677"/>
      <c r="K220" s="677"/>
      <c r="L220" s="596"/>
      <c r="M220" s="596"/>
      <c r="N220" s="950"/>
      <c r="O220" s="734">
        <f>SUM(O216:O219)</f>
        <v>0</v>
      </c>
      <c r="P220" s="734">
        <f>SUM(P216:P219)</f>
        <v>0</v>
      </c>
      <c r="Q220" s="734">
        <f>SUM(Q216:Q219)</f>
        <v>0</v>
      </c>
      <c r="R220" s="596"/>
      <c r="S220"/>
      <c r="T220"/>
    </row>
    <row r="221" spans="1:20" ht="15.75" outlineLevel="1" x14ac:dyDescent="0.25">
      <c r="A221" s="596"/>
      <c r="B221" s="596"/>
      <c r="C221" s="596"/>
      <c r="D221" s="596"/>
      <c r="E221" s="596"/>
      <c r="F221" s="596"/>
      <c r="G221" s="677"/>
      <c r="H221" s="677"/>
      <c r="I221" s="677"/>
      <c r="J221" s="677"/>
      <c r="K221" s="677"/>
      <c r="L221" s="596"/>
      <c r="M221" s="596"/>
      <c r="N221" s="950"/>
      <c r="O221" s="596"/>
      <c r="P221" s="861" t="e">
        <f>P220/O220</f>
        <v>#DIV/0!</v>
      </c>
      <c r="Q221" s="596"/>
      <c r="R221" s="596"/>
      <c r="S221"/>
      <c r="T221"/>
    </row>
    <row r="222" spans="1:20" ht="15.75" outlineLevel="1" x14ac:dyDescent="0.25">
      <c r="A222" s="880" t="s">
        <v>232</v>
      </c>
      <c r="B222" s="596"/>
      <c r="C222" s="596"/>
      <c r="D222" s="596"/>
      <c r="E222" s="596"/>
      <c r="F222" s="596"/>
      <c r="G222" s="677"/>
      <c r="H222" s="677"/>
      <c r="I222" s="677"/>
      <c r="J222" s="677"/>
      <c r="K222" s="677"/>
      <c r="L222" s="596"/>
      <c r="M222" s="596"/>
      <c r="N222" s="950"/>
      <c r="O222" s="597"/>
      <c r="P222" s="597"/>
      <c r="Q222" s="683"/>
      <c r="R222" s="596"/>
      <c r="S222"/>
      <c r="T222"/>
    </row>
    <row r="223" spans="1:20" ht="15.75" outlineLevel="1" x14ac:dyDescent="0.25">
      <c r="A223" s="596"/>
      <c r="B223" s="596"/>
      <c r="C223" s="596"/>
      <c r="D223" s="596"/>
      <c r="E223" s="596"/>
      <c r="F223" s="596"/>
      <c r="G223" s="677"/>
      <c r="H223" s="677"/>
      <c r="I223" s="677"/>
      <c r="J223" s="677"/>
      <c r="K223" s="677"/>
      <c r="L223" s="596"/>
      <c r="M223" s="596"/>
      <c r="N223" s="950"/>
      <c r="O223" s="596"/>
      <c r="P223" s="596"/>
      <c r="Q223" s="596"/>
      <c r="R223" s="596"/>
      <c r="S223"/>
      <c r="T223"/>
    </row>
    <row r="224" spans="1:20" ht="15.75" outlineLevel="1" x14ac:dyDescent="0.25">
      <c r="A224" s="888" t="s">
        <v>28</v>
      </c>
      <c r="B224" s="889" t="s">
        <v>159</v>
      </c>
      <c r="C224" s="890" t="s">
        <v>31</v>
      </c>
      <c r="D224" s="890" t="s">
        <v>30</v>
      </c>
      <c r="E224" s="890" t="s">
        <v>158</v>
      </c>
      <c r="F224" s="891" t="s">
        <v>56</v>
      </c>
      <c r="G224" s="420">
        <f>G216</f>
        <v>0</v>
      </c>
      <c r="H224" s="420"/>
      <c r="I224" s="903">
        <f>I216</f>
        <v>0</v>
      </c>
      <c r="J224" s="764"/>
      <c r="K224" s="420"/>
      <c r="L224" s="420"/>
      <c r="M224" s="420"/>
      <c r="N224" s="904"/>
      <c r="O224" s="904">
        <f>ROUND(G224*I224+H224*J224,2)</f>
        <v>0</v>
      </c>
      <c r="P224" s="904">
        <f>ROUND(37.24%*O224,2)</f>
        <v>0</v>
      </c>
      <c r="Q224" s="904">
        <f>ROUND(R224*P224,2)</f>
        <v>0</v>
      </c>
      <c r="R224" s="893">
        <v>0.5</v>
      </c>
      <c r="S224"/>
      <c r="T224"/>
    </row>
    <row r="225" spans="1:20" ht="15.75" outlineLevel="1" x14ac:dyDescent="0.25">
      <c r="A225" s="894" t="s">
        <v>28</v>
      </c>
      <c r="B225" s="456" t="s">
        <v>177</v>
      </c>
      <c r="C225" s="378" t="s">
        <v>31</v>
      </c>
      <c r="D225" s="378" t="s">
        <v>30</v>
      </c>
      <c r="E225" s="378" t="s">
        <v>158</v>
      </c>
      <c r="F225" s="586" t="s">
        <v>56</v>
      </c>
      <c r="G225" s="253">
        <f>G217</f>
        <v>0</v>
      </c>
      <c r="H225" s="253"/>
      <c r="I225" s="806">
        <f>I217</f>
        <v>0</v>
      </c>
      <c r="J225" s="728"/>
      <c r="K225" s="253"/>
      <c r="L225" s="253"/>
      <c r="M225" s="253"/>
      <c r="N225" s="557"/>
      <c r="O225" s="557">
        <f>ROUND(G225*I225+H225*J225,2)</f>
        <v>0</v>
      </c>
      <c r="P225" s="557">
        <f>ROUND(37.24%*O225,2)</f>
        <v>0</v>
      </c>
      <c r="Q225" s="557">
        <f>ROUND(R225*P225,2)</f>
        <v>0</v>
      </c>
      <c r="R225" s="775">
        <v>0.5</v>
      </c>
      <c r="S225"/>
      <c r="T225"/>
    </row>
    <row r="226" spans="1:20" ht="15.75" outlineLevel="1" x14ac:dyDescent="0.25">
      <c r="A226" s="894" t="s">
        <v>28</v>
      </c>
      <c r="B226" s="456" t="s">
        <v>234</v>
      </c>
      <c r="C226" s="378" t="s">
        <v>31</v>
      </c>
      <c r="D226" s="378" t="s">
        <v>30</v>
      </c>
      <c r="E226" s="378" t="s">
        <v>158</v>
      </c>
      <c r="F226" s="586" t="s">
        <v>56</v>
      </c>
      <c r="G226" s="253">
        <f>G218</f>
        <v>0</v>
      </c>
      <c r="H226" s="341"/>
      <c r="I226" s="806">
        <f>I218</f>
        <v>0</v>
      </c>
      <c r="J226" s="728"/>
      <c r="K226" s="341"/>
      <c r="L226" s="341"/>
      <c r="M226" s="341"/>
      <c r="N226" s="897"/>
      <c r="O226" s="557">
        <f>ROUND(G226*I226+H226*J226,2)</f>
        <v>0</v>
      </c>
      <c r="P226" s="557">
        <f>ROUND(37.24%*O226,2)</f>
        <v>0</v>
      </c>
      <c r="Q226" s="557">
        <f>ROUND(R226*P226,2)</f>
        <v>0</v>
      </c>
      <c r="R226" s="906">
        <v>0.5</v>
      </c>
      <c r="S226"/>
      <c r="T226"/>
    </row>
    <row r="227" spans="1:20" ht="15.75" outlineLevel="1" x14ac:dyDescent="0.25">
      <c r="A227" s="898" t="s">
        <v>28</v>
      </c>
      <c r="B227" s="457" t="s">
        <v>178</v>
      </c>
      <c r="C227" s="899" t="s">
        <v>31</v>
      </c>
      <c r="D227" s="899" t="s">
        <v>30</v>
      </c>
      <c r="E227" s="899" t="s">
        <v>158</v>
      </c>
      <c r="F227" s="740" t="s">
        <v>56</v>
      </c>
      <c r="G227" s="424">
        <f>G219</f>
        <v>0</v>
      </c>
      <c r="H227" s="424"/>
      <c r="I227" s="907">
        <f>I219</f>
        <v>0</v>
      </c>
      <c r="J227" s="741"/>
      <c r="K227" s="424"/>
      <c r="L227" s="424"/>
      <c r="M227" s="424"/>
      <c r="N227" s="895"/>
      <c r="O227" s="895">
        <f>ROUND(G227*I227+H227*J227,2)</f>
        <v>0</v>
      </c>
      <c r="P227" s="218">
        <f>ROUND(30%*G227*I227,2)+ROUND(38%*H227*J227,2)</f>
        <v>0</v>
      </c>
      <c r="Q227" s="895">
        <f>ROUND(R227*P227,2)</f>
        <v>0</v>
      </c>
      <c r="R227" s="896">
        <v>0.5</v>
      </c>
      <c r="S227"/>
      <c r="T227"/>
    </row>
    <row r="228" spans="1:20" ht="15.75" outlineLevel="1" x14ac:dyDescent="0.25">
      <c r="A228" s="596"/>
      <c r="B228" s="596"/>
      <c r="C228" s="596"/>
      <c r="D228" s="596"/>
      <c r="E228" s="596"/>
      <c r="F228" s="596"/>
      <c r="G228" s="902">
        <f>SUM(G224:G227)</f>
        <v>0</v>
      </c>
      <c r="H228" s="902"/>
      <c r="I228" s="908" t="e">
        <f>ROUND(O228/G228,4)</f>
        <v>#DIV/0!</v>
      </c>
      <c r="J228" s="677"/>
      <c r="K228" s="677"/>
      <c r="L228" s="596"/>
      <c r="M228" s="596"/>
      <c r="N228" s="950"/>
      <c r="O228" s="734">
        <f>SUM(O224:O227)</f>
        <v>0</v>
      </c>
      <c r="P228" s="734">
        <f>SUM(P224:P227)</f>
        <v>0</v>
      </c>
      <c r="Q228" s="734">
        <f>SUM(Q224:Q227)</f>
        <v>0</v>
      </c>
      <c r="R228" s="596"/>
      <c r="S228"/>
      <c r="T228"/>
    </row>
    <row r="229" spans="1:20" ht="15.75" outlineLevel="1" x14ac:dyDescent="0.25">
      <c r="A229" s="596"/>
      <c r="B229" s="596"/>
      <c r="C229" s="596"/>
      <c r="D229" s="596"/>
      <c r="E229" s="596"/>
      <c r="F229" s="596"/>
      <c r="G229" s="677"/>
      <c r="H229" s="677"/>
      <c r="I229" s="677"/>
      <c r="J229" s="677"/>
      <c r="K229" s="677"/>
      <c r="L229" s="596"/>
      <c r="M229" s="596"/>
      <c r="N229" s="950"/>
      <c r="O229" s="596"/>
      <c r="P229" s="596"/>
      <c r="Q229" s="596"/>
      <c r="R229" s="596"/>
      <c r="S229"/>
      <c r="T229"/>
    </row>
    <row r="230" spans="1:20" ht="15.75" outlineLevel="1" x14ac:dyDescent="0.25">
      <c r="A230" s="880" t="s">
        <v>233</v>
      </c>
      <c r="B230" s="596"/>
      <c r="C230" s="596"/>
      <c r="D230" s="596"/>
      <c r="E230" s="596"/>
      <c r="F230" s="596"/>
      <c r="G230" s="677"/>
      <c r="H230" s="677"/>
      <c r="I230" s="677"/>
      <c r="J230" s="677"/>
      <c r="K230" s="677"/>
      <c r="L230" s="596"/>
      <c r="M230" s="596"/>
      <c r="N230" s="950"/>
      <c r="O230" s="596"/>
      <c r="P230" s="596"/>
      <c r="Q230" s="596"/>
      <c r="R230" s="596"/>
      <c r="S230"/>
      <c r="T230"/>
    </row>
    <row r="231" spans="1:20" ht="15.75" outlineLevel="1" x14ac:dyDescent="0.25">
      <c r="A231" s="596"/>
      <c r="B231" s="596"/>
      <c r="C231" s="596"/>
      <c r="D231" s="596"/>
      <c r="E231" s="596"/>
      <c r="F231" s="596"/>
      <c r="G231" s="677"/>
      <c r="H231" s="677"/>
      <c r="I231" s="677"/>
      <c r="J231" s="677"/>
      <c r="K231" s="677"/>
      <c r="L231" s="596"/>
      <c r="M231" s="596"/>
      <c r="N231" s="950"/>
      <c r="O231" s="596"/>
      <c r="P231" s="596"/>
      <c r="Q231" s="596"/>
      <c r="R231" s="596"/>
      <c r="S231"/>
      <c r="T231"/>
    </row>
    <row r="232" spans="1:20" ht="15.75" outlineLevel="1" x14ac:dyDescent="0.25">
      <c r="A232" s="888" t="s">
        <v>28</v>
      </c>
      <c r="B232" s="889" t="s">
        <v>159</v>
      </c>
      <c r="C232" s="890" t="s">
        <v>31</v>
      </c>
      <c r="D232" s="890" t="s">
        <v>30</v>
      </c>
      <c r="E232" s="890" t="s">
        <v>158</v>
      </c>
      <c r="F232" s="891" t="s">
        <v>56</v>
      </c>
      <c r="G232" s="420"/>
      <c r="H232" s="420">
        <f>H216</f>
        <v>0</v>
      </c>
      <c r="I232" s="764"/>
      <c r="J232" s="903">
        <f>J216</f>
        <v>0</v>
      </c>
      <c r="K232" s="420"/>
      <c r="L232" s="420"/>
      <c r="M232" s="420"/>
      <c r="N232" s="904"/>
      <c r="O232" s="904">
        <f>ROUND(G232*I232+H232*J232,2)</f>
        <v>0</v>
      </c>
      <c r="P232" s="904">
        <f>ROUND(37.24%*O232,2)</f>
        <v>0</v>
      </c>
      <c r="Q232" s="904">
        <f>ROUND(R232*P232,2)</f>
        <v>0</v>
      </c>
      <c r="R232" s="893">
        <v>0.5</v>
      </c>
      <c r="S232"/>
      <c r="T232"/>
    </row>
    <row r="233" spans="1:20" ht="15.75" outlineLevel="1" x14ac:dyDescent="0.25">
      <c r="A233" s="894" t="s">
        <v>28</v>
      </c>
      <c r="B233" s="456" t="s">
        <v>177</v>
      </c>
      <c r="C233" s="378" t="s">
        <v>31</v>
      </c>
      <c r="D233" s="378" t="s">
        <v>30</v>
      </c>
      <c r="E233" s="378" t="s">
        <v>158</v>
      </c>
      <c r="F233" s="586" t="s">
        <v>56</v>
      </c>
      <c r="G233" s="253"/>
      <c r="H233" s="253">
        <f>H217</f>
        <v>0</v>
      </c>
      <c r="I233" s="728"/>
      <c r="J233" s="806">
        <f>J217</f>
        <v>0</v>
      </c>
      <c r="K233" s="253"/>
      <c r="L233" s="253"/>
      <c r="M233" s="253"/>
      <c r="N233" s="557"/>
      <c r="O233" s="557">
        <f>ROUND(G233*I233+H233*J233,2)</f>
        <v>0</v>
      </c>
      <c r="P233" s="557">
        <f>ROUND(37.24%*O233,2)</f>
        <v>0</v>
      </c>
      <c r="Q233" s="557">
        <f>ROUND(R233*P233,2)</f>
        <v>0</v>
      </c>
      <c r="R233" s="775">
        <v>0.5</v>
      </c>
      <c r="S233"/>
      <c r="T233"/>
    </row>
    <row r="234" spans="1:20" ht="15.75" outlineLevel="1" x14ac:dyDescent="0.25">
      <c r="A234" s="894" t="s">
        <v>28</v>
      </c>
      <c r="B234" s="456" t="s">
        <v>234</v>
      </c>
      <c r="C234" s="378" t="s">
        <v>31</v>
      </c>
      <c r="D234" s="378" t="s">
        <v>30</v>
      </c>
      <c r="E234" s="378" t="s">
        <v>158</v>
      </c>
      <c r="F234" s="586" t="s">
        <v>56</v>
      </c>
      <c r="G234" s="253"/>
      <c r="H234" s="253">
        <f>H218</f>
        <v>0</v>
      </c>
      <c r="I234" s="728"/>
      <c r="J234" s="806">
        <f>J218</f>
        <v>0</v>
      </c>
      <c r="K234" s="341"/>
      <c r="L234" s="341"/>
      <c r="M234" s="341"/>
      <c r="N234" s="897"/>
      <c r="O234" s="557">
        <f>ROUND(G234*I234+H234*J234,2)</f>
        <v>0</v>
      </c>
      <c r="P234" s="557">
        <f>ROUND(37.24%*G234*I234,2)+ROUND(38%*H234*J234,2)</f>
        <v>0</v>
      </c>
      <c r="Q234" s="557">
        <f>ROUND(R234*P234,2)</f>
        <v>0</v>
      </c>
      <c r="R234" s="775">
        <v>0.5</v>
      </c>
      <c r="S234"/>
      <c r="T234"/>
    </row>
    <row r="235" spans="1:20" ht="15.75" outlineLevel="1" x14ac:dyDescent="0.25">
      <c r="A235" s="898" t="s">
        <v>28</v>
      </c>
      <c r="B235" s="457" t="s">
        <v>178</v>
      </c>
      <c r="C235" s="899" t="s">
        <v>31</v>
      </c>
      <c r="D235" s="899" t="s">
        <v>30</v>
      </c>
      <c r="E235" s="899" t="s">
        <v>158</v>
      </c>
      <c r="F235" s="740" t="s">
        <v>56</v>
      </c>
      <c r="G235" s="424"/>
      <c r="H235" s="424">
        <f>H219</f>
        <v>0</v>
      </c>
      <c r="I235" s="741"/>
      <c r="J235" s="907">
        <f>J219</f>
        <v>0</v>
      </c>
      <c r="K235" s="424"/>
      <c r="L235" s="424"/>
      <c r="M235" s="424"/>
      <c r="N235" s="895"/>
      <c r="O235" s="895">
        <f>ROUND(G235*I235+H235*J235,2)</f>
        <v>0</v>
      </c>
      <c r="P235" s="218">
        <f>ROUND(30%*G235*I235,2)+ROUND(38%*H235*J235,2)</f>
        <v>0</v>
      </c>
      <c r="Q235" s="895">
        <f>ROUND(R235*P235,2)</f>
        <v>0</v>
      </c>
      <c r="R235" s="896">
        <v>0.5</v>
      </c>
      <c r="S235"/>
      <c r="T235"/>
    </row>
    <row r="236" spans="1:20" ht="15.75" outlineLevel="1" x14ac:dyDescent="0.25">
      <c r="A236" s="596"/>
      <c r="B236" s="596"/>
      <c r="C236" s="596"/>
      <c r="D236" s="596"/>
      <c r="E236" s="596"/>
      <c r="F236" s="596"/>
      <c r="G236" s="902"/>
      <c r="H236" s="902">
        <f>SUM(H232:H235)</f>
        <v>0</v>
      </c>
      <c r="I236" s="677"/>
      <c r="J236" s="908" t="e">
        <f>ROUND(O236/H236,4)</f>
        <v>#DIV/0!</v>
      </c>
      <c r="K236" s="677"/>
      <c r="L236" s="596"/>
      <c r="M236" s="596"/>
      <c r="N236" s="950"/>
      <c r="O236" s="734">
        <f>SUM(O232:O235)</f>
        <v>0</v>
      </c>
      <c r="P236" s="734">
        <f>SUM(P232:P235)</f>
        <v>0</v>
      </c>
      <c r="Q236" s="734">
        <f>SUM(Q232:Q235)</f>
        <v>0</v>
      </c>
      <c r="R236" s="596"/>
      <c r="S236"/>
      <c r="T236"/>
    </row>
    <row r="237" spans="1:20" ht="15.75" outlineLevel="1" x14ac:dyDescent="0.25">
      <c r="A237" s="596"/>
      <c r="B237" s="596"/>
      <c r="C237" s="596"/>
      <c r="D237" s="596"/>
      <c r="E237" s="596"/>
      <c r="F237" s="596"/>
      <c r="G237" s="902"/>
      <c r="H237" s="902"/>
      <c r="I237" s="677"/>
      <c r="J237" s="677"/>
      <c r="K237" s="677"/>
      <c r="L237" s="596"/>
      <c r="M237" s="596"/>
      <c r="N237" s="950"/>
      <c r="O237" s="734"/>
      <c r="P237" s="734"/>
      <c r="Q237" s="734"/>
      <c r="R237" s="596"/>
      <c r="S237"/>
      <c r="T237"/>
    </row>
    <row r="238" spans="1:20" ht="15.75" outlineLevel="1" x14ac:dyDescent="0.25">
      <c r="A238" s="596"/>
      <c r="B238" s="596"/>
      <c r="C238" s="596"/>
      <c r="D238" s="596"/>
      <c r="E238" s="596"/>
      <c r="F238" s="596"/>
      <c r="G238" s="902"/>
      <c r="H238" s="902"/>
      <c r="I238" s="677"/>
      <c r="J238" s="677"/>
      <c r="K238" s="677"/>
      <c r="L238" s="596"/>
      <c r="M238" s="596"/>
      <c r="N238" s="985"/>
      <c r="O238" s="589">
        <f>O236+O228</f>
        <v>0</v>
      </c>
      <c r="P238" s="589">
        <f>P236+P228</f>
        <v>0</v>
      </c>
      <c r="Q238" s="589">
        <f>Q236+Q228</f>
        <v>0</v>
      </c>
      <c r="R238" s="910">
        <v>0.5</v>
      </c>
      <c r="S238"/>
      <c r="T238"/>
    </row>
    <row r="239" spans="1:20" ht="15.75" outlineLevel="1" x14ac:dyDescent="0.25">
      <c r="A239" s="596"/>
      <c r="B239" s="596"/>
      <c r="C239" s="596"/>
      <c r="D239" s="596"/>
      <c r="E239" s="596"/>
      <c r="F239" s="596"/>
      <c r="G239" s="902"/>
      <c r="H239" s="902"/>
      <c r="I239" s="677"/>
      <c r="J239" s="677"/>
      <c r="K239" s="677"/>
      <c r="L239" s="596"/>
      <c r="M239" s="596"/>
      <c r="N239" s="950"/>
      <c r="O239" s="596"/>
      <c r="P239" s="596"/>
      <c r="Q239" s="596"/>
      <c r="R239" s="596"/>
      <c r="S239"/>
      <c r="T239"/>
    </row>
    <row r="240" spans="1:20" ht="15.75" outlineLevel="1" x14ac:dyDescent="0.25">
      <c r="A240" s="596"/>
      <c r="B240" s="596"/>
      <c r="C240" s="596"/>
      <c r="D240" s="596"/>
      <c r="E240" s="596"/>
      <c r="F240" s="596"/>
      <c r="G240" s="902"/>
      <c r="H240" s="902"/>
      <c r="I240" s="677"/>
      <c r="J240" s="677"/>
      <c r="K240" s="677"/>
      <c r="L240" s="596"/>
      <c r="M240" s="596"/>
      <c r="N240" s="985"/>
      <c r="O240" s="879">
        <f>O238-O220</f>
        <v>0</v>
      </c>
      <c r="P240" s="879">
        <f>P238-P220</f>
        <v>0</v>
      </c>
      <c r="Q240" s="879">
        <f>Q238-Q220</f>
        <v>0</v>
      </c>
      <c r="R240" s="596"/>
      <c r="S240"/>
      <c r="T240"/>
    </row>
    <row r="241" spans="1:20" ht="15.75" outlineLevel="1" x14ac:dyDescent="0.25">
      <c r="A241" s="596"/>
      <c r="B241" s="596"/>
      <c r="C241" s="596"/>
      <c r="D241" s="596"/>
      <c r="E241" s="596"/>
      <c r="F241" s="596"/>
      <c r="G241" s="596"/>
      <c r="H241" s="596"/>
      <c r="I241" s="596"/>
      <c r="J241" s="596"/>
      <c r="K241" s="596"/>
      <c r="L241" s="596"/>
      <c r="M241" s="596"/>
      <c r="N241" s="950"/>
      <c r="O241" s="596"/>
      <c r="P241" s="596"/>
      <c r="Q241" s="596"/>
      <c r="R241" s="596"/>
      <c r="S241"/>
      <c r="T241"/>
    </row>
    <row r="242" spans="1:20" x14ac:dyDescent="0.2">
      <c r="A242" s="880" t="s">
        <v>231</v>
      </c>
      <c r="B242" s="683"/>
      <c r="C242" s="683"/>
      <c r="D242" s="683"/>
      <c r="E242" s="683"/>
      <c r="F242" s="683"/>
      <c r="G242" s="683"/>
      <c r="H242" s="683"/>
      <c r="I242" s="683"/>
      <c r="J242" s="683"/>
      <c r="K242" s="683"/>
      <c r="L242" s="683"/>
      <c r="M242" s="683"/>
      <c r="N242" s="950"/>
      <c r="O242" s="683"/>
      <c r="P242" s="683"/>
      <c r="Q242" s="683">
        <f>P252*R250</f>
        <v>0</v>
      </c>
      <c r="R242" s="911"/>
      <c r="S242" s="683"/>
      <c r="T242" s="912"/>
    </row>
    <row r="243" spans="1:20" ht="15.75" outlineLevel="1" x14ac:dyDescent="0.25">
      <c r="A243" s="887" t="s">
        <v>228</v>
      </c>
      <c r="B243" s="596"/>
      <c r="C243" s="596"/>
      <c r="D243" s="596"/>
      <c r="E243" s="596"/>
      <c r="F243" s="596"/>
      <c r="G243" s="704" t="s">
        <v>35</v>
      </c>
      <c r="H243" s="705" t="s">
        <v>36</v>
      </c>
      <c r="I243" s="705" t="s">
        <v>35</v>
      </c>
      <c r="J243" s="704" t="s">
        <v>36</v>
      </c>
      <c r="K243" s="704" t="s">
        <v>39</v>
      </c>
      <c r="L243" s="704" t="s">
        <v>40</v>
      </c>
      <c r="M243" s="704" t="s">
        <v>42</v>
      </c>
      <c r="N243" s="1058" t="s">
        <v>2</v>
      </c>
      <c r="O243" s="1066" t="s">
        <v>180</v>
      </c>
      <c r="P243" s="1067" t="s">
        <v>163</v>
      </c>
      <c r="Q243" s="790"/>
      <c r="R243" s="596"/>
      <c r="S243" s="596"/>
      <c r="T243" s="596"/>
    </row>
    <row r="244" spans="1:20" x14ac:dyDescent="0.2">
      <c r="A244" s="888" t="s">
        <v>28</v>
      </c>
      <c r="B244" s="889" t="s">
        <v>218</v>
      </c>
      <c r="C244" s="890" t="s">
        <v>31</v>
      </c>
      <c r="D244" s="890" t="s">
        <v>30</v>
      </c>
      <c r="E244" s="890" t="s">
        <v>101</v>
      </c>
      <c r="F244" s="891" t="s">
        <v>56</v>
      </c>
      <c r="G244" s="913"/>
      <c r="H244" s="914"/>
      <c r="I244" s="915"/>
      <c r="J244" s="915"/>
      <c r="K244" s="420"/>
      <c r="L244" s="420"/>
      <c r="M244" s="420"/>
      <c r="N244" s="917"/>
      <c r="O244" s="420">
        <f>ROUND(G244*I244,2)+ROUND(H244*J244,2)-K244-L244-M244-N244</f>
        <v>0</v>
      </c>
      <c r="P244" s="420">
        <f t="shared" ref="P244:P251" si="5">ROUND(18.75%*O244,2)</f>
        <v>0</v>
      </c>
      <c r="Q244" s="420">
        <f t="shared" ref="Q244:Q251" si="6">ROUND($O244*R244,2)</f>
        <v>0</v>
      </c>
      <c r="R244" s="893">
        <v>0.15</v>
      </c>
      <c r="S244" s="420">
        <f t="shared" ref="S244:S251" si="7">ROUND($O244*T244,2)</f>
        <v>0</v>
      </c>
      <c r="T244" s="919">
        <v>3.7499999999999999E-2</v>
      </c>
    </row>
    <row r="245" spans="1:20" outlineLevel="1" x14ac:dyDescent="0.2">
      <c r="A245" s="894" t="s">
        <v>28</v>
      </c>
      <c r="B245" s="456" t="s">
        <v>219</v>
      </c>
      <c r="C245" s="378" t="s">
        <v>31</v>
      </c>
      <c r="D245" s="378" t="s">
        <v>30</v>
      </c>
      <c r="E245" s="378" t="s">
        <v>101</v>
      </c>
      <c r="F245" s="586" t="s">
        <v>56</v>
      </c>
      <c r="G245" s="587"/>
      <c r="H245" s="587"/>
      <c r="I245" s="920"/>
      <c r="J245" s="920"/>
      <c r="K245" s="253"/>
      <c r="L245" s="253"/>
      <c r="M245" s="253"/>
      <c r="N245" s="557"/>
      <c r="O245" s="892">
        <f t="shared" ref="O245:O251" si="8">ROUND(G245*I245,2)+ROUND(H245*J245,2)-K245-L245-M245-N245</f>
        <v>0</v>
      </c>
      <c r="P245" s="253">
        <f t="shared" si="5"/>
        <v>0</v>
      </c>
      <c r="Q245" s="253">
        <f t="shared" si="6"/>
        <v>0</v>
      </c>
      <c r="R245" s="775">
        <v>0.15</v>
      </c>
      <c r="S245" s="253">
        <f t="shared" si="7"/>
        <v>0</v>
      </c>
      <c r="T245" s="921">
        <v>3.7499999999999999E-2</v>
      </c>
    </row>
    <row r="246" spans="1:20" outlineLevel="1" x14ac:dyDescent="0.2">
      <c r="A246" s="922" t="s">
        <v>28</v>
      </c>
      <c r="B246" s="442" t="s">
        <v>217</v>
      </c>
      <c r="C246" s="854" t="s">
        <v>31</v>
      </c>
      <c r="D246" s="854" t="s">
        <v>30</v>
      </c>
      <c r="E246" s="854" t="s">
        <v>101</v>
      </c>
      <c r="F246" s="854" t="s">
        <v>56</v>
      </c>
      <c r="G246" s="587"/>
      <c r="H246" s="587"/>
      <c r="I246" s="587"/>
      <c r="J246" s="588"/>
      <c r="K246" s="441"/>
      <c r="L246" s="441"/>
      <c r="M246" s="441"/>
      <c r="N246" s="923"/>
      <c r="O246" s="253">
        <f t="shared" si="8"/>
        <v>0</v>
      </c>
      <c r="P246" s="441">
        <f t="shared" si="5"/>
        <v>0</v>
      </c>
      <c r="Q246" s="441">
        <f t="shared" si="6"/>
        <v>0</v>
      </c>
      <c r="R246" s="924">
        <v>0.15</v>
      </c>
      <c r="S246" s="253">
        <f t="shared" si="7"/>
        <v>0</v>
      </c>
      <c r="T246" s="921">
        <v>3.7499999999999999E-2</v>
      </c>
    </row>
    <row r="247" spans="1:20" outlineLevel="1" x14ac:dyDescent="0.2">
      <c r="A247" s="922" t="s">
        <v>28</v>
      </c>
      <c r="B247" s="442" t="s">
        <v>220</v>
      </c>
      <c r="C247" s="854" t="s">
        <v>31</v>
      </c>
      <c r="D247" s="854" t="s">
        <v>30</v>
      </c>
      <c r="E247" s="854" t="s">
        <v>101</v>
      </c>
      <c r="F247" s="854" t="s">
        <v>56</v>
      </c>
      <c r="G247" s="587"/>
      <c r="H247" s="587"/>
      <c r="I247" s="587"/>
      <c r="J247" s="588"/>
      <c r="K247" s="441"/>
      <c r="L247" s="441"/>
      <c r="M247" s="441"/>
      <c r="N247" s="923"/>
      <c r="O247" s="253">
        <f t="shared" si="8"/>
        <v>0</v>
      </c>
      <c r="P247" s="441">
        <f t="shared" si="5"/>
        <v>0</v>
      </c>
      <c r="Q247" s="441">
        <f t="shared" si="6"/>
        <v>0</v>
      </c>
      <c r="R247" s="924">
        <v>0.15</v>
      </c>
      <c r="S247" s="253">
        <f t="shared" si="7"/>
        <v>0</v>
      </c>
      <c r="T247" s="921">
        <v>3.7499999999999999E-2</v>
      </c>
    </row>
    <row r="248" spans="1:20" outlineLevel="1" x14ac:dyDescent="0.2">
      <c r="A248" s="922" t="s">
        <v>28</v>
      </c>
      <c r="B248" s="442" t="s">
        <v>222</v>
      </c>
      <c r="C248" s="854" t="s">
        <v>31</v>
      </c>
      <c r="D248" s="854" t="s">
        <v>30</v>
      </c>
      <c r="E248" s="854" t="s">
        <v>101</v>
      </c>
      <c r="F248" s="854" t="s">
        <v>56</v>
      </c>
      <c r="G248" s="587"/>
      <c r="H248" s="587"/>
      <c r="I248" s="920"/>
      <c r="J248" s="588"/>
      <c r="K248" s="441"/>
      <c r="L248" s="441"/>
      <c r="M248" s="441"/>
      <c r="N248" s="925"/>
      <c r="O248" s="253">
        <f t="shared" si="8"/>
        <v>0</v>
      </c>
      <c r="P248" s="441">
        <f t="shared" si="5"/>
        <v>0</v>
      </c>
      <c r="Q248" s="441">
        <f t="shared" si="6"/>
        <v>0</v>
      </c>
      <c r="R248" s="924">
        <v>0.15</v>
      </c>
      <c r="S248" s="253">
        <f t="shared" si="7"/>
        <v>0</v>
      </c>
      <c r="T248" s="921">
        <v>3.7499999999999999E-2</v>
      </c>
    </row>
    <row r="249" spans="1:20" outlineLevel="1" x14ac:dyDescent="0.2">
      <c r="A249" s="922"/>
      <c r="B249" s="442" t="s">
        <v>226</v>
      </c>
      <c r="C249" s="854" t="s">
        <v>31</v>
      </c>
      <c r="D249" s="854" t="s">
        <v>30</v>
      </c>
      <c r="E249" s="854" t="s">
        <v>101</v>
      </c>
      <c r="F249" s="854" t="s">
        <v>56</v>
      </c>
      <c r="G249" s="587"/>
      <c r="H249" s="587"/>
      <c r="I249" s="920"/>
      <c r="J249" s="588"/>
      <c r="K249" s="441"/>
      <c r="L249" s="441"/>
      <c r="M249" s="441"/>
      <c r="N249" s="925"/>
      <c r="O249" s="253">
        <f t="shared" si="8"/>
        <v>0</v>
      </c>
      <c r="P249" s="441">
        <f t="shared" si="5"/>
        <v>0</v>
      </c>
      <c r="Q249" s="441">
        <f t="shared" si="6"/>
        <v>0</v>
      </c>
      <c r="R249" s="924">
        <v>0.15</v>
      </c>
      <c r="S249" s="253">
        <f t="shared" si="7"/>
        <v>0</v>
      </c>
      <c r="T249" s="921">
        <v>3.7499999999999999E-2</v>
      </c>
    </row>
    <row r="250" spans="1:20" outlineLevel="1" x14ac:dyDescent="0.2">
      <c r="A250" s="1000"/>
      <c r="B250" s="1001" t="s">
        <v>225</v>
      </c>
      <c r="C250" s="1002" t="s">
        <v>31</v>
      </c>
      <c r="D250" s="1002" t="s">
        <v>30</v>
      </c>
      <c r="E250" s="1002" t="s">
        <v>101</v>
      </c>
      <c r="F250" s="1002" t="s">
        <v>56</v>
      </c>
      <c r="G250" s="587"/>
      <c r="H250" s="587"/>
      <c r="I250" s="1003"/>
      <c r="J250" s="588"/>
      <c r="K250" s="1004"/>
      <c r="L250" s="1004"/>
      <c r="M250" s="1004"/>
      <c r="N250" s="1005"/>
      <c r="O250" s="253">
        <f t="shared" si="8"/>
        <v>0</v>
      </c>
      <c r="P250" s="1004">
        <f t="shared" si="5"/>
        <v>0</v>
      </c>
      <c r="Q250" s="1004">
        <f t="shared" si="6"/>
        <v>0</v>
      </c>
      <c r="R250" s="1006">
        <v>0.15</v>
      </c>
      <c r="S250" s="253">
        <f t="shared" si="7"/>
        <v>0</v>
      </c>
      <c r="T250" s="921">
        <v>3.7499999999999999E-2</v>
      </c>
    </row>
    <row r="251" spans="1:20" outlineLevel="1" x14ac:dyDescent="0.2">
      <c r="A251" s="993"/>
      <c r="B251" s="994" t="s">
        <v>362</v>
      </c>
      <c r="C251" s="995" t="s">
        <v>31</v>
      </c>
      <c r="D251" s="995" t="s">
        <v>30</v>
      </c>
      <c r="E251" s="995" t="s">
        <v>101</v>
      </c>
      <c r="F251" s="995" t="s">
        <v>56</v>
      </c>
      <c r="G251" s="927"/>
      <c r="H251" s="927"/>
      <c r="I251" s="929"/>
      <c r="J251" s="949"/>
      <c r="K251" s="909"/>
      <c r="L251" s="909"/>
      <c r="M251" s="909"/>
      <c r="N251" s="997"/>
      <c r="O251" s="909">
        <f t="shared" si="8"/>
        <v>0</v>
      </c>
      <c r="P251" s="909">
        <f t="shared" si="5"/>
        <v>0</v>
      </c>
      <c r="Q251" s="909">
        <f t="shared" si="6"/>
        <v>0</v>
      </c>
      <c r="R251" s="998">
        <v>0.15</v>
      </c>
      <c r="S251" s="909">
        <f t="shared" si="7"/>
        <v>0</v>
      </c>
      <c r="T251" s="999">
        <v>3.7499999999999999E-2</v>
      </c>
    </row>
    <row r="252" spans="1:20" outlineLevel="1" x14ac:dyDescent="0.2">
      <c r="A252" s="596"/>
      <c r="B252" s="596"/>
      <c r="C252" s="596"/>
      <c r="D252" s="596"/>
      <c r="E252" s="596"/>
      <c r="F252" s="596"/>
      <c r="G252" s="902">
        <f>SUM(G244:G251)</f>
        <v>0</v>
      </c>
      <c r="H252" s="902">
        <f>SUM(H244:H250)</f>
        <v>0</v>
      </c>
      <c r="I252" s="902"/>
      <c r="J252" s="677"/>
      <c r="K252" s="677"/>
      <c r="L252" s="596"/>
      <c r="M252" s="596"/>
      <c r="N252" s="751">
        <f>SUM(N244:N251)</f>
        <v>0</v>
      </c>
      <c r="O252" s="734">
        <f>SUM(O244:O251)</f>
        <v>0</v>
      </c>
      <c r="P252" s="734">
        <f>SUM(P244:P251)</f>
        <v>0</v>
      </c>
      <c r="Q252" s="734">
        <f>SUM(Q244:Q251)</f>
        <v>0</v>
      </c>
      <c r="R252" s="596"/>
      <c r="S252" s="734">
        <f>SUM(S244:S251)</f>
        <v>0</v>
      </c>
      <c r="T252" s="596"/>
    </row>
    <row r="253" spans="1:20" outlineLevel="1" x14ac:dyDescent="0.2">
      <c r="A253" s="596"/>
      <c r="B253" s="596"/>
      <c r="C253" s="596"/>
      <c r="D253" s="596"/>
      <c r="E253" s="596"/>
      <c r="F253" s="596"/>
      <c r="G253" s="677"/>
      <c r="H253" s="677"/>
      <c r="I253" s="677"/>
      <c r="J253" s="677"/>
      <c r="K253" s="677"/>
      <c r="L253" s="596"/>
      <c r="M253" s="596"/>
      <c r="N253" s="950"/>
      <c r="O253" s="597"/>
      <c r="P253" s="597"/>
      <c r="Q253" s="597">
        <f>SUM(Q249:Q251)</f>
        <v>0</v>
      </c>
      <c r="R253" s="596"/>
      <c r="S253" s="597">
        <f>SUM(S249:S251)</f>
        <v>0</v>
      </c>
      <c r="T253" s="596"/>
    </row>
    <row r="254" spans="1:20" ht="15.75" outlineLevel="1" x14ac:dyDescent="0.25">
      <c r="A254" s="887" t="s">
        <v>229</v>
      </c>
      <c r="B254" s="596"/>
      <c r="C254" s="596"/>
      <c r="D254" s="596"/>
      <c r="E254" s="596"/>
      <c r="F254" s="596"/>
      <c r="G254" s="677"/>
      <c r="H254" s="677"/>
      <c r="I254" s="677"/>
      <c r="J254" s="677"/>
      <c r="K254" s="677"/>
      <c r="L254" s="596"/>
      <c r="M254" s="596"/>
      <c r="N254" s="950"/>
      <c r="O254" s="596"/>
      <c r="P254" s="596"/>
      <c r="Q254" s="597"/>
      <c r="R254" s="596"/>
      <c r="S254" s="597"/>
      <c r="T254" s="596"/>
    </row>
    <row r="255" spans="1:20" outlineLevel="1" x14ac:dyDescent="0.2">
      <c r="A255" s="888" t="s">
        <v>28</v>
      </c>
      <c r="B255" s="889" t="s">
        <v>218</v>
      </c>
      <c r="C255" s="890" t="s">
        <v>31</v>
      </c>
      <c r="D255" s="890" t="s">
        <v>30</v>
      </c>
      <c r="E255" s="890" t="s">
        <v>101</v>
      </c>
      <c r="F255" s="891" t="s">
        <v>56</v>
      </c>
      <c r="G255" s="913">
        <f>G244</f>
        <v>0</v>
      </c>
      <c r="H255" s="914"/>
      <c r="I255" s="915">
        <f>I244</f>
        <v>0</v>
      </c>
      <c r="J255" s="916"/>
      <c r="K255" s="420"/>
      <c r="L255" s="420"/>
      <c r="M255" s="420"/>
      <c r="N255" s="904">
        <f>N244</f>
        <v>0</v>
      </c>
      <c r="O255" s="420">
        <f t="shared" ref="O255:O261" si="9">ROUND(G255*I255,2)+ROUND(H255*J255,2)-K255-L255-M255-N255</f>
        <v>0</v>
      </c>
      <c r="P255" s="420">
        <f t="shared" ref="P255:P262" si="10">ROUND(18.75%*O255,2)</f>
        <v>0</v>
      </c>
      <c r="Q255" s="420">
        <f t="shared" ref="Q255:Q262" si="11">ROUND($O255*R255,2)</f>
        <v>0</v>
      </c>
      <c r="R255" s="893">
        <v>0.15</v>
      </c>
      <c r="S255" s="420">
        <f t="shared" ref="S255:S262" si="12">ROUND($O255*T255,2)</f>
        <v>0</v>
      </c>
      <c r="T255" s="919">
        <v>3.7499999999999999E-2</v>
      </c>
    </row>
    <row r="256" spans="1:20" outlineLevel="1" x14ac:dyDescent="0.2">
      <c r="A256" s="894" t="s">
        <v>28</v>
      </c>
      <c r="B256" s="456" t="s">
        <v>219</v>
      </c>
      <c r="C256" s="378" t="s">
        <v>31</v>
      </c>
      <c r="D256" s="378" t="s">
        <v>30</v>
      </c>
      <c r="E256" s="378" t="s">
        <v>101</v>
      </c>
      <c r="F256" s="586" t="s">
        <v>56</v>
      </c>
      <c r="G256" s="933">
        <f>G245</f>
        <v>0</v>
      </c>
      <c r="H256" s="587"/>
      <c r="I256" s="920">
        <f>I245</f>
        <v>0</v>
      </c>
      <c r="J256" s="588"/>
      <c r="K256" s="253"/>
      <c r="L256" s="253"/>
      <c r="M256" s="253"/>
      <c r="N256" s="557"/>
      <c r="O256" s="253">
        <f t="shared" si="9"/>
        <v>0</v>
      </c>
      <c r="P256" s="253">
        <f t="shared" si="10"/>
        <v>0</v>
      </c>
      <c r="Q256" s="253">
        <f t="shared" si="11"/>
        <v>0</v>
      </c>
      <c r="R256" s="775">
        <v>0.15</v>
      </c>
      <c r="S256" s="253">
        <f t="shared" si="12"/>
        <v>0</v>
      </c>
      <c r="T256" s="921">
        <v>3.7499999999999999E-2</v>
      </c>
    </row>
    <row r="257" spans="1:20" outlineLevel="1" x14ac:dyDescent="0.2">
      <c r="A257" s="894" t="s">
        <v>28</v>
      </c>
      <c r="B257" s="456" t="s">
        <v>217</v>
      </c>
      <c r="C257" s="378" t="s">
        <v>31</v>
      </c>
      <c r="D257" s="378" t="s">
        <v>30</v>
      </c>
      <c r="E257" s="378" t="s">
        <v>101</v>
      </c>
      <c r="F257" s="586" t="s">
        <v>56</v>
      </c>
      <c r="G257" s="933">
        <f t="shared" ref="G257:G262" si="13">G246</f>
        <v>0</v>
      </c>
      <c r="H257" s="587"/>
      <c r="I257" s="920">
        <f t="shared" ref="I257:I262" si="14">I246</f>
        <v>0</v>
      </c>
      <c r="J257" s="588"/>
      <c r="K257" s="253"/>
      <c r="L257" s="253"/>
      <c r="M257" s="253"/>
      <c r="N257" s="557"/>
      <c r="O257" s="253">
        <f t="shared" si="9"/>
        <v>0</v>
      </c>
      <c r="P257" s="253">
        <f t="shared" si="10"/>
        <v>0</v>
      </c>
      <c r="Q257" s="253">
        <f t="shared" si="11"/>
        <v>0</v>
      </c>
      <c r="R257" s="775">
        <v>0.15</v>
      </c>
      <c r="S257" s="253">
        <f t="shared" si="12"/>
        <v>0</v>
      </c>
      <c r="T257" s="921">
        <v>3.7499999999999999E-2</v>
      </c>
    </row>
    <row r="258" spans="1:20" outlineLevel="1" x14ac:dyDescent="0.2">
      <c r="A258" s="894" t="s">
        <v>28</v>
      </c>
      <c r="B258" s="456" t="s">
        <v>220</v>
      </c>
      <c r="C258" s="378" t="s">
        <v>31</v>
      </c>
      <c r="D258" s="378" t="s">
        <v>30</v>
      </c>
      <c r="E258" s="378" t="s">
        <v>101</v>
      </c>
      <c r="F258" s="586" t="s">
        <v>56</v>
      </c>
      <c r="G258" s="933">
        <f t="shared" si="13"/>
        <v>0</v>
      </c>
      <c r="H258" s="587"/>
      <c r="I258" s="920">
        <f t="shared" si="14"/>
        <v>0</v>
      </c>
      <c r="J258" s="588"/>
      <c r="K258" s="253"/>
      <c r="L258" s="253"/>
      <c r="M258" s="253"/>
      <c r="N258" s="557"/>
      <c r="O258" s="253">
        <f t="shared" si="9"/>
        <v>0</v>
      </c>
      <c r="P258" s="253">
        <f t="shared" si="10"/>
        <v>0</v>
      </c>
      <c r="Q258" s="253">
        <f t="shared" si="11"/>
        <v>0</v>
      </c>
      <c r="R258" s="775">
        <v>0.15</v>
      </c>
      <c r="S258" s="253">
        <f t="shared" si="12"/>
        <v>0</v>
      </c>
      <c r="T258" s="921">
        <v>3.7499999999999999E-2</v>
      </c>
    </row>
    <row r="259" spans="1:20" outlineLevel="1" x14ac:dyDescent="0.2">
      <c r="A259" s="894" t="s">
        <v>28</v>
      </c>
      <c r="B259" s="456" t="s">
        <v>222</v>
      </c>
      <c r="C259" s="378" t="s">
        <v>31</v>
      </c>
      <c r="D259" s="378" t="s">
        <v>30</v>
      </c>
      <c r="E259" s="378" t="s">
        <v>101</v>
      </c>
      <c r="F259" s="586" t="s">
        <v>56</v>
      </c>
      <c r="G259" s="933">
        <f t="shared" si="13"/>
        <v>0</v>
      </c>
      <c r="H259" s="587"/>
      <c r="I259" s="920">
        <f t="shared" si="14"/>
        <v>0</v>
      </c>
      <c r="J259" s="588"/>
      <c r="K259" s="253"/>
      <c r="L259" s="253"/>
      <c r="M259" s="253"/>
      <c r="N259" s="934"/>
      <c r="O259" s="253">
        <f t="shared" si="9"/>
        <v>0</v>
      </c>
      <c r="P259" s="253">
        <f t="shared" si="10"/>
        <v>0</v>
      </c>
      <c r="Q259" s="253">
        <f t="shared" si="11"/>
        <v>0</v>
      </c>
      <c r="R259" s="775">
        <v>0.15</v>
      </c>
      <c r="S259" s="253">
        <f t="shared" si="12"/>
        <v>0</v>
      </c>
      <c r="T259" s="921">
        <v>3.7499999999999999E-2</v>
      </c>
    </row>
    <row r="260" spans="1:20" outlineLevel="1" x14ac:dyDescent="0.2">
      <c r="A260" s="894"/>
      <c r="B260" s="456" t="s">
        <v>226</v>
      </c>
      <c r="C260" s="378" t="s">
        <v>31</v>
      </c>
      <c r="D260" s="378" t="s">
        <v>30</v>
      </c>
      <c r="E260" s="378" t="s">
        <v>101</v>
      </c>
      <c r="F260" s="586" t="s">
        <v>56</v>
      </c>
      <c r="G260" s="933">
        <f t="shared" si="13"/>
        <v>0</v>
      </c>
      <c r="H260" s="587"/>
      <c r="I260" s="920">
        <f t="shared" si="14"/>
        <v>0</v>
      </c>
      <c r="J260" s="588"/>
      <c r="K260" s="253"/>
      <c r="L260" s="253"/>
      <c r="M260" s="253"/>
      <c r="N260" s="934"/>
      <c r="O260" s="253">
        <f t="shared" si="9"/>
        <v>0</v>
      </c>
      <c r="P260" s="253">
        <f t="shared" si="10"/>
        <v>0</v>
      </c>
      <c r="Q260" s="253">
        <f t="shared" si="11"/>
        <v>0</v>
      </c>
      <c r="R260" s="775">
        <v>0.15</v>
      </c>
      <c r="S260" s="253">
        <f t="shared" si="12"/>
        <v>0</v>
      </c>
      <c r="T260" s="921">
        <v>3.7499999999999999E-2</v>
      </c>
    </row>
    <row r="261" spans="1:20" outlineLevel="1" x14ac:dyDescent="0.2">
      <c r="A261" s="1007"/>
      <c r="B261" s="1008" t="s">
        <v>225</v>
      </c>
      <c r="C261" s="1009" t="s">
        <v>31</v>
      </c>
      <c r="D261" s="1009" t="s">
        <v>30</v>
      </c>
      <c r="E261" s="1009" t="s">
        <v>101</v>
      </c>
      <c r="F261" s="1010" t="s">
        <v>56</v>
      </c>
      <c r="G261" s="933">
        <f t="shared" si="13"/>
        <v>0</v>
      </c>
      <c r="H261" s="1011"/>
      <c r="I261" s="920">
        <f t="shared" si="14"/>
        <v>0</v>
      </c>
      <c r="J261" s="1012"/>
      <c r="K261" s="1013"/>
      <c r="L261" s="1013"/>
      <c r="M261" s="1013"/>
      <c r="N261" s="1014"/>
      <c r="O261" s="1013">
        <f t="shared" si="9"/>
        <v>0</v>
      </c>
      <c r="P261" s="1013">
        <f t="shared" si="10"/>
        <v>0</v>
      </c>
      <c r="Q261" s="1013">
        <f t="shared" si="11"/>
        <v>0</v>
      </c>
      <c r="R261" s="1015">
        <v>0.15</v>
      </c>
      <c r="S261" s="1013">
        <f t="shared" si="12"/>
        <v>0</v>
      </c>
      <c r="T261" s="1016">
        <v>3.7499999999999999E-2</v>
      </c>
    </row>
    <row r="262" spans="1:20" outlineLevel="1" x14ac:dyDescent="0.2">
      <c r="A262" s="993"/>
      <c r="B262" s="994" t="s">
        <v>362</v>
      </c>
      <c r="C262" s="995" t="s">
        <v>31</v>
      </c>
      <c r="D262" s="995" t="s">
        <v>30</v>
      </c>
      <c r="E262" s="995" t="s">
        <v>101</v>
      </c>
      <c r="F262" s="995" t="s">
        <v>56</v>
      </c>
      <c r="G262" s="1068">
        <f t="shared" si="13"/>
        <v>0</v>
      </c>
      <c r="H262" s="996"/>
      <c r="I262" s="949">
        <f t="shared" si="14"/>
        <v>0</v>
      </c>
      <c r="J262" s="949"/>
      <c r="K262" s="909"/>
      <c r="L262" s="909"/>
      <c r="M262" s="909"/>
      <c r="N262" s="997"/>
      <c r="O262" s="909">
        <f>ROUND(G262*I262,2)+ROUND(H262*J262,2)-K262-L262-M262-N262</f>
        <v>0</v>
      </c>
      <c r="P262" s="909">
        <f t="shared" si="10"/>
        <v>0</v>
      </c>
      <c r="Q262" s="909">
        <f t="shared" si="11"/>
        <v>0</v>
      </c>
      <c r="R262" s="998">
        <v>0.15</v>
      </c>
      <c r="S262" s="909">
        <f t="shared" si="12"/>
        <v>0</v>
      </c>
      <c r="T262" s="999">
        <v>3.7499999999999999E-2</v>
      </c>
    </row>
    <row r="263" spans="1:20" outlineLevel="1" x14ac:dyDescent="0.2">
      <c r="A263" s="596"/>
      <c r="B263" s="596"/>
      <c r="C263" s="596"/>
      <c r="D263" s="596"/>
      <c r="E263" s="596"/>
      <c r="F263" s="596"/>
      <c r="G263" s="902">
        <f>SUM(G255:G262)</f>
        <v>0</v>
      </c>
      <c r="H263" s="902"/>
      <c r="I263" s="937" t="e">
        <f>O263/G263</f>
        <v>#DIV/0!</v>
      </c>
      <c r="J263" s="937"/>
      <c r="K263" s="677"/>
      <c r="L263" s="596"/>
      <c r="M263" s="596"/>
      <c r="N263" s="1059">
        <f>SUM(N255:N261)</f>
        <v>0</v>
      </c>
      <c r="O263" s="734">
        <f>SUM(O255:O262)</f>
        <v>0</v>
      </c>
      <c r="P263" s="734">
        <f>SUM(P255:P262)</f>
        <v>0</v>
      </c>
      <c r="Q263" s="734">
        <f>SUM(Q255:Q261)</f>
        <v>0</v>
      </c>
      <c r="R263" s="734">
        <f>SUM(R255:R262)</f>
        <v>1.2</v>
      </c>
      <c r="S263" s="734">
        <f>SUM(S255:S261)</f>
        <v>0</v>
      </c>
      <c r="T263" s="734">
        <f>SUM(T255:T262)</f>
        <v>0.3</v>
      </c>
    </row>
    <row r="264" spans="1:20" outlineLevel="1" x14ac:dyDescent="0.2">
      <c r="A264" s="596"/>
      <c r="B264" s="596"/>
      <c r="C264" s="596"/>
      <c r="D264" s="596"/>
      <c r="E264" s="596"/>
      <c r="F264" s="596"/>
      <c r="G264" s="677"/>
      <c r="H264" s="677"/>
      <c r="I264" s="677"/>
      <c r="J264" s="677"/>
      <c r="K264" s="677"/>
      <c r="L264" s="596"/>
      <c r="M264" s="596"/>
      <c r="N264" s="950"/>
      <c r="O264" s="683">
        <f>+O263+O275</f>
        <v>0</v>
      </c>
      <c r="P264" s="596"/>
      <c r="Q264" s="596"/>
      <c r="R264" s="596"/>
      <c r="S264" s="596"/>
      <c r="T264" s="596"/>
    </row>
    <row r="265" spans="1:20" outlineLevel="1" x14ac:dyDescent="0.2">
      <c r="A265" s="596"/>
      <c r="B265" s="596"/>
      <c r="C265" s="596"/>
      <c r="D265" s="596"/>
      <c r="E265" s="596"/>
      <c r="F265" s="596"/>
      <c r="G265" s="677"/>
      <c r="H265" s="677"/>
      <c r="I265" s="677"/>
      <c r="J265" s="677"/>
      <c r="K265" s="677"/>
      <c r="L265" s="596"/>
      <c r="M265" s="596"/>
      <c r="N265" s="950"/>
      <c r="O265" s="597">
        <f>+O264-O252</f>
        <v>0</v>
      </c>
      <c r="P265" s="596"/>
      <c r="Q265" s="596"/>
      <c r="R265" s="596"/>
      <c r="S265" s="596"/>
      <c r="T265" s="596"/>
    </row>
    <row r="266" spans="1:20" ht="15.75" outlineLevel="1" x14ac:dyDescent="0.25">
      <c r="A266" s="887" t="s">
        <v>230</v>
      </c>
      <c r="B266" s="596"/>
      <c r="C266" s="596"/>
      <c r="D266" s="596"/>
      <c r="E266" s="596"/>
      <c r="F266" s="596"/>
      <c r="G266" s="677"/>
      <c r="H266" s="677"/>
      <c r="I266" s="677"/>
      <c r="J266" s="677"/>
      <c r="K266" s="677"/>
      <c r="L266" s="596"/>
      <c r="M266" s="596"/>
      <c r="N266" s="950"/>
      <c r="O266" s="596"/>
      <c r="P266" s="596"/>
      <c r="Q266" s="597"/>
      <c r="R266" s="596"/>
      <c r="S266" s="596"/>
      <c r="T266" s="596"/>
    </row>
    <row r="267" spans="1:20" outlineLevel="1" x14ac:dyDescent="0.2">
      <c r="A267" s="888" t="s">
        <v>28</v>
      </c>
      <c r="B267" s="889" t="s">
        <v>218</v>
      </c>
      <c r="C267" s="890" t="s">
        <v>31</v>
      </c>
      <c r="D267" s="890" t="s">
        <v>30</v>
      </c>
      <c r="E267" s="890" t="s">
        <v>101</v>
      </c>
      <c r="F267" s="891" t="s">
        <v>56</v>
      </c>
      <c r="G267" s="914"/>
      <c r="H267" s="947">
        <f>H244</f>
        <v>0</v>
      </c>
      <c r="I267" s="916"/>
      <c r="J267" s="947">
        <f>J244</f>
        <v>0</v>
      </c>
      <c r="K267" s="420"/>
      <c r="L267" s="420"/>
      <c r="M267" s="420"/>
      <c r="N267" s="1060"/>
      <c r="O267" s="420">
        <f>ROUND(G267*I267,2)+ROUND(H267*J267,2)-K267-L267-M267-N267</f>
        <v>0</v>
      </c>
      <c r="P267" s="420">
        <f>ROUND(18.75%*O267,2)</f>
        <v>0</v>
      </c>
      <c r="Q267" s="420" cm="1">
        <f t="array" aca="1" ref="Q267" ca="1">REDON+I285+Q267</f>
        <v>0</v>
      </c>
      <c r="R267" s="893">
        <v>0.15</v>
      </c>
      <c r="S267" s="420">
        <f t="shared" ref="S267:S274" si="15">ROUND($O267*T267,2)</f>
        <v>0</v>
      </c>
      <c r="T267" s="919">
        <v>3.7499999999999999E-2</v>
      </c>
    </row>
    <row r="268" spans="1:20" outlineLevel="1" x14ac:dyDescent="0.2">
      <c r="A268" s="894" t="s">
        <v>28</v>
      </c>
      <c r="B268" s="456" t="s">
        <v>219</v>
      </c>
      <c r="C268" s="378" t="s">
        <v>31</v>
      </c>
      <c r="D268" s="378" t="s">
        <v>30</v>
      </c>
      <c r="E268" s="378" t="s">
        <v>101</v>
      </c>
      <c r="F268" s="586" t="s">
        <v>56</v>
      </c>
      <c r="G268" s="587"/>
      <c r="H268" s="1012">
        <f>H245</f>
        <v>0</v>
      </c>
      <c r="I268" s="588"/>
      <c r="J268" s="588">
        <f>J245</f>
        <v>0</v>
      </c>
      <c r="K268" s="253"/>
      <c r="L268" s="253"/>
      <c r="M268" s="253"/>
      <c r="N268" s="557"/>
      <c r="O268" s="253">
        <f t="shared" ref="O268:O274" si="16">ROUND(G268*I268,2)+ROUND(H268*J268,2)-K268-L268-M268-N268</f>
        <v>0</v>
      </c>
      <c r="P268" s="253">
        <f t="shared" ref="P268:P274" si="17">ROUND(18.75%*O268,2)</f>
        <v>0</v>
      </c>
      <c r="Q268" s="253">
        <f t="shared" ref="Q268:Q274" si="18">ROUND($O268*R268,2)</f>
        <v>0</v>
      </c>
      <c r="R268" s="775">
        <v>0.15</v>
      </c>
      <c r="S268" s="253">
        <f t="shared" si="15"/>
        <v>0</v>
      </c>
      <c r="T268" s="921">
        <v>3.7499999999999999E-2</v>
      </c>
    </row>
    <row r="269" spans="1:20" outlineLevel="1" x14ac:dyDescent="0.2">
      <c r="A269" s="894" t="s">
        <v>28</v>
      </c>
      <c r="B269" s="456" t="s">
        <v>217</v>
      </c>
      <c r="C269" s="378" t="s">
        <v>31</v>
      </c>
      <c r="D269" s="378" t="s">
        <v>30</v>
      </c>
      <c r="E269" s="378" t="s">
        <v>101</v>
      </c>
      <c r="F269" s="586" t="s">
        <v>56</v>
      </c>
      <c r="G269" s="587"/>
      <c r="H269" s="920"/>
      <c r="I269" s="588"/>
      <c r="J269" s="588"/>
      <c r="K269" s="253"/>
      <c r="L269" s="253"/>
      <c r="M269" s="253"/>
      <c r="N269" s="557"/>
      <c r="O269" s="253">
        <f t="shared" si="16"/>
        <v>0</v>
      </c>
      <c r="P269" s="253">
        <f t="shared" si="17"/>
        <v>0</v>
      </c>
      <c r="Q269" s="253">
        <f t="shared" si="18"/>
        <v>0</v>
      </c>
      <c r="R269" s="775">
        <v>0.15</v>
      </c>
      <c r="S269" s="253">
        <f t="shared" si="15"/>
        <v>0</v>
      </c>
      <c r="T269" s="921">
        <v>3.7499999999999999E-2</v>
      </c>
    </row>
    <row r="270" spans="1:20" outlineLevel="1" x14ac:dyDescent="0.2">
      <c r="A270" s="894" t="s">
        <v>28</v>
      </c>
      <c r="B270" s="456" t="s">
        <v>220</v>
      </c>
      <c r="C270" s="378" t="s">
        <v>31</v>
      </c>
      <c r="D270" s="378" t="s">
        <v>30</v>
      </c>
      <c r="E270" s="378" t="s">
        <v>101</v>
      </c>
      <c r="F270" s="586" t="s">
        <v>56</v>
      </c>
      <c r="G270" s="587"/>
      <c r="H270" s="920"/>
      <c r="I270" s="588"/>
      <c r="J270" s="588"/>
      <c r="K270" s="253"/>
      <c r="L270" s="253"/>
      <c r="M270" s="253"/>
      <c r="N270" s="557"/>
      <c r="O270" s="253">
        <f t="shared" si="16"/>
        <v>0</v>
      </c>
      <c r="P270" s="253">
        <f t="shared" si="17"/>
        <v>0</v>
      </c>
      <c r="Q270" s="253">
        <f t="shared" si="18"/>
        <v>0</v>
      </c>
      <c r="R270" s="775">
        <v>0.15</v>
      </c>
      <c r="S270" s="253">
        <f t="shared" si="15"/>
        <v>0</v>
      </c>
      <c r="T270" s="921">
        <v>3.7499999999999999E-2</v>
      </c>
    </row>
    <row r="271" spans="1:20" outlineLevel="1" x14ac:dyDescent="0.2">
      <c r="A271" s="894" t="s">
        <v>28</v>
      </c>
      <c r="B271" s="456" t="s">
        <v>222</v>
      </c>
      <c r="C271" s="378" t="s">
        <v>31</v>
      </c>
      <c r="D271" s="378" t="s">
        <v>30</v>
      </c>
      <c r="E271" s="378" t="s">
        <v>101</v>
      </c>
      <c r="F271" s="586" t="s">
        <v>56</v>
      </c>
      <c r="G271" s="587"/>
      <c r="H271" s="920"/>
      <c r="I271" s="588"/>
      <c r="J271" s="588"/>
      <c r="K271" s="253"/>
      <c r="L271" s="253"/>
      <c r="M271" s="253"/>
      <c r="N271" s="934"/>
      <c r="O271" s="253">
        <f t="shared" si="16"/>
        <v>0</v>
      </c>
      <c r="P271" s="253">
        <f t="shared" si="17"/>
        <v>0</v>
      </c>
      <c r="Q271" s="253">
        <f t="shared" si="18"/>
        <v>0</v>
      </c>
      <c r="R271" s="775">
        <v>0.15</v>
      </c>
      <c r="S271" s="253">
        <f t="shared" si="15"/>
        <v>0</v>
      </c>
      <c r="T271" s="921">
        <v>3.7499999999999999E-2</v>
      </c>
    </row>
    <row r="272" spans="1:20" outlineLevel="1" x14ac:dyDescent="0.2">
      <c r="A272" s="894"/>
      <c r="B272" s="456" t="s">
        <v>226</v>
      </c>
      <c r="C272" s="378" t="s">
        <v>31</v>
      </c>
      <c r="D272" s="378" t="s">
        <v>30</v>
      </c>
      <c r="E272" s="378" t="s">
        <v>101</v>
      </c>
      <c r="F272" s="586" t="s">
        <v>56</v>
      </c>
      <c r="G272" s="587"/>
      <c r="H272" s="920">
        <f>H249</f>
        <v>0</v>
      </c>
      <c r="I272" s="588"/>
      <c r="J272" s="588">
        <f>J249</f>
        <v>0</v>
      </c>
      <c r="K272" s="253"/>
      <c r="L272" s="253"/>
      <c r="M272" s="253"/>
      <c r="N272" s="934"/>
      <c r="O272" s="253">
        <f t="shared" si="16"/>
        <v>0</v>
      </c>
      <c r="P272" s="253">
        <f t="shared" si="17"/>
        <v>0</v>
      </c>
      <c r="Q272" s="253">
        <f t="shared" si="18"/>
        <v>0</v>
      </c>
      <c r="R272" s="775">
        <v>0.15</v>
      </c>
      <c r="S272" s="253">
        <f t="shared" si="15"/>
        <v>0</v>
      </c>
      <c r="T272" s="921">
        <v>3.7499999999999999E-2</v>
      </c>
    </row>
    <row r="273" spans="1:20" outlineLevel="1" x14ac:dyDescent="0.2">
      <c r="A273" s="894"/>
      <c r="B273" s="456" t="s">
        <v>225</v>
      </c>
      <c r="C273" s="378" t="s">
        <v>31</v>
      </c>
      <c r="D273" s="378" t="s">
        <v>30</v>
      </c>
      <c r="E273" s="378" t="s">
        <v>101</v>
      </c>
      <c r="F273" s="586" t="s">
        <v>56</v>
      </c>
      <c r="G273" s="587"/>
      <c r="H273" s="920"/>
      <c r="I273" s="588"/>
      <c r="J273" s="933"/>
      <c r="K273" s="253"/>
      <c r="L273" s="253"/>
      <c r="M273" s="253"/>
      <c r="N273" s="557"/>
      <c r="O273" s="253">
        <f t="shared" si="16"/>
        <v>0</v>
      </c>
      <c r="P273" s="253">
        <f t="shared" si="17"/>
        <v>0</v>
      </c>
      <c r="Q273" s="253">
        <f t="shared" si="18"/>
        <v>0</v>
      </c>
      <c r="R273" s="775">
        <v>0.15</v>
      </c>
      <c r="S273" s="253">
        <f t="shared" si="15"/>
        <v>0</v>
      </c>
      <c r="T273" s="921">
        <v>3.7499999999999999E-2</v>
      </c>
    </row>
    <row r="274" spans="1:20" outlineLevel="1" x14ac:dyDescent="0.2">
      <c r="A274" s="993"/>
      <c r="B274" s="994" t="s">
        <v>362</v>
      </c>
      <c r="C274" s="995" t="s">
        <v>31</v>
      </c>
      <c r="D274" s="995" t="s">
        <v>30</v>
      </c>
      <c r="E274" s="995" t="s">
        <v>101</v>
      </c>
      <c r="F274" s="995" t="s">
        <v>56</v>
      </c>
      <c r="G274" s="996"/>
      <c r="H274" s="928">
        <f>H251</f>
        <v>0</v>
      </c>
      <c r="I274" s="949"/>
      <c r="J274" s="929">
        <f>J251</f>
        <v>0</v>
      </c>
      <c r="K274" s="909"/>
      <c r="L274" s="909"/>
      <c r="M274" s="909"/>
      <c r="N274" s="997"/>
      <c r="O274" s="909">
        <f t="shared" si="16"/>
        <v>0</v>
      </c>
      <c r="P274" s="909">
        <f t="shared" si="17"/>
        <v>0</v>
      </c>
      <c r="Q274" s="909">
        <f t="shared" si="18"/>
        <v>0</v>
      </c>
      <c r="R274" s="998">
        <v>0.15</v>
      </c>
      <c r="S274" s="909">
        <f t="shared" si="15"/>
        <v>0</v>
      </c>
      <c r="T274" s="999">
        <v>3.7499999999999999E-2</v>
      </c>
    </row>
    <row r="275" spans="1:20" x14ac:dyDescent="0.2">
      <c r="A275" s="596"/>
      <c r="B275" s="596"/>
      <c r="C275" s="596"/>
      <c r="D275" s="596"/>
      <c r="E275" s="596"/>
      <c r="F275" s="596"/>
      <c r="G275" s="902"/>
      <c r="H275" s="902">
        <f>SUM(H267:H274)</f>
        <v>0</v>
      </c>
      <c r="I275" s="937"/>
      <c r="J275" s="937" t="e">
        <f>O275/H275</f>
        <v>#DIV/0!</v>
      </c>
      <c r="K275" s="677"/>
      <c r="L275" s="596"/>
      <c r="M275" s="596"/>
      <c r="N275" s="1059"/>
      <c r="O275" s="734">
        <f>SUM(O267:O274)</f>
        <v>0</v>
      </c>
      <c r="P275" s="734">
        <f>SUM(P267:P274)</f>
        <v>0</v>
      </c>
      <c r="Q275" s="734">
        <f ca="1">SUM(Q267:Q274)</f>
        <v>0</v>
      </c>
      <c r="R275" s="596"/>
      <c r="S275" s="734">
        <f>SUM(S267:S274)</f>
        <v>0</v>
      </c>
      <c r="T275" s="596"/>
    </row>
    <row r="276" spans="1:20" x14ac:dyDescent="0.2">
      <c r="A276" s="596"/>
      <c r="B276" s="596"/>
      <c r="C276" s="596"/>
      <c r="D276" s="596"/>
      <c r="E276" s="596"/>
      <c r="F276" s="596"/>
      <c r="G276" s="677"/>
      <c r="H276" s="677"/>
      <c r="I276" s="677"/>
      <c r="J276" s="677"/>
      <c r="K276" s="677"/>
      <c r="L276" s="596"/>
      <c r="M276" s="596"/>
      <c r="N276" s="950"/>
      <c r="O276" s="596"/>
      <c r="P276" s="596"/>
      <c r="Q276" s="596"/>
      <c r="R276" s="596"/>
      <c r="S276" s="596"/>
      <c r="T276" s="596"/>
    </row>
    <row r="277" spans="1:20" x14ac:dyDescent="0.2">
      <c r="A277" s="596"/>
      <c r="B277" s="596"/>
      <c r="C277" s="596"/>
      <c r="D277" s="596"/>
      <c r="E277" s="596"/>
      <c r="F277" s="596"/>
      <c r="G277" s="596"/>
      <c r="H277" s="596"/>
      <c r="I277" s="596"/>
      <c r="J277" s="596"/>
      <c r="K277" s="596"/>
      <c r="L277" s="596"/>
      <c r="M277" s="596"/>
      <c r="N277" s="1061"/>
      <c r="O277" s="596"/>
      <c r="P277" s="596"/>
      <c r="Q277" s="596"/>
      <c r="R277" s="596"/>
      <c r="S277" s="596"/>
      <c r="T277" s="596"/>
    </row>
    <row r="278" spans="1:20" x14ac:dyDescent="0.2">
      <c r="A278" s="596"/>
      <c r="B278" s="596"/>
      <c r="C278" s="596"/>
      <c r="D278" s="596"/>
      <c r="E278" s="596"/>
      <c r="F278" s="596"/>
      <c r="G278" s="677"/>
      <c r="H278" s="677"/>
      <c r="I278" s="677"/>
      <c r="J278" s="677"/>
      <c r="K278" s="677"/>
      <c r="L278" s="596"/>
      <c r="M278" s="596"/>
      <c r="N278" s="1061"/>
      <c r="O278" s="596"/>
      <c r="P278" s="596"/>
      <c r="Q278" s="596"/>
      <c r="R278" s="596"/>
      <c r="S278" s="596"/>
      <c r="T278" s="596"/>
    </row>
    <row r="279" spans="1:20" outlineLevel="1" x14ac:dyDescent="0.2">
      <c r="A279" s="880" t="s">
        <v>231</v>
      </c>
      <c r="B279" s="596"/>
      <c r="C279" s="596" t="s">
        <v>330</v>
      </c>
      <c r="D279" s="596"/>
      <c r="E279" s="596"/>
      <c r="F279" s="596"/>
      <c r="G279" s="596"/>
      <c r="H279" s="596"/>
      <c r="I279" s="596"/>
      <c r="J279" s="596"/>
      <c r="K279" s="596"/>
      <c r="L279" s="596"/>
      <c r="M279" s="596"/>
      <c r="N279" s="1061"/>
      <c r="O279" s="596"/>
      <c r="P279" s="596"/>
      <c r="Q279" s="596"/>
      <c r="R279" s="596"/>
      <c r="S279" s="596"/>
      <c r="T279" s="596"/>
    </row>
    <row r="280" spans="1:20" ht="15.75" outlineLevel="1" x14ac:dyDescent="0.25">
      <c r="A280" s="887" t="s">
        <v>228</v>
      </c>
      <c r="B280" s="596"/>
      <c r="C280" s="596"/>
      <c r="D280" s="596"/>
      <c r="E280" s="596"/>
      <c r="F280" s="596"/>
      <c r="G280" s="704" t="s">
        <v>35</v>
      </c>
      <c r="H280" s="705" t="s">
        <v>36</v>
      </c>
      <c r="I280" s="705" t="s">
        <v>35</v>
      </c>
      <c r="J280" s="704" t="s">
        <v>36</v>
      </c>
      <c r="K280" s="704" t="s">
        <v>39</v>
      </c>
      <c r="L280" s="704" t="s">
        <v>40</v>
      </c>
      <c r="M280" s="704" t="s">
        <v>42</v>
      </c>
      <c r="N280" s="1058" t="s">
        <v>2</v>
      </c>
      <c r="O280" s="596"/>
      <c r="P280" s="596"/>
      <c r="Q280" s="596"/>
      <c r="R280" s="596"/>
      <c r="S280" s="596"/>
      <c r="T280" s="596"/>
    </row>
    <row r="281" spans="1:20" outlineLevel="1" x14ac:dyDescent="0.2">
      <c r="A281" s="939" t="s">
        <v>28</v>
      </c>
      <c r="B281" s="940" t="s">
        <v>367</v>
      </c>
      <c r="C281" s="845" t="s">
        <v>31</v>
      </c>
      <c r="D281" s="845" t="s">
        <v>30</v>
      </c>
      <c r="E281" s="845" t="s">
        <v>101</v>
      </c>
      <c r="F281" s="845" t="s">
        <v>56</v>
      </c>
      <c r="G281" s="913"/>
      <c r="H281" s="914"/>
      <c r="I281" s="915"/>
      <c r="J281" s="916"/>
      <c r="K281" s="941"/>
      <c r="L281" s="941"/>
      <c r="M281" s="941"/>
      <c r="N281" s="883"/>
      <c r="O281" s="918">
        <f>ROUND(G281*I281,2)+ROUND(H281*J281,2)-K281-L281-M281-N281</f>
        <v>0</v>
      </c>
      <c r="P281" s="918">
        <f>ROUND(18.75%*O281,2)</f>
        <v>0</v>
      </c>
      <c r="Q281" s="941">
        <f>ROUND($O281*R281,2)</f>
        <v>0</v>
      </c>
      <c r="R281" s="942">
        <v>0.15</v>
      </c>
      <c r="S281" s="941">
        <f>ROUND($O281*T281,2)</f>
        <v>0</v>
      </c>
      <c r="T281" s="943">
        <v>3.7499999999999999E-2</v>
      </c>
    </row>
    <row r="282" spans="1:20" outlineLevel="1" x14ac:dyDescent="0.2">
      <c r="A282" s="922" t="s">
        <v>28</v>
      </c>
      <c r="B282" s="442" t="s">
        <v>373</v>
      </c>
      <c r="C282" s="854" t="s">
        <v>31</v>
      </c>
      <c r="D282" s="854" t="s">
        <v>30</v>
      </c>
      <c r="E282" s="854" t="s">
        <v>101</v>
      </c>
      <c r="F282" s="854" t="s">
        <v>56</v>
      </c>
      <c r="G282" s="933"/>
      <c r="H282" s="587"/>
      <c r="I282" s="920"/>
      <c r="J282" s="588"/>
      <c r="K282" s="441"/>
      <c r="L282" s="441"/>
      <c r="M282" s="441"/>
      <c r="N282" s="923"/>
      <c r="O282" s="944">
        <f>ROUND(G282*I282,2)+ROUND(H282*J282,2)-K282-L282-M282-N282</f>
        <v>0</v>
      </c>
      <c r="P282" s="944">
        <f>ROUND(18.75%*O282,2)</f>
        <v>0</v>
      </c>
      <c r="Q282" s="441">
        <f>ROUND($O282*R282,2)</f>
        <v>0</v>
      </c>
      <c r="R282" s="924">
        <v>0.15</v>
      </c>
      <c r="S282" s="441">
        <f>ROUND($O282*T282,2)</f>
        <v>0</v>
      </c>
      <c r="T282" s="945">
        <v>3.7499999999999999E-2</v>
      </c>
    </row>
    <row r="283" spans="1:20" outlineLevel="1" x14ac:dyDescent="0.2">
      <c r="A283" s="922" t="s">
        <v>28</v>
      </c>
      <c r="B283" s="442" t="s">
        <v>374</v>
      </c>
      <c r="C283" s="854" t="s">
        <v>31</v>
      </c>
      <c r="D283" s="854" t="s">
        <v>30</v>
      </c>
      <c r="E283" s="854" t="s">
        <v>101</v>
      </c>
      <c r="F283" s="854" t="s">
        <v>56</v>
      </c>
      <c r="G283" s="933"/>
      <c r="H283" s="587"/>
      <c r="I283" s="920"/>
      <c r="J283" s="588"/>
      <c r="K283" s="441"/>
      <c r="L283" s="441"/>
      <c r="M283" s="441"/>
      <c r="N283" s="923"/>
      <c r="O283" s="441">
        <f>ROUND(G283*I283,2)+ROUND(H283*J283,2)-K283-L283-M283-N283</f>
        <v>0</v>
      </c>
      <c r="P283" s="441">
        <f>ROUND(18.75%*O283,2)</f>
        <v>0</v>
      </c>
      <c r="Q283" s="441">
        <f>ROUND($O283*R283,2)</f>
        <v>0</v>
      </c>
      <c r="R283" s="924">
        <v>0.15</v>
      </c>
      <c r="S283" s="441">
        <f>ROUND($O283*T283,2)</f>
        <v>0</v>
      </c>
      <c r="T283" s="945">
        <v>3.7499999999999999E-2</v>
      </c>
    </row>
    <row r="284" spans="1:20" outlineLevel="1" x14ac:dyDescent="0.2">
      <c r="A284" s="922" t="s">
        <v>28</v>
      </c>
      <c r="B284" s="442" t="s">
        <v>375</v>
      </c>
      <c r="C284" s="854" t="s">
        <v>31</v>
      </c>
      <c r="D284" s="854" t="s">
        <v>30</v>
      </c>
      <c r="E284" s="854" t="s">
        <v>101</v>
      </c>
      <c r="F284" s="854" t="s">
        <v>56</v>
      </c>
      <c r="G284" s="933"/>
      <c r="H284" s="587"/>
      <c r="I284" s="920"/>
      <c r="J284" s="588"/>
      <c r="K284" s="441"/>
      <c r="L284" s="441"/>
      <c r="M284" s="441"/>
      <c r="N284" s="923"/>
      <c r="O284" s="441">
        <f>ROUND(G284*I284,2)+ROUND(H284*J284,2)-K284-L284-M284-N284</f>
        <v>0</v>
      </c>
      <c r="P284" s="441">
        <f>ROUND(18.75%*O284,2)</f>
        <v>0</v>
      </c>
      <c r="Q284" s="441">
        <f>ROUND($O284*R284,2)</f>
        <v>0</v>
      </c>
      <c r="R284" s="924">
        <v>0.15</v>
      </c>
      <c r="S284" s="441">
        <f>ROUND($O284*T284,2)</f>
        <v>0</v>
      </c>
      <c r="T284" s="945">
        <v>3.7499999999999999E-2</v>
      </c>
    </row>
    <row r="285" spans="1:20" outlineLevel="1" x14ac:dyDescent="0.2">
      <c r="A285" s="926" t="s">
        <v>28</v>
      </c>
      <c r="B285" s="445" t="s">
        <v>376</v>
      </c>
      <c r="C285" s="867" t="s">
        <v>31</v>
      </c>
      <c r="D285" s="867" t="s">
        <v>30</v>
      </c>
      <c r="E285" s="867" t="s">
        <v>101</v>
      </c>
      <c r="F285" s="867" t="s">
        <v>56</v>
      </c>
      <c r="G285" s="935"/>
      <c r="H285" s="927"/>
      <c r="I285" s="928"/>
      <c r="J285" s="928"/>
      <c r="K285" s="568"/>
      <c r="L285" s="568"/>
      <c r="M285" s="568"/>
      <c r="N285" s="930"/>
      <c r="O285" s="568">
        <f>ROUND(G285*I285,2)+ROUND(H285*J285,2)-K285-L285-M285-N285</f>
        <v>0</v>
      </c>
      <c r="P285" s="568">
        <f>ROUND(18.75%*O285,2)</f>
        <v>0</v>
      </c>
      <c r="Q285" s="568">
        <f>ROUND($O285*R285,2)</f>
        <v>0</v>
      </c>
      <c r="R285" s="931">
        <v>0.15</v>
      </c>
      <c r="S285" s="568">
        <f>ROUND($O285*T285,2)</f>
        <v>0</v>
      </c>
      <c r="T285" s="946">
        <v>3.7499999999999999E-2</v>
      </c>
    </row>
    <row r="286" spans="1:20" outlineLevel="1" x14ac:dyDescent="0.2">
      <c r="A286" s="596"/>
      <c r="B286" s="596"/>
      <c r="C286" s="596"/>
      <c r="D286" s="596"/>
      <c r="E286" s="596"/>
      <c r="F286" s="596"/>
      <c r="G286" s="902">
        <f>SUM(G281:G285)</f>
        <v>0</v>
      </c>
      <c r="H286" s="902">
        <f>SUM(H281:H285)</f>
        <v>0</v>
      </c>
      <c r="I286" s="677"/>
      <c r="J286" s="677"/>
      <c r="K286" s="677"/>
      <c r="L286" s="596"/>
      <c r="M286" s="596"/>
      <c r="N286" s="1059">
        <f>SUM(N281:N285)</f>
        <v>0</v>
      </c>
      <c r="O286" s="734">
        <f>SUM(O281:O285)</f>
        <v>0</v>
      </c>
      <c r="P286" s="734">
        <f>SUM(P281:P285)</f>
        <v>0</v>
      </c>
      <c r="Q286" s="734">
        <f>SUM(Q281:Q285)</f>
        <v>0</v>
      </c>
      <c r="R286" s="596"/>
      <c r="S286" s="734">
        <f>SUM(S281:S285)</f>
        <v>0</v>
      </c>
      <c r="T286" s="596"/>
    </row>
    <row r="287" spans="1:20" outlineLevel="1" x14ac:dyDescent="0.2">
      <c r="A287" s="596"/>
      <c r="B287" s="596"/>
      <c r="C287" s="596"/>
      <c r="D287" s="596"/>
      <c r="E287" s="596"/>
      <c r="F287" s="596"/>
      <c r="G287" s="677"/>
      <c r="H287" s="677"/>
      <c r="I287" s="677"/>
      <c r="J287" s="677"/>
      <c r="K287" s="677"/>
      <c r="L287" s="596"/>
      <c r="M287" s="596"/>
      <c r="N287" s="950"/>
      <c r="O287" s="597"/>
      <c r="P287" s="597"/>
      <c r="Q287" s="597"/>
      <c r="R287" s="596"/>
      <c r="S287" s="597"/>
      <c r="T287" s="596"/>
    </row>
    <row r="288" spans="1:20" ht="15.75" outlineLevel="1" x14ac:dyDescent="0.25">
      <c r="A288" s="887" t="s">
        <v>229</v>
      </c>
      <c r="B288" s="596"/>
      <c r="C288" s="596"/>
      <c r="D288" s="596"/>
      <c r="E288" s="596"/>
      <c r="F288" s="596"/>
      <c r="G288" s="677"/>
      <c r="H288" s="677"/>
      <c r="I288" s="677"/>
      <c r="J288" s="677"/>
      <c r="K288" s="677"/>
      <c r="L288" s="596"/>
      <c r="M288" s="596"/>
      <c r="N288" s="950"/>
      <c r="O288" s="596"/>
      <c r="P288" s="596"/>
      <c r="Q288" s="597"/>
      <c r="R288" s="596"/>
      <c r="S288" s="596"/>
      <c r="T288" s="596"/>
    </row>
    <row r="289" spans="1:20" outlineLevel="1" x14ac:dyDescent="0.2">
      <c r="A289" s="888" t="s">
        <v>28</v>
      </c>
      <c r="B289" s="940" t="s">
        <v>303</v>
      </c>
      <c r="C289" s="890" t="s">
        <v>31</v>
      </c>
      <c r="D289" s="890" t="s">
        <v>30</v>
      </c>
      <c r="E289" s="890" t="s">
        <v>101</v>
      </c>
      <c r="F289" s="891" t="s">
        <v>56</v>
      </c>
      <c r="G289" s="913">
        <f>G281</f>
        <v>0</v>
      </c>
      <c r="H289" s="914"/>
      <c r="I289" s="1074">
        <f>I281</f>
        <v>0</v>
      </c>
      <c r="J289" s="916"/>
      <c r="K289" s="420"/>
      <c r="L289" s="420"/>
      <c r="M289" s="420"/>
      <c r="N289" s="904">
        <f>N281</f>
        <v>0</v>
      </c>
      <c r="O289" s="420">
        <f>ROUND(G289*I289,2)+ROUND(H289*J289,2)-K289-L289-M289-N289</f>
        <v>0</v>
      </c>
      <c r="P289" s="420"/>
      <c r="Q289" s="420">
        <f>ROUND($O289*R289,2)</f>
        <v>0</v>
      </c>
      <c r="R289" s="893">
        <v>0.15</v>
      </c>
      <c r="S289" s="420">
        <f>ROUND($O289*T289,2)</f>
        <v>0</v>
      </c>
      <c r="T289" s="919">
        <v>3.7499999999999999E-2</v>
      </c>
    </row>
    <row r="290" spans="1:20" outlineLevel="1" x14ac:dyDescent="0.2">
      <c r="A290" s="894" t="s">
        <v>28</v>
      </c>
      <c r="B290" s="442" t="s">
        <v>303</v>
      </c>
      <c r="C290" s="378" t="s">
        <v>31</v>
      </c>
      <c r="D290" s="378" t="s">
        <v>30</v>
      </c>
      <c r="E290" s="378" t="s">
        <v>101</v>
      </c>
      <c r="F290" s="586" t="s">
        <v>56</v>
      </c>
      <c r="G290" s="933">
        <f>G282</f>
        <v>0</v>
      </c>
      <c r="H290" s="587"/>
      <c r="I290" s="1075">
        <f>I282</f>
        <v>0</v>
      </c>
      <c r="J290" s="588"/>
      <c r="K290" s="253"/>
      <c r="L290" s="253"/>
      <c r="M290" s="253"/>
      <c r="N290" s="557"/>
      <c r="O290" s="253">
        <f>ROUND(G290*I290,2)+ROUND(H290*J290,2)-K290-L290-M290-N290</f>
        <v>0</v>
      </c>
      <c r="P290" s="253"/>
      <c r="Q290" s="253">
        <f>ROUND($O290*R290,2)</f>
        <v>0</v>
      </c>
      <c r="R290" s="775">
        <v>0.15</v>
      </c>
      <c r="S290" s="253">
        <f>ROUND($O290*T290,2)</f>
        <v>0</v>
      </c>
      <c r="T290" s="921">
        <v>3.7499999999999999E-2</v>
      </c>
    </row>
    <row r="291" spans="1:20" outlineLevel="1" x14ac:dyDescent="0.2">
      <c r="A291" s="894" t="s">
        <v>28</v>
      </c>
      <c r="B291" s="442" t="s">
        <v>303</v>
      </c>
      <c r="C291" s="378" t="s">
        <v>31</v>
      </c>
      <c r="D291" s="378" t="s">
        <v>30</v>
      </c>
      <c r="E291" s="378" t="s">
        <v>101</v>
      </c>
      <c r="F291" s="586" t="s">
        <v>56</v>
      </c>
      <c r="G291" s="933">
        <f>G283</f>
        <v>0</v>
      </c>
      <c r="H291" s="587"/>
      <c r="I291" s="1075">
        <f>I283</f>
        <v>0</v>
      </c>
      <c r="J291" s="588"/>
      <c r="K291" s="253"/>
      <c r="L291" s="253"/>
      <c r="M291" s="253"/>
      <c r="N291" s="557"/>
      <c r="O291" s="253">
        <f>ROUND(G291*I291,2)+ROUND(H291*J291,2)-K291-L291-M291-N291</f>
        <v>0</v>
      </c>
      <c r="P291" s="253"/>
      <c r="Q291" s="253">
        <f>ROUND($O291*R291,2)</f>
        <v>0</v>
      </c>
      <c r="R291" s="775">
        <v>0.15</v>
      </c>
      <c r="S291" s="253">
        <f>ROUND($O291*T291,2)</f>
        <v>0</v>
      </c>
      <c r="T291" s="921">
        <v>3.7499999999999999E-2</v>
      </c>
    </row>
    <row r="292" spans="1:20" outlineLevel="1" x14ac:dyDescent="0.2">
      <c r="A292" s="894" t="s">
        <v>28</v>
      </c>
      <c r="B292" s="442" t="s">
        <v>303</v>
      </c>
      <c r="C292" s="378" t="s">
        <v>31</v>
      </c>
      <c r="D292" s="378" t="s">
        <v>30</v>
      </c>
      <c r="E292" s="378" t="s">
        <v>101</v>
      </c>
      <c r="F292" s="586" t="s">
        <v>56</v>
      </c>
      <c r="G292" s="933">
        <f>G284</f>
        <v>0</v>
      </c>
      <c r="H292" s="587"/>
      <c r="I292" s="1075">
        <f>I284</f>
        <v>0</v>
      </c>
      <c r="J292" s="588"/>
      <c r="K292" s="253"/>
      <c r="L292" s="253"/>
      <c r="M292" s="253"/>
      <c r="N292" s="557"/>
      <c r="O292" s="253">
        <f>ROUND(G292*I292,2)+ROUND(H292*J292,2)-K292-L292-M292-N292</f>
        <v>0</v>
      </c>
      <c r="P292" s="253"/>
      <c r="Q292" s="253">
        <f>ROUND($O292*R292,2)</f>
        <v>0</v>
      </c>
      <c r="R292" s="775">
        <v>0.15</v>
      </c>
      <c r="S292" s="253">
        <f>ROUND($O292*T292,2)</f>
        <v>0</v>
      </c>
      <c r="T292" s="921">
        <v>3.7499999999999999E-2</v>
      </c>
    </row>
    <row r="293" spans="1:20" outlineLevel="1" x14ac:dyDescent="0.2">
      <c r="A293" s="898" t="s">
        <v>28</v>
      </c>
      <c r="B293" s="445" t="s">
        <v>303</v>
      </c>
      <c r="C293" s="899" t="s">
        <v>31</v>
      </c>
      <c r="D293" s="899" t="s">
        <v>30</v>
      </c>
      <c r="E293" s="899" t="s">
        <v>101</v>
      </c>
      <c r="F293" s="740" t="s">
        <v>56</v>
      </c>
      <c r="G293" s="935">
        <f>G285</f>
        <v>0</v>
      </c>
      <c r="H293" s="927"/>
      <c r="I293" s="1076">
        <f>I285</f>
        <v>0</v>
      </c>
      <c r="J293" s="929"/>
      <c r="K293" s="424"/>
      <c r="L293" s="424"/>
      <c r="M293" s="424"/>
      <c r="N293" s="936"/>
      <c r="O293" s="424">
        <f>ROUND(G293*I293,2)+ROUND(H293*J293,2)-K293-L293-M293-N293</f>
        <v>0</v>
      </c>
      <c r="P293" s="424"/>
      <c r="Q293" s="424">
        <f>ROUND($O293*R293,2)</f>
        <v>0</v>
      </c>
      <c r="R293" s="901">
        <v>0.15</v>
      </c>
      <c r="S293" s="424">
        <f>ROUND($O293*T293,2)</f>
        <v>0</v>
      </c>
      <c r="T293" s="932">
        <v>3.7499999999999999E-2</v>
      </c>
    </row>
    <row r="294" spans="1:20" outlineLevel="1" x14ac:dyDescent="0.2">
      <c r="A294" s="596"/>
      <c r="B294" s="596"/>
      <c r="C294" s="596"/>
      <c r="D294" s="596"/>
      <c r="E294" s="596"/>
      <c r="F294" s="596"/>
      <c r="G294" s="902">
        <f>SUM(G289:G293)</f>
        <v>0</v>
      </c>
      <c r="H294" s="902"/>
      <c r="I294" s="937" t="e">
        <f>O294/G294</f>
        <v>#DIV/0!</v>
      </c>
      <c r="J294" s="937"/>
      <c r="K294" s="677"/>
      <c r="L294" s="596"/>
      <c r="M294" s="596"/>
      <c r="N294" s="1059"/>
      <c r="O294" s="734">
        <f>SUM(O289:O293)</f>
        <v>0</v>
      </c>
      <c r="P294" s="734"/>
      <c r="Q294" s="734">
        <f>SUM(Q289:Q293)</f>
        <v>0</v>
      </c>
      <c r="R294" s="596"/>
      <c r="S294" s="734">
        <f>SUM(S289:S293)</f>
        <v>0</v>
      </c>
      <c r="T294" s="596"/>
    </row>
    <row r="295" spans="1:20" outlineLevel="1" x14ac:dyDescent="0.2">
      <c r="A295" s="596"/>
      <c r="B295" s="596"/>
      <c r="C295" s="596"/>
      <c r="D295" s="596"/>
      <c r="E295" s="596"/>
      <c r="F295" s="596"/>
      <c r="G295" s="677"/>
      <c r="H295" s="677"/>
      <c r="I295" s="677"/>
      <c r="J295" s="677"/>
      <c r="K295" s="677"/>
      <c r="L295" s="596"/>
      <c r="M295" s="596"/>
      <c r="N295" s="950"/>
      <c r="O295" s="683"/>
      <c r="P295" s="683"/>
      <c r="Q295" s="596"/>
      <c r="R295" s="596"/>
      <c r="S295" s="596"/>
      <c r="T295" s="596"/>
    </row>
    <row r="296" spans="1:20" outlineLevel="1" x14ac:dyDescent="0.2">
      <c r="A296" s="596"/>
      <c r="B296" s="596"/>
      <c r="C296" s="596"/>
      <c r="D296" s="596"/>
      <c r="E296" s="596"/>
      <c r="F296" s="596"/>
      <c r="G296" s="677"/>
      <c r="H296" s="677"/>
      <c r="I296" s="677"/>
      <c r="J296" s="677"/>
      <c r="K296" s="677"/>
      <c r="L296" s="596"/>
      <c r="M296" s="596"/>
      <c r="N296" s="950"/>
      <c r="O296" s="597"/>
      <c r="P296" s="597"/>
      <c r="Q296" s="596"/>
      <c r="R296" s="596"/>
      <c r="S296" s="596"/>
      <c r="T296" s="596"/>
    </row>
    <row r="297" spans="1:20" ht="15.75" outlineLevel="1" x14ac:dyDescent="0.25">
      <c r="A297" s="887" t="s">
        <v>230</v>
      </c>
      <c r="B297" s="596"/>
      <c r="C297" s="596"/>
      <c r="D297" s="596"/>
      <c r="E297" s="596"/>
      <c r="F297" s="596"/>
      <c r="G297" s="677"/>
      <c r="H297" s="677"/>
      <c r="I297" s="677"/>
      <c r="J297" s="677"/>
      <c r="K297" s="677"/>
      <c r="L297" s="596"/>
      <c r="M297" s="596"/>
      <c r="N297" s="950"/>
      <c r="O297" s="596"/>
      <c r="P297" s="596"/>
      <c r="Q297" s="596"/>
      <c r="R297" s="596"/>
      <c r="S297" s="596"/>
      <c r="T297" s="596"/>
    </row>
    <row r="298" spans="1:20" outlineLevel="1" x14ac:dyDescent="0.2">
      <c r="A298" s="888" t="s">
        <v>28</v>
      </c>
      <c r="B298" s="940" t="s">
        <v>303</v>
      </c>
      <c r="C298" s="890" t="s">
        <v>31</v>
      </c>
      <c r="D298" s="890" t="s">
        <v>30</v>
      </c>
      <c r="E298" s="890" t="s">
        <v>101</v>
      </c>
      <c r="F298" s="891" t="s">
        <v>56</v>
      </c>
      <c r="G298" s="914"/>
      <c r="H298" s="914">
        <f>H281</f>
        <v>0</v>
      </c>
      <c r="I298" s="916"/>
      <c r="J298" s="1077">
        <f>J281</f>
        <v>0</v>
      </c>
      <c r="K298" s="420"/>
      <c r="L298" s="420"/>
      <c r="M298" s="420"/>
      <c r="N298" s="904"/>
      <c r="O298" s="420">
        <f>ROUND(G298*I298,2)+ROUND(H298*J298,2)-K298-L298-M298-N298</f>
        <v>0</v>
      </c>
      <c r="P298" s="420"/>
      <c r="Q298" s="420">
        <f>ROUND($O298*R298,2)</f>
        <v>0</v>
      </c>
      <c r="R298" s="893">
        <v>0.15</v>
      </c>
      <c r="S298" s="420">
        <f>ROUND($O298*T298,2)</f>
        <v>0</v>
      </c>
      <c r="T298" s="919">
        <v>3.7499999999999999E-2</v>
      </c>
    </row>
    <row r="299" spans="1:20" outlineLevel="1" x14ac:dyDescent="0.2">
      <c r="A299" s="894" t="s">
        <v>28</v>
      </c>
      <c r="B299" s="442" t="s">
        <v>303</v>
      </c>
      <c r="C299" s="378" t="s">
        <v>31</v>
      </c>
      <c r="D299" s="378" t="s">
        <v>30</v>
      </c>
      <c r="E299" s="378" t="s">
        <v>101</v>
      </c>
      <c r="F299" s="586" t="s">
        <v>56</v>
      </c>
      <c r="G299" s="587"/>
      <c r="H299" s="587">
        <f>H282</f>
        <v>0</v>
      </c>
      <c r="I299" s="588"/>
      <c r="J299" s="615">
        <f>J282</f>
        <v>0</v>
      </c>
      <c r="K299" s="253"/>
      <c r="L299" s="253"/>
      <c r="M299" s="253"/>
      <c r="N299" s="557"/>
      <c r="O299" s="253">
        <f>ROUND(G299*I299,2)+ROUND(H299*J299,2)-K299-L299-M299-N299</f>
        <v>0</v>
      </c>
      <c r="P299" s="253"/>
      <c r="Q299" s="253">
        <f>ROUND($O299*R299,2)</f>
        <v>0</v>
      </c>
      <c r="R299" s="775">
        <v>0.15</v>
      </c>
      <c r="S299" s="253">
        <f>ROUND($O299*T299,2)</f>
        <v>0</v>
      </c>
      <c r="T299" s="921">
        <v>3.7499999999999999E-2</v>
      </c>
    </row>
    <row r="300" spans="1:20" outlineLevel="1" x14ac:dyDescent="0.2">
      <c r="A300" s="894" t="s">
        <v>28</v>
      </c>
      <c r="B300" s="442" t="s">
        <v>303</v>
      </c>
      <c r="C300" s="378" t="s">
        <v>31</v>
      </c>
      <c r="D300" s="378" t="s">
        <v>30</v>
      </c>
      <c r="E300" s="378" t="s">
        <v>101</v>
      </c>
      <c r="F300" s="586" t="s">
        <v>56</v>
      </c>
      <c r="G300" s="587"/>
      <c r="H300" s="587">
        <f>H283</f>
        <v>0</v>
      </c>
      <c r="I300" s="588"/>
      <c r="J300" s="615">
        <f>J283</f>
        <v>0</v>
      </c>
      <c r="K300" s="253"/>
      <c r="L300" s="253"/>
      <c r="M300" s="253"/>
      <c r="N300" s="557"/>
      <c r="O300" s="253">
        <f>ROUND(G300*I300,2)+ROUND(H300*J300,2)-K300-L300-M300-N300</f>
        <v>0</v>
      </c>
      <c r="P300" s="253"/>
      <c r="Q300" s="253">
        <f>ROUND($O300*R300,2)</f>
        <v>0</v>
      </c>
      <c r="R300" s="775">
        <v>0.15</v>
      </c>
      <c r="S300" s="253">
        <f>ROUND($O300*T300,2)</f>
        <v>0</v>
      </c>
      <c r="T300" s="921">
        <v>3.7499999999999999E-2</v>
      </c>
    </row>
    <row r="301" spans="1:20" outlineLevel="1" x14ac:dyDescent="0.2">
      <c r="A301" s="894" t="s">
        <v>28</v>
      </c>
      <c r="B301" s="442" t="s">
        <v>303</v>
      </c>
      <c r="C301" s="378" t="s">
        <v>31</v>
      </c>
      <c r="D301" s="378" t="s">
        <v>30</v>
      </c>
      <c r="E301" s="378" t="s">
        <v>101</v>
      </c>
      <c r="F301" s="586" t="s">
        <v>56</v>
      </c>
      <c r="G301" s="587"/>
      <c r="H301" s="587">
        <f>H284</f>
        <v>0</v>
      </c>
      <c r="I301" s="588"/>
      <c r="J301" s="615">
        <f>J284</f>
        <v>0</v>
      </c>
      <c r="K301" s="253"/>
      <c r="L301" s="253"/>
      <c r="M301" s="253"/>
      <c r="N301" s="557"/>
      <c r="O301" s="253">
        <f>ROUND(G301*I301,2)+ROUND(H301*J301,2)-K301-L301-M301-N301</f>
        <v>0</v>
      </c>
      <c r="P301" s="253"/>
      <c r="Q301" s="253">
        <f>ROUND($O301*R301,2)</f>
        <v>0</v>
      </c>
      <c r="R301" s="775">
        <v>0.15</v>
      </c>
      <c r="S301" s="253">
        <f>ROUND($O301*T301,2)</f>
        <v>0</v>
      </c>
      <c r="T301" s="921">
        <v>3.7499999999999999E-2</v>
      </c>
    </row>
    <row r="302" spans="1:20" x14ac:dyDescent="0.2">
      <c r="A302" s="898" t="s">
        <v>28</v>
      </c>
      <c r="B302" s="445" t="s">
        <v>303</v>
      </c>
      <c r="C302" s="899" t="s">
        <v>31</v>
      </c>
      <c r="D302" s="899" t="s">
        <v>30</v>
      </c>
      <c r="E302" s="899" t="s">
        <v>101</v>
      </c>
      <c r="F302" s="740" t="s">
        <v>56</v>
      </c>
      <c r="G302" s="927"/>
      <c r="H302" s="927">
        <f>H285</f>
        <v>0</v>
      </c>
      <c r="I302" s="929"/>
      <c r="J302" s="1078">
        <f>J285</f>
        <v>0</v>
      </c>
      <c r="K302" s="424"/>
      <c r="L302" s="424"/>
      <c r="M302" s="424"/>
      <c r="N302" s="936"/>
      <c r="O302" s="424">
        <f>ROUND(G302*I302,2)+ROUND(H302*J302,2)-K302-L302-M302-N302</f>
        <v>0</v>
      </c>
      <c r="P302" s="424"/>
      <c r="Q302" s="424">
        <f>ROUND($O302*R302,2)</f>
        <v>0</v>
      </c>
      <c r="R302" s="901">
        <v>0.15</v>
      </c>
      <c r="S302" s="424">
        <f>ROUND($O302*T302,2)</f>
        <v>0</v>
      </c>
      <c r="T302" s="932">
        <v>3.7499999999999999E-2</v>
      </c>
    </row>
    <row r="303" spans="1:20" x14ac:dyDescent="0.2">
      <c r="A303" s="596"/>
      <c r="B303" s="596"/>
      <c r="C303" s="596"/>
      <c r="D303" s="596"/>
      <c r="E303" s="596"/>
      <c r="F303" s="596"/>
      <c r="G303" s="902"/>
      <c r="H303" s="902">
        <f>SUM(H298:H302)</f>
        <v>0</v>
      </c>
      <c r="I303" s="937"/>
      <c r="J303" s="937" t="e">
        <f>O303/H303</f>
        <v>#DIV/0!</v>
      </c>
      <c r="K303" s="677"/>
      <c r="L303" s="596"/>
      <c r="M303" s="596"/>
      <c r="N303" s="1059"/>
      <c r="O303" s="734">
        <f>SUM(O298:O302)</f>
        <v>0</v>
      </c>
      <c r="P303" s="734"/>
      <c r="Q303" s="734">
        <f>SUM(Q298:Q302)</f>
        <v>0</v>
      </c>
      <c r="R303" s="596"/>
      <c r="S303" s="734">
        <f>SUM(S298:S302)</f>
        <v>0</v>
      </c>
      <c r="T303" s="596"/>
    </row>
  </sheetData>
  <mergeCells count="2">
    <mergeCell ref="O7:O8"/>
    <mergeCell ref="C7:C8"/>
  </mergeCells>
  <phoneticPr fontId="0" type="noConversion"/>
  <printOptions horizontalCentered="1" verticalCentered="1"/>
  <pageMargins left="0.25" right="0.25" top="0.5" bottom="0.25" header="0" footer="0"/>
  <pageSetup paperSize="9" scale="57"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T74"/>
  <sheetViews>
    <sheetView view="pageBreakPreview" topLeftCell="A47" zoomScale="55" zoomScaleNormal="95" zoomScaleSheetLayoutView="55" workbookViewId="0">
      <pane xSplit="2" topLeftCell="C1" activePane="topRight" state="frozen"/>
      <selection activeCell="F44" sqref="F44"/>
      <selection pane="topRight" activeCell="F44" sqref="F44"/>
    </sheetView>
  </sheetViews>
  <sheetFormatPr baseColWidth="10" defaultColWidth="8.77734375" defaultRowHeight="12.75" x14ac:dyDescent="0.2"/>
  <cols>
    <col min="1" max="1" width="3" style="1" customWidth="1"/>
    <col min="2" max="2" width="15.5546875" style="1" customWidth="1"/>
    <col min="3" max="3" width="7.77734375" style="1" customWidth="1"/>
    <col min="4" max="4" width="8.109375" style="1" customWidth="1"/>
    <col min="5" max="5" width="9.109375" style="1" customWidth="1"/>
    <col min="6" max="6" width="8.44140625" style="1" customWidth="1"/>
    <col min="7" max="8" width="11.21875" style="199" customWidth="1"/>
    <col min="9" max="11" width="10.44140625" style="199" customWidth="1"/>
    <col min="12" max="14" width="10.44140625" style="1" customWidth="1"/>
    <col min="15" max="15" width="18.21875" style="1" customWidth="1"/>
    <col min="16" max="16" width="14.109375" style="1" customWidth="1"/>
    <col min="17" max="17" width="13.77734375" style="1" customWidth="1"/>
    <col min="18" max="18" width="5.77734375" style="1" customWidth="1"/>
    <col min="19" max="19" width="11.77734375" style="1" customWidth="1"/>
    <col min="20" max="20" width="5.77734375" style="1" customWidth="1"/>
    <col min="21" max="16384" width="8.77734375" style="1"/>
  </cols>
  <sheetData>
    <row r="1" spans="1:20" ht="12.75" customHeight="1" x14ac:dyDescent="0.2">
      <c r="A1" s="1" t="s">
        <v>51</v>
      </c>
      <c r="C1" s="3"/>
      <c r="D1" s="3"/>
      <c r="E1" s="6">
        <v>45901</v>
      </c>
      <c r="F1" s="462" t="s">
        <v>391</v>
      </c>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tr">
        <f>"Correspondiente a  "&amp;TEXT(E1,"MMMMMMM YYYY")</f>
        <v>Correspondiente a  Setiembre 2025</v>
      </c>
      <c r="B4" s="132"/>
      <c r="C4" s="132"/>
      <c r="D4" s="132"/>
      <c r="E4" s="132"/>
      <c r="F4" s="132"/>
      <c r="G4" s="132"/>
      <c r="H4" s="132"/>
      <c r="I4" s="132"/>
      <c r="J4" s="132"/>
      <c r="K4" s="132"/>
      <c r="L4" s="132"/>
      <c r="M4" s="132"/>
      <c r="N4" s="132"/>
      <c r="O4" s="132"/>
      <c r="P4" s="132"/>
      <c r="Q4" s="132"/>
      <c r="R4" s="132"/>
      <c r="S4" s="132"/>
      <c r="T4" s="132"/>
    </row>
    <row r="5" spans="1:20" x14ac:dyDescent="0.2">
      <c r="A5" s="132" t="str">
        <f>"Tipo de Cambio= "&amp;TEXT(F1,"0.000")</f>
        <v>Tipo de Cambio= 3.378</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c r="H10" s="215"/>
      <c r="I10" s="217"/>
      <c r="J10" s="217"/>
      <c r="K10" s="222"/>
      <c r="L10" s="222"/>
      <c r="M10" s="222"/>
      <c r="N10" s="386"/>
      <c r="O10" s="215">
        <f t="shared" ref="O10:O32" si="0">ROUND(G10*I10,2)+ROUND(H10*J10,2)-K10-L10-M10-N10</f>
        <v>0</v>
      </c>
      <c r="P10" s="222">
        <f>ROUND(18.75%*O10,2)</f>
        <v>0</v>
      </c>
      <c r="Q10" s="222">
        <f>ROUND($O10*R10,2)</f>
        <v>0</v>
      </c>
      <c r="R10" s="223">
        <v>0.15</v>
      </c>
      <c r="S10" s="222">
        <f t="shared" ref="S10:S32" si="1">ROUND($O10*T10,2)</f>
        <v>0</v>
      </c>
      <c r="T10" s="258">
        <v>3.7499999999999999E-2</v>
      </c>
    </row>
    <row r="11" spans="1:20" ht="12.75" customHeight="1" x14ac:dyDescent="0.2">
      <c r="A11" s="23" t="s">
        <v>28</v>
      </c>
      <c r="B11" s="24" t="s">
        <v>14</v>
      </c>
      <c r="C11" s="57" t="s">
        <v>31</v>
      </c>
      <c r="D11" s="25" t="s">
        <v>30</v>
      </c>
      <c r="E11" s="57" t="s">
        <v>101</v>
      </c>
      <c r="F11" s="236" t="s">
        <v>56</v>
      </c>
      <c r="G11" s="215"/>
      <c r="H11" s="215"/>
      <c r="I11" s="217"/>
      <c r="J11" s="217"/>
      <c r="K11" s="222"/>
      <c r="L11" s="222"/>
      <c r="M11" s="222"/>
      <c r="N11" s="386"/>
      <c r="O11" s="215">
        <f t="shared" si="0"/>
        <v>0</v>
      </c>
      <c r="P11" s="222">
        <f t="shared" ref="P11:P22" si="2">ROUND(18.75%*O11,2)</f>
        <v>0</v>
      </c>
      <c r="Q11" s="222">
        <f t="shared" ref="Q11:Q22" si="3">ROUND($O11*R11,2)</f>
        <v>0</v>
      </c>
      <c r="R11" s="223">
        <v>0.15</v>
      </c>
      <c r="S11" s="222">
        <f t="shared" si="1"/>
        <v>0</v>
      </c>
      <c r="T11" s="258">
        <v>3.7499999999999999E-2</v>
      </c>
    </row>
    <row r="12" spans="1:20" x14ac:dyDescent="0.2">
      <c r="A12" s="23" t="s">
        <v>28</v>
      </c>
      <c r="B12" s="24" t="s">
        <v>3</v>
      </c>
      <c r="C12" s="57" t="s">
        <v>31</v>
      </c>
      <c r="D12" s="25" t="s">
        <v>30</v>
      </c>
      <c r="E12" s="57" t="s">
        <v>101</v>
      </c>
      <c r="F12" s="236" t="s">
        <v>37</v>
      </c>
      <c r="G12" s="215"/>
      <c r="H12" s="215"/>
      <c r="I12" s="217"/>
      <c r="J12" s="217"/>
      <c r="K12" s="222"/>
      <c r="L12" s="222"/>
      <c r="M12" s="222"/>
      <c r="N12" s="386"/>
      <c r="O12" s="215">
        <f t="shared" si="0"/>
        <v>0</v>
      </c>
      <c r="P12" s="222">
        <f t="shared" si="2"/>
        <v>0</v>
      </c>
      <c r="Q12" s="222">
        <f>ROUND($O12*R12,2)</f>
        <v>0</v>
      </c>
      <c r="R12" s="223">
        <v>0.15</v>
      </c>
      <c r="S12" s="222">
        <f t="shared" si="1"/>
        <v>0</v>
      </c>
      <c r="T12" s="258">
        <v>3.7499999999999999E-2</v>
      </c>
    </row>
    <row r="13" spans="1:20" x14ac:dyDescent="0.2">
      <c r="A13" s="242" t="s">
        <v>28</v>
      </c>
      <c r="B13" s="245" t="s">
        <v>369</v>
      </c>
      <c r="C13" s="57" t="s">
        <v>31</v>
      </c>
      <c r="D13" s="25" t="s">
        <v>30</v>
      </c>
      <c r="E13" s="57" t="s">
        <v>101</v>
      </c>
      <c r="F13" s="236" t="s">
        <v>56</v>
      </c>
      <c r="G13" s="215"/>
      <c r="H13" s="215"/>
      <c r="I13" s="217"/>
      <c r="J13" s="217"/>
      <c r="K13" s="222"/>
      <c r="L13" s="222"/>
      <c r="M13" s="222"/>
      <c r="N13" s="386"/>
      <c r="O13" s="215">
        <f>ROUND(G13*I13,2)+ROUND(H13*J13,2)-K13-L13-M13-N13</f>
        <v>0</v>
      </c>
      <c r="P13" s="222">
        <f t="shared" si="2"/>
        <v>0</v>
      </c>
      <c r="Q13" s="222">
        <f>ROUND($O13*R13,2)</f>
        <v>0</v>
      </c>
      <c r="R13" s="223">
        <v>0.15</v>
      </c>
      <c r="S13" s="222">
        <f t="shared" si="1"/>
        <v>0</v>
      </c>
      <c r="T13" s="258">
        <v>3.7499999999999999E-2</v>
      </c>
    </row>
    <row r="14" spans="1:20" x14ac:dyDescent="0.2">
      <c r="A14" s="23" t="s">
        <v>28</v>
      </c>
      <c r="B14" s="24" t="s">
        <v>4</v>
      </c>
      <c r="C14" s="57" t="s">
        <v>31</v>
      </c>
      <c r="D14" s="25" t="s">
        <v>30</v>
      </c>
      <c r="E14" s="57" t="s">
        <v>101</v>
      </c>
      <c r="F14" s="236" t="s">
        <v>37</v>
      </c>
      <c r="G14" s="215"/>
      <c r="H14" s="215"/>
      <c r="I14" s="217"/>
      <c r="J14" s="217"/>
      <c r="K14" s="222"/>
      <c r="L14" s="222"/>
      <c r="M14" s="222"/>
      <c r="N14" s="386"/>
      <c r="O14" s="215">
        <f t="shared" si="0"/>
        <v>0</v>
      </c>
      <c r="P14" s="222">
        <f t="shared" si="2"/>
        <v>0</v>
      </c>
      <c r="Q14" s="222">
        <f t="shared" si="3"/>
        <v>0</v>
      </c>
      <c r="R14" s="223">
        <v>0.15</v>
      </c>
      <c r="S14" s="222">
        <f t="shared" si="1"/>
        <v>0</v>
      </c>
      <c r="T14" s="258">
        <v>3.7499999999999999E-2</v>
      </c>
    </row>
    <row r="15" spans="1:20" x14ac:dyDescent="0.2">
      <c r="A15" s="23" t="s">
        <v>28</v>
      </c>
      <c r="B15" s="377" t="s">
        <v>370</v>
      </c>
      <c r="C15" s="57" t="s">
        <v>31</v>
      </c>
      <c r="D15" s="25" t="s">
        <v>30</v>
      </c>
      <c r="E15" s="57" t="s">
        <v>101</v>
      </c>
      <c r="F15" s="236" t="s">
        <v>56</v>
      </c>
      <c r="G15" s="215"/>
      <c r="H15" s="215"/>
      <c r="I15" s="217"/>
      <c r="J15" s="217"/>
      <c r="K15" s="222"/>
      <c r="L15" s="222"/>
      <c r="M15" s="222"/>
      <c r="N15" s="222"/>
      <c r="O15" s="224">
        <f t="shared" si="0"/>
        <v>0</v>
      </c>
      <c r="P15" s="222">
        <f t="shared" si="2"/>
        <v>0</v>
      </c>
      <c r="Q15" s="222">
        <f t="shared" si="3"/>
        <v>0</v>
      </c>
      <c r="R15" s="223">
        <v>0.15</v>
      </c>
      <c r="S15" s="222">
        <f t="shared" si="1"/>
        <v>0</v>
      </c>
      <c r="T15" s="258">
        <v>3.7499999999999999E-2</v>
      </c>
    </row>
    <row r="16" spans="1:20" x14ac:dyDescent="0.2">
      <c r="A16" s="23" t="s">
        <v>28</v>
      </c>
      <c r="B16" s="24" t="s">
        <v>5</v>
      </c>
      <c r="C16" s="57" t="s">
        <v>31</v>
      </c>
      <c r="D16" s="25" t="s">
        <v>30</v>
      </c>
      <c r="E16" s="57" t="s">
        <v>101</v>
      </c>
      <c r="F16" s="236" t="s">
        <v>37</v>
      </c>
      <c r="G16" s="215"/>
      <c r="H16" s="215"/>
      <c r="I16" s="217"/>
      <c r="J16" s="217"/>
      <c r="K16" s="222"/>
      <c r="L16" s="222"/>
      <c r="M16" s="222"/>
      <c r="N16" s="386"/>
      <c r="O16" s="215">
        <f t="shared" si="0"/>
        <v>0</v>
      </c>
      <c r="P16" s="222">
        <f t="shared" si="2"/>
        <v>0</v>
      </c>
      <c r="Q16" s="222">
        <f t="shared" si="3"/>
        <v>0</v>
      </c>
      <c r="R16" s="223">
        <v>0.15</v>
      </c>
      <c r="S16" s="222">
        <f t="shared" si="1"/>
        <v>0</v>
      </c>
      <c r="T16" s="258">
        <v>3.7499999999999999E-2</v>
      </c>
    </row>
    <row r="17" spans="1:20" x14ac:dyDescent="0.2">
      <c r="A17" s="23" t="s">
        <v>28</v>
      </c>
      <c r="B17" s="24" t="s">
        <v>371</v>
      </c>
      <c r="C17" s="57" t="s">
        <v>31</v>
      </c>
      <c r="D17" s="25" t="s">
        <v>30</v>
      </c>
      <c r="E17" s="57" t="s">
        <v>101</v>
      </c>
      <c r="F17" s="236" t="s">
        <v>37</v>
      </c>
      <c r="G17" s="215"/>
      <c r="H17" s="215"/>
      <c r="I17" s="217"/>
      <c r="J17" s="217"/>
      <c r="K17" s="222"/>
      <c r="L17" s="222"/>
      <c r="M17" s="222"/>
      <c r="N17" s="386"/>
      <c r="O17" s="215">
        <f t="shared" si="0"/>
        <v>0</v>
      </c>
      <c r="P17" s="222">
        <f t="shared" si="2"/>
        <v>0</v>
      </c>
      <c r="Q17" s="222">
        <f t="shared" si="3"/>
        <v>0</v>
      </c>
      <c r="R17" s="223">
        <v>0.15</v>
      </c>
      <c r="S17" s="222">
        <f t="shared" si="1"/>
        <v>0</v>
      </c>
      <c r="T17" s="258">
        <v>3.7499999999999999E-2</v>
      </c>
    </row>
    <row r="18" spans="1:20" x14ac:dyDescent="0.2">
      <c r="A18" s="23" t="s">
        <v>28</v>
      </c>
      <c r="B18" s="24" t="s">
        <v>17</v>
      </c>
      <c r="C18" s="57" t="s">
        <v>31</v>
      </c>
      <c r="D18" s="25" t="s">
        <v>30</v>
      </c>
      <c r="E18" s="57" t="s">
        <v>101</v>
      </c>
      <c r="F18" s="236" t="s">
        <v>37</v>
      </c>
      <c r="G18" s="215"/>
      <c r="H18" s="215"/>
      <c r="I18" s="217"/>
      <c r="J18" s="217"/>
      <c r="K18" s="222"/>
      <c r="L18" s="222"/>
      <c r="M18" s="222"/>
      <c r="N18" s="386"/>
      <c r="O18" s="224">
        <f t="shared" si="0"/>
        <v>0</v>
      </c>
      <c r="P18" s="222">
        <f t="shared" si="2"/>
        <v>0</v>
      </c>
      <c r="Q18" s="222">
        <f t="shared" si="3"/>
        <v>0</v>
      </c>
      <c r="R18" s="223">
        <v>0.15</v>
      </c>
      <c r="S18" s="222">
        <f t="shared" si="1"/>
        <v>0</v>
      </c>
      <c r="T18" s="258">
        <v>3.7499999999999999E-2</v>
      </c>
    </row>
    <row r="19" spans="1:20" x14ac:dyDescent="0.2">
      <c r="A19" s="376" t="s">
        <v>28</v>
      </c>
      <c r="B19" s="377" t="s">
        <v>237</v>
      </c>
      <c r="C19" s="57" t="s">
        <v>31</v>
      </c>
      <c r="D19" s="25" t="s">
        <v>30</v>
      </c>
      <c r="E19" s="57" t="s">
        <v>101</v>
      </c>
      <c r="F19" s="236" t="s">
        <v>37</v>
      </c>
      <c r="G19" s="215"/>
      <c r="H19" s="215"/>
      <c r="I19" s="216"/>
      <c r="J19" s="217"/>
      <c r="K19" s="222"/>
      <c r="L19" s="222"/>
      <c r="M19" s="222"/>
      <c r="N19" s="386"/>
      <c r="O19" s="224">
        <f t="shared" si="0"/>
        <v>0</v>
      </c>
      <c r="P19" s="222">
        <f t="shared" si="2"/>
        <v>0</v>
      </c>
      <c r="Q19" s="222">
        <f t="shared" si="3"/>
        <v>0</v>
      </c>
      <c r="R19" s="223">
        <v>0.15</v>
      </c>
      <c r="S19" s="222">
        <f t="shared" si="1"/>
        <v>0</v>
      </c>
      <c r="T19" s="258">
        <v>3.7499999999999999E-2</v>
      </c>
    </row>
    <row r="20" spans="1:20" x14ac:dyDescent="0.2">
      <c r="A20" s="376" t="s">
        <v>28</v>
      </c>
      <c r="B20" s="377" t="s">
        <v>239</v>
      </c>
      <c r="C20" s="57" t="s">
        <v>31</v>
      </c>
      <c r="D20" s="25" t="s">
        <v>30</v>
      </c>
      <c r="E20" s="57" t="s">
        <v>101</v>
      </c>
      <c r="F20" s="236" t="s">
        <v>56</v>
      </c>
      <c r="G20" s="215"/>
      <c r="H20" s="215"/>
      <c r="I20" s="216"/>
      <c r="J20" s="217"/>
      <c r="K20" s="222"/>
      <c r="L20" s="222"/>
      <c r="M20" s="222"/>
      <c r="N20" s="386"/>
      <c r="O20" s="224">
        <f t="shared" si="0"/>
        <v>0</v>
      </c>
      <c r="P20" s="222">
        <f t="shared" si="2"/>
        <v>0</v>
      </c>
      <c r="Q20" s="222">
        <f t="shared" si="3"/>
        <v>0</v>
      </c>
      <c r="R20" s="223">
        <v>0.15</v>
      </c>
      <c r="S20" s="222">
        <f t="shared" si="1"/>
        <v>0</v>
      </c>
      <c r="T20" s="258">
        <v>3.7499999999999999E-2</v>
      </c>
    </row>
    <row r="21" spans="1:20" x14ac:dyDescent="0.2">
      <c r="A21" s="376" t="s">
        <v>28</v>
      </c>
      <c r="B21" s="377" t="s">
        <v>238</v>
      </c>
      <c r="C21" s="57" t="s">
        <v>31</v>
      </c>
      <c r="D21" s="25" t="s">
        <v>30</v>
      </c>
      <c r="E21" s="57" t="s">
        <v>101</v>
      </c>
      <c r="F21" s="236" t="s">
        <v>37</v>
      </c>
      <c r="G21" s="215"/>
      <c r="H21" s="215"/>
      <c r="I21" s="216"/>
      <c r="J21" s="217"/>
      <c r="K21" s="222"/>
      <c r="L21" s="222"/>
      <c r="M21" s="222"/>
      <c r="N21" s="386"/>
      <c r="O21" s="224">
        <f t="shared" si="0"/>
        <v>0</v>
      </c>
      <c r="P21" s="222">
        <f t="shared" si="2"/>
        <v>0</v>
      </c>
      <c r="Q21" s="222">
        <f t="shared" si="3"/>
        <v>0</v>
      </c>
      <c r="R21" s="223">
        <v>0.15</v>
      </c>
      <c r="S21" s="222">
        <f t="shared" si="1"/>
        <v>0</v>
      </c>
      <c r="T21" s="258">
        <v>3.7499999999999999E-2</v>
      </c>
    </row>
    <row r="22" spans="1:20" x14ac:dyDescent="0.2">
      <c r="A22" s="23" t="s">
        <v>28</v>
      </c>
      <c r="B22" s="24" t="s">
        <v>18</v>
      </c>
      <c r="C22" s="57" t="s">
        <v>31</v>
      </c>
      <c r="D22" s="25" t="s">
        <v>30</v>
      </c>
      <c r="E22" s="57" t="s">
        <v>101</v>
      </c>
      <c r="F22" s="236" t="s">
        <v>37</v>
      </c>
      <c r="G22" s="215"/>
      <c r="H22" s="215"/>
      <c r="I22" s="217"/>
      <c r="J22" s="217"/>
      <c r="K22" s="222"/>
      <c r="L22" s="222"/>
      <c r="M22" s="222"/>
      <c r="N22" s="386"/>
      <c r="O22" s="224">
        <f t="shared" si="0"/>
        <v>0</v>
      </c>
      <c r="P22" s="222">
        <f t="shared" si="2"/>
        <v>0</v>
      </c>
      <c r="Q22" s="222">
        <f t="shared" si="3"/>
        <v>0</v>
      </c>
      <c r="R22" s="223">
        <v>0.15</v>
      </c>
      <c r="S22" s="222">
        <f t="shared" si="1"/>
        <v>0</v>
      </c>
      <c r="T22" s="258">
        <v>3.7499999999999999E-2</v>
      </c>
    </row>
    <row r="23" spans="1:20" x14ac:dyDescent="0.2">
      <c r="A23" s="23" t="s">
        <v>28</v>
      </c>
      <c r="B23" s="24" t="s">
        <v>20</v>
      </c>
      <c r="C23" s="57" t="s">
        <v>31</v>
      </c>
      <c r="D23" s="25" t="s">
        <v>30</v>
      </c>
      <c r="E23" s="57" t="s">
        <v>101</v>
      </c>
      <c r="F23" s="236" t="s">
        <v>37</v>
      </c>
      <c r="G23" s="587"/>
      <c r="H23" s="587"/>
      <c r="I23" s="615"/>
      <c r="J23" s="371"/>
      <c r="K23" s="222"/>
      <c r="L23" s="222"/>
      <c r="M23" s="222"/>
      <c r="N23" s="386"/>
      <c r="O23" s="224">
        <f t="shared" si="0"/>
        <v>0</v>
      </c>
      <c r="P23" s="222">
        <f t="shared" ref="P23:P32" si="4">ROUND(18.75%*O23,2)</f>
        <v>0</v>
      </c>
      <c r="Q23" s="222">
        <f t="shared" ref="Q23:Q32" si="5">ROUND($O23*R23,2)</f>
        <v>0</v>
      </c>
      <c r="R23" s="223">
        <v>0.15</v>
      </c>
      <c r="S23" s="222">
        <f t="shared" si="1"/>
        <v>0</v>
      </c>
      <c r="T23" s="258">
        <v>3.7499999999999999E-2</v>
      </c>
    </row>
    <row r="24" spans="1:20" x14ac:dyDescent="0.2">
      <c r="A24" s="23" t="s">
        <v>28</v>
      </c>
      <c r="B24" s="24" t="s">
        <v>372</v>
      </c>
      <c r="C24" s="57" t="s">
        <v>31</v>
      </c>
      <c r="D24" s="25" t="s">
        <v>30</v>
      </c>
      <c r="E24" s="57" t="s">
        <v>101</v>
      </c>
      <c r="F24" s="236" t="s">
        <v>56</v>
      </c>
      <c r="G24" s="215"/>
      <c r="H24" s="215"/>
      <c r="I24" s="217"/>
      <c r="J24" s="217"/>
      <c r="K24" s="222"/>
      <c r="L24" s="222"/>
      <c r="M24" s="222"/>
      <c r="N24" s="386"/>
      <c r="O24" s="224">
        <f t="shared" si="0"/>
        <v>0</v>
      </c>
      <c r="P24" s="222">
        <f t="shared" si="4"/>
        <v>0</v>
      </c>
      <c r="Q24" s="222">
        <f t="shared" si="5"/>
        <v>0</v>
      </c>
      <c r="R24" s="223">
        <v>0.15</v>
      </c>
      <c r="S24" s="222">
        <f t="shared" si="1"/>
        <v>0</v>
      </c>
      <c r="T24" s="258">
        <v>3.7499999999999999E-2</v>
      </c>
    </row>
    <row r="25" spans="1:20" x14ac:dyDescent="0.2">
      <c r="A25" s="23" t="s">
        <v>28</v>
      </c>
      <c r="B25" s="24" t="s">
        <v>9</v>
      </c>
      <c r="C25" s="57" t="s">
        <v>31</v>
      </c>
      <c r="D25" s="25" t="s">
        <v>30</v>
      </c>
      <c r="E25" s="57" t="s">
        <v>101</v>
      </c>
      <c r="F25" s="236" t="s">
        <v>37</v>
      </c>
      <c r="G25" s="215"/>
      <c r="H25" s="215"/>
      <c r="I25" s="217"/>
      <c r="J25" s="217"/>
      <c r="K25" s="222"/>
      <c r="L25" s="222"/>
      <c r="M25" s="222"/>
      <c r="N25" s="386"/>
      <c r="O25" s="224">
        <f t="shared" si="0"/>
        <v>0</v>
      </c>
      <c r="P25" s="222">
        <f t="shared" si="4"/>
        <v>0</v>
      </c>
      <c r="Q25" s="222">
        <f t="shared" si="5"/>
        <v>0</v>
      </c>
      <c r="R25" s="223">
        <v>0.15</v>
      </c>
      <c r="S25" s="222">
        <f t="shared" si="1"/>
        <v>0</v>
      </c>
      <c r="T25" s="258">
        <v>3.7499999999999999E-2</v>
      </c>
    </row>
    <row r="26" spans="1:20" x14ac:dyDescent="0.2">
      <c r="A26" s="23" t="s">
        <v>28</v>
      </c>
      <c r="B26" s="24" t="s">
        <v>165</v>
      </c>
      <c r="C26" s="57" t="s">
        <v>31</v>
      </c>
      <c r="D26" s="25" t="s">
        <v>30</v>
      </c>
      <c r="E26" s="57" t="s">
        <v>101</v>
      </c>
      <c r="F26" s="236" t="s">
        <v>37</v>
      </c>
      <c r="G26" s="215"/>
      <c r="H26" s="215"/>
      <c r="I26" s="217"/>
      <c r="J26" s="217"/>
      <c r="K26" s="222"/>
      <c r="L26" s="222"/>
      <c r="M26" s="222"/>
      <c r="N26" s="386"/>
      <c r="O26" s="224">
        <f t="shared" si="0"/>
        <v>0</v>
      </c>
      <c r="P26" s="222">
        <f t="shared" si="4"/>
        <v>0</v>
      </c>
      <c r="Q26" s="222">
        <f t="shared" si="5"/>
        <v>0</v>
      </c>
      <c r="R26" s="223">
        <v>0.15</v>
      </c>
      <c r="S26" s="222">
        <f t="shared" si="1"/>
        <v>0</v>
      </c>
      <c r="T26" s="258">
        <v>3.7499999999999999E-2</v>
      </c>
    </row>
    <row r="27" spans="1:20" x14ac:dyDescent="0.2">
      <c r="A27" s="23" t="s">
        <v>28</v>
      </c>
      <c r="B27" s="24" t="s">
        <v>157</v>
      </c>
      <c r="C27" s="57" t="s">
        <v>31</v>
      </c>
      <c r="D27" s="25" t="s">
        <v>30</v>
      </c>
      <c r="E27" s="57" t="s">
        <v>101</v>
      </c>
      <c r="F27" s="236" t="s">
        <v>56</v>
      </c>
      <c r="G27" s="386"/>
      <c r="H27" s="386"/>
      <c r="I27" s="216"/>
      <c r="J27" s="216"/>
      <c r="K27" s="222"/>
      <c r="L27" s="222"/>
      <c r="M27" s="222"/>
      <c r="N27" s="386"/>
      <c r="O27" s="589" t="e">
        <f>#REF!</f>
        <v>#REF!</v>
      </c>
      <c r="P27" s="589" t="e">
        <f>#REF!</f>
        <v>#REF!</v>
      </c>
      <c r="Q27" s="589" t="e">
        <f>#REF!</f>
        <v>#REF!</v>
      </c>
      <c r="R27" s="590">
        <v>0.15</v>
      </c>
      <c r="S27" s="589" t="e">
        <f>#REF!</f>
        <v>#REF!</v>
      </c>
      <c r="T27" s="258">
        <v>3.7499999999999999E-2</v>
      </c>
    </row>
    <row r="28" spans="1:20" x14ac:dyDescent="0.2">
      <c r="A28" s="23" t="s">
        <v>28</v>
      </c>
      <c r="B28" s="24" t="s">
        <v>170</v>
      </c>
      <c r="C28" s="57" t="s">
        <v>31</v>
      </c>
      <c r="D28" s="25" t="s">
        <v>30</v>
      </c>
      <c r="E28" s="57" t="s">
        <v>101</v>
      </c>
      <c r="F28" s="236" t="s">
        <v>37</v>
      </c>
      <c r="G28" s="215"/>
      <c r="H28" s="215"/>
      <c r="I28" s="217"/>
      <c r="J28" s="217"/>
      <c r="K28" s="222"/>
      <c r="L28" s="222"/>
      <c r="M28" s="222"/>
      <c r="N28" s="386"/>
      <c r="O28" s="224">
        <f t="shared" si="0"/>
        <v>0</v>
      </c>
      <c r="P28" s="222">
        <f t="shared" si="4"/>
        <v>0</v>
      </c>
      <c r="Q28" s="222">
        <f t="shared" si="5"/>
        <v>0</v>
      </c>
      <c r="R28" s="258">
        <v>3.7499999999999999E-2</v>
      </c>
      <c r="S28" s="222">
        <f t="shared" si="1"/>
        <v>0</v>
      </c>
      <c r="T28" s="223">
        <v>0.15</v>
      </c>
    </row>
    <row r="29" spans="1:20" x14ac:dyDescent="0.2">
      <c r="A29" s="23" t="s">
        <v>28</v>
      </c>
      <c r="B29" s="24" t="s">
        <v>368</v>
      </c>
      <c r="C29" s="57" t="s">
        <v>31</v>
      </c>
      <c r="D29" s="25" t="s">
        <v>30</v>
      </c>
      <c r="E29" s="57" t="s">
        <v>101</v>
      </c>
      <c r="F29" s="236" t="s">
        <v>37</v>
      </c>
      <c r="G29" s="215"/>
      <c r="H29" s="215"/>
      <c r="I29" s="217"/>
      <c r="J29" s="217"/>
      <c r="K29" s="222"/>
      <c r="L29" s="222"/>
      <c r="M29" s="222"/>
      <c r="N29" s="386"/>
      <c r="O29" s="224">
        <f t="shared" si="0"/>
        <v>0</v>
      </c>
      <c r="P29" s="222">
        <f t="shared" si="4"/>
        <v>0</v>
      </c>
      <c r="Q29" s="222">
        <f t="shared" si="5"/>
        <v>0</v>
      </c>
      <c r="R29" s="258">
        <v>3.7499999999999999E-2</v>
      </c>
      <c r="S29" s="222">
        <f t="shared" si="1"/>
        <v>0</v>
      </c>
      <c r="T29" s="223">
        <v>0.15</v>
      </c>
    </row>
    <row r="30" spans="1:20" x14ac:dyDescent="0.2">
      <c r="A30" s="26" t="s">
        <v>28</v>
      </c>
      <c r="B30" s="29" t="s">
        <v>302</v>
      </c>
      <c r="C30" s="57" t="s">
        <v>31</v>
      </c>
      <c r="D30" s="25" t="s">
        <v>30</v>
      </c>
      <c r="E30" s="57" t="s">
        <v>101</v>
      </c>
      <c r="F30" s="236" t="s">
        <v>37</v>
      </c>
      <c r="G30" s="386"/>
      <c r="H30" s="386"/>
      <c r="I30" s="217"/>
      <c r="J30" s="216"/>
      <c r="K30" s="215"/>
      <c r="L30" s="222"/>
      <c r="M30" s="222"/>
      <c r="N30" s="386"/>
      <c r="O30" s="224">
        <f t="shared" si="0"/>
        <v>0</v>
      </c>
      <c r="P30" s="222">
        <f t="shared" si="4"/>
        <v>0</v>
      </c>
      <c r="Q30" s="222">
        <f t="shared" si="5"/>
        <v>0</v>
      </c>
      <c r="R30" s="248">
        <v>0.15</v>
      </c>
      <c r="S30" s="222">
        <f t="shared" si="1"/>
        <v>0</v>
      </c>
      <c r="T30" s="258">
        <v>3.7499999999999999E-2</v>
      </c>
    </row>
    <row r="31" spans="1:20" x14ac:dyDescent="0.2">
      <c r="A31" s="26" t="s">
        <v>28</v>
      </c>
      <c r="B31" s="29" t="s">
        <v>303</v>
      </c>
      <c r="C31" s="57" t="s">
        <v>31</v>
      </c>
      <c r="D31" s="25" t="s">
        <v>30</v>
      </c>
      <c r="E31" s="57" t="s">
        <v>101</v>
      </c>
      <c r="F31" s="236" t="s">
        <v>56</v>
      </c>
      <c r="G31" s="386"/>
      <c r="H31" s="386"/>
      <c r="I31" s="216"/>
      <c r="J31" s="216"/>
      <c r="K31" s="215"/>
      <c r="L31" s="222"/>
      <c r="M31" s="222"/>
      <c r="N31" s="386"/>
      <c r="O31" s="224" t="e">
        <f>#REF!</f>
        <v>#REF!</v>
      </c>
      <c r="P31" s="224" t="e">
        <f>#REF!</f>
        <v>#REF!</v>
      </c>
      <c r="Q31" s="224" t="e">
        <f>#REF!</f>
        <v>#REF!</v>
      </c>
      <c r="R31" s="248">
        <v>0.15</v>
      </c>
      <c r="S31" s="224" t="e">
        <f>#REF!</f>
        <v>#REF!</v>
      </c>
      <c r="T31" s="258">
        <v>3.7499999999999999E-2</v>
      </c>
    </row>
    <row r="32" spans="1:20" x14ac:dyDescent="0.2">
      <c r="A32" s="26" t="s">
        <v>28</v>
      </c>
      <c r="B32" s="29" t="s">
        <v>304</v>
      </c>
      <c r="C32" s="57" t="s">
        <v>31</v>
      </c>
      <c r="D32" s="25" t="s">
        <v>30</v>
      </c>
      <c r="E32" s="57" t="s">
        <v>101</v>
      </c>
      <c r="F32" s="236" t="s">
        <v>37</v>
      </c>
      <c r="G32" s="386"/>
      <c r="H32" s="386"/>
      <c r="I32" s="217"/>
      <c r="J32" s="217"/>
      <c r="K32" s="215"/>
      <c r="L32" s="222"/>
      <c r="M32" s="222"/>
      <c r="N32" s="386"/>
      <c r="O32" s="224">
        <f t="shared" si="0"/>
        <v>0</v>
      </c>
      <c r="P32" s="222">
        <f t="shared" si="4"/>
        <v>0</v>
      </c>
      <c r="Q32" s="222">
        <f t="shared" si="5"/>
        <v>0</v>
      </c>
      <c r="R32" s="248">
        <v>0.15</v>
      </c>
      <c r="S32" s="222">
        <f t="shared" si="1"/>
        <v>0</v>
      </c>
      <c r="T32" s="258">
        <v>3.7499999999999999E-2</v>
      </c>
    </row>
    <row r="33" spans="1:20" x14ac:dyDescent="0.2">
      <c r="A33" s="26" t="s">
        <v>28</v>
      </c>
      <c r="B33" s="29" t="s">
        <v>52</v>
      </c>
      <c r="C33" s="56"/>
      <c r="D33" s="56"/>
      <c r="E33" s="27"/>
      <c r="F33" s="236"/>
      <c r="G33" s="222"/>
      <c r="H33" s="222"/>
      <c r="I33" s="216"/>
      <c r="J33" s="216"/>
      <c r="K33" s="222"/>
      <c r="L33" s="222"/>
      <c r="M33" s="577"/>
      <c r="N33" s="222"/>
      <c r="O33" s="224"/>
      <c r="P33" s="224"/>
      <c r="Q33" s="224"/>
      <c r="R33" s="248"/>
      <c r="S33" s="224"/>
      <c r="T33" s="223"/>
    </row>
    <row r="34" spans="1:20" x14ac:dyDescent="0.2">
      <c r="A34" s="30"/>
      <c r="B34" s="153" t="s">
        <v>108</v>
      </c>
      <c r="C34" s="31" t="str">
        <f>TEXT(A$9,)&amp;" US$"</f>
        <v>Piura / Tumbes US$</v>
      </c>
      <c r="D34" s="38"/>
      <c r="E34" s="39"/>
      <c r="F34" s="244"/>
      <c r="G34" s="218"/>
      <c r="H34" s="218"/>
      <c r="I34" s="219"/>
      <c r="J34" s="219"/>
      <c r="K34" s="218"/>
      <c r="L34" s="218"/>
      <c r="M34" s="218"/>
      <c r="N34" s="227"/>
      <c r="O34" s="227" t="e">
        <f>SUM(O10:O33)</f>
        <v>#REF!</v>
      </c>
      <c r="P34" s="227" t="e">
        <f>SUM(P10:P33)</f>
        <v>#REF!</v>
      </c>
      <c r="Q34" s="227" t="e">
        <f>SUM(Q10:Q33)</f>
        <v>#REF!</v>
      </c>
      <c r="R34" s="229"/>
      <c r="S34" s="227" t="e">
        <f>SUM(S10:S33)</f>
        <v>#REF!</v>
      </c>
      <c r="T34" s="511">
        <v>0</v>
      </c>
    </row>
    <row r="35" spans="1:20" x14ac:dyDescent="0.2">
      <c r="A35" s="125"/>
      <c r="B35" s="126"/>
      <c r="C35" s="31" t="str">
        <f>TEXT(A$9,)&amp;" S/."</f>
        <v>Piura / Tumbes S/.</v>
      </c>
      <c r="D35" s="56"/>
      <c r="E35" s="56"/>
      <c r="F35" s="137"/>
      <c r="G35" s="177"/>
      <c r="H35" s="177"/>
      <c r="I35" s="202"/>
      <c r="J35" s="202"/>
      <c r="K35" s="177"/>
      <c r="L35" s="177"/>
      <c r="M35" s="177"/>
      <c r="N35" s="177"/>
      <c r="O35" s="209"/>
      <c r="P35" s="210" t="e">
        <f>ROUND($F$1*P34,2)</f>
        <v>#REF!</v>
      </c>
      <c r="Q35" s="364" t="e">
        <f>ROUND($F$1*Q34,2)</f>
        <v>#REF!</v>
      </c>
      <c r="R35" s="139"/>
      <c r="S35" s="363" t="e">
        <f>ROUND($F$1*S34,2)</f>
        <v>#REF!</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row>
    <row r="40" spans="1:20"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row>
    <row r="43" spans="1:20" x14ac:dyDescent="0.2">
      <c r="A43" s="23" t="s">
        <v>28</v>
      </c>
      <c r="B43" s="24" t="s">
        <v>12</v>
      </c>
      <c r="C43" s="57" t="s">
        <v>31</v>
      </c>
      <c r="D43" s="57" t="s">
        <v>30</v>
      </c>
      <c r="E43" s="57" t="s">
        <v>101</v>
      </c>
      <c r="F43" s="238" t="s">
        <v>56</v>
      </c>
      <c r="G43" s="215"/>
      <c r="H43" s="215"/>
      <c r="I43" s="217"/>
      <c r="J43" s="217"/>
      <c r="K43" s="222"/>
      <c r="L43" s="222"/>
      <c r="M43" s="222"/>
      <c r="N43" s="386"/>
      <c r="O43" s="224">
        <f>ROUND(G43*I43,2)+ROUND(H43*J43,2)-K43-L43-M43-N43</f>
        <v>0</v>
      </c>
      <c r="P43" s="222">
        <f>ROUND(18.75%*O43,2)</f>
        <v>0</v>
      </c>
      <c r="Q43" s="222">
        <f>ROUND($O43*R43,2)</f>
        <v>0</v>
      </c>
      <c r="R43" s="258">
        <v>3.7499999999999999E-2</v>
      </c>
      <c r="S43" s="222">
        <f>ROUND($O43*T43,2)</f>
        <v>0</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c r="O44" s="224">
        <f>ROUND(G44*I44,2)+ROUND(H44*J44,2)-K44-L44-M44-N44</f>
        <v>0</v>
      </c>
      <c r="P44" s="222">
        <f>ROUND(18.75%*O44,2)</f>
        <v>0</v>
      </c>
      <c r="Q44" s="222">
        <f>ROUND($O44*R44,2)</f>
        <v>0</v>
      </c>
      <c r="R44" s="258">
        <v>3.7499999999999999E-2</v>
      </c>
      <c r="S44" s="222">
        <f>ROUND($O44*T44,2)</f>
        <v>0</v>
      </c>
      <c r="T44" s="223">
        <v>0.15</v>
      </c>
    </row>
    <row r="45" spans="1:20" s="308" customFormat="1" x14ac:dyDescent="0.2">
      <c r="A45" s="605" t="s">
        <v>28</v>
      </c>
      <c r="B45" s="28">
        <v>95</v>
      </c>
      <c r="C45" s="606" t="s">
        <v>31</v>
      </c>
      <c r="D45" s="606" t="s">
        <v>30</v>
      </c>
      <c r="E45" s="606" t="s">
        <v>101</v>
      </c>
      <c r="F45" s="607" t="s">
        <v>37</v>
      </c>
      <c r="G45" s="608"/>
      <c r="H45" s="608"/>
      <c r="I45" s="609"/>
      <c r="J45" s="609"/>
      <c r="K45" s="608"/>
      <c r="L45" s="610"/>
      <c r="M45" s="610"/>
      <c r="N45" s="611"/>
      <c r="O45" s="612">
        <f>ROUND(G45*I45,2)+ROUND(H45*J45,2)-K45-L45-M45-N45</f>
        <v>0</v>
      </c>
      <c r="P45" s="610">
        <f>ROUND(18.75%*O45,2)</f>
        <v>0</v>
      </c>
      <c r="Q45" s="610">
        <f>P45-S45</f>
        <v>0</v>
      </c>
      <c r="R45" s="613">
        <v>0.15</v>
      </c>
      <c r="S45" s="610">
        <f>ROUND($O45*T45,2)</f>
        <v>0</v>
      </c>
      <c r="T45" s="614">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row>
    <row r="47" spans="1:20" x14ac:dyDescent="0.2">
      <c r="A47" s="18" t="s">
        <v>28</v>
      </c>
      <c r="B47" s="29" t="s">
        <v>54</v>
      </c>
      <c r="C47" s="56"/>
      <c r="D47" s="27"/>
      <c r="E47" s="27"/>
      <c r="F47" s="238"/>
      <c r="G47" s="222"/>
      <c r="H47" s="222"/>
      <c r="I47" s="216"/>
      <c r="J47" s="216"/>
      <c r="K47" s="222"/>
      <c r="L47" s="222"/>
      <c r="M47" s="222"/>
      <c r="N47" s="222"/>
      <c r="O47" s="222"/>
      <c r="P47" s="222"/>
      <c r="Q47" s="222"/>
      <c r="R47" s="222"/>
      <c r="S47" s="222"/>
      <c r="T47" s="223"/>
    </row>
    <row r="48" spans="1:20"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row>
    <row r="49" spans="1:20"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c r="H51" s="222"/>
      <c r="I51" s="216"/>
      <c r="J51" s="216"/>
      <c r="K51" s="222"/>
      <c r="L51" s="222"/>
      <c r="M51" s="222"/>
      <c r="N51" s="222"/>
      <c r="O51" s="1041">
        <f t="shared" ref="O51:O56" si="6">G51*I51+H51*J51</f>
        <v>0</v>
      </c>
      <c r="P51" s="585">
        <f>ROUND(37.24%*(G51*I51+H51*J51),2)</f>
        <v>0</v>
      </c>
      <c r="Q51" s="585">
        <f>ROUND(R51*P51,2)</f>
        <v>0</v>
      </c>
      <c r="R51" s="223">
        <v>0.5</v>
      </c>
      <c r="S51" s="222"/>
      <c r="T51" s="258"/>
    </row>
    <row r="52" spans="1:20" x14ac:dyDescent="0.2">
      <c r="A52" s="23" t="s">
        <v>28</v>
      </c>
      <c r="B52" s="24" t="s">
        <v>159</v>
      </c>
      <c r="C52" s="57" t="s">
        <v>31</v>
      </c>
      <c r="D52" s="57" t="s">
        <v>30</v>
      </c>
      <c r="E52" s="57" t="s">
        <v>158</v>
      </c>
      <c r="F52" s="238" t="s">
        <v>56</v>
      </c>
      <c r="G52" s="222"/>
      <c r="H52" s="222"/>
      <c r="I52" s="216"/>
      <c r="J52" s="558"/>
      <c r="K52" s="222"/>
      <c r="L52" s="222"/>
      <c r="M52" s="222"/>
      <c r="N52" s="222"/>
      <c r="O52" s="224" t="e">
        <f>#REF!</f>
        <v>#REF!</v>
      </c>
      <c r="P52" s="224" t="e">
        <f>#REF!</f>
        <v>#REF!</v>
      </c>
      <c r="Q52" s="224" t="e">
        <f>#REF!</f>
        <v>#REF!</v>
      </c>
      <c r="R52" s="223">
        <v>0.5</v>
      </c>
      <c r="S52" s="222"/>
      <c r="T52" s="223"/>
    </row>
    <row r="53" spans="1:20" x14ac:dyDescent="0.2">
      <c r="A53" s="23" t="s">
        <v>28</v>
      </c>
      <c r="B53" s="24" t="s">
        <v>168</v>
      </c>
      <c r="C53" s="57" t="s">
        <v>31</v>
      </c>
      <c r="D53" s="57" t="s">
        <v>30</v>
      </c>
      <c r="E53" s="57" t="s">
        <v>158</v>
      </c>
      <c r="F53" s="238" t="s">
        <v>37</v>
      </c>
      <c r="G53" s="222"/>
      <c r="H53" s="222"/>
      <c r="I53" s="216"/>
      <c r="J53" s="216"/>
      <c r="K53" s="222"/>
      <c r="L53" s="222"/>
      <c r="M53" s="222"/>
      <c r="N53" s="222"/>
      <c r="O53" s="1041">
        <f t="shared" si="6"/>
        <v>0</v>
      </c>
      <c r="P53" s="585">
        <f>ROUND(40%*G53*I53,2)+ROUND(40%*H53*J53,2)</f>
        <v>0</v>
      </c>
      <c r="Q53" s="253">
        <f>ROUND(R53*P53,2)</f>
        <v>0</v>
      </c>
      <c r="R53" s="223">
        <v>0.5</v>
      </c>
      <c r="S53" s="222"/>
      <c r="T53" s="223"/>
    </row>
    <row r="54" spans="1:20" x14ac:dyDescent="0.2">
      <c r="A54" s="23" t="s">
        <v>28</v>
      </c>
      <c r="B54" s="24" t="s">
        <v>169</v>
      </c>
      <c r="C54" s="57" t="s">
        <v>31</v>
      </c>
      <c r="D54" s="57" t="s">
        <v>30</v>
      </c>
      <c r="E54" s="57" t="s">
        <v>158</v>
      </c>
      <c r="F54" s="238" t="s">
        <v>56</v>
      </c>
      <c r="G54" s="222"/>
      <c r="H54" s="222"/>
      <c r="I54" s="216"/>
      <c r="J54" s="558"/>
      <c r="K54" s="222"/>
      <c r="L54" s="222"/>
      <c r="M54" s="222"/>
      <c r="N54" s="222"/>
      <c r="O54" s="1041">
        <f t="shared" si="6"/>
        <v>0</v>
      </c>
      <c r="P54" s="321">
        <f>ROUND(38%*G54*I54,2)+ROUND(38%*H54*J54,2)</f>
        <v>0</v>
      </c>
      <c r="Q54" s="253">
        <f>ROUND(R54*P54,2)</f>
        <v>0</v>
      </c>
      <c r="R54" s="223">
        <v>0.5</v>
      </c>
      <c r="S54" s="222"/>
      <c r="T54" s="223"/>
    </row>
    <row r="55" spans="1:20" x14ac:dyDescent="0.2">
      <c r="A55" s="23" t="s">
        <v>28</v>
      </c>
      <c r="B55" s="28" t="s">
        <v>175</v>
      </c>
      <c r="C55" s="57" t="s">
        <v>31</v>
      </c>
      <c r="D55" s="57" t="s">
        <v>30</v>
      </c>
      <c r="E55" s="57" t="s">
        <v>158</v>
      </c>
      <c r="F55" s="238" t="s">
        <v>37</v>
      </c>
      <c r="G55" s="222"/>
      <c r="H55" s="222"/>
      <c r="I55" s="216"/>
      <c r="J55" s="216"/>
      <c r="K55" s="215"/>
      <c r="L55" s="222"/>
      <c r="M55" s="222"/>
      <c r="N55" s="215"/>
      <c r="O55" s="1041">
        <f t="shared" si="6"/>
        <v>0</v>
      </c>
      <c r="P55" s="628">
        <f>ROUND(G55*I55,2)*6.61%+ROUND(H55*J55,2)*6.73%</f>
        <v>0</v>
      </c>
      <c r="Q55" s="253">
        <f>ROUND(R55*P55,2)</f>
        <v>0</v>
      </c>
      <c r="R55" s="223">
        <v>0.5</v>
      </c>
      <c r="S55" s="222"/>
      <c r="T55" s="258"/>
    </row>
    <row r="56" spans="1:20" x14ac:dyDescent="0.2">
      <c r="A56" s="23" t="s">
        <v>28</v>
      </c>
      <c r="B56" s="272" t="s">
        <v>176</v>
      </c>
      <c r="C56" s="57" t="s">
        <v>31</v>
      </c>
      <c r="D56" s="57" t="s">
        <v>30</v>
      </c>
      <c r="E56" s="57" t="s">
        <v>158</v>
      </c>
      <c r="F56" s="238" t="s">
        <v>56</v>
      </c>
      <c r="G56" s="222"/>
      <c r="H56" s="222"/>
      <c r="I56" s="216"/>
      <c r="J56" s="216"/>
      <c r="K56" s="559"/>
      <c r="L56" s="222"/>
      <c r="M56" s="222"/>
      <c r="N56" s="215"/>
      <c r="O56" s="1041">
        <f t="shared" si="6"/>
        <v>0</v>
      </c>
      <c r="P56" s="628">
        <f>ROUND(G56*I56,2)*10.85%+ROUND(H56*J56,2)*11.24%</f>
        <v>0</v>
      </c>
      <c r="Q56" s="253">
        <f>ROUND(R56*P56,2)</f>
        <v>0</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224"/>
      <c r="P57" s="224"/>
      <c r="Q57" s="224"/>
      <c r="R57" s="148"/>
      <c r="S57" s="188"/>
      <c r="T57" s="148"/>
    </row>
    <row r="58" spans="1:20" x14ac:dyDescent="0.2">
      <c r="A58" s="30"/>
      <c r="B58" s="153" t="s">
        <v>108</v>
      </c>
      <c r="C58" s="31" t="str">
        <f>TEXT(A$50,)&amp;" US$"</f>
        <v>Cusco US$</v>
      </c>
      <c r="D58" s="19"/>
      <c r="E58" s="19"/>
      <c r="F58" s="268"/>
      <c r="G58" s="254">
        <f>SUM(G54:G54)</f>
        <v>0</v>
      </c>
      <c r="H58" s="254">
        <f>SUM(H54:H54)</f>
        <v>0</v>
      </c>
      <c r="I58" s="304"/>
      <c r="J58" s="254"/>
      <c r="K58" s="265"/>
      <c r="L58" s="259"/>
      <c r="M58" s="303"/>
      <c r="N58" s="201"/>
      <c r="O58" s="201" t="e">
        <f>SUM(O51:O57)</f>
        <v>#REF!</v>
      </c>
      <c r="P58" s="201" t="e">
        <f>SUM(P51:P57)</f>
        <v>#REF!</v>
      </c>
      <c r="Q58" s="201" t="e">
        <f>SUM(Q51:Q57)</f>
        <v>#REF!</v>
      </c>
      <c r="R58" s="560"/>
      <c r="S58" s="192"/>
      <c r="T58" s="148"/>
    </row>
    <row r="59" spans="1:20"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t="e">
        <f>Q58*F1</f>
        <v>#REF!</v>
      </c>
      <c r="R59" s="185"/>
      <c r="S59" s="192"/>
      <c r="T59" s="148"/>
    </row>
    <row r="60" spans="1:20"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t="e">
        <f>O34+O39+O48+O58</f>
        <v>#REF!</v>
      </c>
      <c r="P60" s="363" t="e">
        <f>Q58+P48+P39+P34</f>
        <v>#REF!</v>
      </c>
      <c r="Q60" s="196" t="e">
        <f>Q35+S35+Q40+Q49+S49+Q59</f>
        <v>#REF!</v>
      </c>
      <c r="R60" s="55"/>
      <c r="S60" s="196"/>
      <c r="T60" s="55"/>
    </row>
    <row r="61" spans="1:20" x14ac:dyDescent="0.2">
      <c r="G61" s="1"/>
      <c r="H61" s="1"/>
      <c r="I61" s="1118"/>
      <c r="J61" s="1"/>
      <c r="K61" s="1"/>
      <c r="M61" s="252"/>
      <c r="N61" s="1139"/>
      <c r="O61" s="252"/>
      <c r="P61" s="252"/>
      <c r="Q61" s="1112"/>
      <c r="R61" s="1112"/>
      <c r="S61" s="1114"/>
      <c r="T61" s="1112"/>
    </row>
    <row r="62" spans="1:20" x14ac:dyDescent="0.2">
      <c r="A62" s="4" t="s">
        <v>93</v>
      </c>
      <c r="B62" s="1" t="s">
        <v>76</v>
      </c>
      <c r="G62" s="1"/>
      <c r="H62" s="4" t="s">
        <v>77</v>
      </c>
      <c r="I62" s="1"/>
      <c r="J62" s="65"/>
      <c r="K62" s="65"/>
      <c r="M62" s="252"/>
      <c r="N62" s="1139"/>
      <c r="O62" s="1139"/>
      <c r="P62" s="1121"/>
      <c r="Q62" s="1115"/>
      <c r="R62" s="1112"/>
      <c r="S62" s="1115"/>
      <c r="T62" s="1112"/>
    </row>
    <row r="63" spans="1:20" x14ac:dyDescent="0.2">
      <c r="B63" s="115" t="s">
        <v>78</v>
      </c>
      <c r="C63" s="116" t="s">
        <v>79</v>
      </c>
      <c r="D63" s="117"/>
      <c r="E63" s="118" t="s">
        <v>35</v>
      </c>
      <c r="F63" s="118" t="s">
        <v>80</v>
      </c>
      <c r="G63" s="1"/>
      <c r="H63" s="89" t="s">
        <v>35</v>
      </c>
      <c r="I63" s="8"/>
      <c r="J63" s="8"/>
      <c r="K63" s="8"/>
      <c r="L63" s="90"/>
      <c r="M63" s="252"/>
      <c r="N63" s="1139"/>
      <c r="O63" s="1139"/>
      <c r="P63" s="1121"/>
      <c r="Q63" s="1115"/>
      <c r="R63" s="1112"/>
      <c r="S63" s="1115"/>
      <c r="T63" s="1112"/>
    </row>
    <row r="64" spans="1:2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561">
        <f>547803.45/8532764.09</f>
        <v>6.4199999463479832E-2</v>
      </c>
      <c r="O64" s="1180">
        <f>515939.92/7805445.15</f>
        <v>6.6099999434369214E-2</v>
      </c>
      <c r="P64" s="1122" t="s">
        <v>175</v>
      </c>
      <c r="Q64" s="1116"/>
      <c r="R64" s="1112"/>
      <c r="S64" s="1116"/>
      <c r="T64" s="1112"/>
    </row>
    <row r="65" spans="1:20" x14ac:dyDescent="0.2">
      <c r="B65" s="97" t="s">
        <v>83</v>
      </c>
      <c r="C65" s="98" t="s">
        <v>84</v>
      </c>
      <c r="D65" s="99"/>
      <c r="E65" s="100"/>
      <c r="F65" s="101"/>
      <c r="G65" s="1"/>
      <c r="H65" s="102">
        <f>((85.98%*E64+4.4221)*E67+(E65-E66-E69)*(1-E67))</f>
        <v>0</v>
      </c>
      <c r="I65" s="103"/>
      <c r="J65" s="103"/>
      <c r="K65" s="103"/>
      <c r="L65" s="104"/>
      <c r="M65" s="561">
        <f>698277.28/7412709.99</f>
        <v>9.4199999857272176E-2</v>
      </c>
      <c r="N65" s="561">
        <f>1065699.61/10775526.87</f>
        <v>9.8900000237297003E-2</v>
      </c>
      <c r="O65" s="1180">
        <f>353727.43/3260160.68</f>
        <v>0.10849999884054794</v>
      </c>
      <c r="P65" s="1122" t="s">
        <v>176</v>
      </c>
      <c r="Q65" s="1116"/>
      <c r="R65" s="1112"/>
      <c r="S65" s="1116"/>
      <c r="T65" s="1112"/>
    </row>
    <row r="66" spans="1:20" x14ac:dyDescent="0.2">
      <c r="B66" s="97" t="s">
        <v>85</v>
      </c>
      <c r="C66" s="98" t="s">
        <v>86</v>
      </c>
      <c r="D66" s="99"/>
      <c r="E66" s="100"/>
      <c r="F66" s="100"/>
      <c r="G66" s="1"/>
      <c r="H66" s="1"/>
      <c r="I66" s="105"/>
      <c r="J66" s="1"/>
      <c r="K66" s="1"/>
      <c r="M66" s="561">
        <f>5254120.1/13135300.26</f>
        <v>0.39999999969547706</v>
      </c>
      <c r="N66" s="561">
        <f>7653140.6/19132851.51</f>
        <v>0.39999999979093542</v>
      </c>
      <c r="O66" s="1180">
        <f>388021.35/3452147.21</f>
        <v>0.11240000104167051</v>
      </c>
      <c r="P66" s="1122" t="s">
        <v>176</v>
      </c>
      <c r="Q66" s="1114"/>
      <c r="R66" s="1112"/>
      <c r="S66" s="1112"/>
      <c r="T66" s="1112"/>
    </row>
    <row r="67" spans="1:20" x14ac:dyDescent="0.2">
      <c r="B67" s="97" t="s">
        <v>87</v>
      </c>
      <c r="C67" s="98" t="s">
        <v>88</v>
      </c>
      <c r="D67" s="99"/>
      <c r="E67" s="106"/>
      <c r="F67" s="106"/>
      <c r="G67" s="1"/>
      <c r="H67" s="89" t="s">
        <v>80</v>
      </c>
      <c r="I67" s="107"/>
      <c r="J67" s="8"/>
      <c r="K67" s="8"/>
      <c r="L67" s="90"/>
      <c r="M67" s="561">
        <f>503101.38/1323950.99</f>
        <v>0.38000000287019686</v>
      </c>
      <c r="N67" s="561"/>
      <c r="O67" s="1180">
        <f>554739.88/8242791.72</f>
        <v>6.7299999665647259E-2</v>
      </c>
      <c r="P67" s="1122" t="s">
        <v>175</v>
      </c>
      <c r="Q67" s="1112"/>
      <c r="R67" s="1112"/>
      <c r="S67" s="1112"/>
      <c r="T67" s="1112"/>
    </row>
    <row r="68" spans="1:20"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M68" s="252"/>
      <c r="N68" s="561"/>
      <c r="O68" s="252"/>
      <c r="P68" s="252"/>
      <c r="Q68" s="1112"/>
      <c r="R68" s="1112"/>
      <c r="S68" s="1112"/>
      <c r="T68" s="1112"/>
    </row>
    <row r="69" spans="1:20" x14ac:dyDescent="0.2">
      <c r="B69" s="109" t="s">
        <v>91</v>
      </c>
      <c r="C69" s="110" t="s">
        <v>92</v>
      </c>
      <c r="D69" s="111"/>
      <c r="E69" s="112"/>
      <c r="F69" s="112"/>
      <c r="G69" s="1"/>
      <c r="H69" s="102">
        <f>((85.98%*F64+4.4221)*F67+(F65-F66-F69)*(1-F67))</f>
        <v>0</v>
      </c>
      <c r="I69" s="113"/>
      <c r="J69" s="103"/>
      <c r="K69" s="103"/>
      <c r="L69" s="104"/>
      <c r="M69" s="252"/>
      <c r="N69" s="252"/>
      <c r="O69" s="252"/>
      <c r="P69" s="252"/>
      <c r="Q69" s="1112"/>
      <c r="R69" s="1112"/>
      <c r="S69" s="1112"/>
      <c r="T69" s="1112"/>
    </row>
    <row r="70" spans="1:20" x14ac:dyDescent="0.2">
      <c r="A70" s="4"/>
      <c r="G70" s="1"/>
      <c r="H70" s="177"/>
      <c r="I70" s="1"/>
      <c r="J70" s="1"/>
      <c r="K70" s="1"/>
      <c r="M70" s="1112"/>
      <c r="N70" s="1112"/>
      <c r="O70" s="1112"/>
      <c r="P70" s="1112"/>
      <c r="Q70" s="1112"/>
      <c r="R70" s="1112"/>
      <c r="S70" s="1112"/>
      <c r="T70" s="1112"/>
    </row>
    <row r="72" spans="1:20" x14ac:dyDescent="0.2">
      <c r="A72" s="1" t="s">
        <v>334</v>
      </c>
      <c r="G72" s="1"/>
      <c r="H72" s="1"/>
      <c r="I72" s="1"/>
      <c r="J72" s="1"/>
      <c r="K72" s="1"/>
      <c r="O72" s="65"/>
      <c r="P72" s="65"/>
      <c r="Q72" s="65"/>
    </row>
    <row r="73" spans="1:20" x14ac:dyDescent="0.2">
      <c r="G73" s="1"/>
      <c r="H73" s="1"/>
      <c r="I73" s="1"/>
      <c r="J73" s="1"/>
      <c r="K73" s="1"/>
      <c r="O73" s="65"/>
      <c r="P73" s="65"/>
      <c r="Q73" s="65"/>
    </row>
    <row r="74" spans="1:20" ht="16.899999999999999" customHeight="1" x14ac:dyDescent="0.25">
      <c r="A74" s="271"/>
      <c r="B74" s="156"/>
      <c r="C74" s="156"/>
      <c r="D74" s="156"/>
      <c r="E74" s="156"/>
      <c r="F74" s="156"/>
      <c r="G74" s="156"/>
      <c r="H74" s="156"/>
      <c r="I74" s="156"/>
      <c r="J74" s="156"/>
      <c r="K74" s="156"/>
      <c r="L74" s="156"/>
      <c r="M74" s="156"/>
      <c r="N74" s="156"/>
      <c r="O74" s="156"/>
      <c r="P74" s="563"/>
      <c r="Q74" s="563"/>
      <c r="R74" s="156"/>
      <c r="S74" s="564"/>
      <c r="T74" s="156"/>
    </row>
  </sheetData>
  <mergeCells count="2">
    <mergeCell ref="C7:C8"/>
    <mergeCell ref="O7:O8"/>
  </mergeCells>
  <printOptions horizontalCentered="1" verticalCentered="1"/>
  <pageMargins left="0.25" right="0.25" top="0.5" bottom="0.5" header="0" footer="0"/>
  <pageSetup paperSize="9" scale="58"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BC47-1C0C-4996-A5C8-67E62AB78312}">
  <sheetPr>
    <pageSetUpPr fitToPage="1"/>
  </sheetPr>
  <dimension ref="A1:AM266"/>
  <sheetViews>
    <sheetView view="pageBreakPreview" topLeftCell="A234" zoomScale="55" zoomScaleNormal="100" zoomScaleSheetLayoutView="55" workbookViewId="0">
      <pane xSplit="2" topLeftCell="C1" activePane="topRight" state="frozen"/>
      <selection activeCell="F44" sqref="F44"/>
      <selection pane="topRight" activeCell="F44" sqref="F44"/>
    </sheetView>
  </sheetViews>
  <sheetFormatPr baseColWidth="10" defaultColWidth="8.6640625" defaultRowHeight="12.75" outlineLevelRow="1" x14ac:dyDescent="0.2"/>
  <cols>
    <col min="1" max="1" width="3" style="1" customWidth="1"/>
    <col min="2" max="2" width="13.109375" style="1" customWidth="1"/>
    <col min="3" max="3" width="7.6640625" style="1" customWidth="1"/>
    <col min="4" max="4" width="8.109375" style="1" customWidth="1"/>
    <col min="5" max="5" width="8.6640625" style="1" customWidth="1"/>
    <col min="6" max="6" width="8.44140625" style="1" customWidth="1"/>
    <col min="7" max="7" width="11.77734375" style="199" customWidth="1"/>
    <col min="8" max="8" width="11.6640625" style="199" customWidth="1"/>
    <col min="9" max="11" width="10.44140625" style="199" customWidth="1"/>
    <col min="12" max="13" width="10.44140625" style="1" customWidth="1"/>
    <col min="14" max="14" width="10.5546875" style="1" customWidth="1"/>
    <col min="15" max="15" width="12.44140625" style="1" customWidth="1"/>
    <col min="16" max="16" width="13.6640625" style="1" customWidth="1"/>
    <col min="17" max="17" width="11.5546875" style="1" customWidth="1"/>
    <col min="18" max="18" width="5.6640625" style="1" customWidth="1"/>
    <col min="19" max="19" width="11.5546875" style="1" customWidth="1"/>
    <col min="20" max="20" width="5.6640625" style="1" customWidth="1"/>
    <col min="21" max="21" width="11.109375" style="1" hidden="1" customWidth="1"/>
    <col min="22" max="23" width="10.6640625" style="1" hidden="1" customWidth="1"/>
    <col min="24" max="24" width="10.5546875" style="1" hidden="1" customWidth="1"/>
    <col min="25" max="25" width="8.6640625" style="1" hidden="1" customWidth="1"/>
    <col min="26" max="26" width="9.5546875" style="1" hidden="1" customWidth="1"/>
    <col min="27" max="34" width="8.6640625" style="1" hidden="1" customWidth="1"/>
    <col min="35" max="35" width="10.109375" style="1" hidden="1" customWidth="1"/>
    <col min="36" max="36" width="10.6640625" style="1" customWidth="1"/>
    <col min="37" max="37" width="12.88671875" style="1" customWidth="1"/>
    <col min="38" max="38" width="10.6640625" style="1" customWidth="1"/>
    <col min="39" max="39" width="9.77734375" style="1" customWidth="1"/>
    <col min="40" max="16384" width="8.6640625" style="1"/>
  </cols>
  <sheetData>
    <row r="1" spans="1:33" ht="12.75" customHeight="1" x14ac:dyDescent="0.2">
      <c r="A1" s="1" t="s">
        <v>51</v>
      </c>
      <c r="C1" s="3"/>
      <c r="D1" s="3"/>
      <c r="E1" s="6">
        <v>45931</v>
      </c>
      <c r="F1" s="462"/>
      <c r="S1" s="1" t="s">
        <v>179</v>
      </c>
      <c r="U1" s="51" t="s">
        <v>60</v>
      </c>
      <c r="V1" s="51"/>
      <c r="W1" s="67">
        <f>DATE(YEAR(E1),MONTH(E1)+1,1)-DATE(YEAR(E1),MONTH(E1),1)</f>
        <v>31</v>
      </c>
    </row>
    <row r="2" spans="1:33" x14ac:dyDescent="0.2">
      <c r="A2" s="3" t="s">
        <v>0</v>
      </c>
    </row>
    <row r="3" spans="1:33" x14ac:dyDescent="0.2">
      <c r="A3" s="133" t="s">
        <v>109</v>
      </c>
      <c r="B3" s="133"/>
      <c r="C3" s="133"/>
      <c r="D3" s="133"/>
      <c r="E3" s="133"/>
      <c r="F3" s="133"/>
      <c r="G3" s="133"/>
      <c r="H3" s="133"/>
      <c r="I3" s="133"/>
      <c r="J3" s="133"/>
      <c r="K3" s="133"/>
      <c r="L3" s="133"/>
      <c r="M3" s="133"/>
      <c r="N3" s="133"/>
      <c r="O3" s="133"/>
      <c r="P3" s="133"/>
      <c r="Q3" s="133"/>
      <c r="R3" s="133"/>
      <c r="S3" s="133"/>
      <c r="T3" s="133"/>
    </row>
    <row r="4" spans="1:33" x14ac:dyDescent="0.2">
      <c r="A4" s="132" t="str">
        <f>"Correspondiente a  "&amp;TEXT(E1,"MMMMMMM YYYY")</f>
        <v>Correspondiente a  Octubre 2025</v>
      </c>
      <c r="B4" s="132"/>
      <c r="C4" s="132"/>
      <c r="D4" s="132"/>
      <c r="E4" s="132"/>
      <c r="F4" s="132"/>
      <c r="G4" s="132"/>
      <c r="H4" s="132"/>
      <c r="I4" s="132"/>
      <c r="J4" s="132"/>
      <c r="K4" s="132"/>
      <c r="L4" s="132"/>
      <c r="M4" s="132"/>
      <c r="N4" s="132"/>
      <c r="O4" s="132"/>
      <c r="P4" s="132"/>
      <c r="Q4" s="132"/>
      <c r="R4" s="132"/>
      <c r="S4" s="132"/>
      <c r="T4" s="132"/>
    </row>
    <row r="5" spans="1:33"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c r="U5" s="65"/>
      <c r="V5" s="65"/>
    </row>
    <row r="6" spans="1:33" x14ac:dyDescent="0.2">
      <c r="E6" s="65"/>
      <c r="F6" s="65"/>
      <c r="G6" s="264"/>
      <c r="H6" s="200"/>
      <c r="Q6" s="385"/>
      <c r="U6" s="65"/>
      <c r="W6" s="65"/>
    </row>
    <row r="7" spans="1:33"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3"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3"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3" x14ac:dyDescent="0.2">
      <c r="A10" s="23" t="s">
        <v>28</v>
      </c>
      <c r="B10" s="24" t="s">
        <v>13</v>
      </c>
      <c r="C10" s="57" t="s">
        <v>29</v>
      </c>
      <c r="D10" s="25" t="s">
        <v>21</v>
      </c>
      <c r="E10" s="57" t="s">
        <v>98</v>
      </c>
      <c r="F10" s="236" t="s">
        <v>37</v>
      </c>
      <c r="G10" s="215"/>
      <c r="H10" s="215"/>
      <c r="I10" s="217"/>
      <c r="J10" s="217"/>
      <c r="K10" s="222"/>
      <c r="L10" s="222"/>
      <c r="M10" s="222"/>
      <c r="N10" s="386"/>
      <c r="O10" s="215">
        <f>ROUND(G10*I10,2)+ROUND(H10*J10,2)-K10-L10-M10-N10</f>
        <v>0</v>
      </c>
      <c r="P10" s="222">
        <f>ROUND(18.75%*O10,2)</f>
        <v>0</v>
      </c>
      <c r="Q10" s="222">
        <f>ROUND($O10*R10,2)</f>
        <v>0</v>
      </c>
      <c r="R10" s="223">
        <v>0.15</v>
      </c>
      <c r="S10" s="222">
        <f t="shared" ref="S10:S25" si="0">ROUND($O10*T10,2)</f>
        <v>0</v>
      </c>
      <c r="T10" s="258">
        <v>3.7499999999999999E-2</v>
      </c>
      <c r="U10" s="66">
        <f t="shared" ref="U10:U27" si="1">IF($F10&amp;"/Día"=W$9,SUM($G10:$H10),"")</f>
        <v>0</v>
      </c>
      <c r="V10" s="66">
        <f>IF(U10&lt;&gt;"",$O10,"")</f>
        <v>0</v>
      </c>
      <c r="W10" s="73">
        <f>IF($F10&amp;"/Día"=W$9,ROUND(U10/$W$1,1),"")</f>
        <v>0</v>
      </c>
      <c r="X10" s="74">
        <f t="shared" ref="X10:X27" si="2">IF(U10=0,0,IF($F10&amp;"/Día"=W$9,ROUND(V10/U10,4),""))</f>
        <v>0</v>
      </c>
      <c r="Y10" s="74">
        <f t="shared" ref="Y10:Y27" si="3">IF(U10=0,0,IF($F10&amp;"/Día"=W$9,ROUND(Z10/U10,4),""))</f>
        <v>0</v>
      </c>
      <c r="Z10" s="66">
        <f t="shared" ref="Z10:Z27" si="4">IF(U10&lt;&gt;"",$P10,"")</f>
        <v>0</v>
      </c>
      <c r="AA10" s="66" t="str">
        <f t="shared" ref="AA10:AA27" si="5">IF($F10&amp;"/Día"=AC$9,SUM($G10:$H10),"")</f>
        <v/>
      </c>
      <c r="AB10" s="66" t="str">
        <f>IF(AA10&lt;&gt;"",$O10,"")</f>
        <v/>
      </c>
      <c r="AC10" s="73" t="str">
        <f>IF($F10&amp;"/Día"=AC$9,ROUND(AA10/$W$1,1),"")</f>
        <v/>
      </c>
      <c r="AD10" s="74" t="str">
        <f t="shared" ref="AD10:AD27" si="6">IF(AA10=0,0,IF($F10&amp;"/Día"=AC$9,ROUND(AB10/AA10,4),""))</f>
        <v/>
      </c>
      <c r="AE10" s="74" t="str">
        <f t="shared" ref="AE10:AE27" si="7">IF(AA10=0,0,IF($F10&amp;"/Día"=AC$9,ROUND(AF10/AA10,4),""))</f>
        <v/>
      </c>
      <c r="AF10" s="66" t="str">
        <f t="shared" ref="AF10:AF27" si="8">IF(AA10&lt;&gt;"",$P10,"")</f>
        <v/>
      </c>
      <c r="AG10" s="49"/>
    </row>
    <row r="11" spans="1:33" ht="12.75" customHeight="1" x14ac:dyDescent="0.2">
      <c r="A11" s="23" t="s">
        <v>28</v>
      </c>
      <c r="B11" s="24" t="s">
        <v>14</v>
      </c>
      <c r="C11" s="57" t="s">
        <v>29</v>
      </c>
      <c r="D11" s="25" t="s">
        <v>21</v>
      </c>
      <c r="E11" s="57" t="s">
        <v>98</v>
      </c>
      <c r="F11" s="236" t="s">
        <v>56</v>
      </c>
      <c r="G11" s="215"/>
      <c r="H11" s="215"/>
      <c r="I11" s="217"/>
      <c r="J11" s="217"/>
      <c r="K11" s="222"/>
      <c r="L11" s="222"/>
      <c r="M11" s="222"/>
      <c r="N11" s="386"/>
      <c r="O11" s="215" t="e">
        <f>#REF!</f>
        <v>#REF!</v>
      </c>
      <c r="P11" s="215" t="e">
        <f>#REF!</f>
        <v>#REF!</v>
      </c>
      <c r="Q11" s="215" t="e">
        <f>#REF!</f>
        <v>#REF!</v>
      </c>
      <c r="R11" s="223">
        <v>0.15</v>
      </c>
      <c r="S11" s="215" t="e">
        <f>#REF!</f>
        <v>#REF!</v>
      </c>
      <c r="T11" s="258">
        <v>3.7499999999999999E-2</v>
      </c>
      <c r="U11" s="40" t="str">
        <f t="shared" si="1"/>
        <v/>
      </c>
      <c r="V11" s="40" t="str">
        <f t="shared" ref="V11:V33" si="9">IF(U11&lt;&gt;"",$O11,"")</f>
        <v/>
      </c>
      <c r="W11" s="75" t="str">
        <f t="shared" ref="W11:W38" si="10">IF($F11&amp;"/Día"=W$9,ROUND(U11/$W$1,1),"")</f>
        <v/>
      </c>
      <c r="X11" s="76" t="str">
        <f t="shared" si="2"/>
        <v/>
      </c>
      <c r="Y11" s="76" t="str">
        <f t="shared" si="3"/>
        <v/>
      </c>
      <c r="Z11" s="40" t="str">
        <f t="shared" si="4"/>
        <v/>
      </c>
      <c r="AA11" s="40">
        <f t="shared" si="5"/>
        <v>0</v>
      </c>
      <c r="AB11" s="40" t="e">
        <f t="shared" ref="AB11:AB33" si="11">IF(AA11&lt;&gt;"",$O11,"")</f>
        <v>#REF!</v>
      </c>
      <c r="AC11" s="75">
        <f t="shared" ref="AC11:AC38" si="12">IF($F11&amp;"/Día"=AC$9,ROUND(AA11/$W$1,1),"")</f>
        <v>0</v>
      </c>
      <c r="AD11" s="76">
        <f t="shared" si="6"/>
        <v>0</v>
      </c>
      <c r="AE11" s="76">
        <f t="shared" si="7"/>
        <v>0</v>
      </c>
      <c r="AF11" s="40" t="e">
        <f t="shared" si="8"/>
        <v>#REF!</v>
      </c>
      <c r="AG11" s="50"/>
    </row>
    <row r="12" spans="1:33" x14ac:dyDescent="0.2">
      <c r="A12" s="23" t="s">
        <v>28</v>
      </c>
      <c r="B12" s="24" t="s">
        <v>3</v>
      </c>
      <c r="C12" s="57" t="s">
        <v>31</v>
      </c>
      <c r="D12" s="25" t="s">
        <v>30</v>
      </c>
      <c r="E12" s="57" t="s">
        <v>101</v>
      </c>
      <c r="F12" s="236" t="s">
        <v>37</v>
      </c>
      <c r="G12" s="215"/>
      <c r="H12" s="215"/>
      <c r="I12" s="217"/>
      <c r="J12" s="217"/>
      <c r="K12" s="222"/>
      <c r="L12" s="222"/>
      <c r="M12" s="222"/>
      <c r="N12" s="386"/>
      <c r="O12" s="215">
        <f t="shared" ref="O12:O25" si="13">ROUND(G12*I12,2)+ROUND(H12*J12,2)-K12-L12-M12-N12</f>
        <v>0</v>
      </c>
      <c r="P12" s="222">
        <f>ROUND(18.75%*O12,2)</f>
        <v>0</v>
      </c>
      <c r="Q12" s="222">
        <f>ROUND($O12*R12,2)</f>
        <v>0</v>
      </c>
      <c r="R12" s="223">
        <v>0.15</v>
      </c>
      <c r="S12" s="222">
        <f t="shared" si="0"/>
        <v>0</v>
      </c>
      <c r="T12" s="258">
        <v>3.7499999999999999E-2</v>
      </c>
      <c r="U12" s="40">
        <f t="shared" si="1"/>
        <v>0</v>
      </c>
      <c r="V12" s="40">
        <f t="shared" si="9"/>
        <v>0</v>
      </c>
      <c r="W12" s="75">
        <f t="shared" si="10"/>
        <v>0</v>
      </c>
      <c r="X12" s="76">
        <f t="shared" si="2"/>
        <v>0</v>
      </c>
      <c r="Y12" s="76">
        <f t="shared" si="3"/>
        <v>0</v>
      </c>
      <c r="Z12" s="40">
        <f t="shared" si="4"/>
        <v>0</v>
      </c>
      <c r="AA12" s="40" t="str">
        <f t="shared" si="5"/>
        <v/>
      </c>
      <c r="AB12" s="40" t="str">
        <f t="shared" si="11"/>
        <v/>
      </c>
      <c r="AC12" s="75" t="str">
        <f t="shared" si="12"/>
        <v/>
      </c>
      <c r="AD12" s="76" t="str">
        <f t="shared" si="6"/>
        <v/>
      </c>
      <c r="AE12" s="76" t="str">
        <f t="shared" si="7"/>
        <v/>
      </c>
      <c r="AF12" s="40" t="str">
        <f t="shared" si="8"/>
        <v/>
      </c>
      <c r="AG12" s="50"/>
    </row>
    <row r="13" spans="1:33" x14ac:dyDescent="0.2">
      <c r="A13" s="242" t="s">
        <v>28</v>
      </c>
      <c r="B13" s="245" t="s">
        <v>369</v>
      </c>
      <c r="C13" s="236" t="s">
        <v>29</v>
      </c>
      <c r="D13" s="243" t="s">
        <v>21</v>
      </c>
      <c r="E13" s="236" t="s">
        <v>98</v>
      </c>
      <c r="F13" s="236" t="s">
        <v>56</v>
      </c>
      <c r="G13" s="215"/>
      <c r="H13" s="215"/>
      <c r="I13" s="217"/>
      <c r="J13" s="217"/>
      <c r="K13" s="222"/>
      <c r="L13" s="222"/>
      <c r="M13" s="222"/>
      <c r="N13" s="386"/>
      <c r="O13" s="215">
        <f>ROUND(G13*I13,2)+ROUND(H13*J13,2)-K13-L13-M13-N13</f>
        <v>0</v>
      </c>
      <c r="P13" s="222">
        <f t="shared" ref="P13:P26" si="14">ROUND(18.75%*O13,2)</f>
        <v>0</v>
      </c>
      <c r="Q13" s="222">
        <f>ROUND($O13*R13,2)</f>
        <v>0</v>
      </c>
      <c r="R13" s="223">
        <v>0.15</v>
      </c>
      <c r="S13" s="222">
        <f t="shared" si="0"/>
        <v>0</v>
      </c>
      <c r="T13" s="258">
        <v>3.7499999999999999E-2</v>
      </c>
      <c r="U13" s="40" t="str">
        <f t="shared" si="1"/>
        <v/>
      </c>
      <c r="V13" s="40" t="str">
        <f t="shared" si="9"/>
        <v/>
      </c>
      <c r="W13" s="75" t="str">
        <f t="shared" si="10"/>
        <v/>
      </c>
      <c r="X13" s="76" t="str">
        <f t="shared" si="2"/>
        <v/>
      </c>
      <c r="Y13" s="76" t="str">
        <f t="shared" si="3"/>
        <v/>
      </c>
      <c r="Z13" s="40" t="str">
        <f t="shared" si="4"/>
        <v/>
      </c>
      <c r="AA13" s="40">
        <f t="shared" si="5"/>
        <v>0</v>
      </c>
      <c r="AB13" s="40">
        <f t="shared" si="11"/>
        <v>0</v>
      </c>
      <c r="AC13" s="75">
        <f t="shared" si="12"/>
        <v>0</v>
      </c>
      <c r="AD13" s="76">
        <f t="shared" si="6"/>
        <v>0</v>
      </c>
      <c r="AE13" s="76">
        <f t="shared" si="7"/>
        <v>0</v>
      </c>
      <c r="AF13" s="40">
        <f t="shared" si="8"/>
        <v>0</v>
      </c>
      <c r="AG13" s="50"/>
    </row>
    <row r="14" spans="1:33" x14ac:dyDescent="0.2">
      <c r="A14" s="23" t="s">
        <v>28</v>
      </c>
      <c r="B14" s="24" t="s">
        <v>4</v>
      </c>
      <c r="C14" s="57" t="s">
        <v>31</v>
      </c>
      <c r="D14" s="25" t="s">
        <v>30</v>
      </c>
      <c r="E14" s="57" t="s">
        <v>101</v>
      </c>
      <c r="F14" s="236" t="s">
        <v>37</v>
      </c>
      <c r="G14" s="215"/>
      <c r="H14" s="215"/>
      <c r="I14" s="217"/>
      <c r="J14" s="217"/>
      <c r="K14" s="222"/>
      <c r="L14" s="222"/>
      <c r="M14" s="222"/>
      <c r="N14" s="386"/>
      <c r="O14" s="215">
        <f t="shared" si="13"/>
        <v>0</v>
      </c>
      <c r="P14" s="222">
        <f t="shared" si="14"/>
        <v>0</v>
      </c>
      <c r="Q14" s="222">
        <f t="shared" ref="Q14:Q25" si="15">ROUND($O14*R14,2)</f>
        <v>0</v>
      </c>
      <c r="R14" s="223">
        <v>0.15</v>
      </c>
      <c r="S14" s="222">
        <f t="shared" si="0"/>
        <v>0</v>
      </c>
      <c r="T14" s="258">
        <v>3.7499999999999999E-2</v>
      </c>
      <c r="U14" s="40">
        <f t="shared" si="1"/>
        <v>0</v>
      </c>
      <c r="V14" s="40">
        <f t="shared" si="9"/>
        <v>0</v>
      </c>
      <c r="W14" s="75">
        <f t="shared" si="10"/>
        <v>0</v>
      </c>
      <c r="X14" s="76">
        <f t="shared" si="2"/>
        <v>0</v>
      </c>
      <c r="Y14" s="76">
        <f t="shared" si="3"/>
        <v>0</v>
      </c>
      <c r="Z14" s="40">
        <f t="shared" si="4"/>
        <v>0</v>
      </c>
      <c r="AA14" s="40" t="str">
        <f t="shared" si="5"/>
        <v/>
      </c>
      <c r="AB14" s="40" t="str">
        <f t="shared" si="11"/>
        <v/>
      </c>
      <c r="AC14" s="75" t="str">
        <f t="shared" si="12"/>
        <v/>
      </c>
      <c r="AD14" s="76" t="str">
        <f t="shared" si="6"/>
        <v/>
      </c>
      <c r="AE14" s="76" t="str">
        <f t="shared" si="7"/>
        <v/>
      </c>
      <c r="AF14" s="40" t="str">
        <f t="shared" si="8"/>
        <v/>
      </c>
      <c r="AG14" s="50"/>
    </row>
    <row r="15" spans="1:33" x14ac:dyDescent="0.2">
      <c r="A15" s="23" t="s">
        <v>28</v>
      </c>
      <c r="B15" s="377" t="s">
        <v>370</v>
      </c>
      <c r="C15" s="236" t="s">
        <v>29</v>
      </c>
      <c r="D15" s="243" t="s">
        <v>21</v>
      </c>
      <c r="E15" s="236" t="s">
        <v>98</v>
      </c>
      <c r="F15" s="236" t="s">
        <v>56</v>
      </c>
      <c r="G15" s="215"/>
      <c r="H15" s="215"/>
      <c r="I15" s="217"/>
      <c r="J15" s="217"/>
      <c r="K15" s="222"/>
      <c r="L15" s="222"/>
      <c r="M15" s="222"/>
      <c r="N15" s="222"/>
      <c r="O15" s="224">
        <f t="shared" si="13"/>
        <v>0</v>
      </c>
      <c r="P15" s="222">
        <f t="shared" si="14"/>
        <v>0</v>
      </c>
      <c r="Q15" s="222">
        <f t="shared" si="15"/>
        <v>0</v>
      </c>
      <c r="R15" s="223">
        <v>0.15</v>
      </c>
      <c r="S15" s="222">
        <f t="shared" si="0"/>
        <v>0</v>
      </c>
      <c r="T15" s="258">
        <v>3.7499999999999999E-2</v>
      </c>
      <c r="U15" s="40" t="str">
        <f t="shared" si="1"/>
        <v/>
      </c>
      <c r="V15" s="40" t="str">
        <f t="shared" si="9"/>
        <v/>
      </c>
      <c r="W15" s="75" t="str">
        <f t="shared" si="10"/>
        <v/>
      </c>
      <c r="X15" s="76" t="str">
        <f t="shared" si="2"/>
        <v/>
      </c>
      <c r="Y15" s="76" t="str">
        <f t="shared" si="3"/>
        <v/>
      </c>
      <c r="Z15" s="40" t="str">
        <f t="shared" si="4"/>
        <v/>
      </c>
      <c r="AA15" s="40">
        <f t="shared" si="5"/>
        <v>0</v>
      </c>
      <c r="AB15" s="40">
        <f t="shared" si="11"/>
        <v>0</v>
      </c>
      <c r="AC15" s="75">
        <f t="shared" si="12"/>
        <v>0</v>
      </c>
      <c r="AD15" s="76">
        <f t="shared" si="6"/>
        <v>0</v>
      </c>
      <c r="AE15" s="76">
        <f t="shared" si="7"/>
        <v>0</v>
      </c>
      <c r="AF15" s="40">
        <f t="shared" si="8"/>
        <v>0</v>
      </c>
      <c r="AG15" s="50"/>
    </row>
    <row r="16" spans="1:33" x14ac:dyDescent="0.2">
      <c r="A16" s="23" t="s">
        <v>28</v>
      </c>
      <c r="B16" s="24" t="s">
        <v>5</v>
      </c>
      <c r="C16" s="57" t="s">
        <v>31</v>
      </c>
      <c r="D16" s="25" t="s">
        <v>30</v>
      </c>
      <c r="E16" s="57" t="s">
        <v>101</v>
      </c>
      <c r="F16" s="236" t="s">
        <v>37</v>
      </c>
      <c r="G16" s="215"/>
      <c r="H16" s="215"/>
      <c r="I16" s="217"/>
      <c r="J16" s="217"/>
      <c r="K16" s="222"/>
      <c r="L16" s="222"/>
      <c r="M16" s="222"/>
      <c r="N16" s="386"/>
      <c r="O16" s="215">
        <f t="shared" si="13"/>
        <v>0</v>
      </c>
      <c r="P16" s="222">
        <f t="shared" si="14"/>
        <v>0</v>
      </c>
      <c r="Q16" s="222">
        <f t="shared" si="15"/>
        <v>0</v>
      </c>
      <c r="R16" s="223">
        <v>0.15</v>
      </c>
      <c r="S16" s="222">
        <f t="shared" si="0"/>
        <v>0</v>
      </c>
      <c r="T16" s="258">
        <v>3.7499999999999999E-2</v>
      </c>
      <c r="U16" s="40">
        <f t="shared" si="1"/>
        <v>0</v>
      </c>
      <c r="V16" s="40">
        <f t="shared" si="9"/>
        <v>0</v>
      </c>
      <c r="W16" s="75">
        <f t="shared" si="10"/>
        <v>0</v>
      </c>
      <c r="X16" s="76">
        <f t="shared" si="2"/>
        <v>0</v>
      </c>
      <c r="Y16" s="76">
        <f t="shared" si="3"/>
        <v>0</v>
      </c>
      <c r="Z16" s="40">
        <f t="shared" si="4"/>
        <v>0</v>
      </c>
      <c r="AA16" s="40" t="str">
        <f t="shared" si="5"/>
        <v/>
      </c>
      <c r="AB16" s="40" t="str">
        <f t="shared" si="11"/>
        <v/>
      </c>
      <c r="AC16" s="75" t="str">
        <f t="shared" si="12"/>
        <v/>
      </c>
      <c r="AD16" s="76" t="str">
        <f t="shared" si="6"/>
        <v/>
      </c>
      <c r="AE16" s="76" t="str">
        <f t="shared" si="7"/>
        <v/>
      </c>
      <c r="AF16" s="40" t="str">
        <f t="shared" si="8"/>
        <v/>
      </c>
      <c r="AG16" s="50"/>
    </row>
    <row r="17" spans="1:35" x14ac:dyDescent="0.2">
      <c r="A17" s="23" t="s">
        <v>28</v>
      </c>
      <c r="B17" s="24" t="s">
        <v>371</v>
      </c>
      <c r="C17" s="57" t="s">
        <v>31</v>
      </c>
      <c r="D17" s="25" t="s">
        <v>30</v>
      </c>
      <c r="E17" s="57" t="s">
        <v>101</v>
      </c>
      <c r="F17" s="236" t="s">
        <v>56</v>
      </c>
      <c r="G17" s="215"/>
      <c r="H17" s="215"/>
      <c r="I17" s="217"/>
      <c r="J17" s="217"/>
      <c r="K17" s="222"/>
      <c r="L17" s="222"/>
      <c r="M17" s="222"/>
      <c r="N17" s="386"/>
      <c r="O17" s="215">
        <f t="shared" si="13"/>
        <v>0</v>
      </c>
      <c r="P17" s="222">
        <f t="shared" si="14"/>
        <v>0</v>
      </c>
      <c r="Q17" s="222">
        <f t="shared" si="15"/>
        <v>0</v>
      </c>
      <c r="R17" s="223">
        <v>0.15</v>
      </c>
      <c r="S17" s="222">
        <f t="shared" si="0"/>
        <v>0</v>
      </c>
      <c r="T17" s="258">
        <v>3.7499999999999999E-2</v>
      </c>
      <c r="U17" s="40" t="str">
        <f t="shared" si="1"/>
        <v/>
      </c>
      <c r="V17" s="40" t="str">
        <f t="shared" si="9"/>
        <v/>
      </c>
      <c r="W17" s="75" t="str">
        <f t="shared" si="10"/>
        <v/>
      </c>
      <c r="X17" s="76" t="str">
        <f t="shared" si="2"/>
        <v/>
      </c>
      <c r="Y17" s="76" t="str">
        <f t="shared" si="3"/>
        <v/>
      </c>
      <c r="Z17" s="40" t="str">
        <f t="shared" si="4"/>
        <v/>
      </c>
      <c r="AA17" s="40">
        <f t="shared" si="5"/>
        <v>0</v>
      </c>
      <c r="AB17" s="40">
        <f t="shared" si="11"/>
        <v>0</v>
      </c>
      <c r="AC17" s="75">
        <f t="shared" si="12"/>
        <v>0</v>
      </c>
      <c r="AD17" s="76">
        <f t="shared" si="6"/>
        <v>0</v>
      </c>
      <c r="AE17" s="76">
        <f t="shared" si="7"/>
        <v>0</v>
      </c>
      <c r="AF17" s="40">
        <f t="shared" si="8"/>
        <v>0</v>
      </c>
      <c r="AG17" s="50"/>
    </row>
    <row r="18" spans="1:35" x14ac:dyDescent="0.2">
      <c r="A18" s="23" t="s">
        <v>28</v>
      </c>
      <c r="B18" s="24" t="s">
        <v>17</v>
      </c>
      <c r="C18" s="57" t="s">
        <v>29</v>
      </c>
      <c r="D18" s="25" t="s">
        <v>21</v>
      </c>
      <c r="E18" s="57" t="s">
        <v>98</v>
      </c>
      <c r="F18" s="236" t="s">
        <v>37</v>
      </c>
      <c r="G18" s="215"/>
      <c r="H18" s="215"/>
      <c r="I18" s="217"/>
      <c r="J18" s="217"/>
      <c r="K18" s="222"/>
      <c r="L18" s="222"/>
      <c r="M18" s="222"/>
      <c r="N18" s="386"/>
      <c r="O18" s="224">
        <f t="shared" si="13"/>
        <v>0</v>
      </c>
      <c r="P18" s="222">
        <f t="shared" si="14"/>
        <v>0</v>
      </c>
      <c r="Q18" s="222">
        <f t="shared" si="15"/>
        <v>0</v>
      </c>
      <c r="R18" s="223">
        <v>0.15</v>
      </c>
      <c r="S18" s="222">
        <f t="shared" si="0"/>
        <v>0</v>
      </c>
      <c r="T18" s="258">
        <v>3.7499999999999999E-2</v>
      </c>
      <c r="U18" s="40">
        <f t="shared" si="1"/>
        <v>0</v>
      </c>
      <c r="V18" s="40">
        <f t="shared" si="9"/>
        <v>0</v>
      </c>
      <c r="W18" s="75">
        <f t="shared" si="10"/>
        <v>0</v>
      </c>
      <c r="X18" s="76">
        <f t="shared" si="2"/>
        <v>0</v>
      </c>
      <c r="Y18" s="76">
        <f t="shared" si="3"/>
        <v>0</v>
      </c>
      <c r="Z18" s="40">
        <f t="shared" si="4"/>
        <v>0</v>
      </c>
      <c r="AA18" s="40" t="str">
        <f t="shared" si="5"/>
        <v/>
      </c>
      <c r="AB18" s="40" t="str">
        <f t="shared" si="11"/>
        <v/>
      </c>
      <c r="AC18" s="75" t="str">
        <f t="shared" si="12"/>
        <v/>
      </c>
      <c r="AD18" s="76" t="str">
        <f t="shared" si="6"/>
        <v/>
      </c>
      <c r="AE18" s="76" t="str">
        <f t="shared" si="7"/>
        <v/>
      </c>
      <c r="AF18" s="40" t="str">
        <f t="shared" si="8"/>
        <v/>
      </c>
      <c r="AG18" s="50"/>
    </row>
    <row r="19" spans="1:35" x14ac:dyDescent="0.2">
      <c r="A19" s="376" t="s">
        <v>28</v>
      </c>
      <c r="B19" s="377" t="s">
        <v>237</v>
      </c>
      <c r="C19" s="378" t="s">
        <v>31</v>
      </c>
      <c r="D19" s="379" t="s">
        <v>30</v>
      </c>
      <c r="E19" s="378" t="s">
        <v>98</v>
      </c>
      <c r="F19" s="236" t="s">
        <v>37</v>
      </c>
      <c r="G19" s="215"/>
      <c r="H19" s="215"/>
      <c r="I19" s="216"/>
      <c r="J19" s="217"/>
      <c r="K19" s="222"/>
      <c r="L19" s="222"/>
      <c r="M19" s="222"/>
      <c r="N19" s="386"/>
      <c r="O19" s="224">
        <f t="shared" si="13"/>
        <v>0</v>
      </c>
      <c r="P19" s="222">
        <f t="shared" si="14"/>
        <v>0</v>
      </c>
      <c r="Q19" s="222">
        <f t="shared" si="15"/>
        <v>0</v>
      </c>
      <c r="R19" s="223">
        <v>0.15</v>
      </c>
      <c r="S19" s="222">
        <f t="shared" si="0"/>
        <v>0</v>
      </c>
      <c r="T19" s="258">
        <v>3.7499999999999999E-2</v>
      </c>
      <c r="U19" s="40">
        <f t="shared" si="1"/>
        <v>0</v>
      </c>
      <c r="V19" s="40">
        <f t="shared" si="9"/>
        <v>0</v>
      </c>
      <c r="W19" s="75">
        <f t="shared" si="10"/>
        <v>0</v>
      </c>
      <c r="X19" s="76">
        <f t="shared" si="2"/>
        <v>0</v>
      </c>
      <c r="Y19" s="76">
        <f t="shared" si="3"/>
        <v>0</v>
      </c>
      <c r="Z19" s="40">
        <f t="shared" si="4"/>
        <v>0</v>
      </c>
      <c r="AA19" s="40" t="str">
        <f t="shared" si="5"/>
        <v/>
      </c>
      <c r="AB19" s="40" t="str">
        <f t="shared" si="11"/>
        <v/>
      </c>
      <c r="AC19" s="75" t="str">
        <f t="shared" si="12"/>
        <v/>
      </c>
      <c r="AD19" s="76" t="str">
        <f t="shared" si="6"/>
        <v/>
      </c>
      <c r="AE19" s="76" t="str">
        <f t="shared" si="7"/>
        <v/>
      </c>
      <c r="AF19" s="40" t="str">
        <f t="shared" si="8"/>
        <v/>
      </c>
      <c r="AG19" s="50"/>
    </row>
    <row r="20" spans="1:35" x14ac:dyDescent="0.2">
      <c r="A20" s="376" t="s">
        <v>28</v>
      </c>
      <c r="B20" s="377" t="s">
        <v>239</v>
      </c>
      <c r="C20" s="378" t="s">
        <v>31</v>
      </c>
      <c r="D20" s="379" t="s">
        <v>30</v>
      </c>
      <c r="E20" s="378" t="s">
        <v>98</v>
      </c>
      <c r="F20" s="236" t="s">
        <v>56</v>
      </c>
      <c r="G20" s="215"/>
      <c r="H20" s="215"/>
      <c r="I20" s="216"/>
      <c r="J20" s="217"/>
      <c r="K20" s="222"/>
      <c r="L20" s="222"/>
      <c r="M20" s="222"/>
      <c r="N20" s="386"/>
      <c r="O20" s="224">
        <f t="shared" si="13"/>
        <v>0</v>
      </c>
      <c r="P20" s="222">
        <f t="shared" si="14"/>
        <v>0</v>
      </c>
      <c r="Q20" s="222">
        <f t="shared" si="15"/>
        <v>0</v>
      </c>
      <c r="R20" s="223">
        <v>0.15</v>
      </c>
      <c r="S20" s="222">
        <f t="shared" si="0"/>
        <v>0</v>
      </c>
      <c r="T20" s="258">
        <v>3.7499999999999999E-2</v>
      </c>
      <c r="U20" s="40" t="str">
        <f t="shared" si="1"/>
        <v/>
      </c>
      <c r="V20" s="40" t="str">
        <f t="shared" si="9"/>
        <v/>
      </c>
      <c r="W20" s="75" t="str">
        <f t="shared" si="10"/>
        <v/>
      </c>
      <c r="X20" s="76" t="str">
        <f t="shared" si="2"/>
        <v/>
      </c>
      <c r="Y20" s="76" t="str">
        <f t="shared" si="3"/>
        <v/>
      </c>
      <c r="Z20" s="40" t="str">
        <f t="shared" si="4"/>
        <v/>
      </c>
      <c r="AA20" s="40">
        <f t="shared" si="5"/>
        <v>0</v>
      </c>
      <c r="AB20" s="40">
        <f t="shared" si="11"/>
        <v>0</v>
      </c>
      <c r="AC20" s="75">
        <f t="shared" si="12"/>
        <v>0</v>
      </c>
      <c r="AD20" s="76">
        <f t="shared" si="6"/>
        <v>0</v>
      </c>
      <c r="AE20" s="76">
        <f t="shared" si="7"/>
        <v>0</v>
      </c>
      <c r="AF20" s="40">
        <f t="shared" si="8"/>
        <v>0</v>
      </c>
      <c r="AG20" s="50"/>
    </row>
    <row r="21" spans="1:35" x14ac:dyDescent="0.2">
      <c r="A21" s="376" t="s">
        <v>28</v>
      </c>
      <c r="B21" s="377" t="s">
        <v>238</v>
      </c>
      <c r="C21" s="378" t="s">
        <v>31</v>
      </c>
      <c r="D21" s="379" t="s">
        <v>30</v>
      </c>
      <c r="E21" s="378" t="s">
        <v>98</v>
      </c>
      <c r="F21" s="236" t="s">
        <v>37</v>
      </c>
      <c r="G21" s="215"/>
      <c r="H21" s="215"/>
      <c r="I21" s="216"/>
      <c r="J21" s="217"/>
      <c r="K21" s="222"/>
      <c r="L21" s="222"/>
      <c r="M21" s="222"/>
      <c r="N21" s="386"/>
      <c r="O21" s="224">
        <f t="shared" si="13"/>
        <v>0</v>
      </c>
      <c r="P21" s="222">
        <f t="shared" si="14"/>
        <v>0</v>
      </c>
      <c r="Q21" s="222">
        <f t="shared" si="15"/>
        <v>0</v>
      </c>
      <c r="R21" s="223">
        <v>0.15</v>
      </c>
      <c r="S21" s="222">
        <f t="shared" si="0"/>
        <v>0</v>
      </c>
      <c r="T21" s="258">
        <v>3.7499999999999999E-2</v>
      </c>
      <c r="U21" s="40">
        <f t="shared" si="1"/>
        <v>0</v>
      </c>
      <c r="V21" s="40">
        <f t="shared" si="9"/>
        <v>0</v>
      </c>
      <c r="W21" s="75">
        <f t="shared" si="10"/>
        <v>0</v>
      </c>
      <c r="X21" s="76">
        <f t="shared" si="2"/>
        <v>0</v>
      </c>
      <c r="Y21" s="76">
        <f t="shared" si="3"/>
        <v>0</v>
      </c>
      <c r="Z21" s="40">
        <f t="shared" si="4"/>
        <v>0</v>
      </c>
      <c r="AA21" s="40" t="str">
        <f t="shared" si="5"/>
        <v/>
      </c>
      <c r="AB21" s="40" t="str">
        <f t="shared" si="11"/>
        <v/>
      </c>
      <c r="AC21" s="75" t="str">
        <f t="shared" si="12"/>
        <v/>
      </c>
      <c r="AD21" s="76" t="str">
        <f t="shared" si="6"/>
        <v/>
      </c>
      <c r="AE21" s="76" t="str">
        <f t="shared" si="7"/>
        <v/>
      </c>
      <c r="AF21" s="40" t="str">
        <f t="shared" si="8"/>
        <v/>
      </c>
      <c r="AG21" s="50"/>
    </row>
    <row r="22" spans="1:35" x14ac:dyDescent="0.2">
      <c r="A22" s="23" t="s">
        <v>28</v>
      </c>
      <c r="B22" s="24" t="s">
        <v>18</v>
      </c>
      <c r="C22" s="57" t="s">
        <v>31</v>
      </c>
      <c r="D22" s="25" t="s">
        <v>30</v>
      </c>
      <c r="E22" s="57" t="s">
        <v>101</v>
      </c>
      <c r="F22" s="236" t="s">
        <v>37</v>
      </c>
      <c r="G22" s="215"/>
      <c r="H22" s="215"/>
      <c r="I22" s="217"/>
      <c r="J22" s="217"/>
      <c r="K22" s="222"/>
      <c r="L22" s="222"/>
      <c r="M22" s="222"/>
      <c r="N22" s="386"/>
      <c r="O22" s="224">
        <f t="shared" si="13"/>
        <v>0</v>
      </c>
      <c r="P22" s="222">
        <f t="shared" si="14"/>
        <v>0</v>
      </c>
      <c r="Q22" s="222">
        <f t="shared" si="15"/>
        <v>0</v>
      </c>
      <c r="R22" s="223">
        <v>0.15</v>
      </c>
      <c r="S22" s="222">
        <f t="shared" si="0"/>
        <v>0</v>
      </c>
      <c r="T22" s="258">
        <v>3.7499999999999999E-2</v>
      </c>
      <c r="U22" s="40">
        <f t="shared" si="1"/>
        <v>0</v>
      </c>
      <c r="V22" s="40">
        <f t="shared" si="9"/>
        <v>0</v>
      </c>
      <c r="W22" s="75">
        <f t="shared" si="10"/>
        <v>0</v>
      </c>
      <c r="X22" s="76">
        <f t="shared" si="2"/>
        <v>0</v>
      </c>
      <c r="Y22" s="76">
        <f t="shared" si="3"/>
        <v>0</v>
      </c>
      <c r="Z22" s="40">
        <f t="shared" si="4"/>
        <v>0</v>
      </c>
      <c r="AA22" s="40" t="str">
        <f t="shared" si="5"/>
        <v/>
      </c>
      <c r="AB22" s="40" t="str">
        <f t="shared" si="11"/>
        <v/>
      </c>
      <c r="AC22" s="75" t="str">
        <f t="shared" si="12"/>
        <v/>
      </c>
      <c r="AD22" s="76" t="str">
        <f t="shared" si="6"/>
        <v/>
      </c>
      <c r="AE22" s="76" t="str">
        <f t="shared" si="7"/>
        <v/>
      </c>
      <c r="AF22" s="40" t="str">
        <f t="shared" si="8"/>
        <v/>
      </c>
      <c r="AG22" s="50"/>
    </row>
    <row r="23" spans="1:35" x14ac:dyDescent="0.2">
      <c r="A23" s="23" t="s">
        <v>28</v>
      </c>
      <c r="B23" s="24" t="s">
        <v>20</v>
      </c>
      <c r="C23" s="57" t="s">
        <v>31</v>
      </c>
      <c r="D23" s="25" t="s">
        <v>30</v>
      </c>
      <c r="E23" s="57" t="s">
        <v>101</v>
      </c>
      <c r="F23" s="236" t="s">
        <v>37</v>
      </c>
      <c r="G23" s="215"/>
      <c r="H23" s="215"/>
      <c r="I23" s="217"/>
      <c r="J23" s="217"/>
      <c r="K23" s="222"/>
      <c r="L23" s="222"/>
      <c r="M23" s="222"/>
      <c r="N23" s="386"/>
      <c r="O23" s="224">
        <f t="shared" si="13"/>
        <v>0</v>
      </c>
      <c r="P23" s="222">
        <f t="shared" si="14"/>
        <v>0</v>
      </c>
      <c r="Q23" s="222">
        <f t="shared" si="15"/>
        <v>0</v>
      </c>
      <c r="R23" s="223">
        <v>0.15</v>
      </c>
      <c r="S23" s="222">
        <f t="shared" si="0"/>
        <v>0</v>
      </c>
      <c r="T23" s="258">
        <v>3.7499999999999999E-2</v>
      </c>
      <c r="U23" s="40">
        <f t="shared" si="1"/>
        <v>0</v>
      </c>
      <c r="V23" s="40">
        <f t="shared" si="9"/>
        <v>0</v>
      </c>
      <c r="W23" s="75">
        <f t="shared" si="10"/>
        <v>0</v>
      </c>
      <c r="X23" s="76">
        <f t="shared" si="2"/>
        <v>0</v>
      </c>
      <c r="Y23" s="76">
        <f t="shared" si="3"/>
        <v>0</v>
      </c>
      <c r="Z23" s="40">
        <f t="shared" si="4"/>
        <v>0</v>
      </c>
      <c r="AA23" s="40" t="str">
        <f t="shared" si="5"/>
        <v/>
      </c>
      <c r="AB23" s="40" t="str">
        <f t="shared" si="11"/>
        <v/>
      </c>
      <c r="AC23" s="75" t="str">
        <f t="shared" si="12"/>
        <v/>
      </c>
      <c r="AD23" s="76" t="str">
        <f t="shared" si="6"/>
        <v/>
      </c>
      <c r="AE23" s="76" t="str">
        <f t="shared" si="7"/>
        <v/>
      </c>
      <c r="AF23" s="40" t="str">
        <f t="shared" si="8"/>
        <v/>
      </c>
      <c r="AG23" s="50"/>
    </row>
    <row r="24" spans="1:35" x14ac:dyDescent="0.2">
      <c r="A24" s="23" t="s">
        <v>28</v>
      </c>
      <c r="B24" s="24" t="s">
        <v>372</v>
      </c>
      <c r="C24" s="57" t="s">
        <v>31</v>
      </c>
      <c r="D24" s="25" t="s">
        <v>21</v>
      </c>
      <c r="E24" s="57" t="s">
        <v>101</v>
      </c>
      <c r="F24" s="236" t="s">
        <v>56</v>
      </c>
      <c r="G24" s="215"/>
      <c r="H24" s="215"/>
      <c r="I24" s="217"/>
      <c r="J24" s="217"/>
      <c r="K24" s="222"/>
      <c r="L24" s="222"/>
      <c r="M24" s="222"/>
      <c r="N24" s="386"/>
      <c r="O24" s="224">
        <f t="shared" si="13"/>
        <v>0</v>
      </c>
      <c r="P24" s="222">
        <f t="shared" si="14"/>
        <v>0</v>
      </c>
      <c r="Q24" s="222">
        <f t="shared" si="15"/>
        <v>0</v>
      </c>
      <c r="R24" s="223">
        <v>0.15</v>
      </c>
      <c r="S24" s="222">
        <f t="shared" si="0"/>
        <v>0</v>
      </c>
      <c r="T24" s="258">
        <v>3.7499999999999999E-2</v>
      </c>
      <c r="U24" s="40" t="str">
        <f t="shared" si="1"/>
        <v/>
      </c>
      <c r="V24" s="40" t="str">
        <f t="shared" si="9"/>
        <v/>
      </c>
      <c r="W24" s="75" t="str">
        <f t="shared" si="10"/>
        <v/>
      </c>
      <c r="X24" s="76" t="str">
        <f t="shared" si="2"/>
        <v/>
      </c>
      <c r="Y24" s="76" t="str">
        <f t="shared" si="3"/>
        <v/>
      </c>
      <c r="Z24" s="40" t="str">
        <f t="shared" si="4"/>
        <v/>
      </c>
      <c r="AA24" s="40">
        <f t="shared" si="5"/>
        <v>0</v>
      </c>
      <c r="AB24" s="40">
        <f t="shared" si="11"/>
        <v>0</v>
      </c>
      <c r="AC24" s="75">
        <f t="shared" si="12"/>
        <v>0</v>
      </c>
      <c r="AD24" s="76">
        <f t="shared" si="6"/>
        <v>0</v>
      </c>
      <c r="AE24" s="76">
        <f t="shared" si="7"/>
        <v>0</v>
      </c>
      <c r="AF24" s="40">
        <f t="shared" si="8"/>
        <v>0</v>
      </c>
      <c r="AG24" s="50"/>
    </row>
    <row r="25" spans="1:35" x14ac:dyDescent="0.2">
      <c r="A25" s="23" t="s">
        <v>28</v>
      </c>
      <c r="B25" s="24" t="s">
        <v>9</v>
      </c>
      <c r="C25" s="57" t="s">
        <v>31</v>
      </c>
      <c r="D25" s="25" t="s">
        <v>30</v>
      </c>
      <c r="E25" s="57" t="s">
        <v>101</v>
      </c>
      <c r="F25" s="236" t="s">
        <v>37</v>
      </c>
      <c r="G25" s="215"/>
      <c r="H25" s="215"/>
      <c r="I25" s="217"/>
      <c r="J25" s="217"/>
      <c r="K25" s="222"/>
      <c r="L25" s="222"/>
      <c r="M25" s="222"/>
      <c r="N25" s="386"/>
      <c r="O25" s="224">
        <f t="shared" si="13"/>
        <v>0</v>
      </c>
      <c r="P25" s="222">
        <f t="shared" si="14"/>
        <v>0</v>
      </c>
      <c r="Q25" s="222">
        <f t="shared" si="15"/>
        <v>0</v>
      </c>
      <c r="R25" s="223">
        <v>0.15</v>
      </c>
      <c r="S25" s="222">
        <f t="shared" si="0"/>
        <v>0</v>
      </c>
      <c r="T25" s="258">
        <v>3.7499999999999999E-2</v>
      </c>
      <c r="U25" s="40">
        <f t="shared" si="1"/>
        <v>0</v>
      </c>
      <c r="V25" s="40">
        <f t="shared" si="9"/>
        <v>0</v>
      </c>
      <c r="W25" s="75">
        <f t="shared" si="10"/>
        <v>0</v>
      </c>
      <c r="X25" s="76">
        <f t="shared" si="2"/>
        <v>0</v>
      </c>
      <c r="Y25" s="76">
        <f t="shared" si="3"/>
        <v>0</v>
      </c>
      <c r="Z25" s="40">
        <f t="shared" si="4"/>
        <v>0</v>
      </c>
      <c r="AA25" s="40" t="str">
        <f t="shared" si="5"/>
        <v/>
      </c>
      <c r="AB25" s="40" t="str">
        <f t="shared" si="11"/>
        <v/>
      </c>
      <c r="AC25" s="75" t="str">
        <f t="shared" si="12"/>
        <v/>
      </c>
      <c r="AD25" s="76" t="str">
        <f t="shared" si="6"/>
        <v/>
      </c>
      <c r="AE25" s="76" t="str">
        <f t="shared" si="7"/>
        <v/>
      </c>
      <c r="AF25" s="40" t="str">
        <f t="shared" si="8"/>
        <v/>
      </c>
      <c r="AG25" s="50"/>
    </row>
    <row r="26" spans="1:35" x14ac:dyDescent="0.2">
      <c r="A26" s="23" t="s">
        <v>28</v>
      </c>
      <c r="B26" s="24" t="s">
        <v>165</v>
      </c>
      <c r="C26" s="57" t="s">
        <v>31</v>
      </c>
      <c r="D26" s="25" t="s">
        <v>30</v>
      </c>
      <c r="E26" s="57" t="s">
        <v>101</v>
      </c>
      <c r="F26" s="236" t="s">
        <v>37</v>
      </c>
      <c r="G26" s="215"/>
      <c r="H26" s="215"/>
      <c r="I26" s="217"/>
      <c r="J26" s="217"/>
      <c r="K26" s="222"/>
      <c r="L26" s="222"/>
      <c r="M26" s="222"/>
      <c r="N26" s="386"/>
      <c r="O26" s="224">
        <f>ROUND(G26*I26,2)+ROUND(H26*J26,2)-K26-L26-M26-N26</f>
        <v>0</v>
      </c>
      <c r="P26" s="222">
        <f t="shared" si="14"/>
        <v>0</v>
      </c>
      <c r="Q26" s="222">
        <f>ROUND($O26*R26,2)</f>
        <v>0</v>
      </c>
      <c r="R26" s="223">
        <v>0.15</v>
      </c>
      <c r="S26" s="222">
        <f>ROUND($O26*T26,2)</f>
        <v>0</v>
      </c>
      <c r="T26" s="258">
        <v>3.7499999999999999E-2</v>
      </c>
      <c r="U26" s="40">
        <f>IF($F26&amp;"/Día"=W$9,SUM($G26:$H26),"")</f>
        <v>0</v>
      </c>
      <c r="V26" s="40">
        <f t="shared" si="9"/>
        <v>0</v>
      </c>
      <c r="W26" s="75">
        <f>IF($F26&amp;"/Día"=W$9,ROUND(U26/$W$1,1),"")</f>
        <v>0</v>
      </c>
      <c r="X26" s="76">
        <f>IF(U26=0,0,IF($F26&amp;"/Día"=W$9,ROUND(V26/U26,4),""))</f>
        <v>0</v>
      </c>
      <c r="Y26" s="76">
        <f>IF(U26=0,0,IF($F26&amp;"/Día"=W$9,ROUND(Z26/U26,4),""))</f>
        <v>0</v>
      </c>
      <c r="Z26" s="40">
        <f>IF(U26&lt;&gt;"",$P26,"")</f>
        <v>0</v>
      </c>
      <c r="AA26" s="40" t="str">
        <f>IF($F26&amp;"/Día"=AC$9,SUM($G26:$H26),"")</f>
        <v/>
      </c>
      <c r="AB26" s="40" t="str">
        <f t="shared" si="11"/>
        <v/>
      </c>
      <c r="AC26" s="75" t="str">
        <f>IF($F26&amp;"/Día"=AC$9,ROUND(AA26/$W$1,1),"")</f>
        <v/>
      </c>
      <c r="AD26" s="76" t="str">
        <f>IF(AA26=0,0,IF($F26&amp;"/Día"=AC$9,ROUND(AB26/AA26,4),""))</f>
        <v/>
      </c>
      <c r="AE26" s="76" t="str">
        <f>IF(AA26=0,0,IF($F26&amp;"/Día"=AC$9,ROUND(AF26/AA26,4),""))</f>
        <v/>
      </c>
      <c r="AF26" s="40" t="str">
        <f>IF(AA26&lt;&gt;"",$P26,"")</f>
        <v/>
      </c>
      <c r="AG26" s="50"/>
    </row>
    <row r="27" spans="1:35" x14ac:dyDescent="0.2">
      <c r="A27" s="23" t="s">
        <v>28</v>
      </c>
      <c r="B27" s="24" t="s">
        <v>157</v>
      </c>
      <c r="C27" s="57" t="s">
        <v>31</v>
      </c>
      <c r="D27" s="25" t="s">
        <v>30</v>
      </c>
      <c r="E27" s="57" t="s">
        <v>101</v>
      </c>
      <c r="F27" s="236" t="s">
        <v>56</v>
      </c>
      <c r="G27" s="386"/>
      <c r="H27" s="386"/>
      <c r="I27" s="216"/>
      <c r="J27" s="216"/>
      <c r="K27" s="222"/>
      <c r="L27" s="222"/>
      <c r="M27" s="222"/>
      <c r="N27" s="224"/>
      <c r="O27" s="224" t="e">
        <f>#REF!</f>
        <v>#REF!</v>
      </c>
      <c r="P27" s="224" t="e">
        <f>#REF!</f>
        <v>#REF!</v>
      </c>
      <c r="Q27" s="222" t="e">
        <f>#REF!</f>
        <v>#REF!</v>
      </c>
      <c r="R27" s="223">
        <v>0.15</v>
      </c>
      <c r="S27" s="224" t="e">
        <f>#REF!</f>
        <v>#REF!</v>
      </c>
      <c r="T27" s="258">
        <v>3.7499999999999999E-2</v>
      </c>
      <c r="U27" s="40" t="str">
        <f t="shared" si="1"/>
        <v/>
      </c>
      <c r="V27" s="40" t="str">
        <f t="shared" si="9"/>
        <v/>
      </c>
      <c r="W27" s="75" t="str">
        <f t="shared" si="10"/>
        <v/>
      </c>
      <c r="X27" s="76" t="str">
        <f t="shared" si="2"/>
        <v/>
      </c>
      <c r="Y27" s="76" t="str">
        <f t="shared" si="3"/>
        <v/>
      </c>
      <c r="Z27" s="40" t="str">
        <f t="shared" si="4"/>
        <v/>
      </c>
      <c r="AA27" s="40">
        <f t="shared" si="5"/>
        <v>0</v>
      </c>
      <c r="AB27" s="40" t="e">
        <f t="shared" si="11"/>
        <v>#REF!</v>
      </c>
      <c r="AC27" s="75">
        <f t="shared" si="12"/>
        <v>0</v>
      </c>
      <c r="AD27" s="76">
        <f t="shared" si="6"/>
        <v>0</v>
      </c>
      <c r="AE27" s="76">
        <f t="shared" si="7"/>
        <v>0</v>
      </c>
      <c r="AF27" s="40" t="e">
        <f t="shared" si="8"/>
        <v>#REF!</v>
      </c>
      <c r="AG27" s="50"/>
    </row>
    <row r="28" spans="1:35" x14ac:dyDescent="0.2">
      <c r="A28" s="23" t="s">
        <v>28</v>
      </c>
      <c r="B28" s="24" t="s">
        <v>170</v>
      </c>
      <c r="C28" s="57" t="s">
        <v>31</v>
      </c>
      <c r="D28" s="25" t="s">
        <v>30</v>
      </c>
      <c r="E28" s="57" t="s">
        <v>101</v>
      </c>
      <c r="F28" s="236" t="s">
        <v>37</v>
      </c>
      <c r="G28" s="215"/>
      <c r="H28" s="215"/>
      <c r="I28" s="217"/>
      <c r="J28" s="217"/>
      <c r="K28" s="222"/>
      <c r="L28" s="222"/>
      <c r="M28" s="222"/>
      <c r="N28" s="386"/>
      <c r="O28" s="224">
        <f>ROUND(G28*I28,2)+ROUND(H28*J28,2)-K28-L28-M28-N28</f>
        <v>0</v>
      </c>
      <c r="P28" s="222">
        <f>ROUND(18.75%*O28,2)</f>
        <v>0</v>
      </c>
      <c r="Q28" s="222">
        <f>ROUND($O28*R28,2)</f>
        <v>0</v>
      </c>
      <c r="R28" s="258">
        <v>3.7499999999999999E-2</v>
      </c>
      <c r="S28" s="222">
        <f>ROUND($O28*T28,2)</f>
        <v>0</v>
      </c>
      <c r="T28" s="223">
        <v>0.15</v>
      </c>
      <c r="U28" s="40">
        <f>IF($F28&amp;"/Día"=W$9,SUM($G28:$H28),"")</f>
        <v>0</v>
      </c>
      <c r="V28" s="40">
        <f t="shared" si="9"/>
        <v>0</v>
      </c>
      <c r="W28" s="75">
        <f>IF($F28&amp;"/Día"=W$9,ROUND(U28/$W$1,1),"")</f>
        <v>0</v>
      </c>
      <c r="X28" s="76">
        <f>IF(U28=0,0,IF($F28&amp;"/Día"=W$9,ROUND(V28/U28,4),""))</f>
        <v>0</v>
      </c>
      <c r="Y28" s="76">
        <f>IF(U28=0,0,IF($F28&amp;"/Día"=W$9,ROUND(Z28/U28,4),""))</f>
        <v>0</v>
      </c>
      <c r="Z28" s="40">
        <f>IF(U28&lt;&gt;"",$P28,"")</f>
        <v>0</v>
      </c>
      <c r="AA28" s="40" t="str">
        <f>IF($F28&amp;"/Día"=AC$9,SUM($G28:$H28),"")</f>
        <v/>
      </c>
      <c r="AB28" s="40" t="str">
        <f t="shared" si="11"/>
        <v/>
      </c>
      <c r="AC28" s="75" t="str">
        <f>IF($F28&amp;"/Día"=AC$9,ROUND(AA28/$W$1,1),"")</f>
        <v/>
      </c>
      <c r="AD28" s="76" t="str">
        <f>IF(AA28=0,0,IF($F28&amp;"/Día"=AC$9,ROUND(AB28/AA28,4),""))</f>
        <v/>
      </c>
      <c r="AE28" s="76" t="str">
        <f>IF(AA28=0,0,IF($F28&amp;"/Día"=AC$9,ROUND(AF28/AA28,4),""))</f>
        <v/>
      </c>
      <c r="AF28" s="40" t="str">
        <f>IF(AA28&lt;&gt;"",$P28,"")</f>
        <v/>
      </c>
      <c r="AG28" s="50"/>
    </row>
    <row r="29" spans="1:35" x14ac:dyDescent="0.2">
      <c r="A29" s="23" t="s">
        <v>28</v>
      </c>
      <c r="B29" s="24" t="s">
        <v>368</v>
      </c>
      <c r="C29" s="57" t="s">
        <v>31</v>
      </c>
      <c r="D29" s="25" t="s">
        <v>30</v>
      </c>
      <c r="E29" s="57" t="s">
        <v>101</v>
      </c>
      <c r="F29" s="236" t="s">
        <v>37</v>
      </c>
      <c r="G29" s="215"/>
      <c r="H29" s="215"/>
      <c r="I29" s="217"/>
      <c r="J29" s="217"/>
      <c r="K29" s="222"/>
      <c r="L29" s="222"/>
      <c r="M29" s="222"/>
      <c r="N29" s="386"/>
      <c r="O29" s="224">
        <f>ROUND(G29*I29,2)+ROUND(H29*J29,2)-K29-L29-M29-N29</f>
        <v>0</v>
      </c>
      <c r="P29" s="222">
        <f>ROUND(18.75%*O29,2)</f>
        <v>0</v>
      </c>
      <c r="Q29" s="222">
        <f>ROUND($O29*R29,2)</f>
        <v>0</v>
      </c>
      <c r="R29" s="258">
        <v>3.7499999999999999E-2</v>
      </c>
      <c r="S29" s="222">
        <f>ROUND($O29*T29,2)</f>
        <v>0</v>
      </c>
      <c r="T29" s="223">
        <v>0.15</v>
      </c>
      <c r="U29" s="40"/>
      <c r="V29" s="40"/>
      <c r="W29" s="75"/>
      <c r="X29" s="76"/>
      <c r="Y29" s="76"/>
      <c r="Z29" s="40"/>
      <c r="AA29" s="40"/>
      <c r="AB29" s="40"/>
      <c r="AC29" s="75"/>
      <c r="AD29" s="76"/>
      <c r="AE29" s="76"/>
      <c r="AF29" s="40"/>
      <c r="AG29" s="50"/>
      <c r="AI29" s="257"/>
    </row>
    <row r="30" spans="1:35" x14ac:dyDescent="0.2">
      <c r="A30" s="26" t="s">
        <v>28</v>
      </c>
      <c r="B30" s="29" t="s">
        <v>302</v>
      </c>
      <c r="C30" s="57" t="s">
        <v>31</v>
      </c>
      <c r="D30" s="25" t="s">
        <v>30</v>
      </c>
      <c r="E30" s="57" t="s">
        <v>101</v>
      </c>
      <c r="F30" s="236" t="s">
        <v>37</v>
      </c>
      <c r="G30" s="386"/>
      <c r="H30" s="386"/>
      <c r="I30" s="217"/>
      <c r="J30" s="217"/>
      <c r="K30" s="215"/>
      <c r="L30" s="222"/>
      <c r="M30" s="222"/>
      <c r="N30" s="386"/>
      <c r="O30" s="224">
        <f>ROUND(G30*I30,2)+ROUND(H30*J30,2)-K30-L30-M30-N30</f>
        <v>0</v>
      </c>
      <c r="P30" s="222">
        <f>ROUND(18.75%*O30,2)</f>
        <v>0</v>
      </c>
      <c r="Q30" s="222">
        <f>ROUND($O30*R30,2)</f>
        <v>0</v>
      </c>
      <c r="R30" s="248">
        <v>0.15</v>
      </c>
      <c r="S30" s="222">
        <f>ROUND($O30*T30,2)</f>
        <v>0</v>
      </c>
      <c r="T30" s="258">
        <v>3.7499999999999999E-2</v>
      </c>
      <c r="U30" s="40"/>
      <c r="V30" s="40"/>
      <c r="W30" s="75"/>
      <c r="X30" s="76"/>
      <c r="Y30" s="76"/>
      <c r="Z30" s="40"/>
      <c r="AA30" s="40"/>
      <c r="AB30" s="40"/>
      <c r="AC30" s="75"/>
      <c r="AD30" s="76"/>
      <c r="AE30" s="76"/>
      <c r="AF30" s="40"/>
      <c r="AG30" s="50"/>
    </row>
    <row r="31" spans="1:35" x14ac:dyDescent="0.2">
      <c r="A31" s="26" t="s">
        <v>28</v>
      </c>
      <c r="B31" s="29" t="s">
        <v>303</v>
      </c>
      <c r="C31" s="57" t="s">
        <v>31</v>
      </c>
      <c r="D31" s="25" t="s">
        <v>30</v>
      </c>
      <c r="E31" s="57" t="s">
        <v>101</v>
      </c>
      <c r="F31" s="236" t="s">
        <v>56</v>
      </c>
      <c r="G31" s="386"/>
      <c r="H31" s="386"/>
      <c r="I31" s="216"/>
      <c r="J31" s="216"/>
      <c r="K31" s="215"/>
      <c r="L31" s="222"/>
      <c r="M31" s="222"/>
      <c r="N31" s="386"/>
      <c r="O31" s="224" t="e">
        <f>#REF!</f>
        <v>#REF!</v>
      </c>
      <c r="P31" s="224" t="e">
        <f>#REF!</f>
        <v>#REF!</v>
      </c>
      <c r="Q31" s="222" t="e">
        <f>#REF!</f>
        <v>#REF!</v>
      </c>
      <c r="R31" s="248">
        <v>0.15</v>
      </c>
      <c r="S31" s="222" t="e">
        <f>#REF!</f>
        <v>#REF!</v>
      </c>
      <c r="T31" s="258">
        <v>3.7499999999999999E-2</v>
      </c>
      <c r="U31" s="40"/>
      <c r="V31" s="40"/>
      <c r="W31" s="75"/>
      <c r="X31" s="76"/>
      <c r="Y31" s="76"/>
      <c r="Z31" s="40"/>
      <c r="AA31" s="40"/>
      <c r="AB31" s="40"/>
      <c r="AC31" s="75"/>
      <c r="AD31" s="76"/>
      <c r="AE31" s="76"/>
      <c r="AF31" s="40"/>
      <c r="AG31" s="50"/>
    </row>
    <row r="32" spans="1:35" x14ac:dyDescent="0.2">
      <c r="A32" s="26" t="s">
        <v>28</v>
      </c>
      <c r="B32" s="29" t="s">
        <v>304</v>
      </c>
      <c r="C32" s="57" t="s">
        <v>31</v>
      </c>
      <c r="D32" s="25" t="s">
        <v>30</v>
      </c>
      <c r="E32" s="57" t="s">
        <v>101</v>
      </c>
      <c r="F32" s="236" t="s">
        <v>37</v>
      </c>
      <c r="G32" s="386"/>
      <c r="H32" s="386"/>
      <c r="I32" s="217"/>
      <c r="J32" s="217"/>
      <c r="K32" s="215"/>
      <c r="L32" s="222"/>
      <c r="M32" s="222"/>
      <c r="N32" s="386"/>
      <c r="O32" s="224">
        <f>ROUND(G32*I32,2)+ROUND(H32*J32,2)-K32-L32-M32-N32</f>
        <v>0</v>
      </c>
      <c r="P32" s="222">
        <f>ROUND(18.75%*O32,2)</f>
        <v>0</v>
      </c>
      <c r="Q32" s="222">
        <f>ROUND($O32*R32,2)</f>
        <v>0</v>
      </c>
      <c r="R32" s="248">
        <v>0.15</v>
      </c>
      <c r="S32" s="222">
        <f>ROUND($O32*T32,2)</f>
        <v>0</v>
      </c>
      <c r="T32" s="258">
        <v>3.7499999999999999E-2</v>
      </c>
      <c r="U32" s="40"/>
      <c r="V32" s="40"/>
      <c r="W32" s="75"/>
      <c r="X32" s="76"/>
      <c r="Y32" s="76"/>
      <c r="Z32" s="40"/>
      <c r="AA32" s="40"/>
      <c r="AB32" s="40"/>
      <c r="AC32" s="75"/>
      <c r="AD32" s="76"/>
      <c r="AE32" s="76"/>
      <c r="AF32" s="40"/>
      <c r="AG32" s="50"/>
    </row>
    <row r="33" spans="1:35" x14ac:dyDescent="0.2">
      <c r="A33" s="26" t="s">
        <v>28</v>
      </c>
      <c r="B33" s="29" t="s">
        <v>52</v>
      </c>
      <c r="C33" s="56"/>
      <c r="D33" s="56"/>
      <c r="E33" s="27"/>
      <c r="F33" s="236"/>
      <c r="G33" s="222"/>
      <c r="H33" s="222"/>
      <c r="I33" s="216"/>
      <c r="J33" s="216"/>
      <c r="K33" s="222"/>
      <c r="L33" s="222"/>
      <c r="M33" s="577"/>
      <c r="N33" s="222"/>
      <c r="O33" s="582"/>
      <c r="P33" s="582"/>
      <c r="Q33" s="582"/>
      <c r="R33" s="248"/>
      <c r="S33" s="582"/>
      <c r="T33" s="223"/>
      <c r="U33" s="40" t="str">
        <f>IF($F33&amp;"/Día"=W$9,SUM($G33:$H33),"")</f>
        <v/>
      </c>
      <c r="V33" s="40" t="str">
        <f t="shared" si="9"/>
        <v/>
      </c>
      <c r="W33" s="75" t="str">
        <f>IF($F33&amp;"/Día"=W$9,ROUND(U33/$W$1,1),"")</f>
        <v/>
      </c>
      <c r="X33" s="76" t="str">
        <f>IF(U33=0,0,IF($F33&amp;"/Día"=W$9,ROUND(V33/U33,4),""))</f>
        <v/>
      </c>
      <c r="Y33" s="76" t="str">
        <f>IF(U33=0,0,IF($F33&amp;"/Día"=W$9,ROUND(Z33/U33,4),""))</f>
        <v/>
      </c>
      <c r="Z33" s="40" t="str">
        <f>IF(U33&lt;&gt;"",$P33,"")</f>
        <v/>
      </c>
      <c r="AA33" s="40" t="str">
        <f>IF($F33&amp;"/Día"=AC$9,SUM($G33:$H33),"")</f>
        <v/>
      </c>
      <c r="AB33" s="40" t="str">
        <f t="shared" si="11"/>
        <v/>
      </c>
      <c r="AC33" s="75" t="str">
        <f>IF($F33&amp;"/Día"=AC$9,ROUND(AA33/$W$1,1),"")</f>
        <v/>
      </c>
      <c r="AD33" s="76" t="str">
        <f>IF(AA33=0,0,IF($F33&amp;"/Día"=AC$9,ROUND(AB33/AA33,4),""))</f>
        <v/>
      </c>
      <c r="AE33" s="76" t="str">
        <f>IF(AA33=0,0,IF($F33&amp;"/Día"=AC$9,ROUND(AF33/AA33,4),""))</f>
        <v/>
      </c>
      <c r="AF33" s="40" t="str">
        <f>IF(AA33&lt;&gt;"",$P33,"")</f>
        <v/>
      </c>
      <c r="AG33" s="50"/>
      <c r="AI33" s="179"/>
    </row>
    <row r="34" spans="1:35" x14ac:dyDescent="0.2">
      <c r="A34" s="30"/>
      <c r="B34" s="153" t="s">
        <v>108</v>
      </c>
      <c r="C34" s="31" t="str">
        <f>TEXT(A$9,)&amp;" US$"</f>
        <v>Piura / Tumbes US$</v>
      </c>
      <c r="D34" s="38"/>
      <c r="E34" s="39"/>
      <c r="F34" s="244"/>
      <c r="G34" s="218"/>
      <c r="H34" s="218"/>
      <c r="I34" s="219"/>
      <c r="J34" s="219"/>
      <c r="K34" s="218"/>
      <c r="L34" s="218"/>
      <c r="M34" s="218"/>
      <c r="N34" s="227"/>
      <c r="O34" s="227" t="e">
        <f>SUM(O10:O33)</f>
        <v>#REF!</v>
      </c>
      <c r="P34" s="227" t="e">
        <f>SUM(P10:P33)</f>
        <v>#REF!</v>
      </c>
      <c r="Q34" s="227" t="e">
        <f>SUM(Q10:Q33)</f>
        <v>#REF!</v>
      </c>
      <c r="R34" s="229"/>
      <c r="S34" s="227" t="e">
        <f>SUM(S10:S33)</f>
        <v>#REF!</v>
      </c>
      <c r="T34" s="511">
        <v>0</v>
      </c>
      <c r="U34" s="77">
        <f>SUM(U10:U33)</f>
        <v>0</v>
      </c>
      <c r="V34" s="77">
        <f>SUM(V10:V33)</f>
        <v>0</v>
      </c>
      <c r="W34" s="78">
        <f>SUM(W10:W33)</f>
        <v>0</v>
      </c>
      <c r="X34" s="79" t="e">
        <f>ROUND(V34/U34,4)</f>
        <v>#DIV/0!</v>
      </c>
      <c r="Y34" s="79" t="e">
        <f>ROUND(Z34/U34,4)</f>
        <v>#DIV/0!</v>
      </c>
      <c r="Z34" s="77">
        <f>SUM(Z10:Z33)</f>
        <v>0</v>
      </c>
      <c r="AA34" s="77">
        <f>SUM(AA10:AA33)</f>
        <v>0</v>
      </c>
      <c r="AB34" s="77" t="e">
        <f>SUM(AB10:AB33)</f>
        <v>#REF!</v>
      </c>
      <c r="AC34" s="78">
        <f>SUM(AC10:AC33)</f>
        <v>0</v>
      </c>
      <c r="AD34" s="79" t="e">
        <f>ROUND(AB34/AA34,4)</f>
        <v>#REF!</v>
      </c>
      <c r="AE34" s="79" t="e">
        <f>ROUND(AF34/AA34,4)</f>
        <v>#REF!</v>
      </c>
      <c r="AF34" s="77" t="e">
        <f>SUM(AF10:AF33)</f>
        <v>#REF!</v>
      </c>
      <c r="AG34" s="43" t="e">
        <f>P34-Z34-AF34</f>
        <v>#REF!</v>
      </c>
      <c r="AI34" s="472"/>
    </row>
    <row r="35" spans="1:35" x14ac:dyDescent="0.2">
      <c r="A35" s="125"/>
      <c r="B35" s="126"/>
      <c r="C35" s="31" t="str">
        <f>TEXT(A$9,)&amp;" S/."</f>
        <v>Piura / Tumbes S/.</v>
      </c>
      <c r="D35" s="56"/>
      <c r="E35" s="56"/>
      <c r="F35" s="137"/>
      <c r="G35" s="177"/>
      <c r="H35" s="177"/>
      <c r="I35" s="202"/>
      <c r="J35" s="202"/>
      <c r="K35" s="177"/>
      <c r="L35" s="177"/>
      <c r="M35" s="177"/>
      <c r="N35" s="177"/>
      <c r="O35" s="209"/>
      <c r="P35" s="210" t="e">
        <f>ROUND($F$1*P34,2)</f>
        <v>#REF!</v>
      </c>
      <c r="Q35" s="364" t="e">
        <f>ROUND($F$1*Q34,2)</f>
        <v>#REF!</v>
      </c>
      <c r="R35" s="139"/>
      <c r="S35" s="363" t="e">
        <f>ROUND($F$1*S34,2)</f>
        <v>#REF!</v>
      </c>
      <c r="T35" s="160"/>
      <c r="U35" s="140"/>
      <c r="V35" s="140"/>
      <c r="W35" s="141"/>
      <c r="X35" s="142"/>
      <c r="Y35" s="142"/>
      <c r="Z35" s="140"/>
      <c r="AA35" s="140"/>
      <c r="AB35" s="140"/>
      <c r="AC35" s="141"/>
      <c r="AD35" s="142"/>
      <c r="AE35" s="142"/>
      <c r="AF35" s="140"/>
      <c r="AG35" s="140"/>
      <c r="AI35" s="472"/>
    </row>
    <row r="36" spans="1:35" x14ac:dyDescent="0.2">
      <c r="A36" s="15" t="s">
        <v>22</v>
      </c>
      <c r="B36" s="16"/>
      <c r="C36" s="58"/>
      <c r="D36" s="58"/>
      <c r="E36" s="17"/>
      <c r="F36" s="34"/>
      <c r="G36" s="220"/>
      <c r="H36" s="220"/>
      <c r="I36" s="221"/>
      <c r="J36" s="221"/>
      <c r="K36" s="220"/>
      <c r="L36" s="220"/>
      <c r="M36" s="220"/>
      <c r="N36" s="220"/>
      <c r="O36" s="231"/>
      <c r="P36" s="220"/>
      <c r="Q36" s="232" t="s">
        <v>49</v>
      </c>
      <c r="R36" s="214"/>
      <c r="S36" s="275"/>
      <c r="T36" s="276"/>
      <c r="U36" s="49"/>
      <c r="V36" s="49"/>
      <c r="W36" s="80"/>
      <c r="X36" s="81"/>
      <c r="Y36" s="81"/>
      <c r="Z36" s="81"/>
      <c r="AA36" s="49"/>
      <c r="AB36" s="49"/>
      <c r="AC36" s="80"/>
      <c r="AD36" s="81"/>
      <c r="AE36" s="81"/>
      <c r="AF36" s="81"/>
      <c r="AG36" s="46"/>
    </row>
    <row r="37" spans="1:35"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c r="U37" s="40">
        <f>IF($F37&amp;"/Día"=W$9,SUM($G37:$H37),"")</f>
        <v>0</v>
      </c>
      <c r="V37" s="40">
        <f>IF(U37&lt;&gt;"",$O37,"")</f>
        <v>0</v>
      </c>
      <c r="W37" s="75">
        <f t="shared" si="10"/>
        <v>0</v>
      </c>
      <c r="X37" s="76">
        <f>IF(U37=0,0,IF($F37&amp;"/Día"=W$9,ROUND(V37/U37,4),""))</f>
        <v>0</v>
      </c>
      <c r="Y37" s="76">
        <f>IF(U37=0,0,IF($F37&amp;"/Día"=W$9,ROUND(Z37/U37,4),""))</f>
        <v>0</v>
      </c>
      <c r="Z37" s="40">
        <f>IF(U37&lt;&gt;"",$P37,"")</f>
        <v>0</v>
      </c>
      <c r="AA37" s="40" t="str">
        <f>IF($F37&amp;"/Día"=AC$9,SUM($G37:$H37),"")</f>
        <v/>
      </c>
      <c r="AB37" s="40" t="str">
        <f>IF(AA37&lt;&gt;"",$O37,"")</f>
        <v/>
      </c>
      <c r="AC37" s="75" t="str">
        <f t="shared" si="12"/>
        <v/>
      </c>
      <c r="AD37" s="76" t="str">
        <f>IF(AA37=0,0,IF($F37&amp;"/Día"=AC$9,ROUND(AB37/AA37,4),""))</f>
        <v/>
      </c>
      <c r="AE37" s="76" t="str">
        <f>IF(AA37=0,0,IF($F37&amp;"/Día"=AC$9,ROUND(AF37/AA37,4),""))</f>
        <v/>
      </c>
      <c r="AF37" s="40" t="str">
        <f>IF(AA37&lt;&gt;"",$P37,"")</f>
        <v/>
      </c>
      <c r="AG37" s="50"/>
    </row>
    <row r="38" spans="1:35" x14ac:dyDescent="0.2">
      <c r="A38" s="26" t="s">
        <v>28</v>
      </c>
      <c r="B38" s="29" t="s">
        <v>53</v>
      </c>
      <c r="C38" s="56"/>
      <c r="D38" s="56"/>
      <c r="E38" s="5"/>
      <c r="F38" s="33"/>
      <c r="G38" s="222"/>
      <c r="H38" s="222"/>
      <c r="I38" s="216"/>
      <c r="J38" s="216"/>
      <c r="K38" s="222"/>
      <c r="L38" s="222"/>
      <c r="M38" s="222"/>
      <c r="N38" s="222"/>
      <c r="O38" s="224"/>
      <c r="P38" s="224"/>
      <c r="Q38" s="224"/>
      <c r="R38" s="225"/>
      <c r="S38" s="224"/>
      <c r="T38" s="225"/>
      <c r="U38" s="40" t="str">
        <f>IF($F38&amp;"/Día"=W$9,SUM($G38:$H38),"")</f>
        <v/>
      </c>
      <c r="V38" s="40" t="str">
        <f>IF(U38&lt;&gt;"",$O38,"")</f>
        <v/>
      </c>
      <c r="W38" s="75" t="str">
        <f t="shared" si="10"/>
        <v/>
      </c>
      <c r="X38" s="76" t="str">
        <f>IF(U38=0,0,IF($F38&amp;"/Día"=W$9,ROUND(V38/U38,4),""))</f>
        <v/>
      </c>
      <c r="Y38" s="76" t="str">
        <f>IF(U38=0,0,IF($F38&amp;"/Día"=W$9,ROUND(Z38/U38,4),""))</f>
        <v/>
      </c>
      <c r="Z38" s="40" t="str">
        <f>IF(U38&lt;&gt;"",$P38,"")</f>
        <v/>
      </c>
      <c r="AA38" s="40" t="str">
        <f>IF($F38&amp;"/Día"=AC$9,SUM($G38:$H38),"")</f>
        <v/>
      </c>
      <c r="AB38" s="40" t="str">
        <f>IF(AA38&lt;&gt;"",$O38,"")</f>
        <v/>
      </c>
      <c r="AC38" s="75" t="str">
        <f t="shared" si="12"/>
        <v/>
      </c>
      <c r="AD38" s="76" t="str">
        <f>IF(AA38=0,0,IF($F38&amp;"/Día"=AC$9,ROUND(AB38/AA38,4),""))</f>
        <v/>
      </c>
      <c r="AE38" s="76" t="str">
        <f>IF(AA38=0,0,IF($F38&amp;"/Día"=AC$9,ROUND(AF38/AA38,4),""))</f>
        <v/>
      </c>
      <c r="AF38" s="40" t="str">
        <f>IF(AA38&lt;&gt;"",$P38,"")</f>
        <v/>
      </c>
      <c r="AG38" s="50"/>
      <c r="AI38" s="257"/>
    </row>
    <row r="39" spans="1:35"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c r="U39" s="43">
        <f>SUM(U37:U38)</f>
        <v>0</v>
      </c>
      <c r="V39" s="43">
        <f>SUM(V37:V38)</f>
        <v>0</v>
      </c>
      <c r="W39" s="82">
        <f>SUM(W37:W38)</f>
        <v>0</v>
      </c>
      <c r="X39" s="83" t="e">
        <f>ROUND(V39/U39,4)</f>
        <v>#DIV/0!</v>
      </c>
      <c r="Y39" s="83" t="e">
        <f>ROUND(Z39/U39,4)</f>
        <v>#DIV/0!</v>
      </c>
      <c r="Z39" s="43">
        <f>SUM(Z37:Z38)</f>
        <v>0</v>
      </c>
      <c r="AA39" s="43">
        <f>SUM(AA37:AA38)</f>
        <v>0</v>
      </c>
      <c r="AB39" s="43">
        <f>SUM(AB37:AB38)</f>
        <v>0</v>
      </c>
      <c r="AC39" s="82">
        <f>SUM(AC37:AC38)</f>
        <v>0</v>
      </c>
      <c r="AD39" s="83">
        <f>IF(AA39=0,0,ROUND(AB39/AA39,4))</f>
        <v>0</v>
      </c>
      <c r="AE39" s="83">
        <f>IF(AA39=0,0,ROUND(AF39/AA39,4))</f>
        <v>0</v>
      </c>
      <c r="AF39" s="43">
        <f>SUM(AF37:AF38)</f>
        <v>0</v>
      </c>
      <c r="AG39" s="77">
        <f>P39-Z39-AF39</f>
        <v>0</v>
      </c>
    </row>
    <row r="40" spans="1:35"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c r="U40" s="140"/>
      <c r="V40" s="140"/>
      <c r="W40" s="141"/>
      <c r="X40" s="142"/>
      <c r="Y40" s="142"/>
      <c r="Z40" s="140"/>
      <c r="AA40" s="140"/>
      <c r="AB40" s="140"/>
      <c r="AC40" s="141"/>
      <c r="AD40" s="142"/>
      <c r="AE40" s="142"/>
      <c r="AF40" s="140"/>
      <c r="AG40" s="140"/>
      <c r="AI40" s="257"/>
    </row>
    <row r="41" spans="1:35"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c r="U41" s="46"/>
      <c r="V41" s="46"/>
      <c r="W41" s="73"/>
      <c r="X41" s="74"/>
      <c r="Y41" s="74"/>
      <c r="Z41" s="74"/>
      <c r="AA41" s="46"/>
      <c r="AB41" s="46"/>
      <c r="AC41" s="73"/>
      <c r="AD41" s="74"/>
      <c r="AE41" s="74"/>
      <c r="AF41" s="74"/>
      <c r="AG41" s="46"/>
      <c r="AI41" s="257"/>
    </row>
    <row r="42" spans="1:35"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c r="U42" s="40">
        <f t="shared" ref="U42:U47" si="16">IF($F42&amp;"/Día"=W$9,SUM($G42:$H42),"")</f>
        <v>0</v>
      </c>
      <c r="V42" s="40">
        <f t="shared" ref="V42:V47" si="17">IF(U42&lt;&gt;"",$O42,"")</f>
        <v>0</v>
      </c>
      <c r="W42" s="75">
        <f t="shared" ref="W42:W47" si="18">IF($F42&amp;"/Día"=W$9,ROUND(U42/$W$1,1),"")</f>
        <v>0</v>
      </c>
      <c r="X42" s="76">
        <f t="shared" ref="X42:X47" si="19">IF(U42=0,0,IF($F42&amp;"/Día"=W$9,ROUND(V42/U42,4),""))</f>
        <v>0</v>
      </c>
      <c r="Y42" s="76">
        <f t="shared" ref="Y42:Y47" si="20">IF(U42=0,0,IF($F42&amp;"/Día"=W$9,ROUND(Z42/U42,4),""))</f>
        <v>0</v>
      </c>
      <c r="Z42" s="40">
        <f t="shared" ref="Z42:Z47" si="21">IF(U42&lt;&gt;"",$P42,"")</f>
        <v>0</v>
      </c>
      <c r="AA42" s="40" t="str">
        <f t="shared" ref="AA42:AA47" si="22">IF($F42&amp;"/Día"=AC$9,SUM($G42:$H42),"")</f>
        <v/>
      </c>
      <c r="AB42" s="40" t="str">
        <f t="shared" ref="AB42:AB47" si="23">IF(AA42&lt;&gt;"",$O42,"")</f>
        <v/>
      </c>
      <c r="AC42" s="75" t="str">
        <f t="shared" ref="AC42:AC47" si="24">IF($F42&amp;"/Día"=AC$9,ROUND(AA42/$W$1,1),"")</f>
        <v/>
      </c>
      <c r="AD42" s="76" t="str">
        <f t="shared" ref="AD42:AD47" si="25">IF(AA42=0,0,IF($F42&amp;"/Día"=AC$9,ROUND(AB42/AA42,4),""))</f>
        <v/>
      </c>
      <c r="AE42" s="76" t="str">
        <f t="shared" ref="AE42:AE47" si="26">IF(AA42=0,0,IF($F42&amp;"/Día"=AC$9,ROUND(AF42/AA42,4),""))</f>
        <v/>
      </c>
      <c r="AF42" s="40" t="str">
        <f t="shared" ref="AF42:AF47" si="27">IF(AA42&lt;&gt;"",$P42,"")</f>
        <v/>
      </c>
      <c r="AG42" s="50"/>
    </row>
    <row r="43" spans="1:35" x14ac:dyDescent="0.2">
      <c r="A43" s="23" t="s">
        <v>28</v>
      </c>
      <c r="B43" s="24" t="s">
        <v>12</v>
      </c>
      <c r="C43" s="57" t="s">
        <v>31</v>
      </c>
      <c r="D43" s="57" t="s">
        <v>30</v>
      </c>
      <c r="E43" s="57" t="s">
        <v>101</v>
      </c>
      <c r="F43" s="238" t="s">
        <v>56</v>
      </c>
      <c r="G43" s="215"/>
      <c r="H43" s="215"/>
      <c r="I43" s="217"/>
      <c r="J43" s="217"/>
      <c r="K43" s="222"/>
      <c r="L43" s="222"/>
      <c r="M43" s="222"/>
      <c r="N43" s="386"/>
      <c r="O43" s="224">
        <f>ROUND(G43*I43,2)+ROUND(H43*J43,2)-K43-L43-M43-N43</f>
        <v>0</v>
      </c>
      <c r="P43" s="222">
        <f>ROUND(18.75%*O43,2)</f>
        <v>0</v>
      </c>
      <c r="Q43" s="222">
        <f>ROUND($O43*R43,2)</f>
        <v>0</v>
      </c>
      <c r="R43" s="258">
        <v>3.7499999999999999E-2</v>
      </c>
      <c r="S43" s="222">
        <f>ROUND($O43*T43,2)</f>
        <v>0</v>
      </c>
      <c r="T43" s="223">
        <v>0.15</v>
      </c>
      <c r="U43" s="40" t="str">
        <f t="shared" si="16"/>
        <v/>
      </c>
      <c r="V43" s="40" t="str">
        <f t="shared" si="17"/>
        <v/>
      </c>
      <c r="W43" s="75" t="str">
        <f t="shared" si="18"/>
        <v/>
      </c>
      <c r="X43" s="76" t="str">
        <f t="shared" si="19"/>
        <v/>
      </c>
      <c r="Y43" s="76" t="str">
        <f t="shared" si="20"/>
        <v/>
      </c>
      <c r="Z43" s="40" t="str">
        <f t="shared" si="21"/>
        <v/>
      </c>
      <c r="AA43" s="40">
        <f t="shared" si="22"/>
        <v>0</v>
      </c>
      <c r="AB43" s="40">
        <f t="shared" si="23"/>
        <v>0</v>
      </c>
      <c r="AC43" s="75">
        <f t="shared" si="24"/>
        <v>0</v>
      </c>
      <c r="AD43" s="76">
        <f t="shared" si="25"/>
        <v>0</v>
      </c>
      <c r="AE43" s="76">
        <f t="shared" si="26"/>
        <v>0</v>
      </c>
      <c r="AF43" s="40">
        <f t="shared" si="27"/>
        <v>0</v>
      </c>
      <c r="AG43" s="50"/>
      <c r="AI43" s="257"/>
    </row>
    <row r="44" spans="1:35" x14ac:dyDescent="0.2">
      <c r="A44" s="23" t="s">
        <v>28</v>
      </c>
      <c r="B44" s="24" t="s">
        <v>75</v>
      </c>
      <c r="C44" s="57" t="s">
        <v>31</v>
      </c>
      <c r="D44" s="57" t="s">
        <v>30</v>
      </c>
      <c r="E44" s="57" t="s">
        <v>103</v>
      </c>
      <c r="F44" s="238" t="s">
        <v>37</v>
      </c>
      <c r="G44" s="215"/>
      <c r="H44" s="215"/>
      <c r="I44" s="217"/>
      <c r="J44" s="217"/>
      <c r="K44" s="222"/>
      <c r="L44" s="222"/>
      <c r="M44" s="222"/>
      <c r="N44" s="386"/>
      <c r="O44" s="224">
        <f>ROUND(G44*I44,2)+ROUND(H44*J44,2)-K44-L44-M44-N44</f>
        <v>0</v>
      </c>
      <c r="P44" s="222">
        <f>ROUND(18.75%*O44,2)</f>
        <v>0</v>
      </c>
      <c r="Q44" s="222">
        <f>ROUND($O44*R44,2)</f>
        <v>0</v>
      </c>
      <c r="R44" s="258">
        <v>3.7499999999999999E-2</v>
      </c>
      <c r="S44" s="222">
        <f>ROUND($O44*T44,2)</f>
        <v>0</v>
      </c>
      <c r="T44" s="223">
        <v>0.15</v>
      </c>
      <c r="U44" s="40">
        <f t="shared" si="16"/>
        <v>0</v>
      </c>
      <c r="V44" s="40">
        <f t="shared" si="17"/>
        <v>0</v>
      </c>
      <c r="W44" s="75">
        <f t="shared" si="18"/>
        <v>0</v>
      </c>
      <c r="X44" s="76">
        <f t="shared" si="19"/>
        <v>0</v>
      </c>
      <c r="Y44" s="76">
        <f t="shared" si="20"/>
        <v>0</v>
      </c>
      <c r="Z44" s="40">
        <f t="shared" si="21"/>
        <v>0</v>
      </c>
      <c r="AA44" s="40" t="str">
        <f t="shared" si="22"/>
        <v/>
      </c>
      <c r="AB44" s="40" t="str">
        <f t="shared" si="23"/>
        <v/>
      </c>
      <c r="AC44" s="75" t="str">
        <f t="shared" si="24"/>
        <v/>
      </c>
      <c r="AD44" s="76" t="str">
        <f t="shared" si="25"/>
        <v/>
      </c>
      <c r="AE44" s="76" t="str">
        <f t="shared" si="26"/>
        <v/>
      </c>
      <c r="AF44" s="40" t="str">
        <f t="shared" si="27"/>
        <v/>
      </c>
      <c r="AG44" s="50"/>
    </row>
    <row r="45" spans="1:35" x14ac:dyDescent="0.2">
      <c r="A45" s="23" t="s">
        <v>28</v>
      </c>
      <c r="B45" s="578">
        <v>95</v>
      </c>
      <c r="C45" s="579" t="s">
        <v>31</v>
      </c>
      <c r="D45" s="579" t="s">
        <v>30</v>
      </c>
      <c r="E45" s="579" t="s">
        <v>101</v>
      </c>
      <c r="F45" s="580" t="s">
        <v>37</v>
      </c>
      <c r="G45" s="518"/>
      <c r="H45" s="518"/>
      <c r="I45" s="519"/>
      <c r="J45" s="519"/>
      <c r="K45" s="518"/>
      <c r="L45" s="520"/>
      <c r="M45" s="520"/>
      <c r="N45" s="581"/>
      <c r="O45" s="224">
        <f>ROUND(G45*I45,2)+ROUND(H45*J45,2)-K45-L45-M45-N45</f>
        <v>0</v>
      </c>
      <c r="P45" s="222">
        <f>ROUND(18.75%*O45,2)</f>
        <v>0</v>
      </c>
      <c r="Q45" s="222">
        <f>P45-S45</f>
        <v>0</v>
      </c>
      <c r="R45" s="223">
        <v>0.15</v>
      </c>
      <c r="S45" s="222">
        <f>ROUND($O45*T45,2)</f>
        <v>0</v>
      </c>
      <c r="T45" s="258">
        <v>3.7499999999999999E-2</v>
      </c>
      <c r="U45" s="40">
        <f>IF($F45&amp;"/Día"=W$9,SUM($G45:$H45),"")</f>
        <v>0</v>
      </c>
      <c r="V45" s="40">
        <f>IF(U45&lt;&gt;"",$O45,"")</f>
        <v>0</v>
      </c>
      <c r="W45" s="75">
        <f>IF($F45&amp;"/Día"=W$9,ROUND(U45/$W$1,1),"")</f>
        <v>0</v>
      </c>
      <c r="X45" s="76">
        <f>IF(U45=0,0,IF($F45&amp;"/Día"=W$9,ROUND(V45/U45,4),""))</f>
        <v>0</v>
      </c>
      <c r="Y45" s="76">
        <f>IF(U45=0,0,IF($F45&amp;"/Día"=W$9,ROUND(Z45/U45,4),""))</f>
        <v>0</v>
      </c>
      <c r="Z45" s="40">
        <f>IF(U45&lt;&gt;"",$P45,"")</f>
        <v>0</v>
      </c>
      <c r="AA45" s="40" t="str">
        <f>IF($F45&amp;"/Día"=AC$9,SUM($G45:$H45),"")</f>
        <v/>
      </c>
      <c r="AB45" s="40" t="str">
        <f>IF(AA45&lt;&gt;"",$O45,"")</f>
        <v/>
      </c>
      <c r="AC45" s="75" t="str">
        <f>IF($F45&amp;"/Día"=AC$9,ROUND(AA45/$W$1,1),"")</f>
        <v/>
      </c>
      <c r="AD45" s="76" t="str">
        <f>IF(AA45=0,0,IF($F45&amp;"/Día"=AC$9,ROUND(AB45/AA45,4),""))</f>
        <v/>
      </c>
      <c r="AE45" s="76" t="str">
        <f>IF(AA45=0,0,IF($F45&amp;"/Día"=AC$9,ROUND(AF45/AA45,4),""))</f>
        <v/>
      </c>
      <c r="AF45" s="40" t="str">
        <f>IF(AA45&lt;&gt;"",$P45,"")</f>
        <v/>
      </c>
      <c r="AG45" s="50"/>
    </row>
    <row r="46" spans="1:35"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c r="U46" s="40">
        <f>IF($F46&amp;"/Día"=W$9,SUM($G46:$H46),"")</f>
        <v>0</v>
      </c>
      <c r="V46" s="40">
        <f>IF(U46&lt;&gt;"",$O46,"")</f>
        <v>0</v>
      </c>
      <c r="W46" s="75">
        <f>IF($F46&amp;"/Día"=W$9,ROUND(U46/$W$1,1),"")</f>
        <v>0</v>
      </c>
      <c r="X46" s="76">
        <f>IF(U46=0,0,IF($F46&amp;"/Día"=W$9,ROUND(V46/U46,4),""))</f>
        <v>0</v>
      </c>
      <c r="Y46" s="76">
        <f>IF(U46=0,0,IF($F46&amp;"/Día"=W$9,ROUND(Z46/U46,4),""))</f>
        <v>0</v>
      </c>
      <c r="Z46" s="40">
        <f>IF(U46&lt;&gt;"",$P46,"")</f>
        <v>0</v>
      </c>
      <c r="AA46" s="40" t="str">
        <f>IF($F46&amp;"/Día"=AC$9,SUM($G46:$H46),"")</f>
        <v/>
      </c>
      <c r="AB46" s="40" t="str">
        <f>IF(AA46&lt;&gt;"",$O46,"")</f>
        <v/>
      </c>
      <c r="AC46" s="75" t="str">
        <f>IF($F46&amp;"/Día"=AC$9,ROUND(AA46/$W$1,1),"")</f>
        <v/>
      </c>
      <c r="AD46" s="76" t="str">
        <f>IF(AA46=0,0,IF($F46&amp;"/Día"=AC$9,ROUND(AB46/AA46,4),""))</f>
        <v/>
      </c>
      <c r="AE46" s="76" t="str">
        <f>IF(AA46=0,0,IF($F46&amp;"/Día"=AC$9,ROUND(AF46/AA46,4),""))</f>
        <v/>
      </c>
      <c r="AF46" s="40" t="str">
        <f>IF(AA46&lt;&gt;"",$P46,"")</f>
        <v/>
      </c>
      <c r="AG46" s="50"/>
    </row>
    <row r="47" spans="1:35" x14ac:dyDescent="0.2">
      <c r="A47" s="18" t="s">
        <v>28</v>
      </c>
      <c r="B47" s="29" t="s">
        <v>54</v>
      </c>
      <c r="C47" s="56"/>
      <c r="D47" s="27"/>
      <c r="E47" s="27"/>
      <c r="F47" s="238"/>
      <c r="G47" s="222"/>
      <c r="H47" s="222"/>
      <c r="I47" s="216"/>
      <c r="J47" s="216"/>
      <c r="K47" s="222"/>
      <c r="L47" s="222"/>
      <c r="M47" s="222"/>
      <c r="N47" s="222"/>
      <c r="O47" s="222"/>
      <c r="P47" s="222"/>
      <c r="Q47" s="222"/>
      <c r="R47" s="222"/>
      <c r="S47" s="222"/>
      <c r="T47" s="223"/>
      <c r="U47" s="40" t="str">
        <f t="shared" si="16"/>
        <v/>
      </c>
      <c r="V47" s="40" t="str">
        <f t="shared" si="17"/>
        <v/>
      </c>
      <c r="W47" s="75" t="str">
        <f t="shared" si="18"/>
        <v/>
      </c>
      <c r="X47" s="76" t="str">
        <f t="shared" si="19"/>
        <v/>
      </c>
      <c r="Y47" s="76" t="str">
        <f t="shared" si="20"/>
        <v/>
      </c>
      <c r="Z47" s="40" t="str">
        <f t="shared" si="21"/>
        <v/>
      </c>
      <c r="AA47" s="40" t="str">
        <f t="shared" si="22"/>
        <v/>
      </c>
      <c r="AB47" s="40" t="str">
        <f t="shared" si="23"/>
        <v/>
      </c>
      <c r="AC47" s="75" t="str">
        <f t="shared" si="24"/>
        <v/>
      </c>
      <c r="AD47" s="76" t="str">
        <f t="shared" si="25"/>
        <v/>
      </c>
      <c r="AE47" s="76" t="str">
        <f t="shared" si="26"/>
        <v/>
      </c>
      <c r="AF47" s="40" t="str">
        <f t="shared" si="27"/>
        <v/>
      </c>
      <c r="AG47" s="50"/>
    </row>
    <row r="48" spans="1:35"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c r="U48" s="77">
        <f>SUM(U42:U47)</f>
        <v>0</v>
      </c>
      <c r="V48" s="77">
        <f>SUM(V42:V47)</f>
        <v>0</v>
      </c>
      <c r="W48" s="78">
        <f>SUM(W42:W47)</f>
        <v>0</v>
      </c>
      <c r="X48" s="79" t="e">
        <f>ROUND(V48/U48,4)</f>
        <v>#DIV/0!</v>
      </c>
      <c r="Y48" s="79" t="e">
        <f>ROUND(Z48/U48,4)</f>
        <v>#DIV/0!</v>
      </c>
      <c r="Z48" s="77">
        <f>SUM(Z42:Z47)</f>
        <v>0</v>
      </c>
      <c r="AA48" s="77">
        <f>SUM(AA42:AA47)</f>
        <v>0</v>
      </c>
      <c r="AB48" s="77">
        <f>SUM(AB42:AB47)</f>
        <v>0</v>
      </c>
      <c r="AC48" s="78">
        <f>SUM(AC42:AC47)</f>
        <v>0</v>
      </c>
      <c r="AD48" s="79" t="e">
        <f>ROUND(AB48/AA48,4)</f>
        <v>#DIV/0!</v>
      </c>
      <c r="AE48" s="79" t="e">
        <f>ROUND(AF48/AA48,4)</f>
        <v>#DIV/0!</v>
      </c>
      <c r="AF48" s="77">
        <f>SUM(AF42:AF47)</f>
        <v>0</v>
      </c>
      <c r="AG48" s="77">
        <f>P48-Z48-AF48</f>
        <v>0</v>
      </c>
    </row>
    <row r="49" spans="1:39"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c r="U49" s="149"/>
      <c r="V49" s="149"/>
      <c r="W49" s="150"/>
      <c r="X49" s="151"/>
      <c r="Y49" s="151"/>
      <c r="Z49" s="149"/>
      <c r="AA49" s="149"/>
      <c r="AB49" s="149"/>
      <c r="AC49" s="150"/>
      <c r="AD49" s="151"/>
      <c r="AE49" s="151"/>
      <c r="AF49" s="149"/>
      <c r="AG49" s="149"/>
    </row>
    <row r="50" spans="1:39"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c r="U50" s="149"/>
      <c r="V50" s="149"/>
      <c r="W50" s="150"/>
      <c r="X50" s="151"/>
      <c r="Y50" s="151"/>
      <c r="Z50" s="149"/>
      <c r="AA50" s="149"/>
      <c r="AB50" s="149"/>
      <c r="AC50" s="150"/>
      <c r="AD50" s="151"/>
      <c r="AE50" s="151"/>
      <c r="AF50" s="149"/>
      <c r="AG50" s="149"/>
    </row>
    <row r="51" spans="1:39" x14ac:dyDescent="0.2">
      <c r="A51" s="23" t="s">
        <v>28</v>
      </c>
      <c r="B51" s="24" t="s">
        <v>160</v>
      </c>
      <c r="C51" s="57" t="s">
        <v>31</v>
      </c>
      <c r="D51" s="57" t="s">
        <v>30</v>
      </c>
      <c r="E51" s="57" t="s">
        <v>158</v>
      </c>
      <c r="F51" s="238" t="s">
        <v>37</v>
      </c>
      <c r="G51" s="222"/>
      <c r="H51" s="222"/>
      <c r="I51" s="216"/>
      <c r="J51" s="216"/>
      <c r="K51" s="222"/>
      <c r="L51" s="222"/>
      <c r="M51" s="222"/>
      <c r="N51" s="222"/>
      <c r="O51" s="224">
        <f>G51*I51+H51*J51</f>
        <v>0</v>
      </c>
      <c r="P51" s="253">
        <f>ROUND(37.24%*(G51*I51+H51*J51),2)</f>
        <v>0</v>
      </c>
      <c r="Q51" s="585">
        <f t="shared" ref="Q51:Q56" si="28">ROUND(R51*P51,2)</f>
        <v>0</v>
      </c>
      <c r="R51" s="223">
        <v>0.5</v>
      </c>
      <c r="S51" s="222"/>
      <c r="T51" s="258"/>
      <c r="U51" s="40">
        <f t="shared" ref="U51:U57" si="29">IF($F51&amp;"/Día"=W$9,SUM($G51:$H51),"")</f>
        <v>0</v>
      </c>
      <c r="V51" s="40">
        <f t="shared" ref="V51:V57" si="30">IF(U51&lt;&gt;"",$O51,"")</f>
        <v>0</v>
      </c>
      <c r="W51" s="75">
        <f t="shared" ref="W51:W57" si="31">IF($F51&amp;"/Día"=W$9,ROUND(U51/$W$1,1),"")</f>
        <v>0</v>
      </c>
      <c r="X51" s="76">
        <f t="shared" ref="X51:X57" si="32">IF(U51=0,0,IF($F51&amp;"/Día"=W$9,ROUND(V51/U51,4),""))</f>
        <v>0</v>
      </c>
      <c r="Y51" s="76">
        <f t="shared" ref="Y51:Y57" si="33">IF(U51=0,0,IF($F51&amp;"/Día"=W$9,ROUND(Z51/U51,4),""))</f>
        <v>0</v>
      </c>
      <c r="Z51" s="40">
        <f t="shared" ref="Z51:Z57" si="34">IF(U51&lt;&gt;"",$Q51,"")</f>
        <v>0</v>
      </c>
      <c r="AA51" s="40" t="str">
        <f t="shared" ref="AA51:AA57" si="35">IF($F51&amp;"/Día"=AC$9,SUM($G51:$H51),"")</f>
        <v/>
      </c>
      <c r="AB51" s="40" t="str">
        <f t="shared" ref="AB51:AB57" si="36">IF(AA51&lt;&gt;"",$O51,"")</f>
        <v/>
      </c>
      <c r="AC51" s="75" t="str">
        <f t="shared" ref="AC51:AC57" si="37">IF($F51&amp;"/Día"=AC$9,ROUND(AA51/$W$1,1),"")</f>
        <v/>
      </c>
      <c r="AD51" s="76" t="str">
        <f t="shared" ref="AD51:AD57" si="38">IF(AA51=0,0,IF($F51&amp;"/Día"=AC$9,ROUND(AB51/AA51,4),""))</f>
        <v/>
      </c>
      <c r="AE51" s="76" t="str">
        <f t="shared" ref="AE51:AE57" si="39">IF(AA51=0,0,IF($F51&amp;"/Día"=AC$9,ROUND(AF51/AA51,4),""))</f>
        <v/>
      </c>
      <c r="AF51" s="40" t="str">
        <f t="shared" ref="AF51:AF57" si="40">IF(AA51&lt;&gt;"",$Q51,"")</f>
        <v/>
      </c>
      <c r="AG51" s="149"/>
    </row>
    <row r="52" spans="1:39" x14ac:dyDescent="0.2">
      <c r="A52" s="23" t="s">
        <v>28</v>
      </c>
      <c r="B52" s="24" t="s">
        <v>159</v>
      </c>
      <c r="C52" s="57" t="s">
        <v>31</v>
      </c>
      <c r="D52" s="57" t="s">
        <v>30</v>
      </c>
      <c r="E52" s="57" t="s">
        <v>158</v>
      </c>
      <c r="F52" s="238" t="s">
        <v>56</v>
      </c>
      <c r="G52" s="222"/>
      <c r="H52" s="222"/>
      <c r="I52" s="558"/>
      <c r="J52" s="216"/>
      <c r="K52" s="222"/>
      <c r="L52" s="222"/>
      <c r="M52" s="222"/>
      <c r="N52" s="253"/>
      <c r="O52" s="253" t="e">
        <f>#REF!</f>
        <v>#REF!</v>
      </c>
      <c r="P52" s="253" t="e">
        <f>#REF!</f>
        <v>#REF!</v>
      </c>
      <c r="Q52" s="253" t="e">
        <f>#REF!</f>
        <v>#REF!</v>
      </c>
      <c r="R52" s="223">
        <v>0.5</v>
      </c>
      <c r="S52" s="222"/>
      <c r="T52" s="223"/>
      <c r="U52" s="40" t="str">
        <f t="shared" si="29"/>
        <v/>
      </c>
      <c r="V52" s="40" t="str">
        <f t="shared" si="30"/>
        <v/>
      </c>
      <c r="W52" s="75" t="str">
        <f t="shared" si="31"/>
        <v/>
      </c>
      <c r="X52" s="76" t="str">
        <f t="shared" si="32"/>
        <v/>
      </c>
      <c r="Y52" s="76" t="str">
        <f t="shared" si="33"/>
        <v/>
      </c>
      <c r="Z52" s="40" t="str">
        <f t="shared" si="34"/>
        <v/>
      </c>
      <c r="AA52" s="40">
        <f t="shared" si="35"/>
        <v>0</v>
      </c>
      <c r="AB52" s="40" t="e">
        <f t="shared" si="36"/>
        <v>#REF!</v>
      </c>
      <c r="AC52" s="75">
        <f t="shared" si="37"/>
        <v>0</v>
      </c>
      <c r="AD52" s="76">
        <f t="shared" si="38"/>
        <v>0</v>
      </c>
      <c r="AE52" s="76">
        <f t="shared" si="39"/>
        <v>0</v>
      </c>
      <c r="AF52" s="40" t="e">
        <f t="shared" si="40"/>
        <v>#REF!</v>
      </c>
      <c r="AG52" s="149"/>
    </row>
    <row r="53" spans="1:39" x14ac:dyDescent="0.2">
      <c r="A53" s="23" t="s">
        <v>28</v>
      </c>
      <c r="B53" s="24" t="s">
        <v>168</v>
      </c>
      <c r="C53" s="57" t="s">
        <v>31</v>
      </c>
      <c r="D53" s="57" t="s">
        <v>30</v>
      </c>
      <c r="E53" s="57" t="s">
        <v>158</v>
      </c>
      <c r="F53" s="238" t="s">
        <v>37</v>
      </c>
      <c r="G53" s="222"/>
      <c r="H53" s="222"/>
      <c r="I53" s="216"/>
      <c r="J53" s="216"/>
      <c r="K53" s="222"/>
      <c r="L53" s="222"/>
      <c r="M53" s="222"/>
      <c r="N53" s="222"/>
      <c r="O53" s="224">
        <f>G53*I53+H53*J53</f>
        <v>0</v>
      </c>
      <c r="P53" s="253">
        <f>ROUND(40%*G53*I53,2)+ROUND(40%*H53*J53,2)</f>
        <v>0</v>
      </c>
      <c r="Q53" s="253">
        <f t="shared" si="28"/>
        <v>0</v>
      </c>
      <c r="R53" s="223">
        <v>0.5</v>
      </c>
      <c r="S53" s="222"/>
      <c r="T53" s="223"/>
      <c r="U53" s="40">
        <f t="shared" si="29"/>
        <v>0</v>
      </c>
      <c r="V53" s="40">
        <f t="shared" si="30"/>
        <v>0</v>
      </c>
      <c r="W53" s="75">
        <f t="shared" si="31"/>
        <v>0</v>
      </c>
      <c r="X53" s="76">
        <f t="shared" si="32"/>
        <v>0</v>
      </c>
      <c r="Y53" s="76">
        <f t="shared" si="33"/>
        <v>0</v>
      </c>
      <c r="Z53" s="40">
        <f t="shared" si="34"/>
        <v>0</v>
      </c>
      <c r="AA53" s="40" t="str">
        <f t="shared" si="35"/>
        <v/>
      </c>
      <c r="AB53" s="40" t="str">
        <f t="shared" si="36"/>
        <v/>
      </c>
      <c r="AC53" s="75" t="str">
        <f t="shared" si="37"/>
        <v/>
      </c>
      <c r="AD53" s="76" t="str">
        <f t="shared" si="38"/>
        <v/>
      </c>
      <c r="AE53" s="76" t="str">
        <f t="shared" si="39"/>
        <v/>
      </c>
      <c r="AF53" s="40" t="str">
        <f t="shared" si="40"/>
        <v/>
      </c>
      <c r="AG53" s="149"/>
    </row>
    <row r="54" spans="1:39" x14ac:dyDescent="0.2">
      <c r="A54" s="23" t="s">
        <v>28</v>
      </c>
      <c r="B54" s="24" t="s">
        <v>169</v>
      </c>
      <c r="C54" s="57" t="s">
        <v>31</v>
      </c>
      <c r="D54" s="57" t="s">
        <v>30</v>
      </c>
      <c r="E54" s="57" t="s">
        <v>158</v>
      </c>
      <c r="F54" s="238" t="s">
        <v>56</v>
      </c>
      <c r="G54" s="222"/>
      <c r="H54" s="222"/>
      <c r="I54" s="216"/>
      <c r="J54" s="216"/>
      <c r="K54" s="222"/>
      <c r="L54" s="222"/>
      <c r="M54" s="222"/>
      <c r="N54" s="222"/>
      <c r="O54" s="224">
        <f>G54*I54+H54*J54</f>
        <v>0</v>
      </c>
      <c r="P54" s="253">
        <f>ROUND(38%*(G54*I54+H54*J54),2)</f>
        <v>0</v>
      </c>
      <c r="Q54" s="253">
        <f>ROUND(R54*P54,2)</f>
        <v>0</v>
      </c>
      <c r="R54" s="223">
        <v>0.5</v>
      </c>
      <c r="S54" s="222"/>
      <c r="T54" s="223"/>
      <c r="U54" s="40" t="str">
        <f t="shared" si="29"/>
        <v/>
      </c>
      <c r="V54" s="40" t="str">
        <f t="shared" si="30"/>
        <v/>
      </c>
      <c r="W54" s="75" t="str">
        <f t="shared" si="31"/>
        <v/>
      </c>
      <c r="X54" s="76" t="str">
        <f t="shared" si="32"/>
        <v/>
      </c>
      <c r="Y54" s="76" t="str">
        <f t="shared" si="33"/>
        <v/>
      </c>
      <c r="Z54" s="40" t="str">
        <f t="shared" si="34"/>
        <v/>
      </c>
      <c r="AA54" s="40">
        <f t="shared" si="35"/>
        <v>0</v>
      </c>
      <c r="AB54" s="40">
        <f t="shared" si="36"/>
        <v>0</v>
      </c>
      <c r="AC54" s="75">
        <f t="shared" si="37"/>
        <v>0</v>
      </c>
      <c r="AD54" s="76">
        <f t="shared" si="38"/>
        <v>0</v>
      </c>
      <c r="AE54" s="76">
        <f t="shared" si="39"/>
        <v>0</v>
      </c>
      <c r="AF54" s="40">
        <f t="shared" si="40"/>
        <v>0</v>
      </c>
      <c r="AG54" s="149"/>
    </row>
    <row r="55" spans="1:39" x14ac:dyDescent="0.2">
      <c r="A55" s="23" t="s">
        <v>28</v>
      </c>
      <c r="B55" s="28" t="s">
        <v>175</v>
      </c>
      <c r="C55" s="57" t="s">
        <v>31</v>
      </c>
      <c r="D55" s="57" t="s">
        <v>30</v>
      </c>
      <c r="E55" s="57" t="s">
        <v>158</v>
      </c>
      <c r="F55" s="238" t="s">
        <v>37</v>
      </c>
      <c r="G55" s="222"/>
      <c r="H55" s="222"/>
      <c r="I55" s="216"/>
      <c r="J55" s="216"/>
      <c r="K55" s="215"/>
      <c r="L55" s="222"/>
      <c r="M55" s="222"/>
      <c r="N55" s="215"/>
      <c r="O55" s="224">
        <f>G55*I55+H55*J55</f>
        <v>0</v>
      </c>
      <c r="P55" s="253">
        <f>ROUND(G55*I55,2)*6.59%+ROUND(H55*J55,2)*6.73%</f>
        <v>0</v>
      </c>
      <c r="Q55" s="253">
        <f t="shared" si="28"/>
        <v>0</v>
      </c>
      <c r="R55" s="223">
        <v>0.5</v>
      </c>
      <c r="S55" s="222"/>
      <c r="T55" s="258"/>
      <c r="U55" s="40">
        <f>IF($F55&amp;"/Día"=W$9,SUM($G55:$H55),"")</f>
        <v>0</v>
      </c>
      <c r="V55" s="40">
        <f t="shared" si="30"/>
        <v>0</v>
      </c>
      <c r="W55" s="75">
        <f t="shared" si="31"/>
        <v>0</v>
      </c>
      <c r="X55" s="76">
        <f t="shared" si="32"/>
        <v>0</v>
      </c>
      <c r="Y55" s="76">
        <f>IF(U55=0,0,IF($F55&amp;"/Día"=W$9,ROUND(Z55/U55,4),""))</f>
        <v>0</v>
      </c>
      <c r="Z55" s="40">
        <f>IF(U55&lt;&gt;"",$Q55,"")</f>
        <v>0</v>
      </c>
      <c r="AA55" s="40" t="str">
        <f t="shared" si="35"/>
        <v/>
      </c>
      <c r="AB55" s="40" t="str">
        <f t="shared" si="36"/>
        <v/>
      </c>
      <c r="AC55" s="75" t="str">
        <f t="shared" si="37"/>
        <v/>
      </c>
      <c r="AD55" s="76" t="str">
        <f t="shared" si="38"/>
        <v/>
      </c>
      <c r="AE55" s="76" t="str">
        <f>IF(AA55=0,0,IF($F55&amp;"/Día"=AC$9,ROUND(AF55/AA55,4),""))</f>
        <v/>
      </c>
      <c r="AF55" s="40" t="str">
        <f>IF(AA55&lt;&gt;"",$Q55,"")</f>
        <v/>
      </c>
      <c r="AG55" s="149"/>
    </row>
    <row r="56" spans="1:39" x14ac:dyDescent="0.2">
      <c r="A56" s="23" t="s">
        <v>28</v>
      </c>
      <c r="B56" s="272" t="s">
        <v>176</v>
      </c>
      <c r="C56" s="57" t="s">
        <v>31</v>
      </c>
      <c r="D56" s="57" t="s">
        <v>30</v>
      </c>
      <c r="E56" s="57" t="s">
        <v>158</v>
      </c>
      <c r="F56" s="238" t="s">
        <v>56</v>
      </c>
      <c r="G56" s="222"/>
      <c r="H56" s="222"/>
      <c r="I56" s="216"/>
      <c r="J56" s="216"/>
      <c r="K56" s="559"/>
      <c r="L56" s="222"/>
      <c r="M56" s="222"/>
      <c r="N56" s="215"/>
      <c r="O56" s="224">
        <f>G56*I56+H56*J56</f>
        <v>0</v>
      </c>
      <c r="P56" s="253">
        <f>ROUND(G56*I56,2)*10.87%+ROUND(H56*J56,2)*11.21%</f>
        <v>0</v>
      </c>
      <c r="Q56" s="253">
        <f t="shared" si="28"/>
        <v>0</v>
      </c>
      <c r="R56" s="223">
        <v>0.5</v>
      </c>
      <c r="S56" s="222"/>
      <c r="T56" s="258"/>
      <c r="U56" s="40" t="str">
        <f>IF($F56&amp;"/Día"=W$9,SUM($G56:$H56),"")</f>
        <v/>
      </c>
      <c r="V56" s="40" t="str">
        <f t="shared" si="30"/>
        <v/>
      </c>
      <c r="W56" s="75" t="str">
        <f t="shared" si="31"/>
        <v/>
      </c>
      <c r="X56" s="76" t="str">
        <f t="shared" si="32"/>
        <v/>
      </c>
      <c r="Y56" s="76" t="str">
        <f>IF(U56=0,0,IF($F56&amp;"/Día"=W$9,ROUND(Z56/U56,4),""))</f>
        <v/>
      </c>
      <c r="Z56" s="40" t="str">
        <f>IF(U56&lt;&gt;"",$Q56,"")</f>
        <v/>
      </c>
      <c r="AA56" s="40">
        <f t="shared" si="35"/>
        <v>0</v>
      </c>
      <c r="AB56" s="40">
        <f t="shared" si="36"/>
        <v>0</v>
      </c>
      <c r="AC56" s="75">
        <f t="shared" si="37"/>
        <v>0</v>
      </c>
      <c r="AD56" s="76">
        <f t="shared" si="38"/>
        <v>0</v>
      </c>
      <c r="AE56" s="76">
        <f>IF(AA56=0,0,IF($F56&amp;"/Día"=AC$9,ROUND(AF56/AA56,4),""))</f>
        <v>0</v>
      </c>
      <c r="AF56" s="40">
        <f>IF(AA56&lt;&gt;"",$Q56,"")</f>
        <v>0</v>
      </c>
      <c r="AG56" s="149"/>
    </row>
    <row r="57" spans="1:39" x14ac:dyDescent="0.2">
      <c r="A57" s="181" t="s">
        <v>28</v>
      </c>
      <c r="B57" s="182" t="s">
        <v>162</v>
      </c>
      <c r="C57" s="183"/>
      <c r="D57" s="183"/>
      <c r="E57" s="184"/>
      <c r="F57" s="33"/>
      <c r="G57" s="261"/>
      <c r="H57" s="262"/>
      <c r="I57" s="262"/>
      <c r="J57" s="263"/>
      <c r="K57" s="263"/>
      <c r="L57" s="263"/>
      <c r="M57" s="187"/>
      <c r="N57" s="187"/>
      <c r="O57" s="990"/>
      <c r="P57" s="990"/>
      <c r="Q57" s="990"/>
      <c r="R57" s="148"/>
      <c r="S57" s="188"/>
      <c r="T57" s="148"/>
      <c r="U57" s="40" t="str">
        <f t="shared" si="29"/>
        <v/>
      </c>
      <c r="V57" s="40" t="str">
        <f t="shared" si="30"/>
        <v/>
      </c>
      <c r="W57" s="75" t="str">
        <f t="shared" si="31"/>
        <v/>
      </c>
      <c r="X57" s="76" t="str">
        <f t="shared" si="32"/>
        <v/>
      </c>
      <c r="Y57" s="76" t="str">
        <f t="shared" si="33"/>
        <v/>
      </c>
      <c r="Z57" s="40" t="str">
        <f t="shared" si="34"/>
        <v/>
      </c>
      <c r="AA57" s="40" t="str">
        <f t="shared" si="35"/>
        <v/>
      </c>
      <c r="AB57" s="40" t="str">
        <f t="shared" si="36"/>
        <v/>
      </c>
      <c r="AC57" s="75" t="str">
        <f t="shared" si="37"/>
        <v/>
      </c>
      <c r="AD57" s="76" t="str">
        <f t="shared" si="38"/>
        <v/>
      </c>
      <c r="AE57" s="76" t="str">
        <f t="shared" si="39"/>
        <v/>
      </c>
      <c r="AF57" s="40" t="str">
        <f t="shared" si="40"/>
        <v/>
      </c>
      <c r="AG57" s="149"/>
    </row>
    <row r="58" spans="1:39" x14ac:dyDescent="0.2">
      <c r="A58" s="30"/>
      <c r="B58" s="153" t="s">
        <v>108</v>
      </c>
      <c r="C58" s="31" t="str">
        <f>TEXT(A$50,)&amp;" US$"</f>
        <v>Cusco US$</v>
      </c>
      <c r="D58" s="19"/>
      <c r="E58" s="19"/>
      <c r="F58" s="268"/>
      <c r="G58" s="254">
        <f>SUM(G54:G54)</f>
        <v>0</v>
      </c>
      <c r="H58" s="254">
        <f>SUM(H54:H54)</f>
        <v>0</v>
      </c>
      <c r="I58" s="304"/>
      <c r="J58" s="254"/>
      <c r="K58" s="265"/>
      <c r="L58" s="259"/>
      <c r="M58" s="303"/>
      <c r="N58" s="201"/>
      <c r="O58" s="201" t="e">
        <f>SUM(O51:O57)</f>
        <v>#REF!</v>
      </c>
      <c r="P58" s="201" t="e">
        <f>SUM(P51:P57)</f>
        <v>#REF!</v>
      </c>
      <c r="Q58" s="201" t="e">
        <f>SUM(Q51:Q57)</f>
        <v>#REF!</v>
      </c>
      <c r="R58" s="560"/>
      <c r="S58" s="192"/>
      <c r="T58" s="148"/>
      <c r="U58" s="77">
        <f>SUM(U51:U57)</f>
        <v>0</v>
      </c>
      <c r="V58" s="77">
        <f>SUM(V51:V57)</f>
        <v>0</v>
      </c>
      <c r="W58" s="78">
        <f>SUM(W51:W57)</f>
        <v>0</v>
      </c>
      <c r="X58" s="79" t="e">
        <f>ROUND(V58/U58,4)</f>
        <v>#DIV/0!</v>
      </c>
      <c r="Y58" s="79" t="e">
        <f>ROUND(Z58/U58,4)</f>
        <v>#DIV/0!</v>
      </c>
      <c r="Z58" s="77">
        <f>SUM(Z51:Z57)</f>
        <v>0</v>
      </c>
      <c r="AA58" s="77">
        <f>SUM(AA51:AA57)</f>
        <v>0</v>
      </c>
      <c r="AB58" s="77" t="e">
        <f>SUM(AB51:AB57)</f>
        <v>#REF!</v>
      </c>
      <c r="AC58" s="78">
        <f>SUM(AC51:AC57)</f>
        <v>0</v>
      </c>
      <c r="AD58" s="79" t="e">
        <f>ROUND(AB58/AA58,4)</f>
        <v>#REF!</v>
      </c>
      <c r="AE58" s="79" t="e">
        <f>ROUND(AF58/AA58,4)</f>
        <v>#REF!</v>
      </c>
      <c r="AF58" s="77" t="e">
        <f>SUM(AF51:AF57)</f>
        <v>#REF!</v>
      </c>
      <c r="AG58" s="77" t="e">
        <f>Q58-Z58-AF58</f>
        <v>#REF!</v>
      </c>
    </row>
    <row r="59" spans="1:39"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t="e">
        <f>Q58*F1</f>
        <v>#REF!</v>
      </c>
      <c r="R59" s="185"/>
      <c r="S59" s="192"/>
      <c r="T59" s="148"/>
      <c r="U59" s="149"/>
      <c r="V59" s="149"/>
      <c r="W59" s="150"/>
      <c r="X59" s="151"/>
      <c r="Y59" s="151"/>
      <c r="Z59" s="149"/>
      <c r="AA59" s="149"/>
      <c r="AB59" s="149"/>
      <c r="AC59" s="150"/>
      <c r="AD59" s="151"/>
      <c r="AE59" s="151"/>
      <c r="AF59" s="149"/>
      <c r="AG59" s="149"/>
      <c r="AJ59" s="51" t="s">
        <v>189</v>
      </c>
      <c r="AK59" s="143"/>
      <c r="AL59" s="143" t="e">
        <f>P34</f>
        <v>#REF!</v>
      </c>
      <c r="AM59" s="143" t="s">
        <v>23</v>
      </c>
    </row>
    <row r="60" spans="1:39"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t="e">
        <f>O34+O39+O48+O58</f>
        <v>#REF!</v>
      </c>
      <c r="P60" s="363" t="e">
        <f>Q58+P48+P39+P34</f>
        <v>#REF!</v>
      </c>
      <c r="Q60" s="196" t="e">
        <f>Q35+S35+Q40+Q49+S49+Q59</f>
        <v>#REF!</v>
      </c>
      <c r="R60" s="55"/>
      <c r="S60" s="196"/>
      <c r="T60" s="55"/>
      <c r="U60" s="84">
        <f>U34+U39+U48+U58</f>
        <v>0</v>
      </c>
      <c r="V60" s="84">
        <f>V34+V39+V48+V58</f>
        <v>0</v>
      </c>
      <c r="W60" s="85">
        <f>W34+W39+W48+W58</f>
        <v>0</v>
      </c>
      <c r="X60" s="86" t="e">
        <f>ROUND(V60/U60,4)</f>
        <v>#DIV/0!</v>
      </c>
      <c r="Y60" s="86" t="e">
        <f>ROUND(Z60/U60,4)</f>
        <v>#DIV/0!</v>
      </c>
      <c r="Z60" s="84">
        <f>Z34+Z39+Z48+Z58</f>
        <v>0</v>
      </c>
      <c r="AA60" s="84">
        <f>AA34+AA39+AA48+AA58</f>
        <v>0</v>
      </c>
      <c r="AB60" s="84" t="e">
        <f>AB34+AB39+AB48+AB58</f>
        <v>#REF!</v>
      </c>
      <c r="AC60" s="84">
        <f>AC34+AC39+AC48+AC58</f>
        <v>0</v>
      </c>
      <c r="AD60" s="86" t="e">
        <f>ROUND(AB60/AA60,4)</f>
        <v>#REF!</v>
      </c>
      <c r="AE60" s="86" t="e">
        <f>ROUND(AF60/AA60,4)</f>
        <v>#REF!</v>
      </c>
      <c r="AF60" s="84" t="e">
        <f>AF34+AF39+AF48+AF58</f>
        <v>#REF!</v>
      </c>
      <c r="AG60" s="84" t="e">
        <f>P60-Z60-AF60</f>
        <v>#REF!</v>
      </c>
      <c r="AI60" s="1">
        <v>57</v>
      </c>
      <c r="AJ60" s="51" t="s">
        <v>190</v>
      </c>
      <c r="AK60" s="143"/>
      <c r="AL60" s="143">
        <f>P48</f>
        <v>0</v>
      </c>
      <c r="AM60" s="143" t="s">
        <v>24</v>
      </c>
    </row>
    <row r="61" spans="1:39" x14ac:dyDescent="0.2">
      <c r="G61" s="1"/>
      <c r="H61" s="1"/>
      <c r="I61" s="1"/>
      <c r="J61" s="1"/>
      <c r="K61" s="1"/>
      <c r="M61" s="1112"/>
      <c r="N61" s="1113"/>
      <c r="O61" s="1112"/>
      <c r="P61" s="1112"/>
      <c r="Q61" s="1112"/>
      <c r="R61" s="1112"/>
      <c r="S61" s="1114"/>
      <c r="Z61" s="51"/>
      <c r="AA61" s="51"/>
      <c r="AB61" s="51"/>
      <c r="AC61" s="51"/>
      <c r="AD61" s="51"/>
      <c r="AE61" s="51"/>
      <c r="AI61" s="1">
        <v>56</v>
      </c>
      <c r="AJ61" s="51"/>
      <c r="AK61" s="143"/>
      <c r="AL61" s="143">
        <f>P39</f>
        <v>0</v>
      </c>
      <c r="AM61" s="143" t="s">
        <v>191</v>
      </c>
    </row>
    <row r="62" spans="1:39" x14ac:dyDescent="0.2">
      <c r="A62" s="4" t="s">
        <v>93</v>
      </c>
      <c r="B62" s="1" t="s">
        <v>76</v>
      </c>
      <c r="G62" s="1"/>
      <c r="H62" s="4" t="s">
        <v>77</v>
      </c>
      <c r="I62" s="1"/>
      <c r="J62" s="65"/>
      <c r="K62" s="65"/>
      <c r="M62" s="1112"/>
      <c r="N62" s="1113"/>
      <c r="O62" s="1113"/>
      <c r="P62" s="1114"/>
      <c r="Q62" s="1115"/>
      <c r="R62" s="1112"/>
      <c r="S62" s="1115"/>
      <c r="U62" s="51"/>
      <c r="V62" s="143"/>
      <c r="W62" s="143"/>
      <c r="X62" s="143"/>
      <c r="AI62" s="1">
        <v>88</v>
      </c>
      <c r="AJ62" s="51"/>
      <c r="AK62" s="138">
        <f>SUM(AK59:AK61)</f>
        <v>0</v>
      </c>
      <c r="AL62" s="138" t="e">
        <f>SUM(AL59:AL61)</f>
        <v>#REF!</v>
      </c>
      <c r="AM62" s="143" t="e">
        <f>+AK62-AL62</f>
        <v>#REF!</v>
      </c>
    </row>
    <row r="63" spans="1:39" x14ac:dyDescent="0.2">
      <c r="B63" s="115" t="s">
        <v>78</v>
      </c>
      <c r="C63" s="116" t="s">
        <v>79</v>
      </c>
      <c r="D63" s="117"/>
      <c r="E63" s="118" t="s">
        <v>35</v>
      </c>
      <c r="F63" s="118" t="s">
        <v>80</v>
      </c>
      <c r="G63" s="1"/>
      <c r="H63" s="89" t="s">
        <v>35</v>
      </c>
      <c r="I63" s="8"/>
      <c r="J63" s="8"/>
      <c r="K63" s="8"/>
      <c r="L63" s="90"/>
      <c r="M63" s="1112"/>
      <c r="N63" s="1113"/>
      <c r="O63" s="1113"/>
      <c r="P63" s="1114"/>
      <c r="Q63" s="1115"/>
      <c r="R63" s="1112"/>
      <c r="S63" s="1115"/>
      <c r="U63" s="51"/>
      <c r="V63" s="143"/>
      <c r="W63" s="143"/>
      <c r="X63" s="143"/>
      <c r="AJ63" s="51"/>
    </row>
    <row r="64" spans="1:39"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1111"/>
      <c r="N64" s="1111"/>
      <c r="O64" s="1115"/>
      <c r="P64" s="1116"/>
      <c r="Q64" s="1116"/>
      <c r="R64" s="1112"/>
      <c r="S64" s="1116"/>
      <c r="U64" s="51"/>
      <c r="V64" s="143"/>
      <c r="W64" s="143"/>
      <c r="X64" s="143"/>
      <c r="AJ64" s="51" t="s">
        <v>194</v>
      </c>
      <c r="AK64" s="143"/>
      <c r="AL64" s="143"/>
      <c r="AM64" s="143"/>
    </row>
    <row r="65" spans="1:39" x14ac:dyDescent="0.2">
      <c r="B65" s="97" t="s">
        <v>83</v>
      </c>
      <c r="C65" s="98" t="s">
        <v>84</v>
      </c>
      <c r="D65" s="99"/>
      <c r="E65" s="100"/>
      <c r="F65" s="101"/>
      <c r="G65" s="1"/>
      <c r="H65" s="102">
        <f>((85.98%*E64+4.4221)*E67+(E65-E66-E69)*(1-E67))</f>
        <v>0</v>
      </c>
      <c r="I65" s="103"/>
      <c r="J65" s="103"/>
      <c r="K65" s="103"/>
      <c r="L65" s="104"/>
      <c r="M65" s="1111"/>
      <c r="N65" s="1111"/>
      <c r="O65" s="1115"/>
      <c r="P65" s="1116"/>
      <c r="Q65" s="1116"/>
      <c r="R65" s="1112"/>
      <c r="S65" s="1116"/>
      <c r="U65" s="51"/>
      <c r="V65" s="138"/>
      <c r="W65" s="138"/>
      <c r="X65" s="143"/>
      <c r="Y65" s="65"/>
      <c r="Z65" s="65"/>
      <c r="AA65" s="65"/>
      <c r="AB65" s="65"/>
      <c r="AC65" s="65"/>
      <c r="AJ65" s="51" t="s">
        <v>192</v>
      </c>
      <c r="AK65" s="143"/>
      <c r="AL65" s="143"/>
      <c r="AM65" s="143"/>
    </row>
    <row r="66" spans="1:39" x14ac:dyDescent="0.2">
      <c r="B66" s="97" t="s">
        <v>85</v>
      </c>
      <c r="C66" s="98" t="s">
        <v>86</v>
      </c>
      <c r="D66" s="99"/>
      <c r="E66" s="100"/>
      <c r="F66" s="100"/>
      <c r="G66" s="1"/>
      <c r="H66" s="1"/>
      <c r="I66" s="105"/>
      <c r="J66" s="1"/>
      <c r="K66" s="1"/>
      <c r="M66" s="1111"/>
      <c r="N66" s="1111"/>
      <c r="O66" s="1112"/>
      <c r="P66" s="1114"/>
      <c r="Q66" s="1114"/>
      <c r="R66" s="1112"/>
      <c r="S66" s="1112"/>
      <c r="U66" s="51"/>
      <c r="V66" s="143"/>
      <c r="W66" s="143"/>
      <c r="X66" s="143"/>
      <c r="Y66" s="65"/>
      <c r="Z66" s="65"/>
      <c r="AA66" s="65"/>
      <c r="AB66" s="65"/>
      <c r="AJ66" s="51" t="s">
        <v>193</v>
      </c>
      <c r="AK66" s="143"/>
      <c r="AL66" s="143"/>
      <c r="AM66" s="143"/>
    </row>
    <row r="67" spans="1:39" x14ac:dyDescent="0.2">
      <c r="B67" s="97" t="s">
        <v>87</v>
      </c>
      <c r="C67" s="98" t="s">
        <v>88</v>
      </c>
      <c r="D67" s="99"/>
      <c r="E67" s="106"/>
      <c r="F67" s="106"/>
      <c r="G67" s="1"/>
      <c r="H67" s="89" t="s">
        <v>80</v>
      </c>
      <c r="I67" s="107"/>
      <c r="J67" s="8"/>
      <c r="K67" s="8"/>
      <c r="L67" s="90"/>
      <c r="M67" s="1111"/>
      <c r="N67" s="1111"/>
      <c r="O67" s="1112"/>
      <c r="P67" s="1112"/>
      <c r="Q67" s="1112"/>
      <c r="R67" s="1112"/>
      <c r="S67" s="1112"/>
      <c r="U67" s="51"/>
      <c r="V67" s="143"/>
      <c r="W67" s="143"/>
      <c r="X67" s="143"/>
      <c r="Y67" s="65"/>
      <c r="Z67" s="65"/>
      <c r="AA67" s="65"/>
      <c r="AB67" s="65"/>
      <c r="AC67" s="65"/>
      <c r="AJ67" s="51" t="s">
        <v>197</v>
      </c>
      <c r="AK67" s="143"/>
      <c r="AL67" s="143"/>
      <c r="AM67" s="143"/>
    </row>
    <row r="68" spans="1:39"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M68" s="1112"/>
      <c r="N68" s="1111"/>
      <c r="O68" s="1112"/>
      <c r="P68" s="1112"/>
      <c r="Q68" s="1112"/>
      <c r="R68" s="1112"/>
      <c r="S68" s="1112"/>
      <c r="U68" s="51"/>
      <c r="V68" s="143"/>
      <c r="W68" s="143"/>
      <c r="X68" s="143"/>
      <c r="Y68" s="65"/>
      <c r="Z68" s="65"/>
      <c r="AA68" s="65"/>
      <c r="AB68" s="65"/>
      <c r="AC68" s="65"/>
      <c r="AJ68" s="51" t="s">
        <v>195</v>
      </c>
      <c r="AK68" s="143"/>
      <c r="AL68" s="143"/>
      <c r="AM68" s="143"/>
    </row>
    <row r="69" spans="1:39" x14ac:dyDescent="0.2">
      <c r="B69" s="109" t="s">
        <v>91</v>
      </c>
      <c r="C69" s="110" t="s">
        <v>92</v>
      </c>
      <c r="D69" s="111"/>
      <c r="E69" s="112"/>
      <c r="F69" s="112"/>
      <c r="G69" s="1"/>
      <c r="H69" s="102">
        <f>((85.98%*F64+4.4221)*F67+(F65-F66-F69)*(1-F67))</f>
        <v>0</v>
      </c>
      <c r="I69" s="113"/>
      <c r="J69" s="103"/>
      <c r="K69" s="103"/>
      <c r="L69" s="104"/>
      <c r="M69" s="1112"/>
      <c r="N69" s="1112"/>
      <c r="O69" s="1112"/>
      <c r="P69" s="1112"/>
      <c r="Q69" s="1112"/>
      <c r="R69" s="1112"/>
      <c r="S69" s="1112"/>
      <c r="U69" s="51"/>
      <c r="V69" s="143"/>
      <c r="W69" s="143"/>
      <c r="X69" s="143"/>
      <c r="Y69" s="65"/>
      <c r="Z69" s="65"/>
      <c r="AA69" s="65"/>
      <c r="AB69" s="65"/>
      <c r="AC69" s="65"/>
      <c r="AJ69" s="51" t="s">
        <v>196</v>
      </c>
      <c r="AK69" s="143"/>
      <c r="AL69" s="143"/>
      <c r="AM69" s="143"/>
    </row>
    <row r="70" spans="1:39" x14ac:dyDescent="0.2">
      <c r="A70" s="4"/>
      <c r="G70" s="1"/>
      <c r="H70" s="177"/>
      <c r="I70" s="1"/>
      <c r="J70" s="1"/>
      <c r="K70" s="1"/>
      <c r="M70" s="1112"/>
      <c r="N70" s="1112"/>
      <c r="O70" s="1112"/>
      <c r="P70" s="1112"/>
      <c r="Q70" s="1112"/>
      <c r="R70" s="1112"/>
      <c r="S70" s="1112"/>
      <c r="U70" s="51"/>
      <c r="V70" s="143"/>
      <c r="W70" s="143"/>
      <c r="X70" s="143"/>
      <c r="Y70" s="65"/>
      <c r="Z70" s="65"/>
      <c r="AA70" s="65"/>
      <c r="AB70" s="65"/>
      <c r="AC70" s="65"/>
      <c r="AJ70" s="51"/>
      <c r="AK70" s="138">
        <f>SUM(AK64:AK69)</f>
        <v>0</v>
      </c>
      <c r="AL70" s="138" t="e">
        <f>Q58</f>
        <v>#REF!</v>
      </c>
      <c r="AM70" s="143" t="e">
        <f>AK70-AL70</f>
        <v>#REF!</v>
      </c>
    </row>
    <row r="71" spans="1:39" x14ac:dyDescent="0.2">
      <c r="A71" s="406"/>
      <c r="G71" s="1"/>
      <c r="H71" s="1"/>
      <c r="I71" s="1"/>
      <c r="J71" s="1"/>
      <c r="K71" s="1"/>
      <c r="U71" s="51"/>
      <c r="V71" s="143"/>
      <c r="W71" s="143"/>
      <c r="X71" s="143"/>
      <c r="Y71" s="65"/>
      <c r="Z71" s="65"/>
      <c r="AA71" s="65"/>
      <c r="AB71" s="65"/>
      <c r="AC71" s="65"/>
      <c r="AK71" s="143">
        <f>+AK59+AK64+AK65+AK66</f>
        <v>0</v>
      </c>
    </row>
    <row r="72" spans="1:39" x14ac:dyDescent="0.2">
      <c r="G72" s="1"/>
      <c r="H72" s="1"/>
      <c r="I72" s="1"/>
      <c r="J72" s="1"/>
      <c r="K72" s="1"/>
      <c r="O72" s="65"/>
      <c r="P72" s="65"/>
      <c r="Q72" s="65"/>
      <c r="U72" s="51"/>
      <c r="V72" s="138"/>
      <c r="W72" s="138"/>
      <c r="X72" s="143"/>
      <c r="Y72" s="65"/>
      <c r="Z72" s="65"/>
      <c r="AA72" s="65"/>
      <c r="AB72" s="65"/>
      <c r="AC72" s="65"/>
      <c r="AJ72" s="51"/>
      <c r="AK72" s="143">
        <f>+AK60+AK67+AK68+AK69</f>
        <v>0</v>
      </c>
      <c r="AL72" s="143"/>
      <c r="AM72" s="51"/>
    </row>
    <row r="73" spans="1:39" ht="18" x14ac:dyDescent="0.25">
      <c r="A73" s="271" t="str">
        <f>"AJUSTES PARA "&amp;UPPER(TEXT(E1,"MMMMMMM YYYY"))</f>
        <v>AJUSTES PARA OCTUBRE 2025</v>
      </c>
      <c r="B73" s="156"/>
      <c r="C73" s="156"/>
      <c r="D73" s="156"/>
      <c r="E73" s="156"/>
      <c r="F73" s="156"/>
      <c r="G73" s="156"/>
      <c r="H73" s="156"/>
      <c r="I73" s="156"/>
      <c r="J73" s="156"/>
      <c r="K73" s="156"/>
      <c r="L73" s="156"/>
      <c r="M73" s="156"/>
      <c r="N73" s="156"/>
      <c r="O73" s="156"/>
      <c r="P73" s="563"/>
      <c r="Q73" s="563"/>
      <c r="R73" s="156"/>
      <c r="S73" s="564"/>
      <c r="T73" s="156"/>
      <c r="U73" s="51"/>
      <c r="V73" s="374"/>
      <c r="W73" s="374"/>
      <c r="X73" s="143"/>
      <c r="Y73" s="360"/>
      <c r="Z73" s="360"/>
      <c r="AA73" s="65"/>
      <c r="AB73" s="65"/>
      <c r="AJ73" s="65"/>
      <c r="AK73" s="407">
        <f>SUM(AK71:AK72)</f>
        <v>0</v>
      </c>
      <c r="AL73" s="65"/>
      <c r="AM73" s="65"/>
    </row>
    <row r="74" spans="1:39" ht="18" x14ac:dyDescent="0.25">
      <c r="A74" s="271"/>
      <c r="B74" s="156"/>
      <c r="C74" s="156"/>
      <c r="D74" s="156"/>
      <c r="E74" s="156"/>
      <c r="F74" s="156"/>
      <c r="G74" s="156"/>
      <c r="H74" s="156"/>
      <c r="I74" s="156"/>
      <c r="J74" s="156"/>
      <c r="K74" s="156"/>
      <c r="L74" s="156"/>
      <c r="M74" s="156"/>
      <c r="N74" s="156"/>
      <c r="O74" s="156"/>
      <c r="P74" s="156"/>
      <c r="Q74" s="156"/>
      <c r="R74" s="156"/>
      <c r="S74" s="156"/>
      <c r="T74" s="156"/>
      <c r="U74" s="51"/>
      <c r="V74" s="374"/>
      <c r="W74" s="374"/>
      <c r="X74" s="143"/>
      <c r="Y74" s="360"/>
      <c r="Z74" s="360"/>
      <c r="AA74" s="65"/>
      <c r="AB74" s="65"/>
    </row>
    <row r="75" spans="1:39" ht="18" x14ac:dyDescent="0.25">
      <c r="A75" s="271"/>
      <c r="B75" s="156"/>
      <c r="C75" s="156"/>
      <c r="D75" s="156"/>
      <c r="E75" s="156"/>
      <c r="F75" s="156"/>
      <c r="G75" s="156"/>
      <c r="H75" s="156"/>
      <c r="I75" s="156"/>
      <c r="J75" s="156"/>
      <c r="K75" s="156"/>
      <c r="L75" s="156"/>
      <c r="M75" s="156"/>
      <c r="N75" s="156"/>
      <c r="O75" s="156"/>
      <c r="P75" s="156"/>
      <c r="Q75" s="156"/>
      <c r="R75" s="156"/>
      <c r="S75" s="156"/>
      <c r="T75" s="156"/>
      <c r="U75" s="51"/>
      <c r="V75" s="374"/>
      <c r="W75" s="374"/>
      <c r="X75" s="143"/>
      <c r="Y75" s="360"/>
      <c r="Z75" s="360"/>
      <c r="AA75" s="65"/>
      <c r="AB75" s="65"/>
    </row>
    <row r="76" spans="1:39" ht="18" x14ac:dyDescent="0.25">
      <c r="A76" s="271"/>
      <c r="B76" s="156"/>
      <c r="C76" s="156"/>
      <c r="D76" s="156"/>
      <c r="E76" s="156"/>
      <c r="F76" s="156"/>
      <c r="G76" s="156"/>
      <c r="H76" s="156"/>
      <c r="I76" s="156"/>
      <c r="J76" s="156"/>
      <c r="K76" s="156"/>
      <c r="L76" s="156"/>
      <c r="M76" s="156"/>
      <c r="N76" s="156"/>
      <c r="O76" s="156"/>
      <c r="P76" s="156"/>
      <c r="Q76" s="156"/>
      <c r="R76" s="156"/>
      <c r="S76" s="156"/>
      <c r="T76" s="156"/>
      <c r="U76" s="51"/>
      <c r="V76" s="374"/>
      <c r="W76" s="374"/>
      <c r="X76" s="143"/>
      <c r="Y76" s="360"/>
      <c r="Z76" s="360"/>
      <c r="AA76" s="65"/>
      <c r="AB76" s="65"/>
    </row>
    <row r="77" spans="1:39" ht="18" x14ac:dyDescent="0.25">
      <c r="A77" s="271"/>
      <c r="B77" s="156"/>
      <c r="C77" s="156"/>
      <c r="D77" s="156"/>
      <c r="E77" s="156"/>
      <c r="F77" s="156"/>
      <c r="G77" s="156"/>
      <c r="H77" s="156"/>
      <c r="I77" s="156"/>
      <c r="J77" s="156"/>
      <c r="K77" s="156"/>
      <c r="L77" s="156"/>
      <c r="M77" s="156"/>
      <c r="N77" s="156"/>
      <c r="O77" s="156"/>
      <c r="P77" s="156"/>
      <c r="Q77" s="156"/>
      <c r="R77" s="156"/>
      <c r="S77" s="156"/>
      <c r="T77" s="156"/>
      <c r="U77" s="51"/>
      <c r="V77" s="374"/>
      <c r="W77" s="374"/>
      <c r="X77" s="143"/>
      <c r="Y77" s="360"/>
      <c r="Z77" s="360"/>
      <c r="AA77" s="65"/>
      <c r="AB77" s="65"/>
    </row>
    <row r="78" spans="1:39" ht="18" x14ac:dyDescent="0.25">
      <c r="A78" s="271"/>
      <c r="B78" s="156"/>
      <c r="C78" s="156"/>
      <c r="D78" s="156"/>
      <c r="E78" s="156"/>
      <c r="F78" s="156"/>
      <c r="G78" s="156"/>
      <c r="H78" s="156"/>
      <c r="I78" s="156"/>
      <c r="J78" s="156"/>
      <c r="K78" s="156"/>
      <c r="L78" s="156"/>
      <c r="M78" s="156"/>
      <c r="N78" s="156"/>
      <c r="O78" s="156"/>
      <c r="P78" s="156"/>
      <c r="Q78" s="156"/>
      <c r="R78" s="156"/>
      <c r="S78" s="156"/>
      <c r="T78" s="156"/>
      <c r="U78" s="51"/>
      <c r="V78" s="374"/>
      <c r="W78" s="374"/>
      <c r="X78" s="143"/>
      <c r="Y78" s="360"/>
      <c r="Z78" s="360"/>
      <c r="AA78" s="65"/>
      <c r="AB78" s="65"/>
    </row>
    <row r="79" spans="1:39" ht="18" x14ac:dyDescent="0.25">
      <c r="A79" s="271"/>
      <c r="B79" s="156"/>
      <c r="C79" s="156"/>
      <c r="D79" s="156"/>
      <c r="E79" s="156"/>
      <c r="F79" s="156"/>
      <c r="G79" s="156"/>
      <c r="H79" s="156"/>
      <c r="I79" s="156"/>
      <c r="J79" s="156"/>
      <c r="K79" s="156"/>
      <c r="L79" s="156"/>
      <c r="M79" s="156"/>
      <c r="N79" s="156"/>
      <c r="O79" s="156"/>
      <c r="P79" s="156"/>
      <c r="Q79" s="156"/>
      <c r="R79" s="156"/>
      <c r="S79" s="156"/>
      <c r="T79" s="156"/>
      <c r="U79" s="51"/>
      <c r="V79" s="374"/>
      <c r="W79" s="374"/>
      <c r="X79" s="143"/>
      <c r="Y79" s="360"/>
      <c r="Z79" s="360"/>
      <c r="AA79" s="65"/>
      <c r="AB79" s="65"/>
    </row>
    <row r="80" spans="1:39" ht="18" x14ac:dyDescent="0.25">
      <c r="A80" s="271"/>
      <c r="B80" s="156"/>
      <c r="C80" s="156"/>
      <c r="D80" s="156"/>
      <c r="E80" s="156"/>
      <c r="F80" s="156"/>
      <c r="G80" s="156"/>
      <c r="H80" s="156"/>
      <c r="I80" s="156"/>
      <c r="J80" s="156"/>
      <c r="K80" s="156"/>
      <c r="L80" s="156"/>
      <c r="M80" s="156"/>
      <c r="N80" s="156"/>
      <c r="O80" s="156"/>
      <c r="P80" s="156"/>
      <c r="Q80" s="156"/>
      <c r="R80" s="156"/>
      <c r="S80" s="156"/>
      <c r="T80" s="156"/>
      <c r="U80" s="51"/>
      <c r="V80" s="374"/>
      <c r="W80" s="374"/>
      <c r="X80" s="143"/>
      <c r="Y80" s="360"/>
      <c r="Z80" s="360"/>
      <c r="AA80" s="65"/>
      <c r="AB80" s="65"/>
    </row>
    <row r="81" spans="1:28" ht="18" x14ac:dyDescent="0.25">
      <c r="A81" s="271"/>
      <c r="B81" s="156"/>
      <c r="C81" s="156"/>
      <c r="D81" s="156"/>
      <c r="E81" s="156"/>
      <c r="F81" s="156"/>
      <c r="G81" s="156"/>
      <c r="H81" s="156"/>
      <c r="I81" s="156"/>
      <c r="J81" s="156"/>
      <c r="K81" s="156"/>
      <c r="L81" s="156"/>
      <c r="M81" s="156"/>
      <c r="N81" s="156"/>
      <c r="O81" s="156"/>
      <c r="P81" s="156"/>
      <c r="Q81" s="156"/>
      <c r="R81" s="156"/>
      <c r="S81" s="156"/>
      <c r="T81" s="156"/>
      <c r="U81" s="51"/>
      <c r="V81" s="374"/>
      <c r="W81" s="374"/>
      <c r="X81" s="143"/>
      <c r="Y81" s="360"/>
      <c r="Z81" s="360"/>
      <c r="AA81" s="65"/>
      <c r="AB81" s="65"/>
    </row>
    <row r="82" spans="1:28" ht="18" x14ac:dyDescent="0.25">
      <c r="A82" s="271"/>
      <c r="B82" s="156"/>
      <c r="C82" s="156"/>
      <c r="D82" s="156"/>
      <c r="E82" s="156"/>
      <c r="F82" s="156"/>
      <c r="G82" s="156"/>
      <c r="H82" s="156"/>
      <c r="I82" s="156"/>
      <c r="J82" s="156"/>
      <c r="K82" s="156"/>
      <c r="L82" s="156"/>
      <c r="M82" s="156"/>
      <c r="N82" s="156"/>
      <c r="O82" s="156"/>
      <c r="P82" s="156"/>
      <c r="Q82" s="156"/>
      <c r="R82" s="156"/>
      <c r="S82" s="156"/>
      <c r="T82" s="156"/>
      <c r="U82" s="51"/>
      <c r="V82" s="374"/>
      <c r="W82" s="374"/>
      <c r="X82" s="143"/>
      <c r="Y82" s="360"/>
      <c r="Z82" s="360"/>
      <c r="AA82" s="65"/>
      <c r="AB82" s="65"/>
    </row>
    <row r="83" spans="1:28" ht="18" x14ac:dyDescent="0.25">
      <c r="A83" s="271"/>
      <c r="B83" s="156"/>
      <c r="C83" s="156"/>
      <c r="D83" s="156"/>
      <c r="E83" s="156"/>
      <c r="F83" s="156"/>
      <c r="G83" s="156"/>
      <c r="H83" s="156"/>
      <c r="I83" s="156"/>
      <c r="J83" s="156"/>
      <c r="K83" s="156"/>
      <c r="L83" s="156"/>
      <c r="M83" s="156"/>
      <c r="N83" s="156"/>
      <c r="O83" s="156"/>
      <c r="P83" s="156"/>
      <c r="Q83" s="156"/>
      <c r="R83" s="156"/>
      <c r="S83" s="156"/>
      <c r="T83" s="156"/>
      <c r="U83" s="51"/>
      <c r="V83" s="374"/>
      <c r="W83" s="374"/>
      <c r="X83" s="143"/>
      <c r="Y83" s="360"/>
      <c r="Z83" s="360"/>
      <c r="AA83" s="65"/>
      <c r="AB83" s="65"/>
    </row>
    <row r="84" spans="1:28" ht="18" x14ac:dyDescent="0.25">
      <c r="A84" s="271"/>
      <c r="B84" s="156"/>
      <c r="C84" s="156"/>
      <c r="D84" s="156"/>
      <c r="E84" s="156"/>
      <c r="F84" s="156"/>
      <c r="G84" s="156"/>
      <c r="H84" s="156"/>
      <c r="I84" s="156"/>
      <c r="J84" s="156"/>
      <c r="K84" s="156"/>
      <c r="L84" s="156"/>
      <c r="M84" s="156"/>
      <c r="N84" s="156"/>
      <c r="O84" s="156"/>
      <c r="P84" s="156"/>
      <c r="Q84" s="156"/>
      <c r="R84" s="156"/>
      <c r="S84" s="156"/>
      <c r="T84" s="156"/>
      <c r="U84" s="51"/>
      <c r="V84" s="374"/>
      <c r="W84" s="374"/>
      <c r="X84" s="143"/>
      <c r="Y84" s="360"/>
      <c r="Z84" s="360"/>
      <c r="AA84" s="65"/>
      <c r="AB84" s="65"/>
    </row>
    <row r="85" spans="1:28" ht="18" x14ac:dyDescent="0.25">
      <c r="A85" s="271"/>
      <c r="B85" s="156"/>
      <c r="C85" s="156"/>
      <c r="D85" s="156"/>
      <c r="E85" s="156"/>
      <c r="F85" s="156"/>
      <c r="G85" s="156"/>
      <c r="H85" s="156"/>
      <c r="I85" s="156"/>
      <c r="J85" s="156"/>
      <c r="K85" s="156"/>
      <c r="L85" s="156"/>
      <c r="M85" s="156"/>
      <c r="N85" s="156"/>
      <c r="O85" s="156"/>
      <c r="P85" s="156"/>
      <c r="Q85" s="156"/>
      <c r="R85" s="156"/>
      <c r="S85" s="156"/>
      <c r="T85" s="156"/>
      <c r="U85" s="51"/>
      <c r="V85" s="374"/>
      <c r="W85" s="374"/>
      <c r="X85" s="143"/>
      <c r="Y85" s="360"/>
      <c r="Z85" s="360"/>
      <c r="AA85" s="65"/>
      <c r="AB85" s="65"/>
    </row>
    <row r="86" spans="1:28" ht="18" x14ac:dyDescent="0.25">
      <c r="A86" s="271"/>
      <c r="B86" s="156"/>
      <c r="C86" s="156"/>
      <c r="D86" s="156"/>
      <c r="E86" s="156"/>
      <c r="F86" s="156"/>
      <c r="G86" s="156"/>
      <c r="H86" s="156"/>
      <c r="I86" s="156"/>
      <c r="J86" s="156"/>
      <c r="K86" s="156"/>
      <c r="L86" s="156"/>
      <c r="M86" s="156"/>
      <c r="N86" s="156"/>
      <c r="O86" s="156"/>
      <c r="P86" s="156"/>
      <c r="Q86" s="156"/>
      <c r="R86" s="156"/>
      <c r="S86" s="156"/>
      <c r="T86" s="156"/>
      <c r="U86" s="51"/>
      <c r="V86" s="374"/>
      <c r="W86" s="374"/>
      <c r="X86" s="143"/>
      <c r="Y86" s="360"/>
      <c r="Z86" s="360"/>
      <c r="AA86" s="65"/>
      <c r="AB86" s="65"/>
    </row>
    <row r="87" spans="1:28" ht="18" x14ac:dyDescent="0.25">
      <c r="A87" s="271"/>
      <c r="B87" s="156"/>
      <c r="C87" s="156"/>
      <c r="D87" s="156"/>
      <c r="E87" s="156"/>
      <c r="F87" s="156"/>
      <c r="G87" s="156"/>
      <c r="H87" s="156"/>
      <c r="I87" s="156"/>
      <c r="J87" s="156"/>
      <c r="K87" s="156"/>
      <c r="L87" s="156"/>
      <c r="M87" s="156"/>
      <c r="N87" s="156"/>
      <c r="O87" s="156"/>
      <c r="P87" s="156"/>
      <c r="Q87" s="156"/>
      <c r="R87" s="156"/>
      <c r="S87" s="156"/>
      <c r="T87" s="156"/>
      <c r="U87" s="51"/>
      <c r="V87" s="374"/>
      <c r="W87" s="374"/>
      <c r="X87" s="143"/>
      <c r="Y87" s="360"/>
      <c r="Z87" s="360"/>
      <c r="AA87" s="65"/>
      <c r="AB87" s="65"/>
    </row>
    <row r="88" spans="1:28" ht="18" x14ac:dyDescent="0.25">
      <c r="A88" s="271"/>
      <c r="B88" s="156"/>
      <c r="C88" s="156"/>
      <c r="D88" s="156"/>
      <c r="E88" s="156"/>
      <c r="F88" s="156"/>
      <c r="G88" s="156"/>
      <c r="H88" s="156"/>
      <c r="I88" s="156"/>
      <c r="J88" s="156"/>
      <c r="K88" s="156"/>
      <c r="L88" s="156"/>
      <c r="M88" s="156"/>
      <c r="N88" s="156"/>
      <c r="O88" s="156"/>
      <c r="P88" s="156"/>
      <c r="Q88" s="156"/>
      <c r="R88" s="156"/>
      <c r="S88" s="156"/>
      <c r="T88" s="156"/>
      <c r="U88" s="51"/>
      <c r="V88" s="374"/>
      <c r="W88" s="374"/>
      <c r="X88" s="143"/>
      <c r="Y88" s="360"/>
      <c r="Z88" s="360"/>
      <c r="AA88" s="65"/>
      <c r="AB88" s="65"/>
    </row>
    <row r="89" spans="1:28" ht="18" x14ac:dyDescent="0.25">
      <c r="A89" s="271"/>
      <c r="B89" s="156"/>
      <c r="C89" s="156"/>
      <c r="D89" s="156"/>
      <c r="E89" s="156"/>
      <c r="F89" s="156"/>
      <c r="G89" s="156"/>
      <c r="H89" s="156"/>
      <c r="I89" s="156"/>
      <c r="J89" s="156"/>
      <c r="K89" s="156"/>
      <c r="L89" s="156"/>
      <c r="M89" s="156"/>
      <c r="N89" s="156"/>
      <c r="O89" s="156"/>
      <c r="P89" s="156"/>
      <c r="Q89" s="156"/>
      <c r="R89" s="156"/>
      <c r="S89" s="156"/>
      <c r="T89" s="156"/>
      <c r="U89" s="51"/>
      <c r="V89" s="374"/>
      <c r="W89" s="374"/>
      <c r="X89" s="143"/>
      <c r="Y89" s="360"/>
      <c r="Z89" s="360"/>
      <c r="AA89" s="65"/>
      <c r="AB89" s="65"/>
    </row>
    <row r="90" spans="1:28" ht="18" x14ac:dyDescent="0.25">
      <c r="A90" s="271"/>
      <c r="B90" s="156"/>
      <c r="C90" s="156"/>
      <c r="D90" s="156"/>
      <c r="E90" s="156"/>
      <c r="F90" s="156"/>
      <c r="G90" s="156"/>
      <c r="H90" s="156"/>
      <c r="I90" s="156"/>
      <c r="J90" s="156"/>
      <c r="K90" s="156"/>
      <c r="L90" s="156"/>
      <c r="M90" s="156"/>
      <c r="N90" s="156"/>
      <c r="O90" s="156"/>
      <c r="P90" s="156"/>
      <c r="Q90" s="156"/>
      <c r="R90" s="156"/>
      <c r="S90" s="156"/>
      <c r="T90" s="156"/>
      <c r="U90" s="51"/>
      <c r="V90" s="374"/>
      <c r="W90" s="374"/>
      <c r="X90" s="143"/>
      <c r="Y90" s="360"/>
      <c r="Z90" s="360"/>
      <c r="AA90" s="65"/>
      <c r="AB90" s="65"/>
    </row>
    <row r="91" spans="1:28" ht="18" x14ac:dyDescent="0.25">
      <c r="A91" s="271"/>
      <c r="B91" s="156"/>
      <c r="C91" s="156"/>
      <c r="D91" s="156"/>
      <c r="E91" s="156"/>
      <c r="F91" s="156"/>
      <c r="G91" s="156"/>
      <c r="H91" s="156"/>
      <c r="I91" s="156"/>
      <c r="J91" s="156"/>
      <c r="K91" s="156"/>
      <c r="L91" s="156"/>
      <c r="M91" s="156"/>
      <c r="N91" s="156"/>
      <c r="O91" s="156"/>
      <c r="P91" s="156"/>
      <c r="Q91" s="156"/>
      <c r="R91" s="156"/>
      <c r="S91" s="156"/>
      <c r="T91" s="156"/>
      <c r="U91" s="51"/>
      <c r="V91" s="374"/>
      <c r="W91" s="374"/>
      <c r="X91" s="143"/>
      <c r="Y91" s="360"/>
      <c r="Z91" s="360"/>
      <c r="AA91" s="65"/>
      <c r="AB91" s="65"/>
    </row>
    <row r="92" spans="1:28" ht="18" x14ac:dyDescent="0.25">
      <c r="A92" s="271"/>
      <c r="B92" s="156"/>
      <c r="C92" s="156"/>
      <c r="D92" s="156"/>
      <c r="E92" s="156"/>
      <c r="F92" s="156"/>
      <c r="G92" s="156"/>
      <c r="H92" s="156"/>
      <c r="I92" s="156"/>
      <c r="J92" s="156"/>
      <c r="K92" s="156"/>
      <c r="L92" s="156"/>
      <c r="M92" s="156"/>
      <c r="N92" s="156"/>
      <c r="O92" s="156"/>
      <c r="P92" s="156"/>
      <c r="Q92" s="156"/>
      <c r="R92" s="156"/>
      <c r="S92" s="156"/>
      <c r="T92" s="156"/>
      <c r="U92" s="51"/>
      <c r="V92" s="374"/>
      <c r="W92" s="374"/>
      <c r="X92" s="143"/>
      <c r="Y92" s="360"/>
      <c r="Z92" s="360"/>
      <c r="AA92" s="65"/>
      <c r="AB92" s="65"/>
    </row>
    <row r="93" spans="1:28" ht="18" x14ac:dyDescent="0.25">
      <c r="A93" s="271"/>
      <c r="B93" s="156"/>
      <c r="C93" s="156"/>
      <c r="D93" s="156"/>
      <c r="E93" s="156"/>
      <c r="F93" s="156"/>
      <c r="G93" s="156"/>
      <c r="H93" s="156"/>
      <c r="I93" s="156"/>
      <c r="J93" s="156"/>
      <c r="K93" s="156"/>
      <c r="L93" s="156"/>
      <c r="M93" s="156"/>
      <c r="N93" s="156"/>
      <c r="O93" s="156"/>
      <c r="P93" s="156"/>
      <c r="Q93" s="156"/>
      <c r="R93" s="156"/>
      <c r="S93" s="156"/>
      <c r="T93" s="156"/>
      <c r="U93" s="51"/>
      <c r="V93" s="374"/>
      <c r="W93" s="374"/>
      <c r="X93" s="143"/>
      <c r="Y93" s="360"/>
      <c r="Z93" s="360"/>
      <c r="AA93" s="65"/>
      <c r="AB93" s="65"/>
    </row>
    <row r="94" spans="1:28" ht="18" x14ac:dyDescent="0.25">
      <c r="A94" s="271"/>
      <c r="B94" s="156"/>
      <c r="C94" s="156"/>
      <c r="D94" s="156"/>
      <c r="E94" s="156"/>
      <c r="F94" s="156"/>
      <c r="G94" s="156"/>
      <c r="H94" s="156"/>
      <c r="I94" s="156"/>
      <c r="J94" s="156"/>
      <c r="K94" s="156"/>
      <c r="L94" s="156"/>
      <c r="M94" s="156"/>
      <c r="N94" s="156"/>
      <c r="O94" s="156"/>
      <c r="P94" s="156"/>
      <c r="Q94" s="156"/>
      <c r="R94" s="156"/>
      <c r="S94" s="156"/>
      <c r="T94" s="156"/>
      <c r="U94" s="51"/>
      <c r="V94" s="374"/>
      <c r="W94" s="374"/>
      <c r="X94" s="143"/>
      <c r="Y94" s="360"/>
      <c r="Z94" s="360"/>
      <c r="AA94" s="65"/>
      <c r="AB94" s="65"/>
    </row>
    <row r="95" spans="1:28" ht="18" x14ac:dyDescent="0.25">
      <c r="A95" s="271"/>
      <c r="B95" s="156"/>
      <c r="C95" s="156"/>
      <c r="D95" s="156"/>
      <c r="E95" s="156"/>
      <c r="F95" s="156"/>
      <c r="G95" s="156"/>
      <c r="H95" s="156"/>
      <c r="I95" s="156"/>
      <c r="J95" s="156"/>
      <c r="K95" s="156"/>
      <c r="L95" s="156"/>
      <c r="M95" s="156"/>
      <c r="N95" s="156"/>
      <c r="O95" s="156"/>
      <c r="P95" s="156"/>
      <c r="Q95" s="156"/>
      <c r="R95" s="156"/>
      <c r="S95" s="156"/>
      <c r="T95" s="156"/>
      <c r="U95" s="51"/>
      <c r="V95" s="374"/>
      <c r="W95" s="374"/>
      <c r="X95" s="143"/>
      <c r="Y95" s="360"/>
      <c r="Z95" s="360"/>
      <c r="AA95" s="65"/>
      <c r="AB95" s="65"/>
    </row>
    <row r="96" spans="1:28" ht="18" x14ac:dyDescent="0.25">
      <c r="A96" s="271"/>
      <c r="B96" s="156"/>
      <c r="C96" s="156"/>
      <c r="D96" s="156"/>
      <c r="E96" s="156"/>
      <c r="F96" s="156"/>
      <c r="G96" s="156"/>
      <c r="H96" s="156"/>
      <c r="I96" s="156"/>
      <c r="J96" s="156"/>
      <c r="K96" s="156"/>
      <c r="L96" s="156"/>
      <c r="M96" s="156"/>
      <c r="N96" s="156"/>
      <c r="O96" s="156"/>
      <c r="P96" s="156"/>
      <c r="Q96" s="156"/>
      <c r="R96" s="156"/>
      <c r="S96" s="156"/>
      <c r="T96" s="156"/>
      <c r="U96" s="51"/>
      <c r="V96" s="374"/>
      <c r="W96" s="374"/>
      <c r="X96" s="143"/>
      <c r="Y96" s="360"/>
      <c r="Z96" s="360"/>
      <c r="AA96" s="65"/>
      <c r="AB96" s="65"/>
    </row>
    <row r="97" spans="1:28" ht="18" x14ac:dyDescent="0.25">
      <c r="A97" s="271"/>
      <c r="B97" s="156"/>
      <c r="C97" s="156"/>
      <c r="D97" s="156"/>
      <c r="E97" s="156"/>
      <c r="F97" s="156"/>
      <c r="G97" s="156"/>
      <c r="H97" s="156"/>
      <c r="I97" s="156"/>
      <c r="J97" s="156"/>
      <c r="K97" s="156"/>
      <c r="L97" s="156"/>
      <c r="M97" s="156"/>
      <c r="N97" s="156"/>
      <c r="O97" s="156"/>
      <c r="P97" s="156"/>
      <c r="Q97" s="156"/>
      <c r="R97" s="156"/>
      <c r="S97" s="156"/>
      <c r="T97" s="156"/>
      <c r="U97" s="51"/>
      <c r="V97" s="374"/>
      <c r="W97" s="374"/>
      <c r="X97" s="143"/>
      <c r="Y97" s="360"/>
      <c r="Z97" s="360"/>
      <c r="AA97" s="65"/>
      <c r="AB97" s="65"/>
    </row>
    <row r="98" spans="1:28" ht="18" x14ac:dyDescent="0.25">
      <c r="A98" s="271"/>
      <c r="B98" s="156"/>
      <c r="C98" s="156"/>
      <c r="D98" s="156"/>
      <c r="E98" s="156"/>
      <c r="F98" s="156"/>
      <c r="G98" s="156"/>
      <c r="H98" s="156"/>
      <c r="I98" s="156"/>
      <c r="J98" s="156"/>
      <c r="K98" s="156"/>
      <c r="L98" s="156"/>
      <c r="M98" s="156"/>
      <c r="N98" s="156"/>
      <c r="O98" s="156"/>
      <c r="P98" s="156"/>
      <c r="Q98" s="156"/>
      <c r="R98" s="156"/>
      <c r="S98" s="156"/>
      <c r="T98" s="156"/>
      <c r="U98" s="51"/>
      <c r="V98" s="374"/>
      <c r="W98" s="374"/>
      <c r="X98" s="143"/>
      <c r="Y98" s="360"/>
      <c r="Z98" s="360"/>
      <c r="AA98" s="65"/>
      <c r="AB98" s="65"/>
    </row>
    <row r="99" spans="1:28" ht="18" x14ac:dyDescent="0.25">
      <c r="A99" s="271"/>
      <c r="B99" s="156"/>
      <c r="C99" s="156"/>
      <c r="D99" s="156"/>
      <c r="E99" s="156"/>
      <c r="F99" s="156"/>
      <c r="G99" s="156"/>
      <c r="H99" s="156"/>
      <c r="I99" s="156"/>
      <c r="J99" s="156"/>
      <c r="K99" s="156"/>
      <c r="L99" s="156"/>
      <c r="M99" s="156"/>
      <c r="N99" s="156"/>
      <c r="O99" s="156"/>
      <c r="P99" s="156"/>
      <c r="Q99" s="156"/>
      <c r="R99" s="156"/>
      <c r="S99" s="156"/>
      <c r="T99" s="156"/>
      <c r="U99" s="51"/>
      <c r="V99" s="374"/>
      <c r="W99" s="374"/>
      <c r="X99" s="143"/>
      <c r="Y99" s="360"/>
      <c r="Z99" s="360"/>
      <c r="AA99" s="65"/>
      <c r="AB99" s="65"/>
    </row>
    <row r="100" spans="1:28" ht="18" x14ac:dyDescent="0.25">
      <c r="A100" s="271"/>
      <c r="B100" s="156"/>
      <c r="C100" s="156"/>
      <c r="D100" s="156"/>
      <c r="E100" s="156"/>
      <c r="F100" s="156"/>
      <c r="G100" s="156"/>
      <c r="H100" s="156"/>
      <c r="I100" s="156"/>
      <c r="J100" s="156"/>
      <c r="K100" s="156"/>
      <c r="L100" s="156"/>
      <c r="M100" s="156"/>
      <c r="N100" s="156"/>
      <c r="O100" s="156"/>
      <c r="P100" s="156"/>
      <c r="Q100" s="156"/>
      <c r="R100" s="156"/>
      <c r="S100" s="156"/>
      <c r="T100" s="156"/>
      <c r="U100" s="51"/>
      <c r="V100" s="374"/>
      <c r="W100" s="374"/>
      <c r="X100" s="143"/>
      <c r="Y100" s="360"/>
      <c r="Z100" s="360"/>
      <c r="AA100" s="65"/>
      <c r="AB100" s="65"/>
    </row>
    <row r="101" spans="1:28" ht="18" x14ac:dyDescent="0.25">
      <c r="A101" s="271"/>
      <c r="B101" s="156"/>
      <c r="C101" s="156"/>
      <c r="D101" s="156"/>
      <c r="E101" s="156"/>
      <c r="F101" s="156"/>
      <c r="G101" s="156"/>
      <c r="H101" s="156"/>
      <c r="I101" s="156"/>
      <c r="J101" s="156"/>
      <c r="K101" s="156"/>
      <c r="L101" s="156"/>
      <c r="M101" s="156"/>
      <c r="N101" s="156"/>
      <c r="O101" s="156"/>
      <c r="P101" s="156"/>
      <c r="Q101" s="156"/>
      <c r="R101" s="156"/>
      <c r="S101" s="156"/>
      <c r="T101" s="156"/>
      <c r="U101" s="51"/>
      <c r="V101" s="374"/>
      <c r="W101" s="374"/>
      <c r="X101" s="143"/>
      <c r="Y101" s="360"/>
      <c r="Z101" s="360"/>
      <c r="AA101" s="65"/>
      <c r="AB101" s="65"/>
    </row>
    <row r="102" spans="1:28" ht="18" x14ac:dyDescent="0.25">
      <c r="A102" s="271"/>
      <c r="B102" s="156"/>
      <c r="C102" s="156"/>
      <c r="D102" s="156"/>
      <c r="E102" s="156"/>
      <c r="F102" s="156"/>
      <c r="G102" s="156"/>
      <c r="H102" s="156"/>
      <c r="I102" s="156"/>
      <c r="J102" s="156"/>
      <c r="K102" s="156"/>
      <c r="L102" s="156"/>
      <c r="M102" s="156"/>
      <c r="N102" s="156"/>
      <c r="O102" s="156"/>
      <c r="P102" s="156"/>
      <c r="Q102" s="156"/>
      <c r="R102" s="156"/>
      <c r="S102" s="156"/>
      <c r="T102" s="156"/>
      <c r="U102" s="51"/>
      <c r="V102" s="374"/>
      <c r="W102" s="374"/>
      <c r="X102" s="143"/>
      <c r="Y102" s="360"/>
      <c r="Z102" s="360"/>
      <c r="AA102" s="65"/>
      <c r="AB102" s="65"/>
    </row>
    <row r="103" spans="1:28" ht="18" x14ac:dyDescent="0.25">
      <c r="A103" s="271"/>
      <c r="B103" s="156"/>
      <c r="C103" s="156"/>
      <c r="D103" s="156"/>
      <c r="E103" s="156"/>
      <c r="F103" s="156"/>
      <c r="G103" s="156"/>
      <c r="H103" s="156"/>
      <c r="I103" s="156"/>
      <c r="J103" s="156"/>
      <c r="K103" s="156"/>
      <c r="L103" s="156"/>
      <c r="M103" s="156"/>
      <c r="N103" s="156"/>
      <c r="O103" s="156"/>
      <c r="P103" s="156"/>
      <c r="Q103" s="156"/>
      <c r="R103" s="156"/>
      <c r="S103" s="156"/>
      <c r="T103" s="156"/>
      <c r="U103" s="51"/>
      <c r="V103" s="374"/>
      <c r="W103" s="374"/>
      <c r="X103" s="143"/>
      <c r="Y103" s="360"/>
      <c r="Z103" s="360"/>
      <c r="AA103" s="65"/>
      <c r="AB103" s="65"/>
    </row>
    <row r="104" spans="1:28" ht="18" x14ac:dyDescent="0.25">
      <c r="A104" s="271"/>
      <c r="B104" s="156"/>
      <c r="C104" s="156"/>
      <c r="D104" s="156"/>
      <c r="E104" s="156"/>
      <c r="F104" s="156"/>
      <c r="G104" s="156"/>
      <c r="H104" s="156"/>
      <c r="I104" s="156"/>
      <c r="J104" s="156"/>
      <c r="K104" s="156"/>
      <c r="L104" s="156"/>
      <c r="M104" s="156"/>
      <c r="N104" s="156"/>
      <c r="O104" s="156"/>
      <c r="P104" s="156"/>
      <c r="Q104" s="156"/>
      <c r="R104" s="156"/>
      <c r="S104" s="156"/>
      <c r="T104" s="156"/>
      <c r="U104" s="51"/>
      <c r="V104" s="374"/>
      <c r="W104" s="374"/>
      <c r="X104" s="143"/>
      <c r="Y104" s="360"/>
      <c r="Z104" s="360"/>
      <c r="AA104" s="65"/>
      <c r="AB104" s="65"/>
    </row>
    <row r="105" spans="1:28" ht="18" x14ac:dyDescent="0.25">
      <c r="A105" s="271"/>
      <c r="B105" s="156"/>
      <c r="C105" s="156"/>
      <c r="D105" s="156"/>
      <c r="E105" s="156"/>
      <c r="F105" s="156"/>
      <c r="G105" s="156"/>
      <c r="H105" s="156"/>
      <c r="I105" s="156"/>
      <c r="J105" s="156"/>
      <c r="K105" s="156"/>
      <c r="L105" s="156"/>
      <c r="M105" s="156"/>
      <c r="N105" s="156"/>
      <c r="O105" s="156"/>
      <c r="P105" s="156"/>
      <c r="Q105" s="156"/>
      <c r="R105" s="156"/>
      <c r="S105" s="156"/>
      <c r="T105" s="156"/>
      <c r="U105" s="51"/>
      <c r="V105" s="374"/>
      <c r="W105" s="374"/>
      <c r="X105" s="143"/>
      <c r="Y105" s="360"/>
      <c r="Z105" s="360"/>
      <c r="AA105" s="65"/>
      <c r="AB105" s="65"/>
    </row>
    <row r="106" spans="1:28" ht="18" x14ac:dyDescent="0.25">
      <c r="A106" s="271"/>
      <c r="B106" s="156"/>
      <c r="C106" s="156"/>
      <c r="D106" s="156"/>
      <c r="E106" s="156"/>
      <c r="F106" s="156"/>
      <c r="G106" s="156"/>
      <c r="H106" s="156"/>
      <c r="I106" s="156"/>
      <c r="J106" s="156"/>
      <c r="K106" s="156"/>
      <c r="L106" s="156"/>
      <c r="M106" s="156"/>
      <c r="N106" s="156"/>
      <c r="O106" s="156"/>
      <c r="P106" s="156"/>
      <c r="Q106" s="156"/>
      <c r="R106" s="156"/>
      <c r="S106" s="156"/>
      <c r="T106" s="156"/>
      <c r="U106" s="51"/>
      <c r="V106" s="374"/>
      <c r="W106" s="374"/>
      <c r="X106" s="143"/>
      <c r="Y106" s="360"/>
      <c r="Z106" s="360"/>
      <c r="AA106" s="65"/>
      <c r="AB106" s="65"/>
    </row>
    <row r="107" spans="1:28" ht="18" x14ac:dyDescent="0.25">
      <c r="A107" s="271"/>
      <c r="B107" s="156"/>
      <c r="C107" s="156"/>
      <c r="D107" s="156"/>
      <c r="E107" s="156"/>
      <c r="F107" s="156"/>
      <c r="G107" s="156"/>
      <c r="H107" s="156"/>
      <c r="I107" s="156"/>
      <c r="J107" s="156"/>
      <c r="K107" s="156"/>
      <c r="L107" s="156"/>
      <c r="M107" s="156"/>
      <c r="N107" s="156"/>
      <c r="O107" s="156"/>
      <c r="P107" s="156"/>
      <c r="Q107" s="156"/>
      <c r="R107" s="156"/>
      <c r="S107" s="156"/>
      <c r="T107" s="156"/>
      <c r="U107" s="51"/>
      <c r="V107" s="374"/>
      <c r="W107" s="374"/>
      <c r="X107" s="143"/>
      <c r="Y107" s="360"/>
      <c r="Z107" s="360"/>
      <c r="AA107" s="65"/>
      <c r="AB107" s="65"/>
    </row>
    <row r="108" spans="1:28" ht="18" x14ac:dyDescent="0.25">
      <c r="A108" s="271"/>
      <c r="B108" s="156"/>
      <c r="C108" s="156"/>
      <c r="D108" s="156"/>
      <c r="E108" s="156"/>
      <c r="F108" s="156"/>
      <c r="G108" s="156"/>
      <c r="H108" s="156"/>
      <c r="I108" s="156"/>
      <c r="J108" s="156"/>
      <c r="K108" s="156"/>
      <c r="L108" s="156"/>
      <c r="M108" s="156"/>
      <c r="N108" s="156"/>
      <c r="O108" s="156"/>
      <c r="P108" s="156"/>
      <c r="Q108" s="156"/>
      <c r="R108" s="156"/>
      <c r="S108" s="156"/>
      <c r="T108" s="156"/>
      <c r="U108" s="51"/>
      <c r="V108" s="374"/>
      <c r="W108" s="374"/>
      <c r="X108" s="143"/>
      <c r="Y108" s="360"/>
      <c r="Z108" s="360"/>
      <c r="AA108" s="65"/>
      <c r="AB108" s="65"/>
    </row>
    <row r="109" spans="1:28" ht="18" x14ac:dyDescent="0.25">
      <c r="A109" s="271"/>
      <c r="B109" s="156"/>
      <c r="C109" s="156"/>
      <c r="D109" s="156"/>
      <c r="E109" s="156"/>
      <c r="F109" s="156"/>
      <c r="G109" s="156"/>
      <c r="H109" s="156"/>
      <c r="I109" s="156"/>
      <c r="J109" s="156"/>
      <c r="K109" s="156"/>
      <c r="L109" s="156"/>
      <c r="M109" s="156"/>
      <c r="N109" s="156"/>
      <c r="O109" s="156"/>
      <c r="P109" s="156"/>
      <c r="Q109" s="156"/>
      <c r="R109" s="156"/>
      <c r="S109" s="156"/>
      <c r="T109" s="156"/>
      <c r="U109" s="51"/>
      <c r="V109" s="374"/>
      <c r="W109" s="374"/>
      <c r="X109" s="143"/>
      <c r="Y109" s="360"/>
      <c r="Z109" s="360"/>
      <c r="AA109" s="65"/>
      <c r="AB109" s="65"/>
    </row>
    <row r="110" spans="1:28" ht="18" x14ac:dyDescent="0.25">
      <c r="A110" s="271"/>
      <c r="B110" s="156"/>
      <c r="C110" s="156"/>
      <c r="D110" s="156"/>
      <c r="E110" s="156"/>
      <c r="F110" s="156"/>
      <c r="G110" s="156"/>
      <c r="H110" s="156"/>
      <c r="I110" s="156"/>
      <c r="J110" s="156"/>
      <c r="K110" s="156"/>
      <c r="L110" s="156"/>
      <c r="M110" s="156"/>
      <c r="N110" s="156"/>
      <c r="O110" s="156"/>
      <c r="P110" s="156"/>
      <c r="Q110" s="156"/>
      <c r="R110" s="156"/>
      <c r="S110" s="156"/>
      <c r="T110" s="156"/>
      <c r="U110" s="51"/>
      <c r="V110" s="374"/>
      <c r="W110" s="374"/>
      <c r="X110" s="143"/>
      <c r="Y110" s="360"/>
      <c r="Z110" s="360"/>
      <c r="AA110" s="65"/>
      <c r="AB110" s="65"/>
    </row>
    <row r="111" spans="1:28" ht="18" x14ac:dyDescent="0.25">
      <c r="A111" s="271"/>
      <c r="B111" s="156"/>
      <c r="C111" s="156"/>
      <c r="D111" s="156"/>
      <c r="E111" s="156"/>
      <c r="F111" s="156"/>
      <c r="G111" s="156"/>
      <c r="H111" s="156"/>
      <c r="I111" s="156"/>
      <c r="J111" s="156"/>
      <c r="K111" s="156"/>
      <c r="L111" s="156"/>
      <c r="M111" s="156"/>
      <c r="N111" s="156"/>
      <c r="O111" s="156"/>
      <c r="P111" s="156"/>
      <c r="Q111" s="156"/>
      <c r="R111" s="156"/>
      <c r="S111" s="156"/>
      <c r="T111" s="156"/>
      <c r="U111" s="51"/>
      <c r="V111" s="374"/>
      <c r="W111" s="374"/>
      <c r="X111" s="143"/>
      <c r="Y111" s="360"/>
      <c r="Z111" s="360"/>
      <c r="AA111" s="65"/>
      <c r="AB111" s="65"/>
    </row>
    <row r="112" spans="1:28" ht="18" x14ac:dyDescent="0.25">
      <c r="A112" s="271"/>
      <c r="B112" s="156"/>
      <c r="C112" s="156"/>
      <c r="D112" s="156"/>
      <c r="E112" s="156"/>
      <c r="F112" s="156"/>
      <c r="G112" s="156"/>
      <c r="H112" s="156"/>
      <c r="I112" s="156"/>
      <c r="J112" s="156"/>
      <c r="K112" s="156"/>
      <c r="L112" s="156"/>
      <c r="M112" s="156"/>
      <c r="N112" s="156"/>
      <c r="O112" s="156"/>
      <c r="P112" s="156"/>
      <c r="Q112" s="156"/>
      <c r="R112" s="156"/>
      <c r="S112" s="156"/>
      <c r="T112" s="156"/>
      <c r="U112" s="51"/>
      <c r="V112" s="374"/>
      <c r="W112" s="374"/>
      <c r="X112" s="143"/>
      <c r="Y112" s="360"/>
      <c r="Z112" s="360"/>
      <c r="AA112" s="65"/>
      <c r="AB112" s="65"/>
    </row>
    <row r="113" spans="1:28" ht="18" x14ac:dyDescent="0.25">
      <c r="A113" s="271"/>
      <c r="B113" s="156"/>
      <c r="C113" s="156"/>
      <c r="D113" s="156"/>
      <c r="E113" s="156"/>
      <c r="F113" s="156"/>
      <c r="G113" s="156"/>
      <c r="H113" s="156"/>
      <c r="I113" s="156"/>
      <c r="J113" s="156"/>
      <c r="K113" s="156"/>
      <c r="L113" s="156"/>
      <c r="M113" s="156"/>
      <c r="N113" s="156"/>
      <c r="O113" s="156"/>
      <c r="P113" s="156"/>
      <c r="Q113" s="156"/>
      <c r="R113" s="156"/>
      <c r="S113" s="156"/>
      <c r="T113" s="156"/>
      <c r="U113" s="51"/>
      <c r="V113" s="374"/>
      <c r="W113" s="374"/>
      <c r="X113" s="143"/>
      <c r="Y113" s="360"/>
      <c r="Z113" s="360"/>
      <c r="AA113" s="65"/>
      <c r="AB113" s="65"/>
    </row>
    <row r="114" spans="1:28" ht="18" x14ac:dyDescent="0.25">
      <c r="A114" s="271"/>
      <c r="B114" s="156"/>
      <c r="C114" s="156"/>
      <c r="D114" s="156"/>
      <c r="E114" s="156"/>
      <c r="F114" s="156"/>
      <c r="G114" s="156"/>
      <c r="H114" s="156"/>
      <c r="I114" s="156"/>
      <c r="J114" s="156"/>
      <c r="K114" s="156"/>
      <c r="L114" s="156"/>
      <c r="M114" s="156"/>
      <c r="N114" s="156"/>
      <c r="O114" s="156"/>
      <c r="P114" s="156"/>
      <c r="Q114" s="156"/>
      <c r="R114" s="156"/>
      <c r="S114" s="156"/>
      <c r="T114" s="156"/>
      <c r="U114" s="51"/>
      <c r="V114" s="374"/>
      <c r="W114" s="374"/>
      <c r="X114" s="143"/>
      <c r="Y114" s="360"/>
      <c r="Z114" s="360"/>
      <c r="AA114" s="65"/>
      <c r="AB114" s="65"/>
    </row>
    <row r="115" spans="1:28" ht="18" x14ac:dyDescent="0.25">
      <c r="A115" s="271"/>
      <c r="B115" s="156"/>
      <c r="C115" s="156"/>
      <c r="D115" s="156"/>
      <c r="E115" s="156"/>
      <c r="F115" s="156"/>
      <c r="G115" s="156"/>
      <c r="H115" s="156"/>
      <c r="I115" s="156"/>
      <c r="J115" s="156"/>
      <c r="K115" s="156"/>
      <c r="L115" s="156"/>
      <c r="M115" s="156"/>
      <c r="N115" s="156"/>
      <c r="O115" s="156"/>
      <c r="P115" s="156"/>
      <c r="Q115" s="156"/>
      <c r="R115" s="156"/>
      <c r="S115" s="156"/>
      <c r="T115" s="156"/>
      <c r="U115" s="51"/>
      <c r="V115" s="374"/>
      <c r="W115" s="374"/>
      <c r="X115" s="143"/>
      <c r="Y115" s="360"/>
      <c r="Z115" s="360"/>
      <c r="AA115" s="65"/>
      <c r="AB115" s="65"/>
    </row>
    <row r="116" spans="1:28" ht="18" x14ac:dyDescent="0.25">
      <c r="A116" s="271"/>
      <c r="B116" s="156"/>
      <c r="C116" s="156"/>
      <c r="D116" s="156"/>
      <c r="E116" s="156"/>
      <c r="F116" s="156"/>
      <c r="G116" s="156"/>
      <c r="H116" s="156"/>
      <c r="I116" s="156"/>
      <c r="J116" s="156"/>
      <c r="K116" s="156"/>
      <c r="L116" s="156"/>
      <c r="M116" s="156"/>
      <c r="N116" s="156"/>
      <c r="O116" s="156"/>
      <c r="P116" s="156"/>
      <c r="Q116" s="156"/>
      <c r="R116" s="156"/>
      <c r="S116" s="156"/>
      <c r="T116" s="156"/>
      <c r="U116" s="51"/>
      <c r="V116" s="374"/>
      <c r="W116" s="374"/>
      <c r="X116" s="143"/>
      <c r="Y116" s="360"/>
      <c r="Z116" s="360"/>
      <c r="AA116" s="65"/>
      <c r="AB116" s="65"/>
    </row>
    <row r="117" spans="1:28" ht="18" x14ac:dyDescent="0.25">
      <c r="A117" s="271"/>
      <c r="B117" s="156"/>
      <c r="C117" s="156"/>
      <c r="D117" s="156"/>
      <c r="E117" s="156"/>
      <c r="F117" s="156"/>
      <c r="G117" s="156"/>
      <c r="H117" s="156"/>
      <c r="I117" s="156"/>
      <c r="J117" s="156"/>
      <c r="K117" s="156"/>
      <c r="L117" s="156"/>
      <c r="M117" s="156"/>
      <c r="N117" s="156"/>
      <c r="O117" s="156"/>
      <c r="P117" s="156"/>
      <c r="Q117" s="156"/>
      <c r="R117" s="156"/>
      <c r="S117" s="156"/>
      <c r="T117" s="156"/>
      <c r="U117" s="51"/>
      <c r="V117" s="374"/>
      <c r="W117" s="374"/>
      <c r="X117" s="143"/>
      <c r="Y117" s="360"/>
      <c r="Z117" s="360"/>
      <c r="AA117" s="65"/>
      <c r="AB117" s="65"/>
    </row>
    <row r="118" spans="1:28" ht="18" x14ac:dyDescent="0.25">
      <c r="A118" s="271"/>
      <c r="B118" s="156"/>
      <c r="C118" s="156"/>
      <c r="D118" s="156"/>
      <c r="E118" s="156"/>
      <c r="F118" s="156"/>
      <c r="G118" s="156"/>
      <c r="H118" s="156"/>
      <c r="I118" s="156"/>
      <c r="J118" s="156"/>
      <c r="K118" s="156"/>
      <c r="L118" s="156"/>
      <c r="M118" s="156"/>
      <c r="N118" s="156"/>
      <c r="O118" s="156"/>
      <c r="P118" s="156"/>
      <c r="Q118" s="156"/>
      <c r="R118" s="156"/>
      <c r="S118" s="156"/>
      <c r="T118" s="156"/>
      <c r="U118" s="51"/>
      <c r="V118" s="374"/>
      <c r="W118" s="374"/>
      <c r="X118" s="143"/>
      <c r="Y118" s="360"/>
      <c r="Z118" s="360"/>
      <c r="AA118" s="65"/>
      <c r="AB118" s="65"/>
    </row>
    <row r="119" spans="1:28" ht="18" x14ac:dyDescent="0.25">
      <c r="A119" s="271"/>
      <c r="B119" s="156"/>
      <c r="C119" s="156"/>
      <c r="D119" s="156"/>
      <c r="E119" s="156"/>
      <c r="F119" s="156"/>
      <c r="G119" s="156"/>
      <c r="H119" s="156"/>
      <c r="I119" s="156"/>
      <c r="J119" s="156"/>
      <c r="K119" s="156"/>
      <c r="L119" s="156"/>
      <c r="M119" s="156"/>
      <c r="N119" s="156"/>
      <c r="O119" s="156"/>
      <c r="P119" s="156"/>
      <c r="Q119" s="156"/>
      <c r="R119" s="156"/>
      <c r="S119" s="156"/>
      <c r="T119" s="156"/>
      <c r="U119" s="51"/>
      <c r="V119" s="374"/>
      <c r="W119" s="374"/>
      <c r="X119" s="143"/>
      <c r="Y119" s="360"/>
      <c r="Z119" s="360"/>
      <c r="AA119" s="65"/>
      <c r="AB119" s="65"/>
    </row>
    <row r="120" spans="1:28" ht="18" x14ac:dyDescent="0.25">
      <c r="A120" s="271"/>
      <c r="B120" s="156"/>
      <c r="C120" s="156"/>
      <c r="D120" s="156"/>
      <c r="E120" s="156"/>
      <c r="F120" s="156"/>
      <c r="G120" s="156"/>
      <c r="H120" s="156"/>
      <c r="I120" s="156"/>
      <c r="J120" s="156"/>
      <c r="K120" s="156"/>
      <c r="L120" s="156"/>
      <c r="M120" s="156"/>
      <c r="N120" s="156"/>
      <c r="O120" s="156"/>
      <c r="P120" s="156"/>
      <c r="Q120" s="156"/>
      <c r="R120" s="156"/>
      <c r="S120" s="156"/>
      <c r="T120" s="156"/>
      <c r="U120" s="51"/>
      <c r="V120" s="374"/>
      <c r="W120" s="374"/>
      <c r="X120" s="143"/>
      <c r="Y120" s="360"/>
      <c r="Z120" s="360"/>
      <c r="AA120" s="65"/>
      <c r="AB120" s="65"/>
    </row>
    <row r="121" spans="1:28" ht="18" x14ac:dyDescent="0.25">
      <c r="A121" s="271"/>
      <c r="B121" s="156"/>
      <c r="C121" s="156"/>
      <c r="D121" s="156"/>
      <c r="E121" s="156"/>
      <c r="F121" s="156"/>
      <c r="G121" s="156"/>
      <c r="H121" s="156"/>
      <c r="I121" s="156"/>
      <c r="J121" s="156"/>
      <c r="K121" s="156"/>
      <c r="L121" s="156"/>
      <c r="M121" s="156"/>
      <c r="N121" s="156"/>
      <c r="O121" s="156"/>
      <c r="P121" s="156"/>
      <c r="Q121" s="156"/>
      <c r="R121" s="156"/>
      <c r="S121" s="156"/>
      <c r="T121" s="156"/>
      <c r="U121" s="51"/>
      <c r="V121" s="374"/>
      <c r="W121" s="374"/>
      <c r="X121" s="143"/>
      <c r="Y121" s="360"/>
      <c r="Z121" s="360"/>
      <c r="AA121" s="65"/>
      <c r="AB121" s="65"/>
    </row>
    <row r="122" spans="1:28" ht="18" x14ac:dyDescent="0.25">
      <c r="A122" s="271"/>
      <c r="B122" s="156"/>
      <c r="C122" s="156"/>
      <c r="D122" s="156"/>
      <c r="E122" s="156"/>
      <c r="F122" s="156"/>
      <c r="G122" s="156"/>
      <c r="H122" s="156"/>
      <c r="I122" s="156"/>
      <c r="J122" s="156"/>
      <c r="K122" s="156"/>
      <c r="L122" s="156"/>
      <c r="M122" s="156"/>
      <c r="N122" s="156"/>
      <c r="O122" s="156"/>
      <c r="P122" s="156"/>
      <c r="Q122" s="156"/>
      <c r="R122" s="156"/>
      <c r="S122" s="156"/>
      <c r="T122" s="156"/>
      <c r="U122" s="51"/>
      <c r="V122" s="374"/>
      <c r="W122" s="374"/>
      <c r="X122" s="143"/>
      <c r="Y122" s="360"/>
      <c r="Z122" s="360"/>
      <c r="AA122" s="65"/>
      <c r="AB122" s="65"/>
    </row>
    <row r="123" spans="1:28" ht="18" x14ac:dyDescent="0.25">
      <c r="A123" s="271"/>
      <c r="B123" s="156"/>
      <c r="C123" s="156"/>
      <c r="D123" s="156"/>
      <c r="E123" s="156"/>
      <c r="F123" s="156"/>
      <c r="G123" s="156"/>
      <c r="H123" s="156"/>
      <c r="I123" s="156"/>
      <c r="J123" s="156"/>
      <c r="K123" s="156"/>
      <c r="L123" s="156"/>
      <c r="M123" s="156"/>
      <c r="N123" s="156"/>
      <c r="O123" s="156"/>
      <c r="P123" s="156"/>
      <c r="Q123" s="156"/>
      <c r="R123" s="156"/>
      <c r="S123" s="156"/>
      <c r="T123" s="156"/>
      <c r="U123" s="51"/>
      <c r="V123" s="374"/>
      <c r="W123" s="374"/>
      <c r="X123" s="143"/>
      <c r="Y123" s="360"/>
      <c r="Z123" s="360"/>
      <c r="AA123" s="65"/>
      <c r="AB123" s="65"/>
    </row>
    <row r="124" spans="1:28" ht="18" x14ac:dyDescent="0.25">
      <c r="A124" s="271"/>
      <c r="B124" s="156"/>
      <c r="C124" s="156"/>
      <c r="D124" s="156"/>
      <c r="E124" s="156"/>
      <c r="F124" s="156"/>
      <c r="G124" s="156"/>
      <c r="H124" s="156"/>
      <c r="I124" s="156"/>
      <c r="J124" s="156"/>
      <c r="K124" s="156"/>
      <c r="L124" s="156"/>
      <c r="M124" s="156"/>
      <c r="N124" s="156"/>
      <c r="O124" s="156"/>
      <c r="P124" s="156"/>
      <c r="Q124" s="156"/>
      <c r="R124" s="156"/>
      <c r="S124" s="156"/>
      <c r="T124" s="156"/>
      <c r="U124" s="51"/>
      <c r="V124" s="374"/>
      <c r="W124" s="374"/>
      <c r="X124" s="143"/>
      <c r="Y124" s="360"/>
      <c r="Z124" s="360"/>
      <c r="AA124" s="65"/>
      <c r="AB124" s="65"/>
    </row>
    <row r="125" spans="1:28" ht="18" x14ac:dyDescent="0.25">
      <c r="A125" s="271"/>
      <c r="B125" s="156"/>
      <c r="C125" s="156"/>
      <c r="D125" s="156"/>
      <c r="E125" s="156"/>
      <c r="F125" s="156"/>
      <c r="G125" s="156"/>
      <c r="H125" s="156"/>
      <c r="I125" s="156"/>
      <c r="J125" s="156"/>
      <c r="K125" s="156"/>
      <c r="L125" s="156"/>
      <c r="M125" s="156"/>
      <c r="N125" s="156"/>
      <c r="O125" s="156"/>
      <c r="P125" s="156"/>
      <c r="Q125" s="156"/>
      <c r="R125" s="156"/>
      <c r="S125" s="156"/>
      <c r="T125" s="156"/>
      <c r="U125" s="51"/>
      <c r="V125" s="374"/>
      <c r="W125" s="374"/>
      <c r="X125" s="143"/>
      <c r="Y125" s="360"/>
      <c r="Z125" s="360"/>
      <c r="AA125" s="65"/>
      <c r="AB125" s="65"/>
    </row>
    <row r="126" spans="1:28" ht="18" x14ac:dyDescent="0.25">
      <c r="A126" s="271"/>
      <c r="B126" s="156"/>
      <c r="C126" s="156"/>
      <c r="D126" s="156"/>
      <c r="E126" s="156"/>
      <c r="F126" s="156"/>
      <c r="G126" s="156"/>
      <c r="H126" s="156"/>
      <c r="I126" s="156"/>
      <c r="J126" s="156"/>
      <c r="K126" s="156"/>
      <c r="L126" s="156"/>
      <c r="M126" s="156"/>
      <c r="N126" s="156"/>
      <c r="O126" s="156"/>
      <c r="P126" s="156"/>
      <c r="Q126" s="156"/>
      <c r="R126" s="156"/>
      <c r="S126" s="156"/>
      <c r="T126" s="156"/>
      <c r="U126" s="51"/>
      <c r="V126" s="374"/>
      <c r="W126" s="374"/>
      <c r="X126" s="143"/>
      <c r="Y126" s="360"/>
      <c r="Z126" s="360"/>
      <c r="AA126" s="65"/>
      <c r="AB126" s="65"/>
    </row>
    <row r="127" spans="1:28" ht="18" x14ac:dyDescent="0.25">
      <c r="A127" s="271"/>
      <c r="B127" s="156"/>
      <c r="C127" s="156"/>
      <c r="D127" s="156"/>
      <c r="E127" s="156"/>
      <c r="F127" s="156"/>
      <c r="G127" s="156"/>
      <c r="H127" s="156"/>
      <c r="I127" s="156"/>
      <c r="J127" s="156"/>
      <c r="K127" s="156"/>
      <c r="L127" s="156"/>
      <c r="M127" s="156"/>
      <c r="N127" s="156"/>
      <c r="O127" s="156"/>
      <c r="P127" s="156"/>
      <c r="Q127" s="156"/>
      <c r="R127" s="156"/>
      <c r="S127" s="156"/>
      <c r="T127" s="156"/>
      <c r="U127" s="51"/>
      <c r="V127" s="374"/>
      <c r="W127" s="374"/>
      <c r="X127" s="143"/>
      <c r="Y127" s="360"/>
      <c r="Z127" s="360"/>
      <c r="AA127" s="65"/>
      <c r="AB127" s="65"/>
    </row>
    <row r="128" spans="1:28" ht="18" x14ac:dyDescent="0.25">
      <c r="A128" s="271"/>
      <c r="B128" s="156"/>
      <c r="C128" s="156"/>
      <c r="D128" s="156"/>
      <c r="E128" s="156"/>
      <c r="F128" s="156"/>
      <c r="G128" s="156"/>
      <c r="H128" s="156"/>
      <c r="I128" s="156"/>
      <c r="J128" s="156"/>
      <c r="K128" s="156"/>
      <c r="L128" s="156"/>
      <c r="M128" s="156"/>
      <c r="N128" s="156"/>
      <c r="O128" s="156"/>
      <c r="P128" s="156"/>
      <c r="Q128" s="156"/>
      <c r="R128" s="156"/>
      <c r="S128" s="156"/>
      <c r="T128" s="156"/>
      <c r="U128" s="51"/>
      <c r="V128" s="374"/>
      <c r="W128" s="374"/>
      <c r="X128" s="143"/>
      <c r="Y128" s="360"/>
      <c r="Z128" s="360"/>
      <c r="AA128" s="65"/>
      <c r="AB128" s="65"/>
    </row>
    <row r="129" spans="1:28" ht="18" x14ac:dyDescent="0.25">
      <c r="A129" s="271"/>
      <c r="B129" s="156"/>
      <c r="C129" s="156"/>
      <c r="D129" s="156"/>
      <c r="E129" s="156"/>
      <c r="F129" s="156"/>
      <c r="G129" s="156"/>
      <c r="H129" s="156"/>
      <c r="I129" s="156"/>
      <c r="J129" s="156"/>
      <c r="K129" s="156"/>
      <c r="L129" s="156"/>
      <c r="M129" s="156"/>
      <c r="N129" s="156"/>
      <c r="O129" s="156"/>
      <c r="P129" s="156"/>
      <c r="Q129" s="156"/>
      <c r="R129" s="156"/>
      <c r="S129" s="156"/>
      <c r="T129" s="156"/>
      <c r="U129" s="51"/>
      <c r="V129" s="374"/>
      <c r="W129" s="374"/>
      <c r="X129" s="143"/>
      <c r="Y129" s="360"/>
      <c r="Z129" s="360"/>
      <c r="AA129" s="65"/>
      <c r="AB129" s="65"/>
    </row>
    <row r="130" spans="1:28" ht="18" x14ac:dyDescent="0.25">
      <c r="A130" s="271"/>
      <c r="B130" s="156"/>
      <c r="C130" s="156"/>
      <c r="D130" s="156"/>
      <c r="E130" s="156"/>
      <c r="F130" s="156"/>
      <c r="G130" s="156"/>
      <c r="H130" s="156"/>
      <c r="I130" s="156"/>
      <c r="J130" s="156"/>
      <c r="K130" s="156"/>
      <c r="L130" s="156"/>
      <c r="M130" s="156"/>
      <c r="N130" s="156"/>
      <c r="O130" s="156"/>
      <c r="P130" s="156"/>
      <c r="Q130" s="156"/>
      <c r="R130" s="156"/>
      <c r="S130" s="156"/>
      <c r="T130" s="156"/>
      <c r="U130" s="51"/>
      <c r="V130" s="374"/>
      <c r="W130" s="374"/>
      <c r="X130" s="143"/>
      <c r="Y130" s="360"/>
      <c r="Z130" s="360"/>
      <c r="AA130" s="65"/>
      <c r="AB130" s="65"/>
    </row>
    <row r="131" spans="1:28" ht="18" x14ac:dyDescent="0.25">
      <c r="A131" s="271"/>
      <c r="B131" s="156"/>
      <c r="C131" s="156"/>
      <c r="D131" s="156"/>
      <c r="E131" s="156"/>
      <c r="F131" s="156"/>
      <c r="G131" s="156"/>
      <c r="H131" s="156"/>
      <c r="I131" s="156"/>
      <c r="J131" s="156"/>
      <c r="K131" s="156"/>
      <c r="L131" s="156"/>
      <c r="M131" s="156"/>
      <c r="N131" s="156"/>
      <c r="O131" s="156"/>
      <c r="P131" s="156"/>
      <c r="Q131" s="156"/>
      <c r="R131" s="156"/>
      <c r="S131" s="156"/>
      <c r="T131" s="156"/>
      <c r="U131" s="51"/>
      <c r="V131" s="374"/>
      <c r="W131" s="374"/>
      <c r="X131" s="143"/>
      <c r="Y131" s="360"/>
      <c r="Z131" s="360"/>
      <c r="AA131" s="65"/>
      <c r="AB131" s="65"/>
    </row>
    <row r="132" spans="1:28" ht="18" x14ac:dyDescent="0.25">
      <c r="A132" s="271"/>
      <c r="B132" s="156"/>
      <c r="C132" s="156"/>
      <c r="D132" s="156"/>
      <c r="E132" s="156"/>
      <c r="F132" s="156"/>
      <c r="G132" s="156"/>
      <c r="H132" s="156"/>
      <c r="I132" s="156"/>
      <c r="J132" s="156"/>
      <c r="K132" s="156"/>
      <c r="L132" s="156"/>
      <c r="M132" s="156"/>
      <c r="N132" s="156"/>
      <c r="O132" s="156"/>
      <c r="P132" s="156"/>
      <c r="Q132" s="156"/>
      <c r="R132" s="156"/>
      <c r="S132" s="156"/>
      <c r="T132" s="156"/>
      <c r="U132" s="51"/>
      <c r="V132" s="374"/>
      <c r="W132" s="374"/>
      <c r="X132" s="143"/>
      <c r="Y132" s="360"/>
      <c r="Z132" s="360"/>
      <c r="AA132" s="65"/>
      <c r="AB132" s="65"/>
    </row>
    <row r="133" spans="1:28" ht="18" x14ac:dyDescent="0.25">
      <c r="A133" s="271"/>
      <c r="B133" s="156"/>
      <c r="C133" s="156"/>
      <c r="D133" s="156"/>
      <c r="E133" s="156"/>
      <c r="F133" s="156"/>
      <c r="G133" s="156"/>
      <c r="H133" s="156"/>
      <c r="I133" s="156"/>
      <c r="J133" s="156"/>
      <c r="K133" s="156"/>
      <c r="L133" s="156"/>
      <c r="M133" s="156"/>
      <c r="N133" s="156"/>
      <c r="O133" s="156"/>
      <c r="P133" s="156"/>
      <c r="Q133" s="156"/>
      <c r="R133" s="156"/>
      <c r="S133" s="156"/>
      <c r="T133" s="156"/>
      <c r="U133" s="51"/>
      <c r="V133" s="374"/>
      <c r="W133" s="374"/>
      <c r="X133" s="143"/>
      <c r="Y133" s="360"/>
      <c r="Z133" s="360"/>
      <c r="AA133" s="65"/>
      <c r="AB133" s="65"/>
    </row>
    <row r="134" spans="1:28" ht="18" x14ac:dyDescent="0.25">
      <c r="A134" s="271"/>
      <c r="B134" s="156"/>
      <c r="C134" s="156"/>
      <c r="D134" s="156"/>
      <c r="E134" s="156"/>
      <c r="F134" s="156"/>
      <c r="G134" s="156"/>
      <c r="H134" s="156"/>
      <c r="I134" s="156"/>
      <c r="J134" s="156"/>
      <c r="K134" s="156"/>
      <c r="L134" s="156"/>
      <c r="M134" s="156"/>
      <c r="N134" s="156"/>
      <c r="O134" s="156"/>
      <c r="P134" s="156"/>
      <c r="Q134" s="156"/>
      <c r="R134" s="156"/>
      <c r="S134" s="156"/>
      <c r="T134" s="156"/>
      <c r="U134" s="51"/>
      <c r="V134" s="374"/>
      <c r="W134" s="374"/>
      <c r="X134" s="143"/>
      <c r="Y134" s="360"/>
      <c r="Z134" s="360"/>
      <c r="AA134" s="65"/>
      <c r="AB134" s="65"/>
    </row>
    <row r="135" spans="1:28" ht="18" x14ac:dyDescent="0.25">
      <c r="A135" s="271"/>
      <c r="B135" s="156"/>
      <c r="C135" s="156"/>
      <c r="D135" s="156"/>
      <c r="E135" s="156"/>
      <c r="F135" s="156"/>
      <c r="G135" s="156"/>
      <c r="H135" s="156"/>
      <c r="I135" s="156"/>
      <c r="J135" s="156"/>
      <c r="K135" s="156"/>
      <c r="L135" s="156"/>
      <c r="M135" s="156"/>
      <c r="N135" s="156"/>
      <c r="O135" s="156"/>
      <c r="P135" s="156"/>
      <c r="Q135" s="156"/>
      <c r="R135" s="156"/>
      <c r="S135" s="156"/>
      <c r="T135" s="156"/>
      <c r="U135" s="51"/>
      <c r="V135" s="374"/>
      <c r="W135" s="374"/>
      <c r="X135" s="143"/>
      <c r="Y135" s="360"/>
      <c r="Z135" s="360"/>
      <c r="AA135" s="65"/>
      <c r="AB135" s="65"/>
    </row>
    <row r="136" spans="1:28" ht="18" x14ac:dyDescent="0.25">
      <c r="A136" s="271"/>
      <c r="B136" s="156"/>
      <c r="C136" s="156"/>
      <c r="D136" s="156"/>
      <c r="E136" s="156"/>
      <c r="F136" s="156"/>
      <c r="G136" s="156"/>
      <c r="H136" s="156"/>
      <c r="I136" s="156"/>
      <c r="J136" s="156"/>
      <c r="K136" s="156"/>
      <c r="L136" s="156"/>
      <c r="M136" s="156"/>
      <c r="N136" s="156"/>
      <c r="O136" s="156"/>
      <c r="P136" s="156"/>
      <c r="Q136" s="156"/>
      <c r="R136" s="156"/>
      <c r="S136" s="156"/>
      <c r="T136" s="156"/>
      <c r="U136" s="51"/>
      <c r="V136" s="374"/>
      <c r="W136" s="374"/>
      <c r="X136" s="143"/>
      <c r="Y136" s="360"/>
      <c r="Z136" s="360"/>
      <c r="AA136" s="65"/>
      <c r="AB136" s="65"/>
    </row>
    <row r="137" spans="1:28" ht="18" x14ac:dyDescent="0.25">
      <c r="A137" s="271"/>
      <c r="B137" s="156"/>
      <c r="C137" s="156"/>
      <c r="D137" s="156"/>
      <c r="E137" s="156"/>
      <c r="F137" s="156"/>
      <c r="G137" s="156"/>
      <c r="H137" s="156"/>
      <c r="I137" s="156"/>
      <c r="J137" s="156"/>
      <c r="K137" s="156"/>
      <c r="L137" s="156"/>
      <c r="M137" s="156"/>
      <c r="N137" s="156"/>
      <c r="O137" s="156"/>
      <c r="P137" s="156"/>
      <c r="Q137" s="156"/>
      <c r="R137" s="156"/>
      <c r="S137" s="156"/>
      <c r="T137" s="156"/>
      <c r="U137" s="51"/>
      <c r="V137" s="374"/>
      <c r="W137" s="374"/>
      <c r="X137" s="143"/>
      <c r="Y137" s="360"/>
      <c r="Z137" s="360"/>
      <c r="AA137" s="65"/>
      <c r="AB137" s="65"/>
    </row>
    <row r="138" spans="1:28" ht="18" x14ac:dyDescent="0.25">
      <c r="A138" s="271"/>
      <c r="B138" s="156"/>
      <c r="C138" s="156"/>
      <c r="D138" s="156"/>
      <c r="E138" s="156"/>
      <c r="F138" s="156"/>
      <c r="G138" s="156"/>
      <c r="H138" s="156"/>
      <c r="I138" s="156"/>
      <c r="J138" s="156"/>
      <c r="K138" s="156"/>
      <c r="L138" s="156"/>
      <c r="M138" s="156"/>
      <c r="N138" s="156"/>
      <c r="O138" s="156"/>
      <c r="P138" s="156"/>
      <c r="Q138" s="156"/>
      <c r="R138" s="156"/>
      <c r="S138" s="156"/>
      <c r="T138" s="156"/>
      <c r="U138" s="51"/>
      <c r="V138" s="374"/>
      <c r="W138" s="374"/>
      <c r="X138" s="143"/>
      <c r="Y138" s="360"/>
      <c r="Z138" s="360"/>
      <c r="AA138" s="65"/>
      <c r="AB138" s="65"/>
    </row>
    <row r="139" spans="1:28" ht="18" x14ac:dyDescent="0.25">
      <c r="A139" s="271"/>
      <c r="B139" s="156"/>
      <c r="C139" s="156"/>
      <c r="D139" s="156"/>
      <c r="E139" s="156"/>
      <c r="F139" s="156"/>
      <c r="G139" s="156"/>
      <c r="H139" s="156"/>
      <c r="I139" s="156"/>
      <c r="J139" s="156"/>
      <c r="K139" s="156"/>
      <c r="L139" s="156"/>
      <c r="M139" s="156"/>
      <c r="N139" s="156"/>
      <c r="O139" s="156"/>
      <c r="P139" s="156"/>
      <c r="Q139" s="156"/>
      <c r="R139" s="156"/>
      <c r="S139" s="156"/>
      <c r="T139" s="156"/>
      <c r="U139" s="51"/>
      <c r="V139" s="374"/>
      <c r="W139" s="374"/>
      <c r="X139" s="143"/>
      <c r="Y139" s="360"/>
      <c r="Z139" s="360"/>
      <c r="AA139" s="65"/>
      <c r="AB139" s="65"/>
    </row>
    <row r="140" spans="1:28" ht="18" x14ac:dyDescent="0.25">
      <c r="A140" s="271"/>
      <c r="B140" s="156"/>
      <c r="C140" s="156"/>
      <c r="D140" s="156"/>
      <c r="E140" s="156"/>
      <c r="F140" s="156"/>
      <c r="G140" s="156"/>
      <c r="H140" s="156"/>
      <c r="I140" s="156"/>
      <c r="J140" s="156"/>
      <c r="K140" s="156"/>
      <c r="L140" s="156"/>
      <c r="M140" s="156"/>
      <c r="N140" s="156"/>
      <c r="O140" s="156"/>
      <c r="P140" s="156"/>
      <c r="Q140" s="156"/>
      <c r="R140" s="156"/>
      <c r="S140" s="156"/>
      <c r="T140" s="156"/>
      <c r="U140" s="51"/>
      <c r="V140" s="374"/>
      <c r="W140" s="374"/>
      <c r="X140" s="143"/>
      <c r="Y140" s="360"/>
      <c r="Z140" s="360"/>
      <c r="AA140" s="65"/>
      <c r="AB140" s="65"/>
    </row>
    <row r="141" spans="1:28" ht="18" x14ac:dyDescent="0.25">
      <c r="A141" s="271"/>
      <c r="B141" s="156"/>
      <c r="C141" s="156"/>
      <c r="D141" s="156"/>
      <c r="E141" s="156"/>
      <c r="F141" s="156"/>
      <c r="G141" s="156"/>
      <c r="H141" s="156"/>
      <c r="I141" s="156"/>
      <c r="J141" s="156"/>
      <c r="K141" s="156"/>
      <c r="L141" s="156"/>
      <c r="M141" s="156"/>
      <c r="N141" s="156"/>
      <c r="O141" s="156"/>
      <c r="P141" s="156"/>
      <c r="Q141" s="156"/>
      <c r="R141" s="156"/>
      <c r="S141" s="156"/>
      <c r="T141" s="156"/>
      <c r="U141" s="51"/>
      <c r="V141" s="374"/>
      <c r="W141" s="374"/>
      <c r="X141" s="143"/>
      <c r="Y141" s="360"/>
      <c r="Z141" s="360"/>
      <c r="AA141" s="65"/>
      <c r="AB141" s="65"/>
    </row>
    <row r="142" spans="1:28" ht="18" x14ac:dyDescent="0.25">
      <c r="A142" s="271"/>
      <c r="B142" s="156"/>
      <c r="C142" s="156"/>
      <c r="D142" s="156"/>
      <c r="E142" s="156"/>
      <c r="F142" s="156"/>
      <c r="G142" s="156"/>
      <c r="H142" s="156"/>
      <c r="I142" s="156"/>
      <c r="J142" s="156"/>
      <c r="K142" s="156"/>
      <c r="L142" s="156"/>
      <c r="M142" s="156"/>
      <c r="N142" s="156"/>
      <c r="O142" s="156"/>
      <c r="P142" s="156"/>
      <c r="Q142" s="156"/>
      <c r="R142" s="156"/>
      <c r="S142" s="156"/>
      <c r="T142" s="156"/>
      <c r="U142" s="51"/>
      <c r="V142" s="374"/>
      <c r="W142" s="374"/>
      <c r="X142" s="143"/>
      <c r="Y142" s="360"/>
      <c r="Z142" s="360"/>
      <c r="AA142" s="65"/>
      <c r="AB142" s="65"/>
    </row>
    <row r="143" spans="1:28" ht="18" x14ac:dyDescent="0.25">
      <c r="A143" s="271"/>
      <c r="B143" s="156"/>
      <c r="C143" s="156"/>
      <c r="D143" s="156"/>
      <c r="E143" s="156"/>
      <c r="F143" s="156"/>
      <c r="G143" s="156"/>
      <c r="H143" s="156"/>
      <c r="I143" s="156"/>
      <c r="J143" s="156"/>
      <c r="K143" s="156"/>
      <c r="L143" s="156"/>
      <c r="M143" s="156"/>
      <c r="N143" s="156"/>
      <c r="O143" s="156"/>
      <c r="P143" s="156"/>
      <c r="Q143" s="156"/>
      <c r="R143" s="156"/>
      <c r="S143" s="156"/>
      <c r="T143" s="156"/>
      <c r="U143" s="51"/>
      <c r="V143" s="374"/>
      <c r="W143" s="374"/>
      <c r="X143" s="143"/>
      <c r="Y143" s="360"/>
      <c r="Z143" s="360"/>
      <c r="AA143" s="65"/>
      <c r="AB143" s="65"/>
    </row>
    <row r="144" spans="1:28" ht="18" x14ac:dyDescent="0.25">
      <c r="A144" s="271"/>
      <c r="B144" s="156"/>
      <c r="C144" s="156"/>
      <c r="D144" s="156"/>
      <c r="E144" s="156"/>
      <c r="F144" s="156"/>
      <c r="G144" s="156"/>
      <c r="H144" s="156"/>
      <c r="I144" s="156"/>
      <c r="J144" s="156"/>
      <c r="K144" s="156"/>
      <c r="L144" s="156"/>
      <c r="M144" s="156"/>
      <c r="N144" s="156"/>
      <c r="O144" s="156"/>
      <c r="P144" s="156"/>
      <c r="Q144" s="156"/>
      <c r="R144" s="156"/>
      <c r="S144" s="156"/>
      <c r="T144" s="156"/>
      <c r="U144" s="51"/>
      <c r="V144" s="374"/>
      <c r="W144" s="374"/>
      <c r="X144" s="143"/>
      <c r="Y144" s="360"/>
      <c r="Z144" s="360"/>
      <c r="AA144" s="65"/>
      <c r="AB144" s="65"/>
    </row>
    <row r="145" spans="1:28" ht="18" x14ac:dyDescent="0.25">
      <c r="A145" s="271"/>
      <c r="B145" s="156"/>
      <c r="C145" s="156"/>
      <c r="D145" s="156"/>
      <c r="E145" s="156"/>
      <c r="F145" s="156"/>
      <c r="G145" s="156"/>
      <c r="H145" s="156"/>
      <c r="I145" s="156"/>
      <c r="J145" s="156"/>
      <c r="K145" s="156"/>
      <c r="L145" s="156"/>
      <c r="M145" s="156"/>
      <c r="N145" s="156"/>
      <c r="O145" s="156"/>
      <c r="P145" s="156"/>
      <c r="Q145" s="156"/>
      <c r="R145" s="156"/>
      <c r="S145" s="156"/>
      <c r="T145" s="156"/>
      <c r="U145" s="51"/>
      <c r="V145" s="374"/>
      <c r="W145" s="374"/>
      <c r="X145" s="143"/>
      <c r="Y145" s="360"/>
      <c r="Z145" s="360"/>
      <c r="AA145" s="65"/>
      <c r="AB145" s="65"/>
    </row>
    <row r="146" spans="1:28" ht="18" x14ac:dyDescent="0.25">
      <c r="A146" s="271"/>
      <c r="B146" s="156"/>
      <c r="C146" s="156"/>
      <c r="D146" s="156"/>
      <c r="E146" s="156"/>
      <c r="F146" s="156"/>
      <c r="G146" s="156"/>
      <c r="H146" s="156"/>
      <c r="I146" s="156"/>
      <c r="J146" s="156"/>
      <c r="K146" s="156"/>
      <c r="L146" s="156"/>
      <c r="M146" s="156"/>
      <c r="N146" s="156"/>
      <c r="O146" s="156"/>
      <c r="P146" s="156"/>
      <c r="Q146" s="156"/>
      <c r="R146" s="156"/>
      <c r="S146" s="156"/>
      <c r="T146" s="156"/>
      <c r="U146" s="51"/>
      <c r="V146" s="374"/>
      <c r="W146" s="374"/>
      <c r="X146" s="143"/>
      <c r="Y146" s="360"/>
      <c r="Z146" s="360"/>
      <c r="AA146" s="65"/>
      <c r="AB146" s="65"/>
    </row>
    <row r="147" spans="1:28" ht="18" x14ac:dyDescent="0.25">
      <c r="A147" s="271"/>
      <c r="B147" s="156"/>
      <c r="C147" s="156"/>
      <c r="D147" s="156"/>
      <c r="E147" s="156"/>
      <c r="F147" s="156"/>
      <c r="G147" s="156"/>
      <c r="H147" s="156"/>
      <c r="I147" s="156"/>
      <c r="J147" s="156"/>
      <c r="K147" s="156"/>
      <c r="L147" s="156"/>
      <c r="M147" s="156"/>
      <c r="N147" s="156"/>
      <c r="O147" s="156"/>
      <c r="P147" s="156"/>
      <c r="Q147" s="156"/>
      <c r="R147" s="156"/>
      <c r="S147" s="156"/>
      <c r="T147" s="156"/>
      <c r="U147" s="51"/>
      <c r="V147" s="374"/>
      <c r="W147" s="374"/>
      <c r="X147" s="143"/>
      <c r="Y147" s="360"/>
      <c r="Z147" s="360"/>
      <c r="AA147" s="65"/>
      <c r="AB147" s="65"/>
    </row>
    <row r="148" spans="1:28" ht="18" x14ac:dyDescent="0.25">
      <c r="A148" s="271"/>
      <c r="B148" s="156"/>
      <c r="C148" s="156"/>
      <c r="D148" s="156"/>
      <c r="E148" s="156"/>
      <c r="F148" s="156"/>
      <c r="G148" s="156"/>
      <c r="H148" s="156"/>
      <c r="I148" s="156"/>
      <c r="J148" s="156"/>
      <c r="K148" s="156"/>
      <c r="L148" s="156"/>
      <c r="M148" s="156"/>
      <c r="N148" s="156"/>
      <c r="O148" s="156"/>
      <c r="P148" s="156"/>
      <c r="Q148" s="156"/>
      <c r="R148" s="156"/>
      <c r="S148" s="156"/>
      <c r="T148" s="156"/>
      <c r="U148" s="51"/>
      <c r="V148" s="374"/>
      <c r="W148" s="374"/>
      <c r="X148" s="143"/>
      <c r="Y148" s="360"/>
      <c r="Z148" s="360"/>
      <c r="AA148" s="65"/>
      <c r="AB148" s="65"/>
    </row>
    <row r="149" spans="1:28" ht="18" x14ac:dyDescent="0.25">
      <c r="A149" s="271"/>
      <c r="B149" s="156"/>
      <c r="C149" s="156"/>
      <c r="D149" s="156"/>
      <c r="E149" s="156"/>
      <c r="F149" s="156"/>
      <c r="G149" s="156"/>
      <c r="H149" s="156"/>
      <c r="I149" s="156"/>
      <c r="J149" s="156"/>
      <c r="K149" s="156"/>
      <c r="L149" s="156"/>
      <c r="M149" s="156"/>
      <c r="N149" s="156"/>
      <c r="O149" s="156"/>
      <c r="P149" s="156"/>
      <c r="Q149" s="156"/>
      <c r="R149" s="156"/>
      <c r="S149" s="156"/>
      <c r="T149" s="156"/>
      <c r="U149" s="51"/>
      <c r="V149" s="374"/>
      <c r="W149" s="374"/>
      <c r="X149" s="143"/>
      <c r="Y149" s="360"/>
      <c r="Z149" s="360"/>
      <c r="AA149" s="65"/>
      <c r="AB149" s="65"/>
    </row>
    <row r="150" spans="1:28" ht="18" x14ac:dyDescent="0.25">
      <c r="A150" s="271"/>
      <c r="B150" s="156"/>
      <c r="C150" s="156"/>
      <c r="D150" s="156"/>
      <c r="E150" s="156"/>
      <c r="F150" s="156"/>
      <c r="G150" s="156"/>
      <c r="H150" s="156"/>
      <c r="I150" s="156"/>
      <c r="J150" s="156"/>
      <c r="K150" s="156"/>
      <c r="L150" s="156"/>
      <c r="M150" s="156"/>
      <c r="N150" s="156"/>
      <c r="O150" s="156"/>
      <c r="P150" s="156"/>
      <c r="Q150" s="156"/>
      <c r="R150" s="156"/>
      <c r="S150" s="156"/>
      <c r="T150" s="156"/>
      <c r="U150" s="51"/>
      <c r="V150" s="374"/>
      <c r="W150" s="374"/>
      <c r="X150" s="143"/>
      <c r="Y150" s="360"/>
      <c r="Z150" s="360"/>
      <c r="AA150" s="65"/>
      <c r="AB150" s="65"/>
    </row>
    <row r="151" spans="1:28" ht="18" x14ac:dyDescent="0.25">
      <c r="A151" s="271"/>
      <c r="B151" s="156"/>
      <c r="C151" s="156"/>
      <c r="D151" s="156"/>
      <c r="E151" s="156"/>
      <c r="F151" s="156"/>
      <c r="G151" s="156"/>
      <c r="H151" s="156"/>
      <c r="I151" s="156"/>
      <c r="J151" s="156"/>
      <c r="K151" s="156"/>
      <c r="L151" s="156"/>
      <c r="M151" s="156"/>
      <c r="N151" s="156"/>
      <c r="O151" s="156"/>
      <c r="P151" s="156"/>
      <c r="Q151" s="156"/>
      <c r="R151" s="156"/>
      <c r="S151" s="156"/>
      <c r="T151" s="156"/>
      <c r="U151" s="51"/>
      <c r="V151" s="374"/>
      <c r="W151" s="374"/>
      <c r="X151" s="143"/>
      <c r="Y151" s="360"/>
      <c r="Z151" s="360"/>
      <c r="AA151" s="65"/>
      <c r="AB151" s="65"/>
    </row>
    <row r="152" spans="1:28" ht="18" x14ac:dyDescent="0.25">
      <c r="A152" s="271"/>
      <c r="B152" s="156"/>
      <c r="C152" s="156"/>
      <c r="D152" s="156"/>
      <c r="E152" s="156"/>
      <c r="F152" s="156"/>
      <c r="G152" s="156"/>
      <c r="H152" s="156"/>
      <c r="I152" s="156"/>
      <c r="J152" s="156"/>
      <c r="K152" s="156"/>
      <c r="L152" s="156"/>
      <c r="M152" s="156"/>
      <c r="N152" s="156"/>
      <c r="O152" s="156"/>
      <c r="P152" s="156"/>
      <c r="Q152" s="156"/>
      <c r="R152" s="156"/>
      <c r="S152" s="156"/>
      <c r="T152" s="156"/>
      <c r="U152" s="51"/>
      <c r="V152" s="374"/>
      <c r="W152" s="374"/>
      <c r="X152" s="143"/>
      <c r="Y152" s="360"/>
      <c r="Z152" s="360"/>
      <c r="AA152" s="65"/>
      <c r="AB152" s="65"/>
    </row>
    <row r="153" spans="1:28" ht="18" x14ac:dyDescent="0.25">
      <c r="A153" s="271"/>
      <c r="B153" s="156"/>
      <c r="C153" s="156"/>
      <c r="D153" s="156"/>
      <c r="E153" s="156"/>
      <c r="F153" s="156"/>
      <c r="G153" s="156"/>
      <c r="H153" s="156"/>
      <c r="I153" s="156"/>
      <c r="J153" s="156"/>
      <c r="K153" s="156"/>
      <c r="L153" s="156"/>
      <c r="M153" s="156"/>
      <c r="N153" s="156"/>
      <c r="O153" s="156"/>
      <c r="P153" s="156"/>
      <c r="Q153" s="156"/>
      <c r="R153" s="156"/>
      <c r="S153" s="156"/>
      <c r="T153" s="156"/>
      <c r="U153" s="51"/>
      <c r="V153" s="374"/>
      <c r="W153" s="374"/>
      <c r="X153" s="143"/>
      <c r="Y153" s="360"/>
      <c r="Z153" s="360"/>
      <c r="AA153" s="65"/>
      <c r="AB153" s="65"/>
    </row>
    <row r="154" spans="1:28" ht="18" x14ac:dyDescent="0.25">
      <c r="A154" s="271"/>
      <c r="B154" s="156"/>
      <c r="C154" s="156"/>
      <c r="D154" s="156"/>
      <c r="E154" s="156"/>
      <c r="F154" s="156"/>
      <c r="G154" s="156"/>
      <c r="H154" s="156"/>
      <c r="I154" s="156"/>
      <c r="J154" s="156"/>
      <c r="K154" s="156"/>
      <c r="L154" s="156"/>
      <c r="M154" s="156"/>
      <c r="N154" s="156"/>
      <c r="O154" s="156"/>
      <c r="P154" s="156"/>
      <c r="Q154" s="156"/>
      <c r="R154" s="156"/>
      <c r="S154" s="156"/>
      <c r="T154" s="156"/>
      <c r="U154" s="51"/>
      <c r="V154" s="374"/>
      <c r="W154" s="374"/>
      <c r="X154" s="143"/>
      <c r="Y154" s="360"/>
      <c r="Z154" s="360"/>
      <c r="AA154" s="65"/>
      <c r="AB154" s="65"/>
    </row>
    <row r="155" spans="1:28" ht="18" x14ac:dyDescent="0.25">
      <c r="A155" s="271"/>
      <c r="B155" s="156"/>
      <c r="C155" s="156"/>
      <c r="D155" s="156"/>
      <c r="E155" s="156"/>
      <c r="F155" s="156"/>
      <c r="G155" s="156"/>
      <c r="H155" s="156"/>
      <c r="I155" s="156"/>
      <c r="J155" s="156"/>
      <c r="K155" s="156"/>
      <c r="L155" s="156"/>
      <c r="M155" s="156"/>
      <c r="N155" s="156"/>
      <c r="O155" s="156"/>
      <c r="P155" s="156"/>
      <c r="Q155" s="156"/>
      <c r="R155" s="156"/>
      <c r="S155" s="156"/>
      <c r="T155" s="156"/>
      <c r="U155" s="51"/>
      <c r="V155" s="374"/>
      <c r="W155" s="374"/>
      <c r="X155" s="143"/>
      <c r="Y155" s="360"/>
      <c r="Z155" s="360"/>
      <c r="AA155" s="65"/>
      <c r="AB155" s="65"/>
    </row>
    <row r="156" spans="1:28" ht="18" x14ac:dyDescent="0.25">
      <c r="A156" s="271"/>
      <c r="B156" s="156"/>
      <c r="C156" s="156"/>
      <c r="D156" s="156"/>
      <c r="E156" s="156"/>
      <c r="F156" s="156"/>
      <c r="G156" s="156"/>
      <c r="H156" s="156"/>
      <c r="I156" s="156"/>
      <c r="J156" s="156"/>
      <c r="K156" s="156"/>
      <c r="L156" s="156"/>
      <c r="M156" s="156"/>
      <c r="N156" s="156"/>
      <c r="O156" s="156"/>
      <c r="P156" s="156"/>
      <c r="Q156" s="156"/>
      <c r="R156" s="156"/>
      <c r="S156" s="156"/>
      <c r="T156" s="156"/>
      <c r="U156" s="51"/>
      <c r="V156" s="374"/>
      <c r="W156" s="374"/>
      <c r="X156" s="143"/>
      <c r="Y156" s="360"/>
      <c r="Z156" s="360"/>
      <c r="AA156" s="65"/>
      <c r="AB156" s="65"/>
    </row>
    <row r="157" spans="1:28" ht="18" x14ac:dyDescent="0.25">
      <c r="A157" s="271"/>
      <c r="B157" s="156"/>
      <c r="C157" s="156"/>
      <c r="D157" s="156"/>
      <c r="E157" s="156"/>
      <c r="F157" s="156"/>
      <c r="G157" s="156"/>
      <c r="H157" s="156"/>
      <c r="I157" s="156"/>
      <c r="J157" s="156"/>
      <c r="K157" s="156"/>
      <c r="L157" s="156"/>
      <c r="M157" s="156"/>
      <c r="N157" s="156"/>
      <c r="O157" s="156"/>
      <c r="P157" s="156"/>
      <c r="Q157" s="156"/>
      <c r="R157" s="156"/>
      <c r="S157" s="156"/>
      <c r="T157" s="156"/>
      <c r="U157" s="51"/>
      <c r="V157" s="374"/>
      <c r="W157" s="374"/>
      <c r="X157" s="143"/>
      <c r="Y157" s="360"/>
      <c r="Z157" s="360"/>
      <c r="AA157" s="65"/>
      <c r="AB157" s="65"/>
    </row>
    <row r="158" spans="1:28" ht="18" x14ac:dyDescent="0.25">
      <c r="A158" s="271"/>
      <c r="B158" s="156"/>
      <c r="C158" s="156"/>
      <c r="D158" s="156"/>
      <c r="E158" s="156"/>
      <c r="F158" s="156"/>
      <c r="G158" s="156"/>
      <c r="H158" s="156"/>
      <c r="I158" s="156"/>
      <c r="J158" s="156"/>
      <c r="K158" s="156"/>
      <c r="L158" s="156"/>
      <c r="M158" s="156"/>
      <c r="N158" s="156"/>
      <c r="O158" s="156"/>
      <c r="P158" s="156"/>
      <c r="Q158" s="156"/>
      <c r="R158" s="156"/>
      <c r="S158" s="156"/>
      <c r="T158" s="156"/>
      <c r="U158" s="51"/>
      <c r="V158" s="374"/>
      <c r="W158" s="374"/>
      <c r="X158" s="143"/>
      <c r="Y158" s="360"/>
      <c r="Z158" s="360"/>
      <c r="AA158" s="65"/>
      <c r="AB158" s="65"/>
    </row>
    <row r="159" spans="1:28" ht="18" x14ac:dyDescent="0.25">
      <c r="A159" s="271"/>
      <c r="B159" s="156"/>
      <c r="C159" s="156"/>
      <c r="D159" s="156"/>
      <c r="E159" s="156"/>
      <c r="F159" s="156"/>
      <c r="G159" s="156"/>
      <c r="H159" s="156"/>
      <c r="I159" s="156"/>
      <c r="J159" s="156"/>
      <c r="K159" s="156"/>
      <c r="L159" s="156"/>
      <c r="M159" s="156"/>
      <c r="N159" s="156"/>
      <c r="O159" s="156"/>
      <c r="P159" s="156"/>
      <c r="Q159" s="156"/>
      <c r="R159" s="156"/>
      <c r="S159" s="156"/>
      <c r="T159" s="156"/>
      <c r="U159" s="51"/>
      <c r="V159" s="374"/>
      <c r="W159" s="374"/>
      <c r="X159" s="143"/>
      <c r="Y159" s="360"/>
      <c r="Z159" s="360"/>
      <c r="AA159" s="65"/>
      <c r="AB159" s="65"/>
    </row>
    <row r="160" spans="1:28" ht="18" x14ac:dyDescent="0.25">
      <c r="A160" s="271"/>
      <c r="B160" s="156"/>
      <c r="C160" s="156"/>
      <c r="D160" s="156"/>
      <c r="E160" s="156"/>
      <c r="F160" s="156"/>
      <c r="G160" s="156"/>
      <c r="H160" s="156"/>
      <c r="I160" s="156"/>
      <c r="J160" s="156"/>
      <c r="K160" s="156"/>
      <c r="L160" s="156"/>
      <c r="M160" s="156"/>
      <c r="N160" s="156"/>
      <c r="O160" s="156"/>
      <c r="P160" s="156"/>
      <c r="Q160" s="156"/>
      <c r="R160" s="156"/>
      <c r="S160" s="156"/>
      <c r="T160" s="156"/>
      <c r="U160" s="51"/>
      <c r="V160" s="374"/>
      <c r="W160" s="374"/>
      <c r="X160" s="143"/>
      <c r="Y160" s="360"/>
      <c r="Z160" s="360"/>
      <c r="AA160" s="65"/>
      <c r="AB160" s="65"/>
    </row>
    <row r="161" spans="1:28" ht="18" x14ac:dyDescent="0.25">
      <c r="A161" s="271"/>
      <c r="B161" s="156"/>
      <c r="C161" s="156"/>
      <c r="D161" s="156"/>
      <c r="E161" s="156"/>
      <c r="F161" s="156"/>
      <c r="G161" s="156"/>
      <c r="H161" s="156"/>
      <c r="I161" s="156"/>
      <c r="J161" s="156"/>
      <c r="K161" s="156"/>
      <c r="L161" s="156"/>
      <c r="M161" s="156"/>
      <c r="N161" s="156"/>
      <c r="O161" s="156"/>
      <c r="P161" s="156"/>
      <c r="Q161" s="156"/>
      <c r="R161" s="156"/>
      <c r="S161" s="156"/>
      <c r="T161" s="156"/>
      <c r="U161" s="51"/>
      <c r="V161" s="374"/>
      <c r="W161" s="374"/>
      <c r="X161" s="143"/>
      <c r="Y161" s="360"/>
      <c r="Z161" s="360"/>
      <c r="AA161" s="65"/>
      <c r="AB161" s="65"/>
    </row>
    <row r="162" spans="1:28" ht="18" x14ac:dyDescent="0.25">
      <c r="A162" s="271"/>
      <c r="B162" s="156"/>
      <c r="C162" s="156"/>
      <c r="D162" s="156"/>
      <c r="E162" s="156"/>
      <c r="F162" s="156"/>
      <c r="G162" s="156"/>
      <c r="H162" s="156"/>
      <c r="I162" s="156"/>
      <c r="J162" s="156"/>
      <c r="K162" s="156"/>
      <c r="L162" s="156"/>
      <c r="M162" s="156"/>
      <c r="N162" s="156"/>
      <c r="O162" s="156"/>
      <c r="P162" s="156"/>
      <c r="Q162" s="156"/>
      <c r="R162" s="156"/>
      <c r="S162" s="156"/>
      <c r="T162" s="156"/>
      <c r="U162" s="51"/>
      <c r="V162" s="374"/>
      <c r="W162" s="374"/>
      <c r="X162" s="143"/>
      <c r="Y162" s="360"/>
      <c r="Z162" s="360"/>
      <c r="AA162" s="65"/>
      <c r="AB162" s="65"/>
    </row>
    <row r="163" spans="1:28" ht="18" x14ac:dyDescent="0.25">
      <c r="A163" s="271"/>
      <c r="B163" s="156"/>
      <c r="C163" s="156"/>
      <c r="D163" s="156"/>
      <c r="E163" s="156"/>
      <c r="F163" s="156"/>
      <c r="G163" s="156"/>
      <c r="H163" s="156"/>
      <c r="I163" s="156"/>
      <c r="J163" s="156"/>
      <c r="K163" s="156"/>
      <c r="L163" s="156"/>
      <c r="M163" s="156"/>
      <c r="N163" s="156"/>
      <c r="O163" s="156"/>
      <c r="P163" s="156"/>
      <c r="Q163" s="156"/>
      <c r="R163" s="156"/>
      <c r="S163" s="156"/>
      <c r="T163" s="156"/>
      <c r="U163" s="51"/>
      <c r="V163" s="374"/>
      <c r="W163" s="374"/>
      <c r="X163" s="143"/>
      <c r="Y163" s="360"/>
      <c r="Z163" s="360"/>
      <c r="AA163" s="65"/>
      <c r="AB163" s="65"/>
    </row>
    <row r="164" spans="1:28" ht="18" x14ac:dyDescent="0.25">
      <c r="A164" s="271"/>
      <c r="B164" s="156"/>
      <c r="C164" s="156"/>
      <c r="D164" s="156"/>
      <c r="E164" s="156"/>
      <c r="F164" s="156"/>
      <c r="G164" s="156"/>
      <c r="H164" s="156"/>
      <c r="I164" s="156"/>
      <c r="J164" s="156"/>
      <c r="K164" s="156"/>
      <c r="L164" s="156"/>
      <c r="M164" s="156"/>
      <c r="N164" s="156"/>
      <c r="O164" s="156"/>
      <c r="P164" s="156"/>
      <c r="Q164" s="156"/>
      <c r="R164" s="156"/>
      <c r="S164" s="156"/>
      <c r="T164" s="156"/>
      <c r="U164" s="51"/>
      <c r="V164" s="374"/>
      <c r="W164" s="374"/>
      <c r="X164" s="143"/>
      <c r="Y164" s="360"/>
      <c r="Z164" s="360"/>
      <c r="AA164" s="65"/>
      <c r="AB164" s="65"/>
    </row>
    <row r="165" spans="1:28" ht="18" x14ac:dyDescent="0.25">
      <c r="A165" s="271"/>
      <c r="B165" s="156"/>
      <c r="C165" s="156"/>
      <c r="D165" s="156"/>
      <c r="E165" s="156"/>
      <c r="F165" s="156"/>
      <c r="G165" s="156"/>
      <c r="H165" s="156"/>
      <c r="I165" s="156"/>
      <c r="J165" s="156"/>
      <c r="K165" s="156"/>
      <c r="L165" s="156"/>
      <c r="M165" s="156"/>
      <c r="N165" s="156"/>
      <c r="O165" s="156"/>
      <c r="P165" s="156"/>
      <c r="Q165" s="156"/>
      <c r="R165" s="156"/>
      <c r="S165" s="156"/>
      <c r="T165" s="156"/>
      <c r="U165" s="51"/>
      <c r="V165" s="374"/>
      <c r="W165" s="374"/>
      <c r="X165" s="143"/>
      <c r="Y165" s="360"/>
      <c r="Z165" s="360"/>
      <c r="AA165" s="65"/>
      <c r="AB165" s="65"/>
    </row>
    <row r="166" spans="1:28" ht="18" x14ac:dyDescent="0.25">
      <c r="A166" s="271"/>
      <c r="B166" s="156"/>
      <c r="C166" s="156"/>
      <c r="D166" s="156"/>
      <c r="E166" s="156"/>
      <c r="F166" s="156"/>
      <c r="G166" s="156"/>
      <c r="H166" s="156"/>
      <c r="I166" s="156"/>
      <c r="J166" s="156"/>
      <c r="K166" s="156"/>
      <c r="L166" s="156"/>
      <c r="M166" s="156"/>
      <c r="N166" s="156"/>
      <c r="O166" s="156"/>
      <c r="P166" s="156"/>
      <c r="Q166" s="156"/>
      <c r="R166" s="156"/>
      <c r="S166" s="156"/>
      <c r="T166" s="156"/>
      <c r="U166" s="51"/>
      <c r="V166" s="374"/>
      <c r="W166" s="374"/>
      <c r="X166" s="143"/>
      <c r="Y166" s="360"/>
      <c r="Z166" s="360"/>
      <c r="AA166" s="65"/>
      <c r="AB166" s="65"/>
    </row>
    <row r="167" spans="1:28" ht="18" x14ac:dyDescent="0.25">
      <c r="A167" s="271"/>
      <c r="B167" s="156"/>
      <c r="C167" s="156"/>
      <c r="D167" s="156"/>
      <c r="E167" s="156"/>
      <c r="F167" s="156"/>
      <c r="G167" s="156"/>
      <c r="H167" s="156"/>
      <c r="I167" s="156"/>
      <c r="J167" s="156"/>
      <c r="K167" s="156"/>
      <c r="L167" s="156"/>
      <c r="M167" s="156"/>
      <c r="N167" s="156"/>
      <c r="O167" s="156"/>
      <c r="P167" s="156"/>
      <c r="Q167" s="156"/>
      <c r="R167" s="156"/>
      <c r="S167" s="156"/>
      <c r="T167" s="156"/>
      <c r="U167" s="51"/>
      <c r="V167" s="374"/>
      <c r="W167" s="374"/>
      <c r="X167" s="143"/>
      <c r="Y167" s="360"/>
      <c r="Z167" s="360"/>
      <c r="AA167" s="65"/>
      <c r="AB167" s="65"/>
    </row>
    <row r="168" spans="1:28" ht="18" x14ac:dyDescent="0.25">
      <c r="A168" s="271"/>
      <c r="B168" s="156"/>
      <c r="C168" s="156"/>
      <c r="D168" s="156"/>
      <c r="E168" s="156"/>
      <c r="F168" s="156"/>
      <c r="G168" s="156"/>
      <c r="H168" s="156"/>
      <c r="I168" s="156"/>
      <c r="J168" s="156"/>
      <c r="K168" s="156"/>
      <c r="L168" s="156"/>
      <c r="M168" s="156"/>
      <c r="N168" s="156"/>
      <c r="O168" s="156"/>
      <c r="P168" s="156"/>
      <c r="Q168" s="156"/>
      <c r="R168" s="156"/>
      <c r="S168" s="156"/>
      <c r="T168" s="156"/>
      <c r="U168" s="51"/>
      <c r="V168" s="374"/>
      <c r="W168" s="374"/>
      <c r="X168" s="143"/>
      <c r="Y168" s="360"/>
      <c r="Z168" s="360"/>
      <c r="AA168" s="65"/>
      <c r="AB168" s="65"/>
    </row>
    <row r="169" spans="1:28" ht="18" x14ac:dyDescent="0.25">
      <c r="A169" s="271"/>
      <c r="B169" s="156"/>
      <c r="C169" s="156"/>
      <c r="D169" s="156"/>
      <c r="E169" s="156"/>
      <c r="F169" s="156"/>
      <c r="G169" s="156"/>
      <c r="H169" s="156"/>
      <c r="I169" s="156"/>
      <c r="J169" s="156"/>
      <c r="K169" s="156"/>
      <c r="L169" s="156"/>
      <c r="M169" s="156"/>
      <c r="N169" s="156"/>
      <c r="O169" s="156"/>
      <c r="P169" s="156"/>
      <c r="Q169" s="156"/>
      <c r="R169" s="156"/>
      <c r="S169" s="156"/>
      <c r="T169" s="156"/>
      <c r="U169" s="51"/>
      <c r="V169" s="374"/>
      <c r="W169" s="374"/>
      <c r="X169" s="143"/>
      <c r="Y169" s="360"/>
      <c r="Z169" s="360"/>
      <c r="AA169" s="65"/>
      <c r="AB169" s="65"/>
    </row>
    <row r="170" spans="1:28" ht="18" x14ac:dyDescent="0.25">
      <c r="A170" s="271"/>
      <c r="B170" s="156"/>
      <c r="C170" s="156"/>
      <c r="D170" s="156"/>
      <c r="E170" s="156"/>
      <c r="F170" s="156"/>
      <c r="G170" s="156"/>
      <c r="H170" s="156"/>
      <c r="I170" s="156"/>
      <c r="J170" s="156"/>
      <c r="K170" s="156"/>
      <c r="L170" s="156"/>
      <c r="M170" s="156"/>
      <c r="N170" s="156"/>
      <c r="O170" s="156"/>
      <c r="P170" s="156"/>
      <c r="Q170" s="156"/>
      <c r="R170" s="156"/>
      <c r="S170" s="156"/>
      <c r="T170" s="156"/>
      <c r="U170" s="51"/>
      <c r="V170" s="374"/>
      <c r="W170" s="374"/>
      <c r="X170" s="143"/>
      <c r="Y170" s="360"/>
      <c r="Z170" s="360"/>
      <c r="AA170" s="65"/>
      <c r="AB170" s="65"/>
    </row>
    <row r="171" spans="1:28" ht="18" x14ac:dyDescent="0.25">
      <c r="A171" s="271"/>
      <c r="B171" s="156"/>
      <c r="C171" s="156"/>
      <c r="D171" s="156"/>
      <c r="E171" s="156"/>
      <c r="F171" s="156"/>
      <c r="G171" s="156"/>
      <c r="H171" s="156"/>
      <c r="I171" s="156"/>
      <c r="J171" s="156"/>
      <c r="K171" s="156"/>
      <c r="L171" s="156"/>
      <c r="M171" s="156"/>
      <c r="N171" s="156"/>
      <c r="O171" s="156"/>
      <c r="P171" s="156"/>
      <c r="Q171" s="156"/>
      <c r="R171" s="156"/>
      <c r="S171" s="156"/>
      <c r="T171" s="156"/>
      <c r="U171" s="51"/>
      <c r="V171" s="374"/>
      <c r="W171" s="374"/>
      <c r="X171" s="143"/>
      <c r="Y171" s="360"/>
      <c r="Z171" s="360"/>
      <c r="AA171" s="65"/>
      <c r="AB171" s="65"/>
    </row>
    <row r="172" spans="1:28" ht="18" x14ac:dyDescent="0.25">
      <c r="A172" s="271"/>
      <c r="B172" s="156"/>
      <c r="C172" s="156"/>
      <c r="D172" s="156"/>
      <c r="E172" s="156"/>
      <c r="F172" s="156"/>
      <c r="G172" s="156"/>
      <c r="H172" s="156"/>
      <c r="I172" s="156"/>
      <c r="J172" s="156"/>
      <c r="K172" s="156"/>
      <c r="L172" s="156"/>
      <c r="M172" s="156"/>
      <c r="N172" s="156"/>
      <c r="O172" s="156"/>
      <c r="P172" s="156"/>
      <c r="Q172" s="156"/>
      <c r="R172" s="156"/>
      <c r="S172" s="156"/>
      <c r="T172" s="156"/>
      <c r="U172" s="51"/>
      <c r="V172" s="374"/>
      <c r="W172" s="374"/>
      <c r="X172" s="143"/>
      <c r="Y172" s="360"/>
      <c r="Z172" s="360"/>
      <c r="AA172" s="65"/>
      <c r="AB172" s="65"/>
    </row>
    <row r="173" spans="1:28" ht="18" x14ac:dyDescent="0.25">
      <c r="A173" s="271"/>
      <c r="B173" s="156"/>
      <c r="C173" s="156"/>
      <c r="D173" s="156"/>
      <c r="E173" s="156"/>
      <c r="F173" s="156"/>
      <c r="G173" s="156"/>
      <c r="H173" s="156"/>
      <c r="I173" s="156"/>
      <c r="J173" s="156"/>
      <c r="K173" s="156"/>
      <c r="L173" s="156"/>
      <c r="M173" s="156"/>
      <c r="N173" s="156"/>
      <c r="O173" s="156"/>
      <c r="P173" s="156"/>
      <c r="Q173" s="156"/>
      <c r="R173" s="156"/>
      <c r="S173" s="156"/>
      <c r="T173" s="156"/>
      <c r="U173" s="51"/>
      <c r="V173" s="374"/>
      <c r="W173" s="374"/>
      <c r="X173" s="143"/>
      <c r="Y173" s="360"/>
      <c r="Z173" s="360"/>
      <c r="AA173" s="65"/>
      <c r="AB173" s="65"/>
    </row>
    <row r="174" spans="1:28" ht="18" x14ac:dyDescent="0.25">
      <c r="A174" s="271"/>
      <c r="B174" s="156"/>
      <c r="C174" s="156"/>
      <c r="D174" s="156"/>
      <c r="E174" s="156"/>
      <c r="F174" s="156"/>
      <c r="G174" s="156"/>
      <c r="H174" s="156"/>
      <c r="I174" s="156"/>
      <c r="J174" s="156"/>
      <c r="K174" s="156"/>
      <c r="L174" s="156"/>
      <c r="M174" s="156"/>
      <c r="N174" s="156"/>
      <c r="O174" s="156"/>
      <c r="P174" s="156"/>
      <c r="Q174" s="156"/>
      <c r="R174" s="156"/>
      <c r="S174" s="156"/>
      <c r="T174" s="156"/>
      <c r="U174" s="51"/>
      <c r="V174" s="374"/>
      <c r="W174" s="374"/>
      <c r="X174" s="143"/>
      <c r="Y174" s="360"/>
      <c r="Z174" s="360"/>
      <c r="AA174" s="65"/>
      <c r="AB174" s="65"/>
    </row>
    <row r="175" spans="1:28" ht="18" x14ac:dyDescent="0.25">
      <c r="A175" s="271"/>
      <c r="B175" s="156"/>
      <c r="C175" s="156"/>
      <c r="D175" s="156"/>
      <c r="E175" s="156"/>
      <c r="F175" s="156"/>
      <c r="G175" s="156"/>
      <c r="H175" s="156"/>
      <c r="I175" s="156"/>
      <c r="J175" s="156"/>
      <c r="K175" s="156"/>
      <c r="L175" s="156"/>
      <c r="M175" s="156"/>
      <c r="N175" s="156"/>
      <c r="O175" s="156"/>
      <c r="P175" s="156"/>
      <c r="Q175" s="156"/>
      <c r="R175" s="156"/>
      <c r="S175" s="156"/>
      <c r="T175" s="156"/>
      <c r="U175" s="51"/>
      <c r="V175" s="374"/>
      <c r="W175" s="374"/>
      <c r="X175" s="143"/>
      <c r="Y175" s="360"/>
      <c r="Z175" s="360"/>
      <c r="AA175" s="65"/>
      <c r="AB175" s="65"/>
    </row>
    <row r="176" spans="1:28" ht="18" x14ac:dyDescent="0.25">
      <c r="A176" s="271"/>
      <c r="B176" s="156"/>
      <c r="C176" s="156"/>
      <c r="D176" s="156"/>
      <c r="E176" s="156"/>
      <c r="F176" s="156"/>
      <c r="G176" s="156"/>
      <c r="H176" s="156"/>
      <c r="I176" s="156"/>
      <c r="J176" s="156"/>
      <c r="K176" s="156"/>
      <c r="L176" s="156"/>
      <c r="M176" s="156"/>
      <c r="N176" s="156"/>
      <c r="O176" s="156"/>
      <c r="P176" s="156"/>
      <c r="Q176" s="156"/>
      <c r="R176" s="156"/>
      <c r="S176" s="156"/>
      <c r="T176" s="156"/>
      <c r="U176" s="51"/>
      <c r="V176" s="374"/>
      <c r="W176" s="374"/>
      <c r="X176" s="143"/>
      <c r="Y176" s="360"/>
      <c r="Z176" s="360"/>
      <c r="AA176" s="65"/>
      <c r="AB176" s="65"/>
    </row>
    <row r="177" spans="1:28" ht="18" x14ac:dyDescent="0.25">
      <c r="A177" s="271"/>
      <c r="B177" s="156"/>
      <c r="C177" s="156"/>
      <c r="D177" s="156"/>
      <c r="E177" s="156"/>
      <c r="F177" s="156"/>
      <c r="G177" s="156"/>
      <c r="H177" s="156"/>
      <c r="I177" s="156"/>
      <c r="J177" s="156"/>
      <c r="K177" s="156"/>
      <c r="L177" s="156"/>
      <c r="M177" s="156"/>
      <c r="N177" s="156"/>
      <c r="O177" s="156"/>
      <c r="P177" s="156"/>
      <c r="Q177" s="156"/>
      <c r="R177" s="156"/>
      <c r="S177" s="156"/>
      <c r="T177" s="156"/>
      <c r="U177" s="51"/>
      <c r="V177" s="374"/>
      <c r="W177" s="374"/>
      <c r="X177" s="143"/>
      <c r="Y177" s="360"/>
      <c r="Z177" s="360"/>
      <c r="AA177" s="65"/>
      <c r="AB177" s="65"/>
    </row>
    <row r="178" spans="1:28" ht="18" x14ac:dyDescent="0.25">
      <c r="A178" s="271"/>
      <c r="B178" s="156"/>
      <c r="C178" s="156"/>
      <c r="D178" s="156"/>
      <c r="E178" s="156"/>
      <c r="F178" s="156"/>
      <c r="G178" s="156"/>
      <c r="H178" s="156"/>
      <c r="I178" s="156"/>
      <c r="J178" s="156"/>
      <c r="K178" s="156"/>
      <c r="L178" s="156"/>
      <c r="M178" s="156"/>
      <c r="N178" s="156"/>
      <c r="O178" s="156"/>
      <c r="P178" s="156"/>
      <c r="Q178" s="156"/>
      <c r="R178" s="156"/>
      <c r="S178" s="156"/>
      <c r="T178" s="156"/>
      <c r="U178" s="51"/>
      <c r="V178" s="374"/>
      <c r="W178" s="374"/>
      <c r="X178" s="143"/>
      <c r="Y178" s="360"/>
      <c r="Z178" s="360"/>
      <c r="AA178" s="65"/>
      <c r="AB178" s="65"/>
    </row>
    <row r="179" spans="1:28" ht="18" x14ac:dyDescent="0.25">
      <c r="A179" s="271"/>
      <c r="B179" s="156"/>
      <c r="C179" s="156"/>
      <c r="D179" s="156"/>
      <c r="E179" s="156"/>
      <c r="F179" s="156"/>
      <c r="G179" s="156"/>
      <c r="H179" s="156"/>
      <c r="I179" s="156"/>
      <c r="J179" s="156"/>
      <c r="K179" s="156"/>
      <c r="L179" s="156"/>
      <c r="M179" s="156"/>
      <c r="N179" s="156"/>
      <c r="O179" s="156"/>
      <c r="P179" s="156"/>
      <c r="Q179" s="156"/>
      <c r="R179" s="156"/>
      <c r="S179" s="156"/>
      <c r="T179" s="156"/>
      <c r="U179" s="51"/>
      <c r="V179" s="374"/>
      <c r="W179" s="374"/>
      <c r="X179" s="143"/>
      <c r="Y179" s="360"/>
      <c r="Z179" s="360"/>
      <c r="AA179" s="65"/>
      <c r="AB179" s="65"/>
    </row>
    <row r="180" spans="1:28" ht="18" x14ac:dyDescent="0.25">
      <c r="A180" s="271"/>
      <c r="B180" s="156"/>
      <c r="C180" s="156"/>
      <c r="D180" s="156"/>
      <c r="E180" s="156"/>
      <c r="F180" s="156"/>
      <c r="G180" s="156"/>
      <c r="H180" s="156"/>
      <c r="I180" s="156"/>
      <c r="J180" s="156"/>
      <c r="K180" s="156"/>
      <c r="L180" s="156"/>
      <c r="M180" s="156"/>
      <c r="N180" s="156"/>
      <c r="O180" s="156"/>
      <c r="P180" s="156"/>
      <c r="Q180" s="156"/>
      <c r="R180" s="156"/>
      <c r="S180" s="156"/>
      <c r="T180" s="156"/>
      <c r="U180" s="51"/>
      <c r="V180" s="374"/>
      <c r="W180" s="374"/>
      <c r="X180" s="143"/>
      <c r="Y180" s="360"/>
      <c r="Z180" s="360"/>
      <c r="AA180" s="65"/>
      <c r="AB180" s="65"/>
    </row>
    <row r="181" spans="1:28" ht="18" x14ac:dyDescent="0.25">
      <c r="A181" s="271"/>
      <c r="B181" s="156"/>
      <c r="C181" s="156"/>
      <c r="D181" s="156"/>
      <c r="E181" s="156"/>
      <c r="F181" s="156"/>
      <c r="G181" s="156"/>
      <c r="H181" s="156"/>
      <c r="I181" s="156"/>
      <c r="J181" s="156"/>
      <c r="K181" s="156"/>
      <c r="L181" s="156"/>
      <c r="M181" s="156"/>
      <c r="N181" s="156"/>
      <c r="O181" s="156"/>
      <c r="P181" s="156"/>
      <c r="Q181" s="156"/>
      <c r="R181" s="156"/>
      <c r="S181" s="156"/>
      <c r="T181" s="156"/>
      <c r="U181" s="51"/>
      <c r="V181" s="374"/>
      <c r="W181" s="374"/>
      <c r="X181" s="143"/>
      <c r="Y181" s="360"/>
      <c r="Z181" s="360"/>
      <c r="AA181" s="65"/>
      <c r="AB181" s="65"/>
    </row>
    <row r="182" spans="1:28" ht="18" x14ac:dyDescent="0.25">
      <c r="A182" s="271"/>
      <c r="B182" s="156"/>
      <c r="C182" s="156"/>
      <c r="D182" s="156"/>
      <c r="E182" s="156"/>
      <c r="F182" s="156"/>
      <c r="G182" s="156"/>
      <c r="H182" s="156"/>
      <c r="I182" s="156"/>
      <c r="J182" s="156"/>
      <c r="K182" s="156"/>
      <c r="L182" s="156"/>
      <c r="M182" s="156"/>
      <c r="N182" s="156"/>
      <c r="O182" s="156"/>
      <c r="P182" s="156"/>
      <c r="Q182" s="156"/>
      <c r="R182" s="156"/>
      <c r="S182" s="156"/>
      <c r="T182" s="156"/>
      <c r="U182" s="51"/>
      <c r="V182" s="374"/>
      <c r="W182" s="374"/>
      <c r="X182" s="143"/>
      <c r="Y182" s="360"/>
      <c r="Z182" s="360"/>
      <c r="AA182" s="65"/>
      <c r="AB182" s="65"/>
    </row>
    <row r="183" spans="1:28" ht="18" x14ac:dyDescent="0.25">
      <c r="A183" s="271"/>
      <c r="B183" s="156"/>
      <c r="C183" s="156"/>
      <c r="D183" s="156"/>
      <c r="E183" s="156"/>
      <c r="F183" s="156"/>
      <c r="G183" s="156"/>
      <c r="H183" s="156"/>
      <c r="I183" s="156"/>
      <c r="J183" s="156"/>
      <c r="K183" s="156"/>
      <c r="L183" s="156"/>
      <c r="M183" s="156"/>
      <c r="N183" s="156"/>
      <c r="O183" s="156"/>
      <c r="P183" s="156"/>
      <c r="Q183" s="156"/>
      <c r="R183" s="156"/>
      <c r="S183" s="156"/>
      <c r="T183" s="156"/>
      <c r="U183" s="51"/>
      <c r="V183" s="374"/>
      <c r="W183" s="374"/>
      <c r="X183" s="143"/>
      <c r="Y183" s="360"/>
      <c r="Z183" s="360"/>
      <c r="AA183" s="65"/>
      <c r="AB183" s="65"/>
    </row>
    <row r="184" spans="1:28" ht="18" x14ac:dyDescent="0.25">
      <c r="A184" s="271"/>
      <c r="B184" s="156"/>
      <c r="C184" s="156"/>
      <c r="D184" s="156"/>
      <c r="E184" s="156"/>
      <c r="F184" s="156"/>
      <c r="G184" s="156"/>
      <c r="H184" s="156"/>
      <c r="I184" s="156"/>
      <c r="J184" s="156"/>
      <c r="K184" s="156"/>
      <c r="L184" s="156"/>
      <c r="M184" s="156"/>
      <c r="N184" s="156"/>
      <c r="O184" s="156"/>
      <c r="P184" s="156"/>
      <c r="Q184" s="156"/>
      <c r="R184" s="156"/>
      <c r="S184" s="156"/>
      <c r="T184" s="156"/>
      <c r="U184" s="51"/>
      <c r="V184" s="374"/>
      <c r="W184" s="374"/>
      <c r="X184" s="143"/>
      <c r="Y184" s="360"/>
      <c r="Z184" s="360"/>
      <c r="AA184" s="65"/>
      <c r="AB184" s="65"/>
    </row>
    <row r="185" spans="1:28" ht="18" x14ac:dyDescent="0.25">
      <c r="A185" s="271"/>
      <c r="B185" s="156"/>
      <c r="C185" s="156"/>
      <c r="D185" s="156"/>
      <c r="E185" s="156"/>
      <c r="F185" s="156"/>
      <c r="G185" s="156"/>
      <c r="H185" s="156"/>
      <c r="I185" s="156"/>
      <c r="J185" s="156"/>
      <c r="K185" s="156"/>
      <c r="L185" s="156"/>
      <c r="M185" s="156"/>
      <c r="N185" s="156"/>
      <c r="O185" s="156"/>
      <c r="P185" s="156"/>
      <c r="Q185" s="156"/>
      <c r="R185" s="156"/>
      <c r="S185" s="156"/>
      <c r="T185" s="156"/>
      <c r="U185" s="51"/>
      <c r="V185" s="374"/>
      <c r="W185" s="374"/>
      <c r="X185" s="143"/>
      <c r="Y185" s="360"/>
      <c r="Z185" s="360"/>
      <c r="AA185" s="65"/>
      <c r="AB185" s="65"/>
    </row>
    <row r="186" spans="1:28" ht="18" x14ac:dyDescent="0.25">
      <c r="A186" s="271"/>
      <c r="B186" s="156"/>
      <c r="C186" s="156"/>
      <c r="D186" s="156"/>
      <c r="E186" s="156"/>
      <c r="F186" s="156"/>
      <c r="G186" s="156"/>
      <c r="H186" s="156"/>
      <c r="I186" s="156"/>
      <c r="J186" s="156"/>
      <c r="K186" s="156"/>
      <c r="L186" s="156"/>
      <c r="M186" s="156"/>
      <c r="N186" s="156"/>
      <c r="O186" s="156"/>
      <c r="P186" s="156"/>
      <c r="Q186" s="156"/>
      <c r="R186" s="156"/>
      <c r="S186" s="156"/>
      <c r="T186" s="156"/>
      <c r="U186" s="51"/>
      <c r="V186" s="374"/>
      <c r="W186" s="374"/>
      <c r="X186" s="143"/>
      <c r="Y186" s="360"/>
      <c r="Z186" s="360"/>
      <c r="AA186" s="65"/>
      <c r="AB186" s="65"/>
    </row>
    <row r="187" spans="1:28" ht="18" x14ac:dyDescent="0.25">
      <c r="A187" s="271"/>
      <c r="B187" s="156"/>
      <c r="C187" s="156"/>
      <c r="D187" s="156"/>
      <c r="E187" s="156"/>
      <c r="F187" s="156"/>
      <c r="G187" s="156"/>
      <c r="H187" s="156"/>
      <c r="I187" s="156"/>
      <c r="J187" s="156"/>
      <c r="K187" s="156"/>
      <c r="L187" s="156"/>
      <c r="M187" s="156"/>
      <c r="N187" s="156"/>
      <c r="O187" s="156"/>
      <c r="P187" s="156"/>
      <c r="Q187" s="156"/>
      <c r="R187" s="156"/>
      <c r="S187" s="156"/>
      <c r="T187" s="156"/>
      <c r="U187" s="51"/>
      <c r="V187" s="374"/>
      <c r="W187" s="374"/>
      <c r="X187" s="143"/>
      <c r="Y187" s="360"/>
      <c r="Z187" s="360"/>
      <c r="AA187" s="65"/>
      <c r="AB187" s="65"/>
    </row>
    <row r="188" spans="1:28" ht="18" x14ac:dyDescent="0.25">
      <c r="A188" s="271"/>
      <c r="B188" s="156"/>
      <c r="C188" s="156"/>
      <c r="D188" s="156"/>
      <c r="E188" s="156"/>
      <c r="F188" s="156"/>
      <c r="G188" s="156"/>
      <c r="H188" s="156"/>
      <c r="I188" s="156"/>
      <c r="J188" s="156"/>
      <c r="K188" s="156"/>
      <c r="L188" s="156"/>
      <c r="M188" s="156"/>
      <c r="N188" s="156"/>
      <c r="O188" s="156"/>
      <c r="P188" s="156"/>
      <c r="Q188" s="156"/>
      <c r="R188" s="156"/>
      <c r="S188" s="156"/>
      <c r="T188" s="156"/>
      <c r="U188" s="51"/>
      <c r="V188" s="374"/>
      <c r="W188" s="374"/>
      <c r="X188" s="143"/>
      <c r="Y188" s="360"/>
      <c r="Z188" s="360"/>
      <c r="AA188" s="65"/>
      <c r="AB188" s="65"/>
    </row>
    <row r="189" spans="1:28" ht="18" x14ac:dyDescent="0.25">
      <c r="A189" s="271"/>
      <c r="B189" s="156"/>
      <c r="C189" s="156"/>
      <c r="D189" s="156"/>
      <c r="E189" s="156"/>
      <c r="F189" s="156"/>
      <c r="G189" s="156"/>
      <c r="H189" s="156"/>
      <c r="I189" s="156"/>
      <c r="J189" s="156"/>
      <c r="K189" s="156"/>
      <c r="L189" s="156"/>
      <c r="M189" s="156"/>
      <c r="N189" s="156"/>
      <c r="O189" s="156"/>
      <c r="P189" s="156"/>
      <c r="Q189" s="156"/>
      <c r="R189" s="156"/>
      <c r="S189" s="156"/>
      <c r="T189" s="156"/>
      <c r="U189" s="51"/>
      <c r="V189" s="374"/>
      <c r="W189" s="374"/>
      <c r="X189" s="143"/>
      <c r="Y189" s="360"/>
      <c r="Z189" s="360"/>
      <c r="AA189" s="65"/>
      <c r="AB189" s="65"/>
    </row>
    <row r="190" spans="1:28" ht="18" x14ac:dyDescent="0.25">
      <c r="A190" s="271"/>
      <c r="B190" s="156"/>
      <c r="C190" s="156"/>
      <c r="D190" s="156"/>
      <c r="E190" s="156"/>
      <c r="F190" s="156"/>
      <c r="G190" s="156"/>
      <c r="H190" s="156"/>
      <c r="I190" s="156"/>
      <c r="J190" s="156"/>
      <c r="K190" s="156"/>
      <c r="L190" s="156"/>
      <c r="M190" s="156"/>
      <c r="N190" s="156"/>
      <c r="O190" s="156"/>
      <c r="P190" s="156"/>
      <c r="Q190" s="156"/>
      <c r="R190" s="156"/>
      <c r="S190" s="156"/>
      <c r="T190" s="156"/>
      <c r="U190" s="51"/>
      <c r="V190" s="374"/>
      <c r="W190" s="374"/>
      <c r="X190" s="143"/>
      <c r="Y190" s="360"/>
      <c r="Z190" s="360"/>
      <c r="AA190" s="65"/>
      <c r="AB190" s="65"/>
    </row>
    <row r="191" spans="1:28" ht="18" x14ac:dyDescent="0.25">
      <c r="A191" s="271"/>
      <c r="B191" s="156"/>
      <c r="C191" s="156"/>
      <c r="D191" s="156"/>
      <c r="E191" s="156"/>
      <c r="F191" s="156"/>
      <c r="G191" s="156"/>
      <c r="H191" s="156"/>
      <c r="I191" s="156"/>
      <c r="J191" s="156"/>
      <c r="K191" s="156"/>
      <c r="L191" s="156"/>
      <c r="M191" s="156"/>
      <c r="N191" s="156"/>
      <c r="O191" s="156"/>
      <c r="P191" s="156"/>
      <c r="Q191" s="156"/>
      <c r="R191" s="156"/>
      <c r="S191" s="156"/>
      <c r="T191" s="156"/>
      <c r="U191" s="51"/>
      <c r="V191" s="374"/>
      <c r="W191" s="374"/>
      <c r="X191" s="143"/>
      <c r="Y191" s="360"/>
      <c r="Z191" s="360"/>
      <c r="AA191" s="65"/>
      <c r="AB191" s="65"/>
    </row>
    <row r="192" spans="1:28" ht="18" x14ac:dyDescent="0.25">
      <c r="A192" s="271"/>
      <c r="B192" s="156"/>
      <c r="C192" s="156"/>
      <c r="D192" s="156"/>
      <c r="E192" s="156"/>
      <c r="F192" s="156"/>
      <c r="G192" s="156"/>
      <c r="H192" s="156"/>
      <c r="I192" s="156"/>
      <c r="J192" s="156"/>
      <c r="K192" s="156"/>
      <c r="L192" s="156"/>
      <c r="M192" s="156"/>
      <c r="N192" s="156"/>
      <c r="O192" s="156"/>
      <c r="P192" s="156"/>
      <c r="Q192" s="156"/>
      <c r="R192" s="156"/>
      <c r="S192" s="156"/>
      <c r="T192" s="156"/>
      <c r="U192" s="51"/>
      <c r="V192" s="374"/>
      <c r="W192" s="374"/>
      <c r="X192" s="143"/>
      <c r="Y192" s="360"/>
      <c r="Z192" s="360"/>
      <c r="AA192" s="65"/>
      <c r="AB192" s="65"/>
    </row>
    <row r="193" spans="1:28" ht="18" x14ac:dyDescent="0.25">
      <c r="A193" s="271"/>
      <c r="B193" s="156"/>
      <c r="C193" s="156"/>
      <c r="D193" s="156"/>
      <c r="E193" s="156"/>
      <c r="F193" s="156"/>
      <c r="G193" s="156"/>
      <c r="H193" s="156"/>
      <c r="I193" s="156"/>
      <c r="J193" s="156"/>
      <c r="K193" s="156"/>
      <c r="L193" s="156"/>
      <c r="M193" s="156"/>
      <c r="N193" s="156"/>
      <c r="O193" s="156"/>
      <c r="P193" s="156"/>
      <c r="Q193" s="156"/>
      <c r="R193" s="156"/>
      <c r="S193" s="156"/>
      <c r="T193" s="156"/>
      <c r="U193" s="51"/>
      <c r="V193" s="374"/>
      <c r="W193" s="374"/>
      <c r="X193" s="143"/>
      <c r="Y193" s="360"/>
      <c r="Z193" s="360"/>
      <c r="AA193" s="65"/>
      <c r="AB193" s="65"/>
    </row>
    <row r="194" spans="1:28" ht="18" x14ac:dyDescent="0.25">
      <c r="A194" s="271"/>
      <c r="B194" s="156"/>
      <c r="C194" s="156"/>
      <c r="D194" s="156"/>
      <c r="E194" s="156"/>
      <c r="F194" s="156"/>
      <c r="G194" s="156"/>
      <c r="H194" s="156"/>
      <c r="I194" s="156"/>
      <c r="J194" s="156"/>
      <c r="K194" s="156"/>
      <c r="L194" s="156"/>
      <c r="M194" s="156"/>
      <c r="N194" s="156"/>
      <c r="O194" s="156"/>
      <c r="P194" s="156"/>
      <c r="Q194" s="156"/>
      <c r="R194" s="156"/>
      <c r="S194" s="156"/>
      <c r="T194" s="156"/>
      <c r="U194" s="51"/>
      <c r="V194" s="374"/>
      <c r="W194" s="374"/>
      <c r="X194" s="143"/>
      <c r="Y194" s="360"/>
      <c r="Z194" s="360"/>
      <c r="AA194" s="65"/>
      <c r="AB194" s="65"/>
    </row>
    <row r="195" spans="1:28" ht="18" x14ac:dyDescent="0.25">
      <c r="A195" s="271"/>
      <c r="B195" s="156"/>
      <c r="C195" s="156"/>
      <c r="D195" s="156"/>
      <c r="E195" s="156"/>
      <c r="F195" s="156"/>
      <c r="G195" s="156"/>
      <c r="H195" s="156"/>
      <c r="I195" s="156"/>
      <c r="J195" s="156"/>
      <c r="K195" s="156"/>
      <c r="L195" s="156"/>
      <c r="M195" s="156"/>
      <c r="N195" s="156"/>
      <c r="O195" s="156"/>
      <c r="P195" s="156"/>
      <c r="Q195" s="156"/>
      <c r="R195" s="156"/>
      <c r="S195" s="156"/>
      <c r="T195" s="156"/>
      <c r="U195" s="51"/>
      <c r="V195" s="374"/>
      <c r="W195" s="374"/>
      <c r="X195" s="143"/>
      <c r="Y195" s="360"/>
      <c r="Z195" s="360"/>
      <c r="AA195" s="65"/>
      <c r="AB195" s="65"/>
    </row>
    <row r="196" spans="1:28" ht="18" x14ac:dyDescent="0.25">
      <c r="A196" s="271"/>
      <c r="B196" s="156"/>
      <c r="C196" s="156"/>
      <c r="D196" s="156"/>
      <c r="E196" s="156"/>
      <c r="F196" s="156"/>
      <c r="G196" s="156"/>
      <c r="H196" s="156"/>
      <c r="I196" s="156"/>
      <c r="J196" s="156"/>
      <c r="K196" s="156"/>
      <c r="L196" s="156"/>
      <c r="M196" s="156"/>
      <c r="N196" s="156"/>
      <c r="O196" s="156"/>
      <c r="P196" s="156"/>
      <c r="Q196" s="156"/>
      <c r="R196" s="156"/>
      <c r="S196" s="156"/>
      <c r="T196" s="156"/>
      <c r="U196" s="51"/>
      <c r="V196" s="374"/>
      <c r="W196" s="374"/>
      <c r="X196" s="143"/>
      <c r="Y196" s="360"/>
      <c r="Z196" s="360"/>
      <c r="AA196" s="65"/>
      <c r="AB196" s="65"/>
    </row>
    <row r="197" spans="1:28" ht="18" x14ac:dyDescent="0.25">
      <c r="A197" s="271"/>
      <c r="B197" s="156"/>
      <c r="C197" s="156"/>
      <c r="D197" s="156"/>
      <c r="E197" s="156"/>
      <c r="F197" s="156"/>
      <c r="G197" s="156"/>
      <c r="H197" s="156"/>
      <c r="I197" s="156"/>
      <c r="J197" s="156"/>
      <c r="K197" s="156"/>
      <c r="L197" s="156"/>
      <c r="M197" s="156"/>
      <c r="N197" s="156"/>
      <c r="O197" s="156"/>
      <c r="P197" s="156"/>
      <c r="Q197" s="156"/>
      <c r="R197" s="156"/>
      <c r="S197" s="156"/>
      <c r="T197" s="156"/>
      <c r="U197" s="51"/>
      <c r="V197" s="374"/>
      <c r="W197" s="374"/>
      <c r="X197" s="143"/>
      <c r="Y197" s="360"/>
      <c r="Z197" s="360"/>
      <c r="AA197" s="65"/>
      <c r="AB197" s="65"/>
    </row>
    <row r="198" spans="1:28" ht="18" x14ac:dyDescent="0.25">
      <c r="A198" s="271"/>
      <c r="B198" s="156"/>
      <c r="C198" s="156"/>
      <c r="D198" s="156"/>
      <c r="E198" s="156"/>
      <c r="F198" s="156"/>
      <c r="G198" s="156"/>
      <c r="H198" s="156"/>
      <c r="I198" s="156"/>
      <c r="J198" s="156"/>
      <c r="K198" s="156"/>
      <c r="L198" s="156"/>
      <c r="M198" s="156"/>
      <c r="N198" s="156"/>
      <c r="O198" s="156"/>
      <c r="P198" s="156"/>
      <c r="Q198" s="156"/>
      <c r="R198" s="156"/>
      <c r="S198" s="156"/>
      <c r="T198" s="156"/>
      <c r="U198" s="51"/>
      <c r="V198" s="374"/>
      <c r="W198" s="374"/>
      <c r="X198" s="143"/>
      <c r="Y198" s="360"/>
      <c r="Z198" s="360"/>
      <c r="AA198" s="65"/>
      <c r="AB198" s="65"/>
    </row>
    <row r="199" spans="1:28" ht="18" x14ac:dyDescent="0.25">
      <c r="A199" s="271"/>
      <c r="B199" s="156"/>
      <c r="C199" s="156"/>
      <c r="D199" s="156"/>
      <c r="E199" s="156"/>
      <c r="F199" s="156"/>
      <c r="G199" s="156"/>
      <c r="H199" s="156"/>
      <c r="I199" s="156"/>
      <c r="J199" s="156"/>
      <c r="K199" s="156"/>
      <c r="L199" s="156"/>
      <c r="M199" s="156"/>
      <c r="N199" s="156"/>
      <c r="O199" s="156"/>
      <c r="P199" s="156"/>
      <c r="Q199" s="156"/>
      <c r="R199" s="156"/>
      <c r="S199" s="156"/>
      <c r="T199" s="156"/>
      <c r="U199" s="51"/>
      <c r="V199" s="374"/>
      <c r="W199" s="374"/>
      <c r="X199" s="143"/>
      <c r="Y199" s="360"/>
      <c r="Z199" s="360"/>
      <c r="AA199" s="65"/>
      <c r="AB199" s="65"/>
    </row>
    <row r="200" spans="1:28" ht="18" x14ac:dyDescent="0.25">
      <c r="A200" s="271"/>
      <c r="B200" s="156"/>
      <c r="C200" s="156"/>
      <c r="D200" s="156"/>
      <c r="E200" s="156"/>
      <c r="F200" s="156"/>
      <c r="G200" s="156"/>
      <c r="H200" s="156"/>
      <c r="I200" s="156"/>
      <c r="J200" s="156"/>
      <c r="K200" s="156"/>
      <c r="L200" s="156"/>
      <c r="M200" s="156"/>
      <c r="N200" s="156"/>
      <c r="O200" s="156"/>
      <c r="P200" s="156"/>
      <c r="Q200" s="156"/>
      <c r="R200" s="156"/>
      <c r="S200" s="156"/>
      <c r="T200" s="156"/>
      <c r="U200" s="51"/>
      <c r="V200" s="374"/>
      <c r="W200" s="374"/>
      <c r="X200" s="143"/>
      <c r="Y200" s="360"/>
      <c r="Z200" s="360"/>
      <c r="AA200" s="65"/>
      <c r="AB200" s="65"/>
    </row>
    <row r="201" spans="1:28" ht="18" x14ac:dyDescent="0.25">
      <c r="A201" s="271"/>
      <c r="B201" s="156"/>
      <c r="C201" s="156"/>
      <c r="D201" s="156"/>
      <c r="E201" s="156"/>
      <c r="F201" s="156"/>
      <c r="G201" s="156"/>
      <c r="H201" s="156"/>
      <c r="I201" s="156"/>
      <c r="J201" s="156"/>
      <c r="K201" s="156"/>
      <c r="L201" s="156"/>
      <c r="M201" s="156"/>
      <c r="N201" s="156"/>
      <c r="O201" s="156"/>
      <c r="P201" s="156"/>
      <c r="Q201" s="156"/>
      <c r="R201" s="156"/>
      <c r="S201" s="156"/>
      <c r="T201" s="156"/>
      <c r="U201" s="51"/>
      <c r="V201" s="374"/>
      <c r="W201" s="374"/>
      <c r="X201" s="143"/>
      <c r="Y201" s="360"/>
      <c r="Z201" s="360"/>
      <c r="AA201" s="65"/>
      <c r="AB201" s="65"/>
    </row>
    <row r="202" spans="1:28" ht="18" x14ac:dyDescent="0.25">
      <c r="A202" s="271"/>
      <c r="B202" s="156"/>
      <c r="C202" s="156"/>
      <c r="D202" s="156"/>
      <c r="E202" s="156"/>
      <c r="F202" s="156"/>
      <c r="G202" s="156"/>
      <c r="H202" s="156"/>
      <c r="I202" s="156"/>
      <c r="J202" s="156"/>
      <c r="K202" s="156"/>
      <c r="L202" s="156"/>
      <c r="M202" s="156"/>
      <c r="N202" s="156"/>
      <c r="O202" s="156"/>
      <c r="P202" s="156"/>
      <c r="Q202" s="156"/>
      <c r="R202" s="156"/>
      <c r="S202" s="156"/>
      <c r="T202" s="156"/>
      <c r="U202" s="51"/>
      <c r="V202" s="374"/>
      <c r="W202" s="374"/>
      <c r="X202" s="143"/>
      <c r="Y202" s="360"/>
      <c r="Z202" s="360"/>
      <c r="AA202" s="65"/>
      <c r="AB202" s="65"/>
    </row>
    <row r="203" spans="1:28" ht="18" x14ac:dyDescent="0.25">
      <c r="A203" s="271"/>
      <c r="B203" s="156"/>
      <c r="C203" s="156"/>
      <c r="D203" s="156"/>
      <c r="E203" s="156"/>
      <c r="F203" s="156"/>
      <c r="G203" s="156"/>
      <c r="H203" s="156"/>
      <c r="I203" s="156"/>
      <c r="J203" s="156"/>
      <c r="K203" s="156"/>
      <c r="L203" s="156"/>
      <c r="M203" s="156"/>
      <c r="N203" s="156"/>
      <c r="O203" s="156"/>
      <c r="P203" s="156"/>
      <c r="Q203" s="156"/>
      <c r="R203" s="156"/>
      <c r="S203" s="156"/>
      <c r="T203" s="156"/>
      <c r="U203" s="51"/>
      <c r="V203" s="374"/>
      <c r="W203" s="374"/>
      <c r="X203" s="143"/>
      <c r="Y203" s="360"/>
      <c r="Z203" s="360"/>
      <c r="AA203" s="65"/>
      <c r="AB203" s="65"/>
    </row>
    <row r="204" spans="1:28" ht="18" x14ac:dyDescent="0.25">
      <c r="A204" s="271"/>
      <c r="B204" s="156"/>
      <c r="C204" s="156"/>
      <c r="D204" s="156"/>
      <c r="E204" s="156"/>
      <c r="F204" s="156"/>
      <c r="G204" s="156"/>
      <c r="H204" s="156"/>
      <c r="I204" s="156"/>
      <c r="J204" s="156"/>
      <c r="K204" s="156"/>
      <c r="L204" s="156"/>
      <c r="M204" s="156"/>
      <c r="N204" s="156"/>
      <c r="O204" s="156"/>
      <c r="P204" s="156"/>
      <c r="Q204" s="156"/>
      <c r="R204" s="156"/>
      <c r="S204" s="156"/>
      <c r="T204" s="156"/>
      <c r="U204" s="51"/>
      <c r="V204" s="374"/>
      <c r="W204" s="374"/>
      <c r="X204" s="143"/>
      <c r="Y204" s="360"/>
      <c r="Z204" s="360"/>
      <c r="AA204" s="65"/>
      <c r="AB204" s="65"/>
    </row>
    <row r="205" spans="1:28" ht="18" x14ac:dyDescent="0.25">
      <c r="A205" s="271"/>
      <c r="B205" s="156"/>
      <c r="C205" s="156"/>
      <c r="D205" s="156"/>
      <c r="E205" s="156"/>
      <c r="F205" s="156"/>
      <c r="G205" s="156"/>
      <c r="H205" s="156"/>
      <c r="I205" s="156"/>
      <c r="J205" s="156"/>
      <c r="K205" s="156"/>
      <c r="L205" s="156"/>
      <c r="M205" s="156"/>
      <c r="N205" s="156"/>
      <c r="O205" s="156"/>
      <c r="P205" s="156"/>
      <c r="Q205" s="156"/>
      <c r="R205" s="156"/>
      <c r="S205" s="156"/>
      <c r="T205" s="156"/>
      <c r="U205" s="51"/>
      <c r="V205" s="374"/>
      <c r="W205" s="374"/>
      <c r="X205" s="143"/>
      <c r="Y205" s="360"/>
      <c r="Z205" s="360"/>
      <c r="AA205" s="65"/>
      <c r="AB205" s="65"/>
    </row>
    <row r="206" spans="1:28" ht="18" x14ac:dyDescent="0.25">
      <c r="A206" s="271"/>
      <c r="B206" s="156"/>
      <c r="C206" s="156"/>
      <c r="D206" s="156"/>
      <c r="E206" s="156"/>
      <c r="F206" s="156"/>
      <c r="G206" s="156"/>
      <c r="H206" s="156"/>
      <c r="I206" s="156"/>
      <c r="J206" s="156"/>
      <c r="K206" s="156"/>
      <c r="L206" s="156"/>
      <c r="M206" s="156"/>
      <c r="N206" s="156"/>
      <c r="O206" s="156"/>
      <c r="P206" s="156"/>
      <c r="Q206" s="156"/>
      <c r="R206" s="156"/>
      <c r="S206" s="156"/>
      <c r="T206" s="156"/>
      <c r="U206" s="51"/>
      <c r="V206" s="374"/>
      <c r="W206" s="374"/>
      <c r="X206" s="143"/>
      <c r="Y206" s="360"/>
      <c r="Z206" s="360"/>
      <c r="AA206" s="65"/>
      <c r="AB206" s="65"/>
    </row>
    <row r="207" spans="1:28" ht="18" x14ac:dyDescent="0.25">
      <c r="A207" s="271"/>
      <c r="B207" s="156"/>
      <c r="C207" s="156"/>
      <c r="D207" s="156"/>
      <c r="E207" s="156"/>
      <c r="F207" s="156"/>
      <c r="G207" s="156"/>
      <c r="H207" s="156"/>
      <c r="I207" s="156"/>
      <c r="J207" s="156"/>
      <c r="K207" s="156"/>
      <c r="L207" s="156"/>
      <c r="M207" s="156"/>
      <c r="N207" s="156"/>
      <c r="O207" s="156"/>
      <c r="P207" s="156"/>
      <c r="Q207" s="156"/>
      <c r="R207" s="156"/>
      <c r="S207" s="156"/>
      <c r="T207" s="156"/>
      <c r="U207" s="51"/>
      <c r="V207" s="374"/>
      <c r="W207" s="374"/>
      <c r="X207" s="143"/>
      <c r="Y207" s="360"/>
      <c r="Z207" s="360"/>
      <c r="AA207" s="65"/>
      <c r="AB207" s="65"/>
    </row>
    <row r="208" spans="1:28" ht="18" x14ac:dyDescent="0.25">
      <c r="A208" s="271"/>
      <c r="B208" s="156"/>
      <c r="C208" s="156"/>
      <c r="D208" s="156"/>
      <c r="E208" s="156"/>
      <c r="F208" s="156"/>
      <c r="G208" s="156"/>
      <c r="H208" s="156"/>
      <c r="I208" s="156"/>
      <c r="J208" s="156"/>
      <c r="K208" s="156"/>
      <c r="L208" s="156"/>
      <c r="M208" s="156"/>
      <c r="N208" s="156"/>
      <c r="O208" s="156"/>
      <c r="P208" s="156"/>
      <c r="Q208" s="156"/>
      <c r="R208" s="156"/>
      <c r="S208" s="156"/>
      <c r="T208" s="156"/>
      <c r="U208" s="51"/>
      <c r="V208" s="374"/>
      <c r="W208" s="374"/>
      <c r="X208" s="143"/>
      <c r="Y208" s="360"/>
      <c r="Z208" s="360"/>
      <c r="AA208" s="65"/>
      <c r="AB208" s="65"/>
    </row>
    <row r="209" spans="1:28" ht="18" x14ac:dyDescent="0.25">
      <c r="A209" s="271"/>
      <c r="B209" s="156"/>
      <c r="C209" s="156"/>
      <c r="D209" s="156"/>
      <c r="E209" s="156"/>
      <c r="F209" s="156"/>
      <c r="G209" s="156"/>
      <c r="H209" s="156"/>
      <c r="I209" s="156"/>
      <c r="J209" s="156"/>
      <c r="K209" s="156"/>
      <c r="L209" s="156"/>
      <c r="M209" s="156"/>
      <c r="N209" s="156"/>
      <c r="O209" s="156"/>
      <c r="P209" s="156"/>
      <c r="Q209" s="156"/>
      <c r="R209" s="156"/>
      <c r="S209" s="156"/>
      <c r="T209" s="156"/>
      <c r="U209" s="51"/>
      <c r="V209" s="374"/>
      <c r="W209" s="374"/>
      <c r="X209" s="143"/>
      <c r="Y209" s="360"/>
      <c r="Z209" s="360"/>
      <c r="AA209" s="65"/>
      <c r="AB209" s="65"/>
    </row>
    <row r="210" spans="1:28" ht="18" x14ac:dyDescent="0.25">
      <c r="A210" s="271"/>
      <c r="B210" s="156"/>
      <c r="C210" s="156"/>
      <c r="D210" s="156"/>
      <c r="E210" s="156"/>
      <c r="F210" s="156"/>
      <c r="G210" s="156"/>
      <c r="H210" s="156"/>
      <c r="I210" s="156"/>
      <c r="J210" s="156"/>
      <c r="K210" s="156"/>
      <c r="L210" s="156"/>
      <c r="M210" s="156"/>
      <c r="N210" s="156"/>
      <c r="O210" s="156"/>
      <c r="P210" s="156"/>
      <c r="Q210" s="156"/>
      <c r="R210" s="156"/>
      <c r="S210" s="156"/>
      <c r="T210" s="156"/>
      <c r="U210" s="51"/>
      <c r="V210" s="374"/>
      <c r="W210" s="374"/>
      <c r="X210" s="143"/>
      <c r="Y210" s="360"/>
      <c r="Z210" s="360"/>
      <c r="AA210" s="65"/>
      <c r="AB210" s="65"/>
    </row>
    <row r="211" spans="1:28" ht="18" x14ac:dyDescent="0.25">
      <c r="A211" s="271"/>
      <c r="B211" s="156"/>
      <c r="C211" s="156"/>
      <c r="D211" s="156"/>
      <c r="E211" s="156"/>
      <c r="F211" s="156"/>
      <c r="G211" s="156"/>
      <c r="H211" s="156"/>
      <c r="I211" s="156"/>
      <c r="J211" s="156"/>
      <c r="K211" s="156"/>
      <c r="L211" s="156"/>
      <c r="M211" s="156"/>
      <c r="N211" s="156"/>
      <c r="O211" s="156"/>
      <c r="P211" s="156"/>
      <c r="Q211" s="156"/>
      <c r="R211" s="156"/>
      <c r="S211" s="156"/>
      <c r="T211" s="156"/>
      <c r="U211" s="51"/>
      <c r="V211" s="374"/>
      <c r="W211" s="374"/>
      <c r="X211" s="143"/>
      <c r="Y211" s="360"/>
      <c r="Z211" s="360"/>
      <c r="AA211" s="65"/>
      <c r="AB211" s="65"/>
    </row>
    <row r="212" spans="1:28" ht="18" x14ac:dyDescent="0.25">
      <c r="A212" s="271"/>
      <c r="B212" s="156"/>
      <c r="C212" s="156"/>
      <c r="D212" s="156"/>
      <c r="E212" s="156"/>
      <c r="F212" s="156"/>
      <c r="G212" s="156"/>
      <c r="H212" s="156"/>
      <c r="I212" s="156"/>
      <c r="J212" s="156"/>
      <c r="K212" s="156"/>
      <c r="L212" s="156"/>
      <c r="M212" s="156"/>
      <c r="N212" s="156"/>
      <c r="O212" s="156"/>
      <c r="P212" s="156"/>
      <c r="Q212" s="156"/>
      <c r="R212" s="156"/>
      <c r="S212" s="156"/>
      <c r="T212" s="156"/>
      <c r="U212" s="51"/>
      <c r="V212" s="374"/>
      <c r="W212" s="374"/>
      <c r="X212" s="143"/>
      <c r="Y212" s="360"/>
      <c r="Z212" s="360"/>
      <c r="AA212" s="65"/>
      <c r="AB212" s="65"/>
    </row>
    <row r="213" spans="1:28" ht="18" x14ac:dyDescent="0.25">
      <c r="A213" s="271"/>
      <c r="B213" s="156"/>
      <c r="C213" s="156"/>
      <c r="D213" s="156"/>
      <c r="E213" s="156"/>
      <c r="F213" s="156"/>
      <c r="G213" s="156"/>
      <c r="H213" s="156"/>
      <c r="I213" s="156"/>
      <c r="J213" s="156"/>
      <c r="K213" s="156"/>
      <c r="L213" s="156"/>
      <c r="M213" s="156"/>
      <c r="N213" s="156"/>
      <c r="O213" s="156"/>
      <c r="P213" s="156"/>
      <c r="Q213" s="156"/>
      <c r="R213" s="156"/>
      <c r="S213" s="156"/>
      <c r="T213" s="156"/>
      <c r="U213" s="51"/>
      <c r="V213" s="374"/>
      <c r="W213" s="374"/>
      <c r="X213" s="143"/>
      <c r="Y213" s="360"/>
      <c r="Z213" s="360"/>
      <c r="AA213" s="65"/>
      <c r="AB213" s="65"/>
    </row>
    <row r="214" spans="1:28" ht="18" x14ac:dyDescent="0.25">
      <c r="A214" s="271"/>
      <c r="B214" s="156"/>
      <c r="C214" s="156"/>
      <c r="D214" s="156"/>
      <c r="E214" s="156"/>
      <c r="F214" s="156"/>
      <c r="G214" s="156"/>
      <c r="H214" s="156"/>
      <c r="I214" s="156"/>
      <c r="J214" s="156"/>
      <c r="K214" s="156"/>
      <c r="L214" s="156"/>
      <c r="M214" s="156"/>
      <c r="N214" s="156"/>
      <c r="O214" s="156"/>
      <c r="P214" s="156"/>
      <c r="Q214" s="156"/>
      <c r="R214" s="156"/>
      <c r="S214" s="156"/>
      <c r="T214" s="156"/>
      <c r="U214" s="51"/>
      <c r="V214" s="374"/>
      <c r="W214" s="374"/>
      <c r="X214" s="143"/>
      <c r="Y214" s="360"/>
      <c r="Z214" s="360"/>
      <c r="AA214" s="65"/>
      <c r="AB214" s="65"/>
    </row>
    <row r="215" spans="1:28" ht="18" x14ac:dyDescent="0.25">
      <c r="A215" s="271"/>
      <c r="B215" s="156"/>
      <c r="C215" s="156"/>
      <c r="D215" s="156"/>
      <c r="E215" s="156"/>
      <c r="F215" s="156"/>
      <c r="G215" s="156"/>
      <c r="H215" s="156"/>
      <c r="I215" s="156"/>
      <c r="J215" s="156"/>
      <c r="K215" s="156"/>
      <c r="L215" s="156"/>
      <c r="M215" s="156"/>
      <c r="N215" s="156"/>
      <c r="O215" s="156"/>
      <c r="P215" s="156"/>
      <c r="Q215" s="156"/>
      <c r="R215" s="156"/>
      <c r="S215" s="156"/>
      <c r="T215" s="156"/>
      <c r="U215" s="51"/>
      <c r="V215" s="374"/>
      <c r="W215" s="374"/>
      <c r="X215" s="143"/>
      <c r="Y215" s="360"/>
      <c r="Z215" s="360"/>
      <c r="AA215" s="65"/>
      <c r="AB215" s="65"/>
    </row>
    <row r="216" spans="1:28" ht="18" x14ac:dyDescent="0.25">
      <c r="A216" s="271"/>
      <c r="B216" s="156"/>
      <c r="C216" s="156"/>
      <c r="D216" s="156"/>
      <c r="E216" s="156"/>
      <c r="F216" s="156"/>
      <c r="G216" s="156"/>
      <c r="H216" s="156"/>
      <c r="I216" s="156"/>
      <c r="J216" s="156"/>
      <c r="K216" s="156"/>
      <c r="L216" s="156"/>
      <c r="M216" s="156"/>
      <c r="N216" s="156"/>
      <c r="O216" s="156"/>
      <c r="P216" s="156"/>
      <c r="Q216" s="156"/>
      <c r="R216" s="156"/>
      <c r="S216" s="156"/>
      <c r="T216" s="156"/>
      <c r="U216" s="51"/>
      <c r="V216" s="374"/>
      <c r="W216" s="374"/>
      <c r="X216" s="143"/>
      <c r="Y216" s="360"/>
      <c r="Z216" s="360"/>
      <c r="AA216" s="65"/>
      <c r="AB216" s="65"/>
    </row>
    <row r="217" spans="1:28" ht="18" x14ac:dyDescent="0.25">
      <c r="A217" s="271"/>
      <c r="B217" s="156"/>
      <c r="C217" s="156"/>
      <c r="D217" s="156"/>
      <c r="E217" s="156"/>
      <c r="F217" s="156"/>
      <c r="G217" s="156"/>
      <c r="H217" s="156"/>
      <c r="I217" s="156"/>
      <c r="J217" s="156"/>
      <c r="K217" s="156"/>
      <c r="L217" s="156"/>
      <c r="M217" s="156"/>
      <c r="N217" s="156"/>
      <c r="O217" s="156"/>
      <c r="P217" s="156"/>
      <c r="Q217" s="156"/>
      <c r="R217" s="156"/>
      <c r="S217" s="156"/>
      <c r="T217" s="156"/>
      <c r="U217" s="51"/>
      <c r="V217" s="374"/>
      <c r="W217" s="374"/>
      <c r="X217" s="143"/>
      <c r="Y217" s="360"/>
      <c r="Z217" s="360"/>
      <c r="AA217" s="65"/>
      <c r="AB217" s="65"/>
    </row>
    <row r="218" spans="1:28" ht="18" x14ac:dyDescent="0.25">
      <c r="A218" s="271"/>
      <c r="B218" s="156"/>
      <c r="C218" s="156"/>
      <c r="D218" s="156"/>
      <c r="E218" s="156"/>
      <c r="F218" s="156"/>
      <c r="G218" s="156"/>
      <c r="H218" s="156"/>
      <c r="I218" s="156"/>
      <c r="J218" s="156"/>
      <c r="K218" s="156"/>
      <c r="L218" s="156"/>
      <c r="M218" s="156"/>
      <c r="N218" s="156"/>
      <c r="O218" s="156"/>
      <c r="P218" s="156"/>
      <c r="Q218" s="156"/>
      <c r="R218" s="156"/>
      <c r="S218" s="156"/>
      <c r="T218" s="156"/>
      <c r="U218" s="51"/>
      <c r="V218" s="374"/>
      <c r="W218" s="374"/>
      <c r="X218" s="143"/>
      <c r="Y218" s="360"/>
      <c r="Z218" s="360"/>
      <c r="AA218" s="65"/>
      <c r="AB218" s="65"/>
    </row>
    <row r="219" spans="1:28" ht="18" x14ac:dyDescent="0.25">
      <c r="A219" s="271"/>
      <c r="B219" s="156"/>
      <c r="C219" s="156"/>
      <c r="D219" s="156"/>
      <c r="E219" s="156"/>
      <c r="F219" s="156"/>
      <c r="G219" s="156"/>
      <c r="H219" s="156"/>
      <c r="I219" s="156"/>
      <c r="J219" s="156"/>
      <c r="K219" s="156"/>
      <c r="L219" s="156"/>
      <c r="M219" s="156"/>
      <c r="N219" s="156"/>
      <c r="O219" s="156"/>
      <c r="P219" s="156"/>
      <c r="Q219" s="156"/>
      <c r="R219" s="156"/>
      <c r="S219" s="156"/>
      <c r="T219" s="156"/>
      <c r="U219" s="51"/>
      <c r="V219" s="374"/>
      <c r="W219" s="374"/>
      <c r="X219" s="143"/>
      <c r="Y219" s="360"/>
      <c r="Z219" s="360"/>
      <c r="AA219" s="65"/>
      <c r="AB219" s="65"/>
    </row>
    <row r="220" spans="1:28" ht="18" x14ac:dyDescent="0.25">
      <c r="A220" s="271"/>
      <c r="B220" s="156"/>
      <c r="C220" s="156"/>
      <c r="D220" s="156"/>
      <c r="E220" s="156"/>
      <c r="F220" s="156"/>
      <c r="G220" s="156"/>
      <c r="H220" s="156"/>
      <c r="I220" s="156"/>
      <c r="J220" s="156"/>
      <c r="K220" s="156"/>
      <c r="L220" s="156"/>
      <c r="M220" s="156"/>
      <c r="N220" s="156"/>
      <c r="O220" s="156"/>
      <c r="P220" s="156"/>
      <c r="Q220" s="156"/>
      <c r="R220" s="156"/>
      <c r="S220" s="156"/>
      <c r="T220" s="156"/>
      <c r="U220" s="51"/>
      <c r="V220" s="374"/>
      <c r="W220" s="374"/>
      <c r="X220" s="143"/>
      <c r="Y220" s="360"/>
      <c r="Z220" s="360"/>
      <c r="AA220" s="65"/>
      <c r="AB220" s="65"/>
    </row>
    <row r="221" spans="1:28" ht="18" x14ac:dyDescent="0.25">
      <c r="A221" s="271"/>
      <c r="B221" s="156"/>
      <c r="C221" s="156"/>
      <c r="D221" s="156"/>
      <c r="E221" s="156"/>
      <c r="F221" s="156"/>
      <c r="G221" s="156"/>
      <c r="H221" s="156"/>
      <c r="I221" s="156"/>
      <c r="J221" s="156"/>
      <c r="K221" s="156"/>
      <c r="L221" s="156"/>
      <c r="M221" s="156"/>
      <c r="N221" s="156"/>
      <c r="O221" s="156"/>
      <c r="P221" s="156"/>
      <c r="Q221" s="156"/>
      <c r="R221" s="156"/>
      <c r="S221" s="156"/>
      <c r="T221" s="156"/>
      <c r="U221" s="51"/>
      <c r="V221" s="374"/>
      <c r="W221" s="374"/>
      <c r="X221" s="143"/>
      <c r="Y221" s="360"/>
      <c r="Z221" s="360"/>
      <c r="AA221" s="65"/>
      <c r="AB221" s="65"/>
    </row>
    <row r="222" spans="1:28" ht="18" x14ac:dyDescent="0.25">
      <c r="A222" s="271"/>
      <c r="B222" s="156"/>
      <c r="C222" s="156"/>
      <c r="D222" s="156"/>
      <c r="E222" s="156"/>
      <c r="F222" s="156"/>
      <c r="G222" s="156"/>
      <c r="H222" s="156"/>
      <c r="I222" s="156"/>
      <c r="J222" s="156"/>
      <c r="K222" s="156"/>
      <c r="L222" s="156"/>
      <c r="M222" s="156"/>
      <c r="N222" s="156"/>
      <c r="O222" s="156"/>
      <c r="P222" s="156"/>
      <c r="Q222" s="156"/>
      <c r="R222" s="156"/>
      <c r="S222" s="156"/>
      <c r="T222" s="156"/>
      <c r="U222" s="51"/>
      <c r="V222" s="374"/>
      <c r="W222" s="374"/>
      <c r="X222" s="143"/>
      <c r="Y222" s="360"/>
      <c r="Z222" s="360"/>
      <c r="AA222" s="65"/>
      <c r="AB222" s="65"/>
    </row>
    <row r="223" spans="1:28" ht="18" x14ac:dyDescent="0.25">
      <c r="A223" s="271"/>
      <c r="B223" s="156"/>
      <c r="C223" s="156"/>
      <c r="D223" s="156"/>
      <c r="E223" s="156"/>
      <c r="F223" s="156"/>
      <c r="G223" s="156"/>
      <c r="H223" s="156"/>
      <c r="I223" s="156"/>
      <c r="J223" s="156"/>
      <c r="K223" s="156"/>
      <c r="L223" s="156"/>
      <c r="M223" s="156"/>
      <c r="N223" s="156"/>
      <c r="O223" s="156"/>
      <c r="P223" s="156"/>
      <c r="Q223" s="156"/>
      <c r="R223" s="156"/>
      <c r="S223" s="156"/>
      <c r="T223" s="156"/>
      <c r="U223" s="51"/>
      <c r="V223" s="374"/>
      <c r="W223" s="374"/>
      <c r="X223" s="143"/>
      <c r="Y223" s="360"/>
      <c r="Z223" s="360"/>
      <c r="AA223" s="65"/>
      <c r="AB223" s="65"/>
    </row>
    <row r="224" spans="1:28" ht="18" x14ac:dyDescent="0.25">
      <c r="A224" s="271"/>
      <c r="B224" s="156"/>
      <c r="C224" s="156"/>
      <c r="D224" s="156"/>
      <c r="E224" s="156"/>
      <c r="F224" s="156"/>
      <c r="G224" s="156"/>
      <c r="H224" s="156"/>
      <c r="I224" s="156"/>
      <c r="J224" s="156"/>
      <c r="K224" s="156"/>
      <c r="L224" s="156"/>
      <c r="M224" s="156"/>
      <c r="N224" s="156"/>
      <c r="O224" s="156"/>
      <c r="P224" s="156"/>
      <c r="Q224" s="156"/>
      <c r="R224" s="156"/>
      <c r="S224" s="156"/>
      <c r="T224" s="156"/>
      <c r="U224" s="51"/>
      <c r="V224" s="374"/>
      <c r="W224" s="374"/>
      <c r="X224" s="143"/>
      <c r="Y224" s="360"/>
      <c r="Z224" s="360"/>
      <c r="AA224" s="65"/>
      <c r="AB224" s="65"/>
    </row>
    <row r="225" spans="1:28" ht="18" x14ac:dyDescent="0.25">
      <c r="A225" s="271"/>
      <c r="B225" s="156"/>
      <c r="C225" s="156"/>
      <c r="D225" s="156"/>
      <c r="E225" s="156"/>
      <c r="F225" s="156"/>
      <c r="G225" s="156"/>
      <c r="H225" s="156"/>
      <c r="I225" s="156"/>
      <c r="J225" s="156"/>
      <c r="K225" s="156"/>
      <c r="L225" s="156"/>
      <c r="M225" s="156"/>
      <c r="N225" s="156"/>
      <c r="O225" s="156"/>
      <c r="P225" s="156"/>
      <c r="Q225" s="156"/>
      <c r="R225" s="156"/>
      <c r="S225" s="156"/>
      <c r="T225" s="156"/>
      <c r="U225" s="51"/>
      <c r="V225" s="374"/>
      <c r="W225" s="374"/>
      <c r="X225" s="143"/>
      <c r="Y225" s="360"/>
      <c r="Z225" s="360"/>
      <c r="AA225" s="65"/>
      <c r="AB225" s="65"/>
    </row>
    <row r="226" spans="1:28" ht="18" x14ac:dyDescent="0.25">
      <c r="A226" s="271"/>
      <c r="B226" s="156"/>
      <c r="C226" s="156"/>
      <c r="D226" s="156"/>
      <c r="E226" s="156"/>
      <c r="F226" s="156"/>
      <c r="G226" s="156"/>
      <c r="H226" s="156"/>
      <c r="I226" s="156"/>
      <c r="J226" s="156"/>
      <c r="K226" s="156"/>
      <c r="L226" s="156"/>
      <c r="M226" s="156"/>
      <c r="N226" s="156"/>
      <c r="O226" s="156"/>
      <c r="P226" s="156"/>
      <c r="Q226" s="156"/>
      <c r="R226" s="156"/>
      <c r="S226" s="156"/>
      <c r="T226" s="156"/>
      <c r="U226" s="51"/>
      <c r="V226" s="374"/>
      <c r="W226" s="374"/>
      <c r="X226" s="143"/>
      <c r="Y226" s="360"/>
      <c r="Z226" s="360"/>
      <c r="AA226" s="65"/>
      <c r="AB226" s="65"/>
    </row>
    <row r="227" spans="1:28" ht="18" x14ac:dyDescent="0.25">
      <c r="A227" s="271"/>
      <c r="B227" s="156"/>
      <c r="C227" s="156"/>
      <c r="D227" s="156"/>
      <c r="E227" s="156"/>
      <c r="F227" s="156"/>
      <c r="G227" s="156"/>
      <c r="H227" s="156"/>
      <c r="I227" s="156"/>
      <c r="J227" s="156"/>
      <c r="K227" s="156"/>
      <c r="L227" s="156"/>
      <c r="M227" s="156"/>
      <c r="N227" s="156"/>
      <c r="O227" s="156"/>
      <c r="P227" s="156"/>
      <c r="Q227" s="156"/>
      <c r="R227" s="156"/>
      <c r="S227" s="156"/>
      <c r="T227" s="156"/>
      <c r="U227" s="51"/>
      <c r="V227" s="374"/>
      <c r="W227" s="374"/>
      <c r="X227" s="143"/>
      <c r="Y227" s="360"/>
      <c r="Z227" s="360"/>
      <c r="AA227" s="65"/>
      <c r="AB227" s="65"/>
    </row>
    <row r="228" spans="1:28" ht="18" x14ac:dyDescent="0.25">
      <c r="A228" s="271"/>
      <c r="B228" s="156"/>
      <c r="C228" s="156"/>
      <c r="D228" s="156"/>
      <c r="E228" s="156"/>
      <c r="F228" s="156"/>
      <c r="G228" s="156"/>
      <c r="H228" s="156"/>
      <c r="I228" s="156"/>
      <c r="J228" s="156"/>
      <c r="K228" s="156"/>
      <c r="L228" s="156"/>
      <c r="M228" s="156"/>
      <c r="N228" s="156"/>
      <c r="O228" s="156"/>
      <c r="P228" s="156"/>
      <c r="Q228" s="156"/>
      <c r="R228" s="156"/>
      <c r="S228" s="156"/>
      <c r="T228" s="156"/>
      <c r="U228" s="51"/>
      <c r="V228" s="374"/>
      <c r="W228" s="374"/>
      <c r="X228" s="143"/>
      <c r="Y228" s="360"/>
      <c r="Z228" s="360"/>
      <c r="AA228" s="65"/>
      <c r="AB228" s="65"/>
    </row>
    <row r="229" spans="1:28" ht="18" x14ac:dyDescent="0.25">
      <c r="A229" s="271"/>
      <c r="B229" s="156"/>
      <c r="C229" s="156"/>
      <c r="D229" s="156"/>
      <c r="E229" s="156"/>
      <c r="F229" s="156"/>
      <c r="G229" s="156"/>
      <c r="H229" s="156"/>
      <c r="I229" s="156"/>
      <c r="J229" s="156"/>
      <c r="K229" s="156"/>
      <c r="L229" s="156"/>
      <c r="M229" s="156"/>
      <c r="N229" s="156"/>
      <c r="O229" s="156"/>
      <c r="P229" s="156"/>
      <c r="Q229" s="156"/>
      <c r="R229" s="156"/>
      <c r="S229" s="156"/>
      <c r="T229" s="156"/>
      <c r="U229" s="51"/>
      <c r="V229" s="374"/>
      <c r="W229" s="374"/>
      <c r="X229" s="143"/>
      <c r="Y229" s="360"/>
      <c r="Z229" s="360"/>
      <c r="AA229" s="65"/>
      <c r="AB229" s="65"/>
    </row>
    <row r="230" spans="1:28" ht="18" x14ac:dyDescent="0.25">
      <c r="A230" s="271"/>
      <c r="B230" s="156"/>
      <c r="C230" s="156"/>
      <c r="D230" s="156"/>
      <c r="E230" s="156"/>
      <c r="F230" s="156"/>
      <c r="G230" s="156"/>
      <c r="H230" s="156"/>
      <c r="I230" s="156"/>
      <c r="J230" s="156"/>
      <c r="K230" s="156"/>
      <c r="L230" s="156"/>
      <c r="M230" s="156"/>
      <c r="N230" s="156"/>
      <c r="O230" s="156"/>
      <c r="P230" s="156"/>
      <c r="Q230" s="156"/>
      <c r="R230" s="156"/>
      <c r="S230" s="156"/>
      <c r="T230" s="156"/>
      <c r="U230" s="51"/>
      <c r="V230" s="374"/>
      <c r="W230" s="374"/>
      <c r="X230" s="143"/>
      <c r="Y230" s="360"/>
      <c r="Z230" s="360"/>
      <c r="AA230" s="65"/>
      <c r="AB230" s="65"/>
    </row>
    <row r="231" spans="1:28" ht="18" x14ac:dyDescent="0.25">
      <c r="A231" s="271"/>
      <c r="B231" s="156"/>
      <c r="C231" s="156"/>
      <c r="D231" s="156"/>
      <c r="E231" s="156"/>
      <c r="F231" s="156"/>
      <c r="G231" s="156"/>
      <c r="H231" s="156"/>
      <c r="I231" s="156"/>
      <c r="J231" s="156"/>
      <c r="K231" s="156"/>
      <c r="L231" s="156"/>
      <c r="M231" s="156"/>
      <c r="N231" s="156"/>
      <c r="O231" s="156"/>
      <c r="P231" s="156"/>
      <c r="Q231" s="156"/>
      <c r="R231" s="156"/>
      <c r="S231" s="156"/>
      <c r="T231" s="156"/>
      <c r="U231" s="51"/>
      <c r="V231" s="374"/>
      <c r="W231" s="374"/>
      <c r="X231" s="143"/>
      <c r="Y231" s="360"/>
      <c r="Z231" s="360"/>
      <c r="AA231" s="65"/>
      <c r="AB231" s="65"/>
    </row>
    <row r="232" spans="1:28" ht="18" x14ac:dyDescent="0.25">
      <c r="A232" s="271"/>
      <c r="B232" s="156"/>
      <c r="C232" s="156"/>
      <c r="D232" s="156"/>
      <c r="E232" s="156"/>
      <c r="F232" s="156"/>
      <c r="G232" s="156"/>
      <c r="H232" s="156"/>
      <c r="I232" s="156"/>
      <c r="J232" s="156"/>
      <c r="K232" s="156"/>
      <c r="L232" s="156"/>
      <c r="M232" s="156"/>
      <c r="N232" s="156"/>
      <c r="O232" s="156"/>
      <c r="P232" s="156"/>
      <c r="Q232" s="156"/>
      <c r="R232" s="156"/>
      <c r="S232" s="156"/>
      <c r="T232" s="156"/>
      <c r="U232" s="51"/>
      <c r="V232" s="374"/>
      <c r="W232" s="374"/>
      <c r="X232" s="143"/>
      <c r="Y232" s="360"/>
      <c r="Z232" s="360"/>
      <c r="AA232" s="65"/>
      <c r="AB232" s="65"/>
    </row>
    <row r="233" spans="1:28" ht="18" x14ac:dyDescent="0.25">
      <c r="A233" s="271"/>
      <c r="B233" s="156"/>
      <c r="C233" s="156"/>
      <c r="D233" s="156"/>
      <c r="E233" s="156"/>
      <c r="F233" s="156"/>
      <c r="G233" s="156"/>
      <c r="H233" s="156"/>
      <c r="I233" s="156"/>
      <c r="J233" s="156"/>
      <c r="K233" s="156"/>
      <c r="L233" s="156"/>
      <c r="M233" s="156"/>
      <c r="N233" s="156"/>
      <c r="O233" s="156"/>
      <c r="P233" s="156"/>
      <c r="Q233" s="156"/>
      <c r="R233" s="156"/>
      <c r="S233" s="156"/>
      <c r="T233" s="156"/>
      <c r="U233" s="51"/>
      <c r="V233" s="374"/>
      <c r="W233" s="374"/>
      <c r="X233" s="143"/>
      <c r="Y233" s="360"/>
      <c r="Z233" s="360"/>
      <c r="AA233" s="65"/>
      <c r="AB233" s="65"/>
    </row>
    <row r="234" spans="1:28" ht="18" x14ac:dyDescent="0.25">
      <c r="A234" s="271"/>
      <c r="B234" s="156"/>
      <c r="C234" s="156"/>
      <c r="D234" s="156"/>
      <c r="E234" s="156"/>
      <c r="F234" s="156"/>
      <c r="G234" s="156"/>
      <c r="H234" s="156"/>
      <c r="I234" s="156"/>
      <c r="J234" s="156"/>
      <c r="K234" s="156"/>
      <c r="L234" s="156"/>
      <c r="M234" s="156"/>
      <c r="N234" s="156"/>
      <c r="O234" s="156"/>
      <c r="P234" s="156"/>
      <c r="Q234" s="156"/>
      <c r="R234" s="156"/>
      <c r="S234" s="156"/>
      <c r="T234" s="156"/>
      <c r="U234" s="51"/>
      <c r="V234" s="374"/>
      <c r="W234" s="374"/>
      <c r="X234" s="143"/>
      <c r="Y234" s="360"/>
      <c r="Z234" s="360"/>
      <c r="AA234" s="65"/>
      <c r="AB234" s="65"/>
    </row>
    <row r="235" spans="1:28" ht="18" x14ac:dyDescent="0.25">
      <c r="A235" s="271"/>
      <c r="B235" s="156"/>
      <c r="C235" s="156"/>
      <c r="D235" s="156"/>
      <c r="E235" s="156"/>
      <c r="F235" s="156"/>
      <c r="G235" s="156"/>
      <c r="H235" s="156"/>
      <c r="I235" s="156"/>
      <c r="J235" s="156"/>
      <c r="K235" s="156"/>
      <c r="L235" s="156"/>
      <c r="M235" s="156"/>
      <c r="N235" s="156"/>
      <c r="O235" s="156"/>
      <c r="P235" s="156"/>
      <c r="Q235" s="156"/>
      <c r="R235" s="156"/>
      <c r="S235" s="156"/>
      <c r="T235" s="156"/>
      <c r="U235" s="51"/>
      <c r="V235" s="374"/>
      <c r="W235" s="374"/>
      <c r="X235" s="143"/>
      <c r="Y235" s="360"/>
      <c r="Z235" s="360"/>
      <c r="AA235" s="65"/>
      <c r="AB235" s="65"/>
    </row>
    <row r="236" spans="1:28" ht="18" x14ac:dyDescent="0.25">
      <c r="A236" s="271"/>
      <c r="B236" s="156"/>
      <c r="C236" s="156"/>
      <c r="D236" s="156"/>
      <c r="E236" s="156"/>
      <c r="F236" s="156"/>
      <c r="G236" s="156"/>
      <c r="H236" s="156"/>
      <c r="I236" s="156"/>
      <c r="J236" s="156"/>
      <c r="K236" s="156"/>
      <c r="L236" s="156"/>
      <c r="M236" s="156"/>
      <c r="N236" s="156"/>
      <c r="O236" s="156"/>
      <c r="P236" s="156"/>
      <c r="Q236" s="156"/>
      <c r="R236" s="156"/>
      <c r="S236" s="156"/>
      <c r="T236" s="156"/>
      <c r="U236" s="51"/>
      <c r="V236" s="374"/>
      <c r="W236" s="374"/>
      <c r="X236" s="143"/>
      <c r="Y236" s="360"/>
      <c r="Z236" s="360"/>
      <c r="AA236" s="65"/>
      <c r="AB236" s="65"/>
    </row>
    <row r="237" spans="1:28" ht="18" x14ac:dyDescent="0.25">
      <c r="A237" s="271"/>
      <c r="B237" s="156"/>
      <c r="C237" s="156"/>
      <c r="D237" s="156"/>
      <c r="E237" s="156"/>
      <c r="F237" s="156"/>
      <c r="G237" s="156"/>
      <c r="H237" s="156"/>
      <c r="I237" s="156"/>
      <c r="J237" s="156"/>
      <c r="K237" s="156"/>
      <c r="L237" s="156"/>
      <c r="M237" s="156"/>
      <c r="N237" s="156"/>
      <c r="O237" s="156"/>
      <c r="P237" s="156"/>
      <c r="Q237" s="156"/>
      <c r="R237" s="156"/>
      <c r="S237" s="156"/>
      <c r="T237" s="156"/>
      <c r="U237" s="51"/>
      <c r="V237" s="374"/>
      <c r="W237" s="374"/>
      <c r="X237" s="143"/>
      <c r="Y237" s="360"/>
      <c r="Z237" s="360"/>
      <c r="AA237" s="65"/>
      <c r="AB237" s="65"/>
    </row>
    <row r="238" spans="1:28" ht="18" x14ac:dyDescent="0.25">
      <c r="A238" s="271"/>
      <c r="B238" s="156"/>
      <c r="C238" s="156"/>
      <c r="D238" s="156"/>
      <c r="E238" s="156"/>
      <c r="F238" s="156"/>
      <c r="G238" s="156"/>
      <c r="H238" s="156"/>
      <c r="I238" s="156"/>
      <c r="J238" s="156"/>
      <c r="K238" s="156"/>
      <c r="L238" s="156"/>
      <c r="M238" s="156"/>
      <c r="N238" s="156"/>
      <c r="O238" s="156"/>
      <c r="P238" s="156"/>
      <c r="Q238" s="156"/>
      <c r="R238" s="156"/>
      <c r="S238" s="156"/>
      <c r="T238" s="156"/>
      <c r="U238" s="51"/>
      <c r="V238" s="374"/>
      <c r="W238" s="374"/>
      <c r="X238" s="143"/>
      <c r="Y238" s="360"/>
      <c r="Z238" s="360"/>
      <c r="AA238" s="65"/>
      <c r="AB238" s="65"/>
    </row>
    <row r="239" spans="1:28" ht="18" x14ac:dyDescent="0.25">
      <c r="A239" s="271"/>
      <c r="B239" s="156"/>
      <c r="C239" s="156"/>
      <c r="D239" s="156"/>
      <c r="E239" s="156"/>
      <c r="F239" s="156"/>
      <c r="G239" s="156"/>
      <c r="H239" s="156"/>
      <c r="I239" s="156"/>
      <c r="J239" s="156"/>
      <c r="K239" s="156"/>
      <c r="L239" s="156"/>
      <c r="M239" s="156"/>
      <c r="N239" s="156"/>
      <c r="O239" s="156"/>
      <c r="P239" s="156"/>
      <c r="Q239" s="156"/>
      <c r="R239" s="156"/>
      <c r="S239" s="156"/>
      <c r="T239" s="156"/>
      <c r="U239" s="51"/>
      <c r="V239" s="374"/>
      <c r="W239" s="374"/>
      <c r="X239" s="143"/>
      <c r="Y239" s="360"/>
      <c r="Z239" s="360"/>
      <c r="AA239" s="65"/>
      <c r="AB239" s="65"/>
    </row>
    <row r="240" spans="1:28" ht="18" x14ac:dyDescent="0.25">
      <c r="A240" s="271"/>
      <c r="B240" s="156"/>
      <c r="C240" s="156"/>
      <c r="D240" s="156"/>
      <c r="E240" s="156"/>
      <c r="F240" s="156"/>
      <c r="G240" s="156"/>
      <c r="H240" s="156"/>
      <c r="I240" s="156"/>
      <c r="J240" s="156"/>
      <c r="K240" s="156"/>
      <c r="L240" s="156"/>
      <c r="M240" s="156"/>
      <c r="N240" s="156"/>
      <c r="O240" s="156"/>
      <c r="P240" s="156"/>
      <c r="Q240" s="156"/>
      <c r="R240" s="156"/>
      <c r="S240" s="156"/>
      <c r="T240" s="156"/>
      <c r="U240" s="51"/>
      <c r="V240" s="374"/>
      <c r="W240" s="374"/>
      <c r="X240" s="143"/>
      <c r="Y240" s="360"/>
      <c r="Z240" s="360"/>
      <c r="AA240" s="65"/>
      <c r="AB240" s="65"/>
    </row>
    <row r="241" spans="1:28" ht="18" x14ac:dyDescent="0.25">
      <c r="A241" s="271"/>
      <c r="B241" s="156"/>
      <c r="C241" s="156"/>
      <c r="D241" s="156"/>
      <c r="E241" s="156"/>
      <c r="F241" s="156"/>
      <c r="G241" s="156"/>
      <c r="H241" s="156"/>
      <c r="I241" s="156"/>
      <c r="J241" s="156"/>
      <c r="K241" s="156"/>
      <c r="L241" s="156"/>
      <c r="M241" s="156"/>
      <c r="N241" s="156"/>
      <c r="O241" s="156"/>
      <c r="P241" s="156"/>
      <c r="Q241" s="156"/>
      <c r="R241" s="156"/>
      <c r="S241" s="156"/>
      <c r="T241" s="156"/>
      <c r="U241" s="51"/>
      <c r="V241" s="374"/>
      <c r="W241" s="374"/>
      <c r="X241" s="143"/>
      <c r="Y241" s="360"/>
      <c r="Z241" s="360"/>
      <c r="AA241" s="65"/>
      <c r="AB241" s="65"/>
    </row>
    <row r="242" spans="1:28" ht="18" x14ac:dyDescent="0.25">
      <c r="A242" s="271"/>
      <c r="B242" s="156"/>
      <c r="C242" s="156"/>
      <c r="D242" s="156"/>
      <c r="E242" s="156"/>
      <c r="F242" s="156"/>
      <c r="G242" s="156"/>
      <c r="H242" s="156"/>
      <c r="I242" s="156"/>
      <c r="J242" s="156"/>
      <c r="K242" s="156"/>
      <c r="L242" s="156"/>
      <c r="M242" s="156"/>
      <c r="N242" s="156"/>
      <c r="O242" s="156"/>
      <c r="P242" s="156"/>
      <c r="Q242" s="156"/>
      <c r="R242" s="156"/>
      <c r="S242" s="156"/>
      <c r="T242" s="156"/>
      <c r="U242" s="51"/>
      <c r="V242" s="374"/>
      <c r="W242" s="374"/>
      <c r="X242" s="143"/>
      <c r="Y242" s="360"/>
      <c r="Z242" s="360"/>
      <c r="AA242" s="65"/>
      <c r="AB242" s="65"/>
    </row>
    <row r="243" spans="1:28" ht="18" x14ac:dyDescent="0.25">
      <c r="A243" s="271"/>
      <c r="B243" s="156"/>
      <c r="C243" s="156"/>
      <c r="D243" s="156"/>
      <c r="E243" s="156"/>
      <c r="F243" s="156"/>
      <c r="G243" s="156"/>
      <c r="H243" s="156"/>
      <c r="I243" s="156"/>
      <c r="J243" s="156"/>
      <c r="K243" s="156"/>
      <c r="L243" s="156"/>
      <c r="M243" s="156"/>
      <c r="N243" s="156"/>
      <c r="O243" s="156"/>
      <c r="P243" s="156"/>
      <c r="Q243" s="156"/>
      <c r="R243" s="156"/>
      <c r="S243" s="156"/>
      <c r="T243" s="156"/>
      <c r="U243" s="51"/>
      <c r="V243" s="374"/>
      <c r="W243" s="374"/>
      <c r="X243" s="143"/>
      <c r="Y243" s="360"/>
      <c r="Z243" s="360"/>
      <c r="AA243" s="65"/>
      <c r="AB243" s="65"/>
    </row>
    <row r="244" spans="1:28" ht="18" x14ac:dyDescent="0.25">
      <c r="A244" s="271"/>
      <c r="B244" s="156"/>
      <c r="C244" s="156"/>
      <c r="D244" s="156"/>
      <c r="E244" s="156"/>
      <c r="F244" s="156"/>
      <c r="G244" s="156"/>
      <c r="H244" s="156"/>
      <c r="I244" s="156"/>
      <c r="J244" s="156"/>
      <c r="K244" s="156"/>
      <c r="L244" s="156"/>
      <c r="M244" s="156"/>
      <c r="N244" s="156"/>
      <c r="O244" s="156"/>
      <c r="P244" s="156"/>
      <c r="Q244" s="156"/>
      <c r="R244" s="156"/>
      <c r="S244" s="156"/>
      <c r="T244" s="156"/>
      <c r="U244" s="51"/>
      <c r="V244" s="374"/>
      <c r="W244" s="374"/>
      <c r="X244" s="143"/>
      <c r="Y244" s="360"/>
      <c r="Z244" s="360"/>
      <c r="AA244" s="65"/>
      <c r="AB244" s="65"/>
    </row>
    <row r="245" spans="1:28" ht="18" x14ac:dyDescent="0.25">
      <c r="A245" s="271"/>
      <c r="B245" s="156"/>
      <c r="C245" s="156"/>
      <c r="D245" s="156"/>
      <c r="E245" s="156"/>
      <c r="F245" s="156"/>
      <c r="G245" s="156"/>
      <c r="H245" s="156"/>
      <c r="I245" s="156"/>
      <c r="J245" s="156"/>
      <c r="K245" s="156"/>
      <c r="L245" s="156"/>
      <c r="M245" s="156"/>
      <c r="N245" s="156"/>
      <c r="O245" s="156"/>
      <c r="P245" s="156"/>
      <c r="Q245" s="156"/>
      <c r="R245" s="156"/>
      <c r="S245" s="156"/>
      <c r="T245" s="156"/>
      <c r="U245" s="51"/>
      <c r="V245" s="374"/>
      <c r="W245" s="374"/>
      <c r="X245" s="143"/>
      <c r="Y245" s="360"/>
      <c r="Z245" s="360"/>
      <c r="AA245" s="65"/>
      <c r="AB245" s="65"/>
    </row>
    <row r="246" spans="1:28" ht="18" x14ac:dyDescent="0.25">
      <c r="A246" s="271"/>
      <c r="B246" s="156"/>
      <c r="C246" s="156"/>
      <c r="D246" s="156"/>
      <c r="E246" s="156"/>
      <c r="F246" s="156"/>
      <c r="G246" s="156"/>
      <c r="H246" s="156"/>
      <c r="I246" s="156"/>
      <c r="J246" s="156"/>
      <c r="K246" s="156"/>
      <c r="L246" s="156"/>
      <c r="M246" s="156"/>
      <c r="N246" s="156"/>
      <c r="O246" s="156"/>
      <c r="P246" s="156"/>
      <c r="Q246" s="156"/>
      <c r="R246" s="156"/>
      <c r="S246" s="156"/>
      <c r="T246" s="156"/>
      <c r="U246" s="51"/>
      <c r="V246" s="374"/>
      <c r="W246" s="374"/>
      <c r="X246" s="143"/>
      <c r="Y246" s="360"/>
      <c r="Z246" s="360"/>
      <c r="AA246" s="65"/>
      <c r="AB246" s="65"/>
    </row>
    <row r="247" spans="1:28" ht="18" x14ac:dyDescent="0.25">
      <c r="A247" s="271"/>
      <c r="B247" s="156"/>
      <c r="C247" s="156"/>
      <c r="D247" s="156"/>
      <c r="E247" s="156"/>
      <c r="F247" s="156"/>
      <c r="G247" s="156"/>
      <c r="H247" s="156"/>
      <c r="I247" s="156"/>
      <c r="J247" s="156"/>
      <c r="K247" s="156"/>
      <c r="L247" s="156"/>
      <c r="M247" s="156"/>
      <c r="N247" s="156"/>
      <c r="O247" s="156"/>
      <c r="P247" s="156"/>
      <c r="Q247" s="156"/>
      <c r="R247" s="156"/>
      <c r="S247" s="156"/>
      <c r="T247" s="156"/>
      <c r="U247" s="51"/>
      <c r="V247" s="374"/>
      <c r="W247" s="374"/>
      <c r="X247" s="143"/>
      <c r="Y247" s="360"/>
      <c r="Z247" s="360"/>
      <c r="AA247" s="65"/>
      <c r="AB247" s="65"/>
    </row>
    <row r="248" spans="1:28" ht="18" x14ac:dyDescent="0.25">
      <c r="A248" s="271"/>
      <c r="B248" s="156"/>
      <c r="C248" s="156"/>
      <c r="D248" s="156"/>
      <c r="E248" s="156"/>
      <c r="F248" s="156"/>
      <c r="G248" s="156"/>
      <c r="H248" s="156"/>
      <c r="I248" s="156"/>
      <c r="J248" s="156"/>
      <c r="K248" s="156"/>
      <c r="L248" s="156"/>
      <c r="M248" s="156"/>
      <c r="N248" s="156"/>
      <c r="O248" s="156"/>
      <c r="P248" s="156"/>
      <c r="Q248" s="156"/>
      <c r="R248" s="156"/>
      <c r="S248" s="156"/>
      <c r="T248" s="156"/>
      <c r="U248" s="51"/>
      <c r="V248" s="374"/>
      <c r="W248" s="374"/>
      <c r="X248" s="143"/>
      <c r="Y248" s="360"/>
      <c r="Z248" s="360"/>
      <c r="AA248" s="65"/>
      <c r="AB248" s="65"/>
    </row>
    <row r="249" spans="1:28" ht="18" x14ac:dyDescent="0.25">
      <c r="A249" s="271"/>
      <c r="B249" s="156"/>
      <c r="C249" s="156"/>
      <c r="D249" s="156"/>
      <c r="E249" s="156"/>
      <c r="F249" s="156"/>
      <c r="G249" s="156"/>
      <c r="H249" s="156"/>
      <c r="I249" s="156"/>
      <c r="J249" s="156"/>
      <c r="K249" s="156"/>
      <c r="L249" s="156"/>
      <c r="M249" s="156"/>
      <c r="N249" s="156"/>
      <c r="O249" s="156"/>
      <c r="P249" s="156"/>
      <c r="Q249" s="156"/>
      <c r="R249" s="156"/>
      <c r="S249" s="156"/>
      <c r="T249" s="156"/>
      <c r="U249" s="51"/>
      <c r="V249" s="374"/>
      <c r="W249" s="374"/>
      <c r="X249" s="143"/>
      <c r="Y249" s="360"/>
      <c r="Z249" s="360"/>
      <c r="AA249" s="65"/>
      <c r="AB249" s="65"/>
    </row>
    <row r="250" spans="1:28" ht="18" x14ac:dyDescent="0.25">
      <c r="A250" s="271"/>
      <c r="B250" s="156"/>
      <c r="C250" s="156"/>
      <c r="D250" s="156"/>
      <c r="E250" s="156"/>
      <c r="F250" s="156"/>
      <c r="G250" s="156"/>
      <c r="H250" s="156"/>
      <c r="I250" s="156"/>
      <c r="J250" s="156"/>
      <c r="K250" s="156"/>
      <c r="L250" s="156"/>
      <c r="M250" s="156"/>
      <c r="N250" s="156"/>
      <c r="O250" s="156"/>
      <c r="P250" s="156"/>
      <c r="Q250" s="156"/>
      <c r="R250" s="156"/>
      <c r="S250" s="156"/>
      <c r="T250" s="156"/>
      <c r="U250" s="51"/>
      <c r="V250" s="374"/>
      <c r="W250" s="374"/>
      <c r="X250" s="143"/>
      <c r="Y250" s="360"/>
      <c r="Z250" s="360"/>
      <c r="AA250" s="65"/>
      <c r="AB250" s="65"/>
    </row>
    <row r="251" spans="1:28" ht="18" x14ac:dyDescent="0.25">
      <c r="A251" s="271"/>
      <c r="B251" s="156"/>
      <c r="C251" s="156"/>
      <c r="D251" s="156"/>
      <c r="E251" s="156"/>
      <c r="F251" s="156"/>
      <c r="G251" s="156"/>
      <c r="H251" s="156"/>
      <c r="I251" s="156"/>
      <c r="J251" s="156"/>
      <c r="K251" s="156"/>
      <c r="L251" s="156"/>
      <c r="M251" s="156"/>
      <c r="N251" s="156"/>
      <c r="O251" s="156"/>
      <c r="P251" s="156"/>
      <c r="Q251" s="156"/>
      <c r="R251" s="156"/>
      <c r="S251" s="156"/>
      <c r="T251" s="156"/>
      <c r="U251" s="51"/>
      <c r="V251" s="374"/>
      <c r="W251" s="374"/>
      <c r="X251" s="143"/>
      <c r="Y251" s="360"/>
      <c r="Z251" s="360"/>
      <c r="AA251" s="65"/>
      <c r="AB251" s="65"/>
    </row>
    <row r="252" spans="1:28" ht="18" x14ac:dyDescent="0.25">
      <c r="A252" s="271"/>
      <c r="B252" s="156"/>
      <c r="C252" s="156"/>
      <c r="D252" s="156"/>
      <c r="E252" s="156"/>
      <c r="F252" s="156"/>
      <c r="G252" s="156"/>
      <c r="H252" s="156"/>
      <c r="I252" s="156"/>
      <c r="J252" s="156"/>
      <c r="K252" s="156"/>
      <c r="L252" s="156"/>
      <c r="M252" s="156"/>
      <c r="N252" s="156"/>
      <c r="O252" s="156"/>
      <c r="P252" s="156"/>
      <c r="Q252" s="156"/>
      <c r="R252" s="156"/>
      <c r="S252" s="156"/>
      <c r="T252" s="156"/>
      <c r="U252" s="51"/>
      <c r="V252" s="374"/>
      <c r="W252" s="374"/>
      <c r="X252" s="143"/>
      <c r="Y252" s="360"/>
      <c r="Z252" s="360"/>
      <c r="AA252" s="65"/>
      <c r="AB252" s="65"/>
    </row>
    <row r="253" spans="1:28" ht="18" x14ac:dyDescent="0.25">
      <c r="A253" s="271"/>
      <c r="B253" s="156"/>
      <c r="C253" s="156"/>
      <c r="D253" s="156"/>
      <c r="E253" s="156"/>
      <c r="F253" s="156"/>
      <c r="G253" s="156"/>
      <c r="H253" s="156"/>
      <c r="I253" s="156"/>
      <c r="J253" s="156"/>
      <c r="K253" s="156"/>
      <c r="L253" s="156"/>
      <c r="M253" s="156"/>
      <c r="N253" s="156"/>
      <c r="O253" s="156"/>
      <c r="P253" s="156"/>
      <c r="Q253" s="156"/>
      <c r="R253" s="156"/>
      <c r="S253" s="156"/>
      <c r="T253" s="156"/>
      <c r="U253" s="51"/>
      <c r="V253" s="374"/>
      <c r="W253" s="374"/>
      <c r="X253" s="143"/>
      <c r="Y253" s="360"/>
      <c r="Z253" s="360"/>
      <c r="AA253" s="65"/>
      <c r="AB253" s="65"/>
    </row>
    <row r="254" spans="1:28" ht="18" x14ac:dyDescent="0.25">
      <c r="A254" s="271"/>
      <c r="B254" s="156"/>
      <c r="C254" s="156"/>
      <c r="D254" s="156"/>
      <c r="E254" s="156"/>
      <c r="F254" s="156"/>
      <c r="G254" s="156"/>
      <c r="H254" s="156"/>
      <c r="I254" s="156"/>
      <c r="J254" s="156"/>
      <c r="K254" s="156"/>
      <c r="L254" s="156"/>
      <c r="M254" s="156"/>
      <c r="N254" s="156"/>
      <c r="O254" s="156"/>
      <c r="P254" s="156"/>
      <c r="Q254" s="156"/>
      <c r="R254" s="156"/>
      <c r="S254" s="156"/>
      <c r="T254" s="156"/>
      <c r="U254" s="51"/>
      <c r="V254" s="374"/>
      <c r="W254" s="374"/>
      <c r="X254" s="143"/>
      <c r="Y254" s="360"/>
      <c r="Z254" s="360"/>
      <c r="AA254" s="65"/>
      <c r="AB254" s="65"/>
    </row>
    <row r="255" spans="1:28" ht="18" x14ac:dyDescent="0.25">
      <c r="A255" s="271"/>
      <c r="B255" s="156"/>
      <c r="C255" s="156"/>
      <c r="D255" s="156"/>
      <c r="E255" s="156"/>
      <c r="F255" s="156"/>
      <c r="G255" s="156"/>
      <c r="H255" s="156"/>
      <c r="I255" s="156"/>
      <c r="J255" s="156"/>
      <c r="K255" s="156"/>
      <c r="L255" s="156"/>
      <c r="M255" s="156"/>
      <c r="N255" s="156"/>
      <c r="O255" s="156"/>
      <c r="P255" s="156"/>
      <c r="Q255" s="156"/>
      <c r="R255" s="156"/>
      <c r="S255" s="156"/>
      <c r="T255" s="156"/>
      <c r="U255" s="51"/>
      <c r="V255" s="374"/>
      <c r="W255" s="374"/>
      <c r="X255" s="143"/>
      <c r="Y255" s="360"/>
      <c r="Z255" s="360"/>
      <c r="AA255" s="65"/>
      <c r="AB255" s="65"/>
    </row>
    <row r="256" spans="1:28" ht="18" x14ac:dyDescent="0.25">
      <c r="A256" s="271"/>
      <c r="B256" s="156"/>
      <c r="C256" s="156"/>
      <c r="D256" s="156"/>
      <c r="E256" s="156"/>
      <c r="F256" s="156"/>
      <c r="G256" s="156"/>
      <c r="H256" s="156"/>
      <c r="I256" s="156"/>
      <c r="J256" s="156"/>
      <c r="K256" s="156"/>
      <c r="L256" s="156"/>
      <c r="M256" s="156"/>
      <c r="N256" s="156"/>
      <c r="O256" s="156"/>
      <c r="P256" s="156"/>
      <c r="Q256" s="156"/>
      <c r="R256" s="156"/>
      <c r="S256" s="156"/>
      <c r="T256" s="156"/>
      <c r="U256" s="51"/>
      <c r="V256" s="374"/>
      <c r="W256" s="374"/>
      <c r="X256" s="143"/>
      <c r="Y256" s="360"/>
      <c r="Z256" s="360"/>
      <c r="AA256" s="65"/>
      <c r="AB256" s="65"/>
    </row>
    <row r="257" spans="1:37" ht="18" x14ac:dyDescent="0.25">
      <c r="A257" s="271"/>
      <c r="B257" s="156"/>
      <c r="C257" s="156"/>
      <c r="D257" s="156"/>
      <c r="E257" s="156"/>
      <c r="F257" s="156"/>
      <c r="G257" s="156"/>
      <c r="H257" s="156"/>
      <c r="I257" s="156"/>
      <c r="J257" s="156"/>
      <c r="K257" s="156"/>
      <c r="L257" s="156"/>
      <c r="M257" s="156"/>
      <c r="N257" s="156"/>
      <c r="O257" s="156"/>
      <c r="P257" s="156"/>
      <c r="Q257" s="156"/>
      <c r="R257" s="156"/>
      <c r="S257" s="156"/>
      <c r="T257" s="156"/>
      <c r="U257" s="51"/>
      <c r="V257" s="374"/>
      <c r="W257" s="374"/>
      <c r="X257" s="143"/>
      <c r="Y257" s="360"/>
      <c r="Z257" s="360"/>
      <c r="AA257" s="65"/>
      <c r="AB257" s="65"/>
    </row>
    <row r="258" spans="1:37" ht="18" x14ac:dyDescent="0.25">
      <c r="A258" s="271"/>
      <c r="B258" s="156"/>
      <c r="C258" s="156"/>
      <c r="D258" s="156"/>
      <c r="E258" s="156"/>
      <c r="F258" s="156"/>
      <c r="G258" s="156"/>
      <c r="H258" s="156"/>
      <c r="I258" s="156"/>
      <c r="J258" s="156"/>
      <c r="K258" s="156"/>
      <c r="L258" s="156"/>
      <c r="M258" s="156"/>
      <c r="N258" s="156"/>
      <c r="O258" s="156"/>
      <c r="P258" s="156"/>
      <c r="Q258" s="156"/>
      <c r="R258" s="156"/>
      <c r="S258" s="156"/>
      <c r="T258" s="156"/>
      <c r="U258" s="51"/>
      <c r="V258" s="374"/>
      <c r="W258" s="374"/>
      <c r="X258" s="143"/>
      <c r="Y258" s="360"/>
      <c r="Z258" s="360"/>
      <c r="AA258" s="65"/>
      <c r="AB258" s="65"/>
    </row>
    <row r="259" spans="1:37" ht="18" x14ac:dyDescent="0.25">
      <c r="A259" s="271"/>
      <c r="B259" s="156"/>
      <c r="C259" s="156"/>
      <c r="D259" s="156"/>
      <c r="E259" s="156"/>
      <c r="F259" s="156"/>
      <c r="G259" s="156"/>
      <c r="H259" s="156"/>
      <c r="I259" s="156"/>
      <c r="J259" s="156"/>
      <c r="K259" s="156"/>
      <c r="L259" s="156"/>
      <c r="M259" s="156"/>
      <c r="N259" s="156"/>
      <c r="O259" s="156"/>
      <c r="P259" s="156"/>
      <c r="Q259" s="156"/>
      <c r="R259" s="156"/>
      <c r="S259" s="156"/>
      <c r="T259" s="156"/>
      <c r="U259" s="51"/>
      <c r="V259" s="374"/>
      <c r="W259" s="374"/>
      <c r="X259" s="143"/>
      <c r="Y259" s="360"/>
      <c r="Z259" s="360"/>
      <c r="AA259" s="65"/>
      <c r="AB259" s="65"/>
    </row>
    <row r="260" spans="1:37" ht="18" x14ac:dyDescent="0.25">
      <c r="A260" s="271"/>
      <c r="B260" s="156"/>
      <c r="C260" s="156"/>
      <c r="D260" s="156"/>
      <c r="E260" s="156"/>
      <c r="F260" s="156"/>
      <c r="G260" s="156"/>
      <c r="H260" s="156"/>
      <c r="I260" s="156"/>
      <c r="J260" s="156"/>
      <c r="K260" s="156"/>
      <c r="L260" s="156"/>
      <c r="M260" s="156"/>
      <c r="N260" s="156"/>
      <c r="O260" s="156"/>
      <c r="P260" s="156"/>
      <c r="Q260" s="156"/>
      <c r="R260" s="156"/>
      <c r="S260" s="156"/>
      <c r="T260" s="156"/>
      <c r="U260" s="51"/>
      <c r="V260" s="374"/>
      <c r="W260" s="374"/>
      <c r="X260" s="143"/>
      <c r="Y260" s="360"/>
      <c r="Z260" s="360"/>
      <c r="AA260" s="65"/>
      <c r="AB260" s="65"/>
    </row>
    <row r="261" spans="1:37" ht="15.75" outlineLevel="1" x14ac:dyDescent="0.2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row>
    <row r="262" spans="1:37" ht="15.75" outlineLevel="1" x14ac:dyDescent="0.2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row>
    <row r="263" spans="1:37" ht="15.75" outlineLevel="1" x14ac:dyDescent="0.2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row>
    <row r="264" spans="1:37" ht="15.75" x14ac:dyDescent="0.2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row>
    <row r="265" spans="1:37" ht="15.75" x14ac:dyDescent="0.2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row>
    <row r="266" spans="1:37" ht="15.75" x14ac:dyDescent="0.2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row>
  </sheetData>
  <mergeCells count="2">
    <mergeCell ref="C7:C8"/>
    <mergeCell ref="O7:O8"/>
  </mergeCells>
  <printOptions horizontalCentered="1" verticalCentered="1"/>
  <pageMargins left="0.25" right="0.25" top="0.5" bottom="0.5" header="0" footer="0"/>
  <pageSetup paperSize="9" scale="6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A937E-D9DA-4C64-8ECA-F482E8DF5042}">
  <sheetPr>
    <pageSetUpPr fitToPage="1"/>
  </sheetPr>
  <dimension ref="A1:AM687"/>
  <sheetViews>
    <sheetView view="pageBreakPreview" topLeftCell="K51" zoomScale="85" zoomScaleNormal="95" zoomScaleSheetLayoutView="85" workbookViewId="0">
      <selection activeCell="N246" sqref="N246:N250"/>
    </sheetView>
  </sheetViews>
  <sheetFormatPr baseColWidth="10" defaultColWidth="8.77734375" defaultRowHeight="12.75" outlineLevelRow="1" x14ac:dyDescent="0.2"/>
  <cols>
    <col min="1" max="1" width="3" style="596" customWidth="1"/>
    <col min="2" max="2" width="16.109375" style="596" customWidth="1"/>
    <col min="3" max="3" width="7.77734375" style="596" customWidth="1"/>
    <col min="4" max="4" width="8.109375" style="596" customWidth="1"/>
    <col min="5" max="5" width="8.77734375" style="596" customWidth="1"/>
    <col min="6" max="6" width="8.44140625" style="596" customWidth="1"/>
    <col min="7" max="8" width="11.77734375" style="677" customWidth="1"/>
    <col min="9" max="9" width="12.109375" style="677" customWidth="1"/>
    <col min="10" max="10" width="10.77734375" style="677" customWidth="1"/>
    <col min="11" max="11" width="9.5546875" style="677" customWidth="1"/>
    <col min="12" max="12" width="11.21875" style="596" customWidth="1"/>
    <col min="13" max="13" width="7" style="596" customWidth="1"/>
    <col min="14" max="15" width="13.109375" style="596" customWidth="1"/>
    <col min="16" max="16" width="13.77734375" style="596" customWidth="1"/>
    <col min="17" max="17" width="11.5546875" style="596" customWidth="1"/>
    <col min="18" max="18" width="5.77734375" style="596" customWidth="1"/>
    <col min="19" max="19" width="11.5546875" style="596" customWidth="1"/>
    <col min="20" max="20" width="5.77734375" style="596" customWidth="1"/>
    <col min="21" max="21" width="11.109375" style="596" hidden="1" customWidth="1"/>
    <col min="22" max="23" width="10.77734375" style="596" hidden="1" customWidth="1"/>
    <col min="24" max="24" width="10.5546875" style="596" hidden="1" customWidth="1"/>
    <col min="25" max="25" width="8.77734375" style="596" hidden="1" customWidth="1"/>
    <col min="26" max="26" width="9.5546875" style="596" hidden="1" customWidth="1"/>
    <col min="27" max="34" width="8.77734375" style="596" hidden="1" customWidth="1"/>
    <col min="35" max="35" width="10.109375" style="596" hidden="1" customWidth="1"/>
    <col min="36" max="36" width="10.77734375" style="596" customWidth="1"/>
    <col min="37" max="38" width="11.109375" style="596" customWidth="1"/>
    <col min="39" max="16384" width="8.77734375" style="596"/>
  </cols>
  <sheetData>
    <row r="1" spans="1:33" ht="12.75" customHeight="1" x14ac:dyDescent="0.2">
      <c r="A1" s="596" t="s">
        <v>332</v>
      </c>
      <c r="C1" s="674"/>
      <c r="D1" s="674"/>
      <c r="E1" s="675">
        <v>45962</v>
      </c>
      <c r="F1" s="676"/>
      <c r="S1" s="596" t="s">
        <v>179</v>
      </c>
      <c r="U1" s="678" t="s">
        <v>60</v>
      </c>
      <c r="V1" s="678"/>
      <c r="W1" s="679">
        <f>DATE(YEAR(E1),MONTH(E1)+1,1)-DATE(YEAR(E1),MONTH(E1),1)</f>
        <v>30</v>
      </c>
    </row>
    <row r="2" spans="1:33" x14ac:dyDescent="0.2">
      <c r="A2" s="674" t="s">
        <v>0</v>
      </c>
    </row>
    <row r="3" spans="1:33" x14ac:dyDescent="0.2">
      <c r="A3" s="680" t="s">
        <v>109</v>
      </c>
      <c r="B3" s="680"/>
      <c r="C3" s="680"/>
      <c r="D3" s="680"/>
      <c r="E3" s="680"/>
      <c r="F3" s="680"/>
      <c r="G3" s="680"/>
      <c r="H3" s="680"/>
      <c r="I3" s="680"/>
      <c r="J3" s="680"/>
      <c r="K3" s="680"/>
      <c r="L3" s="680"/>
      <c r="M3" s="680"/>
      <c r="N3" s="680"/>
      <c r="O3" s="680"/>
      <c r="P3" s="680"/>
      <c r="Q3" s="680"/>
      <c r="R3" s="680"/>
      <c r="S3" s="680"/>
      <c r="T3" s="680"/>
    </row>
    <row r="4" spans="1:33" x14ac:dyDescent="0.2">
      <c r="A4" s="681" t="str">
        <f>"Correspondiente a  "&amp;TEXT(E1,"MMMMMMM YYYY")</f>
        <v>Correspondiente a  Noviembre 2025</v>
      </c>
      <c r="B4" s="681"/>
      <c r="C4" s="681"/>
      <c r="D4" s="681"/>
      <c r="E4" s="681"/>
      <c r="F4" s="681"/>
      <c r="G4" s="681"/>
      <c r="H4" s="681"/>
      <c r="I4" s="681"/>
      <c r="J4" s="681"/>
      <c r="K4" s="681"/>
      <c r="L4" s="681"/>
      <c r="M4" s="681"/>
      <c r="N4" s="681"/>
      <c r="O4" s="681"/>
      <c r="P4" s="681"/>
      <c r="Q4" s="681"/>
      <c r="R4" s="681"/>
      <c r="S4" s="681"/>
      <c r="T4" s="681"/>
    </row>
    <row r="5" spans="1:33" x14ac:dyDescent="0.2">
      <c r="A5" s="681" t="str">
        <f>"Tipo de Cambio= "&amp;TEXT(F1,"0.000")</f>
        <v>Tipo de Cambio= 0.000</v>
      </c>
      <c r="B5" s="681"/>
      <c r="C5" s="681"/>
      <c r="D5" s="681"/>
      <c r="E5" s="681"/>
      <c r="F5" s="681"/>
      <c r="G5" s="681"/>
      <c r="H5" s="681"/>
      <c r="I5" s="681"/>
      <c r="J5" s="681"/>
      <c r="K5" s="681"/>
      <c r="L5" s="681"/>
      <c r="M5" s="681"/>
      <c r="N5" s="681"/>
      <c r="O5" s="681"/>
      <c r="P5" s="681"/>
      <c r="Q5" s="682"/>
      <c r="R5" s="681"/>
      <c r="S5" s="681"/>
      <c r="T5" s="681"/>
      <c r="U5" s="683"/>
      <c r="V5" s="683"/>
    </row>
    <row r="6" spans="1:33" x14ac:dyDescent="0.2">
      <c r="E6" s="683"/>
      <c r="F6" s="683"/>
      <c r="G6" s="684"/>
      <c r="H6" s="685"/>
      <c r="Q6" s="682"/>
      <c r="U6" s="683"/>
      <c r="W6" s="683"/>
    </row>
    <row r="7" spans="1:33" ht="21.75" customHeight="1" x14ac:dyDescent="0.2">
      <c r="A7" s="686" t="s">
        <v>25</v>
      </c>
      <c r="B7" s="687"/>
      <c r="C7" s="1198" t="s">
        <v>33</v>
      </c>
      <c r="D7" s="688" t="s">
        <v>58</v>
      </c>
      <c r="E7" s="689"/>
      <c r="F7" s="690" t="s">
        <v>106</v>
      </c>
      <c r="G7" s="691"/>
      <c r="H7" s="692"/>
      <c r="I7" s="690" t="s">
        <v>38</v>
      </c>
      <c r="J7" s="692"/>
      <c r="K7" s="690" t="s">
        <v>41</v>
      </c>
      <c r="L7" s="691"/>
      <c r="M7" s="691"/>
      <c r="N7" s="692"/>
      <c r="O7" s="1198" t="s">
        <v>96</v>
      </c>
      <c r="P7" s="690" t="s">
        <v>50</v>
      </c>
      <c r="Q7" s="691"/>
      <c r="R7" s="691"/>
      <c r="S7" s="691"/>
      <c r="T7" s="692"/>
      <c r="U7" s="693" t="s">
        <v>223</v>
      </c>
      <c r="V7" s="694"/>
      <c r="W7" s="694"/>
      <c r="X7" s="694"/>
      <c r="Y7" s="694"/>
      <c r="Z7" s="695"/>
      <c r="AA7" s="696" t="s">
        <v>224</v>
      </c>
      <c r="AB7" s="697"/>
      <c r="AC7" s="697"/>
      <c r="AD7" s="697"/>
      <c r="AE7" s="697"/>
      <c r="AF7" s="698"/>
      <c r="AG7" s="699" t="s">
        <v>63</v>
      </c>
    </row>
    <row r="8" spans="1:33" ht="14.25" customHeight="1" x14ac:dyDescent="0.2">
      <c r="A8" s="700" t="s">
        <v>26</v>
      </c>
      <c r="B8" s="701"/>
      <c r="C8" s="1199"/>
      <c r="D8" s="702" t="s">
        <v>19</v>
      </c>
      <c r="E8" s="703" t="s">
        <v>59</v>
      </c>
      <c r="F8" s="702" t="s">
        <v>27</v>
      </c>
      <c r="G8" s="704" t="s">
        <v>35</v>
      </c>
      <c r="H8" s="705" t="s">
        <v>36</v>
      </c>
      <c r="I8" s="705" t="s">
        <v>35</v>
      </c>
      <c r="J8" s="704" t="s">
        <v>36</v>
      </c>
      <c r="K8" s="704" t="s">
        <v>39</v>
      </c>
      <c r="L8" s="704" t="s">
        <v>40</v>
      </c>
      <c r="M8" s="704" t="s">
        <v>42</v>
      </c>
      <c r="N8" s="704" t="s">
        <v>2</v>
      </c>
      <c r="O8" s="1199"/>
      <c r="P8" s="699" t="s">
        <v>1</v>
      </c>
      <c r="Q8" s="690" t="s">
        <v>45</v>
      </c>
      <c r="R8" s="692"/>
      <c r="S8" s="690" t="s">
        <v>46</v>
      </c>
      <c r="T8" s="692"/>
      <c r="U8" s="698" t="s">
        <v>64</v>
      </c>
      <c r="V8" s="694"/>
      <c r="W8" s="695"/>
      <c r="X8" s="706" t="s">
        <v>65</v>
      </c>
      <c r="Y8" s="698" t="s">
        <v>66</v>
      </c>
      <c r="Z8" s="695"/>
      <c r="AA8" s="698" t="s">
        <v>64</v>
      </c>
      <c r="AB8" s="694"/>
      <c r="AC8" s="695"/>
      <c r="AD8" s="704" t="s">
        <v>65</v>
      </c>
      <c r="AE8" s="697" t="s">
        <v>66</v>
      </c>
      <c r="AF8" s="698"/>
      <c r="AG8" s="707" t="s">
        <v>1</v>
      </c>
    </row>
    <row r="9" spans="1:33" x14ac:dyDescent="0.2">
      <c r="A9" s="708" t="s">
        <v>23</v>
      </c>
      <c r="B9" s="709"/>
      <c r="C9" s="710"/>
      <c r="D9" s="711"/>
      <c r="E9" s="711"/>
      <c r="F9" s="708"/>
      <c r="G9" s="712"/>
      <c r="H9" s="713"/>
      <c r="I9" s="714"/>
      <c r="J9" s="712"/>
      <c r="K9" s="712"/>
      <c r="L9" s="712"/>
      <c r="M9" s="712"/>
      <c r="N9" s="712"/>
      <c r="O9" s="715"/>
      <c r="P9" s="712"/>
      <c r="Q9" s="716" t="s">
        <v>43</v>
      </c>
      <c r="R9" s="717"/>
      <c r="S9" s="716" t="s">
        <v>44</v>
      </c>
      <c r="T9" s="717"/>
      <c r="U9" s="718" t="s">
        <v>67</v>
      </c>
      <c r="V9" s="718" t="s">
        <v>97</v>
      </c>
      <c r="W9" s="718" t="s">
        <v>68</v>
      </c>
      <c r="X9" s="718" t="s">
        <v>69</v>
      </c>
      <c r="Y9" s="718" t="s">
        <v>69</v>
      </c>
      <c r="Z9" s="718" t="s">
        <v>70</v>
      </c>
      <c r="AA9" s="718" t="s">
        <v>71</v>
      </c>
      <c r="AB9" s="718" t="s">
        <v>97</v>
      </c>
      <c r="AC9" s="718" t="s">
        <v>72</v>
      </c>
      <c r="AD9" s="718" t="s">
        <v>73</v>
      </c>
      <c r="AE9" s="718" t="s">
        <v>73</v>
      </c>
      <c r="AF9" s="719" t="s">
        <v>70</v>
      </c>
      <c r="AG9" s="720" t="s">
        <v>74</v>
      </c>
    </row>
    <row r="10" spans="1:33" x14ac:dyDescent="0.2">
      <c r="A10" s="376" t="s">
        <v>28</v>
      </c>
      <c r="B10" s="24" t="s">
        <v>13</v>
      </c>
      <c r="C10" s="378" t="s">
        <v>29</v>
      </c>
      <c r="D10" s="379" t="s">
        <v>21</v>
      </c>
      <c r="E10" s="378" t="s">
        <v>98</v>
      </c>
      <c r="F10" s="586" t="s">
        <v>37</v>
      </c>
      <c r="G10" s="587">
        <v>5577</v>
      </c>
      <c r="H10" s="1102">
        <f>+H388</f>
        <v>6260</v>
      </c>
      <c r="I10" s="588">
        <v>64.450800000000001</v>
      </c>
      <c r="J10" s="1102">
        <f>+J388</f>
        <v>63.391787539936097</v>
      </c>
      <c r="K10" s="253"/>
      <c r="L10" s="253"/>
      <c r="M10" s="253"/>
      <c r="N10" s="721"/>
      <c r="O10" s="587">
        <f>ROUND(G10*I10,2)+ROUND(H10*J10,2)-K10-L10-M10-N10</f>
        <v>756274.7</v>
      </c>
      <c r="P10" s="253">
        <f>ROUND(18.75%*O10,2)</f>
        <v>141801.51</v>
      </c>
      <c r="Q10" s="253">
        <f>ROUND($O10*R10,2)</f>
        <v>113441.21</v>
      </c>
      <c r="R10" s="590">
        <v>0.15</v>
      </c>
      <c r="S10" s="253">
        <f t="shared" ref="S10:S25" si="0">ROUND($O10*T10,2)</f>
        <v>28360.3</v>
      </c>
      <c r="T10" s="591">
        <v>3.7499999999999999E-2</v>
      </c>
      <c r="U10" s="722">
        <f t="shared" ref="U10:U27" si="1">IF($F10&amp;"/Día"=W$9,SUM($G10:$H10),"")</f>
        <v>11837</v>
      </c>
      <c r="V10" s="722">
        <f>IF(U10&lt;&gt;"",$O10,"")</f>
        <v>756274.7</v>
      </c>
      <c r="W10" s="723">
        <f>IF($F10&amp;"/Día"=W$9,ROUND(U10/$W$1,1),"")</f>
        <v>394.6</v>
      </c>
      <c r="X10" s="724">
        <f t="shared" ref="X10:X27" si="2">IF(U10=0,0,IF($F10&amp;"/Día"=W$9,ROUND(V10/U10,4),""))</f>
        <v>63.890700000000002</v>
      </c>
      <c r="Y10" s="724">
        <f t="shared" ref="Y10:Y27" si="3">IF(U10=0,0,IF($F10&amp;"/Día"=W$9,ROUND(Z10/U10,4),""))</f>
        <v>11.9795</v>
      </c>
      <c r="Z10" s="722">
        <f t="shared" ref="Z10:Z27" si="4">IF(U10&lt;&gt;"",$P10,"")</f>
        <v>141801.51</v>
      </c>
      <c r="AA10" s="722" t="str">
        <f t="shared" ref="AA10:AA27" si="5">IF($F10&amp;"/Día"=AC$9,SUM($G10:$H10),"")</f>
        <v/>
      </c>
      <c r="AB10" s="722" t="str">
        <f>IF(AA10&lt;&gt;"",$O10,"")</f>
        <v/>
      </c>
      <c r="AC10" s="723" t="str">
        <f>IF($F10&amp;"/Día"=AC$9,ROUND(AA10/$W$1,1),"")</f>
        <v/>
      </c>
      <c r="AD10" s="724" t="str">
        <f t="shared" ref="AD10:AD27" si="6">IF(AA10=0,0,IF($F10&amp;"/Día"=AC$9,ROUND(AB10/AA10,4),""))</f>
        <v/>
      </c>
      <c r="AE10" s="724" t="str">
        <f t="shared" ref="AE10:AE27" si="7">IF(AA10=0,0,IF($F10&amp;"/Día"=AC$9,ROUND(AF10/AA10,4),""))</f>
        <v/>
      </c>
      <c r="AF10" s="722" t="str">
        <f t="shared" ref="AF10:AF27" si="8">IF(AA10&lt;&gt;"",$P10,"")</f>
        <v/>
      </c>
      <c r="AG10" s="725"/>
    </row>
    <row r="11" spans="1:33" ht="12.75" customHeight="1" x14ac:dyDescent="0.2">
      <c r="A11" s="376" t="s">
        <v>28</v>
      </c>
      <c r="B11" s="24" t="s">
        <v>14</v>
      </c>
      <c r="C11" s="378" t="s">
        <v>29</v>
      </c>
      <c r="D11" s="379" t="s">
        <v>21</v>
      </c>
      <c r="E11" s="378" t="s">
        <v>98</v>
      </c>
      <c r="F11" s="586" t="s">
        <v>56</v>
      </c>
      <c r="G11" s="587">
        <v>41887.743000000002</v>
      </c>
      <c r="H11" s="587">
        <f>+H383</f>
        <v>41625.673900000002</v>
      </c>
      <c r="I11" s="588">
        <v>3</v>
      </c>
      <c r="J11" s="587">
        <f>+J383</f>
        <v>2.9999999591598203</v>
      </c>
      <c r="K11" s="253"/>
      <c r="L11" s="253"/>
      <c r="M11" s="253"/>
      <c r="N11" s="721"/>
      <c r="O11" s="587">
        <f>ROUND(G11*I11,2)+ROUND(H11*J11,2)-K11-L11-M11-N11</f>
        <v>250540.25</v>
      </c>
      <c r="P11" s="253">
        <f t="shared" ref="P11:P26" si="9">ROUND(18.75%*O11,2)</f>
        <v>46976.3</v>
      </c>
      <c r="Q11" s="253">
        <f t="shared" ref="Q11:Q25" si="10">ROUND($O11*R11,2)</f>
        <v>37581.040000000001</v>
      </c>
      <c r="R11" s="590">
        <v>0.15</v>
      </c>
      <c r="S11" s="253">
        <f t="shared" si="0"/>
        <v>9395.26</v>
      </c>
      <c r="T11" s="591">
        <v>3.7499999999999999E-2</v>
      </c>
      <c r="U11" s="592" t="str">
        <f t="shared" si="1"/>
        <v/>
      </c>
      <c r="V11" s="592" t="str">
        <f t="shared" ref="V11:V33" si="11">IF(U11&lt;&gt;"",$O11,"")</f>
        <v/>
      </c>
      <c r="W11" s="593" t="str">
        <f t="shared" ref="W11:W38" si="12">IF($F11&amp;"/Día"=W$9,ROUND(U11/$W$1,1),"")</f>
        <v/>
      </c>
      <c r="X11" s="594" t="str">
        <f t="shared" si="2"/>
        <v/>
      </c>
      <c r="Y11" s="594" t="str">
        <f t="shared" si="3"/>
        <v/>
      </c>
      <c r="Z11" s="592" t="str">
        <f t="shared" si="4"/>
        <v/>
      </c>
      <c r="AA11" s="592">
        <f t="shared" si="5"/>
        <v>83513.416900000011</v>
      </c>
      <c r="AB11" s="592">
        <f t="shared" ref="AB11:AB33" si="13">IF(AA11&lt;&gt;"",$O11,"")</f>
        <v>250540.25</v>
      </c>
      <c r="AC11" s="593">
        <f t="shared" ref="AC11:AC38" si="14">IF($F11&amp;"/Día"=AC$9,ROUND(AA11/$W$1,1),"")</f>
        <v>2783.8</v>
      </c>
      <c r="AD11" s="594">
        <f t="shared" si="6"/>
        <v>3</v>
      </c>
      <c r="AE11" s="594">
        <f t="shared" si="7"/>
        <v>0.5625</v>
      </c>
      <c r="AF11" s="592">
        <f t="shared" si="8"/>
        <v>46976.3</v>
      </c>
      <c r="AG11" s="595"/>
    </row>
    <row r="12" spans="1:33" x14ac:dyDescent="0.2">
      <c r="A12" s="376" t="s">
        <v>28</v>
      </c>
      <c r="B12" s="24" t="s">
        <v>3</v>
      </c>
      <c r="C12" s="378" t="s">
        <v>31</v>
      </c>
      <c r="D12" s="379" t="s">
        <v>30</v>
      </c>
      <c r="E12" s="378" t="s">
        <v>101</v>
      </c>
      <c r="F12" s="586" t="s">
        <v>37</v>
      </c>
      <c r="G12" s="587">
        <v>3567</v>
      </c>
      <c r="H12" s="587">
        <v>3898</v>
      </c>
      <c r="I12" s="615">
        <v>62.619199999999999</v>
      </c>
      <c r="J12" s="615">
        <v>62.052700000000002</v>
      </c>
      <c r="K12" s="253"/>
      <c r="L12" s="253"/>
      <c r="M12" s="253"/>
      <c r="N12" s="721"/>
      <c r="O12" s="587">
        <f>ROUND(G12*I12,2)+ROUND(H12*J12,2)-K12-L12-M12-N12</f>
        <v>465244.11</v>
      </c>
      <c r="P12" s="253">
        <f t="shared" si="9"/>
        <v>87233.27</v>
      </c>
      <c r="Q12" s="253">
        <f>ROUND($O12*R12,2)</f>
        <v>69786.62</v>
      </c>
      <c r="R12" s="590">
        <v>0.15</v>
      </c>
      <c r="S12" s="253">
        <f t="shared" si="0"/>
        <v>17446.650000000001</v>
      </c>
      <c r="T12" s="591">
        <v>3.7499999999999999E-2</v>
      </c>
      <c r="U12" s="592">
        <f>IF($F12&amp;"/Día"=W$9,SUM($G12:$I12),"")</f>
        <v>7527.6192000000001</v>
      </c>
      <c r="V12" s="592">
        <f t="shared" si="11"/>
        <v>465244.11</v>
      </c>
      <c r="W12" s="593">
        <f t="shared" si="12"/>
        <v>250.9</v>
      </c>
      <c r="X12" s="594">
        <f t="shared" si="2"/>
        <v>61.804900000000004</v>
      </c>
      <c r="Y12" s="594">
        <f t="shared" si="3"/>
        <v>11.5884</v>
      </c>
      <c r="Z12" s="592">
        <f t="shared" si="4"/>
        <v>87233.27</v>
      </c>
      <c r="AA12" s="592" t="str">
        <f>IF($F12&amp;"/Día"=AC$9,SUM($G12:$I12),"")</f>
        <v/>
      </c>
      <c r="AB12" s="592" t="str">
        <f t="shared" si="13"/>
        <v/>
      </c>
      <c r="AC12" s="593" t="str">
        <f t="shared" si="14"/>
        <v/>
      </c>
      <c r="AD12" s="594" t="str">
        <f t="shared" si="6"/>
        <v/>
      </c>
      <c r="AE12" s="594" t="str">
        <f t="shared" si="7"/>
        <v/>
      </c>
      <c r="AF12" s="592" t="str">
        <f t="shared" si="8"/>
        <v/>
      </c>
      <c r="AG12" s="595"/>
    </row>
    <row r="13" spans="1:33" x14ac:dyDescent="0.2">
      <c r="A13" s="726" t="s">
        <v>28</v>
      </c>
      <c r="B13" s="245" t="s">
        <v>369</v>
      </c>
      <c r="C13" s="586" t="s">
        <v>29</v>
      </c>
      <c r="D13" s="727" t="s">
        <v>21</v>
      </c>
      <c r="E13" s="586" t="s">
        <v>98</v>
      </c>
      <c r="F13" s="586" t="s">
        <v>56</v>
      </c>
      <c r="G13" s="587">
        <v>24083.477999999999</v>
      </c>
      <c r="H13" s="587">
        <v>23239.878100000002</v>
      </c>
      <c r="I13" s="588">
        <v>2.95</v>
      </c>
      <c r="J13" s="588">
        <v>2.95</v>
      </c>
      <c r="K13" s="253"/>
      <c r="L13" s="253"/>
      <c r="M13" s="253"/>
      <c r="N13" s="721"/>
      <c r="O13" s="587">
        <f>ROUND(G13*I13,2)+ROUND(H13*J13,2)-K13-L13-M13-N13</f>
        <v>139603.9</v>
      </c>
      <c r="P13" s="253">
        <f t="shared" si="9"/>
        <v>26175.73</v>
      </c>
      <c r="Q13" s="253">
        <f>ROUND($O13*R13,2)</f>
        <v>20940.59</v>
      </c>
      <c r="R13" s="590">
        <v>0.15</v>
      </c>
      <c r="S13" s="253">
        <f t="shared" si="0"/>
        <v>5235.1499999999996</v>
      </c>
      <c r="T13" s="591">
        <v>3.7499999999999999E-2</v>
      </c>
      <c r="U13" s="592" t="str">
        <f t="shared" si="1"/>
        <v/>
      </c>
      <c r="V13" s="592" t="str">
        <f t="shared" si="11"/>
        <v/>
      </c>
      <c r="W13" s="593" t="str">
        <f t="shared" si="12"/>
        <v/>
      </c>
      <c r="X13" s="594" t="str">
        <f t="shared" si="2"/>
        <v/>
      </c>
      <c r="Y13" s="594" t="str">
        <f t="shared" si="3"/>
        <v/>
      </c>
      <c r="Z13" s="592" t="str">
        <f t="shared" si="4"/>
        <v/>
      </c>
      <c r="AA13" s="592">
        <f t="shared" si="5"/>
        <v>47323.356100000005</v>
      </c>
      <c r="AB13" s="592">
        <f t="shared" si="13"/>
        <v>139603.9</v>
      </c>
      <c r="AC13" s="593">
        <f t="shared" si="14"/>
        <v>1577.4</v>
      </c>
      <c r="AD13" s="594">
        <f t="shared" si="6"/>
        <v>2.95</v>
      </c>
      <c r="AE13" s="594">
        <f t="shared" si="7"/>
        <v>0.55310000000000004</v>
      </c>
      <c r="AF13" s="592">
        <f t="shared" si="8"/>
        <v>26175.73</v>
      </c>
      <c r="AG13" s="595"/>
    </row>
    <row r="14" spans="1:33" x14ac:dyDescent="0.2">
      <c r="A14" s="376" t="s">
        <v>28</v>
      </c>
      <c r="B14" s="24" t="s">
        <v>4</v>
      </c>
      <c r="C14" s="378" t="s">
        <v>31</v>
      </c>
      <c r="D14" s="379" t="s">
        <v>30</v>
      </c>
      <c r="E14" s="378" t="s">
        <v>101</v>
      </c>
      <c r="F14" s="586" t="s">
        <v>37</v>
      </c>
      <c r="G14" s="587">
        <v>41461</v>
      </c>
      <c r="H14" s="587">
        <v>39804</v>
      </c>
      <c r="I14" s="588">
        <v>64.450800000000001</v>
      </c>
      <c r="J14" s="588">
        <v>63.482700000000001</v>
      </c>
      <c r="K14" s="253"/>
      <c r="L14" s="253"/>
      <c r="M14" s="253"/>
      <c r="N14" s="721"/>
      <c r="O14" s="587">
        <f t="shared" ref="O14:O25" si="15">ROUND(G14*I14,2)+ROUND(H14*J14,2)-K14-L14-M14-N14</f>
        <v>5199060.01</v>
      </c>
      <c r="P14" s="253">
        <f t="shared" si="9"/>
        <v>974823.75</v>
      </c>
      <c r="Q14" s="253">
        <f t="shared" si="10"/>
        <v>779859</v>
      </c>
      <c r="R14" s="590">
        <v>0.15</v>
      </c>
      <c r="S14" s="253">
        <f t="shared" si="0"/>
        <v>194964.75</v>
      </c>
      <c r="T14" s="591">
        <v>3.7499999999999999E-2</v>
      </c>
      <c r="U14" s="592">
        <f t="shared" si="1"/>
        <v>81265</v>
      </c>
      <c r="V14" s="592">
        <f t="shared" si="11"/>
        <v>5199060.01</v>
      </c>
      <c r="W14" s="593">
        <f t="shared" si="12"/>
        <v>2708.8</v>
      </c>
      <c r="X14" s="594">
        <f t="shared" si="2"/>
        <v>63.976599999999998</v>
      </c>
      <c r="Y14" s="594">
        <f t="shared" si="3"/>
        <v>11.9956</v>
      </c>
      <c r="Z14" s="592">
        <f t="shared" si="4"/>
        <v>974823.75</v>
      </c>
      <c r="AA14" s="592" t="str">
        <f t="shared" si="5"/>
        <v/>
      </c>
      <c r="AB14" s="592" t="str">
        <f t="shared" si="13"/>
        <v/>
      </c>
      <c r="AC14" s="593" t="str">
        <f t="shared" si="14"/>
        <v/>
      </c>
      <c r="AD14" s="594" t="str">
        <f t="shared" si="6"/>
        <v/>
      </c>
      <c r="AE14" s="594" t="str">
        <f t="shared" si="7"/>
        <v/>
      </c>
      <c r="AF14" s="592" t="str">
        <f t="shared" si="8"/>
        <v/>
      </c>
      <c r="AG14" s="595"/>
    </row>
    <row r="15" spans="1:33" x14ac:dyDescent="0.2">
      <c r="A15" s="376" t="s">
        <v>28</v>
      </c>
      <c r="B15" s="377" t="s">
        <v>370</v>
      </c>
      <c r="C15" s="586" t="s">
        <v>29</v>
      </c>
      <c r="D15" s="727" t="s">
        <v>21</v>
      </c>
      <c r="E15" s="586" t="s">
        <v>98</v>
      </c>
      <c r="F15" s="586" t="s">
        <v>56</v>
      </c>
      <c r="G15" s="587">
        <v>96341.180999999997</v>
      </c>
      <c r="H15" s="587">
        <v>97526.111199999999</v>
      </c>
      <c r="I15" s="588">
        <v>2.9306999999999999</v>
      </c>
      <c r="J15" s="588">
        <v>2.9306999999999999</v>
      </c>
      <c r="K15" s="253"/>
      <c r="L15" s="253"/>
      <c r="M15" s="253"/>
      <c r="N15" s="253"/>
      <c r="O15" s="589">
        <f t="shared" si="15"/>
        <v>568166.87</v>
      </c>
      <c r="P15" s="253">
        <f t="shared" si="9"/>
        <v>106531.29</v>
      </c>
      <c r="Q15" s="253">
        <f t="shared" si="10"/>
        <v>85225.03</v>
      </c>
      <c r="R15" s="590">
        <v>0.15</v>
      </c>
      <c r="S15" s="253">
        <f t="shared" si="0"/>
        <v>21306.26</v>
      </c>
      <c r="T15" s="591">
        <v>3.7499999999999999E-2</v>
      </c>
      <c r="U15" s="592" t="str">
        <f t="shared" si="1"/>
        <v/>
      </c>
      <c r="V15" s="592" t="str">
        <f t="shared" si="11"/>
        <v/>
      </c>
      <c r="W15" s="593" t="str">
        <f t="shared" si="12"/>
        <v/>
      </c>
      <c r="X15" s="594" t="str">
        <f t="shared" si="2"/>
        <v/>
      </c>
      <c r="Y15" s="594" t="str">
        <f t="shared" si="3"/>
        <v/>
      </c>
      <c r="Z15" s="592" t="str">
        <f t="shared" si="4"/>
        <v/>
      </c>
      <c r="AA15" s="592">
        <f t="shared" si="5"/>
        <v>193867.2922</v>
      </c>
      <c r="AB15" s="592">
        <f t="shared" si="13"/>
        <v>568166.87</v>
      </c>
      <c r="AC15" s="593">
        <f t="shared" si="14"/>
        <v>6462.2</v>
      </c>
      <c r="AD15" s="594">
        <f t="shared" si="6"/>
        <v>2.9306999999999999</v>
      </c>
      <c r="AE15" s="594">
        <f t="shared" si="7"/>
        <v>0.54949999999999999</v>
      </c>
      <c r="AF15" s="592">
        <f t="shared" si="8"/>
        <v>106531.29</v>
      </c>
      <c r="AG15" s="595"/>
    </row>
    <row r="16" spans="1:33" x14ac:dyDescent="0.2">
      <c r="A16" s="376" t="s">
        <v>28</v>
      </c>
      <c r="B16" s="24" t="s">
        <v>5</v>
      </c>
      <c r="C16" s="378" t="s">
        <v>31</v>
      </c>
      <c r="D16" s="379" t="s">
        <v>30</v>
      </c>
      <c r="E16" s="378" t="s">
        <v>101</v>
      </c>
      <c r="F16" s="586" t="s">
        <v>37</v>
      </c>
      <c r="G16" s="587">
        <v>48455</v>
      </c>
      <c r="H16" s="587">
        <v>50034</v>
      </c>
      <c r="I16" s="588">
        <v>64.450800000000001</v>
      </c>
      <c r="J16" s="588">
        <v>63.482700000000001</v>
      </c>
      <c r="K16" s="253"/>
      <c r="L16" s="253"/>
      <c r="M16" s="253"/>
      <c r="N16" s="721"/>
      <c r="O16" s="584">
        <f t="shared" si="15"/>
        <v>6299256.9199999999</v>
      </c>
      <c r="P16" s="253">
        <f t="shared" si="9"/>
        <v>1181110.67</v>
      </c>
      <c r="Q16" s="253">
        <f t="shared" si="10"/>
        <v>944888.54</v>
      </c>
      <c r="R16" s="590">
        <v>0.15</v>
      </c>
      <c r="S16" s="253">
        <f t="shared" si="0"/>
        <v>236222.13</v>
      </c>
      <c r="T16" s="591">
        <v>3.7499999999999999E-2</v>
      </c>
      <c r="U16" s="592">
        <f t="shared" si="1"/>
        <v>98489</v>
      </c>
      <c r="V16" s="592">
        <f t="shared" si="11"/>
        <v>6299256.9199999999</v>
      </c>
      <c r="W16" s="593">
        <f t="shared" si="12"/>
        <v>3283</v>
      </c>
      <c r="X16" s="594">
        <f t="shared" si="2"/>
        <v>63.959000000000003</v>
      </c>
      <c r="Y16" s="594">
        <f t="shared" si="3"/>
        <v>11.9923</v>
      </c>
      <c r="Z16" s="592">
        <f t="shared" si="4"/>
        <v>1181110.67</v>
      </c>
      <c r="AA16" s="592" t="str">
        <f t="shared" si="5"/>
        <v/>
      </c>
      <c r="AB16" s="592" t="str">
        <f t="shared" si="13"/>
        <v/>
      </c>
      <c r="AC16" s="593" t="str">
        <f t="shared" si="14"/>
        <v/>
      </c>
      <c r="AD16" s="594" t="str">
        <f t="shared" si="6"/>
        <v/>
      </c>
      <c r="AE16" s="594" t="str">
        <f t="shared" si="7"/>
        <v/>
      </c>
      <c r="AF16" s="592" t="str">
        <f t="shared" si="8"/>
        <v/>
      </c>
      <c r="AG16" s="595"/>
    </row>
    <row r="17" spans="1:36" x14ac:dyDescent="0.2">
      <c r="A17" s="376" t="s">
        <v>28</v>
      </c>
      <c r="B17" s="24" t="s">
        <v>371</v>
      </c>
      <c r="C17" s="378" t="s">
        <v>31</v>
      </c>
      <c r="D17" s="379" t="s">
        <v>30</v>
      </c>
      <c r="E17" s="378" t="s">
        <v>101</v>
      </c>
      <c r="F17" s="586" t="s">
        <v>37</v>
      </c>
      <c r="G17" s="587">
        <v>68601.657800000001</v>
      </c>
      <c r="H17" s="587">
        <v>64608.399899999997</v>
      </c>
      <c r="I17" s="588">
        <v>2.8281999999999998</v>
      </c>
      <c r="J17" s="588">
        <v>2.8281999999999998</v>
      </c>
      <c r="K17" s="253"/>
      <c r="L17" s="253"/>
      <c r="M17" s="253"/>
      <c r="N17" s="721"/>
      <c r="O17" s="587">
        <f t="shared" si="15"/>
        <v>376744.69</v>
      </c>
      <c r="P17" s="253">
        <f t="shared" si="9"/>
        <v>70639.63</v>
      </c>
      <c r="Q17" s="253">
        <f t="shared" si="10"/>
        <v>56511.7</v>
      </c>
      <c r="R17" s="590">
        <v>0.15</v>
      </c>
      <c r="S17" s="253">
        <f t="shared" si="0"/>
        <v>14127.93</v>
      </c>
      <c r="T17" s="591">
        <v>3.7499999999999999E-2</v>
      </c>
      <c r="U17" s="592">
        <f t="shared" si="1"/>
        <v>133210.0577</v>
      </c>
      <c r="V17" s="592">
        <f t="shared" si="11"/>
        <v>376744.69</v>
      </c>
      <c r="W17" s="593">
        <f t="shared" si="12"/>
        <v>4440.3</v>
      </c>
      <c r="X17" s="594">
        <f t="shared" si="2"/>
        <v>2.8281999999999998</v>
      </c>
      <c r="Y17" s="594">
        <f t="shared" si="3"/>
        <v>0.53029999999999999</v>
      </c>
      <c r="Z17" s="592">
        <f t="shared" si="4"/>
        <v>70639.63</v>
      </c>
      <c r="AA17" s="592" t="str">
        <f t="shared" si="5"/>
        <v/>
      </c>
      <c r="AB17" s="592" t="str">
        <f t="shared" si="13"/>
        <v/>
      </c>
      <c r="AC17" s="593" t="str">
        <f t="shared" si="14"/>
        <v/>
      </c>
      <c r="AD17" s="594" t="str">
        <f t="shared" si="6"/>
        <v/>
      </c>
      <c r="AE17" s="594" t="str">
        <f t="shared" si="7"/>
        <v/>
      </c>
      <c r="AF17" s="592" t="str">
        <f t="shared" si="8"/>
        <v/>
      </c>
      <c r="AG17" s="595"/>
    </row>
    <row r="18" spans="1:36" x14ac:dyDescent="0.2">
      <c r="A18" s="376" t="s">
        <v>28</v>
      </c>
      <c r="B18" s="24" t="s">
        <v>17</v>
      </c>
      <c r="C18" s="378" t="s">
        <v>29</v>
      </c>
      <c r="D18" s="379" t="s">
        <v>21</v>
      </c>
      <c r="E18" s="378" t="s">
        <v>98</v>
      </c>
      <c r="F18" s="586" t="s">
        <v>37</v>
      </c>
      <c r="G18" s="587">
        <v>2213</v>
      </c>
      <c r="H18" s="587">
        <v>2181</v>
      </c>
      <c r="I18" s="588">
        <v>62.698999999999998</v>
      </c>
      <c r="J18" s="588">
        <v>62.076099999999997</v>
      </c>
      <c r="K18" s="253"/>
      <c r="L18" s="253"/>
      <c r="M18" s="253"/>
      <c r="N18" s="721"/>
      <c r="O18" s="589">
        <f t="shared" si="15"/>
        <v>274140.86</v>
      </c>
      <c r="P18" s="253">
        <f t="shared" si="9"/>
        <v>51401.41</v>
      </c>
      <c r="Q18" s="253">
        <f t="shared" si="10"/>
        <v>41121.129999999997</v>
      </c>
      <c r="R18" s="590">
        <v>0.15</v>
      </c>
      <c r="S18" s="253">
        <f t="shared" si="0"/>
        <v>10280.280000000001</v>
      </c>
      <c r="T18" s="591">
        <v>3.7499999999999999E-2</v>
      </c>
      <c r="U18" s="592">
        <f t="shared" si="1"/>
        <v>4394</v>
      </c>
      <c r="V18" s="592">
        <f t="shared" si="11"/>
        <v>274140.86</v>
      </c>
      <c r="W18" s="593">
        <f t="shared" si="12"/>
        <v>146.5</v>
      </c>
      <c r="X18" s="594">
        <f t="shared" si="2"/>
        <v>62.389800000000001</v>
      </c>
      <c r="Y18" s="594">
        <f t="shared" si="3"/>
        <v>11.6981</v>
      </c>
      <c r="Z18" s="592">
        <f t="shared" si="4"/>
        <v>51401.41</v>
      </c>
      <c r="AA18" s="592" t="str">
        <f t="shared" si="5"/>
        <v/>
      </c>
      <c r="AB18" s="592" t="str">
        <f t="shared" si="13"/>
        <v/>
      </c>
      <c r="AC18" s="593" t="str">
        <f t="shared" si="14"/>
        <v/>
      </c>
      <c r="AD18" s="594" t="str">
        <f t="shared" si="6"/>
        <v/>
      </c>
      <c r="AE18" s="594" t="str">
        <f t="shared" si="7"/>
        <v/>
      </c>
      <c r="AF18" s="592" t="str">
        <f t="shared" si="8"/>
        <v/>
      </c>
      <c r="AG18" s="595"/>
    </row>
    <row r="19" spans="1:36" x14ac:dyDescent="0.2">
      <c r="A19" s="376" t="s">
        <v>28</v>
      </c>
      <c r="B19" s="377" t="s">
        <v>237</v>
      </c>
      <c r="C19" s="378" t="s">
        <v>31</v>
      </c>
      <c r="D19" s="379" t="s">
        <v>30</v>
      </c>
      <c r="E19" s="378" t="s">
        <v>98</v>
      </c>
      <c r="F19" s="586" t="s">
        <v>37</v>
      </c>
      <c r="G19" s="587"/>
      <c r="H19" s="587"/>
      <c r="I19" s="728"/>
      <c r="J19" s="588"/>
      <c r="K19" s="253"/>
      <c r="L19" s="253"/>
      <c r="M19" s="253"/>
      <c r="N19" s="721"/>
      <c r="O19" s="589">
        <f t="shared" si="15"/>
        <v>0</v>
      </c>
      <c r="P19" s="253">
        <f t="shared" si="9"/>
        <v>0</v>
      </c>
      <c r="Q19" s="253">
        <f t="shared" si="10"/>
        <v>0</v>
      </c>
      <c r="R19" s="590">
        <v>0.15</v>
      </c>
      <c r="S19" s="253">
        <f t="shared" si="0"/>
        <v>0</v>
      </c>
      <c r="T19" s="591">
        <v>3.7499999999999999E-2</v>
      </c>
      <c r="U19" s="592">
        <f t="shared" si="1"/>
        <v>0</v>
      </c>
      <c r="V19" s="592">
        <f t="shared" si="11"/>
        <v>0</v>
      </c>
      <c r="W19" s="593">
        <f t="shared" si="12"/>
        <v>0</v>
      </c>
      <c r="X19" s="594">
        <f t="shared" si="2"/>
        <v>0</v>
      </c>
      <c r="Y19" s="594">
        <f t="shared" si="3"/>
        <v>0</v>
      </c>
      <c r="Z19" s="592">
        <f t="shared" si="4"/>
        <v>0</v>
      </c>
      <c r="AA19" s="592" t="str">
        <f t="shared" si="5"/>
        <v/>
      </c>
      <c r="AB19" s="592" t="str">
        <f t="shared" si="13"/>
        <v/>
      </c>
      <c r="AC19" s="593" t="str">
        <f t="shared" si="14"/>
        <v/>
      </c>
      <c r="AD19" s="594" t="str">
        <f t="shared" si="6"/>
        <v/>
      </c>
      <c r="AE19" s="594" t="str">
        <f t="shared" si="7"/>
        <v/>
      </c>
      <c r="AF19" s="592" t="str">
        <f t="shared" si="8"/>
        <v/>
      </c>
      <c r="AG19" s="595"/>
    </row>
    <row r="20" spans="1:36" x14ac:dyDescent="0.2">
      <c r="A20" s="376" t="s">
        <v>28</v>
      </c>
      <c r="B20" s="377" t="s">
        <v>239</v>
      </c>
      <c r="C20" s="378" t="s">
        <v>31</v>
      </c>
      <c r="D20" s="379" t="s">
        <v>30</v>
      </c>
      <c r="E20" s="378" t="s">
        <v>98</v>
      </c>
      <c r="F20" s="586" t="s">
        <v>56</v>
      </c>
      <c r="G20" s="587"/>
      <c r="H20" s="587"/>
      <c r="I20" s="728"/>
      <c r="J20" s="588"/>
      <c r="K20" s="253"/>
      <c r="L20" s="253"/>
      <c r="M20" s="253"/>
      <c r="N20" s="721"/>
      <c r="O20" s="589">
        <f t="shared" si="15"/>
        <v>0</v>
      </c>
      <c r="P20" s="253">
        <f t="shared" si="9"/>
        <v>0</v>
      </c>
      <c r="Q20" s="253">
        <f t="shared" si="10"/>
        <v>0</v>
      </c>
      <c r="R20" s="590">
        <v>0.15</v>
      </c>
      <c r="S20" s="253">
        <f t="shared" si="0"/>
        <v>0</v>
      </c>
      <c r="T20" s="591">
        <v>3.7499999999999999E-2</v>
      </c>
      <c r="U20" s="592" t="str">
        <f t="shared" si="1"/>
        <v/>
      </c>
      <c r="V20" s="592" t="str">
        <f t="shared" si="11"/>
        <v/>
      </c>
      <c r="W20" s="593" t="str">
        <f t="shared" si="12"/>
        <v/>
      </c>
      <c r="X20" s="594" t="str">
        <f t="shared" si="2"/>
        <v/>
      </c>
      <c r="Y20" s="594" t="str">
        <f t="shared" si="3"/>
        <v/>
      </c>
      <c r="Z20" s="592" t="str">
        <f t="shared" si="4"/>
        <v/>
      </c>
      <c r="AA20" s="592">
        <f t="shared" si="5"/>
        <v>0</v>
      </c>
      <c r="AB20" s="592">
        <f t="shared" si="13"/>
        <v>0</v>
      </c>
      <c r="AC20" s="593">
        <f t="shared" si="14"/>
        <v>0</v>
      </c>
      <c r="AD20" s="594">
        <f t="shared" si="6"/>
        <v>0</v>
      </c>
      <c r="AE20" s="594">
        <f t="shared" si="7"/>
        <v>0</v>
      </c>
      <c r="AF20" s="592">
        <f t="shared" si="8"/>
        <v>0</v>
      </c>
      <c r="AG20" s="595"/>
    </row>
    <row r="21" spans="1:36" x14ac:dyDescent="0.2">
      <c r="A21" s="376" t="s">
        <v>28</v>
      </c>
      <c r="B21" s="377" t="s">
        <v>238</v>
      </c>
      <c r="C21" s="378" t="s">
        <v>31</v>
      </c>
      <c r="D21" s="379" t="s">
        <v>30</v>
      </c>
      <c r="E21" s="378" t="s">
        <v>98</v>
      </c>
      <c r="F21" s="586" t="s">
        <v>37</v>
      </c>
      <c r="G21" s="587">
        <v>16378</v>
      </c>
      <c r="H21" s="728">
        <v>16655</v>
      </c>
      <c r="I21" s="728">
        <v>62.698999999999998</v>
      </c>
      <c r="J21" s="588">
        <v>62.076099999999997</v>
      </c>
      <c r="K21" s="253"/>
      <c r="L21" s="253"/>
      <c r="M21" s="253"/>
      <c r="N21" s="721"/>
      <c r="O21" s="589">
        <f t="shared" si="15"/>
        <v>2060761.67</v>
      </c>
      <c r="P21" s="253">
        <f t="shared" si="9"/>
        <v>386392.81</v>
      </c>
      <c r="Q21" s="253">
        <f t="shared" si="10"/>
        <v>309114.25</v>
      </c>
      <c r="R21" s="590">
        <v>0.15</v>
      </c>
      <c r="S21" s="253">
        <f t="shared" si="0"/>
        <v>77278.559999999998</v>
      </c>
      <c r="T21" s="591">
        <v>3.7499999999999999E-2</v>
      </c>
      <c r="U21" s="592">
        <f t="shared" si="1"/>
        <v>33033</v>
      </c>
      <c r="V21" s="592">
        <f t="shared" si="11"/>
        <v>2060761.67</v>
      </c>
      <c r="W21" s="593">
        <f t="shared" si="12"/>
        <v>1101.0999999999999</v>
      </c>
      <c r="X21" s="594">
        <f t="shared" si="2"/>
        <v>62.384900000000002</v>
      </c>
      <c r="Y21" s="594">
        <f t="shared" si="3"/>
        <v>11.6972</v>
      </c>
      <c r="Z21" s="592">
        <f t="shared" si="4"/>
        <v>386392.81</v>
      </c>
      <c r="AA21" s="592" t="str">
        <f t="shared" si="5"/>
        <v/>
      </c>
      <c r="AB21" s="592" t="str">
        <f t="shared" si="13"/>
        <v/>
      </c>
      <c r="AC21" s="593" t="str">
        <f t="shared" si="14"/>
        <v/>
      </c>
      <c r="AD21" s="594" t="str">
        <f t="shared" si="6"/>
        <v/>
      </c>
      <c r="AE21" s="594" t="str">
        <f t="shared" si="7"/>
        <v/>
      </c>
      <c r="AF21" s="592" t="str">
        <f t="shared" si="8"/>
        <v/>
      </c>
      <c r="AG21" s="595"/>
    </row>
    <row r="22" spans="1:36" x14ac:dyDescent="0.2">
      <c r="A22" s="376" t="s">
        <v>28</v>
      </c>
      <c r="B22" s="24" t="s">
        <v>18</v>
      </c>
      <c r="C22" s="378" t="s">
        <v>31</v>
      </c>
      <c r="D22" s="379" t="s">
        <v>30</v>
      </c>
      <c r="E22" s="378" t="s">
        <v>101</v>
      </c>
      <c r="F22" s="586" t="s">
        <v>37</v>
      </c>
      <c r="G22" s="587">
        <v>2439</v>
      </c>
      <c r="H22" s="587">
        <v>4429</v>
      </c>
      <c r="I22" s="588">
        <v>64.450800000000001</v>
      </c>
      <c r="J22" s="588">
        <v>63.482700000000001</v>
      </c>
      <c r="K22" s="253"/>
      <c r="L22" s="253"/>
      <c r="M22" s="253"/>
      <c r="N22" s="721"/>
      <c r="O22" s="589">
        <f t="shared" si="15"/>
        <v>438360.38</v>
      </c>
      <c r="P22" s="253">
        <f t="shared" si="9"/>
        <v>82192.570000000007</v>
      </c>
      <c r="Q22" s="253">
        <f t="shared" si="10"/>
        <v>65754.06</v>
      </c>
      <c r="R22" s="590">
        <v>0.15</v>
      </c>
      <c r="S22" s="253">
        <f t="shared" si="0"/>
        <v>16438.509999999998</v>
      </c>
      <c r="T22" s="591">
        <v>3.7499999999999999E-2</v>
      </c>
      <c r="U22" s="592">
        <f t="shared" si="1"/>
        <v>6868</v>
      </c>
      <c r="V22" s="592">
        <f t="shared" si="11"/>
        <v>438360.38</v>
      </c>
      <c r="W22" s="593">
        <f t="shared" si="12"/>
        <v>228.9</v>
      </c>
      <c r="X22" s="594">
        <f t="shared" si="2"/>
        <v>63.826500000000003</v>
      </c>
      <c r="Y22" s="594">
        <f t="shared" si="3"/>
        <v>11.967499999999999</v>
      </c>
      <c r="Z22" s="592">
        <f t="shared" si="4"/>
        <v>82192.570000000007</v>
      </c>
      <c r="AA22" s="592" t="str">
        <f t="shared" si="5"/>
        <v/>
      </c>
      <c r="AB22" s="592" t="str">
        <f t="shared" si="13"/>
        <v/>
      </c>
      <c r="AC22" s="593" t="str">
        <f t="shared" si="14"/>
        <v/>
      </c>
      <c r="AD22" s="594" t="str">
        <f t="shared" si="6"/>
        <v/>
      </c>
      <c r="AE22" s="594" t="str">
        <f t="shared" si="7"/>
        <v/>
      </c>
      <c r="AF22" s="592" t="str">
        <f t="shared" si="8"/>
        <v/>
      </c>
      <c r="AG22" s="595"/>
    </row>
    <row r="23" spans="1:36" x14ac:dyDescent="0.2">
      <c r="A23" s="376" t="s">
        <v>28</v>
      </c>
      <c r="B23" s="24" t="s">
        <v>20</v>
      </c>
      <c r="C23" s="378" t="s">
        <v>31</v>
      </c>
      <c r="D23" s="379" t="s">
        <v>30</v>
      </c>
      <c r="E23" s="378" t="s">
        <v>101</v>
      </c>
      <c r="F23" s="586" t="s">
        <v>37</v>
      </c>
      <c r="G23" s="587">
        <v>124195</v>
      </c>
      <c r="H23" s="587">
        <v>124259</v>
      </c>
      <c r="I23" s="588">
        <v>64.803799999999995</v>
      </c>
      <c r="J23" s="588">
        <v>64.358699999999999</v>
      </c>
      <c r="K23" s="253"/>
      <c r="L23" s="253"/>
      <c r="M23" s="253"/>
      <c r="N23" s="721"/>
      <c r="O23" s="589">
        <f t="shared" si="15"/>
        <v>16045455.640000001</v>
      </c>
      <c r="P23" s="253">
        <f t="shared" si="9"/>
        <v>3008522.93</v>
      </c>
      <c r="Q23" s="253">
        <f t="shared" si="10"/>
        <v>2406818.35</v>
      </c>
      <c r="R23" s="590">
        <v>0.15</v>
      </c>
      <c r="S23" s="253">
        <f t="shared" si="0"/>
        <v>601704.59</v>
      </c>
      <c r="T23" s="591">
        <v>3.7499999999999999E-2</v>
      </c>
      <c r="U23" s="592">
        <f t="shared" si="1"/>
        <v>248454</v>
      </c>
      <c r="V23" s="592">
        <f t="shared" si="11"/>
        <v>16045455.640000001</v>
      </c>
      <c r="W23" s="593">
        <f t="shared" si="12"/>
        <v>8281.7999999999993</v>
      </c>
      <c r="X23" s="594">
        <f t="shared" si="2"/>
        <v>64.581199999999995</v>
      </c>
      <c r="Y23" s="594">
        <f t="shared" si="3"/>
        <v>12.109</v>
      </c>
      <c r="Z23" s="592">
        <f t="shared" si="4"/>
        <v>3008522.93</v>
      </c>
      <c r="AA23" s="592" t="str">
        <f t="shared" si="5"/>
        <v/>
      </c>
      <c r="AB23" s="592" t="str">
        <f t="shared" si="13"/>
        <v/>
      </c>
      <c r="AC23" s="593" t="str">
        <f t="shared" si="14"/>
        <v/>
      </c>
      <c r="AD23" s="594" t="str">
        <f t="shared" si="6"/>
        <v/>
      </c>
      <c r="AE23" s="594" t="str">
        <f t="shared" si="7"/>
        <v/>
      </c>
      <c r="AF23" s="592" t="str">
        <f t="shared" si="8"/>
        <v/>
      </c>
      <c r="AG23" s="595"/>
    </row>
    <row r="24" spans="1:36" x14ac:dyDescent="0.2">
      <c r="A24" s="376" t="s">
        <v>28</v>
      </c>
      <c r="B24" s="24" t="s">
        <v>372</v>
      </c>
      <c r="C24" s="378" t="s">
        <v>31</v>
      </c>
      <c r="D24" s="379" t="s">
        <v>21</v>
      </c>
      <c r="E24" s="378" t="s">
        <v>101</v>
      </c>
      <c r="F24" s="586" t="s">
        <v>56</v>
      </c>
      <c r="G24" s="587">
        <v>214706.57</v>
      </c>
      <c r="H24" s="587">
        <v>198768.69</v>
      </c>
      <c r="I24" s="588">
        <v>3.1</v>
      </c>
      <c r="J24" s="588">
        <v>2.9563999999999999</v>
      </c>
      <c r="K24" s="253"/>
      <c r="L24" s="253"/>
      <c r="M24" s="253"/>
      <c r="N24" s="721"/>
      <c r="O24" s="589">
        <f t="shared" si="15"/>
        <v>1253230.1299999999</v>
      </c>
      <c r="P24" s="253">
        <f t="shared" si="9"/>
        <v>234980.65</v>
      </c>
      <c r="Q24" s="253">
        <f t="shared" si="10"/>
        <v>187984.52</v>
      </c>
      <c r="R24" s="590">
        <v>0.15</v>
      </c>
      <c r="S24" s="253">
        <f t="shared" si="0"/>
        <v>46996.13</v>
      </c>
      <c r="T24" s="591">
        <v>3.7499999999999999E-2</v>
      </c>
      <c r="U24" s="592" t="str">
        <f t="shared" si="1"/>
        <v/>
      </c>
      <c r="V24" s="592" t="str">
        <f t="shared" si="11"/>
        <v/>
      </c>
      <c r="W24" s="593" t="str">
        <f t="shared" si="12"/>
        <v/>
      </c>
      <c r="X24" s="594" t="str">
        <f t="shared" si="2"/>
        <v/>
      </c>
      <c r="Y24" s="594" t="str">
        <f t="shared" si="3"/>
        <v/>
      </c>
      <c r="Z24" s="592" t="str">
        <f t="shared" si="4"/>
        <v/>
      </c>
      <c r="AA24" s="592">
        <f t="shared" si="5"/>
        <v>413475.26</v>
      </c>
      <c r="AB24" s="592">
        <f t="shared" si="13"/>
        <v>1253230.1299999999</v>
      </c>
      <c r="AC24" s="593">
        <f t="shared" si="14"/>
        <v>13782.5</v>
      </c>
      <c r="AD24" s="594">
        <f t="shared" si="6"/>
        <v>3.0310000000000001</v>
      </c>
      <c r="AE24" s="594">
        <f t="shared" si="7"/>
        <v>0.56830000000000003</v>
      </c>
      <c r="AF24" s="592">
        <f t="shared" si="8"/>
        <v>234980.65</v>
      </c>
      <c r="AG24" s="595"/>
    </row>
    <row r="25" spans="1:36" x14ac:dyDescent="0.2">
      <c r="A25" s="376" t="s">
        <v>28</v>
      </c>
      <c r="B25" s="24" t="s">
        <v>9</v>
      </c>
      <c r="C25" s="378" t="s">
        <v>31</v>
      </c>
      <c r="D25" s="379" t="s">
        <v>30</v>
      </c>
      <c r="E25" s="378" t="s">
        <v>101</v>
      </c>
      <c r="F25" s="586" t="s">
        <v>37</v>
      </c>
      <c r="G25" s="587"/>
      <c r="H25" s="587"/>
      <c r="I25" s="588"/>
      <c r="J25" s="588"/>
      <c r="K25" s="253"/>
      <c r="L25" s="253"/>
      <c r="M25" s="253"/>
      <c r="N25" s="721"/>
      <c r="O25" s="589">
        <f t="shared" si="15"/>
        <v>0</v>
      </c>
      <c r="P25" s="253">
        <f t="shared" si="9"/>
        <v>0</v>
      </c>
      <c r="Q25" s="253">
        <f t="shared" si="10"/>
        <v>0</v>
      </c>
      <c r="R25" s="590">
        <v>0.15</v>
      </c>
      <c r="S25" s="253">
        <f t="shared" si="0"/>
        <v>0</v>
      </c>
      <c r="T25" s="591">
        <v>3.7499999999999999E-2</v>
      </c>
      <c r="U25" s="592">
        <f t="shared" si="1"/>
        <v>0</v>
      </c>
      <c r="V25" s="592">
        <f t="shared" si="11"/>
        <v>0</v>
      </c>
      <c r="W25" s="593">
        <f t="shared" si="12"/>
        <v>0</v>
      </c>
      <c r="X25" s="594">
        <f t="shared" si="2"/>
        <v>0</v>
      </c>
      <c r="Y25" s="594">
        <f t="shared" si="3"/>
        <v>0</v>
      </c>
      <c r="Z25" s="592">
        <f t="shared" si="4"/>
        <v>0</v>
      </c>
      <c r="AA25" s="592" t="str">
        <f t="shared" si="5"/>
        <v/>
      </c>
      <c r="AB25" s="592" t="str">
        <f t="shared" si="13"/>
        <v/>
      </c>
      <c r="AC25" s="593" t="str">
        <f t="shared" si="14"/>
        <v/>
      </c>
      <c r="AD25" s="594" t="str">
        <f t="shared" si="6"/>
        <v/>
      </c>
      <c r="AE25" s="594" t="str">
        <f t="shared" si="7"/>
        <v/>
      </c>
      <c r="AF25" s="592" t="str">
        <f t="shared" si="8"/>
        <v/>
      </c>
      <c r="AG25" s="595"/>
    </row>
    <row r="26" spans="1:36" x14ac:dyDescent="0.2">
      <c r="A26" s="376" t="s">
        <v>28</v>
      </c>
      <c r="B26" s="24" t="s">
        <v>165</v>
      </c>
      <c r="C26" s="378" t="s">
        <v>31</v>
      </c>
      <c r="D26" s="379" t="s">
        <v>30</v>
      </c>
      <c r="E26" s="378" t="s">
        <v>101</v>
      </c>
      <c r="F26" s="586" t="s">
        <v>37</v>
      </c>
      <c r="G26" s="587">
        <v>12037</v>
      </c>
      <c r="H26" s="588">
        <v>11987</v>
      </c>
      <c r="I26" s="588">
        <v>61.480800000000002</v>
      </c>
      <c r="J26" s="588">
        <v>63.402700000000003</v>
      </c>
      <c r="K26" s="253"/>
      <c r="L26" s="253"/>
      <c r="M26" s="253"/>
      <c r="N26" s="721"/>
      <c r="O26" s="589">
        <f>ROUND(G26*I26,2)+ROUND(H26*J26,2)-K26-L26-M26-N26</f>
        <v>1500052.55</v>
      </c>
      <c r="P26" s="253">
        <f t="shared" si="9"/>
        <v>281259.84999999998</v>
      </c>
      <c r="Q26" s="253">
        <f>ROUND($O26*R26,2)</f>
        <v>225007.88</v>
      </c>
      <c r="R26" s="590">
        <v>0.15</v>
      </c>
      <c r="S26" s="253">
        <f>ROUND($O26*T26,2)</f>
        <v>56251.97</v>
      </c>
      <c r="T26" s="591">
        <v>3.7499999999999999E-2</v>
      </c>
      <c r="U26" s="592">
        <f>IF($F26&amp;"/Día"=W$9,SUM($G26:$H26),"")</f>
        <v>24024</v>
      </c>
      <c r="V26" s="592">
        <f t="shared" si="11"/>
        <v>1500052.55</v>
      </c>
      <c r="W26" s="593">
        <f>IF($F26&amp;"/Día"=W$9,ROUND(U26/$W$1,1),"")</f>
        <v>800.8</v>
      </c>
      <c r="X26" s="594">
        <f>IF(U26=0,0,IF($F26&amp;"/Día"=W$9,ROUND(V26/U26,4),""))</f>
        <v>62.439700000000002</v>
      </c>
      <c r="Y26" s="594">
        <f>IF(U26=0,0,IF($F26&amp;"/Día"=W$9,ROUND(Z26/U26,4),""))</f>
        <v>11.7075</v>
      </c>
      <c r="Z26" s="592">
        <f>IF(U26&lt;&gt;"",$P26,"")</f>
        <v>281259.84999999998</v>
      </c>
      <c r="AA26" s="592" t="str">
        <f>IF($F26&amp;"/Día"=AC$9,SUM($G26:$H26),"")</f>
        <v/>
      </c>
      <c r="AB26" s="592" t="str">
        <f t="shared" si="13"/>
        <v/>
      </c>
      <c r="AC26" s="593" t="str">
        <f>IF($F26&amp;"/Día"=AC$9,ROUND(AA26/$W$1,1),"")</f>
        <v/>
      </c>
      <c r="AD26" s="594" t="str">
        <f>IF(AA26=0,0,IF($F26&amp;"/Día"=AC$9,ROUND(AB26/AA26,4),""))</f>
        <v/>
      </c>
      <c r="AE26" s="594" t="str">
        <f>IF(AA26=0,0,IF($F26&amp;"/Día"=AC$9,ROUND(AF26/AA26,4),""))</f>
        <v/>
      </c>
      <c r="AF26" s="592" t="str">
        <f>IF(AA26&lt;&gt;"",$P26,"")</f>
        <v/>
      </c>
      <c r="AG26" s="595"/>
    </row>
    <row r="27" spans="1:36" x14ac:dyDescent="0.2">
      <c r="A27" s="376" t="s">
        <v>28</v>
      </c>
      <c r="B27" s="24" t="s">
        <v>157</v>
      </c>
      <c r="C27" s="378" t="s">
        <v>31</v>
      </c>
      <c r="D27" s="379" t="s">
        <v>30</v>
      </c>
      <c r="E27" s="378" t="s">
        <v>101</v>
      </c>
      <c r="F27" s="586" t="s">
        <v>56</v>
      </c>
      <c r="G27" s="721">
        <f>+G319</f>
        <v>427990.91900000005</v>
      </c>
      <c r="H27" s="386">
        <f>+H331</f>
        <v>414922.46999999991</v>
      </c>
      <c r="I27" s="1106">
        <f>+I319</f>
        <v>2.9984626145771101</v>
      </c>
      <c r="J27" s="386">
        <f>+J331</f>
        <v>2.8965695446669839</v>
      </c>
      <c r="K27" s="253"/>
      <c r="L27" s="253"/>
      <c r="M27" s="253"/>
      <c r="N27" s="589"/>
      <c r="O27" s="589">
        <f>O308</f>
        <v>2485166.5599999996</v>
      </c>
      <c r="P27" s="589">
        <f>P308</f>
        <v>465968.73</v>
      </c>
      <c r="Q27" s="589">
        <f>Q308</f>
        <v>372774.98</v>
      </c>
      <c r="R27" s="590">
        <v>0.15</v>
      </c>
      <c r="S27" s="589">
        <f>S308</f>
        <v>93193.739999999991</v>
      </c>
      <c r="T27" s="591">
        <v>3.7499999999999999E-2</v>
      </c>
      <c r="U27" s="592" t="str">
        <f t="shared" si="1"/>
        <v/>
      </c>
      <c r="V27" s="592" t="str">
        <f t="shared" si="11"/>
        <v/>
      </c>
      <c r="W27" s="593" t="str">
        <f t="shared" si="12"/>
        <v/>
      </c>
      <c r="X27" s="594" t="str">
        <f t="shared" si="2"/>
        <v/>
      </c>
      <c r="Y27" s="594" t="str">
        <f t="shared" si="3"/>
        <v/>
      </c>
      <c r="Z27" s="592" t="str">
        <f t="shared" si="4"/>
        <v/>
      </c>
      <c r="AA27" s="592">
        <f t="shared" si="5"/>
        <v>842913.38899999997</v>
      </c>
      <c r="AB27" s="592">
        <f t="shared" si="13"/>
        <v>2485166.5599999996</v>
      </c>
      <c r="AC27" s="593">
        <f t="shared" si="14"/>
        <v>28097.1</v>
      </c>
      <c r="AD27" s="594">
        <f t="shared" si="6"/>
        <v>2.9483000000000001</v>
      </c>
      <c r="AE27" s="594">
        <f t="shared" si="7"/>
        <v>0.55279999999999996</v>
      </c>
      <c r="AF27" s="592">
        <f t="shared" si="8"/>
        <v>465968.73</v>
      </c>
      <c r="AG27" s="595"/>
      <c r="AJ27" s="683"/>
    </row>
    <row r="28" spans="1:36" x14ac:dyDescent="0.2">
      <c r="A28" s="376" t="s">
        <v>28</v>
      </c>
      <c r="B28" s="24" t="s">
        <v>170</v>
      </c>
      <c r="C28" s="378" t="s">
        <v>31</v>
      </c>
      <c r="D28" s="379" t="s">
        <v>30</v>
      </c>
      <c r="E28" s="378" t="s">
        <v>101</v>
      </c>
      <c r="F28" s="586" t="s">
        <v>37</v>
      </c>
      <c r="G28" s="587">
        <v>133</v>
      </c>
      <c r="H28" s="588">
        <v>139</v>
      </c>
      <c r="I28" s="588">
        <v>64.450800000000001</v>
      </c>
      <c r="J28" s="588">
        <v>63.482700000000001</v>
      </c>
      <c r="K28" s="253"/>
      <c r="L28" s="253"/>
      <c r="M28" s="253"/>
      <c r="N28" s="721"/>
      <c r="O28" s="589">
        <f>ROUND(G28*I28,2)+ROUND(H28*J28,2)-K28-L28-M28-N28</f>
        <v>17396.059999999998</v>
      </c>
      <c r="P28" s="253">
        <f>ROUND(18.75%*O28,2)</f>
        <v>3261.76</v>
      </c>
      <c r="Q28" s="253">
        <f>ROUND($O28*R28,2)</f>
        <v>652.35</v>
      </c>
      <c r="R28" s="591">
        <v>3.7499999999999999E-2</v>
      </c>
      <c r="S28" s="253">
        <f>ROUND($O28*T28,2)</f>
        <v>2609.41</v>
      </c>
      <c r="T28" s="590">
        <v>0.15</v>
      </c>
      <c r="U28" s="592">
        <f>IF($F28&amp;"/Día"=W$9,SUM($G28:$H28),"")</f>
        <v>272</v>
      </c>
      <c r="V28" s="592">
        <f t="shared" si="11"/>
        <v>17396.059999999998</v>
      </c>
      <c r="W28" s="593">
        <f>IF($F28&amp;"/Día"=W$9,ROUND(U28/$W$1,1),"")</f>
        <v>9.1</v>
      </c>
      <c r="X28" s="594">
        <f>IF(U28=0,0,IF($F28&amp;"/Día"=W$9,ROUND(V28/U28,4),""))</f>
        <v>63.956099999999999</v>
      </c>
      <c r="Y28" s="594">
        <f>IF(U28=0,0,IF($F28&amp;"/Día"=W$9,ROUND(Z28/U28,4),""))</f>
        <v>11.9918</v>
      </c>
      <c r="Z28" s="592">
        <f>IF(U28&lt;&gt;"",$P28,"")</f>
        <v>3261.76</v>
      </c>
      <c r="AA28" s="592" t="str">
        <f>IF($F28&amp;"/Día"=AC$9,SUM($G28:$H28),"")</f>
        <v/>
      </c>
      <c r="AB28" s="592" t="str">
        <f t="shared" si="13"/>
        <v/>
      </c>
      <c r="AC28" s="593" t="str">
        <f>IF($F28&amp;"/Día"=AC$9,ROUND(AA28/$W$1,1),"")</f>
        <v/>
      </c>
      <c r="AD28" s="594" t="str">
        <f>IF(AA28=0,0,IF($F28&amp;"/Día"=AC$9,ROUND(AB28/AA28,4),""))</f>
        <v/>
      </c>
      <c r="AE28" s="594" t="str">
        <f>IF(AA28=0,0,IF($F28&amp;"/Día"=AC$9,ROUND(AF28/AA28,4),""))</f>
        <v/>
      </c>
      <c r="AF28" s="592" t="str">
        <f>IF(AA28&lt;&gt;"",$P28,"")</f>
        <v/>
      </c>
      <c r="AG28" s="595"/>
    </row>
    <row r="29" spans="1:36" x14ac:dyDescent="0.2">
      <c r="A29" s="376" t="s">
        <v>28</v>
      </c>
      <c r="B29" s="24" t="s">
        <v>368</v>
      </c>
      <c r="C29" s="378" t="s">
        <v>31</v>
      </c>
      <c r="D29" s="379" t="s">
        <v>30</v>
      </c>
      <c r="E29" s="378" t="s">
        <v>101</v>
      </c>
      <c r="F29" s="586" t="s">
        <v>37</v>
      </c>
      <c r="G29" s="587"/>
      <c r="H29" s="587"/>
      <c r="I29" s="588"/>
      <c r="J29" s="588"/>
      <c r="K29" s="253"/>
      <c r="L29" s="253"/>
      <c r="M29" s="253"/>
      <c r="N29" s="721"/>
      <c r="O29" s="589">
        <f>ROUND(G29*I29,2)+ROUND(H29*J29,2)-K29-L29-M29-N29</f>
        <v>0</v>
      </c>
      <c r="P29" s="253">
        <f>ROUND(18.75%*O29,2)</f>
        <v>0</v>
      </c>
      <c r="Q29" s="253">
        <f>ROUND($O29*R29,2)</f>
        <v>0</v>
      </c>
      <c r="R29" s="591">
        <v>3.7499999999999999E-2</v>
      </c>
      <c r="S29" s="253">
        <f>ROUND($O29*T29,2)</f>
        <v>0</v>
      </c>
      <c r="T29" s="590">
        <v>0.15</v>
      </c>
      <c r="U29" s="592"/>
      <c r="V29" s="592"/>
      <c r="W29" s="593"/>
      <c r="X29" s="594"/>
      <c r="Y29" s="594"/>
      <c r="Z29" s="592"/>
      <c r="AA29" s="592"/>
      <c r="AB29" s="592"/>
      <c r="AC29" s="593"/>
      <c r="AD29" s="594"/>
      <c r="AE29" s="594"/>
      <c r="AF29" s="592"/>
      <c r="AG29" s="595"/>
      <c r="AI29" s="597"/>
    </row>
    <row r="30" spans="1:36" x14ac:dyDescent="0.2">
      <c r="A30" s="729" t="s">
        <v>28</v>
      </c>
      <c r="B30" s="29" t="s">
        <v>302</v>
      </c>
      <c r="C30" s="378" t="s">
        <v>31</v>
      </c>
      <c r="D30" s="379" t="s">
        <v>30</v>
      </c>
      <c r="E30" s="378" t="s">
        <v>101</v>
      </c>
      <c r="F30" s="586" t="s">
        <v>37</v>
      </c>
      <c r="G30" s="721">
        <v>37054</v>
      </c>
      <c r="H30" s="1107">
        <v>54525</v>
      </c>
      <c r="I30" s="588">
        <v>63.918999999999997</v>
      </c>
      <c r="J30" s="588">
        <v>63.405999999999999</v>
      </c>
      <c r="K30" s="587"/>
      <c r="L30" s="253"/>
      <c r="M30" s="253"/>
      <c r="N30" s="721"/>
      <c r="O30" s="589">
        <f>ROUND(G30*I30,2)+ROUND(H30*J30,2)-K30-L30-M30-N30</f>
        <v>5825666.7799999993</v>
      </c>
      <c r="P30" s="253">
        <f>ROUND(18.75%*O30,2)</f>
        <v>1092312.52</v>
      </c>
      <c r="Q30" s="253">
        <f>ROUND($O30*R30,2)</f>
        <v>873850.02</v>
      </c>
      <c r="R30" s="730">
        <v>0.15</v>
      </c>
      <c r="S30" s="253">
        <f>ROUND($O30*T30,2)</f>
        <v>218462.5</v>
      </c>
      <c r="T30" s="591">
        <v>3.7499999999999999E-2</v>
      </c>
      <c r="U30" s="592"/>
      <c r="V30" s="592"/>
      <c r="W30" s="593"/>
      <c r="X30" s="594"/>
      <c r="Y30" s="594"/>
      <c r="Z30" s="592"/>
      <c r="AA30" s="592"/>
      <c r="AB30" s="592"/>
      <c r="AC30" s="593"/>
      <c r="AD30" s="594"/>
      <c r="AE30" s="594"/>
      <c r="AF30" s="592"/>
      <c r="AG30" s="595"/>
    </row>
    <row r="31" spans="1:36" x14ac:dyDescent="0.2">
      <c r="A31" s="729" t="s">
        <v>28</v>
      </c>
      <c r="B31" s="29" t="s">
        <v>303</v>
      </c>
      <c r="C31" s="378" t="s">
        <v>31</v>
      </c>
      <c r="D31" s="379" t="s">
        <v>30</v>
      </c>
      <c r="E31" s="378" t="s">
        <v>101</v>
      </c>
      <c r="F31" s="586" t="s">
        <v>56</v>
      </c>
      <c r="G31" s="721">
        <f>+G350</f>
        <v>143609.03</v>
      </c>
      <c r="H31" s="386">
        <f>+H359</f>
        <v>138944.54</v>
      </c>
      <c r="I31" s="721">
        <f>+I350</f>
        <v>2.5655059434633047</v>
      </c>
      <c r="J31" s="386">
        <f>+J359</f>
        <v>2.683842200636311</v>
      </c>
      <c r="K31" s="587"/>
      <c r="L31" s="253"/>
      <c r="M31" s="253"/>
      <c r="N31" s="721"/>
      <c r="O31" s="589">
        <f>ROUND(G31*I31,2)+ROUND(H31*J31,2)-K31-L31-M31-N31</f>
        <v>741335.04000000004</v>
      </c>
      <c r="P31" s="253">
        <f>ROUND(18.75%*O31,2)</f>
        <v>139000.32000000001</v>
      </c>
      <c r="Q31" s="253">
        <f>ROUND($O31*R31,2)</f>
        <v>111200.26</v>
      </c>
      <c r="R31" s="730">
        <v>0.15</v>
      </c>
      <c r="S31" s="253">
        <f>ROUND($O31*T31,2)</f>
        <v>27800.06</v>
      </c>
      <c r="T31" s="591">
        <v>3.7499999999999999E-2</v>
      </c>
      <c r="U31" s="592"/>
      <c r="V31" s="592"/>
      <c r="W31" s="593"/>
      <c r="X31" s="594"/>
      <c r="Y31" s="594"/>
      <c r="Z31" s="592"/>
      <c r="AA31" s="592"/>
      <c r="AB31" s="592"/>
      <c r="AC31" s="593"/>
      <c r="AD31" s="594"/>
      <c r="AE31" s="594"/>
      <c r="AF31" s="592"/>
      <c r="AG31" s="595"/>
    </row>
    <row r="32" spans="1:36" x14ac:dyDescent="0.2">
      <c r="A32" s="729" t="s">
        <v>28</v>
      </c>
      <c r="B32" s="29" t="s">
        <v>304</v>
      </c>
      <c r="C32" s="378" t="s">
        <v>31</v>
      </c>
      <c r="D32" s="379" t="s">
        <v>30</v>
      </c>
      <c r="E32" s="378" t="s">
        <v>101</v>
      </c>
      <c r="F32" s="586" t="s">
        <v>37</v>
      </c>
      <c r="G32" s="721">
        <v>8167</v>
      </c>
      <c r="H32" s="721">
        <v>10248</v>
      </c>
      <c r="I32" s="588">
        <v>34.682899999999997</v>
      </c>
      <c r="J32" s="588">
        <v>35.275100000000002</v>
      </c>
      <c r="K32" s="587"/>
      <c r="L32" s="253"/>
      <c r="M32" s="253"/>
      <c r="N32" s="721"/>
      <c r="O32" s="589">
        <f>ROUND(G32*I32,2)+ROUND(H32*J32,2)-K32-L32-M32-N32</f>
        <v>644754.46</v>
      </c>
      <c r="P32" s="253">
        <f>ROUND(18.75%*O32,2)</f>
        <v>120891.46</v>
      </c>
      <c r="Q32" s="253">
        <f>ROUND($O32*R32,2)</f>
        <v>96713.17</v>
      </c>
      <c r="R32" s="730">
        <v>0.15</v>
      </c>
      <c r="S32" s="253">
        <f>ROUND($O32*T32,2)</f>
        <v>24178.29</v>
      </c>
      <c r="T32" s="591">
        <v>3.7499999999999999E-2</v>
      </c>
      <c r="U32" s="592"/>
      <c r="V32" s="592"/>
      <c r="W32" s="593"/>
      <c r="X32" s="594"/>
      <c r="Y32" s="594"/>
      <c r="Z32" s="592"/>
      <c r="AA32" s="592"/>
      <c r="AB32" s="592"/>
      <c r="AC32" s="593"/>
      <c r="AD32" s="594"/>
      <c r="AE32" s="594"/>
      <c r="AF32" s="592"/>
      <c r="AG32" s="595"/>
    </row>
    <row r="33" spans="1:35" x14ac:dyDescent="0.2">
      <c r="A33" s="729" t="s">
        <v>28</v>
      </c>
      <c r="B33" s="29" t="s">
        <v>52</v>
      </c>
      <c r="C33" s="731"/>
      <c r="D33" s="731"/>
      <c r="E33" s="732"/>
      <c r="F33" s="586"/>
      <c r="G33" s="253"/>
      <c r="H33" s="253"/>
      <c r="I33" s="728"/>
      <c r="J33" s="728"/>
      <c r="K33" s="253"/>
      <c r="L33" s="253"/>
      <c r="M33" s="733"/>
      <c r="N33" s="253"/>
      <c r="O33" s="589">
        <f>+O263</f>
        <v>-29328.770000000182</v>
      </c>
      <c r="P33" s="589">
        <f t="shared" ref="P33:S33" si="16">+P263</f>
        <v>-5499.139999999983</v>
      </c>
      <c r="Q33" s="589">
        <f t="shared" si="16"/>
        <v>-4399.3199999999924</v>
      </c>
      <c r="R33" s="589"/>
      <c r="S33" s="589">
        <f t="shared" si="16"/>
        <v>-1099.8200000000024</v>
      </c>
      <c r="T33" s="590"/>
      <c r="U33" s="592" t="str">
        <f>IF($F33&amp;"/Día"=W$9,SUM($G33:$H33),"")</f>
        <v/>
      </c>
      <c r="V33" s="592" t="str">
        <f t="shared" si="11"/>
        <v/>
      </c>
      <c r="W33" s="593" t="str">
        <f>IF($F33&amp;"/Día"=W$9,ROUND(U33/$W$1,1),"")</f>
        <v/>
      </c>
      <c r="X33" s="594" t="str">
        <f>IF(U33=0,0,IF($F33&amp;"/Día"=W$9,ROUND(V33/U33,4),""))</f>
        <v/>
      </c>
      <c r="Y33" s="594" t="str">
        <f>IF(U33=0,0,IF($F33&amp;"/Día"=W$9,ROUND(Z33/U33,4),""))</f>
        <v/>
      </c>
      <c r="Z33" s="592" t="str">
        <f>IF(U33&lt;&gt;"",$P33,"")</f>
        <v/>
      </c>
      <c r="AA33" s="592" t="str">
        <f>IF($F33&amp;"/Día"=AC$9,SUM($G33:$H33),"")</f>
        <v/>
      </c>
      <c r="AB33" s="592" t="str">
        <f t="shared" si="13"/>
        <v/>
      </c>
      <c r="AC33" s="593" t="str">
        <f>IF($F33&amp;"/Día"=AC$9,ROUND(AA33/$W$1,1),"")</f>
        <v/>
      </c>
      <c r="AD33" s="594" t="str">
        <f>IF(AA33=0,0,IF($F33&amp;"/Día"=AC$9,ROUND(AB33/AA33,4),""))</f>
        <v/>
      </c>
      <c r="AE33" s="594" t="str">
        <f>IF(AA33=0,0,IF($F33&amp;"/Día"=AC$9,ROUND(AF33/AA33,4),""))</f>
        <v/>
      </c>
      <c r="AF33" s="592" t="str">
        <f>IF(AA33&lt;&gt;"",$P33,"")</f>
        <v/>
      </c>
      <c r="AG33" s="595"/>
      <c r="AI33" s="734"/>
    </row>
    <row r="34" spans="1:35" x14ac:dyDescent="0.2">
      <c r="A34" s="735"/>
      <c r="B34" s="153" t="s">
        <v>108</v>
      </c>
      <c r="C34" s="737" t="str">
        <f>TEXT(A$9,)&amp;" US$"</f>
        <v>Piura / Tumbes US$</v>
      </c>
      <c r="D34" s="738"/>
      <c r="E34" s="739"/>
      <c r="F34" s="740"/>
      <c r="G34" s="424"/>
      <c r="H34" s="424"/>
      <c r="I34" s="741"/>
      <c r="J34" s="741"/>
      <c r="K34" s="424"/>
      <c r="L34" s="424"/>
      <c r="M34" s="424"/>
      <c r="N34" s="616"/>
      <c r="O34" s="673">
        <f>SUM(O10:O33)</f>
        <v>45311882.810000002</v>
      </c>
      <c r="P34" s="673">
        <f>SUM(P10:P33)</f>
        <v>8495978.0199999996</v>
      </c>
      <c r="Q34" s="673">
        <f>SUM(Q10:Q33)</f>
        <v>6794825.3799999971</v>
      </c>
      <c r="R34" s="742"/>
      <c r="S34" s="673">
        <f>SUM(S10:S33)</f>
        <v>1701152.65</v>
      </c>
      <c r="T34" s="743">
        <v>0</v>
      </c>
      <c r="U34" s="744">
        <f>SUM(U10:U33)</f>
        <v>649373.67690000008</v>
      </c>
      <c r="V34" s="744">
        <f>SUM(V10:V33)</f>
        <v>33432747.59</v>
      </c>
      <c r="W34" s="745">
        <f>SUM(W10:W33)</f>
        <v>21645.8</v>
      </c>
      <c r="X34" s="746">
        <f>ROUND(V34/U34,4)</f>
        <v>51.4846</v>
      </c>
      <c r="Y34" s="746">
        <f>ROUND(Z34/U34,4)</f>
        <v>9.6533999999999995</v>
      </c>
      <c r="Z34" s="744">
        <f>SUM(Z10:Z33)</f>
        <v>6268640.1600000001</v>
      </c>
      <c r="AA34" s="744">
        <f>SUM(AA10:AA33)</f>
        <v>1581092.7142</v>
      </c>
      <c r="AB34" s="744">
        <f>SUM(AB10:AB33)</f>
        <v>4696707.709999999</v>
      </c>
      <c r="AC34" s="745">
        <f>SUM(AC10:AC33)</f>
        <v>52703</v>
      </c>
      <c r="AD34" s="746">
        <f>ROUND(AB34/AA34,4)</f>
        <v>2.9704999999999999</v>
      </c>
      <c r="AE34" s="746">
        <f>ROUND(AF34/AA34,4)</f>
        <v>0.55700000000000005</v>
      </c>
      <c r="AF34" s="744">
        <f>SUM(AF10:AF33)</f>
        <v>880632.7</v>
      </c>
      <c r="AG34" s="747">
        <f>P34-Z34-AF34</f>
        <v>1346705.1599999995</v>
      </c>
      <c r="AI34" s="748"/>
    </row>
    <row r="35" spans="1:35" x14ac:dyDescent="0.2">
      <c r="A35" s="749"/>
      <c r="B35" s="126"/>
      <c r="C35" s="737" t="str">
        <f>TEXT(A$9,)&amp;" S/."</f>
        <v>Piura / Tumbes S/.</v>
      </c>
      <c r="D35" s="731"/>
      <c r="E35" s="731"/>
      <c r="F35" s="750"/>
      <c r="G35" s="751"/>
      <c r="H35" s="751"/>
      <c r="I35" s="752"/>
      <c r="J35" s="752"/>
      <c r="K35" s="751"/>
      <c r="L35" s="751"/>
      <c r="M35" s="751"/>
      <c r="N35" s="751"/>
      <c r="O35" s="753"/>
      <c r="P35" s="754">
        <f>ROUND($F$1*P34,2)</f>
        <v>0</v>
      </c>
      <c r="Q35" s="754">
        <f>ROUND($F$1*Q34,2)</f>
        <v>0</v>
      </c>
      <c r="R35" s="755"/>
      <c r="S35" s="756">
        <f>ROUND($F$1*S34,2)</f>
        <v>0</v>
      </c>
      <c r="T35" s="757"/>
      <c r="U35" s="758"/>
      <c r="V35" s="758"/>
      <c r="W35" s="759"/>
      <c r="X35" s="760"/>
      <c r="Y35" s="760"/>
      <c r="Z35" s="758"/>
      <c r="AA35" s="758"/>
      <c r="AB35" s="758"/>
      <c r="AC35" s="759"/>
      <c r="AD35" s="760"/>
      <c r="AE35" s="760"/>
      <c r="AF35" s="758"/>
      <c r="AG35" s="758"/>
      <c r="AI35" s="748"/>
    </row>
    <row r="36" spans="1:35" x14ac:dyDescent="0.2">
      <c r="A36" s="708" t="s">
        <v>22</v>
      </c>
      <c r="B36" s="16"/>
      <c r="C36" s="761"/>
      <c r="D36" s="761"/>
      <c r="E36" s="762"/>
      <c r="F36" s="763"/>
      <c r="G36" s="420"/>
      <c r="H36" s="420"/>
      <c r="I36" s="764"/>
      <c r="J36" s="764"/>
      <c r="K36" s="420"/>
      <c r="L36" s="420"/>
      <c r="M36" s="420"/>
      <c r="N36" s="420"/>
      <c r="O36" s="765"/>
      <c r="P36" s="420"/>
      <c r="Q36" s="766" t="s">
        <v>49</v>
      </c>
      <c r="R36" s="767"/>
      <c r="S36" s="768"/>
      <c r="T36" s="769"/>
      <c r="U36" s="725"/>
      <c r="V36" s="725"/>
      <c r="W36" s="770"/>
      <c r="X36" s="771"/>
      <c r="Y36" s="771"/>
      <c r="Z36" s="771"/>
      <c r="AA36" s="725"/>
      <c r="AB36" s="725"/>
      <c r="AC36" s="770"/>
      <c r="AD36" s="771"/>
      <c r="AE36" s="771"/>
      <c r="AF36" s="771"/>
      <c r="AG36" s="772"/>
    </row>
    <row r="37" spans="1:35" x14ac:dyDescent="0.2">
      <c r="A37" s="729" t="s">
        <v>28</v>
      </c>
      <c r="B37" s="28">
        <v>131</v>
      </c>
      <c r="C37" s="378" t="s">
        <v>31</v>
      </c>
      <c r="D37" s="379" t="s">
        <v>30</v>
      </c>
      <c r="E37" s="378" t="s">
        <v>101</v>
      </c>
      <c r="F37" s="773" t="s">
        <v>37</v>
      </c>
      <c r="G37" s="587"/>
      <c r="H37" s="587">
        <v>13632</v>
      </c>
      <c r="I37" s="588"/>
      <c r="J37" s="588">
        <v>51.368499999999997</v>
      </c>
      <c r="K37" s="253"/>
      <c r="L37" s="253"/>
      <c r="M37" s="253"/>
      <c r="N37" s="721"/>
      <c r="O37" s="589">
        <f>ROUND(G37*I37,2)+ROUND(H37*J37,2)-K37-L37-M37-N37</f>
        <v>700255.39</v>
      </c>
      <c r="P37" s="253">
        <f>ROUND(15%*O37,2)</f>
        <v>105038.31</v>
      </c>
      <c r="Q37" s="253">
        <f>ROUND($O37*R37,2)</f>
        <v>105038.31</v>
      </c>
      <c r="R37" s="590">
        <v>0.15</v>
      </c>
      <c r="S37" s="774"/>
      <c r="T37" s="775"/>
      <c r="U37" s="592">
        <f>IF($F37&amp;"/Día"=W$9,SUM($G37:$H37),"")</f>
        <v>13632</v>
      </c>
      <c r="V37" s="592">
        <f>IF(U37&lt;&gt;"",$O37,"")</f>
        <v>700255.39</v>
      </c>
      <c r="W37" s="593">
        <f t="shared" si="12"/>
        <v>454.4</v>
      </c>
      <c r="X37" s="594">
        <f>IF(U37=0,0,IF($F37&amp;"/Día"=W$9,ROUND(V37/U37,4),""))</f>
        <v>51.368499999999997</v>
      </c>
      <c r="Y37" s="594">
        <f>IF(U37=0,0,IF($F37&amp;"/Día"=W$9,ROUND(Z37/U37,4),""))</f>
        <v>7.7053000000000003</v>
      </c>
      <c r="Z37" s="592">
        <f>IF(U37&lt;&gt;"",$P37,"")</f>
        <v>105038.31</v>
      </c>
      <c r="AA37" s="592" t="str">
        <f>IF($F37&amp;"/Día"=AC$9,SUM($G37:$H37),"")</f>
        <v/>
      </c>
      <c r="AB37" s="592" t="str">
        <f>IF(AA37&lt;&gt;"",$O37,"")</f>
        <v/>
      </c>
      <c r="AC37" s="593" t="str">
        <f t="shared" si="14"/>
        <v/>
      </c>
      <c r="AD37" s="594" t="str">
        <f>IF(AA37=0,0,IF($F37&amp;"/Día"=AC$9,ROUND(AB37/AA37,4),""))</f>
        <v/>
      </c>
      <c r="AE37" s="594" t="str">
        <f>IF(AA37=0,0,IF($F37&amp;"/Día"=AC$9,ROUND(AF37/AA37,4),""))</f>
        <v/>
      </c>
      <c r="AF37" s="592" t="str">
        <f>IF(AA37&lt;&gt;"",$P37,"")</f>
        <v/>
      </c>
      <c r="AG37" s="595"/>
    </row>
    <row r="38" spans="1:35" x14ac:dyDescent="0.2">
      <c r="A38" s="729" t="s">
        <v>28</v>
      </c>
      <c r="B38" s="29" t="s">
        <v>53</v>
      </c>
      <c r="C38" s="731"/>
      <c r="D38" s="731"/>
      <c r="E38" s="776"/>
      <c r="F38" s="773"/>
      <c r="G38" s="253"/>
      <c r="H38" s="253"/>
      <c r="I38" s="728"/>
      <c r="J38" s="728"/>
      <c r="K38" s="253"/>
      <c r="L38" s="253"/>
      <c r="M38" s="253"/>
      <c r="N38" s="253"/>
      <c r="O38" s="589"/>
      <c r="P38" s="589"/>
      <c r="Q38" s="589"/>
      <c r="R38" s="775"/>
      <c r="S38" s="589"/>
      <c r="T38" s="775"/>
      <c r="U38" s="592" t="str">
        <f>IF($F38&amp;"/Día"=W$9,SUM($G38:$H38),"")</f>
        <v/>
      </c>
      <c r="V38" s="592" t="str">
        <f>IF(U38&lt;&gt;"",$O38,"")</f>
        <v/>
      </c>
      <c r="W38" s="593" t="str">
        <f t="shared" si="12"/>
        <v/>
      </c>
      <c r="X38" s="594" t="str">
        <f>IF(U38=0,0,IF($F38&amp;"/Día"=W$9,ROUND(V38/U38,4),""))</f>
        <v/>
      </c>
      <c r="Y38" s="594" t="str">
        <f>IF(U38=0,0,IF($F38&amp;"/Día"=W$9,ROUND(Z38/U38,4),""))</f>
        <v/>
      </c>
      <c r="Z38" s="592" t="str">
        <f>IF(U38&lt;&gt;"",$P38,"")</f>
        <v/>
      </c>
      <c r="AA38" s="592" t="str">
        <f>IF($F38&amp;"/Día"=AC$9,SUM($G38:$H38),"")</f>
        <v/>
      </c>
      <c r="AB38" s="592" t="str">
        <f>IF(AA38&lt;&gt;"",$O38,"")</f>
        <v/>
      </c>
      <c r="AC38" s="593" t="str">
        <f t="shared" si="14"/>
        <v/>
      </c>
      <c r="AD38" s="594" t="str">
        <f>IF(AA38=0,0,IF($F38&amp;"/Día"=AC$9,ROUND(AB38/AA38,4),""))</f>
        <v/>
      </c>
      <c r="AE38" s="594" t="str">
        <f>IF(AA38=0,0,IF($F38&amp;"/Día"=AC$9,ROUND(AF38/AA38,4),""))</f>
        <v/>
      </c>
      <c r="AF38" s="592" t="str">
        <f>IF(AA38&lt;&gt;"",$P38,"")</f>
        <v/>
      </c>
      <c r="AG38" s="595"/>
      <c r="AI38" s="597"/>
    </row>
    <row r="39" spans="1:35" x14ac:dyDescent="0.2">
      <c r="A39" s="735"/>
      <c r="B39" s="153" t="s">
        <v>108</v>
      </c>
      <c r="C39" s="737" t="str">
        <f>TEXT(A$36,)&amp;" US$"</f>
        <v>Provincia Puerto Inca Huanuco US$</v>
      </c>
      <c r="D39" s="738"/>
      <c r="E39" s="739"/>
      <c r="F39" s="738"/>
      <c r="G39" s="424"/>
      <c r="H39" s="424"/>
      <c r="I39" s="741"/>
      <c r="J39" s="741"/>
      <c r="K39" s="424"/>
      <c r="L39" s="424"/>
      <c r="M39" s="424"/>
      <c r="N39" s="424"/>
      <c r="O39" s="616">
        <f>SUM(O37:O38)</f>
        <v>700255.39</v>
      </c>
      <c r="P39" s="616">
        <f>SUM(P37:P38)</f>
        <v>105038.31</v>
      </c>
      <c r="Q39" s="616">
        <f>SUM(Q37:Q38)</f>
        <v>105038.31</v>
      </c>
      <c r="R39" s="742"/>
      <c r="S39" s="616">
        <f>SUM(S37:S38)</f>
        <v>0</v>
      </c>
      <c r="T39" s="742"/>
      <c r="U39" s="747">
        <f>SUM(U37:U38)</f>
        <v>13632</v>
      </c>
      <c r="V39" s="747">
        <f>SUM(V37:V38)</f>
        <v>700255.39</v>
      </c>
      <c r="W39" s="777">
        <f>SUM(W37:W38)</f>
        <v>454.4</v>
      </c>
      <c r="X39" s="778">
        <f>ROUND(V39/U39,4)</f>
        <v>51.368499999999997</v>
      </c>
      <c r="Y39" s="778">
        <f>ROUND(Z39/U39,4)</f>
        <v>7.7053000000000003</v>
      </c>
      <c r="Z39" s="747">
        <f>SUM(Z37:Z38)</f>
        <v>105038.31</v>
      </c>
      <c r="AA39" s="747">
        <f>SUM(AA37:AA38)</f>
        <v>0</v>
      </c>
      <c r="AB39" s="747">
        <f>SUM(AB37:AB38)</f>
        <v>0</v>
      </c>
      <c r="AC39" s="777">
        <f>SUM(AC37:AC38)</f>
        <v>0</v>
      </c>
      <c r="AD39" s="778">
        <f>IF(AA39=0,0,ROUND(AB39/AA39,4))</f>
        <v>0</v>
      </c>
      <c r="AE39" s="778">
        <f>IF(AA39=0,0,ROUND(AF39/AA39,4))</f>
        <v>0</v>
      </c>
      <c r="AF39" s="747">
        <f>SUM(AF37:AF38)</f>
        <v>0</v>
      </c>
      <c r="AG39" s="744">
        <f>P39-Z39-AF39</f>
        <v>0</v>
      </c>
    </row>
    <row r="40" spans="1:35" x14ac:dyDescent="0.2">
      <c r="A40" s="749"/>
      <c r="B40" s="126"/>
      <c r="C40" s="737" t="str">
        <f>TEXT(A$36,)&amp;" S/."</f>
        <v>Provincia Puerto Inca Huanuco S/.</v>
      </c>
      <c r="D40" s="731"/>
      <c r="E40" s="731"/>
      <c r="F40" s="750"/>
      <c r="G40" s="751"/>
      <c r="H40" s="751"/>
      <c r="I40" s="752"/>
      <c r="J40" s="752"/>
      <c r="K40" s="751"/>
      <c r="L40" s="751"/>
      <c r="M40" s="751"/>
      <c r="N40" s="751"/>
      <c r="O40" s="753"/>
      <c r="P40" s="754">
        <f>ROUND($F$1*P39,2)</f>
        <v>0</v>
      </c>
      <c r="Q40" s="754">
        <f>ROUND($F$1*Q39,2)</f>
        <v>0</v>
      </c>
      <c r="R40" s="755"/>
      <c r="S40" s="754">
        <f>ROUND($F$1*S39,2)</f>
        <v>0</v>
      </c>
      <c r="T40" s="755"/>
      <c r="U40" s="758"/>
      <c r="V40" s="758"/>
      <c r="W40" s="759"/>
      <c r="X40" s="760"/>
      <c r="Y40" s="760"/>
      <c r="Z40" s="758"/>
      <c r="AA40" s="758"/>
      <c r="AB40" s="758"/>
      <c r="AC40" s="759"/>
      <c r="AD40" s="760"/>
      <c r="AE40" s="760"/>
      <c r="AF40" s="758"/>
      <c r="AG40" s="758"/>
      <c r="AI40" s="597"/>
    </row>
    <row r="41" spans="1:35" x14ac:dyDescent="0.2">
      <c r="A41" s="708" t="s">
        <v>24</v>
      </c>
      <c r="B41" s="16"/>
      <c r="C41" s="761"/>
      <c r="D41" s="761"/>
      <c r="E41" s="762"/>
      <c r="F41" s="779"/>
      <c r="G41" s="420"/>
      <c r="H41" s="420"/>
      <c r="I41" s="764"/>
      <c r="J41" s="764"/>
      <c r="K41" s="420"/>
      <c r="L41" s="420"/>
      <c r="M41" s="420"/>
      <c r="N41" s="420"/>
      <c r="O41" s="765"/>
      <c r="P41" s="420"/>
      <c r="Q41" s="766" t="s">
        <v>47</v>
      </c>
      <c r="R41" s="767"/>
      <c r="S41" s="780" t="s">
        <v>48</v>
      </c>
      <c r="T41" s="767"/>
      <c r="U41" s="772"/>
      <c r="V41" s="772"/>
      <c r="W41" s="723"/>
      <c r="X41" s="724"/>
      <c r="Y41" s="724"/>
      <c r="Z41" s="724"/>
      <c r="AA41" s="772"/>
      <c r="AB41" s="772"/>
      <c r="AC41" s="723"/>
      <c r="AD41" s="724"/>
      <c r="AE41" s="724"/>
      <c r="AF41" s="724"/>
      <c r="AG41" s="772"/>
      <c r="AI41" s="597"/>
    </row>
    <row r="42" spans="1:35" x14ac:dyDescent="0.2">
      <c r="A42" s="376" t="s">
        <v>28</v>
      </c>
      <c r="B42" s="28">
        <v>8</v>
      </c>
      <c r="C42" s="378" t="s">
        <v>31</v>
      </c>
      <c r="D42" s="378" t="s">
        <v>30</v>
      </c>
      <c r="E42" s="378" t="s">
        <v>101</v>
      </c>
      <c r="F42" s="781" t="s">
        <v>37</v>
      </c>
      <c r="G42" s="253">
        <v>15265</v>
      </c>
      <c r="H42" s="1102">
        <f>+H400</f>
        <v>47904</v>
      </c>
      <c r="I42" s="588">
        <v>60.697800000000001</v>
      </c>
      <c r="J42" s="1103">
        <f>+J400</f>
        <v>56.47915831663326</v>
      </c>
      <c r="K42" s="253"/>
      <c r="L42" s="253"/>
      <c r="M42" s="253"/>
      <c r="N42" s="253"/>
      <c r="O42" s="589">
        <f>ROUND(G42*I42,2)+ROUND(H42*J42,2)-K42-L42-M42-N42</f>
        <v>3632129.52</v>
      </c>
      <c r="P42" s="253">
        <f>ROUND(18.75%*O42,2)</f>
        <v>681024.29</v>
      </c>
      <c r="Q42" s="253">
        <f>ROUND($O42*R42,2)</f>
        <v>544819.43000000005</v>
      </c>
      <c r="R42" s="590">
        <v>0.15</v>
      </c>
      <c r="S42" s="253">
        <f>ROUND($O42*T42,2)</f>
        <v>136204.85999999999</v>
      </c>
      <c r="T42" s="591">
        <v>3.7499999999999999E-2</v>
      </c>
      <c r="U42" s="592">
        <f t="shared" ref="U42:U47" si="17">IF($F42&amp;"/Día"=W$9,SUM($G42:$H42),"")</f>
        <v>63169</v>
      </c>
      <c r="V42" s="592">
        <f t="shared" ref="V42:V47" si="18">IF(U42&lt;&gt;"",$O42,"")</f>
        <v>3632129.52</v>
      </c>
      <c r="W42" s="593">
        <f t="shared" ref="W42:W47" si="19">IF($F42&amp;"/Día"=W$9,ROUND(U42/$W$1,1),"")</f>
        <v>2105.6</v>
      </c>
      <c r="X42" s="594">
        <f t="shared" ref="X42:X47" si="20">IF(U42=0,0,IF($F42&amp;"/Día"=W$9,ROUND(V42/U42,4),""))</f>
        <v>57.498600000000003</v>
      </c>
      <c r="Y42" s="594">
        <f t="shared" ref="Y42:Y47" si="21">IF(U42=0,0,IF($F42&amp;"/Día"=W$9,ROUND(Z42/U42,4),""))</f>
        <v>10.781000000000001</v>
      </c>
      <c r="Z42" s="592">
        <f t="shared" ref="Z42:Z47" si="22">IF(U42&lt;&gt;"",$P42,"")</f>
        <v>681024.29</v>
      </c>
      <c r="AA42" s="592" t="str">
        <f t="shared" ref="AA42:AA47" si="23">IF($F42&amp;"/Día"=AC$9,SUM($G42:$H42),"")</f>
        <v/>
      </c>
      <c r="AB42" s="592" t="str">
        <f t="shared" ref="AB42:AB47" si="24">IF(AA42&lt;&gt;"",$O42,"")</f>
        <v/>
      </c>
      <c r="AC42" s="593" t="str">
        <f t="shared" ref="AC42:AC47" si="25">IF($F42&amp;"/Día"=AC$9,ROUND(AA42/$W$1,1),"")</f>
        <v/>
      </c>
      <c r="AD42" s="594" t="str">
        <f t="shared" ref="AD42:AD47" si="26">IF(AA42=0,0,IF($F42&amp;"/Día"=AC$9,ROUND(AB42/AA42,4),""))</f>
        <v/>
      </c>
      <c r="AE42" s="594" t="str">
        <f t="shared" ref="AE42:AE47" si="27">IF(AA42=0,0,IF($F42&amp;"/Día"=AC$9,ROUND(AF42/AA42,4),""))</f>
        <v/>
      </c>
      <c r="AF42" s="592" t="str">
        <f t="shared" ref="AF42:AF47" si="28">IF(AA42&lt;&gt;"",$P42,"")</f>
        <v/>
      </c>
      <c r="AG42" s="595"/>
    </row>
    <row r="43" spans="1:35" x14ac:dyDescent="0.2">
      <c r="A43" s="376" t="s">
        <v>28</v>
      </c>
      <c r="B43" s="24" t="s">
        <v>12</v>
      </c>
      <c r="C43" s="378" t="s">
        <v>31</v>
      </c>
      <c r="D43" s="378" t="s">
        <v>30</v>
      </c>
      <c r="E43" s="378" t="s">
        <v>101</v>
      </c>
      <c r="F43" s="781" t="s">
        <v>56</v>
      </c>
      <c r="G43" s="587">
        <v>815.97180000000003</v>
      </c>
      <c r="H43" s="587"/>
      <c r="I43" s="588">
        <v>3.6034999999999999</v>
      </c>
      <c r="J43" s="588"/>
      <c r="K43" s="253"/>
      <c r="L43" s="253"/>
      <c r="M43" s="253"/>
      <c r="N43" s="721"/>
      <c r="O43" s="589">
        <f>ROUND(G43*I43,2)+ROUND(H43*J43,2)-K43-L43-M43-N43</f>
        <v>2940.35</v>
      </c>
      <c r="P43" s="253">
        <f>ROUND(18.75%*O43,2)</f>
        <v>551.32000000000005</v>
      </c>
      <c r="Q43" s="253">
        <f>ROUND($O43*R43,2)</f>
        <v>110.26</v>
      </c>
      <c r="R43" s="591">
        <v>3.7499999999999999E-2</v>
      </c>
      <c r="S43" s="253">
        <f>ROUND($O43*T43,2)</f>
        <v>441.05</v>
      </c>
      <c r="T43" s="590">
        <v>0.15</v>
      </c>
      <c r="U43" s="592" t="str">
        <f t="shared" si="17"/>
        <v/>
      </c>
      <c r="V43" s="592" t="str">
        <f t="shared" si="18"/>
        <v/>
      </c>
      <c r="W43" s="593" t="str">
        <f t="shared" si="19"/>
        <v/>
      </c>
      <c r="X43" s="594" t="str">
        <f t="shared" si="20"/>
        <v/>
      </c>
      <c r="Y43" s="594" t="str">
        <f t="shared" si="21"/>
        <v/>
      </c>
      <c r="Z43" s="592" t="str">
        <f t="shared" si="22"/>
        <v/>
      </c>
      <c r="AA43" s="592">
        <f t="shared" si="23"/>
        <v>815.97180000000003</v>
      </c>
      <c r="AB43" s="592">
        <f t="shared" si="24"/>
        <v>2940.35</v>
      </c>
      <c r="AC43" s="593">
        <f t="shared" si="25"/>
        <v>27.2</v>
      </c>
      <c r="AD43" s="594">
        <f t="shared" si="26"/>
        <v>3.6034999999999999</v>
      </c>
      <c r="AE43" s="594">
        <f t="shared" si="27"/>
        <v>0.67569999999999997</v>
      </c>
      <c r="AF43" s="592">
        <f t="shared" si="28"/>
        <v>551.32000000000005</v>
      </c>
      <c r="AG43" s="595"/>
      <c r="AI43" s="597"/>
    </row>
    <row r="44" spans="1:35" x14ac:dyDescent="0.2">
      <c r="A44" s="376" t="s">
        <v>28</v>
      </c>
      <c r="B44" s="24" t="s">
        <v>75</v>
      </c>
      <c r="C44" s="378" t="s">
        <v>31</v>
      </c>
      <c r="D44" s="378" t="s">
        <v>30</v>
      </c>
      <c r="E44" s="378" t="s">
        <v>103</v>
      </c>
      <c r="F44" s="781" t="s">
        <v>37</v>
      </c>
      <c r="G44" s="587"/>
      <c r="H44" s="587"/>
      <c r="I44" s="588"/>
      <c r="J44" s="588"/>
      <c r="K44" s="253"/>
      <c r="L44" s="253"/>
      <c r="M44" s="253"/>
      <c r="N44" s="721"/>
      <c r="O44" s="589">
        <f>ROUND(G44*I44,2)+ROUND(H44*J44,2)-K44-L44-M44-N44</f>
        <v>0</v>
      </c>
      <c r="P44" s="253">
        <f>ROUND(18.75%*O44,2)</f>
        <v>0</v>
      </c>
      <c r="Q44" s="253">
        <f>ROUND($O44*R44,2)</f>
        <v>0</v>
      </c>
      <c r="R44" s="591">
        <v>3.7499999999999999E-2</v>
      </c>
      <c r="S44" s="253">
        <f>ROUND($O44*T44,2)</f>
        <v>0</v>
      </c>
      <c r="T44" s="590">
        <v>0.15</v>
      </c>
      <c r="U44" s="592">
        <f t="shared" si="17"/>
        <v>0</v>
      </c>
      <c r="V44" s="592">
        <f t="shared" si="18"/>
        <v>0</v>
      </c>
      <c r="W44" s="593">
        <f t="shared" si="19"/>
        <v>0</v>
      </c>
      <c r="X44" s="594">
        <f t="shared" si="20"/>
        <v>0</v>
      </c>
      <c r="Y44" s="594">
        <f t="shared" si="21"/>
        <v>0</v>
      </c>
      <c r="Z44" s="592">
        <f t="shared" si="22"/>
        <v>0</v>
      </c>
      <c r="AA44" s="592" t="str">
        <f t="shared" si="23"/>
        <v/>
      </c>
      <c r="AB44" s="592" t="str">
        <f t="shared" si="24"/>
        <v/>
      </c>
      <c r="AC44" s="593" t="str">
        <f t="shared" si="25"/>
        <v/>
      </c>
      <c r="AD44" s="594" t="str">
        <f t="shared" si="26"/>
        <v/>
      </c>
      <c r="AE44" s="594" t="str">
        <f t="shared" si="27"/>
        <v/>
      </c>
      <c r="AF44" s="592" t="str">
        <f t="shared" si="28"/>
        <v/>
      </c>
      <c r="AG44" s="595"/>
    </row>
    <row r="45" spans="1:35" x14ac:dyDescent="0.2">
      <c r="A45" s="376" t="s">
        <v>28</v>
      </c>
      <c r="B45" s="578">
        <v>95</v>
      </c>
      <c r="C45" s="378" t="s">
        <v>31</v>
      </c>
      <c r="D45" s="378" t="s">
        <v>30</v>
      </c>
      <c r="E45" s="378" t="s">
        <v>101</v>
      </c>
      <c r="F45" s="781" t="s">
        <v>37</v>
      </c>
      <c r="G45" s="587">
        <v>212058</v>
      </c>
      <c r="H45" s="587">
        <v>200280</v>
      </c>
      <c r="I45" s="588">
        <v>44.2254</v>
      </c>
      <c r="J45" s="588">
        <v>42.982500000000002</v>
      </c>
      <c r="K45" s="587"/>
      <c r="L45" s="253"/>
      <c r="M45" s="253"/>
      <c r="N45" s="721"/>
      <c r="O45" s="589">
        <f>ROUND(G45*I45,2)+ROUND(H45*J45,2)-K45-L45-M45-N45</f>
        <v>17986884.969999999</v>
      </c>
      <c r="P45" s="253">
        <f>ROUND(18.75%*O45,2)</f>
        <v>3372540.93</v>
      </c>
      <c r="Q45" s="253">
        <f>P45-S45</f>
        <v>2698032.74</v>
      </c>
      <c r="R45" s="590">
        <v>0.15</v>
      </c>
      <c r="S45" s="253">
        <f>ROUND($O45*T45,2)</f>
        <v>674508.19</v>
      </c>
      <c r="T45" s="591">
        <v>3.7499999999999999E-2</v>
      </c>
      <c r="U45" s="592">
        <f>IF($F45&amp;"/Día"=W$9,SUM($G45:$H45),"")</f>
        <v>412338</v>
      </c>
      <c r="V45" s="592">
        <f>IF(U45&lt;&gt;"",$O45,"")</f>
        <v>17986884.969999999</v>
      </c>
      <c r="W45" s="593">
        <f>IF($F45&amp;"/Día"=W$9,ROUND(U45/$W$1,1),"")</f>
        <v>13744.6</v>
      </c>
      <c r="X45" s="594">
        <f>IF(U45=0,0,IF($F45&amp;"/Día"=W$9,ROUND(V45/U45,4),""))</f>
        <v>43.621699999999997</v>
      </c>
      <c r="Y45" s="594">
        <f>IF(U45=0,0,IF($F45&amp;"/Día"=W$9,ROUND(Z45/U45,4),""))</f>
        <v>8.1791</v>
      </c>
      <c r="Z45" s="592">
        <f>IF(U45&lt;&gt;"",$P45,"")</f>
        <v>3372540.93</v>
      </c>
      <c r="AA45" s="592" t="str">
        <f>IF($F45&amp;"/Día"=AC$9,SUM($G45:$H45),"")</f>
        <v/>
      </c>
      <c r="AB45" s="592" t="str">
        <f>IF(AA45&lt;&gt;"",$O45,"")</f>
        <v/>
      </c>
      <c r="AC45" s="593" t="str">
        <f>IF($F45&amp;"/Día"=AC$9,ROUND(AA45/$W$1,1),"")</f>
        <v/>
      </c>
      <c r="AD45" s="594" t="str">
        <f>IF(AA45=0,0,IF($F45&amp;"/Día"=AC$9,ROUND(AB45/AA45,4),""))</f>
        <v/>
      </c>
      <c r="AE45" s="594" t="str">
        <f>IF(AA45=0,0,IF($F45&amp;"/Día"=AC$9,ROUND(AF45/AA45,4),""))</f>
        <v/>
      </c>
      <c r="AF45" s="592" t="str">
        <f>IF(AA45&lt;&gt;"",$P45,"")</f>
        <v/>
      </c>
      <c r="AG45" s="595"/>
    </row>
    <row r="46" spans="1:35" x14ac:dyDescent="0.2">
      <c r="A46" s="376" t="s">
        <v>28</v>
      </c>
      <c r="B46" s="272">
        <v>67</v>
      </c>
      <c r="C46" s="378" t="s">
        <v>31</v>
      </c>
      <c r="D46" s="378" t="s">
        <v>30</v>
      </c>
      <c r="E46" s="378" t="s">
        <v>101</v>
      </c>
      <c r="F46" s="781" t="s">
        <v>37</v>
      </c>
      <c r="G46" s="587"/>
      <c r="H46" s="587"/>
      <c r="I46" s="588"/>
      <c r="J46" s="588"/>
      <c r="K46" s="587"/>
      <c r="L46" s="253"/>
      <c r="M46" s="733"/>
      <c r="N46" s="253"/>
      <c r="O46" s="589">
        <f>ROUND(G46*I46,2)+ROUND(H46*J46,2)-K46-L46-M46-N46</f>
        <v>0</v>
      </c>
      <c r="P46" s="253">
        <f>ROUND(18.75%*O46,2)</f>
        <v>0</v>
      </c>
      <c r="Q46" s="253">
        <f>P46-S46</f>
        <v>0</v>
      </c>
      <c r="R46" s="590">
        <v>0.15</v>
      </c>
      <c r="S46" s="253">
        <f>ROUND($O46*T46,2)</f>
        <v>0</v>
      </c>
      <c r="T46" s="591">
        <v>3.7499999999999999E-2</v>
      </c>
      <c r="U46" s="592">
        <f>IF($F46&amp;"/Día"=W$9,SUM($G46:$H46),"")</f>
        <v>0</v>
      </c>
      <c r="V46" s="592">
        <f>IF(U46&lt;&gt;"",$O46,"")</f>
        <v>0</v>
      </c>
      <c r="W46" s="593">
        <f>IF($F46&amp;"/Día"=W$9,ROUND(U46/$W$1,1),"")</f>
        <v>0</v>
      </c>
      <c r="X46" s="594">
        <f>IF(U46=0,0,IF($F46&amp;"/Día"=W$9,ROUND(V46/U46,4),""))</f>
        <v>0</v>
      </c>
      <c r="Y46" s="594">
        <f>IF(U46=0,0,IF($F46&amp;"/Día"=W$9,ROUND(Z46/U46,4),""))</f>
        <v>0</v>
      </c>
      <c r="Z46" s="592">
        <f>IF(U46&lt;&gt;"",$P46,"")</f>
        <v>0</v>
      </c>
      <c r="AA46" s="592" t="str">
        <f>IF($F46&amp;"/Día"=AC$9,SUM($G46:$H46),"")</f>
        <v/>
      </c>
      <c r="AB46" s="592" t="str">
        <f>IF(AA46&lt;&gt;"",$O46,"")</f>
        <v/>
      </c>
      <c r="AC46" s="593" t="str">
        <f>IF($F46&amp;"/Día"=AC$9,ROUND(AA46/$W$1,1),"")</f>
        <v/>
      </c>
      <c r="AD46" s="594" t="str">
        <f>IF(AA46=0,0,IF($F46&amp;"/Día"=AC$9,ROUND(AB46/AA46,4),""))</f>
        <v/>
      </c>
      <c r="AE46" s="594" t="str">
        <f>IF(AA46=0,0,IF($F46&amp;"/Día"=AC$9,ROUND(AF46/AA46,4),""))</f>
        <v/>
      </c>
      <c r="AF46" s="592" t="str">
        <f>IF(AA46&lt;&gt;"",$P46,"")</f>
        <v/>
      </c>
      <c r="AG46" s="595"/>
    </row>
    <row r="47" spans="1:35" x14ac:dyDescent="0.2">
      <c r="A47" s="782" t="s">
        <v>28</v>
      </c>
      <c r="B47" s="29" t="s">
        <v>54</v>
      </c>
      <c r="C47" s="731"/>
      <c r="D47" s="732"/>
      <c r="E47" s="732"/>
      <c r="F47" s="781"/>
      <c r="G47" s="253"/>
      <c r="H47" s="253"/>
      <c r="I47" s="728"/>
      <c r="J47" s="728"/>
      <c r="K47" s="253"/>
      <c r="L47" s="253"/>
      <c r="M47" s="253"/>
      <c r="N47" s="253"/>
      <c r="O47" s="253"/>
      <c r="P47" s="253"/>
      <c r="Q47" s="253"/>
      <c r="R47" s="253"/>
      <c r="S47" s="253"/>
      <c r="T47" s="590"/>
      <c r="U47" s="592" t="str">
        <f t="shared" si="17"/>
        <v/>
      </c>
      <c r="V47" s="592" t="str">
        <f t="shared" si="18"/>
        <v/>
      </c>
      <c r="W47" s="593" t="str">
        <f t="shared" si="19"/>
        <v/>
      </c>
      <c r="X47" s="594" t="str">
        <f t="shared" si="20"/>
        <v/>
      </c>
      <c r="Y47" s="594" t="str">
        <f t="shared" si="21"/>
        <v/>
      </c>
      <c r="Z47" s="592" t="str">
        <f t="shared" si="22"/>
        <v/>
      </c>
      <c r="AA47" s="592" t="str">
        <f t="shared" si="23"/>
        <v/>
      </c>
      <c r="AB47" s="592" t="str">
        <f t="shared" si="24"/>
        <v/>
      </c>
      <c r="AC47" s="593" t="str">
        <f t="shared" si="25"/>
        <v/>
      </c>
      <c r="AD47" s="594" t="str">
        <f t="shared" si="26"/>
        <v/>
      </c>
      <c r="AE47" s="594" t="str">
        <f t="shared" si="27"/>
        <v/>
      </c>
      <c r="AF47" s="592" t="str">
        <f t="shared" si="28"/>
        <v/>
      </c>
      <c r="AG47" s="595"/>
    </row>
    <row r="48" spans="1:35" x14ac:dyDescent="0.2">
      <c r="A48" s="735"/>
      <c r="B48" s="153" t="s">
        <v>108</v>
      </c>
      <c r="C48" s="737" t="str">
        <f>TEXT(A$41,)&amp;" US$"</f>
        <v>Loreto / Ucayali US$</v>
      </c>
      <c r="D48" s="783"/>
      <c r="E48" s="783"/>
      <c r="F48" s="784"/>
      <c r="G48" s="785"/>
      <c r="H48" s="785"/>
      <c r="I48" s="786"/>
      <c r="J48" s="787"/>
      <c r="K48" s="788"/>
      <c r="L48" s="788"/>
      <c r="M48" s="788"/>
      <c r="N48" s="616"/>
      <c r="O48" s="616">
        <f>SUM(O42:O47)</f>
        <v>21621954.84</v>
      </c>
      <c r="P48" s="616">
        <f>SUM(P42:P47)</f>
        <v>4054116.54</v>
      </c>
      <c r="Q48" s="616">
        <f>SUM(Q42:Q47)</f>
        <v>3242962.43</v>
      </c>
      <c r="R48" s="789"/>
      <c r="S48" s="616">
        <f>SUM(S42:S47)</f>
        <v>811154.09999999986</v>
      </c>
      <c r="T48" s="742"/>
      <c r="U48" s="744">
        <f>SUM(U42:U47)</f>
        <v>475507</v>
      </c>
      <c r="V48" s="744">
        <f>SUM(V42:V47)</f>
        <v>21619014.489999998</v>
      </c>
      <c r="W48" s="745">
        <f>SUM(W42:W47)</f>
        <v>15850.2</v>
      </c>
      <c r="X48" s="746">
        <f>ROUND(V48/U48,4)</f>
        <v>45.465200000000003</v>
      </c>
      <c r="Y48" s="746">
        <f>ROUND(Z48/U48,4)</f>
        <v>8.5246999999999993</v>
      </c>
      <c r="Z48" s="744">
        <f>SUM(Z42:Z47)</f>
        <v>4053565.22</v>
      </c>
      <c r="AA48" s="744">
        <f>SUM(AA42:AA47)</f>
        <v>815.97180000000003</v>
      </c>
      <c r="AB48" s="744">
        <f>SUM(AB42:AB47)</f>
        <v>2940.35</v>
      </c>
      <c r="AC48" s="745">
        <f>SUM(AC42:AC47)</f>
        <v>27.2</v>
      </c>
      <c r="AD48" s="746">
        <f>ROUND(AB48/AA48,4)</f>
        <v>3.6034999999999999</v>
      </c>
      <c r="AE48" s="746">
        <f>ROUND(AF48/AA48,4)</f>
        <v>0.67569999999999997</v>
      </c>
      <c r="AF48" s="744">
        <f>SUM(AF42:AF47)</f>
        <v>551.32000000000005</v>
      </c>
      <c r="AG48" s="744">
        <f>P48-Z48-AF48</f>
        <v>-1.6768808563938364E-10</v>
      </c>
    </row>
    <row r="49" spans="1:39" x14ac:dyDescent="0.2">
      <c r="A49" s="790"/>
      <c r="B49" s="146"/>
      <c r="C49" s="737" t="str">
        <f>TEXT(A$41,)&amp;" S/."</f>
        <v>Loreto / Ucayali S/.</v>
      </c>
      <c r="D49" s="792"/>
      <c r="E49" s="792"/>
      <c r="F49" s="790"/>
      <c r="G49" s="793"/>
      <c r="H49" s="793"/>
      <c r="I49" s="794"/>
      <c r="J49" s="794"/>
      <c r="K49" s="793"/>
      <c r="L49" s="793"/>
      <c r="M49" s="793"/>
      <c r="N49" s="793"/>
      <c r="O49" s="667"/>
      <c r="P49" s="667">
        <f>ROUND($F$1*P48,2)</f>
        <v>0</v>
      </c>
      <c r="Q49" s="667">
        <f>ROUND($F$1*Q48,2)</f>
        <v>0</v>
      </c>
      <c r="R49" s="795"/>
      <c r="S49" s="667">
        <f>ROUND($F$1*S48,2)</f>
        <v>0</v>
      </c>
      <c r="T49" s="757"/>
      <c r="U49" s="796"/>
      <c r="V49" s="796"/>
      <c r="W49" s="797"/>
      <c r="X49" s="798"/>
      <c r="Y49" s="798"/>
      <c r="Z49" s="796"/>
      <c r="AA49" s="796"/>
      <c r="AB49" s="796"/>
      <c r="AC49" s="797"/>
      <c r="AD49" s="798"/>
      <c r="AE49" s="798"/>
      <c r="AF49" s="796"/>
      <c r="AG49" s="796"/>
    </row>
    <row r="50" spans="1:39" x14ac:dyDescent="0.2">
      <c r="A50" s="708" t="s">
        <v>161</v>
      </c>
      <c r="B50" s="16"/>
      <c r="C50" s="709"/>
      <c r="D50" s="709"/>
      <c r="E50" s="711"/>
      <c r="F50" s="708"/>
      <c r="G50" s="799"/>
      <c r="H50" s="800"/>
      <c r="I50" s="801"/>
      <c r="J50" s="802"/>
      <c r="K50" s="799"/>
      <c r="L50" s="799"/>
      <c r="M50" s="799"/>
      <c r="N50" s="799"/>
      <c r="O50" s="799"/>
      <c r="P50" s="803" t="s">
        <v>163</v>
      </c>
      <c r="Q50" s="803" t="s">
        <v>161</v>
      </c>
      <c r="R50" s="717"/>
      <c r="S50" s="804"/>
      <c r="T50" s="805"/>
      <c r="U50" s="796"/>
      <c r="V50" s="796"/>
      <c r="W50" s="797"/>
      <c r="X50" s="798"/>
      <c r="Y50" s="798"/>
      <c r="Z50" s="796"/>
      <c r="AA50" s="796"/>
      <c r="AB50" s="796"/>
      <c r="AC50" s="797"/>
      <c r="AD50" s="798"/>
      <c r="AE50" s="798"/>
      <c r="AF50" s="796"/>
      <c r="AG50" s="796"/>
    </row>
    <row r="51" spans="1:39" x14ac:dyDescent="0.2">
      <c r="A51" s="376" t="s">
        <v>28</v>
      </c>
      <c r="B51" s="24" t="s">
        <v>160</v>
      </c>
      <c r="C51" s="378" t="s">
        <v>31</v>
      </c>
      <c r="D51" s="378" t="s">
        <v>30</v>
      </c>
      <c r="E51" s="378" t="s">
        <v>158</v>
      </c>
      <c r="F51" s="781" t="s">
        <v>37</v>
      </c>
      <c r="G51" s="253">
        <v>713630</v>
      </c>
      <c r="H51" s="253">
        <v>714759</v>
      </c>
      <c r="I51" s="728">
        <v>33.6952</v>
      </c>
      <c r="J51" s="728">
        <v>33.458599999999997</v>
      </c>
      <c r="K51" s="253"/>
      <c r="L51" s="253"/>
      <c r="M51" s="253"/>
      <c r="N51" s="253"/>
      <c r="O51" s="589">
        <f>G51*I51+H51*J51</f>
        <v>47960741.053399995</v>
      </c>
      <c r="P51" s="253">
        <f>ROUND(37.24%*(G51*I51+H51*J51),2)</f>
        <v>17860579.969999999</v>
      </c>
      <c r="Q51" s="253">
        <f>ROUND(R51*P51,2)</f>
        <v>8930289.9900000002</v>
      </c>
      <c r="R51" s="590">
        <v>0.5</v>
      </c>
      <c r="S51" s="253"/>
      <c r="T51" s="591"/>
      <c r="U51" s="592">
        <f t="shared" ref="U51:U57" si="29">IF($F51&amp;"/Día"=W$9,SUM($G51:$H51),"")</f>
        <v>1428389</v>
      </c>
      <c r="V51" s="592">
        <f t="shared" ref="V51:V57" si="30">IF(U51&lt;&gt;"",$O51,"")</f>
        <v>47960741.053399995</v>
      </c>
      <c r="W51" s="593">
        <f t="shared" ref="W51:W57" si="31">IF($F51&amp;"/Día"=W$9,ROUND(U51/$W$1,1),"")</f>
        <v>47613</v>
      </c>
      <c r="X51" s="594">
        <f t="shared" ref="X51:X57" si="32">IF(U51=0,0,IF($F51&amp;"/Día"=W$9,ROUND(V51/U51,4),""))</f>
        <v>33.576799999999999</v>
      </c>
      <c r="Y51" s="594">
        <f t="shared" ref="Y51:Y57" si="33">IF(U51=0,0,IF($F51&amp;"/Día"=W$9,ROUND(Z51/U51,4),""))</f>
        <v>6.2519999999999998</v>
      </c>
      <c r="Z51" s="592">
        <f t="shared" ref="Z51:Z57" si="34">IF(U51&lt;&gt;"",$Q51,"")</f>
        <v>8930289.9900000002</v>
      </c>
      <c r="AA51" s="592" t="str">
        <f t="shared" ref="AA51:AA57" si="35">IF($F51&amp;"/Día"=AC$9,SUM($G51:$H51),"")</f>
        <v/>
      </c>
      <c r="AB51" s="592" t="str">
        <f t="shared" ref="AB51:AB57" si="36">IF(AA51&lt;&gt;"",$O51,"")</f>
        <v/>
      </c>
      <c r="AC51" s="593" t="str">
        <f t="shared" ref="AC51:AC57" si="37">IF($F51&amp;"/Día"=AC$9,ROUND(AA51/$W$1,1),"")</f>
        <v/>
      </c>
      <c r="AD51" s="594" t="str">
        <f t="shared" ref="AD51:AD57" si="38">IF(AA51=0,0,IF($F51&amp;"/Día"=AC$9,ROUND(AB51/AA51,4),""))</f>
        <v/>
      </c>
      <c r="AE51" s="594" t="str">
        <f t="shared" ref="AE51:AE57" si="39">IF(AA51=0,0,IF($F51&amp;"/Día"=AC$9,ROUND(AF51/AA51,4),""))</f>
        <v/>
      </c>
      <c r="AF51" s="592" t="str">
        <f t="shared" ref="AF51:AF57" si="40">IF(AA51&lt;&gt;"",$Q51,"")</f>
        <v/>
      </c>
      <c r="AG51" s="796"/>
    </row>
    <row r="52" spans="1:39" x14ac:dyDescent="0.2">
      <c r="A52" s="376" t="s">
        <v>28</v>
      </c>
      <c r="B52" s="24" t="s">
        <v>159</v>
      </c>
      <c r="C52" s="378" t="s">
        <v>31</v>
      </c>
      <c r="D52" s="378" t="s">
        <v>30</v>
      </c>
      <c r="E52" s="378" t="s">
        <v>158</v>
      </c>
      <c r="F52" s="781" t="s">
        <v>56</v>
      </c>
      <c r="G52" s="253">
        <f>+G284</f>
        <v>12580233.113600001</v>
      </c>
      <c r="H52" s="253">
        <f>+H292</f>
        <v>13163781.219500002</v>
      </c>
      <c r="I52" s="728">
        <f>+I284</f>
        <v>2.7669000000000001</v>
      </c>
      <c r="J52" s="728">
        <f>+J292</f>
        <v>2.7642000000000002</v>
      </c>
      <c r="K52" s="253"/>
      <c r="L52" s="253"/>
      <c r="M52" s="253"/>
      <c r="N52" s="253"/>
      <c r="O52" s="253">
        <f>O284</f>
        <v>34808401.800000004</v>
      </c>
      <c r="P52" s="253">
        <f>P284</f>
        <v>12980578.190000001</v>
      </c>
      <c r="Q52" s="253">
        <f>Q284</f>
        <v>6490289.1100000003</v>
      </c>
      <c r="R52" s="590">
        <v>0.5</v>
      </c>
      <c r="S52" s="253"/>
      <c r="T52" s="590"/>
      <c r="U52" s="592" t="str">
        <f t="shared" si="29"/>
        <v/>
      </c>
      <c r="V52" s="592" t="str">
        <f t="shared" si="30"/>
        <v/>
      </c>
      <c r="W52" s="593" t="str">
        <f t="shared" si="31"/>
        <v/>
      </c>
      <c r="X52" s="594" t="str">
        <f t="shared" si="32"/>
        <v/>
      </c>
      <c r="Y52" s="594" t="str">
        <f t="shared" si="33"/>
        <v/>
      </c>
      <c r="Z52" s="592" t="str">
        <f t="shared" si="34"/>
        <v/>
      </c>
      <c r="AA52" s="592">
        <f t="shared" si="35"/>
        <v>25744014.333100002</v>
      </c>
      <c r="AB52" s="592">
        <f t="shared" si="36"/>
        <v>34808401.800000004</v>
      </c>
      <c r="AC52" s="593">
        <f t="shared" si="37"/>
        <v>858133.8</v>
      </c>
      <c r="AD52" s="594">
        <f t="shared" si="38"/>
        <v>1.3521000000000001</v>
      </c>
      <c r="AE52" s="594">
        <f t="shared" si="39"/>
        <v>0.25209999999999999</v>
      </c>
      <c r="AF52" s="592">
        <f t="shared" si="40"/>
        <v>6490289.1100000003</v>
      </c>
      <c r="AG52" s="796"/>
    </row>
    <row r="53" spans="1:39" x14ac:dyDescent="0.2">
      <c r="A53" s="376" t="s">
        <v>28</v>
      </c>
      <c r="B53" s="24" t="s">
        <v>168</v>
      </c>
      <c r="C53" s="378" t="s">
        <v>31</v>
      </c>
      <c r="D53" s="378" t="s">
        <v>30</v>
      </c>
      <c r="E53" s="378" t="s">
        <v>158</v>
      </c>
      <c r="F53" s="781" t="s">
        <v>37</v>
      </c>
      <c r="G53" s="253">
        <v>166080</v>
      </c>
      <c r="H53" s="253">
        <v>171211</v>
      </c>
      <c r="I53" s="728">
        <v>33.688099999999999</v>
      </c>
      <c r="J53" s="728">
        <v>33.459099999999999</v>
      </c>
      <c r="K53" s="253"/>
      <c r="L53" s="253"/>
      <c r="M53" s="253"/>
      <c r="N53" s="253"/>
      <c r="O53" s="589">
        <f>G53*I53+H53*J53</f>
        <v>11323485.618099999</v>
      </c>
      <c r="P53" s="253">
        <f>ROUND(40%*G53*I53,2)+ROUND(40%*H53*J53,2)</f>
        <v>4529394.25</v>
      </c>
      <c r="Q53" s="253">
        <f t="shared" ref="Q53:Q56" si="41">ROUND(R53*P53,2)</f>
        <v>2264697.13</v>
      </c>
      <c r="R53" s="590">
        <v>0.5</v>
      </c>
      <c r="S53" s="253"/>
      <c r="T53" s="590"/>
      <c r="U53" s="592">
        <f t="shared" si="29"/>
        <v>337291</v>
      </c>
      <c r="V53" s="592">
        <f t="shared" si="30"/>
        <v>11323485.618099999</v>
      </c>
      <c r="W53" s="593">
        <f t="shared" si="31"/>
        <v>11243</v>
      </c>
      <c r="X53" s="594">
        <f t="shared" si="32"/>
        <v>33.571899999999999</v>
      </c>
      <c r="Y53" s="594">
        <f t="shared" si="33"/>
        <v>6.7144000000000004</v>
      </c>
      <c r="Z53" s="592">
        <f t="shared" si="34"/>
        <v>2264697.13</v>
      </c>
      <c r="AA53" s="592" t="str">
        <f t="shared" si="35"/>
        <v/>
      </c>
      <c r="AB53" s="592" t="str">
        <f t="shared" si="36"/>
        <v/>
      </c>
      <c r="AC53" s="593" t="str">
        <f t="shared" si="37"/>
        <v/>
      </c>
      <c r="AD53" s="594" t="str">
        <f t="shared" si="38"/>
        <v/>
      </c>
      <c r="AE53" s="594" t="str">
        <f t="shared" si="39"/>
        <v/>
      </c>
      <c r="AF53" s="592" t="str">
        <f t="shared" si="40"/>
        <v/>
      </c>
      <c r="AG53" s="796"/>
    </row>
    <row r="54" spans="1:39" x14ac:dyDescent="0.2">
      <c r="A54" s="376" t="s">
        <v>28</v>
      </c>
      <c r="B54" s="24" t="s">
        <v>169</v>
      </c>
      <c r="C54" s="378" t="s">
        <v>31</v>
      </c>
      <c r="D54" s="378" t="s">
        <v>30</v>
      </c>
      <c r="E54" s="378" t="s">
        <v>158</v>
      </c>
      <c r="F54" s="781" t="s">
        <v>56</v>
      </c>
      <c r="G54" s="253">
        <v>3947721.7028000001</v>
      </c>
      <c r="H54" s="253">
        <v>4106752.58</v>
      </c>
      <c r="I54" s="728">
        <v>2.8860000000000001</v>
      </c>
      <c r="J54" s="728">
        <v>2.85</v>
      </c>
      <c r="K54" s="253"/>
      <c r="L54" s="253"/>
      <c r="M54" s="253"/>
      <c r="N54" s="253"/>
      <c r="O54" s="589">
        <f>G54*I54+H54*J54</f>
        <v>23097369.6872808</v>
      </c>
      <c r="P54" s="1099">
        <f>ROUND(38%*G54*I54,2)+ROUND(38%*H54*J54,2)</f>
        <v>8777000.4800000004</v>
      </c>
      <c r="Q54" s="1099">
        <f>ROUND(R54*P54,2)</f>
        <v>4388500.24</v>
      </c>
      <c r="R54" s="590">
        <v>0.5</v>
      </c>
      <c r="S54" s="253"/>
      <c r="T54" s="590"/>
      <c r="U54" s="592" t="str">
        <f t="shared" si="29"/>
        <v/>
      </c>
      <c r="V54" s="592" t="str">
        <f t="shared" si="30"/>
        <v/>
      </c>
      <c r="W54" s="593" t="str">
        <f t="shared" si="31"/>
        <v/>
      </c>
      <c r="X54" s="594" t="str">
        <f t="shared" si="32"/>
        <v/>
      </c>
      <c r="Y54" s="594" t="str">
        <f t="shared" si="33"/>
        <v/>
      </c>
      <c r="Z54" s="592" t="str">
        <f t="shared" si="34"/>
        <v/>
      </c>
      <c r="AA54" s="592">
        <f t="shared" si="35"/>
        <v>8054474.2828000002</v>
      </c>
      <c r="AB54" s="592">
        <f t="shared" si="36"/>
        <v>23097369.6872808</v>
      </c>
      <c r="AC54" s="593">
        <f t="shared" si="37"/>
        <v>268482.5</v>
      </c>
      <c r="AD54" s="594">
        <f t="shared" si="38"/>
        <v>2.8675999999999999</v>
      </c>
      <c r="AE54" s="594">
        <f t="shared" si="39"/>
        <v>0.54490000000000005</v>
      </c>
      <c r="AF54" s="592">
        <f t="shared" si="40"/>
        <v>4388500.24</v>
      </c>
      <c r="AG54" s="796"/>
    </row>
    <row r="55" spans="1:39" x14ac:dyDescent="0.2">
      <c r="A55" s="376" t="s">
        <v>28</v>
      </c>
      <c r="B55" s="28" t="s">
        <v>175</v>
      </c>
      <c r="C55" s="378" t="s">
        <v>31</v>
      </c>
      <c r="D55" s="378" t="s">
        <v>30</v>
      </c>
      <c r="E55" s="378" t="s">
        <v>158</v>
      </c>
      <c r="F55" s="781" t="s">
        <v>37</v>
      </c>
      <c r="G55" s="253">
        <v>238905</v>
      </c>
      <c r="H55" s="253">
        <v>239856</v>
      </c>
      <c r="I55" s="728">
        <v>32.001899999999999</v>
      </c>
      <c r="J55" s="728">
        <v>32.302999999999997</v>
      </c>
      <c r="K55" s="587"/>
      <c r="L55" s="253"/>
      <c r="M55" s="253"/>
      <c r="N55" s="587"/>
      <c r="O55" s="589">
        <f>G55*I55+H55*J55</f>
        <v>15393482.2875</v>
      </c>
      <c r="P55" s="589">
        <f>ROUND(G55*I55,2)*6.73%+ROUND(H55*J55,2)*6.73%</f>
        <v>1035981.358117</v>
      </c>
      <c r="Q55" s="253">
        <f t="shared" si="41"/>
        <v>517990.68</v>
      </c>
      <c r="R55" s="590">
        <v>0.5</v>
      </c>
      <c r="S55" s="253"/>
      <c r="T55" s="591"/>
      <c r="U55" s="592">
        <f>IF($F55&amp;"/Día"=W$9,SUM($G55:$H55),"")</f>
        <v>478761</v>
      </c>
      <c r="V55" s="592">
        <f t="shared" si="30"/>
        <v>15393482.2875</v>
      </c>
      <c r="W55" s="593">
        <f t="shared" si="31"/>
        <v>15958.7</v>
      </c>
      <c r="X55" s="594">
        <f t="shared" si="32"/>
        <v>32.152700000000003</v>
      </c>
      <c r="Y55" s="594">
        <f>IF(U55=0,0,IF($F55&amp;"/Día"=W$9,ROUND(Z55/U55,4),""))</f>
        <v>1.0819000000000001</v>
      </c>
      <c r="Z55" s="592">
        <f>IF(U55&lt;&gt;"",$Q55,"")</f>
        <v>517990.68</v>
      </c>
      <c r="AA55" s="592" t="str">
        <f t="shared" si="35"/>
        <v/>
      </c>
      <c r="AB55" s="592" t="str">
        <f t="shared" si="36"/>
        <v/>
      </c>
      <c r="AC55" s="593" t="str">
        <f t="shared" si="37"/>
        <v/>
      </c>
      <c r="AD55" s="594" t="str">
        <f t="shared" si="38"/>
        <v/>
      </c>
      <c r="AE55" s="594" t="str">
        <f>IF(AA55=0,0,IF($F55&amp;"/Día"=AC$9,ROUND(AF55/AA55,4),""))</f>
        <v/>
      </c>
      <c r="AF55" s="592" t="str">
        <f>IF(AA55&lt;&gt;"",$Q55,"")</f>
        <v/>
      </c>
      <c r="AG55" s="796"/>
    </row>
    <row r="56" spans="1:39" x14ac:dyDescent="0.2">
      <c r="A56" s="376" t="s">
        <v>28</v>
      </c>
      <c r="B56" s="272" t="s">
        <v>176</v>
      </c>
      <c r="C56" s="378" t="s">
        <v>31</v>
      </c>
      <c r="D56" s="378" t="s">
        <v>30</v>
      </c>
      <c r="E56" s="378" t="s">
        <v>158</v>
      </c>
      <c r="F56" s="781" t="s">
        <v>56</v>
      </c>
      <c r="G56" s="253">
        <v>3925967.3171999999</v>
      </c>
      <c r="H56" s="253">
        <v>4002660.2308999998</v>
      </c>
      <c r="I56" s="728">
        <v>4.0419999999999998</v>
      </c>
      <c r="J56" s="728">
        <v>4.0419999999999998</v>
      </c>
      <c r="K56" s="807"/>
      <c r="L56" s="253"/>
      <c r="M56" s="253"/>
      <c r="N56" s="587"/>
      <c r="O56" s="589">
        <f>G56*I56+H56*J56</f>
        <v>32047512.5494202</v>
      </c>
      <c r="P56" s="253">
        <f>ROUND(G56*I56,2)*11.09%+ROUND(H56*J56,2)*11.33%</f>
        <v>3592898.1481550001</v>
      </c>
      <c r="Q56" s="253">
        <f t="shared" si="41"/>
        <v>1796449.07</v>
      </c>
      <c r="R56" s="590">
        <v>0.5</v>
      </c>
      <c r="S56" s="253"/>
      <c r="T56" s="591"/>
      <c r="U56" s="592" t="str">
        <f>IF($F56&amp;"/Día"=W$9,SUM($G56:$H56),"")</f>
        <v/>
      </c>
      <c r="V56" s="592" t="str">
        <f t="shared" si="30"/>
        <v/>
      </c>
      <c r="W56" s="593" t="str">
        <f t="shared" si="31"/>
        <v/>
      </c>
      <c r="X56" s="594" t="str">
        <f t="shared" si="32"/>
        <v/>
      </c>
      <c r="Y56" s="594" t="str">
        <f>IF(U56=0,0,IF($F56&amp;"/Día"=W$9,ROUND(Z56/U56,4),""))</f>
        <v/>
      </c>
      <c r="Z56" s="592" t="str">
        <f>IF(U56&lt;&gt;"",$Q56,"")</f>
        <v/>
      </c>
      <c r="AA56" s="592">
        <f t="shared" si="35"/>
        <v>7928627.5481000002</v>
      </c>
      <c r="AB56" s="592">
        <f t="shared" si="36"/>
        <v>32047512.5494202</v>
      </c>
      <c r="AC56" s="593">
        <f t="shared" si="37"/>
        <v>264287.59999999998</v>
      </c>
      <c r="AD56" s="594">
        <f t="shared" si="38"/>
        <v>4.0419999999999998</v>
      </c>
      <c r="AE56" s="594">
        <f>IF(AA56=0,0,IF($F56&amp;"/Día"=AC$9,ROUND(AF56/AA56,4),""))</f>
        <v>0.2266</v>
      </c>
      <c r="AF56" s="592">
        <f>IF(AA56&lt;&gt;"",$Q56,"")</f>
        <v>1796449.07</v>
      </c>
      <c r="AG56" s="796"/>
    </row>
    <row r="57" spans="1:39" x14ac:dyDescent="0.2">
      <c r="A57" s="808" t="s">
        <v>28</v>
      </c>
      <c r="B57" s="182" t="s">
        <v>162</v>
      </c>
      <c r="C57" s="809"/>
      <c r="D57" s="809"/>
      <c r="E57" s="810"/>
      <c r="F57" s="773"/>
      <c r="G57" s="811"/>
      <c r="H57" s="812"/>
      <c r="I57" s="812"/>
      <c r="J57" s="813"/>
      <c r="K57" s="813"/>
      <c r="L57" s="813"/>
      <c r="M57" s="814"/>
      <c r="N57" s="814"/>
      <c r="O57" s="1098">
        <f>+O251</f>
        <v>2355741.3028843356</v>
      </c>
      <c r="P57" s="1098">
        <f t="shared" ref="P57:Q57" si="42">+P251</f>
        <v>1478319.3345209982</v>
      </c>
      <c r="Q57" s="1098">
        <f t="shared" si="42"/>
        <v>739159.64999999898</v>
      </c>
      <c r="R57" s="757"/>
      <c r="S57" s="816"/>
      <c r="T57" s="757"/>
      <c r="U57" s="592" t="str">
        <f t="shared" si="29"/>
        <v/>
      </c>
      <c r="V57" s="592" t="str">
        <f t="shared" si="30"/>
        <v/>
      </c>
      <c r="W57" s="593" t="str">
        <f t="shared" si="31"/>
        <v/>
      </c>
      <c r="X57" s="594" t="str">
        <f t="shared" si="32"/>
        <v/>
      </c>
      <c r="Y57" s="594" t="str">
        <f t="shared" si="33"/>
        <v/>
      </c>
      <c r="Z57" s="592" t="str">
        <f t="shared" si="34"/>
        <v/>
      </c>
      <c r="AA57" s="592" t="str">
        <f t="shared" si="35"/>
        <v/>
      </c>
      <c r="AB57" s="592" t="str">
        <f t="shared" si="36"/>
        <v/>
      </c>
      <c r="AC57" s="593" t="str">
        <f t="shared" si="37"/>
        <v/>
      </c>
      <c r="AD57" s="594" t="str">
        <f t="shared" si="38"/>
        <v/>
      </c>
      <c r="AE57" s="594" t="str">
        <f t="shared" si="39"/>
        <v/>
      </c>
      <c r="AF57" s="592" t="str">
        <f t="shared" si="40"/>
        <v/>
      </c>
      <c r="AG57" s="796"/>
    </row>
    <row r="58" spans="1:39" x14ac:dyDescent="0.2">
      <c r="A58" s="735"/>
      <c r="B58" s="736" t="s">
        <v>108</v>
      </c>
      <c r="C58" s="737" t="str">
        <f>TEXT(A$50,)&amp;" US$"</f>
        <v>Cusco US$</v>
      </c>
      <c r="D58" s="783"/>
      <c r="E58" s="783"/>
      <c r="F58" s="817"/>
      <c r="G58" s="254"/>
      <c r="H58" s="254"/>
      <c r="I58" s="304"/>
      <c r="J58" s="254"/>
      <c r="K58" s="265"/>
      <c r="L58" s="265"/>
      <c r="M58" s="818"/>
      <c r="N58" s="819"/>
      <c r="O58" s="819">
        <f>SUM(O51:O57)</f>
        <v>166986734.29858533</v>
      </c>
      <c r="P58" s="819">
        <f>SUM(P51:P57)</f>
        <v>50254751.730792999</v>
      </c>
      <c r="Q58" s="819">
        <f>SUM(Q51:Q57)</f>
        <v>25127375.869999997</v>
      </c>
      <c r="R58" s="820"/>
      <c r="S58" s="821"/>
      <c r="T58" s="757"/>
      <c r="U58" s="744">
        <f>SUM(U51:U57)</f>
        <v>2244441</v>
      </c>
      <c r="V58" s="744">
        <f>SUM(V51:V57)</f>
        <v>74677708.958999991</v>
      </c>
      <c r="W58" s="745">
        <f>SUM(W51:W57)</f>
        <v>74814.7</v>
      </c>
      <c r="X58" s="746">
        <f>ROUND(V58/U58,4)</f>
        <v>33.272300000000001</v>
      </c>
      <c r="Y58" s="746">
        <f>ROUND(Z58/U58,4)</f>
        <v>5.2187000000000001</v>
      </c>
      <c r="Z58" s="744">
        <f>SUM(Z51:Z57)</f>
        <v>11712977.800000001</v>
      </c>
      <c r="AA58" s="744">
        <f>SUM(AA51:AA57)</f>
        <v>41727116.164000005</v>
      </c>
      <c r="AB58" s="744">
        <f>SUM(AB51:AB57)</f>
        <v>89953284.036700994</v>
      </c>
      <c r="AC58" s="745">
        <f>SUM(AC51:AC57)</f>
        <v>1390903.9</v>
      </c>
      <c r="AD58" s="746">
        <f>ROUND(AB58/AA58,4)</f>
        <v>2.1558000000000002</v>
      </c>
      <c r="AE58" s="746">
        <f>ROUND(AF58/AA58,4)</f>
        <v>0.30380000000000001</v>
      </c>
      <c r="AF58" s="744">
        <f>SUM(AF51:AF57)</f>
        <v>12675238.420000002</v>
      </c>
      <c r="AG58" s="744">
        <f>Q58-Z58-AF58</f>
        <v>739159.64999999478</v>
      </c>
    </row>
    <row r="59" spans="1:39" x14ac:dyDescent="0.2">
      <c r="A59" s="790"/>
      <c r="B59" s="791"/>
      <c r="C59" s="737" t="str">
        <f>TEXT(A$50,)&amp;" S/."</f>
        <v>Cusco S/.</v>
      </c>
      <c r="D59" s="792"/>
      <c r="E59" s="792"/>
      <c r="F59" s="817"/>
      <c r="G59" s="255">
        <f>SUMPRODUCT(I54:I54,G54:G54)/SUM(G54:G54)</f>
        <v>2.8860000000000001</v>
      </c>
      <c r="H59" s="255">
        <f>SUMPRODUCT(J54:J54,H54:H54)/SUM(H54:H54)</f>
        <v>2.85</v>
      </c>
      <c r="I59" s="305"/>
      <c r="J59" s="254"/>
      <c r="K59" s="266"/>
      <c r="L59" s="266"/>
      <c r="M59" s="822"/>
      <c r="N59" s="823"/>
      <c r="O59" s="823"/>
      <c r="P59" s="824"/>
      <c r="Q59" s="824">
        <f>Q58*F1</f>
        <v>0</v>
      </c>
      <c r="R59" s="825"/>
      <c r="S59" s="821"/>
      <c r="T59" s="757"/>
      <c r="U59" s="796"/>
      <c r="V59" s="796"/>
      <c r="W59" s="797"/>
      <c r="X59" s="798"/>
      <c r="Y59" s="798"/>
      <c r="Z59" s="796"/>
      <c r="AA59" s="796"/>
      <c r="AB59" s="796"/>
      <c r="AC59" s="797"/>
      <c r="AD59" s="798"/>
      <c r="AE59" s="798"/>
      <c r="AF59" s="796"/>
      <c r="AG59" s="796"/>
      <c r="AJ59" s="678" t="s">
        <v>189</v>
      </c>
      <c r="AK59" s="826">
        <v>6075848.3600000003</v>
      </c>
      <c r="AL59" s="826">
        <f>P34</f>
        <v>8495978.0199999996</v>
      </c>
      <c r="AM59" s="826" t="s">
        <v>23</v>
      </c>
    </row>
    <row r="60" spans="1:39" x14ac:dyDescent="0.2">
      <c r="A60" s="827" t="s">
        <v>55</v>
      </c>
      <c r="B60" s="828"/>
      <c r="C60" s="828"/>
      <c r="D60" s="828"/>
      <c r="E60" s="828"/>
      <c r="F60" s="829"/>
      <c r="G60" s="256">
        <f>G58*G59</f>
        <v>0</v>
      </c>
      <c r="H60" s="256">
        <f>H58*H59</f>
        <v>0</v>
      </c>
      <c r="I60" s="254">
        <f>H60+G60</f>
        <v>0</v>
      </c>
      <c r="J60" s="254" t="e">
        <f>O54+#REF!</f>
        <v>#REF!</v>
      </c>
      <c r="K60" s="306" t="e">
        <f>I60-J60</f>
        <v>#REF!</v>
      </c>
      <c r="L60" s="306"/>
      <c r="M60" s="667">
        <f>SUM(M10:M56)</f>
        <v>0</v>
      </c>
      <c r="N60" s="667">
        <f>SUM(N10:N56)</f>
        <v>0</v>
      </c>
      <c r="O60" s="667">
        <f>O34+O39+O48+O58</f>
        <v>234620827.33858532</v>
      </c>
      <c r="P60" s="667">
        <f>Q58+Q48+S48+Q39+Q34+S34</f>
        <v>37782508.739999995</v>
      </c>
      <c r="Q60" s="830">
        <f>Q35+S35+Q40+Q49+S49+Q59</f>
        <v>0</v>
      </c>
      <c r="R60" s="831"/>
      <c r="S60" s="830"/>
      <c r="T60" s="831"/>
      <c r="U60" s="832">
        <f>U34+U39+U48+U58</f>
        <v>3382953.6769000003</v>
      </c>
      <c r="V60" s="832">
        <f>V34+V39+V48+V58</f>
        <v>130429726.42899999</v>
      </c>
      <c r="W60" s="833">
        <f>W34+W39+W48+W58</f>
        <v>112765.1</v>
      </c>
      <c r="X60" s="834">
        <f>ROUND(V60/U60,4)</f>
        <v>38.555</v>
      </c>
      <c r="Y60" s="834">
        <f>ROUND(Z60/U60,4)</f>
        <v>6.5446</v>
      </c>
      <c r="Z60" s="832">
        <f>Z34+Z39+Z48+Z58</f>
        <v>22140221.490000002</v>
      </c>
      <c r="AA60" s="832">
        <f>AA34+AA39+AA48+AA58</f>
        <v>43309024.850000001</v>
      </c>
      <c r="AB60" s="832">
        <f>AB34+AB39+AB48+AB58</f>
        <v>94652932.096700996</v>
      </c>
      <c r="AC60" s="832">
        <f>AC34+AC39+AC48+AC58</f>
        <v>1443634.0999999999</v>
      </c>
      <c r="AD60" s="834">
        <f>ROUND(AB60/AA60,4)</f>
        <v>2.1855000000000002</v>
      </c>
      <c r="AE60" s="834">
        <f>ROUND(AF60/AA60,4)</f>
        <v>0.313</v>
      </c>
      <c r="AF60" s="832">
        <f>AF34+AF39+AF48+AF58</f>
        <v>13556422.440000001</v>
      </c>
      <c r="AG60" s="832">
        <f>P60-Z60-AF60</f>
        <v>2085864.8099999912</v>
      </c>
      <c r="AI60" s="596">
        <v>57</v>
      </c>
      <c r="AJ60" s="678" t="s">
        <v>190</v>
      </c>
      <c r="AK60" s="826">
        <v>6673025.0099999988</v>
      </c>
      <c r="AL60" s="826">
        <f>P48</f>
        <v>4054116.54</v>
      </c>
      <c r="AM60" s="826" t="s">
        <v>24</v>
      </c>
    </row>
    <row r="61" spans="1:39" x14ac:dyDescent="0.2">
      <c r="G61" s="596"/>
      <c r="H61" s="596"/>
      <c r="I61" s="596"/>
      <c r="J61" s="596"/>
      <c r="K61" s="596"/>
      <c r="N61" s="835"/>
      <c r="O61" s="836"/>
      <c r="S61" s="597"/>
      <c r="Z61" s="678"/>
      <c r="AA61" s="678"/>
      <c r="AB61" s="678"/>
      <c r="AC61" s="678"/>
      <c r="AD61" s="678"/>
      <c r="AE61" s="678"/>
      <c r="AI61" s="596">
        <v>56</v>
      </c>
      <c r="AJ61" s="678"/>
      <c r="AK61" s="826"/>
      <c r="AL61" s="826">
        <f>P39</f>
        <v>105038.31</v>
      </c>
      <c r="AM61" s="826" t="s">
        <v>191</v>
      </c>
    </row>
    <row r="62" spans="1:39" x14ac:dyDescent="0.2">
      <c r="A62" s="837" t="s">
        <v>93</v>
      </c>
      <c r="B62" s="596" t="s">
        <v>76</v>
      </c>
      <c r="G62" s="596"/>
      <c r="H62" s="837" t="s">
        <v>77</v>
      </c>
      <c r="I62" s="596"/>
      <c r="J62" s="683"/>
      <c r="K62" s="683"/>
      <c r="M62" s="836"/>
      <c r="N62" s="1124"/>
      <c r="O62" s="1123"/>
      <c r="P62" s="597"/>
      <c r="Q62" s="683"/>
      <c r="S62" s="683"/>
      <c r="U62" s="678"/>
      <c r="V62" s="826"/>
      <c r="W62" s="826"/>
      <c r="X62" s="826"/>
      <c r="AI62" s="596">
        <v>88</v>
      </c>
      <c r="AJ62" s="678"/>
      <c r="AK62" s="838">
        <f>SUM(AK59:AK61)</f>
        <v>12748873.369999999</v>
      </c>
      <c r="AL62" s="838">
        <f>SUM(AL59:AL61)</f>
        <v>12655132.869999999</v>
      </c>
      <c r="AM62" s="826">
        <f>+AK62-AL62</f>
        <v>93740.5</v>
      </c>
    </row>
    <row r="63" spans="1:39" x14ac:dyDescent="0.2">
      <c r="B63" s="839" t="s">
        <v>78</v>
      </c>
      <c r="C63" s="840" t="s">
        <v>79</v>
      </c>
      <c r="D63" s="841"/>
      <c r="E63" s="842" t="s">
        <v>35</v>
      </c>
      <c r="F63" s="842" t="s">
        <v>80</v>
      </c>
      <c r="G63" s="596"/>
      <c r="H63" s="843" t="s">
        <v>35</v>
      </c>
      <c r="I63" s="828"/>
      <c r="J63" s="828"/>
      <c r="K63" s="828"/>
      <c r="L63" s="844"/>
      <c r="M63" s="836"/>
      <c r="N63" s="1124"/>
      <c r="O63" s="1123">
        <v>131790734.44</v>
      </c>
      <c r="P63" s="597"/>
      <c r="Q63" s="683"/>
      <c r="S63" s="683"/>
      <c r="U63" s="678"/>
      <c r="V63" s="826"/>
      <c r="W63" s="826"/>
      <c r="X63" s="826"/>
      <c r="AJ63" s="678"/>
    </row>
    <row r="64" spans="1:39" x14ac:dyDescent="0.2">
      <c r="B64" s="845" t="s">
        <v>81</v>
      </c>
      <c r="C64" s="846" t="s">
        <v>82</v>
      </c>
      <c r="D64" s="847"/>
      <c r="E64" s="848"/>
      <c r="F64" s="848"/>
      <c r="G64" s="596"/>
      <c r="H64" s="849" t="str">
        <f>"=  ("&amp;TEXT(E64,"0.0000")&amp;" * "&amp;TEXT(E67,"0.00%")&amp;" + ("&amp;TEXT(E65,"0.0000")&amp;" - "&amp;TEXT(E66,"0.0000")&amp;" - "&amp;TEXT(E69,"0.0000")&amp;") * (1 - "&amp;TEXT(E67,"0.00%")&amp;"))"</f>
        <v>=  (0.0000 * 0.00% + (0.0000 - 0.0000 - 0.0000) * (1 - 0.00%))</v>
      </c>
      <c r="I64" s="596"/>
      <c r="J64" s="596"/>
      <c r="K64" s="596"/>
      <c r="L64" s="850"/>
      <c r="M64" s="851"/>
      <c r="N64" s="851">
        <f>547803.45/8532764.09</f>
        <v>6.4199999463479832E-2</v>
      </c>
      <c r="O64" s="683"/>
      <c r="P64" s="852"/>
      <c r="Q64" s="853"/>
      <c r="S64" s="853"/>
      <c r="U64" s="678"/>
      <c r="V64" s="826"/>
      <c r="W64" s="826"/>
      <c r="X64" s="826"/>
      <c r="AJ64" s="678" t="s">
        <v>194</v>
      </c>
      <c r="AK64" s="826">
        <v>1005393.18</v>
      </c>
      <c r="AL64" s="826"/>
      <c r="AM64" s="826"/>
    </row>
    <row r="65" spans="1:39" x14ac:dyDescent="0.2">
      <c r="B65" s="854" t="s">
        <v>83</v>
      </c>
      <c r="C65" s="855" t="s">
        <v>84</v>
      </c>
      <c r="D65" s="856"/>
      <c r="E65" s="857"/>
      <c r="F65" s="858"/>
      <c r="G65" s="596"/>
      <c r="H65" s="859">
        <f>((85.98%*E64+4.4221)*E67+(E65-E66-E69)*(1-E67))</f>
        <v>0</v>
      </c>
      <c r="I65" s="792"/>
      <c r="J65" s="792"/>
      <c r="K65" s="792"/>
      <c r="L65" s="860"/>
      <c r="M65" s="851">
        <f>698277.28/7412709.99</f>
        <v>9.4199999857272176E-2</v>
      </c>
      <c r="N65" s="851">
        <f>1065699.61/10775526.87</f>
        <v>9.8900000237297003E-2</v>
      </c>
      <c r="O65" s="1095">
        <f>+O63-O60</f>
        <v>-102830092.89858532</v>
      </c>
      <c r="P65" s="853"/>
      <c r="Q65" s="853"/>
      <c r="S65" s="853"/>
      <c r="U65" s="678"/>
      <c r="V65" s="838"/>
      <c r="W65" s="838"/>
      <c r="X65" s="826"/>
      <c r="Y65" s="683"/>
      <c r="Z65" s="683"/>
      <c r="AA65" s="683"/>
      <c r="AB65" s="683"/>
      <c r="AC65" s="683"/>
      <c r="AJ65" s="678" t="s">
        <v>192</v>
      </c>
      <c r="AK65" s="826">
        <v>3283677.65</v>
      </c>
      <c r="AL65" s="826"/>
      <c r="AM65" s="826"/>
    </row>
    <row r="66" spans="1:39" x14ac:dyDescent="0.2">
      <c r="B66" s="854" t="s">
        <v>85</v>
      </c>
      <c r="C66" s="855" t="s">
        <v>86</v>
      </c>
      <c r="D66" s="856"/>
      <c r="E66" s="857"/>
      <c r="F66" s="857"/>
      <c r="G66" s="596"/>
      <c r="H66" s="596"/>
      <c r="I66" s="861"/>
      <c r="J66" s="596"/>
      <c r="K66" s="596"/>
      <c r="M66" s="851">
        <f>5254120.1/13135300.26</f>
        <v>0.39999999969547706</v>
      </c>
      <c r="N66" s="851">
        <f>7653140.6/19132851.51</f>
        <v>0.39999999979093542</v>
      </c>
      <c r="O66" s="597"/>
      <c r="P66" s="597"/>
      <c r="Q66" s="597"/>
      <c r="U66" s="678"/>
      <c r="V66" s="826"/>
      <c r="W66" s="826"/>
      <c r="X66" s="826"/>
      <c r="Y66" s="683"/>
      <c r="Z66" s="683"/>
      <c r="AA66" s="683"/>
      <c r="AB66" s="683"/>
      <c r="AJ66" s="678" t="s">
        <v>193</v>
      </c>
      <c r="AK66" s="826">
        <v>11838594.119999999</v>
      </c>
      <c r="AL66" s="826"/>
      <c r="AM66" s="826"/>
    </row>
    <row r="67" spans="1:39" x14ac:dyDescent="0.2">
      <c r="B67" s="854" t="s">
        <v>87</v>
      </c>
      <c r="C67" s="855" t="s">
        <v>88</v>
      </c>
      <c r="D67" s="856"/>
      <c r="E67" s="862"/>
      <c r="F67" s="862"/>
      <c r="G67" s="596"/>
      <c r="H67" s="843" t="s">
        <v>80</v>
      </c>
      <c r="I67" s="863"/>
      <c r="J67" s="828"/>
      <c r="K67" s="828"/>
      <c r="L67" s="844"/>
      <c r="M67" s="851">
        <f>503101.38/1323950.99</f>
        <v>0.38000000287019686</v>
      </c>
      <c r="N67" s="851"/>
      <c r="U67" s="678"/>
      <c r="V67" s="826"/>
      <c r="W67" s="826"/>
      <c r="X67" s="826"/>
      <c r="Y67" s="683"/>
      <c r="Z67" s="683"/>
      <c r="AA67" s="683"/>
      <c r="AB67" s="683"/>
      <c r="AC67" s="683"/>
      <c r="AJ67" s="51" t="s">
        <v>197</v>
      </c>
      <c r="AK67" s="826">
        <v>1169546.8700000001</v>
      </c>
    </row>
    <row r="68" spans="1:39" x14ac:dyDescent="0.2">
      <c r="B68" s="854" t="s">
        <v>89</v>
      </c>
      <c r="C68" s="855" t="s">
        <v>90</v>
      </c>
      <c r="D68" s="856"/>
      <c r="E68" s="865"/>
      <c r="F68" s="858"/>
      <c r="G68" s="596"/>
      <c r="H68" s="849" t="str">
        <f>"=  ("&amp;TEXT(F64,"0.0000")&amp;" * "&amp;TEXT(F67,"0.00%")&amp;" + ("&amp;TEXT(F65,"0.0000")&amp;" - "&amp;TEXT(F66,"0.0000")&amp;" - "&amp;TEXT(F69,"0.0000")&amp;") * (1 - "&amp;TEXT(F67,"0.00%")&amp;"))"</f>
        <v>=  (0.0000 * 0.00% + (0.0000 - 0.0000 - 0.0000) * (1 - 0.00%))</v>
      </c>
      <c r="I68" s="861"/>
      <c r="J68" s="596"/>
      <c r="K68" s="596"/>
      <c r="L68" s="850"/>
      <c r="M68" s="836"/>
      <c r="N68" s="851"/>
      <c r="U68" s="678"/>
      <c r="V68" s="826"/>
      <c r="W68" s="826"/>
      <c r="X68" s="826"/>
      <c r="Y68" s="683"/>
      <c r="Z68" s="683"/>
      <c r="AA68" s="683"/>
      <c r="AB68" s="683"/>
      <c r="AC68" s="683"/>
      <c r="AJ68" s="678" t="s">
        <v>195</v>
      </c>
      <c r="AK68" s="826">
        <v>3369519.72</v>
      </c>
      <c r="AL68" s="826"/>
      <c r="AM68" s="826"/>
    </row>
    <row r="69" spans="1:39" x14ac:dyDescent="0.2">
      <c r="B69" s="867" t="s">
        <v>91</v>
      </c>
      <c r="C69" s="868" t="s">
        <v>92</v>
      </c>
      <c r="D69" s="869"/>
      <c r="E69" s="870"/>
      <c r="F69" s="870"/>
      <c r="G69" s="596"/>
      <c r="H69" s="859">
        <f>((85.98%*F64+4.4221)*F67+(F65-F66-F69)*(1-F67))</f>
        <v>0</v>
      </c>
      <c r="I69" s="871"/>
      <c r="J69" s="792"/>
      <c r="K69" s="792"/>
      <c r="L69" s="860"/>
      <c r="M69" s="836"/>
      <c r="N69" s="836"/>
      <c r="U69" s="678"/>
      <c r="V69" s="826"/>
      <c r="W69" s="826"/>
      <c r="X69" s="826"/>
      <c r="Y69" s="683"/>
      <c r="Z69" s="683"/>
      <c r="AA69" s="683"/>
      <c r="AB69" s="683"/>
      <c r="AC69" s="683"/>
      <c r="AJ69" s="678" t="s">
        <v>196</v>
      </c>
      <c r="AK69" s="826">
        <v>11237049.859999999</v>
      </c>
      <c r="AL69" s="826"/>
      <c r="AM69" s="826"/>
    </row>
    <row r="70" spans="1:39" x14ac:dyDescent="0.2">
      <c r="A70" s="837"/>
      <c r="G70" s="596"/>
      <c r="H70" s="751"/>
      <c r="I70" s="596"/>
      <c r="J70" s="596"/>
      <c r="K70" s="596"/>
      <c r="U70" s="678"/>
      <c r="V70" s="826"/>
      <c r="W70" s="826"/>
      <c r="X70" s="826"/>
      <c r="Y70" s="683"/>
      <c r="Z70" s="683"/>
      <c r="AA70" s="683"/>
      <c r="AB70" s="683"/>
      <c r="AC70" s="683"/>
      <c r="AJ70" s="678"/>
      <c r="AK70" s="838">
        <f>SUM(AK64:AK69)</f>
        <v>31903781.399999999</v>
      </c>
      <c r="AL70" s="838">
        <f>Q58</f>
        <v>25127375.869999997</v>
      </c>
      <c r="AM70" s="826">
        <f>AK70-AL70</f>
        <v>6776405.5300000012</v>
      </c>
    </row>
    <row r="71" spans="1:39" x14ac:dyDescent="0.2">
      <c r="A71" s="872"/>
      <c r="G71" s="596"/>
      <c r="H71" s="596"/>
      <c r="I71" s="596"/>
      <c r="J71" s="596"/>
      <c r="K71" s="596"/>
      <c r="U71" s="678"/>
      <c r="V71" s="826"/>
      <c r="W71" s="826"/>
      <c r="X71" s="826"/>
      <c r="Y71" s="683"/>
      <c r="Z71" s="683"/>
      <c r="AA71" s="683"/>
      <c r="AB71" s="683"/>
      <c r="AC71" s="683"/>
      <c r="AK71" s="826">
        <f>+AK59+AK64+AK66+AK65</f>
        <v>22203513.309999999</v>
      </c>
    </row>
    <row r="72" spans="1:39" x14ac:dyDescent="0.2">
      <c r="G72" s="596"/>
      <c r="H72" s="596"/>
      <c r="I72" s="596"/>
      <c r="J72" s="596"/>
      <c r="K72" s="596"/>
      <c r="O72" s="683"/>
      <c r="P72" s="683"/>
      <c r="Q72" s="683"/>
      <c r="U72" s="678"/>
      <c r="V72" s="838"/>
      <c r="W72" s="838"/>
      <c r="X72" s="826"/>
      <c r="Y72" s="683"/>
      <c r="Z72" s="683"/>
      <c r="AA72" s="683"/>
      <c r="AB72" s="683"/>
      <c r="AC72" s="683"/>
      <c r="AJ72" s="678"/>
      <c r="AK72" s="826">
        <f>+AK60+AK67+AK68+AK69</f>
        <v>22449141.460000001</v>
      </c>
      <c r="AL72" s="826"/>
      <c r="AM72" s="678"/>
    </row>
    <row r="73" spans="1:39" ht="18" x14ac:dyDescent="0.25">
      <c r="A73" s="873" t="str">
        <f>"AJUSTES PARA "&amp;UPPER(TEXT(E1,"MMMMMMM YYYY"))</f>
        <v>AJUSTES PARA NOVIEMBRE 2025</v>
      </c>
      <c r="B73" s="874"/>
      <c r="C73" s="874"/>
      <c r="D73" s="874"/>
      <c r="E73" s="874"/>
      <c r="F73" s="874"/>
      <c r="G73" s="874"/>
      <c r="H73" s="874"/>
      <c r="I73" s="874"/>
      <c r="J73" s="874"/>
      <c r="K73" s="874"/>
      <c r="L73" s="874"/>
      <c r="M73" s="874"/>
      <c r="N73" s="874"/>
      <c r="O73" s="874"/>
      <c r="P73" s="875"/>
      <c r="Q73" s="875"/>
      <c r="R73" s="874"/>
      <c r="S73" s="876"/>
      <c r="T73" s="874"/>
      <c r="U73" s="678"/>
      <c r="V73" s="877"/>
      <c r="W73" s="877"/>
      <c r="X73" s="826"/>
      <c r="Y73" s="878"/>
      <c r="Z73" s="878"/>
      <c r="AA73" s="683"/>
      <c r="AB73" s="683"/>
      <c r="AJ73" s="683"/>
      <c r="AK73" s="879">
        <f>SUM(AK71:AK72)</f>
        <v>44652654.769999996</v>
      </c>
      <c r="AL73" s="683"/>
      <c r="AM73" s="683"/>
    </row>
    <row r="74" spans="1:39" ht="15.75" x14ac:dyDescent="0.25">
      <c r="A74"/>
      <c r="B74"/>
      <c r="C74"/>
      <c r="D74"/>
      <c r="E74"/>
      <c r="F74"/>
      <c r="G74"/>
      <c r="H74"/>
      <c r="I74">
        <f>+G78*I78</f>
        <v>15372159.614038199</v>
      </c>
      <c r="J74" s="1057">
        <v>1670953.75</v>
      </c>
      <c r="K74" s="1129">
        <f>+J74/I74</f>
        <v>0.10869999999701069</v>
      </c>
      <c r="L74">
        <f>+H78*J78</f>
        <v>17206463.108541399</v>
      </c>
      <c r="M74"/>
      <c r="N74" s="498">
        <v>1928844.51</v>
      </c>
      <c r="O74" s="1129">
        <f>+N74/L74</f>
        <v>0.11209999974035972</v>
      </c>
      <c r="P74"/>
      <c r="Q74"/>
      <c r="R74"/>
      <c r="S74"/>
      <c r="T74"/>
      <c r="U74"/>
      <c r="V74"/>
      <c r="W74"/>
      <c r="X74"/>
      <c r="Y74"/>
      <c r="Z74"/>
      <c r="AA74"/>
      <c r="AB74"/>
      <c r="AC74"/>
      <c r="AD74"/>
      <c r="AE74"/>
      <c r="AF74"/>
      <c r="AG74"/>
      <c r="AH74"/>
      <c r="AI74"/>
    </row>
    <row r="75" spans="1:39" s="1" customFormat="1" ht="15.75" x14ac:dyDescent="0.25">
      <c r="A75" s="951"/>
      <c r="B75" s="879" t="s">
        <v>398</v>
      </c>
      <c r="C75" s="683"/>
      <c r="D75" s="683"/>
      <c r="E75" s="683"/>
      <c r="F75" s="683"/>
      <c r="G75" s="683"/>
      <c r="H75" s="683"/>
      <c r="I75" s="683">
        <f>+G77*I77</f>
        <v>16543516.655384999</v>
      </c>
      <c r="J75" s="1125">
        <v>1798280.26</v>
      </c>
      <c r="K75" s="1126">
        <f>+J75/I75</f>
        <v>0.10869999997338237</v>
      </c>
      <c r="L75" s="683">
        <f>+H77*J77</f>
        <v>18517593.894644998</v>
      </c>
      <c r="M75" s="683"/>
      <c r="N75" s="1127">
        <v>2075822.28</v>
      </c>
      <c r="O75" s="1128">
        <f>+N75/L75</f>
        <v>0.11210000023816787</v>
      </c>
      <c r="P75" s="953"/>
      <c r="Q75" s="683"/>
      <c r="R75" s="911"/>
      <c r="S75"/>
      <c r="T75"/>
      <c r="U75"/>
      <c r="V75"/>
      <c r="W75"/>
      <c r="X75"/>
      <c r="Y75"/>
      <c r="Z75"/>
      <c r="AA75"/>
      <c r="AB75"/>
      <c r="AC75"/>
      <c r="AD75"/>
      <c r="AE75"/>
      <c r="AF75"/>
      <c r="AG75"/>
      <c r="AH75"/>
      <c r="AI75"/>
      <c r="AJ75"/>
      <c r="AK75"/>
    </row>
    <row r="76" spans="1:39" s="65" customFormat="1" ht="15" customHeight="1" x14ac:dyDescent="0.25">
      <c r="A76" s="954" t="s">
        <v>161</v>
      </c>
      <c r="B76" s="955"/>
      <c r="C76" s="956"/>
      <c r="D76" s="957" t="s">
        <v>19</v>
      </c>
      <c r="E76" s="958" t="s">
        <v>59</v>
      </c>
      <c r="F76" s="957" t="s">
        <v>27</v>
      </c>
      <c r="G76" s="959" t="s">
        <v>35</v>
      </c>
      <c r="H76" s="960" t="s">
        <v>36</v>
      </c>
      <c r="I76" s="960" t="s">
        <v>35</v>
      </c>
      <c r="J76" s="959" t="s">
        <v>36</v>
      </c>
      <c r="K76" s="959" t="s">
        <v>39</v>
      </c>
      <c r="L76" s="959" t="s">
        <v>40</v>
      </c>
      <c r="M76" s="959" t="s">
        <v>42</v>
      </c>
      <c r="N76" s="1056" t="s">
        <v>2</v>
      </c>
      <c r="O76" s="959" t="s">
        <v>180</v>
      </c>
      <c r="P76" s="961" t="s">
        <v>163</v>
      </c>
      <c r="Q76" s="961" t="s">
        <v>184</v>
      </c>
      <c r="R76" s="962"/>
      <c r="S76"/>
      <c r="T76"/>
      <c r="U76"/>
      <c r="V76"/>
      <c r="W76"/>
      <c r="X76"/>
      <c r="Y76"/>
      <c r="Z76"/>
      <c r="AA76"/>
      <c r="AB76"/>
      <c r="AC76"/>
      <c r="AD76"/>
      <c r="AE76"/>
      <c r="AF76"/>
      <c r="AG76"/>
      <c r="AH76"/>
      <c r="AI76"/>
      <c r="AJ76"/>
      <c r="AK76"/>
    </row>
    <row r="77" spans="1:39" s="65" customFormat="1" ht="14.85" customHeight="1" x14ac:dyDescent="0.25">
      <c r="A77" s="1017" t="s">
        <v>28</v>
      </c>
      <c r="B77" s="964" t="s">
        <v>325</v>
      </c>
      <c r="C77" s="965" t="s">
        <v>31</v>
      </c>
      <c r="D77" s="965" t="s">
        <v>30</v>
      </c>
      <c r="E77" s="965" t="s">
        <v>158</v>
      </c>
      <c r="F77" s="966" t="s">
        <v>56</v>
      </c>
      <c r="G77" s="222">
        <v>3803107.2771000001</v>
      </c>
      <c r="H77" s="222">
        <v>4256918.1366999997</v>
      </c>
      <c r="I77" s="216">
        <v>4.3499999999999996</v>
      </c>
      <c r="J77" s="216">
        <v>4.3499999999999996</v>
      </c>
      <c r="K77" s="559"/>
      <c r="L77" s="222"/>
      <c r="M77" s="222"/>
      <c r="N77" s="215"/>
      <c r="O77" s="224">
        <f>G77*I77+H77*J77</f>
        <v>35061110.550029993</v>
      </c>
      <c r="P77" s="253">
        <f>ROUND(G77*I77,2)*10.87%+ROUND(H77*J77,2)*11.21%</f>
        <v>3874102.5360110002</v>
      </c>
      <c r="Q77" s="253">
        <f>ROUND(R77*P77,2)</f>
        <v>1937051.27</v>
      </c>
      <c r="R77" s="223">
        <v>0.5</v>
      </c>
      <c r="S77"/>
      <c r="T77"/>
      <c r="U77"/>
      <c r="V77"/>
      <c r="W77"/>
      <c r="X77"/>
      <c r="Y77"/>
      <c r="Z77"/>
      <c r="AA77"/>
      <c r="AB77"/>
      <c r="AC77"/>
      <c r="AD77"/>
      <c r="AE77"/>
      <c r="AF77"/>
      <c r="AG77"/>
      <c r="AH77"/>
      <c r="AI77"/>
      <c r="AJ77"/>
      <c r="AK77"/>
    </row>
    <row r="78" spans="1:39" s="65" customFormat="1" ht="15.75" x14ac:dyDescent="0.25">
      <c r="A78" s="1018" t="s">
        <v>28</v>
      </c>
      <c r="B78" s="968" t="str">
        <f>B77</f>
        <v xml:space="preserve">57 Gas    </v>
      </c>
      <c r="C78" s="969" t="s">
        <v>31</v>
      </c>
      <c r="D78" s="970" t="s">
        <v>186</v>
      </c>
      <c r="E78" s="970"/>
      <c r="F78" s="969" t="str">
        <f>F77</f>
        <v xml:space="preserve"> MM BTU</v>
      </c>
      <c r="G78" s="424">
        <f>G77</f>
        <v>3803107.2771000001</v>
      </c>
      <c r="H78" s="424">
        <f>H77</f>
        <v>4256918.1366999997</v>
      </c>
      <c r="I78" s="741">
        <v>4.0419999999999998</v>
      </c>
      <c r="J78" s="741">
        <v>4.0419999999999998</v>
      </c>
      <c r="K78" s="1020"/>
      <c r="L78" s="424"/>
      <c r="M78" s="424"/>
      <c r="N78" s="936"/>
      <c r="O78" s="224">
        <f>G78*I78+H78*J78</f>
        <v>32578622.722579598</v>
      </c>
      <c r="P78" s="253">
        <f>ROUND(G78*I78,2)*10.87%+ROUND(H78*J78,2)*11.21%</f>
        <v>3599798.2642379999</v>
      </c>
      <c r="Q78" s="253">
        <f>ROUND(R78*P78,2)</f>
        <v>1799899.13</v>
      </c>
      <c r="R78" s="229">
        <v>0.5</v>
      </c>
      <c r="S78"/>
      <c r="T78"/>
      <c r="U78"/>
      <c r="V78"/>
      <c r="W78"/>
      <c r="X78"/>
      <c r="Y78"/>
      <c r="Z78"/>
      <c r="AA78"/>
      <c r="AB78"/>
      <c r="AC78"/>
      <c r="AD78"/>
      <c r="AE78"/>
      <c r="AF78"/>
      <c r="AG78"/>
      <c r="AH78"/>
      <c r="AI78"/>
      <c r="AJ78"/>
      <c r="AK78"/>
    </row>
    <row r="79" spans="1:39" s="65" customFormat="1" ht="15.75" x14ac:dyDescent="0.25">
      <c r="A79" s="1019"/>
      <c r="B79" s="972" t="s">
        <v>181</v>
      </c>
      <c r="C79" s="973"/>
      <c r="D79" s="974"/>
      <c r="E79" s="974"/>
      <c r="F79" s="971"/>
      <c r="G79" s="975">
        <f>G78-G77</f>
        <v>0</v>
      </c>
      <c r="H79" s="975">
        <f>H78-H77</f>
        <v>0</v>
      </c>
      <c r="I79" s="975">
        <f>I78-I77</f>
        <v>-0.30799999999999983</v>
      </c>
      <c r="J79" s="975">
        <f>J78-J77</f>
        <v>-0.30799999999999983</v>
      </c>
      <c r="K79" s="975">
        <f t="shared" ref="K79:Q79" si="43">K78-K77</f>
        <v>0</v>
      </c>
      <c r="L79" s="975">
        <f t="shared" si="43"/>
        <v>0</v>
      </c>
      <c r="M79" s="975">
        <f t="shared" si="43"/>
        <v>0</v>
      </c>
      <c r="N79" s="975">
        <f t="shared" si="43"/>
        <v>0</v>
      </c>
      <c r="O79" s="830">
        <f t="shared" si="43"/>
        <v>-2482487.8274503946</v>
      </c>
      <c r="P79" s="1044">
        <f>P78-P77</f>
        <v>-274304.27177300025</v>
      </c>
      <c r="Q79" s="1044">
        <f t="shared" si="43"/>
        <v>-137152.14000000013</v>
      </c>
      <c r="R79" s="1021"/>
      <c r="S79" t="s">
        <v>182</v>
      </c>
      <c r="T79"/>
      <c r="U79"/>
      <c r="V79"/>
      <c r="W79"/>
      <c r="X79"/>
      <c r="Y79"/>
      <c r="Z79"/>
      <c r="AA79"/>
      <c r="AB79"/>
      <c r="AC79"/>
      <c r="AD79"/>
      <c r="AE79"/>
      <c r="AF79"/>
      <c r="AG79"/>
      <c r="AH79"/>
      <c r="AI79"/>
      <c r="AJ79"/>
      <c r="AK79"/>
    </row>
    <row r="80" spans="1:39" s="65" customFormat="1" ht="15.75" x14ac:dyDescent="0.25">
      <c r="A80" s="1064"/>
      <c r="B80" s="683"/>
      <c r="C80" s="950"/>
      <c r="D80" s="950"/>
      <c r="E80" s="950"/>
      <c r="F80" s="950"/>
      <c r="G80" s="985"/>
      <c r="H80" s="985"/>
      <c r="I80" s="985"/>
      <c r="J80" s="985"/>
      <c r="K80" s="985"/>
      <c r="L80" s="985"/>
      <c r="M80" s="985"/>
      <c r="N80" s="985"/>
      <c r="O80" s="985"/>
      <c r="P80" s="985"/>
      <c r="Q80" s="985"/>
      <c r="R80" s="1065"/>
      <c r="S80"/>
      <c r="T80"/>
      <c r="U80"/>
      <c r="V80"/>
      <c r="W80"/>
      <c r="X80"/>
      <c r="Y80"/>
      <c r="Z80"/>
      <c r="AA80"/>
      <c r="AB80"/>
      <c r="AC80"/>
      <c r="AD80"/>
      <c r="AE80"/>
      <c r="AF80"/>
      <c r="AG80"/>
      <c r="AH80"/>
      <c r="AI80"/>
      <c r="AJ80"/>
      <c r="AK80"/>
    </row>
    <row r="81" spans="1:37" s="65" customFormat="1" ht="15.75" x14ac:dyDescent="0.25">
      <c r="A81" s="951"/>
      <c r="B81" s="879" t="s">
        <v>400</v>
      </c>
      <c r="C81" s="683"/>
      <c r="D81" s="683"/>
      <c r="E81" s="683"/>
      <c r="F81" s="683"/>
      <c r="G81" s="683"/>
      <c r="H81" s="683"/>
      <c r="I81" s="683"/>
      <c r="J81" s="952"/>
      <c r="K81" s="683"/>
      <c r="L81" s="683"/>
      <c r="M81" s="683"/>
      <c r="N81" s="950"/>
      <c r="O81" s="683"/>
      <c r="P81" s="953"/>
      <c r="Q81" s="683"/>
      <c r="R81" s="911"/>
      <c r="S81"/>
      <c r="T81"/>
      <c r="U81"/>
      <c r="V81"/>
      <c r="W81"/>
      <c r="X81"/>
      <c r="Y81"/>
      <c r="Z81"/>
      <c r="AA81"/>
      <c r="AB81"/>
      <c r="AC81"/>
      <c r="AD81"/>
      <c r="AE81"/>
      <c r="AF81"/>
      <c r="AG81"/>
      <c r="AH81"/>
      <c r="AI81"/>
      <c r="AJ81"/>
      <c r="AK81"/>
    </row>
    <row r="82" spans="1:37" s="65" customFormat="1" ht="15.75" x14ac:dyDescent="0.25">
      <c r="A82" s="954" t="s">
        <v>161</v>
      </c>
      <c r="B82" s="955"/>
      <c r="C82" s="956"/>
      <c r="D82" s="957" t="s">
        <v>19</v>
      </c>
      <c r="E82" s="958" t="s">
        <v>59</v>
      </c>
      <c r="F82" s="957" t="s">
        <v>27</v>
      </c>
      <c r="G82" s="959" t="s">
        <v>35</v>
      </c>
      <c r="H82" s="960" t="s">
        <v>36</v>
      </c>
      <c r="I82" s="960" t="s">
        <v>35</v>
      </c>
      <c r="J82" s="959" t="s">
        <v>36</v>
      </c>
      <c r="K82" s="959" t="s">
        <v>39</v>
      </c>
      <c r="L82" s="959" t="s">
        <v>40</v>
      </c>
      <c r="M82" s="959" t="s">
        <v>42</v>
      </c>
      <c r="N82" s="1056" t="s">
        <v>2</v>
      </c>
      <c r="O82" s="959" t="s">
        <v>180</v>
      </c>
      <c r="P82" s="961" t="s">
        <v>163</v>
      </c>
      <c r="Q82" s="961" t="s">
        <v>184</v>
      </c>
      <c r="R82" s="962"/>
      <c r="S82"/>
      <c r="T82"/>
      <c r="U82"/>
      <c r="V82"/>
      <c r="W82"/>
      <c r="X82"/>
      <c r="Y82"/>
      <c r="Z82"/>
      <c r="AA82"/>
      <c r="AB82"/>
      <c r="AC82"/>
      <c r="AD82"/>
      <c r="AE82"/>
      <c r="AF82"/>
      <c r="AG82"/>
      <c r="AH82"/>
      <c r="AI82"/>
      <c r="AJ82"/>
      <c r="AK82"/>
    </row>
    <row r="83" spans="1:37" s="65" customFormat="1" ht="15.75" x14ac:dyDescent="0.25">
      <c r="A83" s="1017" t="s">
        <v>28</v>
      </c>
      <c r="B83" s="964" t="s">
        <v>390</v>
      </c>
      <c r="C83" s="965" t="s">
        <v>31</v>
      </c>
      <c r="D83" s="965" t="s">
        <v>30</v>
      </c>
      <c r="E83" s="965" t="s">
        <v>158</v>
      </c>
      <c r="F83" s="966" t="s">
        <v>56</v>
      </c>
      <c r="G83" s="222">
        <v>226109.99993636491</v>
      </c>
      <c r="H83" s="222">
        <v>254860.00000000003</v>
      </c>
      <c r="I83" s="216">
        <v>31.429200000000002</v>
      </c>
      <c r="J83" s="216">
        <v>30.922999999999998</v>
      </c>
      <c r="K83" s="559"/>
      <c r="L83" s="222"/>
      <c r="M83" s="222"/>
      <c r="N83" s="215"/>
      <c r="O83" s="224">
        <f>G83*I83+H83*J83</f>
        <v>14987492.190000001</v>
      </c>
      <c r="P83" s="253">
        <f>ROUND(G83*I83,2)*6.59%+ROUND(H83*J83,2)*6.73%</f>
        <v>998709.18541300006</v>
      </c>
      <c r="Q83" s="253">
        <f t="shared" ref="Q83:Q84" si="44">ROUND(R83*P83,2)</f>
        <v>499354.59</v>
      </c>
      <c r="R83" s="223">
        <v>0.5</v>
      </c>
      <c r="S83"/>
      <c r="T83"/>
      <c r="U83"/>
      <c r="V83"/>
      <c r="W83"/>
      <c r="X83"/>
      <c r="Y83"/>
      <c r="Z83"/>
      <c r="AA83"/>
      <c r="AB83"/>
      <c r="AC83"/>
      <c r="AD83"/>
      <c r="AE83"/>
      <c r="AF83"/>
      <c r="AG83"/>
      <c r="AH83"/>
      <c r="AI83"/>
      <c r="AJ83"/>
      <c r="AK83"/>
    </row>
    <row r="84" spans="1:37" s="65" customFormat="1" ht="15.75" x14ac:dyDescent="0.25">
      <c r="A84" s="1018" t="s">
        <v>28</v>
      </c>
      <c r="B84" s="968" t="str">
        <f>B83</f>
        <v xml:space="preserve">57 Lgn    </v>
      </c>
      <c r="C84" s="969" t="s">
        <v>31</v>
      </c>
      <c r="D84" s="970" t="s">
        <v>186</v>
      </c>
      <c r="E84" s="970"/>
      <c r="F84" s="969" t="str">
        <f>F83</f>
        <v xml:space="preserve"> MM BTU</v>
      </c>
      <c r="G84" s="424">
        <f>G83</f>
        <v>226109.99993636491</v>
      </c>
      <c r="H84" s="424">
        <f>H83</f>
        <v>254860.00000000003</v>
      </c>
      <c r="I84" s="741">
        <v>31.763300000000001</v>
      </c>
      <c r="J84" s="741">
        <v>31.257100000000001</v>
      </c>
      <c r="K84" s="1020"/>
      <c r="L84" s="424"/>
      <c r="M84" s="424"/>
      <c r="N84" s="936"/>
      <c r="O84" s="224">
        <f>G84*I84+H84*J84</f>
        <v>15148184.266978741</v>
      </c>
      <c r="P84" s="253">
        <f>ROUND(G84*I84,2)*6.59%+ROUND(H84*J84,2)*6.73%</f>
        <v>1009418.001707</v>
      </c>
      <c r="Q84" s="253">
        <f t="shared" si="44"/>
        <v>504709</v>
      </c>
      <c r="R84" s="229">
        <v>0.5</v>
      </c>
      <c r="S84"/>
      <c r="T84"/>
      <c r="U84"/>
      <c r="V84"/>
      <c r="W84"/>
      <c r="X84"/>
      <c r="Y84"/>
      <c r="Z84"/>
      <c r="AA84"/>
      <c r="AB84"/>
      <c r="AC84"/>
      <c r="AD84"/>
      <c r="AE84"/>
      <c r="AF84"/>
      <c r="AG84"/>
      <c r="AH84"/>
      <c r="AI84"/>
      <c r="AJ84"/>
      <c r="AK84"/>
    </row>
    <row r="85" spans="1:37" s="65" customFormat="1" ht="15.75" x14ac:dyDescent="0.25">
      <c r="A85" s="1019"/>
      <c r="B85" s="972" t="s">
        <v>181</v>
      </c>
      <c r="C85" s="973"/>
      <c r="D85" s="974"/>
      <c r="E85" s="974"/>
      <c r="F85" s="971"/>
      <c r="G85" s="975">
        <f>G84-G83</f>
        <v>0</v>
      </c>
      <c r="H85" s="975">
        <f>H84-H83</f>
        <v>0</v>
      </c>
      <c r="I85" s="975">
        <f>I84-I83</f>
        <v>0.3340999999999994</v>
      </c>
      <c r="J85" s="975">
        <f>J84-J83</f>
        <v>0.33410000000000295</v>
      </c>
      <c r="K85" s="975">
        <f t="shared" ref="K85:O85" si="45">K84-K83</f>
        <v>0</v>
      </c>
      <c r="L85" s="975">
        <f t="shared" si="45"/>
        <v>0</v>
      </c>
      <c r="M85" s="975">
        <f t="shared" si="45"/>
        <v>0</v>
      </c>
      <c r="N85" s="975">
        <f t="shared" si="45"/>
        <v>0</v>
      </c>
      <c r="O85" s="830">
        <f t="shared" si="45"/>
        <v>160692.07697873935</v>
      </c>
      <c r="P85" s="1097">
        <f>P84-P83</f>
        <v>10708.816293999902</v>
      </c>
      <c r="Q85" s="1044">
        <f t="shared" ref="Q85" si="46">Q84-Q83</f>
        <v>5354.4099999999744</v>
      </c>
      <c r="R85" s="1021"/>
      <c r="S85" s="1026" t="s">
        <v>182</v>
      </c>
      <c r="T85"/>
      <c r="U85"/>
      <c r="V85"/>
      <c r="W85"/>
      <c r="X85"/>
      <c r="Y85"/>
      <c r="Z85"/>
      <c r="AA85"/>
      <c r="AB85"/>
      <c r="AC85"/>
      <c r="AD85"/>
      <c r="AE85"/>
      <c r="AF85"/>
      <c r="AG85"/>
      <c r="AH85"/>
      <c r="AI85"/>
      <c r="AJ85"/>
      <c r="AK85"/>
    </row>
    <row r="86" spans="1:37" ht="15.75" x14ac:dyDescent="0.25">
      <c r="A86"/>
      <c r="B86"/>
      <c r="C86"/>
      <c r="D86"/>
      <c r="E86"/>
      <c r="F86"/>
      <c r="G86"/>
      <c r="H86"/>
      <c r="I86"/>
      <c r="J86"/>
      <c r="K86"/>
      <c r="L86"/>
      <c r="M86"/>
      <c r="N86"/>
      <c r="O86"/>
      <c r="P86"/>
      <c r="Q86"/>
      <c r="R86"/>
      <c r="S86"/>
      <c r="T86"/>
      <c r="U86"/>
      <c r="V86"/>
      <c r="W86"/>
      <c r="X86"/>
      <c r="Y86"/>
      <c r="Z86"/>
      <c r="AA86"/>
      <c r="AB86"/>
      <c r="AC86"/>
      <c r="AD86"/>
      <c r="AE86"/>
      <c r="AF86"/>
      <c r="AG86"/>
      <c r="AH86"/>
      <c r="AI86"/>
      <c r="AJ86"/>
    </row>
    <row r="87" spans="1:37" s="1" customFormat="1" ht="15.75" x14ac:dyDescent="0.25">
      <c r="A87" s="951"/>
      <c r="B87" s="879" t="s">
        <v>399</v>
      </c>
      <c r="C87" s="683"/>
      <c r="D87" s="683"/>
      <c r="E87" s="683"/>
      <c r="F87" s="683"/>
      <c r="G87" s="683"/>
      <c r="H87" s="683"/>
      <c r="I87" s="683"/>
      <c r="J87" s="952"/>
      <c r="K87" s="683"/>
      <c r="L87" s="683"/>
      <c r="M87" s="683"/>
      <c r="N87" s="950"/>
      <c r="O87" s="683"/>
      <c r="P87" s="683"/>
      <c r="Q87" s="683"/>
      <c r="R87" s="911"/>
      <c r="S87"/>
      <c r="T87"/>
      <c r="U87"/>
      <c r="V87"/>
      <c r="W87"/>
      <c r="X87"/>
      <c r="Y87"/>
      <c r="Z87"/>
      <c r="AA87"/>
      <c r="AB87"/>
      <c r="AC87"/>
      <c r="AD87"/>
      <c r="AE87"/>
      <c r="AF87"/>
      <c r="AG87"/>
      <c r="AH87"/>
      <c r="AI87"/>
      <c r="AJ87"/>
      <c r="AK87"/>
    </row>
    <row r="88" spans="1:37" s="65" customFormat="1" ht="15" customHeight="1" x14ac:dyDescent="0.25">
      <c r="A88" s="954" t="s">
        <v>161</v>
      </c>
      <c r="B88" s="955"/>
      <c r="C88" s="956"/>
      <c r="D88" s="957" t="s">
        <v>19</v>
      </c>
      <c r="E88" s="958" t="s">
        <v>59</v>
      </c>
      <c r="F88" s="957" t="s">
        <v>27</v>
      </c>
      <c r="G88" s="959" t="s">
        <v>35</v>
      </c>
      <c r="H88" s="960" t="s">
        <v>36</v>
      </c>
      <c r="I88" s="960" t="s">
        <v>35</v>
      </c>
      <c r="J88" s="959" t="s">
        <v>36</v>
      </c>
      <c r="K88" s="959" t="s">
        <v>39</v>
      </c>
      <c r="L88" s="959" t="s">
        <v>40</v>
      </c>
      <c r="M88" s="959" t="s">
        <v>42</v>
      </c>
      <c r="N88" s="1056" t="s">
        <v>2</v>
      </c>
      <c r="O88" s="959" t="s">
        <v>180</v>
      </c>
      <c r="P88" s="961" t="s">
        <v>163</v>
      </c>
      <c r="Q88" s="961" t="s">
        <v>184</v>
      </c>
      <c r="R88" s="962"/>
      <c r="S88"/>
      <c r="T88"/>
      <c r="U88"/>
      <c r="V88"/>
      <c r="W88"/>
      <c r="X88"/>
      <c r="Y88"/>
      <c r="Z88"/>
      <c r="AA88"/>
      <c r="AB88"/>
      <c r="AC88"/>
      <c r="AD88"/>
      <c r="AE88"/>
      <c r="AF88"/>
      <c r="AG88"/>
      <c r="AH88"/>
      <c r="AI88"/>
      <c r="AJ88"/>
      <c r="AK88"/>
    </row>
    <row r="89" spans="1:37" s="65" customFormat="1" ht="14.85" customHeight="1" x14ac:dyDescent="0.25">
      <c r="A89" s="1017" t="s">
        <v>28</v>
      </c>
      <c r="B89" s="964" t="s">
        <v>363</v>
      </c>
      <c r="C89" s="965" t="s">
        <v>31</v>
      </c>
      <c r="D89" s="965" t="s">
        <v>30</v>
      </c>
      <c r="E89" s="965" t="s">
        <v>158</v>
      </c>
      <c r="F89" s="966"/>
      <c r="G89" s="253">
        <v>14190297.630999999</v>
      </c>
      <c r="H89" s="420">
        <v>13490837.6066</v>
      </c>
      <c r="I89" s="1069">
        <v>2.6071</v>
      </c>
      <c r="J89" s="741">
        <v>2.6071</v>
      </c>
      <c r="K89" s="253"/>
      <c r="L89" s="253"/>
      <c r="M89" s="253"/>
      <c r="N89" s="557"/>
      <c r="O89" s="224">
        <f>ROUND(G89*I89+H89*J89,2)</f>
        <v>72167487.680000007</v>
      </c>
      <c r="P89" s="991">
        <f>ROUND(37.24%*O89,2)</f>
        <v>26875172.41</v>
      </c>
      <c r="Q89" s="253">
        <f>ROUND(R89*P89,2)</f>
        <v>13437586.210000001</v>
      </c>
      <c r="R89" s="590">
        <v>0.5</v>
      </c>
      <c r="S89"/>
      <c r="T89"/>
      <c r="U89"/>
      <c r="V89"/>
      <c r="W89"/>
      <c r="X89"/>
      <c r="Y89"/>
      <c r="Z89"/>
      <c r="AA89"/>
      <c r="AB89"/>
      <c r="AC89"/>
      <c r="AD89"/>
      <c r="AE89"/>
      <c r="AF89"/>
      <c r="AG89"/>
      <c r="AH89"/>
      <c r="AI89"/>
      <c r="AJ89"/>
      <c r="AK89"/>
    </row>
    <row r="90" spans="1:37" s="65" customFormat="1" ht="15.75" x14ac:dyDescent="0.25">
      <c r="A90" s="1018" t="s">
        <v>28</v>
      </c>
      <c r="B90" s="968" t="str">
        <f>B89</f>
        <v xml:space="preserve">88 Gas    </v>
      </c>
      <c r="C90" s="969" t="s">
        <v>31</v>
      </c>
      <c r="D90" s="970" t="s">
        <v>186</v>
      </c>
      <c r="E90" s="970"/>
      <c r="F90" s="969">
        <f>F89</f>
        <v>0</v>
      </c>
      <c r="G90" s="424">
        <f>G89</f>
        <v>14190297.630999999</v>
      </c>
      <c r="H90" s="424">
        <f>H89</f>
        <v>13490837.6066</v>
      </c>
      <c r="I90" s="1069">
        <v>2.6442999999999999</v>
      </c>
      <c r="J90" s="741">
        <v>2.6442999999999999</v>
      </c>
      <c r="K90" s="1020"/>
      <c r="L90" s="424"/>
      <c r="M90" s="424"/>
      <c r="N90" s="936"/>
      <c r="O90" s="340">
        <f>ROUND(G90*I90+H90*J90,2)</f>
        <v>73197225.909999996</v>
      </c>
      <c r="P90" s="1070">
        <f>ROUND(37.24%*O90,2)</f>
        <v>27258646.93</v>
      </c>
      <c r="Q90" s="341">
        <f>ROUND(R90*P90,2)</f>
        <v>13629323.470000001</v>
      </c>
      <c r="R90" s="742">
        <v>0.5</v>
      </c>
      <c r="S90"/>
      <c r="T90"/>
      <c r="U90"/>
      <c r="V90"/>
      <c r="W90"/>
      <c r="X90"/>
      <c r="Y90"/>
      <c r="Z90"/>
      <c r="AA90"/>
      <c r="AB90"/>
      <c r="AC90"/>
      <c r="AD90"/>
      <c r="AE90"/>
      <c r="AF90"/>
      <c r="AG90"/>
      <c r="AH90"/>
      <c r="AI90"/>
      <c r="AJ90"/>
      <c r="AK90"/>
    </row>
    <row r="91" spans="1:37" s="65" customFormat="1" ht="15.75" x14ac:dyDescent="0.25">
      <c r="A91" s="1019"/>
      <c r="B91" s="972" t="s">
        <v>181</v>
      </c>
      <c r="C91" s="973"/>
      <c r="D91" s="974"/>
      <c r="E91" s="974"/>
      <c r="F91" s="971"/>
      <c r="G91" s="975">
        <f>G90-G89</f>
        <v>0</v>
      </c>
      <c r="H91" s="975">
        <f t="shared" ref="H91:Q91" si="47">H90-H89</f>
        <v>0</v>
      </c>
      <c r="I91" s="975">
        <f t="shared" si="47"/>
        <v>3.71999999999999E-2</v>
      </c>
      <c r="J91" s="975">
        <f t="shared" si="47"/>
        <v>3.71999999999999E-2</v>
      </c>
      <c r="K91" s="975">
        <f t="shared" si="47"/>
        <v>0</v>
      </c>
      <c r="L91" s="975">
        <f t="shared" si="47"/>
        <v>0</v>
      </c>
      <c r="M91" s="975">
        <f t="shared" si="47"/>
        <v>0</v>
      </c>
      <c r="N91" s="975">
        <f t="shared" si="47"/>
        <v>0</v>
      </c>
      <c r="O91" s="830">
        <f t="shared" si="47"/>
        <v>1029738.2299999893</v>
      </c>
      <c r="P91" s="830">
        <f t="shared" si="47"/>
        <v>383474.51999999955</v>
      </c>
      <c r="Q91" s="830">
        <f t="shared" si="47"/>
        <v>191737.25999999978</v>
      </c>
      <c r="R91" s="1021"/>
      <c r="S91" t="s">
        <v>182</v>
      </c>
      <c r="T91"/>
      <c r="U91"/>
      <c r="V91"/>
      <c r="W91"/>
      <c r="X91"/>
      <c r="Y91"/>
      <c r="Z91"/>
      <c r="AA91"/>
      <c r="AB91"/>
      <c r="AC91"/>
      <c r="AD91"/>
      <c r="AE91"/>
      <c r="AF91"/>
      <c r="AG91"/>
      <c r="AH91"/>
      <c r="AI91"/>
      <c r="AJ91"/>
      <c r="AK91"/>
    </row>
    <row r="92" spans="1:37" ht="15.75"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row>
    <row r="93" spans="1:37" s="1" customFormat="1" ht="15.75" x14ac:dyDescent="0.25">
      <c r="A93" s="951"/>
      <c r="B93" s="879" t="s">
        <v>398</v>
      </c>
      <c r="C93" s="683"/>
      <c r="D93" s="683"/>
      <c r="E93" s="683"/>
      <c r="F93" s="683"/>
      <c r="G93" s="683"/>
      <c r="H93" s="683"/>
      <c r="I93" s="683"/>
      <c r="J93" s="952"/>
      <c r="K93" s="683"/>
      <c r="L93" s="683"/>
      <c r="M93" s="683"/>
      <c r="N93" s="950"/>
      <c r="O93" s="683"/>
      <c r="P93" s="683"/>
      <c r="Q93" s="683"/>
      <c r="R93" s="911"/>
      <c r="S93"/>
      <c r="T93"/>
      <c r="U93"/>
      <c r="V93"/>
      <c r="W93"/>
      <c r="X93"/>
      <c r="Y93"/>
      <c r="Z93"/>
      <c r="AA93"/>
      <c r="AB93"/>
      <c r="AC93"/>
      <c r="AD93"/>
      <c r="AE93"/>
      <c r="AF93"/>
      <c r="AG93"/>
      <c r="AH93"/>
      <c r="AI93"/>
      <c r="AJ93"/>
      <c r="AK93"/>
    </row>
    <row r="94" spans="1:37" s="65" customFormat="1" ht="15" customHeight="1" x14ac:dyDescent="0.25">
      <c r="A94" s="954" t="s">
        <v>161</v>
      </c>
      <c r="B94" s="955"/>
      <c r="C94" s="956"/>
      <c r="D94" s="957" t="s">
        <v>19</v>
      </c>
      <c r="E94" s="958" t="s">
        <v>59</v>
      </c>
      <c r="F94" s="957" t="s">
        <v>27</v>
      </c>
      <c r="G94" s="959" t="s">
        <v>35</v>
      </c>
      <c r="H94" s="960" t="s">
        <v>36</v>
      </c>
      <c r="I94" s="960" t="s">
        <v>35</v>
      </c>
      <c r="J94" s="959" t="s">
        <v>36</v>
      </c>
      <c r="K94" s="959" t="s">
        <v>39</v>
      </c>
      <c r="L94" s="959" t="s">
        <v>40</v>
      </c>
      <c r="M94" s="959" t="s">
        <v>42</v>
      </c>
      <c r="N94" s="1056" t="s">
        <v>2</v>
      </c>
      <c r="O94" s="959" t="s">
        <v>180</v>
      </c>
      <c r="P94" s="961" t="s">
        <v>163</v>
      </c>
      <c r="Q94" s="961" t="s">
        <v>184</v>
      </c>
      <c r="R94" s="962"/>
      <c r="S94"/>
      <c r="T94"/>
      <c r="U94"/>
      <c r="V94"/>
      <c r="W94"/>
      <c r="X94"/>
      <c r="Y94"/>
      <c r="Z94"/>
      <c r="AA94"/>
      <c r="AB94"/>
      <c r="AC94"/>
      <c r="AD94"/>
      <c r="AE94"/>
      <c r="AF94"/>
      <c r="AG94"/>
      <c r="AH94"/>
      <c r="AI94"/>
      <c r="AJ94"/>
      <c r="AK94"/>
    </row>
    <row r="95" spans="1:37" s="65" customFormat="1" ht="14.85" customHeight="1" x14ac:dyDescent="0.25">
      <c r="A95" s="1017" t="s">
        <v>28</v>
      </c>
      <c r="B95" s="964" t="s">
        <v>363</v>
      </c>
      <c r="C95" s="965" t="s">
        <v>31</v>
      </c>
      <c r="D95" s="965" t="s">
        <v>30</v>
      </c>
      <c r="E95" s="965" t="s">
        <v>158</v>
      </c>
      <c r="F95" s="966"/>
      <c r="G95" s="253">
        <v>11956428.9013</v>
      </c>
      <c r="H95" s="420">
        <v>12217017.309900001</v>
      </c>
      <c r="I95" s="1069">
        <v>2.6071</v>
      </c>
      <c r="J95" s="741">
        <v>2.6071</v>
      </c>
      <c r="K95" s="253"/>
      <c r="L95" s="253"/>
      <c r="M95" s="253"/>
      <c r="N95" s="557"/>
      <c r="O95" s="224">
        <f>ROUND(G95*I95+H95*J95,2)</f>
        <v>63022591.619999997</v>
      </c>
      <c r="P95" s="991">
        <f>ROUND(37.24%*O95,2)</f>
        <v>23469613.120000001</v>
      </c>
      <c r="Q95" s="253">
        <f>ROUND(R95*P95,2)</f>
        <v>11734806.560000001</v>
      </c>
      <c r="R95" s="590">
        <v>0.5</v>
      </c>
      <c r="S95"/>
      <c r="T95"/>
      <c r="U95"/>
      <c r="V95"/>
      <c r="W95"/>
      <c r="X95"/>
      <c r="Y95"/>
      <c r="Z95"/>
      <c r="AA95"/>
      <c r="AB95"/>
      <c r="AC95"/>
      <c r="AD95"/>
      <c r="AE95"/>
      <c r="AF95"/>
      <c r="AG95"/>
      <c r="AH95"/>
      <c r="AI95"/>
      <c r="AJ95"/>
      <c r="AK95"/>
    </row>
    <row r="96" spans="1:37" s="65" customFormat="1" ht="15.75" x14ac:dyDescent="0.25">
      <c r="A96" s="1018" t="s">
        <v>28</v>
      </c>
      <c r="B96" s="968" t="str">
        <f>B95</f>
        <v xml:space="preserve">88 Gas    </v>
      </c>
      <c r="C96" s="969" t="s">
        <v>31</v>
      </c>
      <c r="D96" s="970" t="s">
        <v>186</v>
      </c>
      <c r="E96" s="970"/>
      <c r="F96" s="969">
        <f>F95</f>
        <v>0</v>
      </c>
      <c r="G96" s="424">
        <f>G95</f>
        <v>11956428.9013</v>
      </c>
      <c r="H96" s="424">
        <f>H95</f>
        <v>12217017.309900001</v>
      </c>
      <c r="I96" s="1069">
        <v>2.7549000000000001</v>
      </c>
      <c r="J96" s="741">
        <v>2.7549000000000001</v>
      </c>
      <c r="K96" s="1020"/>
      <c r="L96" s="424"/>
      <c r="M96" s="424"/>
      <c r="N96" s="936"/>
      <c r="O96" s="340">
        <f>ROUND(G96*I96+H96*J96,2)</f>
        <v>66595426.969999999</v>
      </c>
      <c r="P96" s="1070">
        <f>ROUND(37.24%*O96,2)</f>
        <v>24800137</v>
      </c>
      <c r="Q96" s="341">
        <f>ROUND(R96*P96,2)</f>
        <v>12400068.5</v>
      </c>
      <c r="R96" s="742">
        <v>0.5</v>
      </c>
      <c r="S96"/>
      <c r="T96"/>
      <c r="U96"/>
      <c r="V96"/>
      <c r="W96"/>
      <c r="X96"/>
      <c r="Y96"/>
      <c r="Z96"/>
      <c r="AA96"/>
      <c r="AB96"/>
      <c r="AC96"/>
      <c r="AD96"/>
      <c r="AE96"/>
      <c r="AF96"/>
      <c r="AG96"/>
      <c r="AH96"/>
      <c r="AI96"/>
      <c r="AJ96"/>
      <c r="AK96"/>
    </row>
    <row r="97" spans="1:37" s="65" customFormat="1" ht="15.75" x14ac:dyDescent="0.25">
      <c r="A97" s="1019"/>
      <c r="B97" s="972" t="s">
        <v>181</v>
      </c>
      <c r="C97" s="973"/>
      <c r="D97" s="974"/>
      <c r="E97" s="974"/>
      <c r="F97" s="971"/>
      <c r="G97" s="975">
        <f>G96-G95</f>
        <v>0</v>
      </c>
      <c r="H97" s="975">
        <f t="shared" ref="H97:Q97" si="48">H96-H95</f>
        <v>0</v>
      </c>
      <c r="I97" s="975">
        <f t="shared" si="48"/>
        <v>0.14780000000000015</v>
      </c>
      <c r="J97" s="975">
        <f t="shared" si="48"/>
        <v>0.14780000000000015</v>
      </c>
      <c r="K97" s="975">
        <f t="shared" si="48"/>
        <v>0</v>
      </c>
      <c r="L97" s="975">
        <f t="shared" si="48"/>
        <v>0</v>
      </c>
      <c r="M97" s="975">
        <f t="shared" si="48"/>
        <v>0</v>
      </c>
      <c r="N97" s="975">
        <f t="shared" si="48"/>
        <v>0</v>
      </c>
      <c r="O97" s="830">
        <f t="shared" si="48"/>
        <v>3572835.3500000015</v>
      </c>
      <c r="P97" s="830">
        <f t="shared" si="48"/>
        <v>1330523.879999999</v>
      </c>
      <c r="Q97" s="830">
        <f t="shared" si="48"/>
        <v>665261.93999999948</v>
      </c>
      <c r="R97" s="1021"/>
      <c r="S97" t="s">
        <v>182</v>
      </c>
      <c r="T97"/>
      <c r="U97"/>
      <c r="V97"/>
      <c r="W97"/>
      <c r="X97"/>
      <c r="Y97"/>
      <c r="Z97"/>
      <c r="AA97"/>
      <c r="AB97"/>
      <c r="AC97"/>
      <c r="AD97"/>
      <c r="AE97"/>
      <c r="AF97"/>
      <c r="AG97"/>
      <c r="AH97"/>
      <c r="AI97"/>
      <c r="AJ97"/>
      <c r="AK97"/>
    </row>
    <row r="98" spans="1:37" ht="15.75" x14ac:dyDescent="0.25">
      <c r="A98"/>
      <c r="B98"/>
      <c r="C98"/>
      <c r="D98"/>
      <c r="E98"/>
      <c r="F98"/>
      <c r="G98"/>
      <c r="H98"/>
      <c r="I98"/>
      <c r="J98"/>
      <c r="K98"/>
      <c r="L98"/>
      <c r="M98"/>
      <c r="N98"/>
      <c r="O98"/>
      <c r="P98"/>
      <c r="Q98"/>
      <c r="R98"/>
      <c r="S98"/>
      <c r="T98"/>
      <c r="U98"/>
      <c r="V98"/>
      <c r="W98"/>
      <c r="X98"/>
      <c r="Y98"/>
      <c r="Z98"/>
      <c r="AA98"/>
      <c r="AB98"/>
      <c r="AC98"/>
      <c r="AD98"/>
      <c r="AE98"/>
      <c r="AF98"/>
      <c r="AG98"/>
      <c r="AH98"/>
      <c r="AI98"/>
      <c r="AJ98"/>
    </row>
    <row r="99" spans="1:37" s="65" customFormat="1" ht="15" customHeight="1" x14ac:dyDescent="0.25">
      <c r="A99" s="951"/>
      <c r="B99" s="879" t="s">
        <v>401</v>
      </c>
      <c r="C99" s="683"/>
      <c r="D99" s="683"/>
      <c r="E99" s="683"/>
      <c r="F99" s="683"/>
      <c r="G99" s="683"/>
      <c r="H99" s="683"/>
      <c r="I99" s="683"/>
      <c r="J99" s="952"/>
      <c r="K99" s="683"/>
      <c r="L99" s="683"/>
      <c r="M99" s="683"/>
      <c r="N99" s="950"/>
      <c r="O99" s="683"/>
      <c r="P99" s="683"/>
      <c r="Q99" s="683"/>
      <c r="R99" s="911"/>
      <c r="S99"/>
      <c r="T99"/>
      <c r="U99"/>
      <c r="V99"/>
      <c r="W99"/>
      <c r="X99"/>
      <c r="Y99"/>
      <c r="Z99"/>
      <c r="AA99"/>
      <c r="AB99"/>
      <c r="AC99"/>
      <c r="AD99"/>
      <c r="AE99"/>
      <c r="AF99"/>
      <c r="AG99"/>
      <c r="AH99"/>
      <c r="AI99"/>
      <c r="AJ99"/>
      <c r="AK99"/>
    </row>
    <row r="100" spans="1:37" s="65" customFormat="1" ht="15.75" x14ac:dyDescent="0.25">
      <c r="A100" s="954" t="s">
        <v>161</v>
      </c>
      <c r="B100" s="955"/>
      <c r="C100" s="956"/>
      <c r="D100" s="957" t="s">
        <v>19</v>
      </c>
      <c r="E100" s="958" t="s">
        <v>59</v>
      </c>
      <c r="F100" s="957" t="s">
        <v>27</v>
      </c>
      <c r="G100" s="959" t="s">
        <v>35</v>
      </c>
      <c r="H100" s="960" t="s">
        <v>36</v>
      </c>
      <c r="I100" s="960" t="s">
        <v>35</v>
      </c>
      <c r="J100" s="959" t="s">
        <v>36</v>
      </c>
      <c r="K100" s="959" t="s">
        <v>39</v>
      </c>
      <c r="L100" s="959" t="s">
        <v>40</v>
      </c>
      <c r="M100" s="959" t="s">
        <v>42</v>
      </c>
      <c r="N100" s="1056" t="s">
        <v>2</v>
      </c>
      <c r="O100" s="959" t="s">
        <v>180</v>
      </c>
      <c r="P100" s="961" t="s">
        <v>163</v>
      </c>
      <c r="Q100" s="961" t="s">
        <v>184</v>
      </c>
      <c r="R100" s="962"/>
      <c r="S100"/>
      <c r="T100"/>
      <c r="U100"/>
      <c r="V100"/>
      <c r="W100"/>
      <c r="X100"/>
      <c r="Y100"/>
      <c r="Z100"/>
      <c r="AA100"/>
      <c r="AB100"/>
      <c r="AC100"/>
      <c r="AD100"/>
      <c r="AE100"/>
      <c r="AF100"/>
      <c r="AG100"/>
      <c r="AH100"/>
      <c r="AI100"/>
      <c r="AJ100"/>
      <c r="AK100"/>
    </row>
    <row r="101" spans="1:37" s="65" customFormat="1" ht="15.75" x14ac:dyDescent="0.25">
      <c r="A101" s="1017" t="s">
        <v>28</v>
      </c>
      <c r="B101" s="964" t="s">
        <v>321</v>
      </c>
      <c r="C101" s="965" t="s">
        <v>31</v>
      </c>
      <c r="D101" s="965" t="s">
        <v>30</v>
      </c>
      <c r="E101" s="965" t="s">
        <v>158</v>
      </c>
      <c r="F101" s="966" t="s">
        <v>56</v>
      </c>
      <c r="G101" s="253">
        <v>30955.62</v>
      </c>
      <c r="H101" s="420">
        <v>31784.82</v>
      </c>
      <c r="I101" s="1071">
        <v>3.2564000000000002</v>
      </c>
      <c r="J101" s="1071">
        <v>3.2564000000000002</v>
      </c>
      <c r="K101" s="253"/>
      <c r="L101" s="253"/>
      <c r="M101" s="253"/>
      <c r="N101" s="557"/>
      <c r="O101" s="224">
        <f>ROUND(G101*I101+H101*J101,2)</f>
        <v>204307.97</v>
      </c>
      <c r="P101" s="991">
        <f>ROUND(37.24%*O101,2)</f>
        <v>76084.289999999994</v>
      </c>
      <c r="Q101" s="253">
        <f>ROUND(R101*P101,2)</f>
        <v>38042.15</v>
      </c>
      <c r="R101" s="590">
        <v>0.5</v>
      </c>
      <c r="S101"/>
      <c r="T101"/>
      <c r="U101"/>
      <c r="V101"/>
      <c r="W101"/>
      <c r="X101"/>
      <c r="Y101"/>
      <c r="Z101"/>
      <c r="AA101"/>
      <c r="AB101"/>
      <c r="AC101"/>
      <c r="AD101"/>
      <c r="AE101"/>
      <c r="AF101"/>
      <c r="AG101"/>
      <c r="AH101"/>
      <c r="AI101"/>
      <c r="AJ101"/>
      <c r="AK101"/>
    </row>
    <row r="102" spans="1:37" s="65" customFormat="1" ht="15.75" x14ac:dyDescent="0.25">
      <c r="A102" s="1018" t="s">
        <v>28</v>
      </c>
      <c r="B102" s="964" t="str">
        <f>B101</f>
        <v>88 Gas Planta Pisco</v>
      </c>
      <c r="C102" s="969" t="s">
        <v>31</v>
      </c>
      <c r="D102" s="970" t="s">
        <v>186</v>
      </c>
      <c r="E102" s="970"/>
      <c r="F102" s="969" t="str">
        <f>F101</f>
        <v xml:space="preserve"> MM BTU</v>
      </c>
      <c r="G102" s="424">
        <f>G101</f>
        <v>30955.62</v>
      </c>
      <c r="H102" s="424">
        <f>H101</f>
        <v>31784.82</v>
      </c>
      <c r="I102" s="1071">
        <v>3.5849000000000002</v>
      </c>
      <c r="J102" s="1071">
        <v>3.5849000000000002</v>
      </c>
      <c r="K102" s="1020"/>
      <c r="L102" s="424"/>
      <c r="M102" s="424"/>
      <c r="N102" s="936"/>
      <c r="O102" s="298">
        <f>G102*I102+H102*J102</f>
        <v>224918.20335600001</v>
      </c>
      <c r="P102" s="1022">
        <f>ROUND(37.24%*(G102*I102+H102*J102),2)</f>
        <v>83759.539999999994</v>
      </c>
      <c r="Q102" s="424">
        <f>ROUND(R102*P102,2)</f>
        <v>41879.769999999997</v>
      </c>
      <c r="R102" s="742">
        <v>0.5</v>
      </c>
      <c r="S102"/>
      <c r="T102"/>
      <c r="U102"/>
      <c r="V102"/>
      <c r="W102"/>
      <c r="X102"/>
      <c r="Y102"/>
      <c r="Z102"/>
      <c r="AA102"/>
      <c r="AB102"/>
      <c r="AC102"/>
      <c r="AD102"/>
      <c r="AE102"/>
      <c r="AF102"/>
      <c r="AG102"/>
      <c r="AH102"/>
      <c r="AI102"/>
      <c r="AJ102"/>
      <c r="AK102"/>
    </row>
    <row r="103" spans="1:37" s="65" customFormat="1" ht="15.75" x14ac:dyDescent="0.25">
      <c r="A103" s="1019"/>
      <c r="B103" s="972" t="s">
        <v>181</v>
      </c>
      <c r="C103" s="973"/>
      <c r="D103" s="974"/>
      <c r="E103" s="974"/>
      <c r="F103" s="971"/>
      <c r="G103" s="975">
        <f>G102-G101</f>
        <v>0</v>
      </c>
      <c r="H103" s="975">
        <f t="shared" ref="H103" si="49">H102-H101</f>
        <v>0</v>
      </c>
      <c r="I103" s="830">
        <f>I102-I101</f>
        <v>0.32850000000000001</v>
      </c>
      <c r="J103" s="830">
        <f t="shared" ref="J103:Q103" si="50">J102-J101</f>
        <v>0.32850000000000001</v>
      </c>
      <c r="K103" s="975">
        <f t="shared" si="50"/>
        <v>0</v>
      </c>
      <c r="L103" s="975">
        <f t="shared" si="50"/>
        <v>0</v>
      </c>
      <c r="M103" s="975">
        <f t="shared" si="50"/>
        <v>0</v>
      </c>
      <c r="N103" s="975">
        <f t="shared" si="50"/>
        <v>0</v>
      </c>
      <c r="O103" s="975">
        <f t="shared" si="50"/>
        <v>20610.233356000012</v>
      </c>
      <c r="P103" s="975">
        <f>P102-P101</f>
        <v>7675.25</v>
      </c>
      <c r="Q103" s="975">
        <f t="shared" si="50"/>
        <v>3837.6199999999953</v>
      </c>
      <c r="R103" s="1021"/>
      <c r="S103" t="s">
        <v>182</v>
      </c>
      <c r="T103"/>
      <c r="U103"/>
      <c r="V103"/>
      <c r="W103"/>
      <c r="X103"/>
      <c r="Y103"/>
      <c r="Z103"/>
      <c r="AA103"/>
      <c r="AB103"/>
      <c r="AC103"/>
      <c r="AD103"/>
      <c r="AE103"/>
      <c r="AF103"/>
      <c r="AG103"/>
      <c r="AH103"/>
      <c r="AI103"/>
      <c r="AJ103"/>
      <c r="AK103"/>
    </row>
    <row r="104" spans="1:37" s="65" customFormat="1" ht="15.75" x14ac:dyDescent="0.25">
      <c r="A104" s="1064"/>
      <c r="B104" s="683"/>
      <c r="C104" s="950"/>
      <c r="D104" s="950"/>
      <c r="E104" s="950"/>
      <c r="F104" s="950"/>
      <c r="G104" s="985"/>
      <c r="H104" s="985"/>
      <c r="I104" s="985"/>
      <c r="J104" s="985"/>
      <c r="K104" s="985"/>
      <c r="L104" s="985"/>
      <c r="M104" s="985"/>
      <c r="N104" s="985"/>
      <c r="O104" s="985"/>
      <c r="P104" s="985"/>
      <c r="Q104" s="985"/>
      <c r="R104" s="1065"/>
      <c r="S104"/>
      <c r="T104"/>
      <c r="U104"/>
      <c r="V104"/>
      <c r="W104"/>
      <c r="X104"/>
      <c r="Y104"/>
      <c r="Z104"/>
      <c r="AA104"/>
      <c r="AB104"/>
      <c r="AC104"/>
      <c r="AD104"/>
      <c r="AE104"/>
      <c r="AF104"/>
      <c r="AG104"/>
      <c r="AH104"/>
      <c r="AI104"/>
      <c r="AJ104"/>
      <c r="AK104"/>
    </row>
    <row r="105" spans="1:37" s="65" customFormat="1" ht="15.75" x14ac:dyDescent="0.25">
      <c r="A105" s="951"/>
      <c r="B105" s="879" t="s">
        <v>398</v>
      </c>
      <c r="C105" s="683"/>
      <c r="D105" s="683"/>
      <c r="E105" s="683"/>
      <c r="F105" s="683"/>
      <c r="G105" s="683"/>
      <c r="H105" s="683"/>
      <c r="I105" s="683"/>
      <c r="J105" s="952"/>
      <c r="K105" s="683"/>
      <c r="L105" s="683"/>
      <c r="M105" s="683"/>
      <c r="N105" s="950"/>
      <c r="O105" s="683"/>
      <c r="P105" s="683"/>
      <c r="Q105" s="683"/>
      <c r="R105" s="911"/>
      <c r="S105"/>
      <c r="T105"/>
      <c r="U105"/>
      <c r="V105"/>
      <c r="W105"/>
      <c r="X105"/>
      <c r="Y105"/>
      <c r="Z105"/>
      <c r="AA105"/>
      <c r="AB105"/>
      <c r="AC105"/>
      <c r="AD105"/>
      <c r="AE105"/>
      <c r="AF105"/>
      <c r="AG105"/>
      <c r="AH105"/>
      <c r="AI105"/>
      <c r="AJ105"/>
      <c r="AK105"/>
    </row>
    <row r="106" spans="1:37" s="65" customFormat="1" ht="15.75" x14ac:dyDescent="0.25">
      <c r="A106" s="954" t="s">
        <v>161</v>
      </c>
      <c r="B106" s="955"/>
      <c r="C106" s="956"/>
      <c r="D106" s="957" t="s">
        <v>19</v>
      </c>
      <c r="E106" s="958" t="s">
        <v>59</v>
      </c>
      <c r="F106" s="957" t="s">
        <v>27</v>
      </c>
      <c r="G106" s="959" t="s">
        <v>35</v>
      </c>
      <c r="H106" s="960" t="s">
        <v>36</v>
      </c>
      <c r="I106" s="960" t="s">
        <v>35</v>
      </c>
      <c r="J106" s="959" t="s">
        <v>36</v>
      </c>
      <c r="K106" s="959" t="s">
        <v>39</v>
      </c>
      <c r="L106" s="959" t="s">
        <v>40</v>
      </c>
      <c r="M106" s="959" t="s">
        <v>42</v>
      </c>
      <c r="N106" s="1056" t="s">
        <v>2</v>
      </c>
      <c r="O106" s="959" t="s">
        <v>180</v>
      </c>
      <c r="P106" s="961" t="s">
        <v>163</v>
      </c>
      <c r="Q106" s="961" t="s">
        <v>184</v>
      </c>
      <c r="R106" s="962"/>
      <c r="S106"/>
      <c r="T106"/>
      <c r="U106"/>
      <c r="V106"/>
      <c r="W106"/>
      <c r="X106"/>
      <c r="Y106"/>
      <c r="Z106"/>
      <c r="AA106"/>
      <c r="AB106"/>
      <c r="AC106"/>
      <c r="AD106"/>
      <c r="AE106"/>
      <c r="AF106"/>
      <c r="AG106"/>
      <c r="AH106"/>
      <c r="AI106"/>
      <c r="AJ106"/>
      <c r="AK106"/>
    </row>
    <row r="107" spans="1:37" s="65" customFormat="1" ht="15.75" x14ac:dyDescent="0.25">
      <c r="A107" s="1017" t="s">
        <v>28</v>
      </c>
      <c r="B107" s="964" t="s">
        <v>321</v>
      </c>
      <c r="C107" s="965" t="s">
        <v>31</v>
      </c>
      <c r="D107" s="965" t="s">
        <v>30</v>
      </c>
      <c r="E107" s="965" t="s">
        <v>158</v>
      </c>
      <c r="F107" s="966" t="s">
        <v>56</v>
      </c>
      <c r="G107" s="253">
        <v>30711.73</v>
      </c>
      <c r="H107" s="341">
        <v>33187.33</v>
      </c>
      <c r="I107" s="806">
        <v>3.2564000000000002</v>
      </c>
      <c r="J107" s="728">
        <v>3.2564000000000002</v>
      </c>
      <c r="K107" s="253"/>
      <c r="L107" s="253"/>
      <c r="M107" s="253"/>
      <c r="N107" s="557"/>
      <c r="O107" s="557">
        <f>ROUND(G107*I107+H107*J107,2)</f>
        <v>208080.9</v>
      </c>
      <c r="P107" s="557">
        <f>ROUND(37.24%*O107,2)</f>
        <v>77489.33</v>
      </c>
      <c r="Q107" s="557">
        <f>ROUND(R107*P107,2)</f>
        <v>38744.67</v>
      </c>
      <c r="R107" s="775">
        <v>0.5</v>
      </c>
      <c r="S107"/>
      <c r="T107"/>
      <c r="U107"/>
      <c r="V107"/>
      <c r="W107"/>
      <c r="X107"/>
      <c r="Y107"/>
      <c r="Z107"/>
      <c r="AA107"/>
      <c r="AB107"/>
      <c r="AC107"/>
      <c r="AD107"/>
      <c r="AE107"/>
      <c r="AF107"/>
      <c r="AG107"/>
      <c r="AH107"/>
      <c r="AI107"/>
      <c r="AJ107"/>
      <c r="AK107"/>
    </row>
    <row r="108" spans="1:37" s="65" customFormat="1" ht="15.75" x14ac:dyDescent="0.25">
      <c r="A108" s="1018" t="s">
        <v>28</v>
      </c>
      <c r="B108" s="964" t="str">
        <f>B107</f>
        <v>88 Gas Planta Pisco</v>
      </c>
      <c r="C108" s="969" t="s">
        <v>31</v>
      </c>
      <c r="D108" s="970" t="s">
        <v>186</v>
      </c>
      <c r="E108" s="970"/>
      <c r="F108" s="969" t="str">
        <f>F107</f>
        <v xml:space="preserve"> MM BTU</v>
      </c>
      <c r="G108" s="424">
        <f>G107</f>
        <v>30711.73</v>
      </c>
      <c r="H108" s="424">
        <f>H107</f>
        <v>33187.33</v>
      </c>
      <c r="I108" s="1071">
        <v>3.6046999999999998</v>
      </c>
      <c r="J108" s="1071">
        <v>3.6046999999999998</v>
      </c>
      <c r="K108" s="1020"/>
      <c r="L108" s="424"/>
      <c r="M108" s="424"/>
      <c r="N108" s="936"/>
      <c r="O108" s="897">
        <f>ROUND(G108*I108+H108*J108,2)</f>
        <v>230336.94</v>
      </c>
      <c r="P108" s="897">
        <f>ROUND(37.24%*O108,2)</f>
        <v>85777.48</v>
      </c>
      <c r="Q108" s="897">
        <f>ROUND(R108*P108,2)</f>
        <v>42888.74</v>
      </c>
      <c r="R108" s="906">
        <v>0.5</v>
      </c>
      <c r="S108"/>
      <c r="T108"/>
      <c r="U108"/>
      <c r="V108"/>
      <c r="W108"/>
      <c r="X108"/>
      <c r="Y108"/>
      <c r="Z108"/>
      <c r="AA108"/>
      <c r="AB108"/>
      <c r="AC108"/>
      <c r="AD108"/>
      <c r="AE108"/>
      <c r="AF108"/>
      <c r="AG108"/>
      <c r="AH108"/>
      <c r="AI108"/>
      <c r="AJ108"/>
      <c r="AK108"/>
    </row>
    <row r="109" spans="1:37" s="65" customFormat="1" ht="15.75" x14ac:dyDescent="0.25">
      <c r="A109" s="1019"/>
      <c r="B109" s="972" t="s">
        <v>181</v>
      </c>
      <c r="C109" s="973"/>
      <c r="D109" s="974"/>
      <c r="E109" s="974"/>
      <c r="F109" s="971"/>
      <c r="G109" s="975">
        <f>G108-G107</f>
        <v>0</v>
      </c>
      <c r="H109" s="975">
        <f t="shared" ref="H109" si="51">H108-H107</f>
        <v>0</v>
      </c>
      <c r="I109" s="830">
        <f>I108-I107</f>
        <v>0.34829999999999961</v>
      </c>
      <c r="J109" s="830">
        <f t="shared" ref="J109:Q109" si="52">J108-J107</f>
        <v>0.34829999999999961</v>
      </c>
      <c r="K109" s="975">
        <f t="shared" si="52"/>
        <v>0</v>
      </c>
      <c r="L109" s="975">
        <f t="shared" si="52"/>
        <v>0</v>
      </c>
      <c r="M109" s="975">
        <f t="shared" si="52"/>
        <v>0</v>
      </c>
      <c r="N109" s="975">
        <f t="shared" si="52"/>
        <v>0</v>
      </c>
      <c r="O109" s="830">
        <f t="shared" si="52"/>
        <v>22256.040000000008</v>
      </c>
      <c r="P109" s="1044">
        <f>P108-P107</f>
        <v>8288.1499999999942</v>
      </c>
      <c r="Q109" s="1044">
        <f t="shared" si="52"/>
        <v>4144.07</v>
      </c>
      <c r="R109" s="976"/>
      <c r="S109" t="s">
        <v>182</v>
      </c>
      <c r="T109"/>
      <c r="U109"/>
      <c r="V109"/>
      <c r="W109"/>
      <c r="X109"/>
      <c r="Y109"/>
      <c r="Z109"/>
      <c r="AA109"/>
      <c r="AB109"/>
      <c r="AC109"/>
      <c r="AD109"/>
      <c r="AE109"/>
      <c r="AF109"/>
      <c r="AG109"/>
      <c r="AH109"/>
      <c r="AI109"/>
      <c r="AJ109"/>
      <c r="AK109"/>
    </row>
    <row r="110" spans="1:37" s="65" customFormat="1" ht="15.75" x14ac:dyDescent="0.25">
      <c r="A110" s="1064"/>
      <c r="B110" s="683"/>
      <c r="C110" s="950"/>
      <c r="D110" s="950"/>
      <c r="E110" s="950"/>
      <c r="F110" s="950"/>
      <c r="G110" s="985"/>
      <c r="H110" s="985"/>
      <c r="I110" s="985"/>
      <c r="J110" s="985"/>
      <c r="K110" s="985"/>
      <c r="L110" s="985"/>
      <c r="M110" s="985"/>
      <c r="N110" s="985"/>
      <c r="O110" s="985"/>
      <c r="P110" s="985"/>
      <c r="Q110" s="985"/>
      <c r="R110" s="1065"/>
      <c r="S110"/>
      <c r="T110"/>
      <c r="U110"/>
      <c r="V110"/>
      <c r="W110"/>
      <c r="X110"/>
      <c r="Y110"/>
      <c r="Z110"/>
      <c r="AA110"/>
      <c r="AB110"/>
      <c r="AC110"/>
      <c r="AD110"/>
      <c r="AE110"/>
      <c r="AF110"/>
      <c r="AG110"/>
      <c r="AH110"/>
      <c r="AI110"/>
      <c r="AJ110"/>
      <c r="AK110"/>
    </row>
    <row r="111" spans="1:37" s="65" customFormat="1" ht="15.75" x14ac:dyDescent="0.25">
      <c r="A111" s="951"/>
      <c r="B111" s="879" t="s">
        <v>402</v>
      </c>
      <c r="C111" s="683"/>
      <c r="D111" s="683"/>
      <c r="E111" s="683"/>
      <c r="F111" s="683"/>
      <c r="G111" s="683"/>
      <c r="H111" s="683"/>
      <c r="I111" s="683"/>
      <c r="J111" s="952"/>
      <c r="K111" s="683"/>
      <c r="L111" s="683"/>
      <c r="M111" s="683"/>
      <c r="N111" s="950"/>
      <c r="O111" s="683"/>
      <c r="P111" s="683"/>
      <c r="Q111" s="683"/>
      <c r="R111" s="911"/>
      <c r="S111"/>
      <c r="T111"/>
      <c r="U111"/>
      <c r="V111"/>
      <c r="W111"/>
      <c r="X111"/>
      <c r="Y111"/>
      <c r="Z111"/>
      <c r="AA111"/>
      <c r="AB111"/>
      <c r="AC111"/>
      <c r="AD111"/>
      <c r="AE111"/>
      <c r="AF111"/>
      <c r="AG111"/>
      <c r="AH111"/>
      <c r="AI111"/>
      <c r="AJ111"/>
      <c r="AK111"/>
    </row>
    <row r="112" spans="1:37" s="65" customFormat="1" ht="15.75" x14ac:dyDescent="0.25">
      <c r="A112" s="954" t="s">
        <v>161</v>
      </c>
      <c r="B112" s="955"/>
      <c r="C112" s="956"/>
      <c r="D112" s="957" t="s">
        <v>19</v>
      </c>
      <c r="E112" s="958" t="s">
        <v>59</v>
      </c>
      <c r="F112" s="957" t="s">
        <v>27</v>
      </c>
      <c r="G112" s="959" t="s">
        <v>35</v>
      </c>
      <c r="H112" s="960" t="s">
        <v>36</v>
      </c>
      <c r="I112" s="960" t="s">
        <v>35</v>
      </c>
      <c r="J112" s="959" t="s">
        <v>36</v>
      </c>
      <c r="K112" s="959" t="s">
        <v>39</v>
      </c>
      <c r="L112" s="959" t="s">
        <v>40</v>
      </c>
      <c r="M112" s="959" t="s">
        <v>42</v>
      </c>
      <c r="N112" s="1056" t="s">
        <v>2</v>
      </c>
      <c r="O112" s="959" t="s">
        <v>180</v>
      </c>
      <c r="P112" s="961" t="s">
        <v>163</v>
      </c>
      <c r="Q112" s="961" t="s">
        <v>184</v>
      </c>
      <c r="R112" s="962"/>
      <c r="S112"/>
      <c r="T112"/>
      <c r="U112"/>
      <c r="V112"/>
      <c r="W112"/>
      <c r="X112"/>
      <c r="Y112"/>
      <c r="Z112"/>
      <c r="AA112"/>
      <c r="AB112"/>
      <c r="AC112"/>
      <c r="AD112"/>
      <c r="AE112"/>
      <c r="AF112"/>
      <c r="AG112"/>
      <c r="AH112"/>
      <c r="AI112"/>
      <c r="AJ112"/>
      <c r="AK112"/>
    </row>
    <row r="113" spans="1:37" s="65" customFormat="1" ht="15.75" x14ac:dyDescent="0.25">
      <c r="A113" s="1017" t="s">
        <v>28</v>
      </c>
      <c r="B113" s="964" t="s">
        <v>322</v>
      </c>
      <c r="C113" s="965" t="s">
        <v>31</v>
      </c>
      <c r="D113" s="965" t="s">
        <v>30</v>
      </c>
      <c r="E113" s="965" t="s">
        <v>158</v>
      </c>
      <c r="F113" s="966" t="s">
        <v>56</v>
      </c>
      <c r="G113" s="253">
        <v>23942.05</v>
      </c>
      <c r="H113" s="341">
        <v>23111.07</v>
      </c>
      <c r="I113" s="806">
        <v>3.2564000000000002</v>
      </c>
      <c r="J113" s="929">
        <v>3.2564000000000002</v>
      </c>
      <c r="K113" s="923"/>
      <c r="L113" s="1024"/>
      <c r="M113" s="441"/>
      <c r="N113" s="441"/>
      <c r="O113" s="557">
        <f>ROUND(G113*I113+H113*J113,2)</f>
        <v>153223.78</v>
      </c>
      <c r="P113" s="557">
        <f>ROUND(37.24%*O113,2)</f>
        <v>57060.54</v>
      </c>
      <c r="Q113" s="557">
        <f>ROUND(R113*P113,2)</f>
        <v>28530.27</v>
      </c>
      <c r="R113" s="1025">
        <v>0.5</v>
      </c>
      <c r="S113"/>
      <c r="T113"/>
      <c r="U113"/>
      <c r="V113"/>
      <c r="W113"/>
      <c r="X113"/>
      <c r="Y113"/>
      <c r="Z113"/>
      <c r="AA113"/>
      <c r="AB113"/>
      <c r="AC113"/>
      <c r="AD113"/>
      <c r="AE113"/>
      <c r="AF113"/>
      <c r="AG113"/>
      <c r="AH113"/>
      <c r="AI113"/>
      <c r="AJ113"/>
      <c r="AK113"/>
    </row>
    <row r="114" spans="1:37" s="65" customFormat="1" ht="15.75" x14ac:dyDescent="0.25">
      <c r="A114" s="1018" t="s">
        <v>28</v>
      </c>
      <c r="B114" s="964" t="str">
        <f>B113</f>
        <v>88 Gas P.Pisco Lt 56</v>
      </c>
      <c r="C114" s="969" t="s">
        <v>31</v>
      </c>
      <c r="D114" s="970" t="s">
        <v>186</v>
      </c>
      <c r="E114" s="970"/>
      <c r="F114" s="969" t="str">
        <f>F113</f>
        <v xml:space="preserve"> MM BTU</v>
      </c>
      <c r="G114" s="424">
        <f>G113</f>
        <v>23942.05</v>
      </c>
      <c r="H114" s="986">
        <f>H113</f>
        <v>23111.07</v>
      </c>
      <c r="I114" s="929">
        <v>3.5849000000000002</v>
      </c>
      <c r="J114" s="929">
        <v>3.5849000000000002</v>
      </c>
      <c r="K114" s="1020"/>
      <c r="L114" s="424"/>
      <c r="M114" s="424"/>
      <c r="N114" s="936"/>
      <c r="O114" s="897">
        <f>ROUND(G114*I114+H114*J114,2)</f>
        <v>168680.73</v>
      </c>
      <c r="P114" s="897">
        <f>ROUND(37.24%*O114,2)</f>
        <v>62816.7</v>
      </c>
      <c r="Q114" s="897">
        <f>ROUND(R114*P114,2)</f>
        <v>31408.35</v>
      </c>
      <c r="R114" s="1040">
        <v>0.5</v>
      </c>
      <c r="S114"/>
      <c r="T114"/>
      <c r="U114"/>
      <c r="V114"/>
      <c r="W114"/>
      <c r="X114"/>
      <c r="Y114"/>
      <c r="Z114"/>
      <c r="AA114"/>
      <c r="AB114"/>
      <c r="AC114"/>
      <c r="AD114"/>
      <c r="AE114"/>
      <c r="AF114"/>
      <c r="AG114"/>
      <c r="AH114"/>
      <c r="AI114"/>
      <c r="AJ114"/>
      <c r="AK114"/>
    </row>
    <row r="115" spans="1:37" s="65" customFormat="1" ht="15.75" x14ac:dyDescent="0.25">
      <c r="A115" s="1019"/>
      <c r="B115" s="972" t="s">
        <v>181</v>
      </c>
      <c r="C115" s="973"/>
      <c r="D115" s="974"/>
      <c r="E115" s="974"/>
      <c r="F115" s="971"/>
      <c r="G115" s="975">
        <f>G114-G113</f>
        <v>0</v>
      </c>
      <c r="H115" s="975">
        <f>H114-H113</f>
        <v>0</v>
      </c>
      <c r="I115" s="975">
        <f>I114-I113</f>
        <v>0.32850000000000001</v>
      </c>
      <c r="J115" s="975">
        <f>J114-J113</f>
        <v>0.32850000000000001</v>
      </c>
      <c r="K115" s="975">
        <f t="shared" ref="K115:Q115" si="53">K114-K113</f>
        <v>0</v>
      </c>
      <c r="L115" s="975">
        <f t="shared" si="53"/>
        <v>0</v>
      </c>
      <c r="M115" s="975">
        <f t="shared" si="53"/>
        <v>0</v>
      </c>
      <c r="N115" s="975">
        <f t="shared" si="53"/>
        <v>0</v>
      </c>
      <c r="O115" s="830">
        <f t="shared" si="53"/>
        <v>15456.950000000012</v>
      </c>
      <c r="P115" s="830">
        <f t="shared" si="53"/>
        <v>5756.1599999999962</v>
      </c>
      <c r="Q115" s="830">
        <f t="shared" si="53"/>
        <v>2878.0799999999981</v>
      </c>
      <c r="R115" s="1021"/>
      <c r="S115" t="s">
        <v>182</v>
      </c>
      <c r="T115"/>
      <c r="U115"/>
      <c r="V115"/>
      <c r="W115"/>
      <c r="X115"/>
      <c r="Y115"/>
      <c r="Z115"/>
      <c r="AA115"/>
      <c r="AB115"/>
      <c r="AC115"/>
      <c r="AD115"/>
      <c r="AE115"/>
      <c r="AF115"/>
      <c r="AG115"/>
      <c r="AH115"/>
      <c r="AI115"/>
      <c r="AJ115"/>
      <c r="AK115"/>
    </row>
    <row r="116" spans="1:37" s="65" customFormat="1" ht="15.75" x14ac:dyDescent="0.25">
      <c r="A116" s="1064"/>
      <c r="B116" s="683"/>
      <c r="C116" s="950"/>
      <c r="D116" s="950"/>
      <c r="E116" s="950"/>
      <c r="F116" s="950"/>
      <c r="G116" s="985"/>
      <c r="H116" s="985"/>
      <c r="I116" s="985"/>
      <c r="J116" s="985"/>
      <c r="K116" s="985"/>
      <c r="L116" s="985"/>
      <c r="M116" s="985"/>
      <c r="N116" s="985"/>
      <c r="O116" s="985"/>
      <c r="P116" s="985"/>
      <c r="Q116" s="985"/>
      <c r="R116" s="1065"/>
      <c r="S116"/>
      <c r="T116"/>
      <c r="U116"/>
      <c r="V116"/>
      <c r="W116"/>
      <c r="X116"/>
      <c r="Y116"/>
      <c r="Z116"/>
      <c r="AA116"/>
      <c r="AB116"/>
      <c r="AC116"/>
      <c r="AD116"/>
      <c r="AE116"/>
      <c r="AF116"/>
      <c r="AG116"/>
      <c r="AH116"/>
      <c r="AI116"/>
      <c r="AJ116"/>
      <c r="AK116"/>
    </row>
    <row r="117" spans="1:37" s="65" customFormat="1" ht="15.75" x14ac:dyDescent="0.25">
      <c r="A117" s="951"/>
      <c r="B117" s="879" t="s">
        <v>403</v>
      </c>
      <c r="C117" s="683"/>
      <c r="D117" s="683"/>
      <c r="E117" s="683"/>
      <c r="F117" s="683"/>
      <c r="G117" s="683"/>
      <c r="H117" s="683"/>
      <c r="I117" s="683"/>
      <c r="J117" s="952"/>
      <c r="K117" s="683"/>
      <c r="L117" s="683"/>
      <c r="M117" s="683"/>
      <c r="N117" s="950"/>
      <c r="O117" s="683"/>
      <c r="P117" s="683"/>
      <c r="Q117" s="683"/>
      <c r="R117" s="911"/>
      <c r="S117"/>
      <c r="T117"/>
      <c r="U117"/>
      <c r="V117"/>
      <c r="W117"/>
      <c r="X117"/>
      <c r="Y117"/>
      <c r="Z117"/>
      <c r="AA117"/>
      <c r="AB117"/>
      <c r="AC117"/>
      <c r="AD117"/>
      <c r="AE117"/>
      <c r="AF117"/>
      <c r="AG117"/>
      <c r="AH117"/>
      <c r="AI117"/>
      <c r="AJ117"/>
      <c r="AK117"/>
    </row>
    <row r="118" spans="1:37" s="65" customFormat="1" ht="15.75" x14ac:dyDescent="0.25">
      <c r="A118" s="954" t="s">
        <v>161</v>
      </c>
      <c r="B118" s="955"/>
      <c r="C118" s="956"/>
      <c r="D118" s="957" t="s">
        <v>19</v>
      </c>
      <c r="E118" s="958" t="s">
        <v>59</v>
      </c>
      <c r="F118" s="957" t="s">
        <v>27</v>
      </c>
      <c r="G118" s="959" t="s">
        <v>35</v>
      </c>
      <c r="H118" s="960" t="s">
        <v>36</v>
      </c>
      <c r="I118" s="960" t="s">
        <v>35</v>
      </c>
      <c r="J118" s="959" t="s">
        <v>36</v>
      </c>
      <c r="K118" s="959" t="s">
        <v>39</v>
      </c>
      <c r="L118" s="959" t="s">
        <v>40</v>
      </c>
      <c r="M118" s="959" t="s">
        <v>42</v>
      </c>
      <c r="N118" s="1056" t="s">
        <v>2</v>
      </c>
      <c r="O118" s="959" t="s">
        <v>180</v>
      </c>
      <c r="P118" s="961" t="s">
        <v>163</v>
      </c>
      <c r="Q118" s="961" t="s">
        <v>184</v>
      </c>
      <c r="R118" s="962"/>
      <c r="S118"/>
      <c r="T118"/>
      <c r="U118"/>
      <c r="V118"/>
      <c r="W118"/>
      <c r="X118"/>
      <c r="Y118"/>
      <c r="Z118"/>
      <c r="AA118"/>
      <c r="AB118"/>
      <c r="AC118"/>
      <c r="AD118"/>
      <c r="AE118"/>
      <c r="AF118"/>
      <c r="AG118"/>
      <c r="AH118"/>
      <c r="AI118"/>
      <c r="AJ118"/>
      <c r="AK118"/>
    </row>
    <row r="119" spans="1:37" s="65" customFormat="1" ht="15.75" x14ac:dyDescent="0.25">
      <c r="A119" s="1017" t="s">
        <v>28</v>
      </c>
      <c r="B119" s="964" t="s">
        <v>322</v>
      </c>
      <c r="C119" s="965" t="s">
        <v>31</v>
      </c>
      <c r="D119" s="965" t="s">
        <v>30</v>
      </c>
      <c r="E119" s="965" t="s">
        <v>158</v>
      </c>
      <c r="F119" s="966" t="s">
        <v>56</v>
      </c>
      <c r="G119" s="253">
        <v>23700.38</v>
      </c>
      <c r="H119" s="341">
        <v>24075.25</v>
      </c>
      <c r="I119" s="806">
        <v>3.2564000000000002</v>
      </c>
      <c r="J119" s="728">
        <v>3.2564000000000002</v>
      </c>
      <c r="K119" s="923"/>
      <c r="L119" s="1024"/>
      <c r="M119" s="441"/>
      <c r="N119" s="441"/>
      <c r="O119" s="557">
        <f>ROUND(G119*I119+H119*J119,2)</f>
        <v>155576.56</v>
      </c>
      <c r="P119" s="557">
        <f>ROUND(37.24%*O119,2)</f>
        <v>57936.71</v>
      </c>
      <c r="Q119" s="557">
        <f>ROUND(R119*P119,2)</f>
        <v>28968.36</v>
      </c>
      <c r="R119" s="1025">
        <v>0.5</v>
      </c>
      <c r="S119"/>
      <c r="T119"/>
      <c r="U119"/>
      <c r="V119"/>
      <c r="W119"/>
      <c r="X119"/>
      <c r="Y119"/>
      <c r="Z119"/>
      <c r="AA119"/>
      <c r="AB119"/>
      <c r="AC119"/>
      <c r="AD119"/>
      <c r="AE119"/>
      <c r="AF119"/>
      <c r="AG119"/>
      <c r="AH119"/>
      <c r="AI119"/>
      <c r="AJ119"/>
      <c r="AK119"/>
    </row>
    <row r="120" spans="1:37" s="65" customFormat="1" ht="15.75" x14ac:dyDescent="0.25">
      <c r="A120" s="1018" t="s">
        <v>28</v>
      </c>
      <c r="B120" s="964" t="str">
        <f>B119</f>
        <v>88 Gas P.Pisco Lt 56</v>
      </c>
      <c r="C120" s="969" t="s">
        <v>31</v>
      </c>
      <c r="D120" s="970" t="s">
        <v>186</v>
      </c>
      <c r="E120" s="970"/>
      <c r="F120" s="969" t="str">
        <f>F119</f>
        <v xml:space="preserve"> MM BTU</v>
      </c>
      <c r="G120" s="424">
        <f>G119</f>
        <v>23700.38</v>
      </c>
      <c r="H120" s="986">
        <f>H119</f>
        <v>24075.25</v>
      </c>
      <c r="I120" s="728">
        <v>3.6046999999999998</v>
      </c>
      <c r="J120" s="929">
        <v>3.6046999999999998</v>
      </c>
      <c r="K120" s="1020"/>
      <c r="L120" s="424"/>
      <c r="M120" s="424"/>
      <c r="N120" s="936"/>
      <c r="O120" s="897">
        <f>ROUND(G120*I120+H120*J120,2)</f>
        <v>172216.81</v>
      </c>
      <c r="P120" s="897">
        <f>ROUND(37.24%*O120,2)</f>
        <v>64133.54</v>
      </c>
      <c r="Q120" s="897">
        <f>ROUND(R120*P120,2)</f>
        <v>32066.77</v>
      </c>
      <c r="R120" s="1040">
        <v>0.5</v>
      </c>
      <c r="S120"/>
      <c r="T120"/>
      <c r="U120"/>
      <c r="V120"/>
      <c r="W120"/>
      <c r="X120"/>
      <c r="Y120"/>
      <c r="Z120"/>
      <c r="AA120"/>
      <c r="AB120"/>
      <c r="AC120"/>
      <c r="AD120"/>
      <c r="AE120"/>
      <c r="AF120"/>
      <c r="AG120"/>
      <c r="AH120"/>
      <c r="AI120"/>
      <c r="AJ120"/>
      <c r="AK120"/>
    </row>
    <row r="121" spans="1:37" s="65" customFormat="1" ht="15.75" x14ac:dyDescent="0.25">
      <c r="A121" s="1019"/>
      <c r="B121" s="972" t="s">
        <v>181</v>
      </c>
      <c r="C121" s="973"/>
      <c r="D121" s="974"/>
      <c r="E121" s="974"/>
      <c r="F121" s="971"/>
      <c r="G121" s="975">
        <f>G120-G119</f>
        <v>0</v>
      </c>
      <c r="H121" s="975">
        <f>H120-H119</f>
        <v>0</v>
      </c>
      <c r="I121" s="975">
        <f>I120-I119</f>
        <v>0.34829999999999961</v>
      </c>
      <c r="J121" s="975">
        <f>J120-J119</f>
        <v>0.34829999999999961</v>
      </c>
      <c r="K121" s="975">
        <f t="shared" ref="K121:Q121" si="54">K120-K119</f>
        <v>0</v>
      </c>
      <c r="L121" s="975">
        <f t="shared" si="54"/>
        <v>0</v>
      </c>
      <c r="M121" s="975">
        <f t="shared" si="54"/>
        <v>0</v>
      </c>
      <c r="N121" s="975">
        <f t="shared" si="54"/>
        <v>0</v>
      </c>
      <c r="O121" s="830">
        <f t="shared" si="54"/>
        <v>16640.25</v>
      </c>
      <c r="P121" s="830">
        <f t="shared" si="54"/>
        <v>6196.8300000000017</v>
      </c>
      <c r="Q121" s="830">
        <f t="shared" si="54"/>
        <v>3098.41</v>
      </c>
      <c r="R121" s="1021"/>
      <c r="S121" t="s">
        <v>182</v>
      </c>
      <c r="T121"/>
      <c r="U121"/>
      <c r="V121"/>
      <c r="W121"/>
      <c r="X121"/>
      <c r="Y121"/>
      <c r="Z121"/>
      <c r="AA121"/>
      <c r="AB121"/>
      <c r="AC121"/>
      <c r="AD121"/>
      <c r="AE121"/>
      <c r="AF121"/>
      <c r="AG121"/>
      <c r="AH121"/>
      <c r="AI121"/>
      <c r="AJ121"/>
      <c r="AK121"/>
    </row>
    <row r="122" spans="1:37" ht="15.75"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row>
    <row r="123" spans="1:37" s="65" customFormat="1" ht="15.75" x14ac:dyDescent="0.25">
      <c r="A123" s="951"/>
      <c r="B123" s="879" t="s">
        <v>398</v>
      </c>
      <c r="C123" s="683"/>
      <c r="D123" s="683"/>
      <c r="E123" s="683"/>
      <c r="F123" s="683"/>
      <c r="G123" s="683"/>
      <c r="H123" s="683"/>
      <c r="I123" s="683"/>
      <c r="J123" s="952"/>
      <c r="K123" s="683"/>
      <c r="L123" s="683"/>
      <c r="M123" s="683"/>
      <c r="N123" s="950"/>
      <c r="O123" s="683"/>
      <c r="P123" s="683"/>
      <c r="Q123" s="683"/>
      <c r="R123" s="911"/>
      <c r="S123" s="683"/>
      <c r="T123" s="912"/>
      <c r="U123"/>
      <c r="V123"/>
      <c r="W123"/>
      <c r="X123"/>
      <c r="Y123"/>
      <c r="Z123"/>
      <c r="AA123"/>
      <c r="AB123"/>
      <c r="AC123"/>
      <c r="AD123"/>
      <c r="AE123"/>
      <c r="AF123"/>
      <c r="AG123"/>
      <c r="AH123"/>
      <c r="AI123"/>
      <c r="AJ123"/>
      <c r="AK123"/>
    </row>
    <row r="124" spans="1:37" s="65" customFormat="1" ht="15.75" x14ac:dyDescent="0.25">
      <c r="A124" s="977" t="s">
        <v>312</v>
      </c>
      <c r="B124" s="955"/>
      <c r="C124" s="956"/>
      <c r="D124" s="957" t="s">
        <v>19</v>
      </c>
      <c r="E124" s="958" t="s">
        <v>59</v>
      </c>
      <c r="F124" s="957" t="s">
        <v>27</v>
      </c>
      <c r="G124" s="959" t="s">
        <v>35</v>
      </c>
      <c r="H124" s="960" t="s">
        <v>36</v>
      </c>
      <c r="I124" s="960" t="s">
        <v>35</v>
      </c>
      <c r="J124" s="959" t="s">
        <v>36</v>
      </c>
      <c r="K124" s="959" t="s">
        <v>39</v>
      </c>
      <c r="L124" s="959" t="s">
        <v>40</v>
      </c>
      <c r="M124" s="959" t="s">
        <v>42</v>
      </c>
      <c r="N124" s="1056" t="s">
        <v>2</v>
      </c>
      <c r="O124" s="959" t="s">
        <v>180</v>
      </c>
      <c r="P124" s="961" t="s">
        <v>313</v>
      </c>
      <c r="Q124" s="961" t="s">
        <v>43</v>
      </c>
      <c r="R124" s="962"/>
      <c r="S124" s="1196" t="s">
        <v>44</v>
      </c>
      <c r="T124" s="1197"/>
      <c r="U124"/>
      <c r="V124"/>
      <c r="W124"/>
      <c r="X124"/>
      <c r="Y124"/>
      <c r="Z124"/>
      <c r="AA124"/>
      <c r="AB124"/>
      <c r="AC124"/>
      <c r="AD124"/>
      <c r="AE124"/>
      <c r="AF124"/>
      <c r="AG124"/>
      <c r="AH124"/>
      <c r="AI124"/>
      <c r="AJ124"/>
      <c r="AK124"/>
    </row>
    <row r="125" spans="1:37" s="65" customFormat="1" ht="15.75" x14ac:dyDescent="0.25">
      <c r="A125" s="963" t="s">
        <v>28</v>
      </c>
      <c r="B125" s="445" t="s">
        <v>364</v>
      </c>
      <c r="C125" s="979" t="s">
        <v>31</v>
      </c>
      <c r="D125" s="980" t="s">
        <v>30</v>
      </c>
      <c r="E125" s="980" t="s">
        <v>101</v>
      </c>
      <c r="F125" s="979" t="s">
        <v>56</v>
      </c>
      <c r="G125" s="215">
        <v>42453.733699999997</v>
      </c>
      <c r="H125" s="215">
        <v>15241.56</v>
      </c>
      <c r="I125" s="217">
        <v>3.1187999999999998</v>
      </c>
      <c r="J125" s="217">
        <v>3.1187999999999998</v>
      </c>
      <c r="K125" s="253"/>
      <c r="L125" s="253"/>
      <c r="M125" s="253"/>
      <c r="N125" s="557"/>
      <c r="O125" s="589">
        <f>ROUND(G125*I125,2)+ROUND(H125*J125,2)-K125-L125-M125-N125</f>
        <v>179940.08000000002</v>
      </c>
      <c r="P125" s="253">
        <f>ROUND(18.75%*O125,2)</f>
        <v>33738.769999999997</v>
      </c>
      <c r="Q125" s="253">
        <f>ROUND($O125*R125,2)</f>
        <v>26991.01</v>
      </c>
      <c r="R125" s="590">
        <v>0.15</v>
      </c>
      <c r="S125" s="253">
        <f>ROUND($O125*T125,2)</f>
        <v>6747.75</v>
      </c>
      <c r="T125" s="591">
        <v>3.7499999999999999E-2</v>
      </c>
      <c r="U125"/>
      <c r="V125"/>
      <c r="W125"/>
      <c r="X125"/>
      <c r="Y125"/>
      <c r="Z125"/>
      <c r="AA125"/>
      <c r="AB125"/>
      <c r="AC125"/>
      <c r="AD125"/>
      <c r="AE125"/>
      <c r="AF125"/>
      <c r="AG125"/>
      <c r="AH125"/>
      <c r="AI125"/>
      <c r="AJ125"/>
      <c r="AK125"/>
    </row>
    <row r="126" spans="1:37" s="1" customFormat="1" ht="15.75" x14ac:dyDescent="0.25">
      <c r="A126" s="967" t="s">
        <v>28</v>
      </c>
      <c r="B126" s="981" t="str">
        <f>B125</f>
        <v>I Gas</v>
      </c>
      <c r="C126" s="965" t="s">
        <v>31</v>
      </c>
      <c r="D126" s="970" t="s">
        <v>186</v>
      </c>
      <c r="E126" s="970"/>
      <c r="F126" s="969" t="str">
        <f>F125</f>
        <v xml:space="preserve"> MM BTU</v>
      </c>
      <c r="G126" s="936">
        <f>G125</f>
        <v>42453.733699999997</v>
      </c>
      <c r="H126" s="936">
        <f>H125</f>
        <v>15241.56</v>
      </c>
      <c r="I126" s="588">
        <v>3.0768</v>
      </c>
      <c r="J126" s="588">
        <v>3.0768</v>
      </c>
      <c r="K126" s="557"/>
      <c r="L126" s="557"/>
      <c r="M126" s="934"/>
      <c r="N126" s="934"/>
      <c r="O126" s="589">
        <f>ROUND(G126*I126,2)+ROUND(H126*J126,2)-K126-L126-M126-N126</f>
        <v>177516.88</v>
      </c>
      <c r="P126" s="253">
        <f>ROUND(18.75%*O126,2)</f>
        <v>33284.42</v>
      </c>
      <c r="Q126" s="253">
        <f>ROUND($O126*R126,2)</f>
        <v>26627.53</v>
      </c>
      <c r="R126" s="982">
        <v>0.15</v>
      </c>
      <c r="S126" s="557">
        <f>ROUND($O126*T126,2)</f>
        <v>6656.88</v>
      </c>
      <c r="T126" s="983">
        <v>3.7499999999999999E-2</v>
      </c>
      <c r="U126"/>
      <c r="V126"/>
      <c r="W126"/>
      <c r="X126"/>
      <c r="Y126"/>
      <c r="Z126"/>
      <c r="AA126"/>
      <c r="AB126"/>
      <c r="AC126"/>
      <c r="AD126"/>
      <c r="AE126"/>
      <c r="AF126"/>
      <c r="AG126"/>
      <c r="AH126"/>
      <c r="AI126"/>
      <c r="AJ126"/>
      <c r="AK126"/>
    </row>
    <row r="127" spans="1:37" s="65" customFormat="1" ht="15" customHeight="1" x14ac:dyDescent="0.25">
      <c r="A127" s="971"/>
      <c r="B127" s="972" t="s">
        <v>181</v>
      </c>
      <c r="C127" s="973"/>
      <c r="D127" s="974"/>
      <c r="E127" s="974"/>
      <c r="F127" s="971"/>
      <c r="G127" s="975">
        <f t="shared" ref="G127:P127" si="55">G126-G125</f>
        <v>0</v>
      </c>
      <c r="H127" s="975">
        <f t="shared" si="55"/>
        <v>0</v>
      </c>
      <c r="I127" s="830">
        <f t="shared" si="55"/>
        <v>-4.1999999999999815E-2</v>
      </c>
      <c r="J127" s="830">
        <f t="shared" si="55"/>
        <v>-4.1999999999999815E-2</v>
      </c>
      <c r="K127" s="900">
        <f t="shared" si="55"/>
        <v>0</v>
      </c>
      <c r="L127" s="900">
        <f t="shared" si="55"/>
        <v>0</v>
      </c>
      <c r="M127" s="900">
        <f t="shared" si="55"/>
        <v>0</v>
      </c>
      <c r="N127" s="900">
        <f t="shared" si="55"/>
        <v>0</v>
      </c>
      <c r="O127" s="830">
        <f t="shared" si="55"/>
        <v>-2423.2000000000116</v>
      </c>
      <c r="P127" s="830">
        <f t="shared" si="55"/>
        <v>-454.34999999999854</v>
      </c>
      <c r="Q127" s="830">
        <f>Q126-Q125</f>
        <v>-363.47999999999956</v>
      </c>
      <c r="R127" s="830"/>
      <c r="S127" s="830">
        <f>S126-S125</f>
        <v>-90.869999999999891</v>
      </c>
      <c r="T127" s="830"/>
      <c r="U127"/>
      <c r="V127"/>
      <c r="W127"/>
      <c r="X127"/>
      <c r="Y127"/>
      <c r="Z127"/>
      <c r="AA127"/>
      <c r="AB127"/>
      <c r="AC127"/>
      <c r="AD127"/>
      <c r="AE127"/>
      <c r="AF127"/>
      <c r="AG127"/>
      <c r="AH127"/>
      <c r="AI127" t="s">
        <v>182</v>
      </c>
      <c r="AJ127"/>
      <c r="AK127"/>
    </row>
    <row r="128" spans="1:37" ht="15.75"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row>
    <row r="129" spans="1:37" s="65" customFormat="1" ht="15.75" x14ac:dyDescent="0.25">
      <c r="A129" s="951"/>
      <c r="B129" s="879" t="s">
        <v>398</v>
      </c>
      <c r="C129" s="683"/>
      <c r="D129" s="683"/>
      <c r="E129" s="683"/>
      <c r="F129" s="683"/>
      <c r="G129" s="683"/>
      <c r="H129" s="683"/>
      <c r="I129" s="683"/>
      <c r="J129" s="952"/>
      <c r="K129" s="683"/>
      <c r="L129" s="683"/>
      <c r="M129" s="683"/>
      <c r="N129" s="950"/>
      <c r="O129" s="683"/>
      <c r="P129" s="683"/>
      <c r="Q129" s="683"/>
      <c r="R129" s="911"/>
      <c r="S129" s="683"/>
      <c r="T129" s="912"/>
      <c r="U129"/>
      <c r="V129"/>
      <c r="W129"/>
      <c r="X129"/>
      <c r="Y129"/>
      <c r="Z129"/>
      <c r="AA129"/>
      <c r="AB129"/>
      <c r="AC129"/>
      <c r="AD129"/>
      <c r="AE129"/>
      <c r="AF129"/>
      <c r="AG129"/>
      <c r="AH129"/>
      <c r="AI129"/>
      <c r="AJ129"/>
      <c r="AK129"/>
    </row>
    <row r="130" spans="1:37" s="65" customFormat="1" ht="15.75" x14ac:dyDescent="0.25">
      <c r="A130" s="977" t="s">
        <v>312</v>
      </c>
      <c r="B130" s="955"/>
      <c r="C130" s="956"/>
      <c r="D130" s="957" t="s">
        <v>19</v>
      </c>
      <c r="E130" s="958" t="s">
        <v>59</v>
      </c>
      <c r="F130" s="957" t="s">
        <v>27</v>
      </c>
      <c r="G130" s="959" t="s">
        <v>35</v>
      </c>
      <c r="H130" s="960" t="s">
        <v>36</v>
      </c>
      <c r="I130" s="960" t="s">
        <v>35</v>
      </c>
      <c r="J130" s="959" t="s">
        <v>36</v>
      </c>
      <c r="K130" s="959" t="s">
        <v>39</v>
      </c>
      <c r="L130" s="959" t="s">
        <v>40</v>
      </c>
      <c r="M130" s="959" t="s">
        <v>42</v>
      </c>
      <c r="N130" s="1056" t="s">
        <v>2</v>
      </c>
      <c r="O130" s="959" t="s">
        <v>180</v>
      </c>
      <c r="P130" s="961" t="s">
        <v>313</v>
      </c>
      <c r="Q130" s="961" t="s">
        <v>43</v>
      </c>
      <c r="R130" s="962"/>
      <c r="S130" s="1196" t="s">
        <v>44</v>
      </c>
      <c r="T130" s="1197"/>
      <c r="U130"/>
      <c r="V130"/>
      <c r="W130"/>
      <c r="X130"/>
      <c r="Y130"/>
      <c r="Z130"/>
      <c r="AA130"/>
      <c r="AB130"/>
      <c r="AC130"/>
      <c r="AD130"/>
      <c r="AE130"/>
      <c r="AF130"/>
      <c r="AG130"/>
      <c r="AH130"/>
      <c r="AI130"/>
      <c r="AJ130"/>
      <c r="AK130"/>
    </row>
    <row r="131" spans="1:37" s="1" customFormat="1" ht="15.75" x14ac:dyDescent="0.25">
      <c r="A131" s="963" t="s">
        <v>28</v>
      </c>
      <c r="B131" s="445" t="s">
        <v>380</v>
      </c>
      <c r="C131" s="979" t="s">
        <v>31</v>
      </c>
      <c r="D131" s="980" t="s">
        <v>30</v>
      </c>
      <c r="E131" s="980" t="s">
        <v>101</v>
      </c>
      <c r="F131" s="979" t="s">
        <v>56</v>
      </c>
      <c r="G131" s="215">
        <v>87783.14</v>
      </c>
      <c r="H131" s="215">
        <v>104011.58</v>
      </c>
      <c r="I131" s="217">
        <v>2.8885999999999998</v>
      </c>
      <c r="J131" s="217">
        <v>2.8885999999999998</v>
      </c>
      <c r="K131" s="253"/>
      <c r="L131" s="253"/>
      <c r="M131" s="253"/>
      <c r="N131" s="557"/>
      <c r="O131" s="589">
        <f>ROUND(G131*I131,2)+ROUND(H131*J131,2)-K131-L131-M131-N131</f>
        <v>554018.23</v>
      </c>
      <c r="P131" s="253">
        <f>ROUND(18.75%*O131,2)</f>
        <v>103878.42</v>
      </c>
      <c r="Q131" s="253">
        <f>ROUND($O131*R131,2)</f>
        <v>83102.73</v>
      </c>
      <c r="R131" s="590">
        <v>0.15</v>
      </c>
      <c r="S131" s="253">
        <f>ROUND($O131*T131,2)</f>
        <v>20775.68</v>
      </c>
      <c r="T131" s="591">
        <v>3.7499999999999999E-2</v>
      </c>
      <c r="U131"/>
      <c r="V131"/>
      <c r="W131"/>
      <c r="X131"/>
      <c r="Y131"/>
      <c r="Z131"/>
      <c r="AA131"/>
      <c r="AB131"/>
      <c r="AC131"/>
      <c r="AD131"/>
      <c r="AE131"/>
      <c r="AF131"/>
      <c r="AG131"/>
      <c r="AH131"/>
      <c r="AI131"/>
      <c r="AJ131"/>
      <c r="AK131"/>
    </row>
    <row r="132" spans="1:37" s="65" customFormat="1" ht="15" customHeight="1" x14ac:dyDescent="0.25">
      <c r="A132" s="967" t="s">
        <v>28</v>
      </c>
      <c r="B132" s="981" t="str">
        <f>B131</f>
        <v>III Gas</v>
      </c>
      <c r="C132" s="965" t="s">
        <v>31</v>
      </c>
      <c r="D132" s="970" t="s">
        <v>186</v>
      </c>
      <c r="E132" s="970"/>
      <c r="F132" s="969" t="str">
        <f>F131</f>
        <v xml:space="preserve"> MM BTU</v>
      </c>
      <c r="G132" s="936">
        <f>G131</f>
        <v>87783.14</v>
      </c>
      <c r="H132" s="936">
        <f>H131</f>
        <v>104011.58</v>
      </c>
      <c r="I132" s="588">
        <v>2.9306999999999999</v>
      </c>
      <c r="J132" s="588">
        <v>2.9306999999999999</v>
      </c>
      <c r="K132" s="557"/>
      <c r="L132" s="557"/>
      <c r="M132" s="934"/>
      <c r="N132" s="934"/>
      <c r="O132" s="589">
        <f>ROUND(G132*I132,2)+ROUND(H132*J132,2)-K132-L132-M132-N132</f>
        <v>562092.79</v>
      </c>
      <c r="P132" s="253">
        <f>ROUND(18.75%*O132,2)</f>
        <v>105392.4</v>
      </c>
      <c r="Q132" s="253">
        <f>ROUND($O132*R132,2)</f>
        <v>84313.919999999998</v>
      </c>
      <c r="R132" s="982">
        <v>0.15</v>
      </c>
      <c r="S132" s="557">
        <f>ROUND($O132*T132,2)</f>
        <v>21078.48</v>
      </c>
      <c r="T132" s="983">
        <v>3.7499999999999999E-2</v>
      </c>
      <c r="U132"/>
      <c r="V132"/>
      <c r="W132"/>
      <c r="X132"/>
      <c r="Y132"/>
      <c r="Z132"/>
      <c r="AA132"/>
      <c r="AB132"/>
      <c r="AC132"/>
      <c r="AD132"/>
      <c r="AE132"/>
      <c r="AF132"/>
      <c r="AG132"/>
      <c r="AH132"/>
      <c r="AI132"/>
      <c r="AJ132"/>
      <c r="AK132"/>
    </row>
    <row r="133" spans="1:37" s="65" customFormat="1" ht="14.85" customHeight="1" x14ac:dyDescent="0.25">
      <c r="A133" s="971"/>
      <c r="B133" s="972" t="s">
        <v>181</v>
      </c>
      <c r="C133" s="973"/>
      <c r="D133" s="974"/>
      <c r="E133" s="974"/>
      <c r="F133" s="971"/>
      <c r="G133" s="975">
        <f t="shared" ref="G133:P133" si="56">G132-G131</f>
        <v>0</v>
      </c>
      <c r="H133" s="975">
        <f t="shared" si="56"/>
        <v>0</v>
      </c>
      <c r="I133" s="830">
        <f t="shared" si="56"/>
        <v>4.2100000000000026E-2</v>
      </c>
      <c r="J133" s="830">
        <f>J132-J131</f>
        <v>4.2100000000000026E-2</v>
      </c>
      <c r="K133" s="900">
        <f t="shared" si="56"/>
        <v>0</v>
      </c>
      <c r="L133" s="900">
        <f t="shared" si="56"/>
        <v>0</v>
      </c>
      <c r="M133" s="900">
        <f t="shared" si="56"/>
        <v>0</v>
      </c>
      <c r="N133" s="900">
        <f t="shared" si="56"/>
        <v>0</v>
      </c>
      <c r="O133" s="830">
        <f t="shared" si="56"/>
        <v>8074.5600000000559</v>
      </c>
      <c r="P133" s="830">
        <f t="shared" si="56"/>
        <v>1513.9799999999959</v>
      </c>
      <c r="Q133" s="830">
        <f>Q132-Q131</f>
        <v>1211.1900000000023</v>
      </c>
      <c r="R133" s="830"/>
      <c r="S133" s="830">
        <f>S132-S131</f>
        <v>302.79999999999927</v>
      </c>
      <c r="T133" s="830"/>
      <c r="U133"/>
      <c r="V133"/>
      <c r="W133"/>
      <c r="X133"/>
      <c r="Y133"/>
      <c r="Z133"/>
      <c r="AA133"/>
      <c r="AB133"/>
      <c r="AC133"/>
      <c r="AD133"/>
      <c r="AE133"/>
      <c r="AF133"/>
      <c r="AG133"/>
      <c r="AH133"/>
      <c r="AI133" t="s">
        <v>182</v>
      </c>
      <c r="AJ133"/>
      <c r="AK133"/>
    </row>
    <row r="134" spans="1:37" s="65" customFormat="1" ht="14.85" customHeight="1" x14ac:dyDescent="0.25">
      <c r="A134" s="950"/>
      <c r="B134" s="683"/>
      <c r="C134" s="950"/>
      <c r="D134" s="950"/>
      <c r="E134" s="950"/>
      <c r="F134" s="950"/>
      <c r="G134" s="985"/>
      <c r="H134" s="985"/>
      <c r="I134" s="985"/>
      <c r="J134" s="985"/>
      <c r="K134" s="950"/>
      <c r="L134" s="950"/>
      <c r="M134" s="950"/>
      <c r="N134" s="950"/>
      <c r="O134" s="985"/>
      <c r="P134" s="985"/>
      <c r="Q134" s="985"/>
      <c r="R134" s="985"/>
      <c r="S134" s="985"/>
      <c r="T134" s="985"/>
      <c r="U134"/>
      <c r="V134"/>
      <c r="W134"/>
      <c r="X134"/>
      <c r="Y134"/>
      <c r="Z134"/>
      <c r="AA134"/>
      <c r="AB134"/>
      <c r="AC134"/>
      <c r="AD134"/>
      <c r="AE134"/>
      <c r="AF134"/>
      <c r="AG134"/>
      <c r="AH134"/>
      <c r="AI134"/>
      <c r="AJ134"/>
      <c r="AK134"/>
    </row>
    <row r="135" spans="1:37" s="65" customFormat="1" ht="15.75" x14ac:dyDescent="0.25">
      <c r="A135" s="951"/>
      <c r="B135" s="879" t="s">
        <v>398</v>
      </c>
      <c r="C135" s="683"/>
      <c r="D135" s="683"/>
      <c r="E135" s="683"/>
      <c r="F135" s="683"/>
      <c r="G135" s="683"/>
      <c r="H135" s="683"/>
      <c r="I135" s="683"/>
      <c r="J135" s="952"/>
      <c r="K135" s="683"/>
      <c r="L135" s="683"/>
      <c r="M135" s="683"/>
      <c r="N135" s="950"/>
      <c r="O135" s="683"/>
      <c r="P135" s="683"/>
      <c r="Q135" s="683"/>
      <c r="R135" s="911"/>
      <c r="S135" s="683"/>
      <c r="T135" s="912"/>
      <c r="U135"/>
      <c r="V135"/>
      <c r="W135"/>
      <c r="X135"/>
      <c r="Y135"/>
      <c r="Z135"/>
      <c r="AA135"/>
      <c r="AB135"/>
      <c r="AC135"/>
      <c r="AD135"/>
      <c r="AE135"/>
      <c r="AF135"/>
      <c r="AG135"/>
      <c r="AH135"/>
      <c r="AI135"/>
      <c r="AJ135"/>
      <c r="AK135"/>
    </row>
    <row r="136" spans="1:37" s="65" customFormat="1" ht="15.75" x14ac:dyDescent="0.25">
      <c r="A136" s="977" t="s">
        <v>312</v>
      </c>
      <c r="B136" s="955"/>
      <c r="C136" s="956"/>
      <c r="D136" s="957" t="s">
        <v>19</v>
      </c>
      <c r="E136" s="958" t="s">
        <v>59</v>
      </c>
      <c r="F136" s="957" t="s">
        <v>27</v>
      </c>
      <c r="G136" s="959" t="s">
        <v>35</v>
      </c>
      <c r="H136" s="960" t="s">
        <v>36</v>
      </c>
      <c r="I136" s="960" t="s">
        <v>35</v>
      </c>
      <c r="J136" s="959" t="s">
        <v>36</v>
      </c>
      <c r="K136" s="959" t="s">
        <v>39</v>
      </c>
      <c r="L136" s="959" t="s">
        <v>40</v>
      </c>
      <c r="M136" s="959" t="s">
        <v>42</v>
      </c>
      <c r="N136" s="1056" t="s">
        <v>2</v>
      </c>
      <c r="O136" s="959" t="s">
        <v>180</v>
      </c>
      <c r="P136" s="961" t="s">
        <v>313</v>
      </c>
      <c r="Q136" s="961" t="s">
        <v>43</v>
      </c>
      <c r="R136" s="962"/>
      <c r="S136" s="1196" t="s">
        <v>44</v>
      </c>
      <c r="T136" s="1197"/>
      <c r="U136"/>
      <c r="V136"/>
      <c r="W136"/>
      <c r="X136"/>
      <c r="Y136"/>
      <c r="Z136"/>
      <c r="AA136"/>
      <c r="AB136"/>
      <c r="AC136"/>
      <c r="AD136"/>
      <c r="AE136"/>
      <c r="AF136"/>
      <c r="AG136"/>
      <c r="AH136"/>
      <c r="AI136"/>
      <c r="AJ136"/>
      <c r="AK136"/>
    </row>
    <row r="137" spans="1:37" s="1" customFormat="1" ht="15.75" x14ac:dyDescent="0.25">
      <c r="A137" s="963" t="s">
        <v>28</v>
      </c>
      <c r="B137" s="445" t="s">
        <v>365</v>
      </c>
      <c r="C137" s="979" t="s">
        <v>31</v>
      </c>
      <c r="D137" s="980" t="s">
        <v>30</v>
      </c>
      <c r="E137" s="980" t="s">
        <v>101</v>
      </c>
      <c r="F137" s="979" t="s">
        <v>56</v>
      </c>
      <c r="G137" s="215">
        <v>65513.22</v>
      </c>
      <c r="H137" s="215">
        <v>71905.399999999994</v>
      </c>
      <c r="I137" s="217">
        <v>2.9016999999999999</v>
      </c>
      <c r="J137" s="217">
        <v>2.9016999999999999</v>
      </c>
      <c r="K137" s="253"/>
      <c r="L137" s="253"/>
      <c r="M137" s="253"/>
      <c r="N137" s="557"/>
      <c r="O137" s="589">
        <f>ROUND(G137*I137,2)+ROUND(H137*J137,2)-K137-L137-M137-N137</f>
        <v>398747.61</v>
      </c>
      <c r="P137" s="253">
        <f>ROUND(18.75%*O137,2)</f>
        <v>74765.179999999993</v>
      </c>
      <c r="Q137" s="253">
        <f>ROUND($O137*R137,2)</f>
        <v>59812.14</v>
      </c>
      <c r="R137" s="590">
        <v>0.15</v>
      </c>
      <c r="S137" s="253">
        <f>ROUND($O137*T137,2)</f>
        <v>14953.04</v>
      </c>
      <c r="T137" s="591">
        <v>3.7499999999999999E-2</v>
      </c>
      <c r="U137"/>
      <c r="V137"/>
      <c r="W137"/>
      <c r="X137"/>
      <c r="Y137"/>
      <c r="Z137"/>
      <c r="AA137"/>
      <c r="AB137"/>
      <c r="AC137"/>
      <c r="AD137"/>
      <c r="AE137"/>
      <c r="AF137"/>
      <c r="AG137"/>
      <c r="AH137"/>
      <c r="AI137"/>
      <c r="AJ137"/>
      <c r="AK137"/>
    </row>
    <row r="138" spans="1:37" s="65" customFormat="1" ht="15" customHeight="1" x14ac:dyDescent="0.25">
      <c r="A138" s="967" t="s">
        <v>28</v>
      </c>
      <c r="B138" s="981" t="str">
        <f>B137</f>
        <v>IV Gas</v>
      </c>
      <c r="C138" s="965" t="s">
        <v>31</v>
      </c>
      <c r="D138" s="970" t="s">
        <v>186</v>
      </c>
      <c r="E138" s="970"/>
      <c r="F138" s="969" t="str">
        <f>F137</f>
        <v xml:space="preserve"> MM BTU</v>
      </c>
      <c r="G138" s="936">
        <f>G137</f>
        <v>65513.22</v>
      </c>
      <c r="H138" s="936">
        <f>H137</f>
        <v>71905.399999999994</v>
      </c>
      <c r="I138" s="588">
        <v>2.8281999999999998</v>
      </c>
      <c r="J138" s="588">
        <v>2.8281999999999998</v>
      </c>
      <c r="K138" s="557"/>
      <c r="L138" s="557"/>
      <c r="M138" s="934"/>
      <c r="N138" s="934"/>
      <c r="O138" s="934">
        <f>ROUND(G138*I138,2)+ROUND(H138*J138,2)-K138-L138-M138-N138</f>
        <v>388647.33999999997</v>
      </c>
      <c r="P138" s="557">
        <f>ROUND(18.75%*O138,2)</f>
        <v>72871.38</v>
      </c>
      <c r="Q138" s="557">
        <f>ROUND($O138*R138,2)</f>
        <v>58297.1</v>
      </c>
      <c r="R138" s="982">
        <v>0.15</v>
      </c>
      <c r="S138" s="557">
        <f>ROUND($O138*T138,2)</f>
        <v>14574.28</v>
      </c>
      <c r="T138" s="983">
        <v>3.7499999999999999E-2</v>
      </c>
      <c r="U138"/>
      <c r="V138"/>
      <c r="W138"/>
      <c r="X138"/>
      <c r="Y138"/>
      <c r="Z138"/>
      <c r="AA138"/>
      <c r="AB138"/>
      <c r="AC138"/>
      <c r="AD138"/>
      <c r="AE138"/>
      <c r="AF138"/>
      <c r="AG138"/>
      <c r="AH138"/>
      <c r="AI138"/>
      <c r="AJ138"/>
      <c r="AK138"/>
    </row>
    <row r="139" spans="1:37" s="65" customFormat="1" ht="14.85" customHeight="1" x14ac:dyDescent="0.25">
      <c r="A139" s="971"/>
      <c r="B139" s="972" t="s">
        <v>181</v>
      </c>
      <c r="C139" s="973"/>
      <c r="D139" s="974"/>
      <c r="E139" s="974"/>
      <c r="F139" s="971"/>
      <c r="G139" s="975">
        <f t="shared" ref="G139:P139" si="57">G138-G137</f>
        <v>0</v>
      </c>
      <c r="H139" s="975">
        <f t="shared" si="57"/>
        <v>0</v>
      </c>
      <c r="I139" s="830">
        <f t="shared" si="57"/>
        <v>-7.3500000000000121E-2</v>
      </c>
      <c r="J139" s="830">
        <f t="shared" si="57"/>
        <v>-7.3500000000000121E-2</v>
      </c>
      <c r="K139" s="900">
        <f t="shared" si="57"/>
        <v>0</v>
      </c>
      <c r="L139" s="900">
        <f t="shared" si="57"/>
        <v>0</v>
      </c>
      <c r="M139" s="900">
        <f t="shared" si="57"/>
        <v>0</v>
      </c>
      <c r="N139" s="900">
        <f t="shared" si="57"/>
        <v>0</v>
      </c>
      <c r="O139" s="830">
        <f t="shared" si="57"/>
        <v>-10100.270000000019</v>
      </c>
      <c r="P139" s="830">
        <f t="shared" si="57"/>
        <v>-1893.7999999999884</v>
      </c>
      <c r="Q139" s="830">
        <f>Q138-Q137</f>
        <v>-1515.0400000000009</v>
      </c>
      <c r="R139" s="830"/>
      <c r="S139" s="830">
        <f>S138-S137</f>
        <v>-378.76000000000022</v>
      </c>
      <c r="T139" s="830"/>
      <c r="U139"/>
      <c r="V139"/>
      <c r="W139"/>
      <c r="X139"/>
      <c r="Y139"/>
      <c r="Z139"/>
      <c r="AA139"/>
      <c r="AB139"/>
      <c r="AC139"/>
      <c r="AD139"/>
      <c r="AE139"/>
      <c r="AF139"/>
      <c r="AG139"/>
      <c r="AH139"/>
      <c r="AI139"/>
      <c r="AJ139"/>
      <c r="AK139"/>
    </row>
    <row r="140" spans="1:37" ht="15.75"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row>
    <row r="141" spans="1:37" s="65" customFormat="1" ht="15.75" x14ac:dyDescent="0.25">
      <c r="A141" s="951"/>
      <c r="B141" s="879" t="s">
        <v>398</v>
      </c>
      <c r="C141" s="683"/>
      <c r="D141" s="683"/>
      <c r="E141" s="683"/>
      <c r="F141" s="683"/>
      <c r="G141" s="683"/>
      <c r="H141" s="683"/>
      <c r="I141" s="683"/>
      <c r="J141" s="952"/>
      <c r="K141" s="683"/>
      <c r="L141" s="683"/>
      <c r="M141" s="683"/>
      <c r="N141" s="950"/>
      <c r="O141" s="683"/>
      <c r="P141" s="683"/>
      <c r="Q141" s="683"/>
      <c r="R141" s="911"/>
      <c r="S141" s="683"/>
      <c r="T141" s="912"/>
      <c r="U141"/>
      <c r="V141"/>
      <c r="W141"/>
      <c r="X141"/>
      <c r="Y141"/>
      <c r="Z141"/>
      <c r="AA141"/>
      <c r="AB141"/>
      <c r="AC141"/>
      <c r="AD141"/>
      <c r="AE141"/>
      <c r="AF141"/>
      <c r="AG141"/>
      <c r="AH141"/>
      <c r="AI141"/>
      <c r="AJ141"/>
      <c r="AK141"/>
    </row>
    <row r="142" spans="1:37" s="65" customFormat="1" ht="15.75" x14ac:dyDescent="0.25">
      <c r="A142" s="977" t="s">
        <v>312</v>
      </c>
      <c r="B142" s="955"/>
      <c r="C142" s="956"/>
      <c r="D142" s="957" t="s">
        <v>19</v>
      </c>
      <c r="E142" s="958" t="s">
        <v>59</v>
      </c>
      <c r="F142" s="957" t="s">
        <v>27</v>
      </c>
      <c r="G142" s="959" t="s">
        <v>35</v>
      </c>
      <c r="H142" s="960" t="s">
        <v>36</v>
      </c>
      <c r="I142" s="960" t="s">
        <v>35</v>
      </c>
      <c r="J142" s="959" t="s">
        <v>36</v>
      </c>
      <c r="K142" s="959" t="s">
        <v>39</v>
      </c>
      <c r="L142" s="959" t="s">
        <v>40</v>
      </c>
      <c r="M142" s="959" t="s">
        <v>42</v>
      </c>
      <c r="N142" s="1056" t="s">
        <v>2</v>
      </c>
      <c r="O142" s="959" t="s">
        <v>180</v>
      </c>
      <c r="P142" s="961" t="s">
        <v>313</v>
      </c>
      <c r="Q142" s="961" t="s">
        <v>43</v>
      </c>
      <c r="R142" s="962"/>
      <c r="S142" s="1196" t="s">
        <v>44</v>
      </c>
      <c r="T142" s="1197"/>
      <c r="U142"/>
      <c r="V142"/>
      <c r="W142"/>
      <c r="X142"/>
      <c r="Y142"/>
      <c r="Z142"/>
      <c r="AA142"/>
      <c r="AB142"/>
      <c r="AC142"/>
      <c r="AD142"/>
      <c r="AE142"/>
      <c r="AF142"/>
      <c r="AG142"/>
      <c r="AH142"/>
      <c r="AI142"/>
      <c r="AJ142"/>
      <c r="AK142"/>
    </row>
    <row r="143" spans="1:37" s="1" customFormat="1" ht="15.75" x14ac:dyDescent="0.25">
      <c r="A143" s="963" t="s">
        <v>28</v>
      </c>
      <c r="B143" s="445" t="s">
        <v>366</v>
      </c>
      <c r="C143" s="979" t="s">
        <v>31</v>
      </c>
      <c r="D143" s="980" t="s">
        <v>30</v>
      </c>
      <c r="E143" s="980" t="s">
        <v>101</v>
      </c>
      <c r="F143" s="979" t="s">
        <v>56</v>
      </c>
      <c r="G143" s="215">
        <v>55023.61</v>
      </c>
      <c r="H143" s="215">
        <v>22510.58</v>
      </c>
      <c r="I143" s="216">
        <v>3.0558000000000001</v>
      </c>
      <c r="J143" s="217">
        <v>3.0558000000000001</v>
      </c>
      <c r="K143" s="253"/>
      <c r="L143" s="253"/>
      <c r="M143" s="253"/>
      <c r="N143" s="557"/>
      <c r="O143" s="589">
        <f>ROUND(G143*I143,2)+ROUND(H143*J143,2)-K143-L143-M143-N143</f>
        <v>236928.97999999998</v>
      </c>
      <c r="P143" s="253">
        <f>ROUND(18.75%*O143,2)</f>
        <v>44424.18</v>
      </c>
      <c r="Q143" s="253">
        <f>ROUND($O143*R143,2)</f>
        <v>35539.35</v>
      </c>
      <c r="R143" s="590">
        <v>0.15</v>
      </c>
      <c r="S143" s="253">
        <f>ROUND($O143*T143,2)</f>
        <v>8884.84</v>
      </c>
      <c r="T143" s="591">
        <v>3.7499999999999999E-2</v>
      </c>
      <c r="U143"/>
      <c r="V143"/>
      <c r="W143"/>
      <c r="X143"/>
      <c r="Y143"/>
      <c r="Z143"/>
      <c r="AA143"/>
      <c r="AB143"/>
      <c r="AC143"/>
      <c r="AD143"/>
      <c r="AE143"/>
      <c r="AF143"/>
      <c r="AG143"/>
      <c r="AH143"/>
      <c r="AI143"/>
      <c r="AJ143"/>
      <c r="AK143"/>
    </row>
    <row r="144" spans="1:37" s="65" customFormat="1" ht="16.350000000000001" customHeight="1" x14ac:dyDescent="0.25">
      <c r="A144" s="967" t="s">
        <v>28</v>
      </c>
      <c r="B144" s="981" t="str">
        <f>B143</f>
        <v>VI Gas</v>
      </c>
      <c r="C144" s="965" t="s">
        <v>31</v>
      </c>
      <c r="D144" s="970" t="s">
        <v>186</v>
      </c>
      <c r="E144" s="970"/>
      <c r="F144" s="969" t="str">
        <f>F143</f>
        <v xml:space="preserve"> MM BTU</v>
      </c>
      <c r="G144" s="936">
        <f>G143</f>
        <v>55023.61</v>
      </c>
      <c r="H144" s="936">
        <f>H143</f>
        <v>22510.58</v>
      </c>
      <c r="I144" s="588">
        <v>3.0316999999999998</v>
      </c>
      <c r="J144" s="588">
        <v>3.0316999999999998</v>
      </c>
      <c r="K144" s="557"/>
      <c r="L144" s="557"/>
      <c r="M144" s="934"/>
      <c r="N144" s="934"/>
      <c r="O144" s="934">
        <f>ROUND(G144*I144,2)+ROUND(H144*J144,2)-K144-L144-M144-N144</f>
        <v>235060.40999999997</v>
      </c>
      <c r="P144" s="557">
        <f>ROUND(18.75%*O144,2)</f>
        <v>44073.83</v>
      </c>
      <c r="Q144" s="557">
        <f>ROUND($O144*R144,2)</f>
        <v>35259.06</v>
      </c>
      <c r="R144" s="982">
        <v>0.15</v>
      </c>
      <c r="S144" s="557">
        <f>ROUND($O144*T144,2)</f>
        <v>8814.77</v>
      </c>
      <c r="T144" s="983">
        <v>3.7499999999999999E-2</v>
      </c>
      <c r="U144"/>
      <c r="V144"/>
      <c r="W144"/>
      <c r="X144"/>
      <c r="Y144"/>
      <c r="Z144"/>
      <c r="AA144"/>
      <c r="AB144"/>
      <c r="AC144"/>
      <c r="AD144"/>
      <c r="AE144"/>
      <c r="AF144"/>
      <c r="AG144"/>
      <c r="AH144"/>
      <c r="AI144"/>
      <c r="AJ144"/>
      <c r="AK144"/>
    </row>
    <row r="145" spans="1:37" s="65" customFormat="1" ht="15.75" x14ac:dyDescent="0.25">
      <c r="A145" s="971"/>
      <c r="B145" s="972" t="s">
        <v>181</v>
      </c>
      <c r="C145" s="973"/>
      <c r="D145" s="974"/>
      <c r="E145" s="974"/>
      <c r="F145" s="971"/>
      <c r="G145" s="975">
        <f t="shared" ref="G145:P145" si="58">G144-G143</f>
        <v>0</v>
      </c>
      <c r="H145" s="975">
        <f t="shared" si="58"/>
        <v>0</v>
      </c>
      <c r="I145" s="830">
        <f t="shared" si="58"/>
        <v>-2.4100000000000232E-2</v>
      </c>
      <c r="J145" s="830">
        <f t="shared" si="58"/>
        <v>-2.4100000000000232E-2</v>
      </c>
      <c r="K145" s="900">
        <f t="shared" si="58"/>
        <v>0</v>
      </c>
      <c r="L145" s="900">
        <f t="shared" si="58"/>
        <v>0</v>
      </c>
      <c r="M145" s="900">
        <f t="shared" si="58"/>
        <v>0</v>
      </c>
      <c r="N145" s="900">
        <f t="shared" si="58"/>
        <v>0</v>
      </c>
      <c r="O145" s="830">
        <f t="shared" si="58"/>
        <v>-1868.570000000007</v>
      </c>
      <c r="P145" s="830">
        <f t="shared" si="58"/>
        <v>-350.34999999999854</v>
      </c>
      <c r="Q145" s="830">
        <f>Q144-Q143</f>
        <v>-280.29000000000087</v>
      </c>
      <c r="R145" s="830"/>
      <c r="S145" s="830">
        <f>S144-S143</f>
        <v>-70.069999999999709</v>
      </c>
      <c r="T145" s="830"/>
      <c r="U145"/>
      <c r="V145"/>
      <c r="W145"/>
      <c r="X145"/>
      <c r="Y145"/>
      <c r="Z145"/>
      <c r="AA145"/>
      <c r="AB145"/>
      <c r="AC145"/>
      <c r="AD145"/>
      <c r="AE145"/>
      <c r="AF145"/>
      <c r="AG145"/>
      <c r="AH145"/>
      <c r="AI145" t="s">
        <v>182</v>
      </c>
      <c r="AJ145"/>
      <c r="AK145"/>
    </row>
    <row r="146" spans="1:37" ht="15.75"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row>
    <row r="147" spans="1:37" s="65" customFormat="1" ht="15.75" x14ac:dyDescent="0.25">
      <c r="A147"/>
      <c r="B147" s="879" t="s">
        <v>404</v>
      </c>
      <c r="C147"/>
      <c r="D147"/>
      <c r="E147"/>
      <c r="F147"/>
      <c r="G147"/>
      <c r="H147"/>
      <c r="I147"/>
      <c r="J147"/>
      <c r="K147"/>
      <c r="L147"/>
      <c r="M147"/>
      <c r="N147" s="1028"/>
      <c r="O147" s="498"/>
      <c r="P147" s="498"/>
      <c r="Q147" s="498"/>
      <c r="R147" s="1055"/>
      <c r="S147"/>
      <c r="T147"/>
      <c r="U147"/>
      <c r="V147"/>
      <c r="W147"/>
      <c r="X147"/>
      <c r="Y147"/>
      <c r="Z147"/>
      <c r="AA147"/>
      <c r="AB147"/>
      <c r="AC147"/>
      <c r="AD147"/>
      <c r="AE147"/>
      <c r="AF147"/>
      <c r="AG147"/>
      <c r="AH147"/>
      <c r="AI147"/>
      <c r="AJ147"/>
      <c r="AK147"/>
    </row>
    <row r="148" spans="1:37" s="65" customFormat="1" ht="15.75" x14ac:dyDescent="0.25">
      <c r="A148" s="977" t="s">
        <v>312</v>
      </c>
      <c r="B148" s="955"/>
      <c r="C148" s="956"/>
      <c r="D148" s="957" t="s">
        <v>19</v>
      </c>
      <c r="E148" s="958" t="s">
        <v>59</v>
      </c>
      <c r="F148" s="957" t="s">
        <v>27</v>
      </c>
      <c r="G148" s="959" t="s">
        <v>35</v>
      </c>
      <c r="H148" s="960" t="s">
        <v>36</v>
      </c>
      <c r="I148" s="960" t="s">
        <v>35</v>
      </c>
      <c r="J148" s="959" t="s">
        <v>36</v>
      </c>
      <c r="K148" s="959" t="s">
        <v>39</v>
      </c>
      <c r="L148" s="959" t="s">
        <v>40</v>
      </c>
      <c r="M148" s="959" t="s">
        <v>42</v>
      </c>
      <c r="N148" s="1056" t="s">
        <v>2</v>
      </c>
      <c r="O148" s="959" t="s">
        <v>180</v>
      </c>
      <c r="P148" s="961" t="s">
        <v>313</v>
      </c>
      <c r="Q148" s="961" t="s">
        <v>43</v>
      </c>
      <c r="R148" s="962"/>
      <c r="S148" s="1196" t="s">
        <v>44</v>
      </c>
      <c r="T148" s="1197"/>
      <c r="U148"/>
      <c r="V148"/>
      <c r="W148"/>
      <c r="X148"/>
      <c r="Y148"/>
      <c r="Z148"/>
      <c r="AA148"/>
      <c r="AB148"/>
      <c r="AC148"/>
      <c r="AD148"/>
      <c r="AE148"/>
      <c r="AF148"/>
      <c r="AG148"/>
      <c r="AH148"/>
      <c r="AI148"/>
      <c r="AJ148"/>
      <c r="AK148"/>
    </row>
    <row r="149" spans="1:37" s="1" customFormat="1" ht="15.75" x14ac:dyDescent="0.25">
      <c r="A149" s="963" t="s">
        <v>28</v>
      </c>
      <c r="B149" s="978" t="s">
        <v>316</v>
      </c>
      <c r="C149" s="979" t="s">
        <v>31</v>
      </c>
      <c r="D149" s="980" t="s">
        <v>30</v>
      </c>
      <c r="E149" s="980" t="s">
        <v>101</v>
      </c>
      <c r="F149" s="979" t="s">
        <v>56</v>
      </c>
      <c r="G149" s="587"/>
      <c r="H149" s="587">
        <v>47052.44</v>
      </c>
      <c r="I149" s="588"/>
      <c r="J149" s="920">
        <v>3.81</v>
      </c>
      <c r="K149" s="253"/>
      <c r="L149" s="253"/>
      <c r="M149" s="253"/>
      <c r="N149" s="557"/>
      <c r="O149" s="589">
        <f>ROUND(G149*I149,2)+ROUND(H149*J149,2)-K149-L149-M149-N149</f>
        <v>179269.8</v>
      </c>
      <c r="P149" s="253">
        <f>ROUND(18.75%*O149,2)</f>
        <v>33613.089999999997</v>
      </c>
      <c r="Q149" s="253">
        <f>ROUND($O149*R149,2)</f>
        <v>26890.47</v>
      </c>
      <c r="R149" s="590">
        <v>0.15</v>
      </c>
      <c r="S149" s="253">
        <f>ROUND($O149*T149,2)</f>
        <v>6722.62</v>
      </c>
      <c r="T149" s="591">
        <v>3.7499999999999999E-2</v>
      </c>
      <c r="U149"/>
      <c r="V149"/>
      <c r="W149"/>
      <c r="X149"/>
      <c r="Y149"/>
      <c r="Z149"/>
      <c r="AA149"/>
      <c r="AB149"/>
      <c r="AC149"/>
      <c r="AD149"/>
      <c r="AE149"/>
      <c r="AF149"/>
      <c r="AG149"/>
      <c r="AH149"/>
      <c r="AI149"/>
      <c r="AJ149"/>
      <c r="AK149"/>
    </row>
    <row r="150" spans="1:37" s="65" customFormat="1" ht="16.350000000000001" customHeight="1" x14ac:dyDescent="0.25">
      <c r="A150" s="967" t="s">
        <v>28</v>
      </c>
      <c r="B150" s="981" t="str">
        <f>B149</f>
        <v>XIII Gas - Paita 2</v>
      </c>
      <c r="C150" s="965" t="s">
        <v>31</v>
      </c>
      <c r="D150" s="970" t="s">
        <v>186</v>
      </c>
      <c r="E150" s="970"/>
      <c r="F150" s="969" t="str">
        <f>F149</f>
        <v xml:space="preserve"> MM BTU</v>
      </c>
      <c r="G150" s="936">
        <f>G149</f>
        <v>0</v>
      </c>
      <c r="H150" s="936">
        <f>H149</f>
        <v>47052.44</v>
      </c>
      <c r="I150" s="588"/>
      <c r="J150" s="588">
        <v>4.2686999999999999</v>
      </c>
      <c r="K150" s="557"/>
      <c r="L150" s="557"/>
      <c r="M150" s="934"/>
      <c r="N150" s="934"/>
      <c r="O150" s="934">
        <f>ROUND(G150*I150,2)+ROUND(H150*J150,2)-K150-L150-M150-N150</f>
        <v>200852.75</v>
      </c>
      <c r="P150" s="557">
        <f>ROUND(18.75%*O150,2)</f>
        <v>37659.89</v>
      </c>
      <c r="Q150" s="557">
        <f>ROUND($O150*R150,2)</f>
        <v>30127.91</v>
      </c>
      <c r="R150" s="982">
        <v>0.15</v>
      </c>
      <c r="S150" s="557">
        <f>ROUND($O150*T150,2)</f>
        <v>7531.98</v>
      </c>
      <c r="T150" s="983">
        <v>3.7499999999999999E-2</v>
      </c>
      <c r="U150"/>
      <c r="V150"/>
      <c r="W150"/>
      <c r="X150"/>
      <c r="Y150"/>
      <c r="Z150"/>
      <c r="AA150"/>
      <c r="AB150"/>
      <c r="AC150"/>
      <c r="AD150"/>
      <c r="AE150"/>
      <c r="AF150"/>
      <c r="AG150"/>
      <c r="AH150"/>
      <c r="AI150"/>
      <c r="AJ150"/>
      <c r="AK150"/>
    </row>
    <row r="151" spans="1:37" s="65" customFormat="1" ht="15.75" x14ac:dyDescent="0.25">
      <c r="A151" s="971"/>
      <c r="B151" s="972" t="s">
        <v>181</v>
      </c>
      <c r="C151" s="973"/>
      <c r="D151" s="974"/>
      <c r="E151" s="974"/>
      <c r="F151" s="971"/>
      <c r="G151" s="975">
        <f t="shared" ref="G151:P151" si="59">G150-G149</f>
        <v>0</v>
      </c>
      <c r="H151" s="975">
        <f t="shared" si="59"/>
        <v>0</v>
      </c>
      <c r="I151" s="830">
        <f t="shared" si="59"/>
        <v>0</v>
      </c>
      <c r="J151" s="830">
        <f t="shared" si="59"/>
        <v>0.45869999999999989</v>
      </c>
      <c r="K151" s="900">
        <f t="shared" si="59"/>
        <v>0</v>
      </c>
      <c r="L151" s="900">
        <f t="shared" si="59"/>
        <v>0</v>
      </c>
      <c r="M151" s="900">
        <f t="shared" si="59"/>
        <v>0</v>
      </c>
      <c r="N151" s="900">
        <f t="shared" si="59"/>
        <v>0</v>
      </c>
      <c r="O151" s="830">
        <f t="shared" si="59"/>
        <v>21582.950000000012</v>
      </c>
      <c r="P151" s="830">
        <f t="shared" si="59"/>
        <v>4046.8000000000029</v>
      </c>
      <c r="Q151" s="830">
        <f>Q150-Q149</f>
        <v>3237.4399999999987</v>
      </c>
      <c r="R151" s="830"/>
      <c r="S151" s="830">
        <f>S150-S149</f>
        <v>809.35999999999967</v>
      </c>
      <c r="T151" s="830"/>
      <c r="U151"/>
      <c r="V151"/>
      <c r="W151"/>
      <c r="X151"/>
      <c r="Y151"/>
      <c r="Z151"/>
      <c r="AA151"/>
      <c r="AB151"/>
      <c r="AC151"/>
      <c r="AD151"/>
      <c r="AE151"/>
      <c r="AF151"/>
      <c r="AG151"/>
      <c r="AH151"/>
      <c r="AI151"/>
      <c r="AJ151"/>
      <c r="AK151"/>
    </row>
    <row r="152" spans="1:37" ht="15.75"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row>
    <row r="153" spans="1:37" s="65" customFormat="1" ht="15.75" x14ac:dyDescent="0.25">
      <c r="A153" s="951"/>
      <c r="B153" s="879" t="s">
        <v>398</v>
      </c>
      <c r="C153" s="683"/>
      <c r="D153" s="683"/>
      <c r="E153" s="683"/>
      <c r="F153" s="683"/>
      <c r="G153" s="683"/>
      <c r="H153" s="683"/>
      <c r="I153" s="683"/>
      <c r="J153" s="952"/>
      <c r="K153" s="683"/>
      <c r="L153" s="683"/>
      <c r="M153" s="683"/>
      <c r="N153" s="950"/>
      <c r="O153" s="683"/>
      <c r="P153" s="683"/>
      <c r="Q153" s="683"/>
      <c r="R153" s="911"/>
      <c r="S153" s="683"/>
      <c r="T153" s="912"/>
      <c r="U153"/>
      <c r="V153"/>
      <c r="W153"/>
      <c r="X153"/>
      <c r="Y153"/>
      <c r="Z153"/>
      <c r="AA153"/>
      <c r="AB153"/>
      <c r="AC153"/>
      <c r="AD153"/>
      <c r="AE153"/>
      <c r="AF153"/>
      <c r="AG153"/>
      <c r="AH153"/>
      <c r="AI153"/>
      <c r="AJ153"/>
      <c r="AK153"/>
    </row>
    <row r="154" spans="1:37" s="65" customFormat="1" ht="15.75" x14ac:dyDescent="0.25">
      <c r="A154" s="977" t="s">
        <v>312</v>
      </c>
      <c r="B154" s="955"/>
      <c r="C154" s="956"/>
      <c r="D154" s="957" t="s">
        <v>19</v>
      </c>
      <c r="E154" s="958" t="s">
        <v>59</v>
      </c>
      <c r="F154" s="957" t="s">
        <v>27</v>
      </c>
      <c r="G154" s="959" t="s">
        <v>35</v>
      </c>
      <c r="H154" s="960" t="s">
        <v>36</v>
      </c>
      <c r="I154" s="960" t="s">
        <v>35</v>
      </c>
      <c r="J154" s="959" t="s">
        <v>36</v>
      </c>
      <c r="K154" s="959" t="s">
        <v>39</v>
      </c>
      <c r="L154" s="959" t="s">
        <v>40</v>
      </c>
      <c r="M154" s="959" t="s">
        <v>42</v>
      </c>
      <c r="N154" s="1056" t="s">
        <v>2</v>
      </c>
      <c r="O154" s="959" t="s">
        <v>180</v>
      </c>
      <c r="P154" s="961" t="s">
        <v>313</v>
      </c>
      <c r="Q154" s="961" t="s">
        <v>43</v>
      </c>
      <c r="R154" s="962"/>
      <c r="S154" s="1196" t="s">
        <v>44</v>
      </c>
      <c r="T154" s="1197"/>
      <c r="U154"/>
      <c r="V154"/>
      <c r="W154"/>
      <c r="X154"/>
      <c r="Y154"/>
      <c r="Z154"/>
      <c r="AA154"/>
      <c r="AB154"/>
      <c r="AC154"/>
      <c r="AD154"/>
      <c r="AE154"/>
      <c r="AF154"/>
      <c r="AG154"/>
      <c r="AH154"/>
      <c r="AI154"/>
      <c r="AJ154"/>
      <c r="AK154"/>
    </row>
    <row r="155" spans="1:37" s="1" customFormat="1" ht="15.75" x14ac:dyDescent="0.25">
      <c r="A155" s="963" t="s">
        <v>28</v>
      </c>
      <c r="B155" s="978" t="s">
        <v>377</v>
      </c>
      <c r="C155" s="979" t="s">
        <v>31</v>
      </c>
      <c r="D155" s="980" t="s">
        <v>30</v>
      </c>
      <c r="E155" s="980" t="s">
        <v>101</v>
      </c>
      <c r="F155" s="979" t="s">
        <v>37</v>
      </c>
      <c r="G155" s="935">
        <v>53614.73</v>
      </c>
      <c r="H155" s="927">
        <v>59532.89</v>
      </c>
      <c r="I155" s="928">
        <v>2.6545999999999998</v>
      </c>
      <c r="J155" s="928">
        <v>2.6545999999999998</v>
      </c>
      <c r="K155" s="367"/>
      <c r="L155" s="367"/>
      <c r="M155" s="367"/>
      <c r="N155" s="512"/>
      <c r="O155" s="589">
        <f>ROUND(G155*I155,2)+ROUND(H155*J155,2)-K155-L155-M155-N155</f>
        <v>300361.67000000004</v>
      </c>
      <c r="P155" s="253">
        <f>ROUND(18.75%*O155,2)</f>
        <v>56317.81</v>
      </c>
      <c r="Q155" s="253">
        <f>ROUND($O155*R155,2)</f>
        <v>45054.25</v>
      </c>
      <c r="R155" s="590">
        <v>0.15</v>
      </c>
      <c r="S155" s="253">
        <f>ROUND($O155*T155,2)</f>
        <v>11263.56</v>
      </c>
      <c r="T155" s="591">
        <v>3.7499999999999999E-2</v>
      </c>
      <c r="U155"/>
      <c r="V155"/>
      <c r="W155"/>
      <c r="X155"/>
      <c r="Y155"/>
      <c r="Z155"/>
      <c r="AA155"/>
      <c r="AB155"/>
      <c r="AC155"/>
      <c r="AD155"/>
      <c r="AE155"/>
      <c r="AF155"/>
      <c r="AG155"/>
      <c r="AH155"/>
      <c r="AI155"/>
      <c r="AJ155"/>
      <c r="AK155"/>
    </row>
    <row r="156" spans="1:37" s="65" customFormat="1" ht="16.350000000000001" customHeight="1" x14ac:dyDescent="0.25">
      <c r="A156" s="967" t="s">
        <v>28</v>
      </c>
      <c r="B156" s="981" t="str">
        <f>B155</f>
        <v>Z-69 -  Gas Norp</v>
      </c>
      <c r="C156" s="965" t="s">
        <v>31</v>
      </c>
      <c r="D156" s="970" t="s">
        <v>186</v>
      </c>
      <c r="E156" s="970"/>
      <c r="F156" s="969" t="str">
        <f>F155</f>
        <v>Bls</v>
      </c>
      <c r="G156" s="424">
        <f>G155</f>
        <v>53614.73</v>
      </c>
      <c r="H156" s="986">
        <f>H155</f>
        <v>59532.89</v>
      </c>
      <c r="I156" s="741">
        <v>2.6541000000000001</v>
      </c>
      <c r="J156" s="741">
        <v>2.6541000000000001</v>
      </c>
      <c r="K156" s="557"/>
      <c r="L156" s="557"/>
      <c r="M156" s="934"/>
      <c r="N156" s="934"/>
      <c r="O156" s="934">
        <f>ROUND(G156*I156,2)+ROUND(H156*J156,2)-K156-L156-M156-N156</f>
        <v>300305.08999999997</v>
      </c>
      <c r="P156" s="557">
        <f>ROUND(18.75%*O156,2)</f>
        <v>56307.199999999997</v>
      </c>
      <c r="Q156" s="557">
        <f>ROUND($O156*R156,2)</f>
        <v>45045.760000000002</v>
      </c>
      <c r="R156" s="982">
        <v>0.15</v>
      </c>
      <c r="S156" s="557">
        <f>ROUND($O156*T156,2)</f>
        <v>11261.44</v>
      </c>
      <c r="T156" s="983">
        <v>3.7499999999999999E-2</v>
      </c>
      <c r="U156"/>
      <c r="V156"/>
      <c r="W156"/>
      <c r="X156"/>
      <c r="Y156"/>
      <c r="Z156"/>
      <c r="AA156"/>
      <c r="AB156"/>
      <c r="AC156"/>
      <c r="AD156"/>
      <c r="AE156"/>
      <c r="AF156"/>
      <c r="AG156"/>
      <c r="AH156"/>
      <c r="AI156"/>
      <c r="AJ156"/>
      <c r="AK156"/>
    </row>
    <row r="157" spans="1:37" s="65" customFormat="1" ht="15.75" x14ac:dyDescent="0.25">
      <c r="A157" s="971"/>
      <c r="B157" s="972" t="s">
        <v>181</v>
      </c>
      <c r="C157" s="973"/>
      <c r="D157" s="974"/>
      <c r="E157" s="974"/>
      <c r="F157" s="971"/>
      <c r="G157" s="975">
        <f t="shared" ref="G157:N157" si="60">G156-G155</f>
        <v>0</v>
      </c>
      <c r="H157" s="975">
        <f t="shared" si="60"/>
        <v>0</v>
      </c>
      <c r="I157" s="830">
        <f t="shared" si="60"/>
        <v>-4.9999999999972289E-4</v>
      </c>
      <c r="J157" s="830">
        <f t="shared" si="60"/>
        <v>-4.9999999999972289E-4</v>
      </c>
      <c r="K157" s="900">
        <f t="shared" si="60"/>
        <v>0</v>
      </c>
      <c r="L157" s="900">
        <f t="shared" si="60"/>
        <v>0</v>
      </c>
      <c r="M157" s="900">
        <f t="shared" si="60"/>
        <v>0</v>
      </c>
      <c r="N157" s="900">
        <f t="shared" si="60"/>
        <v>0</v>
      </c>
      <c r="O157" s="830">
        <f>O156-O155</f>
        <v>-56.580000000074506</v>
      </c>
      <c r="P157" s="830">
        <f>P156-P155</f>
        <v>-10.610000000000582</v>
      </c>
      <c r="Q157" s="830">
        <f>Q156-Q155</f>
        <v>-8.4899999999979627</v>
      </c>
      <c r="R157" s="830"/>
      <c r="S157" s="830">
        <f>S156-S155</f>
        <v>-2.1199999999989814</v>
      </c>
      <c r="T157" s="830"/>
      <c r="U157"/>
      <c r="V157"/>
      <c r="W157"/>
      <c r="X157"/>
      <c r="Y157"/>
      <c r="Z157"/>
      <c r="AA157"/>
      <c r="AB157"/>
      <c r="AC157"/>
      <c r="AD157"/>
      <c r="AE157"/>
      <c r="AF157"/>
      <c r="AG157"/>
      <c r="AH157"/>
      <c r="AI157"/>
      <c r="AJ157"/>
      <c r="AK157"/>
    </row>
    <row r="158" spans="1:37" ht="15.75"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row>
    <row r="159" spans="1:37" s="65" customFormat="1" ht="15.75" x14ac:dyDescent="0.25">
      <c r="A159" s="951"/>
      <c r="B159" s="879" t="s">
        <v>398</v>
      </c>
      <c r="C159" s="683"/>
      <c r="D159" s="683"/>
      <c r="E159" s="683"/>
      <c r="F159" s="683"/>
      <c r="G159" s="683"/>
      <c r="H159" s="683"/>
      <c r="I159" s="683"/>
      <c r="J159" s="952"/>
      <c r="K159" s="683"/>
      <c r="L159" s="683"/>
      <c r="M159" s="683"/>
      <c r="N159" s="950"/>
      <c r="O159" s="683"/>
      <c r="P159" s="683"/>
      <c r="Q159" s="683"/>
      <c r="R159" s="911"/>
      <c r="S159" s="683"/>
      <c r="T159" s="912"/>
      <c r="U159"/>
      <c r="V159"/>
      <c r="W159"/>
      <c r="X159"/>
      <c r="Y159"/>
      <c r="Z159"/>
      <c r="AA159"/>
      <c r="AB159"/>
      <c r="AC159"/>
      <c r="AD159"/>
      <c r="AE159"/>
      <c r="AF159"/>
      <c r="AG159"/>
      <c r="AH159"/>
      <c r="AI159"/>
      <c r="AJ159"/>
      <c r="AK159"/>
    </row>
    <row r="160" spans="1:37" s="65" customFormat="1" ht="15.75" x14ac:dyDescent="0.25">
      <c r="A160" s="977" t="s">
        <v>312</v>
      </c>
      <c r="B160" s="955"/>
      <c r="C160" s="956"/>
      <c r="D160" s="957" t="s">
        <v>19</v>
      </c>
      <c r="E160" s="958" t="s">
        <v>59</v>
      </c>
      <c r="F160" s="957" t="s">
        <v>27</v>
      </c>
      <c r="G160" s="959" t="s">
        <v>35</v>
      </c>
      <c r="H160" s="960" t="s">
        <v>36</v>
      </c>
      <c r="I160" s="960" t="s">
        <v>35</v>
      </c>
      <c r="J160" s="959" t="s">
        <v>36</v>
      </c>
      <c r="K160" s="959" t="s">
        <v>39</v>
      </c>
      <c r="L160" s="959" t="s">
        <v>40</v>
      </c>
      <c r="M160" s="959" t="s">
        <v>42</v>
      </c>
      <c r="N160" s="1056" t="s">
        <v>2</v>
      </c>
      <c r="O160" s="959" t="s">
        <v>180</v>
      </c>
      <c r="P160" s="961" t="s">
        <v>313</v>
      </c>
      <c r="Q160" s="961" t="s">
        <v>43</v>
      </c>
      <c r="R160" s="962"/>
      <c r="S160" s="1196" t="s">
        <v>44</v>
      </c>
      <c r="T160" s="1197"/>
      <c r="U160"/>
      <c r="V160"/>
      <c r="W160"/>
      <c r="X160"/>
      <c r="Y160"/>
      <c r="Z160"/>
      <c r="AA160"/>
      <c r="AB160"/>
      <c r="AC160"/>
      <c r="AD160"/>
      <c r="AE160"/>
      <c r="AF160"/>
      <c r="AG160"/>
      <c r="AH160"/>
      <c r="AI160"/>
      <c r="AJ160"/>
      <c r="AK160"/>
    </row>
    <row r="161" spans="1:37" s="65" customFormat="1" ht="15.75" x14ac:dyDescent="0.25">
      <c r="A161" s="963" t="s">
        <v>28</v>
      </c>
      <c r="B161" s="978" t="s">
        <v>393</v>
      </c>
      <c r="C161" s="979" t="s">
        <v>31</v>
      </c>
      <c r="D161" s="980" t="s">
        <v>30</v>
      </c>
      <c r="E161" s="980" t="s">
        <v>101</v>
      </c>
      <c r="F161" s="979" t="s">
        <v>37</v>
      </c>
      <c r="G161" s="386">
        <v>8740</v>
      </c>
      <c r="H161" s="386">
        <v>9511</v>
      </c>
      <c r="I161" s="217">
        <v>34.4938</v>
      </c>
      <c r="J161" s="217">
        <v>34.251399999999997</v>
      </c>
      <c r="K161" s="367"/>
      <c r="L161" s="367"/>
      <c r="M161" s="367"/>
      <c r="N161" s="512"/>
      <c r="O161" s="589">
        <f>ROUND(G161*I161,2)+ROUND(H161*J161,2)-K161-L161-M161-N161</f>
        <v>627240.88</v>
      </c>
      <c r="P161" s="253">
        <f>ROUND(18.75%*O161,2)</f>
        <v>117607.67</v>
      </c>
      <c r="Q161" s="253">
        <f>ROUND($O161*R161,2)</f>
        <v>94086.13</v>
      </c>
      <c r="R161" s="590">
        <v>0.15</v>
      </c>
      <c r="S161" s="253">
        <f>ROUND($O161*T161,2)</f>
        <v>23521.53</v>
      </c>
      <c r="T161" s="591">
        <v>3.7499999999999999E-2</v>
      </c>
      <c r="U161"/>
      <c r="V161"/>
      <c r="W161"/>
      <c r="X161"/>
      <c r="Y161"/>
      <c r="Z161"/>
      <c r="AA161"/>
      <c r="AB161"/>
      <c r="AC161"/>
      <c r="AD161"/>
      <c r="AE161"/>
      <c r="AF161"/>
      <c r="AG161"/>
      <c r="AH161"/>
      <c r="AI161"/>
      <c r="AJ161"/>
      <c r="AK161"/>
    </row>
    <row r="162" spans="1:37" s="65" customFormat="1" ht="15.75" x14ac:dyDescent="0.25">
      <c r="A162" s="967" t="s">
        <v>28</v>
      </c>
      <c r="B162" s="981" t="str">
        <f>B161</f>
        <v>Z-69 -  Lgn</v>
      </c>
      <c r="C162" s="965" t="s">
        <v>31</v>
      </c>
      <c r="D162" s="970" t="s">
        <v>186</v>
      </c>
      <c r="E162" s="970"/>
      <c r="F162" s="969" t="str">
        <f>F161</f>
        <v>Bls</v>
      </c>
      <c r="G162" s="936">
        <f>G161</f>
        <v>8740</v>
      </c>
      <c r="H162" s="936">
        <f>H161</f>
        <v>9511</v>
      </c>
      <c r="I162" s="588">
        <v>34.482799999999997</v>
      </c>
      <c r="J162" s="588">
        <v>34.240400000000001</v>
      </c>
      <c r="K162" s="557"/>
      <c r="L162" s="557"/>
      <c r="M162" s="934"/>
      <c r="N162" s="934"/>
      <c r="O162" s="934">
        <f>ROUND(G162*I162,2)+ROUND(H162*J162,2)-K162-L162-M162-N162</f>
        <v>627040.11</v>
      </c>
      <c r="P162" s="557">
        <f>ROUND(18.75%*O162,2)</f>
        <v>117570.02</v>
      </c>
      <c r="Q162" s="557">
        <f>ROUND($O162*R162,2)</f>
        <v>94056.02</v>
      </c>
      <c r="R162" s="982">
        <v>0.15</v>
      </c>
      <c r="S162" s="557">
        <f>ROUND($O162*T162,2)</f>
        <v>23514</v>
      </c>
      <c r="T162" s="983">
        <v>3.7499999999999999E-2</v>
      </c>
      <c r="U162"/>
      <c r="V162"/>
      <c r="W162"/>
      <c r="X162"/>
      <c r="Y162"/>
      <c r="Z162"/>
      <c r="AA162"/>
      <c r="AB162"/>
      <c r="AC162"/>
      <c r="AD162"/>
      <c r="AE162"/>
      <c r="AF162"/>
      <c r="AG162"/>
      <c r="AH162"/>
      <c r="AI162"/>
      <c r="AJ162"/>
      <c r="AK162"/>
    </row>
    <row r="163" spans="1:37" s="65" customFormat="1" ht="15.75" x14ac:dyDescent="0.25">
      <c r="A163" s="971"/>
      <c r="B163" s="972" t="s">
        <v>181</v>
      </c>
      <c r="C163" s="973"/>
      <c r="D163" s="974"/>
      <c r="E163" s="974"/>
      <c r="F163" s="971"/>
      <c r="G163" s="975">
        <f t="shared" ref="G163:N163" si="61">G162-G161</f>
        <v>0</v>
      </c>
      <c r="H163" s="975">
        <f t="shared" si="61"/>
        <v>0</v>
      </c>
      <c r="I163" s="830">
        <f t="shared" si="61"/>
        <v>-1.1000000000002785E-2</v>
      </c>
      <c r="J163" s="830">
        <f>J162-J161</f>
        <v>-1.099999999999568E-2</v>
      </c>
      <c r="K163" s="900">
        <f t="shared" si="61"/>
        <v>0</v>
      </c>
      <c r="L163" s="900">
        <f t="shared" si="61"/>
        <v>0</v>
      </c>
      <c r="M163" s="900">
        <f t="shared" si="61"/>
        <v>0</v>
      </c>
      <c r="N163" s="900">
        <f t="shared" si="61"/>
        <v>0</v>
      </c>
      <c r="O163" s="830">
        <f>O162-O161</f>
        <v>-200.77000000001863</v>
      </c>
      <c r="P163" s="830">
        <f>P162-P161</f>
        <v>-37.649999999994179</v>
      </c>
      <c r="Q163" s="830">
        <f>Q162-Q161</f>
        <v>-30.110000000000582</v>
      </c>
      <c r="R163" s="830"/>
      <c r="S163" s="830">
        <f>S162-S161</f>
        <v>-7.5299999999988358</v>
      </c>
      <c r="T163" s="830"/>
      <c r="U163"/>
      <c r="V163"/>
      <c r="W163"/>
      <c r="X163"/>
      <c r="Y163"/>
      <c r="Z163"/>
      <c r="AA163"/>
      <c r="AB163"/>
      <c r="AC163"/>
      <c r="AD163"/>
      <c r="AE163"/>
      <c r="AF163"/>
      <c r="AG163"/>
      <c r="AH163"/>
      <c r="AI163"/>
      <c r="AJ163"/>
      <c r="AK163"/>
    </row>
    <row r="164" spans="1:37" ht="15.75"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row>
    <row r="165" spans="1:37" s="65" customFormat="1" ht="15.75" x14ac:dyDescent="0.25">
      <c r="A165" s="951"/>
      <c r="B165" s="879" t="s">
        <v>398</v>
      </c>
      <c r="C165" s="683"/>
      <c r="D165" s="683"/>
      <c r="E165" s="683"/>
      <c r="F165" s="683"/>
      <c r="G165" s="683"/>
      <c r="H165" s="683"/>
      <c r="I165" s="683"/>
      <c r="J165" s="952"/>
      <c r="K165" s="683"/>
      <c r="L165" s="683"/>
      <c r="M165" s="683"/>
      <c r="N165" s="950"/>
      <c r="O165" s="683"/>
      <c r="P165" s="683"/>
      <c r="Q165" s="683"/>
      <c r="R165" s="911"/>
      <c r="S165" s="683"/>
      <c r="T165" s="912"/>
      <c r="U165"/>
      <c r="V165"/>
      <c r="W165"/>
      <c r="X165"/>
      <c r="Y165"/>
      <c r="Z165"/>
      <c r="AA165"/>
      <c r="AB165"/>
      <c r="AC165"/>
      <c r="AD165"/>
      <c r="AE165"/>
      <c r="AF165"/>
      <c r="AG165"/>
      <c r="AH165"/>
      <c r="AI165"/>
      <c r="AJ165"/>
      <c r="AK165"/>
    </row>
    <row r="166" spans="1:37" s="65" customFormat="1" ht="15.75" x14ac:dyDescent="0.25">
      <c r="A166" s="977" t="s">
        <v>312</v>
      </c>
      <c r="B166" s="955"/>
      <c r="C166" s="956"/>
      <c r="D166" s="957" t="s">
        <v>19</v>
      </c>
      <c r="E166" s="958" t="s">
        <v>59</v>
      </c>
      <c r="F166" s="957" t="s">
        <v>27</v>
      </c>
      <c r="G166" s="959" t="s">
        <v>35</v>
      </c>
      <c r="H166" s="960" t="s">
        <v>36</v>
      </c>
      <c r="I166" s="960" t="s">
        <v>35</v>
      </c>
      <c r="J166" s="959" t="s">
        <v>36</v>
      </c>
      <c r="K166" s="959" t="s">
        <v>39</v>
      </c>
      <c r="L166" s="959" t="s">
        <v>40</v>
      </c>
      <c r="M166" s="959" t="s">
        <v>42</v>
      </c>
      <c r="N166" s="1056" t="s">
        <v>2</v>
      </c>
      <c r="O166" s="959" t="s">
        <v>180</v>
      </c>
      <c r="P166" s="961" t="s">
        <v>313</v>
      </c>
      <c r="Q166" s="961" t="s">
        <v>43</v>
      </c>
      <c r="R166" s="962"/>
      <c r="S166" s="1196" t="s">
        <v>44</v>
      </c>
      <c r="T166" s="1197"/>
      <c r="U166"/>
      <c r="V166"/>
      <c r="W166"/>
      <c r="X166"/>
      <c r="Y166"/>
      <c r="Z166"/>
      <c r="AA166"/>
      <c r="AB166"/>
      <c r="AC166"/>
      <c r="AD166"/>
      <c r="AE166"/>
      <c r="AF166"/>
      <c r="AG166"/>
      <c r="AH166"/>
      <c r="AI166"/>
      <c r="AJ166"/>
      <c r="AK166"/>
    </row>
    <row r="167" spans="1:37" s="65" customFormat="1" ht="15.75" x14ac:dyDescent="0.25">
      <c r="A167" s="963" t="s">
        <v>28</v>
      </c>
      <c r="B167" s="978" t="s">
        <v>335</v>
      </c>
      <c r="C167" s="979" t="s">
        <v>31</v>
      </c>
      <c r="D167" s="980" t="s">
        <v>30</v>
      </c>
      <c r="E167" s="980" t="s">
        <v>101</v>
      </c>
      <c r="F167" s="979" t="s">
        <v>56</v>
      </c>
      <c r="G167" s="215">
        <v>12200</v>
      </c>
      <c r="H167" s="215">
        <v>13067</v>
      </c>
      <c r="I167" s="217">
        <v>62.372599999999998</v>
      </c>
      <c r="J167" s="217">
        <v>64.449299999999994</v>
      </c>
      <c r="K167" s="253"/>
      <c r="L167" s="253"/>
      <c r="M167" s="253"/>
      <c r="N167" s="557"/>
      <c r="O167" s="589">
        <f>ROUND(G167*I167,2)+ROUND(H167*J167,2)-K167-L167-M167-N167</f>
        <v>1603104.72</v>
      </c>
      <c r="P167" s="253">
        <f>ROUND(18.75%*O167,2)</f>
        <v>300582.14</v>
      </c>
      <c r="Q167" s="253">
        <f>ROUND($O167*R167,2)</f>
        <v>240465.71</v>
      </c>
      <c r="R167" s="590">
        <v>0.15</v>
      </c>
      <c r="S167" s="253">
        <f>ROUND($O167*T167,2)</f>
        <v>60116.43</v>
      </c>
      <c r="T167" s="591">
        <v>3.7499999999999999E-2</v>
      </c>
      <c r="U167"/>
      <c r="V167"/>
      <c r="W167"/>
      <c r="X167"/>
      <c r="Y167"/>
      <c r="Z167"/>
      <c r="AA167"/>
      <c r="AB167"/>
      <c r="AC167"/>
      <c r="AD167"/>
      <c r="AE167"/>
      <c r="AF167"/>
      <c r="AG167"/>
      <c r="AH167"/>
      <c r="AI167"/>
      <c r="AJ167"/>
      <c r="AK167"/>
    </row>
    <row r="168" spans="1:37" s="65" customFormat="1" ht="15.75" x14ac:dyDescent="0.25">
      <c r="A168" s="967" t="s">
        <v>28</v>
      </c>
      <c r="B168" s="981" t="str">
        <f>B167</f>
        <v>XIII Petroleo</v>
      </c>
      <c r="C168" s="965" t="s">
        <v>31</v>
      </c>
      <c r="D168" s="970" t="s">
        <v>186</v>
      </c>
      <c r="E168" s="970"/>
      <c r="F168" s="969" t="str">
        <f>F167</f>
        <v xml:space="preserve"> MM BTU</v>
      </c>
      <c r="G168" s="936">
        <f>G167</f>
        <v>12200</v>
      </c>
      <c r="H168" s="936">
        <f>H167</f>
        <v>13067</v>
      </c>
      <c r="I168" s="588">
        <v>62.4026</v>
      </c>
      <c r="J168" s="588">
        <v>61.5593</v>
      </c>
      <c r="K168" s="557"/>
      <c r="L168" s="557"/>
      <c r="M168" s="934"/>
      <c r="N168" s="934"/>
      <c r="O168" s="934">
        <f>ROUND(G168*I168,2)+ROUND(H168*J168,2)-K168-L168-M168-N168</f>
        <v>1565707.0899999999</v>
      </c>
      <c r="P168" s="557">
        <f>ROUND(18.75%*O168,2)</f>
        <v>293570.08</v>
      </c>
      <c r="Q168" s="557">
        <f>ROUND($O168*R168,2)</f>
        <v>234856.06</v>
      </c>
      <c r="R168" s="982">
        <v>0.15</v>
      </c>
      <c r="S168" s="557">
        <f>ROUND($O168*T168,2)</f>
        <v>58714.02</v>
      </c>
      <c r="T168" s="983">
        <v>3.7499999999999999E-2</v>
      </c>
      <c r="U168"/>
      <c r="V168"/>
      <c r="W168"/>
      <c r="X168"/>
      <c r="Y168"/>
      <c r="Z168"/>
      <c r="AA168"/>
      <c r="AB168"/>
      <c r="AC168"/>
      <c r="AD168"/>
      <c r="AE168"/>
      <c r="AF168"/>
      <c r="AG168"/>
      <c r="AH168"/>
      <c r="AI168"/>
      <c r="AJ168"/>
      <c r="AK168"/>
    </row>
    <row r="169" spans="1:37" s="65" customFormat="1" ht="15.75" x14ac:dyDescent="0.25">
      <c r="A169" s="971"/>
      <c r="B169" s="972" t="s">
        <v>181</v>
      </c>
      <c r="C169" s="973"/>
      <c r="D169" s="974"/>
      <c r="E169" s="974"/>
      <c r="F169" s="971"/>
      <c r="G169" s="975">
        <f t="shared" ref="G169:P169" si="62">G168-G167</f>
        <v>0</v>
      </c>
      <c r="H169" s="975">
        <f t="shared" si="62"/>
        <v>0</v>
      </c>
      <c r="I169" s="830">
        <f t="shared" si="62"/>
        <v>3.0000000000001137E-2</v>
      </c>
      <c r="J169" s="830">
        <f>J168-J167</f>
        <v>-2.8899999999999935</v>
      </c>
      <c r="K169" s="900">
        <f t="shared" si="62"/>
        <v>0</v>
      </c>
      <c r="L169" s="900">
        <f t="shared" si="62"/>
        <v>0</v>
      </c>
      <c r="M169" s="900">
        <f t="shared" si="62"/>
        <v>0</v>
      </c>
      <c r="N169" s="900">
        <f t="shared" si="62"/>
        <v>0</v>
      </c>
      <c r="O169" s="830">
        <f t="shared" si="62"/>
        <v>-37397.630000000121</v>
      </c>
      <c r="P169" s="830">
        <f t="shared" si="62"/>
        <v>-7012.0599999999977</v>
      </c>
      <c r="Q169" s="830">
        <f>Q168-Q167</f>
        <v>-5609.6499999999942</v>
      </c>
      <c r="R169" s="830"/>
      <c r="S169" s="830">
        <f>S168-S167</f>
        <v>-1402.4100000000035</v>
      </c>
      <c r="T169" s="830"/>
      <c r="U169"/>
      <c r="V169"/>
      <c r="W169"/>
      <c r="X169"/>
      <c r="Y169"/>
      <c r="Z169"/>
      <c r="AA169"/>
      <c r="AB169"/>
      <c r="AC169"/>
      <c r="AD169"/>
      <c r="AE169"/>
      <c r="AF169"/>
      <c r="AG169"/>
      <c r="AH169"/>
      <c r="AI169"/>
      <c r="AJ169"/>
      <c r="AK169"/>
    </row>
    <row r="170" spans="1:37" ht="15.75"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row>
    <row r="171" spans="1:37" s="65" customFormat="1" ht="15.75" x14ac:dyDescent="0.25">
      <c r="A171" s="951"/>
      <c r="B171" s="879" t="s">
        <v>398</v>
      </c>
      <c r="C171" s="683"/>
      <c r="D171" s="683"/>
      <c r="E171" s="683"/>
      <c r="F171" s="683"/>
      <c r="G171" s="683"/>
      <c r="H171" s="683"/>
      <c r="I171" s="683"/>
      <c r="J171" s="952"/>
      <c r="K171" s="683"/>
      <c r="L171" s="683"/>
      <c r="M171" s="683"/>
      <c r="N171" s="950"/>
      <c r="O171" s="683"/>
      <c r="P171" s="683"/>
      <c r="Q171" s="683"/>
      <c r="R171" s="911"/>
      <c r="S171" s="683"/>
      <c r="T171" s="912"/>
      <c r="U171"/>
      <c r="V171"/>
      <c r="W171"/>
      <c r="X171"/>
      <c r="Y171"/>
      <c r="Z171"/>
      <c r="AA171"/>
      <c r="AB171"/>
      <c r="AC171"/>
      <c r="AD171"/>
      <c r="AE171"/>
      <c r="AF171"/>
      <c r="AG171"/>
      <c r="AH171"/>
      <c r="AI171"/>
      <c r="AJ171"/>
      <c r="AK171"/>
    </row>
    <row r="172" spans="1:37" s="65" customFormat="1" ht="15.75" x14ac:dyDescent="0.25">
      <c r="A172" s="977" t="s">
        <v>312</v>
      </c>
      <c r="B172" s="955"/>
      <c r="C172" s="956"/>
      <c r="D172" s="957" t="s">
        <v>19</v>
      </c>
      <c r="E172" s="958" t="s">
        <v>59</v>
      </c>
      <c r="F172" s="957" t="s">
        <v>27</v>
      </c>
      <c r="G172" s="959" t="s">
        <v>35</v>
      </c>
      <c r="H172" s="960" t="s">
        <v>36</v>
      </c>
      <c r="I172" s="960" t="s">
        <v>35</v>
      </c>
      <c r="J172" s="959" t="s">
        <v>36</v>
      </c>
      <c r="K172" s="959" t="s">
        <v>39</v>
      </c>
      <c r="L172" s="959" t="s">
        <v>40</v>
      </c>
      <c r="M172" s="959" t="s">
        <v>42</v>
      </c>
      <c r="N172" s="1056" t="s">
        <v>2</v>
      </c>
      <c r="O172" s="959" t="s">
        <v>180</v>
      </c>
      <c r="P172" s="961" t="s">
        <v>313</v>
      </c>
      <c r="Q172" s="961" t="s">
        <v>43</v>
      </c>
      <c r="R172" s="962"/>
      <c r="S172" s="1196" t="s">
        <v>44</v>
      </c>
      <c r="T172" s="1197"/>
      <c r="U172"/>
      <c r="V172"/>
      <c r="W172"/>
      <c r="X172"/>
      <c r="Y172"/>
      <c r="Z172"/>
      <c r="AA172"/>
      <c r="AB172"/>
      <c r="AC172"/>
      <c r="AD172"/>
      <c r="AE172"/>
      <c r="AF172"/>
      <c r="AG172"/>
      <c r="AH172"/>
      <c r="AI172"/>
      <c r="AJ172"/>
      <c r="AK172"/>
    </row>
    <row r="173" spans="1:37" s="1" customFormat="1" ht="15.75" x14ac:dyDescent="0.25">
      <c r="A173" s="963" t="s">
        <v>28</v>
      </c>
      <c r="B173" s="978" t="s">
        <v>378</v>
      </c>
      <c r="C173" s="979" t="s">
        <v>31</v>
      </c>
      <c r="D173" s="980" t="s">
        <v>30</v>
      </c>
      <c r="E173" s="980" t="s">
        <v>101</v>
      </c>
      <c r="F173" s="979" t="s">
        <v>37</v>
      </c>
      <c r="G173" s="913">
        <v>40949.589999999997</v>
      </c>
      <c r="H173" s="914">
        <v>38949</v>
      </c>
      <c r="I173" s="915">
        <v>2.464</v>
      </c>
      <c r="J173" s="916">
        <v>2.464</v>
      </c>
      <c r="K173" s="367"/>
      <c r="L173" s="367"/>
      <c r="M173" s="367"/>
      <c r="N173" s="512"/>
      <c r="O173" s="589">
        <f>ROUND(G173*I173,2)+ROUND(H173*J173,2)-K173-L173-M173-N173</f>
        <v>196870.13</v>
      </c>
      <c r="P173" s="253">
        <f>ROUND(18.75%*O173,2)</f>
        <v>36913.15</v>
      </c>
      <c r="Q173" s="253">
        <f>ROUND($O173*R173,2)</f>
        <v>29530.52</v>
      </c>
      <c r="R173" s="590">
        <v>0.15</v>
      </c>
      <c r="S173" s="253">
        <f>ROUND($O173*T173,2)</f>
        <v>7382.63</v>
      </c>
      <c r="T173" s="591">
        <v>3.7499999999999999E-2</v>
      </c>
      <c r="U173"/>
      <c r="V173"/>
      <c r="W173"/>
      <c r="X173"/>
      <c r="Y173"/>
      <c r="Z173"/>
      <c r="AA173"/>
      <c r="AB173"/>
      <c r="AC173"/>
      <c r="AD173"/>
      <c r="AE173"/>
      <c r="AF173"/>
      <c r="AG173"/>
      <c r="AH173"/>
      <c r="AI173"/>
      <c r="AJ173"/>
      <c r="AK173"/>
    </row>
    <row r="174" spans="1:37" s="65" customFormat="1" ht="16.350000000000001" customHeight="1" x14ac:dyDescent="0.25">
      <c r="A174" s="967" t="s">
        <v>28</v>
      </c>
      <c r="B174" s="981" t="str">
        <f>B173</f>
        <v>Z-69 -  Gas Pariñas</v>
      </c>
      <c r="C174" s="965" t="s">
        <v>31</v>
      </c>
      <c r="D174" s="970" t="s">
        <v>186</v>
      </c>
      <c r="E174" s="970"/>
      <c r="F174" s="969" t="str">
        <f>F173</f>
        <v>Bls</v>
      </c>
      <c r="G174" s="936">
        <f>G173</f>
        <v>40949.589999999997</v>
      </c>
      <c r="H174" s="936">
        <f>H173</f>
        <v>38949</v>
      </c>
      <c r="I174" s="588">
        <v>2.3727</v>
      </c>
      <c r="J174" s="588">
        <v>2.3727</v>
      </c>
      <c r="K174" s="557"/>
      <c r="L174" s="557"/>
      <c r="M174" s="934"/>
      <c r="N174" s="934"/>
      <c r="O174" s="934">
        <f>ROUND(G174*I174,2)+ROUND(H174*J174,2)-K174-L174-M174-N174</f>
        <v>189575.38</v>
      </c>
      <c r="P174" s="557">
        <f>ROUND(18.75%*O174,2)</f>
        <v>35545.379999999997</v>
      </c>
      <c r="Q174" s="557">
        <f>ROUND($O174*R174,2)</f>
        <v>28436.31</v>
      </c>
      <c r="R174" s="982">
        <v>0.15</v>
      </c>
      <c r="S174" s="557">
        <f>ROUND($O174*T174,2)</f>
        <v>7109.08</v>
      </c>
      <c r="T174" s="983">
        <v>3.7499999999999999E-2</v>
      </c>
      <c r="U174"/>
      <c r="V174"/>
      <c r="W174"/>
      <c r="X174"/>
      <c r="Y174"/>
      <c r="Z174"/>
      <c r="AA174"/>
      <c r="AB174"/>
      <c r="AC174"/>
      <c r="AD174"/>
      <c r="AE174"/>
      <c r="AF174"/>
      <c r="AG174"/>
      <c r="AH174"/>
      <c r="AI174"/>
      <c r="AJ174"/>
      <c r="AK174"/>
    </row>
    <row r="175" spans="1:37" s="65" customFormat="1" ht="15.75" x14ac:dyDescent="0.25">
      <c r="A175" s="971"/>
      <c r="B175" s="972" t="s">
        <v>181</v>
      </c>
      <c r="C175" s="973"/>
      <c r="D175" s="974"/>
      <c r="E175" s="974"/>
      <c r="F175" s="971"/>
      <c r="G175" s="975">
        <f t="shared" ref="G175:N175" si="63">G174-G173</f>
        <v>0</v>
      </c>
      <c r="H175" s="975">
        <f t="shared" si="63"/>
        <v>0</v>
      </c>
      <c r="I175" s="830">
        <f t="shared" si="63"/>
        <v>-9.1299999999999937E-2</v>
      </c>
      <c r="J175" s="830">
        <f t="shared" si="63"/>
        <v>-9.1299999999999937E-2</v>
      </c>
      <c r="K175" s="900">
        <f t="shared" si="63"/>
        <v>0</v>
      </c>
      <c r="L175" s="900">
        <f t="shared" si="63"/>
        <v>0</v>
      </c>
      <c r="M175" s="900">
        <f t="shared" si="63"/>
        <v>0</v>
      </c>
      <c r="N175" s="900">
        <f t="shared" si="63"/>
        <v>0</v>
      </c>
      <c r="O175" s="830">
        <f>O174-O173</f>
        <v>-7294.75</v>
      </c>
      <c r="P175" s="830">
        <f>P174-P173</f>
        <v>-1367.7700000000041</v>
      </c>
      <c r="Q175" s="830">
        <f>Q174-Q173</f>
        <v>-1094.2099999999991</v>
      </c>
      <c r="R175" s="830"/>
      <c r="S175" s="830">
        <f>S174-S173</f>
        <v>-273.55000000000018</v>
      </c>
      <c r="T175" s="830"/>
      <c r="U175"/>
      <c r="V175"/>
      <c r="W175"/>
      <c r="X175"/>
      <c r="Y175"/>
      <c r="Z175"/>
      <c r="AA175"/>
      <c r="AB175"/>
      <c r="AC175"/>
      <c r="AD175"/>
      <c r="AE175"/>
      <c r="AF175"/>
      <c r="AG175"/>
      <c r="AH175"/>
      <c r="AI175"/>
      <c r="AJ175"/>
      <c r="AK175"/>
    </row>
    <row r="176" spans="1:37" s="65" customFormat="1" ht="15.75" x14ac:dyDescent="0.25">
      <c r="A176" s="950"/>
      <c r="B176" s="683"/>
      <c r="C176" s="950"/>
      <c r="D176" s="950"/>
      <c r="E176" s="950"/>
      <c r="F176" s="950"/>
      <c r="G176" s="985"/>
      <c r="H176" s="985"/>
      <c r="I176" s="985"/>
      <c r="J176" s="985"/>
      <c r="K176" s="950"/>
      <c r="L176" s="950"/>
      <c r="M176" s="950"/>
      <c r="N176" s="950"/>
      <c r="O176" s="985"/>
      <c r="P176" s="985"/>
      <c r="Q176" s="985"/>
      <c r="R176" s="985"/>
      <c r="S176" s="985"/>
      <c r="T176" s="985"/>
      <c r="U176"/>
      <c r="V176"/>
      <c r="W176"/>
      <c r="X176"/>
      <c r="Y176"/>
      <c r="Z176"/>
      <c r="AA176"/>
      <c r="AB176"/>
      <c r="AC176"/>
      <c r="AD176"/>
      <c r="AE176"/>
      <c r="AF176"/>
      <c r="AG176"/>
      <c r="AH176"/>
      <c r="AI176"/>
      <c r="AJ176"/>
      <c r="AK176"/>
    </row>
    <row r="177" spans="1:37" s="65" customFormat="1" ht="15.75" x14ac:dyDescent="0.25">
      <c r="A177" s="951"/>
      <c r="B177" s="879" t="s">
        <v>413</v>
      </c>
      <c r="C177" s="683"/>
      <c r="D177" s="683"/>
      <c r="E177" s="683"/>
      <c r="F177" s="683"/>
      <c r="G177" s="683"/>
      <c r="H177" s="683"/>
      <c r="I177" s="683"/>
      <c r="J177" s="952"/>
      <c r="K177" s="683"/>
      <c r="L177" s="683"/>
      <c r="M177" s="683"/>
      <c r="N177" s="950"/>
      <c r="O177" s="683"/>
      <c r="P177" s="683"/>
      <c r="Q177" s="683"/>
      <c r="R177" s="911"/>
      <c r="S177" s="683"/>
      <c r="T177" s="912"/>
      <c r="U177"/>
      <c r="V177"/>
      <c r="W177"/>
      <c r="X177"/>
      <c r="Y177"/>
      <c r="Z177"/>
      <c r="AA177"/>
      <c r="AB177"/>
      <c r="AC177"/>
      <c r="AD177"/>
      <c r="AE177"/>
      <c r="AF177"/>
      <c r="AG177"/>
      <c r="AH177"/>
      <c r="AI177"/>
      <c r="AJ177"/>
      <c r="AK177"/>
    </row>
    <row r="178" spans="1:37" s="65" customFormat="1" ht="15.75" x14ac:dyDescent="0.25">
      <c r="A178" s="977" t="s">
        <v>312</v>
      </c>
      <c r="B178" s="955"/>
      <c r="C178" s="956"/>
      <c r="D178" s="957" t="s">
        <v>19</v>
      </c>
      <c r="E178" s="958" t="s">
        <v>59</v>
      </c>
      <c r="F178" s="957" t="s">
        <v>27</v>
      </c>
      <c r="G178" s="959" t="s">
        <v>35</v>
      </c>
      <c r="H178" s="960" t="s">
        <v>36</v>
      </c>
      <c r="I178" s="960" t="s">
        <v>35</v>
      </c>
      <c r="J178" s="959" t="s">
        <v>36</v>
      </c>
      <c r="K178" s="959" t="s">
        <v>39</v>
      </c>
      <c r="L178" s="959" t="s">
        <v>40</v>
      </c>
      <c r="M178" s="959" t="s">
        <v>42</v>
      </c>
      <c r="N178" s="1056" t="s">
        <v>2</v>
      </c>
      <c r="O178" s="959" t="s">
        <v>180</v>
      </c>
      <c r="P178" s="961" t="s">
        <v>313</v>
      </c>
      <c r="Q178" s="961" t="s">
        <v>43</v>
      </c>
      <c r="R178" s="962"/>
      <c r="S178" s="1196" t="s">
        <v>44</v>
      </c>
      <c r="T178" s="1197"/>
      <c r="U178"/>
      <c r="V178"/>
      <c r="W178"/>
      <c r="X178"/>
      <c r="Y178"/>
      <c r="Z178"/>
      <c r="AA178"/>
      <c r="AB178"/>
      <c r="AC178"/>
      <c r="AD178"/>
      <c r="AE178"/>
      <c r="AF178"/>
      <c r="AG178"/>
      <c r="AH178"/>
      <c r="AI178"/>
      <c r="AJ178"/>
      <c r="AK178"/>
    </row>
    <row r="179" spans="1:37" s="1" customFormat="1" ht="15.75" x14ac:dyDescent="0.25">
      <c r="A179" s="963" t="s">
        <v>28</v>
      </c>
      <c r="B179" s="978" t="s">
        <v>412</v>
      </c>
      <c r="C179" s="979" t="s">
        <v>31</v>
      </c>
      <c r="D179" s="980" t="s">
        <v>30</v>
      </c>
      <c r="E179" s="980" t="s">
        <v>101</v>
      </c>
      <c r="F179" s="979" t="s">
        <v>37</v>
      </c>
      <c r="G179" s="913"/>
      <c r="H179" s="914"/>
      <c r="I179" s="915"/>
      <c r="J179" s="916"/>
      <c r="K179" s="367"/>
      <c r="L179" s="367"/>
      <c r="M179" s="367"/>
      <c r="N179" s="512"/>
      <c r="O179" s="589">
        <f>ROUND(G179*I179,2)+ROUND(H179*J179,2)-K179-L179-M179-N179</f>
        <v>0</v>
      </c>
      <c r="P179" s="253">
        <f>ROUND(18.75%*O179,2)</f>
        <v>0</v>
      </c>
      <c r="Q179" s="253">
        <f>ROUND($O179*R179,2)</f>
        <v>0</v>
      </c>
      <c r="R179" s="590">
        <v>0.15</v>
      </c>
      <c r="S179" s="253">
        <f>ROUND($O179*T179,2)</f>
        <v>0</v>
      </c>
      <c r="T179" s="591">
        <v>3.7499999999999999E-2</v>
      </c>
      <c r="U179"/>
      <c r="V179"/>
      <c r="W179"/>
      <c r="X179"/>
      <c r="Y179"/>
      <c r="Z179"/>
      <c r="AA179"/>
      <c r="AB179"/>
      <c r="AC179"/>
      <c r="AD179"/>
      <c r="AE179"/>
      <c r="AF179"/>
      <c r="AG179"/>
      <c r="AH179"/>
      <c r="AI179"/>
      <c r="AJ179"/>
      <c r="AK179"/>
    </row>
    <row r="180" spans="1:37" s="65" customFormat="1" ht="16.350000000000001" customHeight="1" x14ac:dyDescent="0.25">
      <c r="A180" s="967" t="s">
        <v>28</v>
      </c>
      <c r="B180" s="981" t="str">
        <f>B179</f>
        <v>Z-69 -  CRUDO</v>
      </c>
      <c r="C180" s="965" t="s">
        <v>31</v>
      </c>
      <c r="D180" s="970" t="s">
        <v>186</v>
      </c>
      <c r="E180" s="970"/>
      <c r="F180" s="969" t="str">
        <f>F179</f>
        <v>Bls</v>
      </c>
      <c r="G180" s="936">
        <f>G179</f>
        <v>0</v>
      </c>
      <c r="H180" s="1104">
        <v>0.19339999999999999</v>
      </c>
      <c r="I180" s="588"/>
      <c r="J180" s="588">
        <v>75.908199999999994</v>
      </c>
      <c r="K180" s="557"/>
      <c r="L180" s="557"/>
      <c r="M180" s="934"/>
      <c r="N180" s="934"/>
      <c r="O180" s="934">
        <f>ROUND(G180*I180,2)+ROUND(H180*J180,2)-K180-L180-M180-N180</f>
        <v>14.68</v>
      </c>
      <c r="P180" s="557">
        <f>ROUND(18.75%*O180,2)</f>
        <v>2.75</v>
      </c>
      <c r="Q180" s="557">
        <f>ROUND($O180*R180,2)</f>
        <v>2.2000000000000002</v>
      </c>
      <c r="R180" s="982">
        <v>0.15</v>
      </c>
      <c r="S180" s="557">
        <f>ROUND($O180*T180,2)</f>
        <v>0.55000000000000004</v>
      </c>
      <c r="T180" s="983">
        <v>3.7499999999999999E-2</v>
      </c>
      <c r="U180"/>
      <c r="V180"/>
      <c r="W180"/>
      <c r="X180"/>
      <c r="Y180"/>
      <c r="Z180"/>
      <c r="AA180"/>
      <c r="AB180"/>
      <c r="AC180"/>
      <c r="AD180"/>
      <c r="AE180"/>
      <c r="AF180"/>
      <c r="AG180"/>
      <c r="AH180"/>
      <c r="AI180"/>
      <c r="AJ180"/>
      <c r="AK180"/>
    </row>
    <row r="181" spans="1:37" s="65" customFormat="1" ht="15.75" x14ac:dyDescent="0.25">
      <c r="A181" s="971"/>
      <c r="B181" s="972" t="s">
        <v>181</v>
      </c>
      <c r="C181" s="973"/>
      <c r="D181" s="974"/>
      <c r="E181" s="974"/>
      <c r="F181" s="971"/>
      <c r="G181" s="975">
        <f t="shared" ref="G181:N181" si="64">G180-G179</f>
        <v>0</v>
      </c>
      <c r="H181" s="975">
        <f>H180-H179</f>
        <v>0.19339999999999999</v>
      </c>
      <c r="I181" s="830">
        <f t="shared" si="64"/>
        <v>0</v>
      </c>
      <c r="J181" s="830">
        <f>J180-J179</f>
        <v>75.908199999999994</v>
      </c>
      <c r="K181" s="900">
        <f t="shared" si="64"/>
        <v>0</v>
      </c>
      <c r="L181" s="900">
        <f t="shared" si="64"/>
        <v>0</v>
      </c>
      <c r="M181" s="900">
        <f t="shared" si="64"/>
        <v>0</v>
      </c>
      <c r="N181" s="900">
        <f t="shared" si="64"/>
        <v>0</v>
      </c>
      <c r="O181" s="830">
        <f>O180-O179</f>
        <v>14.68</v>
      </c>
      <c r="P181" s="830">
        <f>P180-P179</f>
        <v>2.75</v>
      </c>
      <c r="Q181" s="830">
        <f>Q180-Q179</f>
        <v>2.2000000000000002</v>
      </c>
      <c r="R181" s="830"/>
      <c r="S181" s="830">
        <f>S180-S179</f>
        <v>0.55000000000000004</v>
      </c>
      <c r="T181" s="830"/>
      <c r="U181"/>
      <c r="V181"/>
      <c r="W181"/>
      <c r="X181"/>
      <c r="Y181"/>
      <c r="Z181"/>
      <c r="AA181"/>
      <c r="AB181"/>
      <c r="AC181"/>
      <c r="AD181"/>
      <c r="AE181"/>
      <c r="AF181"/>
      <c r="AG181"/>
      <c r="AH181"/>
      <c r="AI181"/>
      <c r="AJ181"/>
      <c r="AK181"/>
    </row>
    <row r="182" spans="1:37" s="65" customFormat="1" ht="15.75" x14ac:dyDescent="0.25">
      <c r="A182" s="950"/>
      <c r="B182" s="683"/>
      <c r="C182" s="950"/>
      <c r="D182" s="950"/>
      <c r="E182" s="950"/>
      <c r="F182" s="950"/>
      <c r="G182" s="985"/>
      <c r="H182" s="985"/>
      <c r="I182" s="985"/>
      <c r="J182" s="985"/>
      <c r="K182" s="950"/>
      <c r="L182" s="950"/>
      <c r="M182" s="950"/>
      <c r="N182" s="950"/>
      <c r="O182" s="985"/>
      <c r="P182" s="985"/>
      <c r="Q182" s="985"/>
      <c r="R182" s="985"/>
      <c r="S182" s="985"/>
      <c r="T182" s="985"/>
      <c r="U182"/>
      <c r="V182"/>
      <c r="W182"/>
      <c r="X182"/>
      <c r="Y182"/>
      <c r="Z182"/>
      <c r="AA182"/>
      <c r="AB182"/>
      <c r="AC182"/>
      <c r="AD182"/>
      <c r="AE182"/>
      <c r="AF182"/>
      <c r="AG182"/>
      <c r="AH182"/>
      <c r="AI182"/>
      <c r="AJ182"/>
      <c r="AK182"/>
    </row>
    <row r="183" spans="1:37" s="65" customFormat="1" ht="15.75" x14ac:dyDescent="0.25">
      <c r="A183" s="951"/>
      <c r="B183" s="879" t="s">
        <v>414</v>
      </c>
      <c r="C183" s="683"/>
      <c r="D183" s="683"/>
      <c r="E183" s="683"/>
      <c r="F183" s="683"/>
      <c r="G183" s="683"/>
      <c r="H183" s="683"/>
      <c r="I183" s="683"/>
      <c r="J183" s="952"/>
      <c r="K183" s="683"/>
      <c r="L183" s="683"/>
      <c r="M183" s="683"/>
      <c r="N183" s="950"/>
      <c r="O183" s="683"/>
      <c r="P183" s="683"/>
      <c r="Q183" s="683"/>
      <c r="R183" s="911"/>
      <c r="S183" s="683"/>
      <c r="T183" s="912"/>
      <c r="U183"/>
      <c r="V183"/>
      <c r="W183"/>
      <c r="X183"/>
      <c r="Y183"/>
      <c r="Z183"/>
      <c r="AA183"/>
      <c r="AB183"/>
      <c r="AC183"/>
      <c r="AD183"/>
      <c r="AE183"/>
      <c r="AF183"/>
      <c r="AG183"/>
      <c r="AH183"/>
      <c r="AI183"/>
      <c r="AJ183"/>
      <c r="AK183"/>
    </row>
    <row r="184" spans="1:37" s="65" customFormat="1" ht="15.75" x14ac:dyDescent="0.25">
      <c r="A184" s="977" t="s">
        <v>312</v>
      </c>
      <c r="B184" s="955"/>
      <c r="C184" s="956"/>
      <c r="D184" s="957" t="s">
        <v>19</v>
      </c>
      <c r="E184" s="958" t="s">
        <v>59</v>
      </c>
      <c r="F184" s="957" t="s">
        <v>27</v>
      </c>
      <c r="G184" s="959" t="s">
        <v>35</v>
      </c>
      <c r="H184" s="960" t="s">
        <v>36</v>
      </c>
      <c r="I184" s="960" t="s">
        <v>35</v>
      </c>
      <c r="J184" s="959" t="s">
        <v>36</v>
      </c>
      <c r="K184" s="959" t="s">
        <v>39</v>
      </c>
      <c r="L184" s="959" t="s">
        <v>40</v>
      </c>
      <c r="M184" s="959" t="s">
        <v>42</v>
      </c>
      <c r="N184" s="1056" t="s">
        <v>2</v>
      </c>
      <c r="O184" s="959" t="s">
        <v>180</v>
      </c>
      <c r="P184" s="961" t="s">
        <v>313</v>
      </c>
      <c r="Q184" s="961" t="s">
        <v>43</v>
      </c>
      <c r="R184" s="962"/>
      <c r="S184" s="1196" t="s">
        <v>44</v>
      </c>
      <c r="T184" s="1197"/>
      <c r="U184"/>
      <c r="V184"/>
      <c r="W184"/>
      <c r="X184"/>
      <c r="Y184"/>
      <c r="Z184"/>
      <c r="AA184"/>
      <c r="AB184"/>
      <c r="AC184"/>
      <c r="AD184"/>
      <c r="AE184"/>
      <c r="AF184"/>
      <c r="AG184"/>
      <c r="AH184"/>
      <c r="AI184"/>
      <c r="AJ184"/>
      <c r="AK184"/>
    </row>
    <row r="185" spans="1:37" s="1" customFormat="1" ht="15.75" x14ac:dyDescent="0.25">
      <c r="A185" s="963" t="s">
        <v>28</v>
      </c>
      <c r="B185" s="978" t="s">
        <v>412</v>
      </c>
      <c r="C185" s="979" t="s">
        <v>31</v>
      </c>
      <c r="D185" s="980" t="s">
        <v>30</v>
      </c>
      <c r="E185" s="980" t="s">
        <v>101</v>
      </c>
      <c r="F185" s="979" t="s">
        <v>37</v>
      </c>
      <c r="G185" s="913"/>
      <c r="H185" s="914"/>
      <c r="I185" s="915"/>
      <c r="J185" s="916"/>
      <c r="K185" s="367"/>
      <c r="L185" s="367"/>
      <c r="M185" s="367"/>
      <c r="N185" s="512"/>
      <c r="O185" s="589">
        <f>ROUND(G185*I185,2)+ROUND(H185*J185,2)-K185-L185-M185-N185</f>
        <v>0</v>
      </c>
      <c r="P185" s="253">
        <f>ROUND(18.75%*O185,2)</f>
        <v>0</v>
      </c>
      <c r="Q185" s="253">
        <f>ROUND($O185*R185,2)</f>
        <v>0</v>
      </c>
      <c r="R185" s="590">
        <v>0.15</v>
      </c>
      <c r="S185" s="253">
        <f>ROUND($O185*T185,2)</f>
        <v>0</v>
      </c>
      <c r="T185" s="591">
        <v>3.7499999999999999E-2</v>
      </c>
      <c r="U185"/>
      <c r="V185"/>
      <c r="W185"/>
      <c r="X185"/>
      <c r="Y185"/>
      <c r="Z185"/>
      <c r="AA185"/>
      <c r="AB185"/>
      <c r="AC185"/>
      <c r="AD185"/>
      <c r="AE185"/>
      <c r="AF185"/>
      <c r="AG185"/>
      <c r="AH185"/>
      <c r="AI185"/>
      <c r="AJ185"/>
      <c r="AK185"/>
    </row>
    <row r="186" spans="1:37" s="65" customFormat="1" ht="16.350000000000001" customHeight="1" x14ac:dyDescent="0.25">
      <c r="A186" s="967" t="s">
        <v>28</v>
      </c>
      <c r="B186" s="981" t="str">
        <f>B185</f>
        <v>Z-69 -  CRUDO</v>
      </c>
      <c r="C186" s="965" t="s">
        <v>31</v>
      </c>
      <c r="D186" s="970" t="s">
        <v>186</v>
      </c>
      <c r="E186" s="970"/>
      <c r="F186" s="969" t="str">
        <f>F185</f>
        <v>Bls</v>
      </c>
      <c r="G186" s="936">
        <f>G185</f>
        <v>0</v>
      </c>
      <c r="H186" s="1104">
        <v>0.12</v>
      </c>
      <c r="I186" s="588"/>
      <c r="J186" s="1104">
        <v>77.088200000000001</v>
      </c>
      <c r="K186" s="557"/>
      <c r="L186" s="557"/>
      <c r="M186" s="934"/>
      <c r="N186" s="934"/>
      <c r="O186" s="934">
        <f>ROUND(G186*I186,2)+ROUND(H186*J186,2)-K186-L186-M186-N186</f>
        <v>9.25</v>
      </c>
      <c r="P186" s="557">
        <f>ROUND(18.75%*O186,2)</f>
        <v>1.73</v>
      </c>
      <c r="Q186" s="557">
        <f>ROUND($O186*R186,2)</f>
        <v>1.39</v>
      </c>
      <c r="R186" s="982">
        <v>0.15</v>
      </c>
      <c r="S186" s="557">
        <f>ROUND($O186*T186,2)</f>
        <v>0.35</v>
      </c>
      <c r="T186" s="983">
        <v>3.7499999999999999E-2</v>
      </c>
      <c r="U186"/>
      <c r="V186"/>
      <c r="W186"/>
      <c r="X186"/>
      <c r="Y186"/>
      <c r="Z186"/>
      <c r="AA186"/>
      <c r="AB186"/>
      <c r="AC186"/>
      <c r="AD186"/>
      <c r="AE186"/>
      <c r="AF186"/>
      <c r="AG186"/>
      <c r="AH186"/>
      <c r="AI186"/>
      <c r="AJ186"/>
      <c r="AK186"/>
    </row>
    <row r="187" spans="1:37" s="65" customFormat="1" ht="15.75" x14ac:dyDescent="0.25">
      <c r="A187" s="971"/>
      <c r="B187" s="972" t="s">
        <v>181</v>
      </c>
      <c r="C187" s="973"/>
      <c r="D187" s="974"/>
      <c r="E187" s="974"/>
      <c r="F187" s="971"/>
      <c r="G187" s="975">
        <f t="shared" ref="G187" si="65">G186-G185</f>
        <v>0</v>
      </c>
      <c r="H187" s="975">
        <f>H186-H185</f>
        <v>0.12</v>
      </c>
      <c r="I187" s="830">
        <f t="shared" ref="I187" si="66">I186-I185</f>
        <v>0</v>
      </c>
      <c r="J187" s="830">
        <f>J186-J185</f>
        <v>77.088200000000001</v>
      </c>
      <c r="K187" s="900">
        <f t="shared" ref="K187:N187" si="67">K186-K185</f>
        <v>0</v>
      </c>
      <c r="L187" s="900">
        <f t="shared" si="67"/>
        <v>0</v>
      </c>
      <c r="M187" s="900">
        <f t="shared" si="67"/>
        <v>0</v>
      </c>
      <c r="N187" s="900">
        <f t="shared" si="67"/>
        <v>0</v>
      </c>
      <c r="O187" s="830">
        <f>O186-O185</f>
        <v>9.25</v>
      </c>
      <c r="P187" s="830">
        <f>P186-P185</f>
        <v>1.73</v>
      </c>
      <c r="Q187" s="830">
        <f>Q186-Q185</f>
        <v>1.39</v>
      </c>
      <c r="R187" s="830"/>
      <c r="S187" s="830">
        <f>S186-S185</f>
        <v>0.35</v>
      </c>
      <c r="T187" s="830"/>
      <c r="U187"/>
      <c r="V187"/>
      <c r="W187"/>
      <c r="X187"/>
      <c r="Y187"/>
      <c r="Z187"/>
      <c r="AA187"/>
      <c r="AB187"/>
      <c r="AC187"/>
      <c r="AD187"/>
      <c r="AE187"/>
      <c r="AF187"/>
      <c r="AG187"/>
      <c r="AH187"/>
      <c r="AI187"/>
      <c r="AJ187"/>
      <c r="AK187"/>
    </row>
    <row r="188" spans="1:37" s="65" customFormat="1" ht="15.75" x14ac:dyDescent="0.25">
      <c r="A188" s="950"/>
      <c r="B188" s="683"/>
      <c r="C188" s="950"/>
      <c r="D188" s="950"/>
      <c r="E188" s="950"/>
      <c r="F188" s="950"/>
      <c r="G188" s="985"/>
      <c r="H188" s="985"/>
      <c r="I188" s="985"/>
      <c r="J188" s="985"/>
      <c r="K188" s="950"/>
      <c r="L188" s="950"/>
      <c r="M188" s="950"/>
      <c r="N188" s="950"/>
      <c r="O188" s="985"/>
      <c r="P188" s="985"/>
      <c r="Q188" s="985"/>
      <c r="R188" s="985"/>
      <c r="S188" s="985"/>
      <c r="T188" s="985"/>
      <c r="U188"/>
      <c r="V188"/>
      <c r="W188"/>
      <c r="X188"/>
      <c r="Y188"/>
      <c r="Z188"/>
      <c r="AA188"/>
      <c r="AB188"/>
      <c r="AC188"/>
      <c r="AD188"/>
      <c r="AE188"/>
      <c r="AF188"/>
      <c r="AG188"/>
      <c r="AH188"/>
      <c r="AI188"/>
      <c r="AJ188"/>
      <c r="AK188"/>
    </row>
    <row r="189" spans="1:37" s="65" customFormat="1" ht="15.75" x14ac:dyDescent="0.25">
      <c r="A189" s="951"/>
      <c r="B189" s="879" t="s">
        <v>415</v>
      </c>
      <c r="C189" s="683"/>
      <c r="D189" s="683"/>
      <c r="E189" s="683"/>
      <c r="F189" s="683"/>
      <c r="G189" s="683"/>
      <c r="H189" s="683"/>
      <c r="I189" s="683"/>
      <c r="J189" s="952"/>
      <c r="K189" s="683"/>
      <c r="L189" s="683"/>
      <c r="M189" s="683"/>
      <c r="N189" s="950"/>
      <c r="O189" s="683"/>
      <c r="P189" s="683"/>
      <c r="Q189" s="683"/>
      <c r="R189" s="911"/>
      <c r="S189" s="683"/>
      <c r="T189" s="912"/>
      <c r="U189"/>
      <c r="V189"/>
      <c r="W189"/>
      <c r="X189"/>
      <c r="Y189"/>
      <c r="Z189"/>
      <c r="AA189"/>
      <c r="AB189"/>
      <c r="AC189"/>
      <c r="AD189"/>
      <c r="AE189"/>
      <c r="AF189"/>
      <c r="AG189"/>
      <c r="AH189"/>
      <c r="AI189"/>
      <c r="AJ189"/>
      <c r="AK189"/>
    </row>
    <row r="190" spans="1:37" s="65" customFormat="1" ht="15.75" x14ac:dyDescent="0.25">
      <c r="A190" s="977" t="s">
        <v>312</v>
      </c>
      <c r="B190" s="955"/>
      <c r="C190" s="956"/>
      <c r="D190" s="957" t="s">
        <v>19</v>
      </c>
      <c r="E190" s="958" t="s">
        <v>59</v>
      </c>
      <c r="F190" s="957" t="s">
        <v>27</v>
      </c>
      <c r="G190" s="959" t="s">
        <v>35</v>
      </c>
      <c r="H190" s="960" t="s">
        <v>36</v>
      </c>
      <c r="I190" s="960" t="s">
        <v>35</v>
      </c>
      <c r="J190" s="959" t="s">
        <v>36</v>
      </c>
      <c r="K190" s="959" t="s">
        <v>39</v>
      </c>
      <c r="L190" s="959" t="s">
        <v>40</v>
      </c>
      <c r="M190" s="959" t="s">
        <v>42</v>
      </c>
      <c r="N190" s="1056" t="s">
        <v>2</v>
      </c>
      <c r="O190" s="959" t="s">
        <v>180</v>
      </c>
      <c r="P190" s="961" t="s">
        <v>313</v>
      </c>
      <c r="Q190" s="961" t="s">
        <v>43</v>
      </c>
      <c r="R190" s="962"/>
      <c r="S190" s="1196" t="s">
        <v>44</v>
      </c>
      <c r="T190" s="1197"/>
      <c r="U190"/>
      <c r="V190"/>
      <c r="W190"/>
      <c r="X190"/>
      <c r="Y190"/>
      <c r="Z190"/>
      <c r="AA190"/>
      <c r="AB190"/>
      <c r="AC190"/>
      <c r="AD190"/>
      <c r="AE190"/>
      <c r="AF190"/>
      <c r="AG190"/>
      <c r="AH190"/>
      <c r="AI190"/>
      <c r="AJ190"/>
      <c r="AK190"/>
    </row>
    <row r="191" spans="1:37" s="1" customFormat="1" ht="15.75" x14ac:dyDescent="0.25">
      <c r="A191" s="963" t="s">
        <v>28</v>
      </c>
      <c r="B191" s="978" t="s">
        <v>412</v>
      </c>
      <c r="C191" s="979" t="s">
        <v>31</v>
      </c>
      <c r="D191" s="980" t="s">
        <v>30</v>
      </c>
      <c r="E191" s="980" t="s">
        <v>101</v>
      </c>
      <c r="F191" s="979" t="s">
        <v>37</v>
      </c>
      <c r="G191" s="913"/>
      <c r="H191" s="914"/>
      <c r="I191" s="915"/>
      <c r="J191" s="916"/>
      <c r="K191" s="367"/>
      <c r="L191" s="367"/>
      <c r="M191" s="367"/>
      <c r="N191" s="512"/>
      <c r="O191" s="589">
        <f>ROUND(G191*I191,2)+ROUND(H191*J191,2)-K191-L191-M191-N191</f>
        <v>0</v>
      </c>
      <c r="P191" s="253">
        <f>ROUND(18.75%*O191,2)</f>
        <v>0</v>
      </c>
      <c r="Q191" s="253">
        <f>ROUND($O191*R191,2)</f>
        <v>0</v>
      </c>
      <c r="R191" s="590">
        <v>0.15</v>
      </c>
      <c r="S191" s="253">
        <f>ROUND($O191*T191,2)</f>
        <v>0</v>
      </c>
      <c r="T191" s="591">
        <v>3.7499999999999999E-2</v>
      </c>
      <c r="U191"/>
      <c r="V191"/>
      <c r="W191"/>
      <c r="X191"/>
      <c r="Y191"/>
      <c r="Z191"/>
      <c r="AA191"/>
      <c r="AB191"/>
      <c r="AC191"/>
      <c r="AD191"/>
      <c r="AE191"/>
      <c r="AF191"/>
      <c r="AG191"/>
      <c r="AH191"/>
      <c r="AI191"/>
      <c r="AJ191"/>
      <c r="AK191"/>
    </row>
    <row r="192" spans="1:37" s="65" customFormat="1" ht="16.350000000000001" customHeight="1" x14ac:dyDescent="0.25">
      <c r="A192" s="967" t="s">
        <v>28</v>
      </c>
      <c r="B192" s="981" t="str">
        <f>B191</f>
        <v>Z-69 -  CRUDO</v>
      </c>
      <c r="C192" s="965" t="s">
        <v>31</v>
      </c>
      <c r="D192" s="970" t="s">
        <v>186</v>
      </c>
      <c r="E192" s="970"/>
      <c r="F192" s="969" t="str">
        <f>F191</f>
        <v>Bls</v>
      </c>
      <c r="G192" s="936">
        <f>G191</f>
        <v>0</v>
      </c>
      <c r="H192" s="1104">
        <v>2.48</v>
      </c>
      <c r="I192" s="588"/>
      <c r="J192" s="1104">
        <v>73.430000000000007</v>
      </c>
      <c r="K192" s="557"/>
      <c r="L192" s="557"/>
      <c r="M192" s="934"/>
      <c r="N192" s="934"/>
      <c r="O192" s="934">
        <f>ROUND(G192*I192,2)+ROUND(H192*J192,2)-K192-L192-M192-N192</f>
        <v>182.11</v>
      </c>
      <c r="P192" s="557">
        <f>ROUND(18.75%*O192,2)</f>
        <v>34.15</v>
      </c>
      <c r="Q192" s="557">
        <f>ROUND($O192*R192,2)</f>
        <v>27.32</v>
      </c>
      <c r="R192" s="982">
        <v>0.15</v>
      </c>
      <c r="S192" s="557">
        <f>ROUND($O192*T192,2)</f>
        <v>6.83</v>
      </c>
      <c r="T192" s="983">
        <v>3.7499999999999999E-2</v>
      </c>
      <c r="U192"/>
      <c r="V192"/>
      <c r="W192"/>
      <c r="X192"/>
      <c r="Y192"/>
      <c r="Z192"/>
      <c r="AA192"/>
      <c r="AB192"/>
      <c r="AC192"/>
      <c r="AD192"/>
      <c r="AE192"/>
      <c r="AF192"/>
      <c r="AG192"/>
      <c r="AH192"/>
      <c r="AI192"/>
      <c r="AJ192"/>
      <c r="AK192"/>
    </row>
    <row r="193" spans="1:37" s="65" customFormat="1" ht="15.75" x14ac:dyDescent="0.25">
      <c r="A193" s="971"/>
      <c r="B193" s="972" t="s">
        <v>181</v>
      </c>
      <c r="C193" s="973"/>
      <c r="D193" s="974"/>
      <c r="E193" s="974"/>
      <c r="F193" s="971"/>
      <c r="G193" s="975">
        <f t="shared" ref="G193" si="68">G192-G191</f>
        <v>0</v>
      </c>
      <c r="H193" s="975">
        <f>H192-H191</f>
        <v>2.48</v>
      </c>
      <c r="I193" s="830">
        <f t="shared" ref="I193" si="69">I192-I191</f>
        <v>0</v>
      </c>
      <c r="J193" s="830">
        <f>J192-J191</f>
        <v>73.430000000000007</v>
      </c>
      <c r="K193" s="900">
        <f t="shared" ref="K193:N193" si="70">K192-K191</f>
        <v>0</v>
      </c>
      <c r="L193" s="900">
        <f t="shared" si="70"/>
        <v>0</v>
      </c>
      <c r="M193" s="900">
        <f t="shared" si="70"/>
        <v>0</v>
      </c>
      <c r="N193" s="900">
        <f t="shared" si="70"/>
        <v>0</v>
      </c>
      <c r="O193" s="830">
        <f>O192-O191</f>
        <v>182.11</v>
      </c>
      <c r="P193" s="830">
        <f>P192-P191</f>
        <v>34.15</v>
      </c>
      <c r="Q193" s="830">
        <f>Q192-Q191</f>
        <v>27.32</v>
      </c>
      <c r="R193" s="830"/>
      <c r="S193" s="830">
        <f>S192-S191</f>
        <v>6.83</v>
      </c>
      <c r="T193" s="830"/>
      <c r="U193"/>
      <c r="V193"/>
      <c r="W193"/>
      <c r="X193"/>
      <c r="Y193"/>
      <c r="Z193"/>
      <c r="AA193"/>
      <c r="AB193"/>
      <c r="AC193"/>
      <c r="AD193"/>
      <c r="AE193"/>
      <c r="AF193"/>
      <c r="AG193"/>
      <c r="AH193"/>
      <c r="AI193"/>
      <c r="AJ193"/>
      <c r="AK193"/>
    </row>
    <row r="194" spans="1:37" s="65" customFormat="1" ht="15.75" x14ac:dyDescent="0.25">
      <c r="A194" s="950"/>
      <c r="B194" s="683"/>
      <c r="C194" s="950"/>
      <c r="D194" s="950"/>
      <c r="E194" s="950"/>
      <c r="F194" s="950"/>
      <c r="G194" s="985"/>
      <c r="H194" s="985"/>
      <c r="I194" s="985"/>
      <c r="J194" s="985"/>
      <c r="K194" s="950"/>
      <c r="L194" s="950"/>
      <c r="M194" s="950"/>
      <c r="N194" s="950"/>
      <c r="O194" s="985"/>
      <c r="P194" s="985"/>
      <c r="Q194" s="985"/>
      <c r="R194" s="985"/>
      <c r="S194" s="985"/>
      <c r="T194" s="985"/>
      <c r="U194"/>
      <c r="V194"/>
      <c r="W194"/>
      <c r="X194"/>
      <c r="Y194"/>
      <c r="Z194"/>
      <c r="AA194"/>
      <c r="AB194"/>
      <c r="AC194"/>
      <c r="AD194"/>
      <c r="AE194"/>
      <c r="AF194"/>
      <c r="AG194"/>
      <c r="AH194"/>
      <c r="AI194"/>
      <c r="AJ194"/>
      <c r="AK194"/>
    </row>
    <row r="195" spans="1:37" s="65" customFormat="1" ht="15.75" x14ac:dyDescent="0.25">
      <c r="A195" s="951"/>
      <c r="B195" s="879" t="s">
        <v>416</v>
      </c>
      <c r="C195" s="683"/>
      <c r="D195" s="683"/>
      <c r="E195" s="683"/>
      <c r="F195" s="683"/>
      <c r="G195" s="683"/>
      <c r="H195" s="683"/>
      <c r="I195" s="683"/>
      <c r="J195" s="952"/>
      <c r="K195" s="683"/>
      <c r="L195" s="683"/>
      <c r="M195" s="683"/>
      <c r="N195" s="950"/>
      <c r="O195" s="683"/>
      <c r="P195" s="683"/>
      <c r="Q195" s="683"/>
      <c r="R195" s="911"/>
      <c r="S195" s="683"/>
      <c r="T195" s="912"/>
      <c r="U195"/>
      <c r="V195"/>
      <c r="W195"/>
      <c r="X195"/>
      <c r="Y195"/>
      <c r="Z195"/>
      <c r="AA195"/>
      <c r="AB195"/>
      <c r="AC195"/>
      <c r="AD195"/>
      <c r="AE195"/>
      <c r="AF195"/>
      <c r="AG195"/>
      <c r="AH195"/>
      <c r="AI195"/>
      <c r="AJ195"/>
      <c r="AK195"/>
    </row>
    <row r="196" spans="1:37" s="65" customFormat="1" ht="15.75" x14ac:dyDescent="0.25">
      <c r="A196" s="977" t="s">
        <v>312</v>
      </c>
      <c r="B196" s="955"/>
      <c r="C196" s="956"/>
      <c r="D196" s="957" t="s">
        <v>19</v>
      </c>
      <c r="E196" s="958" t="s">
        <v>59</v>
      </c>
      <c r="F196" s="957" t="s">
        <v>27</v>
      </c>
      <c r="G196" s="959" t="s">
        <v>35</v>
      </c>
      <c r="H196" s="960" t="s">
        <v>36</v>
      </c>
      <c r="I196" s="960" t="s">
        <v>35</v>
      </c>
      <c r="J196" s="959" t="s">
        <v>36</v>
      </c>
      <c r="K196" s="959" t="s">
        <v>39</v>
      </c>
      <c r="L196" s="959" t="s">
        <v>40</v>
      </c>
      <c r="M196" s="959" t="s">
        <v>42</v>
      </c>
      <c r="N196" s="1056" t="s">
        <v>2</v>
      </c>
      <c r="O196" s="959" t="s">
        <v>180</v>
      </c>
      <c r="P196" s="961" t="s">
        <v>313</v>
      </c>
      <c r="Q196" s="961" t="s">
        <v>43</v>
      </c>
      <c r="R196" s="962"/>
      <c r="S196" s="1196" t="s">
        <v>44</v>
      </c>
      <c r="T196" s="1197"/>
      <c r="U196"/>
      <c r="V196"/>
      <c r="W196"/>
      <c r="X196"/>
      <c r="Y196"/>
      <c r="Z196"/>
      <c r="AA196"/>
      <c r="AB196"/>
      <c r="AC196"/>
      <c r="AD196"/>
      <c r="AE196"/>
      <c r="AF196"/>
      <c r="AG196"/>
      <c r="AH196"/>
      <c r="AI196"/>
      <c r="AJ196"/>
      <c r="AK196"/>
    </row>
    <row r="197" spans="1:37" s="1" customFormat="1" ht="15.75" x14ac:dyDescent="0.25">
      <c r="A197" s="963" t="s">
        <v>28</v>
      </c>
      <c r="B197" s="978" t="s">
        <v>412</v>
      </c>
      <c r="C197" s="979" t="s">
        <v>31</v>
      </c>
      <c r="D197" s="980" t="s">
        <v>30</v>
      </c>
      <c r="E197" s="980" t="s">
        <v>101</v>
      </c>
      <c r="F197" s="979" t="s">
        <v>37</v>
      </c>
      <c r="G197" s="913"/>
      <c r="H197" s="914"/>
      <c r="I197" s="915"/>
      <c r="J197" s="916"/>
      <c r="K197" s="367"/>
      <c r="L197" s="367"/>
      <c r="M197" s="367"/>
      <c r="N197" s="512"/>
      <c r="O197" s="589">
        <f>ROUND(G197*I197,2)+ROUND(H197*J197,2)-K197-L197-M197-N197</f>
        <v>0</v>
      </c>
      <c r="P197" s="253">
        <f>ROUND(18.75%*O197,2)</f>
        <v>0</v>
      </c>
      <c r="Q197" s="253">
        <f>ROUND($O197*R197,2)</f>
        <v>0</v>
      </c>
      <c r="R197" s="590">
        <v>0.15</v>
      </c>
      <c r="S197" s="253">
        <f>ROUND($O197*T197,2)</f>
        <v>0</v>
      </c>
      <c r="T197" s="591">
        <v>3.7499999999999999E-2</v>
      </c>
      <c r="U197"/>
      <c r="V197"/>
      <c r="W197"/>
      <c r="X197"/>
      <c r="Y197"/>
      <c r="Z197"/>
      <c r="AA197"/>
      <c r="AB197"/>
      <c r="AC197"/>
      <c r="AD197"/>
      <c r="AE197"/>
      <c r="AF197"/>
      <c r="AG197"/>
      <c r="AH197"/>
      <c r="AI197"/>
      <c r="AJ197"/>
      <c r="AK197"/>
    </row>
    <row r="198" spans="1:37" s="65" customFormat="1" ht="16.350000000000001" customHeight="1" x14ac:dyDescent="0.25">
      <c r="A198" s="967" t="s">
        <v>28</v>
      </c>
      <c r="B198" s="981" t="str">
        <f>B197</f>
        <v>Z-69 -  CRUDO</v>
      </c>
      <c r="C198" s="965" t="s">
        <v>31</v>
      </c>
      <c r="D198" s="970" t="s">
        <v>186</v>
      </c>
      <c r="E198" s="970"/>
      <c r="F198" s="969" t="str">
        <f>F197</f>
        <v>Bls</v>
      </c>
      <c r="G198" s="936">
        <f>G197</f>
        <v>0</v>
      </c>
      <c r="H198" s="1104">
        <v>0.47</v>
      </c>
      <c r="I198" s="588"/>
      <c r="J198" s="1104">
        <v>72.671999999999997</v>
      </c>
      <c r="K198" s="557"/>
      <c r="L198" s="557"/>
      <c r="M198" s="934"/>
      <c r="N198" s="934"/>
      <c r="O198" s="934">
        <f>ROUND(G198*I198,2)+ROUND(H198*J198,2)-K198-L198-M198-N198</f>
        <v>34.159999999999997</v>
      </c>
      <c r="P198" s="557">
        <f>ROUND(18.75%*O198,2)</f>
        <v>6.41</v>
      </c>
      <c r="Q198" s="557">
        <f>ROUND($O198*R198,2)</f>
        <v>5.12</v>
      </c>
      <c r="R198" s="982">
        <v>0.15</v>
      </c>
      <c r="S198" s="557">
        <f>ROUND($O198*T198,2)</f>
        <v>1.28</v>
      </c>
      <c r="T198" s="983">
        <v>3.7499999999999999E-2</v>
      </c>
      <c r="U198"/>
      <c r="V198"/>
      <c r="W198"/>
      <c r="X198"/>
      <c r="Y198"/>
      <c r="Z198"/>
      <c r="AA198"/>
      <c r="AB198"/>
      <c r="AC198"/>
      <c r="AD198"/>
      <c r="AE198"/>
      <c r="AF198"/>
      <c r="AG198"/>
      <c r="AH198"/>
      <c r="AI198"/>
      <c r="AJ198"/>
      <c r="AK198"/>
    </row>
    <row r="199" spans="1:37" s="65" customFormat="1" ht="15.75" x14ac:dyDescent="0.25">
      <c r="A199" s="971"/>
      <c r="B199" s="972" t="s">
        <v>181</v>
      </c>
      <c r="C199" s="973"/>
      <c r="D199" s="974"/>
      <c r="E199" s="974"/>
      <c r="F199" s="971"/>
      <c r="G199" s="975">
        <f t="shared" ref="G199" si="71">G198-G197</f>
        <v>0</v>
      </c>
      <c r="H199" s="975">
        <f>H198-H197</f>
        <v>0.47</v>
      </c>
      <c r="I199" s="830">
        <f t="shared" ref="I199" si="72">I198-I197</f>
        <v>0</v>
      </c>
      <c r="J199" s="830">
        <f>J198-J197</f>
        <v>72.671999999999997</v>
      </c>
      <c r="K199" s="900">
        <f t="shared" ref="K199:N199" si="73">K198-K197</f>
        <v>0</v>
      </c>
      <c r="L199" s="900">
        <f t="shared" si="73"/>
        <v>0</v>
      </c>
      <c r="M199" s="900">
        <f t="shared" si="73"/>
        <v>0</v>
      </c>
      <c r="N199" s="900">
        <f t="shared" si="73"/>
        <v>0</v>
      </c>
      <c r="O199" s="830">
        <f>O198-O197</f>
        <v>34.159999999999997</v>
      </c>
      <c r="P199" s="830">
        <f>P198-P197</f>
        <v>6.41</v>
      </c>
      <c r="Q199" s="830">
        <f>Q198-Q197</f>
        <v>5.12</v>
      </c>
      <c r="R199" s="830"/>
      <c r="S199" s="830">
        <f>S198-S197</f>
        <v>1.28</v>
      </c>
      <c r="T199" s="830"/>
      <c r="U199"/>
      <c r="V199"/>
      <c r="W199"/>
      <c r="X199"/>
      <c r="Y199"/>
      <c r="Z199"/>
      <c r="AA199"/>
      <c r="AB199"/>
      <c r="AC199"/>
      <c r="AD199"/>
      <c r="AE199"/>
      <c r="AF199"/>
      <c r="AG199"/>
      <c r="AH199"/>
      <c r="AI199"/>
      <c r="AJ199"/>
      <c r="AK199"/>
    </row>
    <row r="200" spans="1:37" s="65" customFormat="1" ht="15.75" x14ac:dyDescent="0.25">
      <c r="A200" s="950"/>
      <c r="B200" s="683"/>
      <c r="C200" s="950"/>
      <c r="D200" s="950"/>
      <c r="E200" s="950"/>
      <c r="F200" s="950"/>
      <c r="G200" s="985"/>
      <c r="H200" s="985"/>
      <c r="I200" s="985"/>
      <c r="J200" s="985"/>
      <c r="K200" s="950"/>
      <c r="L200" s="950"/>
      <c r="M200" s="950"/>
      <c r="N200" s="950"/>
      <c r="O200" s="985"/>
      <c r="P200" s="985"/>
      <c r="Q200" s="985"/>
      <c r="R200" s="985"/>
      <c r="S200" s="985"/>
      <c r="T200" s="985"/>
      <c r="U200"/>
      <c r="V200"/>
      <c r="W200"/>
      <c r="X200"/>
      <c r="Y200"/>
      <c r="Z200"/>
      <c r="AA200"/>
      <c r="AB200"/>
      <c r="AC200"/>
      <c r="AD200"/>
      <c r="AE200"/>
      <c r="AF200"/>
      <c r="AG200"/>
      <c r="AH200"/>
      <c r="AI200"/>
      <c r="AJ200"/>
      <c r="AK200"/>
    </row>
    <row r="201" spans="1:37" s="65" customFormat="1" ht="15.75" x14ac:dyDescent="0.25">
      <c r="A201" s="951"/>
      <c r="B201" s="879" t="s">
        <v>417</v>
      </c>
      <c r="C201" s="683"/>
      <c r="D201" s="683"/>
      <c r="E201" s="683"/>
      <c r="F201" s="683"/>
      <c r="G201" s="683"/>
      <c r="H201" s="683"/>
      <c r="I201" s="683"/>
      <c r="J201" s="952"/>
      <c r="K201" s="683"/>
      <c r="L201" s="683"/>
      <c r="M201" s="683"/>
      <c r="N201" s="950"/>
      <c r="O201" s="683"/>
      <c r="P201" s="683"/>
      <c r="Q201" s="683"/>
      <c r="R201" s="911"/>
      <c r="S201" s="683"/>
      <c r="T201" s="912"/>
      <c r="U201"/>
      <c r="V201"/>
      <c r="W201"/>
      <c r="X201"/>
      <c r="Y201"/>
      <c r="Z201"/>
      <c r="AA201"/>
      <c r="AB201"/>
      <c r="AC201"/>
      <c r="AD201"/>
      <c r="AE201"/>
      <c r="AF201"/>
      <c r="AG201"/>
      <c r="AH201"/>
      <c r="AI201"/>
      <c r="AJ201"/>
      <c r="AK201"/>
    </row>
    <row r="202" spans="1:37" s="65" customFormat="1" ht="15.75" x14ac:dyDescent="0.25">
      <c r="A202" s="977" t="s">
        <v>312</v>
      </c>
      <c r="B202" s="955"/>
      <c r="C202" s="956"/>
      <c r="D202" s="957" t="s">
        <v>19</v>
      </c>
      <c r="E202" s="958" t="s">
        <v>59</v>
      </c>
      <c r="F202" s="957" t="s">
        <v>27</v>
      </c>
      <c r="G202" s="959" t="s">
        <v>35</v>
      </c>
      <c r="H202" s="960" t="s">
        <v>36</v>
      </c>
      <c r="I202" s="960" t="s">
        <v>35</v>
      </c>
      <c r="J202" s="959" t="s">
        <v>36</v>
      </c>
      <c r="K202" s="959" t="s">
        <v>39</v>
      </c>
      <c r="L202" s="959" t="s">
        <v>40</v>
      </c>
      <c r="M202" s="959" t="s">
        <v>42</v>
      </c>
      <c r="N202" s="1056" t="s">
        <v>2</v>
      </c>
      <c r="O202" s="959" t="s">
        <v>180</v>
      </c>
      <c r="P202" s="961" t="s">
        <v>313</v>
      </c>
      <c r="Q202" s="961" t="s">
        <v>43</v>
      </c>
      <c r="R202" s="962"/>
      <c r="S202" s="1196" t="s">
        <v>44</v>
      </c>
      <c r="T202" s="1197"/>
      <c r="U202"/>
      <c r="V202"/>
      <c r="W202"/>
      <c r="X202"/>
      <c r="Y202"/>
      <c r="Z202"/>
      <c r="AA202"/>
      <c r="AB202"/>
      <c r="AC202"/>
      <c r="AD202"/>
      <c r="AE202"/>
      <c r="AF202"/>
      <c r="AG202"/>
      <c r="AH202"/>
      <c r="AI202"/>
      <c r="AJ202"/>
      <c r="AK202"/>
    </row>
    <row r="203" spans="1:37" s="1" customFormat="1" ht="15.75" x14ac:dyDescent="0.25">
      <c r="A203" s="963" t="s">
        <v>28</v>
      </c>
      <c r="B203" s="978" t="s">
        <v>412</v>
      </c>
      <c r="C203" s="979" t="s">
        <v>31</v>
      </c>
      <c r="D203" s="980" t="s">
        <v>30</v>
      </c>
      <c r="E203" s="980" t="s">
        <v>101</v>
      </c>
      <c r="F203" s="979" t="s">
        <v>37</v>
      </c>
      <c r="G203" s="913"/>
      <c r="H203" s="914"/>
      <c r="I203" s="915"/>
      <c r="J203" s="916"/>
      <c r="K203" s="367"/>
      <c r="L203" s="367"/>
      <c r="M203" s="367"/>
      <c r="N203" s="512"/>
      <c r="O203" s="589">
        <f>ROUND(G203*I203,2)+ROUND(H203*J203,2)-K203-L203-M203-N203</f>
        <v>0</v>
      </c>
      <c r="P203" s="253">
        <f>ROUND(18.75%*O203,2)</f>
        <v>0</v>
      </c>
      <c r="Q203" s="253">
        <f>ROUND($O203*R203,2)</f>
        <v>0</v>
      </c>
      <c r="R203" s="590">
        <v>0.15</v>
      </c>
      <c r="S203" s="253">
        <f>ROUND($O203*T203,2)</f>
        <v>0</v>
      </c>
      <c r="T203" s="591">
        <v>3.7499999999999999E-2</v>
      </c>
      <c r="U203"/>
      <c r="V203"/>
      <c r="W203"/>
      <c r="X203"/>
      <c r="Y203"/>
      <c r="Z203"/>
      <c r="AA203"/>
      <c r="AB203"/>
      <c r="AC203"/>
      <c r="AD203"/>
      <c r="AE203"/>
      <c r="AF203"/>
      <c r="AG203"/>
      <c r="AH203"/>
      <c r="AI203"/>
      <c r="AJ203"/>
      <c r="AK203"/>
    </row>
    <row r="204" spans="1:37" s="65" customFormat="1" ht="16.350000000000001" customHeight="1" x14ac:dyDescent="0.25">
      <c r="A204" s="967" t="s">
        <v>28</v>
      </c>
      <c r="B204" s="981" t="str">
        <f>B203</f>
        <v>Z-69 -  CRUDO</v>
      </c>
      <c r="C204" s="965" t="s">
        <v>31</v>
      </c>
      <c r="D204" s="970" t="s">
        <v>186</v>
      </c>
      <c r="E204" s="970"/>
      <c r="F204" s="969" t="str">
        <f>F203</f>
        <v>Bls</v>
      </c>
      <c r="G204" s="936">
        <f>G203</f>
        <v>0</v>
      </c>
      <c r="H204" s="1104">
        <v>0.80030000000000001</v>
      </c>
      <c r="I204" s="588"/>
      <c r="J204" s="1079">
        <v>67.004499999999993</v>
      </c>
      <c r="K204" s="557"/>
      <c r="L204" s="557"/>
      <c r="M204" s="934"/>
      <c r="N204" s="934"/>
      <c r="O204" s="934">
        <f>ROUND(G204*I204,2)+ROUND(H204*J204,2)-K204-L204-M204-N204</f>
        <v>53.62</v>
      </c>
      <c r="P204" s="557">
        <f>ROUND(18.75%*O204,2)</f>
        <v>10.050000000000001</v>
      </c>
      <c r="Q204" s="557">
        <f>ROUND($O204*R204,2)</f>
        <v>8.0399999999999991</v>
      </c>
      <c r="R204" s="982">
        <v>0.15</v>
      </c>
      <c r="S204" s="557">
        <f>ROUND($O204*T204,2)</f>
        <v>2.0099999999999998</v>
      </c>
      <c r="T204" s="983">
        <v>3.7499999999999999E-2</v>
      </c>
      <c r="U204"/>
      <c r="V204"/>
      <c r="W204"/>
      <c r="X204"/>
      <c r="Y204"/>
      <c r="Z204"/>
      <c r="AA204"/>
      <c r="AB204"/>
      <c r="AC204"/>
      <c r="AD204"/>
      <c r="AE204"/>
      <c r="AF204"/>
      <c r="AG204"/>
      <c r="AH204"/>
      <c r="AI204"/>
      <c r="AJ204"/>
      <c r="AK204"/>
    </row>
    <row r="205" spans="1:37" s="65" customFormat="1" ht="15.75" x14ac:dyDescent="0.25">
      <c r="A205" s="971"/>
      <c r="B205" s="972" t="s">
        <v>181</v>
      </c>
      <c r="C205" s="973"/>
      <c r="D205" s="974"/>
      <c r="E205" s="974"/>
      <c r="F205" s="971"/>
      <c r="G205" s="975">
        <f t="shared" ref="G205" si="74">G204-G203</f>
        <v>0</v>
      </c>
      <c r="H205" s="975">
        <f>H204-H203</f>
        <v>0.80030000000000001</v>
      </c>
      <c r="I205" s="830">
        <f t="shared" ref="I205" si="75">I204-I203</f>
        <v>0</v>
      </c>
      <c r="J205" s="830">
        <f>J204-J203</f>
        <v>67.004499999999993</v>
      </c>
      <c r="K205" s="900">
        <f t="shared" ref="K205:N205" si="76">K204-K203</f>
        <v>0</v>
      </c>
      <c r="L205" s="900">
        <f t="shared" si="76"/>
        <v>0</v>
      </c>
      <c r="M205" s="900">
        <f t="shared" si="76"/>
        <v>0</v>
      </c>
      <c r="N205" s="900">
        <f t="shared" si="76"/>
        <v>0</v>
      </c>
      <c r="O205" s="830">
        <f>O204-O203</f>
        <v>53.62</v>
      </c>
      <c r="P205" s="830">
        <f>P204-P203</f>
        <v>10.050000000000001</v>
      </c>
      <c r="Q205" s="830">
        <f>Q204-Q203</f>
        <v>8.0399999999999991</v>
      </c>
      <c r="R205" s="830"/>
      <c r="S205" s="830">
        <f>S204-S203</f>
        <v>2.0099999999999998</v>
      </c>
      <c r="T205" s="830"/>
      <c r="U205"/>
      <c r="V205"/>
      <c r="W205"/>
      <c r="X205"/>
      <c r="Y205"/>
      <c r="Z205"/>
      <c r="AA205"/>
      <c r="AB205"/>
      <c r="AC205"/>
      <c r="AD205"/>
      <c r="AE205"/>
      <c r="AF205"/>
      <c r="AG205"/>
      <c r="AH205"/>
      <c r="AI205"/>
      <c r="AJ205"/>
      <c r="AK205"/>
    </row>
    <row r="206" spans="1:37" s="65" customFormat="1" ht="15.75" x14ac:dyDescent="0.25">
      <c r="A206" s="950"/>
      <c r="B206" s="683"/>
      <c r="C206" s="950"/>
      <c r="D206" s="950"/>
      <c r="E206" s="950"/>
      <c r="F206" s="950"/>
      <c r="G206" s="985"/>
      <c r="H206" s="985"/>
      <c r="I206" s="985"/>
      <c r="J206" s="985"/>
      <c r="K206" s="950"/>
      <c r="L206" s="950"/>
      <c r="M206" s="950"/>
      <c r="N206" s="950"/>
      <c r="O206" s="985"/>
      <c r="P206" s="985"/>
      <c r="Q206" s="985"/>
      <c r="R206" s="985"/>
      <c r="S206" s="985"/>
      <c r="T206" s="985"/>
      <c r="U206"/>
      <c r="V206"/>
      <c r="W206"/>
      <c r="X206"/>
      <c r="Y206"/>
      <c r="Z206"/>
      <c r="AA206"/>
      <c r="AB206"/>
      <c r="AC206"/>
      <c r="AD206"/>
      <c r="AE206"/>
      <c r="AF206"/>
      <c r="AG206"/>
      <c r="AH206"/>
      <c r="AI206"/>
      <c r="AJ206"/>
      <c r="AK206"/>
    </row>
    <row r="207" spans="1:37" s="65" customFormat="1" ht="15.75" x14ac:dyDescent="0.25">
      <c r="A207" s="951"/>
      <c r="B207" s="879" t="s">
        <v>417</v>
      </c>
      <c r="C207" s="683"/>
      <c r="D207" s="683"/>
      <c r="E207" s="683"/>
      <c r="F207" s="683"/>
      <c r="G207" s="683"/>
      <c r="H207" s="683"/>
      <c r="I207" s="683"/>
      <c r="J207" s="952"/>
      <c r="K207" s="683"/>
      <c r="L207" s="683"/>
      <c r="M207" s="683"/>
      <c r="N207" s="950"/>
      <c r="O207" s="683"/>
      <c r="P207" s="683"/>
      <c r="Q207" s="683"/>
      <c r="R207" s="911"/>
      <c r="S207" s="683"/>
      <c r="T207" s="912"/>
      <c r="U207"/>
      <c r="V207"/>
      <c r="W207"/>
      <c r="X207"/>
      <c r="Y207"/>
      <c r="Z207"/>
      <c r="AA207"/>
      <c r="AB207"/>
      <c r="AC207"/>
      <c r="AD207"/>
      <c r="AE207"/>
      <c r="AF207"/>
      <c r="AG207"/>
      <c r="AH207"/>
      <c r="AI207"/>
      <c r="AJ207"/>
      <c r="AK207"/>
    </row>
    <row r="208" spans="1:37" s="65" customFormat="1" ht="15.75" x14ac:dyDescent="0.25">
      <c r="A208" s="977" t="s">
        <v>312</v>
      </c>
      <c r="B208" s="955"/>
      <c r="C208" s="956"/>
      <c r="D208" s="957" t="s">
        <v>19</v>
      </c>
      <c r="E208" s="958" t="s">
        <v>59</v>
      </c>
      <c r="F208" s="957" t="s">
        <v>27</v>
      </c>
      <c r="G208" s="959" t="s">
        <v>35</v>
      </c>
      <c r="H208" s="960" t="s">
        <v>36</v>
      </c>
      <c r="I208" s="960" t="s">
        <v>35</v>
      </c>
      <c r="J208" s="959" t="s">
        <v>36</v>
      </c>
      <c r="K208" s="959" t="s">
        <v>39</v>
      </c>
      <c r="L208" s="959" t="s">
        <v>40</v>
      </c>
      <c r="M208" s="959" t="s">
        <v>42</v>
      </c>
      <c r="N208" s="1056" t="s">
        <v>2</v>
      </c>
      <c r="O208" s="959" t="s">
        <v>180</v>
      </c>
      <c r="P208" s="961" t="s">
        <v>313</v>
      </c>
      <c r="Q208" s="961" t="s">
        <v>43</v>
      </c>
      <c r="R208" s="962"/>
      <c r="S208" s="1196" t="s">
        <v>44</v>
      </c>
      <c r="T208" s="1197"/>
      <c r="U208"/>
      <c r="V208"/>
      <c r="W208"/>
      <c r="X208"/>
      <c r="Y208"/>
      <c r="Z208"/>
      <c r="AA208"/>
      <c r="AB208"/>
      <c r="AC208"/>
      <c r="AD208"/>
      <c r="AE208"/>
      <c r="AF208"/>
      <c r="AG208"/>
      <c r="AH208"/>
      <c r="AI208"/>
      <c r="AJ208"/>
      <c r="AK208"/>
    </row>
    <row r="209" spans="1:37" s="1" customFormat="1" ht="15.75" x14ac:dyDescent="0.25">
      <c r="A209" s="963" t="s">
        <v>28</v>
      </c>
      <c r="B209" s="978" t="s">
        <v>412</v>
      </c>
      <c r="C209" s="979" t="s">
        <v>31</v>
      </c>
      <c r="D209" s="980" t="s">
        <v>30</v>
      </c>
      <c r="E209" s="980" t="s">
        <v>101</v>
      </c>
      <c r="F209" s="979" t="s">
        <v>37</v>
      </c>
      <c r="G209" s="913"/>
      <c r="H209" s="914"/>
      <c r="I209" s="915"/>
      <c r="J209" s="916"/>
      <c r="K209" s="367"/>
      <c r="L209" s="367"/>
      <c r="M209" s="367"/>
      <c r="N209" s="512"/>
      <c r="O209" s="589">
        <f>ROUND(G209*I209,2)+ROUND(H209*J209,2)-K209-L209-M209-N209</f>
        <v>0</v>
      </c>
      <c r="P209" s="253">
        <f>ROUND(18.75%*O209,2)</f>
        <v>0</v>
      </c>
      <c r="Q209" s="253">
        <f>ROUND($O209*R209,2)</f>
        <v>0</v>
      </c>
      <c r="R209" s="590">
        <v>0.15</v>
      </c>
      <c r="S209" s="253">
        <f>ROUND($O209*T209,2)</f>
        <v>0</v>
      </c>
      <c r="T209" s="591">
        <v>3.7499999999999999E-2</v>
      </c>
      <c r="U209"/>
      <c r="V209"/>
      <c r="W209"/>
      <c r="X209"/>
      <c r="Y209"/>
      <c r="Z209"/>
      <c r="AA209"/>
      <c r="AB209"/>
      <c r="AC209"/>
      <c r="AD209"/>
      <c r="AE209"/>
      <c r="AF209"/>
      <c r="AG209"/>
      <c r="AH209"/>
      <c r="AI209"/>
      <c r="AJ209"/>
      <c r="AK209"/>
    </row>
    <row r="210" spans="1:37" s="65" customFormat="1" ht="16.350000000000001" customHeight="1" x14ac:dyDescent="0.25">
      <c r="A210" s="967" t="s">
        <v>28</v>
      </c>
      <c r="B210" s="981" t="str">
        <f>B209</f>
        <v>Z-69 -  CRUDO</v>
      </c>
      <c r="C210" s="965" t="s">
        <v>31</v>
      </c>
      <c r="D210" s="970" t="s">
        <v>186</v>
      </c>
      <c r="E210" s="970"/>
      <c r="F210" s="969" t="str">
        <f>F209</f>
        <v>Bls</v>
      </c>
      <c r="G210" s="936">
        <f>G209</f>
        <v>0</v>
      </c>
      <c r="H210" s="1104">
        <v>0.27</v>
      </c>
      <c r="I210" s="588"/>
      <c r="J210" s="1079">
        <v>67.543999999999997</v>
      </c>
      <c r="K210" s="557"/>
      <c r="L210" s="557"/>
      <c r="M210" s="934"/>
      <c r="N210" s="934"/>
      <c r="O210" s="934">
        <f>ROUND(G210*I210,2)+ROUND(H210*J210,2)-K210-L210-M210-N210</f>
        <v>18.239999999999998</v>
      </c>
      <c r="P210" s="557">
        <f>ROUND(18.75%*O210,2)</f>
        <v>3.42</v>
      </c>
      <c r="Q210" s="557">
        <f>ROUND($O210*R210,2)</f>
        <v>2.74</v>
      </c>
      <c r="R210" s="982">
        <v>0.15</v>
      </c>
      <c r="S210" s="557">
        <f>ROUND($O210*T210,2)</f>
        <v>0.68</v>
      </c>
      <c r="T210" s="983">
        <v>3.7499999999999999E-2</v>
      </c>
      <c r="U210"/>
      <c r="V210"/>
      <c r="W210"/>
      <c r="X210"/>
      <c r="Y210"/>
      <c r="Z210"/>
      <c r="AA210"/>
      <c r="AB210"/>
      <c r="AC210"/>
      <c r="AD210"/>
      <c r="AE210"/>
      <c r="AF210"/>
      <c r="AG210"/>
      <c r="AH210"/>
      <c r="AI210"/>
      <c r="AJ210"/>
      <c r="AK210"/>
    </row>
    <row r="211" spans="1:37" s="65" customFormat="1" ht="15.75" x14ac:dyDescent="0.25">
      <c r="A211" s="971"/>
      <c r="B211" s="972" t="s">
        <v>181</v>
      </c>
      <c r="C211" s="973"/>
      <c r="D211" s="974"/>
      <c r="E211" s="974"/>
      <c r="F211" s="971"/>
      <c r="G211" s="975">
        <f t="shared" ref="G211" si="77">G210-G209</f>
        <v>0</v>
      </c>
      <c r="H211" s="975">
        <f>H210-H209</f>
        <v>0.27</v>
      </c>
      <c r="I211" s="830">
        <f t="shared" ref="I211" si="78">I210-I209</f>
        <v>0</v>
      </c>
      <c r="J211" s="830">
        <f>J210-J209</f>
        <v>67.543999999999997</v>
      </c>
      <c r="K211" s="900">
        <f t="shared" ref="K211:N211" si="79">K210-K209</f>
        <v>0</v>
      </c>
      <c r="L211" s="900">
        <f t="shared" si="79"/>
        <v>0</v>
      </c>
      <c r="M211" s="900">
        <f t="shared" si="79"/>
        <v>0</v>
      </c>
      <c r="N211" s="900">
        <f t="shared" si="79"/>
        <v>0</v>
      </c>
      <c r="O211" s="830">
        <f>O210-O209</f>
        <v>18.239999999999998</v>
      </c>
      <c r="P211" s="830">
        <f>P210-P209</f>
        <v>3.42</v>
      </c>
      <c r="Q211" s="830">
        <f>Q210-Q209</f>
        <v>2.74</v>
      </c>
      <c r="R211" s="830"/>
      <c r="S211" s="830">
        <f>S210-S209</f>
        <v>0.68</v>
      </c>
      <c r="T211" s="830"/>
      <c r="U211"/>
      <c r="V211"/>
      <c r="W211"/>
      <c r="X211"/>
      <c r="Y211"/>
      <c r="Z211"/>
      <c r="AA211"/>
      <c r="AB211"/>
      <c r="AC211"/>
      <c r="AD211"/>
      <c r="AE211"/>
      <c r="AF211"/>
      <c r="AG211"/>
      <c r="AH211"/>
      <c r="AI211"/>
      <c r="AJ211"/>
      <c r="AK211"/>
    </row>
    <row r="212" spans="1:37" s="65" customFormat="1" ht="15.75" x14ac:dyDescent="0.25">
      <c r="A212" s="950"/>
      <c r="B212" s="683"/>
      <c r="C212" s="950"/>
      <c r="D212" s="950"/>
      <c r="E212" s="950"/>
      <c r="F212" s="950"/>
      <c r="G212" s="985"/>
      <c r="H212" s="985"/>
      <c r="I212" s="985"/>
      <c r="J212" s="985"/>
      <c r="K212" s="950"/>
      <c r="L212" s="950"/>
      <c r="M212" s="950"/>
      <c r="N212" s="950"/>
      <c r="O212" s="985"/>
      <c r="P212" s="985"/>
      <c r="Q212" s="985"/>
      <c r="R212" s="985"/>
      <c r="S212" s="985"/>
      <c r="T212" s="985"/>
      <c r="U212"/>
      <c r="V212"/>
      <c r="W212"/>
      <c r="X212"/>
      <c r="Y212"/>
      <c r="Z212"/>
      <c r="AA212"/>
      <c r="AB212"/>
      <c r="AC212"/>
      <c r="AD212"/>
      <c r="AE212"/>
      <c r="AF212"/>
      <c r="AG212"/>
      <c r="AH212"/>
      <c r="AI212"/>
      <c r="AJ212"/>
      <c r="AK212"/>
    </row>
    <row r="213" spans="1:37" s="65" customFormat="1" ht="15.75" x14ac:dyDescent="0.25">
      <c r="A213" s="951"/>
      <c r="B213" s="879" t="s">
        <v>418</v>
      </c>
      <c r="C213" s="683"/>
      <c r="D213" s="683"/>
      <c r="E213" s="683"/>
      <c r="F213" s="683"/>
      <c r="G213" s="683"/>
      <c r="H213" s="683"/>
      <c r="I213" s="683"/>
      <c r="J213" s="952"/>
      <c r="K213" s="683"/>
      <c r="L213" s="683"/>
      <c r="M213" s="683"/>
      <c r="N213" s="950"/>
      <c r="O213" s="683"/>
      <c r="P213" s="683"/>
      <c r="Q213" s="683"/>
      <c r="R213" s="911"/>
      <c r="S213" s="683"/>
      <c r="T213" s="912"/>
      <c r="U213"/>
      <c r="V213"/>
      <c r="W213"/>
      <c r="X213"/>
      <c r="Y213"/>
      <c r="Z213"/>
      <c r="AA213"/>
      <c r="AB213"/>
      <c r="AC213"/>
      <c r="AD213"/>
      <c r="AE213"/>
      <c r="AF213"/>
      <c r="AG213"/>
      <c r="AH213"/>
      <c r="AI213"/>
      <c r="AJ213"/>
      <c r="AK213"/>
    </row>
    <row r="214" spans="1:37" s="65" customFormat="1" ht="15.75" x14ac:dyDescent="0.25">
      <c r="A214" s="977" t="s">
        <v>312</v>
      </c>
      <c r="B214" s="955"/>
      <c r="C214" s="956"/>
      <c r="D214" s="957" t="s">
        <v>19</v>
      </c>
      <c r="E214" s="958" t="s">
        <v>59</v>
      </c>
      <c r="F214" s="957" t="s">
        <v>27</v>
      </c>
      <c r="G214" s="959" t="s">
        <v>35</v>
      </c>
      <c r="H214" s="960" t="s">
        <v>36</v>
      </c>
      <c r="I214" s="960" t="s">
        <v>35</v>
      </c>
      <c r="J214" s="959" t="s">
        <v>36</v>
      </c>
      <c r="K214" s="959" t="s">
        <v>39</v>
      </c>
      <c r="L214" s="959" t="s">
        <v>40</v>
      </c>
      <c r="M214" s="959" t="s">
        <v>42</v>
      </c>
      <c r="N214" s="1056" t="s">
        <v>2</v>
      </c>
      <c r="O214" s="959" t="s">
        <v>180</v>
      </c>
      <c r="P214" s="961" t="s">
        <v>313</v>
      </c>
      <c r="Q214" s="961" t="s">
        <v>43</v>
      </c>
      <c r="R214" s="962"/>
      <c r="S214" s="1196" t="s">
        <v>44</v>
      </c>
      <c r="T214" s="1197"/>
      <c r="U214"/>
      <c r="V214"/>
      <c r="W214"/>
      <c r="X214"/>
      <c r="Y214"/>
      <c r="Z214"/>
      <c r="AA214"/>
      <c r="AB214"/>
      <c r="AC214"/>
      <c r="AD214"/>
      <c r="AE214"/>
      <c r="AF214"/>
      <c r="AG214"/>
      <c r="AH214"/>
      <c r="AI214"/>
      <c r="AJ214"/>
      <c r="AK214"/>
    </row>
    <row r="215" spans="1:37" s="1" customFormat="1" ht="15.75" x14ac:dyDescent="0.25">
      <c r="A215" s="963" t="s">
        <v>28</v>
      </c>
      <c r="B215" s="978" t="s">
        <v>412</v>
      </c>
      <c r="C215" s="979" t="s">
        <v>31</v>
      </c>
      <c r="D215" s="980" t="s">
        <v>30</v>
      </c>
      <c r="E215" s="980" t="s">
        <v>101</v>
      </c>
      <c r="F215" s="979" t="s">
        <v>37</v>
      </c>
      <c r="G215" s="913"/>
      <c r="H215" s="914"/>
      <c r="I215" s="915"/>
      <c r="J215" s="916"/>
      <c r="K215" s="367"/>
      <c r="L215" s="367"/>
      <c r="M215" s="367"/>
      <c r="N215" s="512"/>
      <c r="O215" s="589">
        <f>ROUND(G215*I215,2)+ROUND(H215*J215,2)-K215-L215-M215-N215</f>
        <v>0</v>
      </c>
      <c r="P215" s="253">
        <f>ROUND(18.75%*O215,2)</f>
        <v>0</v>
      </c>
      <c r="Q215" s="253">
        <f>ROUND($O215*R215,2)</f>
        <v>0</v>
      </c>
      <c r="R215" s="590">
        <v>0.15</v>
      </c>
      <c r="S215" s="253">
        <f>ROUND($O215*T215,2)</f>
        <v>0</v>
      </c>
      <c r="T215" s="591">
        <v>3.7499999999999999E-2</v>
      </c>
      <c r="U215"/>
      <c r="V215"/>
      <c r="W215"/>
      <c r="X215"/>
      <c r="Y215"/>
      <c r="Z215"/>
      <c r="AA215"/>
      <c r="AB215"/>
      <c r="AC215"/>
      <c r="AD215"/>
      <c r="AE215"/>
      <c r="AF215"/>
      <c r="AG215"/>
      <c r="AH215"/>
      <c r="AI215"/>
      <c r="AJ215"/>
      <c r="AK215"/>
    </row>
    <row r="216" spans="1:37" s="65" customFormat="1" ht="16.350000000000001" customHeight="1" x14ac:dyDescent="0.25">
      <c r="A216" s="967" t="s">
        <v>28</v>
      </c>
      <c r="B216" s="981" t="str">
        <f>B215</f>
        <v>Z-69 -  CRUDO</v>
      </c>
      <c r="C216" s="965" t="s">
        <v>31</v>
      </c>
      <c r="D216" s="970" t="s">
        <v>186</v>
      </c>
      <c r="E216" s="970"/>
      <c r="F216" s="969" t="str">
        <f>F215</f>
        <v>Bls</v>
      </c>
      <c r="G216" s="936">
        <f>G215</f>
        <v>0</v>
      </c>
      <c r="H216" s="1104">
        <v>2.5000000000000001E-2</v>
      </c>
      <c r="I216" s="588"/>
      <c r="J216" s="1079">
        <v>67.098200000000006</v>
      </c>
      <c r="K216" s="557"/>
      <c r="L216" s="557"/>
      <c r="M216" s="934"/>
      <c r="N216" s="934"/>
      <c r="O216" s="934">
        <f>ROUND(G216*I216,2)+ROUND(H216*J216,2)-K216-L216-M216-N216</f>
        <v>1.68</v>
      </c>
      <c r="P216" s="557">
        <f>ROUND(18.75%*O216,2)</f>
        <v>0.32</v>
      </c>
      <c r="Q216" s="557">
        <f>ROUND($O216*R216,2)</f>
        <v>0.25</v>
      </c>
      <c r="R216" s="982">
        <v>0.15</v>
      </c>
      <c r="S216" s="557">
        <f>ROUND($O216*T216,2)</f>
        <v>0.06</v>
      </c>
      <c r="T216" s="983">
        <v>3.7499999999999999E-2</v>
      </c>
      <c r="U216"/>
      <c r="V216"/>
      <c r="W216"/>
      <c r="X216"/>
      <c r="Y216"/>
      <c r="Z216"/>
      <c r="AA216"/>
      <c r="AB216"/>
      <c r="AC216"/>
      <c r="AD216"/>
      <c r="AE216"/>
      <c r="AF216"/>
      <c r="AG216"/>
      <c r="AH216"/>
      <c r="AI216"/>
      <c r="AJ216"/>
      <c r="AK216"/>
    </row>
    <row r="217" spans="1:37" s="65" customFormat="1" ht="15.75" x14ac:dyDescent="0.25">
      <c r="A217" s="971"/>
      <c r="B217" s="972" t="s">
        <v>181</v>
      </c>
      <c r="C217" s="973"/>
      <c r="D217" s="974"/>
      <c r="E217" s="974"/>
      <c r="F217" s="971"/>
      <c r="G217" s="975">
        <f t="shared" ref="G217" si="80">G216-G215</f>
        <v>0</v>
      </c>
      <c r="H217" s="975">
        <f>H216-H215</f>
        <v>2.5000000000000001E-2</v>
      </c>
      <c r="I217" s="830">
        <f t="shared" ref="I217" si="81">I216-I215</f>
        <v>0</v>
      </c>
      <c r="J217" s="830">
        <f>J216-J215</f>
        <v>67.098200000000006</v>
      </c>
      <c r="K217" s="900">
        <f t="shared" ref="K217:N217" si="82">K216-K215</f>
        <v>0</v>
      </c>
      <c r="L217" s="900">
        <f t="shared" si="82"/>
        <v>0</v>
      </c>
      <c r="M217" s="900">
        <f t="shared" si="82"/>
        <v>0</v>
      </c>
      <c r="N217" s="900">
        <f t="shared" si="82"/>
        <v>0</v>
      </c>
      <c r="O217" s="830">
        <f>O216-O215</f>
        <v>1.68</v>
      </c>
      <c r="P217" s="830">
        <f>P216-P215</f>
        <v>0.32</v>
      </c>
      <c r="Q217" s="830">
        <f>Q216-Q215</f>
        <v>0.25</v>
      </c>
      <c r="R217" s="830"/>
      <c r="S217" s="830">
        <f>S216-S215</f>
        <v>0.06</v>
      </c>
      <c r="T217" s="830"/>
      <c r="U217"/>
      <c r="V217"/>
      <c r="W217"/>
      <c r="X217"/>
      <c r="Y217"/>
      <c r="Z217"/>
      <c r="AA217"/>
      <c r="AB217"/>
      <c r="AC217"/>
      <c r="AD217"/>
      <c r="AE217"/>
      <c r="AF217"/>
      <c r="AG217"/>
      <c r="AH217"/>
      <c r="AI217"/>
      <c r="AJ217"/>
      <c r="AK217"/>
    </row>
    <row r="218" spans="1:37" s="65" customFormat="1" ht="15.75" x14ac:dyDescent="0.25">
      <c r="A218" s="950"/>
      <c r="B218" s="683"/>
      <c r="C218" s="950"/>
      <c r="D218" s="950"/>
      <c r="E218" s="950"/>
      <c r="F218" s="950"/>
      <c r="G218" s="985"/>
      <c r="H218" s="985"/>
      <c r="I218" s="985"/>
      <c r="J218" s="985"/>
      <c r="K218" s="950"/>
      <c r="L218" s="950"/>
      <c r="M218" s="950"/>
      <c r="N218" s="950"/>
      <c r="O218" s="985"/>
      <c r="P218" s="985"/>
      <c r="Q218" s="985"/>
      <c r="R218" s="985"/>
      <c r="S218" s="985"/>
      <c r="T218" s="985"/>
      <c r="U218"/>
      <c r="V218"/>
      <c r="W218"/>
      <c r="X218"/>
      <c r="Y218"/>
      <c r="Z218"/>
      <c r="AA218"/>
      <c r="AB218"/>
      <c r="AC218"/>
      <c r="AD218"/>
      <c r="AE218"/>
      <c r="AF218"/>
      <c r="AG218"/>
      <c r="AH218"/>
      <c r="AI218"/>
      <c r="AJ218"/>
      <c r="AK218"/>
    </row>
    <row r="219" spans="1:37" s="65" customFormat="1" ht="15.75" x14ac:dyDescent="0.25">
      <c r="A219" s="951"/>
      <c r="B219" s="879" t="s">
        <v>418</v>
      </c>
      <c r="C219" s="683"/>
      <c r="D219" s="683"/>
      <c r="E219" s="683"/>
      <c r="F219" s="683"/>
      <c r="G219" s="683"/>
      <c r="H219" s="683"/>
      <c r="I219" s="683"/>
      <c r="J219" s="952"/>
      <c r="K219" s="683"/>
      <c r="L219" s="683"/>
      <c r="M219" s="683"/>
      <c r="N219" s="950"/>
      <c r="O219" s="683"/>
      <c r="P219" s="683"/>
      <c r="Q219" s="683"/>
      <c r="R219" s="911"/>
      <c r="S219" s="683"/>
      <c r="T219" s="912"/>
      <c r="U219"/>
      <c r="V219"/>
      <c r="W219"/>
      <c r="X219"/>
      <c r="Y219"/>
      <c r="Z219"/>
      <c r="AA219"/>
      <c r="AB219"/>
      <c r="AC219"/>
      <c r="AD219"/>
      <c r="AE219"/>
      <c r="AF219"/>
      <c r="AG219"/>
      <c r="AH219"/>
      <c r="AI219"/>
      <c r="AJ219"/>
      <c r="AK219"/>
    </row>
    <row r="220" spans="1:37" s="65" customFormat="1" ht="15.75" x14ac:dyDescent="0.25">
      <c r="A220" s="977" t="s">
        <v>312</v>
      </c>
      <c r="B220" s="955"/>
      <c r="C220" s="956"/>
      <c r="D220" s="957" t="s">
        <v>19</v>
      </c>
      <c r="E220" s="958" t="s">
        <v>59</v>
      </c>
      <c r="F220" s="957" t="s">
        <v>27</v>
      </c>
      <c r="G220" s="959" t="s">
        <v>35</v>
      </c>
      <c r="H220" s="960" t="s">
        <v>36</v>
      </c>
      <c r="I220" s="960" t="s">
        <v>35</v>
      </c>
      <c r="J220" s="959" t="s">
        <v>36</v>
      </c>
      <c r="K220" s="959" t="s">
        <v>39</v>
      </c>
      <c r="L220" s="959" t="s">
        <v>40</v>
      </c>
      <c r="M220" s="959" t="s">
        <v>42</v>
      </c>
      <c r="N220" s="1056" t="s">
        <v>2</v>
      </c>
      <c r="O220" s="959" t="s">
        <v>180</v>
      </c>
      <c r="P220" s="961" t="s">
        <v>313</v>
      </c>
      <c r="Q220" s="961" t="s">
        <v>43</v>
      </c>
      <c r="R220" s="962"/>
      <c r="S220" s="1196" t="s">
        <v>44</v>
      </c>
      <c r="T220" s="1197"/>
      <c r="U220"/>
      <c r="V220"/>
      <c r="W220"/>
      <c r="X220"/>
      <c r="Y220"/>
      <c r="Z220"/>
      <c r="AA220"/>
      <c r="AB220"/>
      <c r="AC220"/>
      <c r="AD220"/>
      <c r="AE220"/>
      <c r="AF220"/>
      <c r="AG220"/>
      <c r="AH220"/>
      <c r="AI220"/>
      <c r="AJ220"/>
      <c r="AK220"/>
    </row>
    <row r="221" spans="1:37" s="1" customFormat="1" ht="15.75" x14ac:dyDescent="0.25">
      <c r="A221" s="963" t="s">
        <v>28</v>
      </c>
      <c r="B221" s="978" t="s">
        <v>412</v>
      </c>
      <c r="C221" s="979" t="s">
        <v>31</v>
      </c>
      <c r="D221" s="980" t="s">
        <v>30</v>
      </c>
      <c r="E221" s="980" t="s">
        <v>101</v>
      </c>
      <c r="F221" s="979" t="s">
        <v>37</v>
      </c>
      <c r="G221" s="913"/>
      <c r="H221" s="914"/>
      <c r="I221" s="915"/>
      <c r="J221" s="916"/>
      <c r="K221" s="367"/>
      <c r="L221" s="367"/>
      <c r="M221" s="367"/>
      <c r="N221" s="512"/>
      <c r="O221" s="589">
        <f>ROUND(G221*I221,2)+ROUND(H221*J221,2)-K221-L221-M221-N221</f>
        <v>0</v>
      </c>
      <c r="P221" s="253">
        <f>ROUND(18.75%*O221,2)</f>
        <v>0</v>
      </c>
      <c r="Q221" s="253">
        <f>ROUND($O221*R221,2)</f>
        <v>0</v>
      </c>
      <c r="R221" s="590">
        <v>0.15</v>
      </c>
      <c r="S221" s="253">
        <f>ROUND($O221*T221,2)</f>
        <v>0</v>
      </c>
      <c r="T221" s="591">
        <v>3.7499999999999999E-2</v>
      </c>
      <c r="U221"/>
      <c r="V221"/>
      <c r="W221"/>
      <c r="X221"/>
      <c r="Y221"/>
      <c r="Z221"/>
      <c r="AA221"/>
      <c r="AB221"/>
      <c r="AC221"/>
      <c r="AD221"/>
      <c r="AE221"/>
      <c r="AF221"/>
      <c r="AG221"/>
      <c r="AH221"/>
      <c r="AI221"/>
      <c r="AJ221"/>
      <c r="AK221"/>
    </row>
    <row r="222" spans="1:37" s="65" customFormat="1" ht="16.350000000000001" customHeight="1" x14ac:dyDescent="0.25">
      <c r="A222" s="967" t="s">
        <v>28</v>
      </c>
      <c r="B222" s="981" t="str">
        <f>B221</f>
        <v>Z-69 -  CRUDO</v>
      </c>
      <c r="C222" s="965" t="s">
        <v>31</v>
      </c>
      <c r="D222" s="970" t="s">
        <v>186</v>
      </c>
      <c r="E222" s="970"/>
      <c r="F222" s="969" t="str">
        <f>F221</f>
        <v>Bls</v>
      </c>
      <c r="G222" s="936">
        <f>G221</f>
        <v>0</v>
      </c>
      <c r="H222" s="1104">
        <v>1.2200000000000001E-2</v>
      </c>
      <c r="I222" s="588"/>
      <c r="J222" s="1079">
        <v>68.053600000000003</v>
      </c>
      <c r="K222" s="557"/>
      <c r="L222" s="557"/>
      <c r="M222" s="934"/>
      <c r="N222" s="934"/>
      <c r="O222" s="934">
        <f>ROUND(G222*I222,2)+ROUND(H222*J222,2)-K222-L222-M222-N222</f>
        <v>0.83</v>
      </c>
      <c r="P222" s="557">
        <f>ROUND(18.75%*O222,2)</f>
        <v>0.16</v>
      </c>
      <c r="Q222" s="557">
        <f>ROUND($O222*R222,2)</f>
        <v>0.12</v>
      </c>
      <c r="R222" s="982">
        <v>0.15</v>
      </c>
      <c r="S222" s="557">
        <f>ROUND($O222*T222,2)</f>
        <v>0.03</v>
      </c>
      <c r="T222" s="983">
        <v>3.7499999999999999E-2</v>
      </c>
      <c r="U222"/>
      <c r="V222"/>
      <c r="W222"/>
      <c r="X222"/>
      <c r="Y222"/>
      <c r="Z222"/>
      <c r="AA222"/>
      <c r="AB222"/>
      <c r="AC222"/>
      <c r="AD222"/>
      <c r="AE222"/>
      <c r="AF222"/>
      <c r="AG222"/>
      <c r="AH222"/>
      <c r="AI222"/>
      <c r="AJ222"/>
      <c r="AK222"/>
    </row>
    <row r="223" spans="1:37" s="65" customFormat="1" ht="15.75" x14ac:dyDescent="0.25">
      <c r="A223" s="971"/>
      <c r="B223" s="972" t="s">
        <v>181</v>
      </c>
      <c r="C223" s="973"/>
      <c r="D223" s="974"/>
      <c r="E223" s="974"/>
      <c r="F223" s="971"/>
      <c r="G223" s="975">
        <f t="shared" ref="G223" si="83">G222-G221</f>
        <v>0</v>
      </c>
      <c r="H223" s="975">
        <f>H222-H221</f>
        <v>1.2200000000000001E-2</v>
      </c>
      <c r="I223" s="830">
        <f t="shared" ref="I223" si="84">I222-I221</f>
        <v>0</v>
      </c>
      <c r="J223" s="830">
        <f>J222-J221</f>
        <v>68.053600000000003</v>
      </c>
      <c r="K223" s="900">
        <f t="shared" ref="K223:N223" si="85">K222-K221</f>
        <v>0</v>
      </c>
      <c r="L223" s="900">
        <f t="shared" si="85"/>
        <v>0</v>
      </c>
      <c r="M223" s="900">
        <f t="shared" si="85"/>
        <v>0</v>
      </c>
      <c r="N223" s="900">
        <f t="shared" si="85"/>
        <v>0</v>
      </c>
      <c r="O223" s="830">
        <f>O222-O221</f>
        <v>0.83</v>
      </c>
      <c r="P223" s="830">
        <f>P222-P221</f>
        <v>0.16</v>
      </c>
      <c r="Q223" s="830">
        <f>Q222-Q221</f>
        <v>0.12</v>
      </c>
      <c r="R223" s="830"/>
      <c r="S223" s="830">
        <f>S222-S221</f>
        <v>0.03</v>
      </c>
      <c r="T223" s="830"/>
      <c r="U223"/>
      <c r="V223"/>
      <c r="W223"/>
      <c r="X223"/>
      <c r="Y223"/>
      <c r="Z223"/>
      <c r="AA223"/>
      <c r="AB223"/>
      <c r="AC223"/>
      <c r="AD223"/>
      <c r="AE223"/>
      <c r="AF223"/>
      <c r="AG223"/>
      <c r="AH223"/>
      <c r="AI223"/>
      <c r="AJ223"/>
      <c r="AK223"/>
    </row>
    <row r="224" spans="1:37" s="65" customFormat="1" ht="15.75" x14ac:dyDescent="0.25">
      <c r="A224" s="950"/>
      <c r="B224" s="683"/>
      <c r="C224" s="950"/>
      <c r="D224" s="950"/>
      <c r="E224" s="950"/>
      <c r="F224" s="950"/>
      <c r="G224" s="985"/>
      <c r="H224" s="985"/>
      <c r="I224" s="985"/>
      <c r="J224" s="985"/>
      <c r="K224" s="950"/>
      <c r="L224" s="950"/>
      <c r="M224" s="950"/>
      <c r="N224" s="950"/>
      <c r="O224" s="985"/>
      <c r="P224" s="985"/>
      <c r="Q224" s="985"/>
      <c r="R224" s="985"/>
      <c r="S224" s="985"/>
      <c r="T224" s="985"/>
      <c r="U224"/>
      <c r="V224"/>
      <c r="W224"/>
      <c r="X224"/>
      <c r="Y224"/>
      <c r="Z224"/>
      <c r="AA224"/>
      <c r="AB224"/>
      <c r="AC224"/>
      <c r="AD224"/>
      <c r="AE224"/>
      <c r="AF224"/>
      <c r="AG224"/>
      <c r="AH224"/>
      <c r="AI224"/>
      <c r="AJ224"/>
      <c r="AK224"/>
    </row>
    <row r="225" spans="1:37" s="65" customFormat="1" ht="15.75" x14ac:dyDescent="0.25">
      <c r="A225" s="951"/>
      <c r="B225" s="879" t="s">
        <v>419</v>
      </c>
      <c r="C225" s="683"/>
      <c r="D225" s="683"/>
      <c r="E225" s="683"/>
      <c r="F225" s="683"/>
      <c r="G225" s="683"/>
      <c r="H225" s="683"/>
      <c r="I225" s="683"/>
      <c r="J225" s="952"/>
      <c r="K225" s="683"/>
      <c r="L225" s="683"/>
      <c r="M225" s="683"/>
      <c r="N225" s="950"/>
      <c r="O225" s="683"/>
      <c r="P225" s="683"/>
      <c r="Q225" s="683"/>
      <c r="R225" s="911"/>
      <c r="S225" s="683"/>
      <c r="T225" s="912"/>
      <c r="U225"/>
      <c r="V225"/>
      <c r="W225"/>
      <c r="X225"/>
      <c r="Y225"/>
      <c r="Z225"/>
      <c r="AA225"/>
      <c r="AB225"/>
      <c r="AC225"/>
      <c r="AD225"/>
      <c r="AE225"/>
      <c r="AF225"/>
      <c r="AG225"/>
      <c r="AH225"/>
      <c r="AI225"/>
      <c r="AJ225"/>
      <c r="AK225"/>
    </row>
    <row r="226" spans="1:37" s="65" customFormat="1" ht="15.75" x14ac:dyDescent="0.25">
      <c r="A226" s="977" t="s">
        <v>312</v>
      </c>
      <c r="B226" s="955"/>
      <c r="C226" s="956"/>
      <c r="D226" s="957" t="s">
        <v>19</v>
      </c>
      <c r="E226" s="958" t="s">
        <v>59</v>
      </c>
      <c r="F226" s="957" t="s">
        <v>27</v>
      </c>
      <c r="G226" s="959" t="s">
        <v>35</v>
      </c>
      <c r="H226" s="960" t="s">
        <v>36</v>
      </c>
      <c r="I226" s="960" t="s">
        <v>35</v>
      </c>
      <c r="J226" s="959" t="s">
        <v>36</v>
      </c>
      <c r="K226" s="959" t="s">
        <v>39</v>
      </c>
      <c r="L226" s="959" t="s">
        <v>40</v>
      </c>
      <c r="M226" s="959" t="s">
        <v>42</v>
      </c>
      <c r="N226" s="1056" t="s">
        <v>2</v>
      </c>
      <c r="O226" s="959" t="s">
        <v>180</v>
      </c>
      <c r="P226" s="961" t="s">
        <v>313</v>
      </c>
      <c r="Q226" s="961" t="s">
        <v>43</v>
      </c>
      <c r="R226" s="962"/>
      <c r="S226" s="1196" t="s">
        <v>44</v>
      </c>
      <c r="T226" s="1197"/>
      <c r="U226"/>
      <c r="V226"/>
      <c r="W226"/>
      <c r="X226"/>
      <c r="Y226"/>
      <c r="Z226"/>
      <c r="AA226"/>
      <c r="AB226"/>
      <c r="AC226"/>
      <c r="AD226"/>
      <c r="AE226"/>
      <c r="AF226"/>
      <c r="AG226"/>
      <c r="AH226"/>
      <c r="AI226"/>
      <c r="AJ226"/>
      <c r="AK226"/>
    </row>
    <row r="227" spans="1:37" s="1" customFormat="1" ht="15.75" x14ac:dyDescent="0.25">
      <c r="A227" s="963" t="s">
        <v>28</v>
      </c>
      <c r="B227" s="978" t="s">
        <v>412</v>
      </c>
      <c r="C227" s="979" t="s">
        <v>31</v>
      </c>
      <c r="D227" s="980" t="s">
        <v>30</v>
      </c>
      <c r="E227" s="980" t="s">
        <v>101</v>
      </c>
      <c r="F227" s="979" t="s">
        <v>37</v>
      </c>
      <c r="G227" s="913"/>
      <c r="H227" s="914"/>
      <c r="I227" s="915"/>
      <c r="J227" s="916"/>
      <c r="K227" s="367"/>
      <c r="L227" s="367"/>
      <c r="M227" s="367"/>
      <c r="N227" s="512"/>
      <c r="O227" s="589">
        <f>ROUND(G227*I227,2)+ROUND(H227*J227,2)-K227-L227-M227-N227</f>
        <v>0</v>
      </c>
      <c r="P227" s="253">
        <f>ROUND(18.75%*O227,2)</f>
        <v>0</v>
      </c>
      <c r="Q227" s="253">
        <f>ROUND($O227*R227,2)</f>
        <v>0</v>
      </c>
      <c r="R227" s="590">
        <v>0.15</v>
      </c>
      <c r="S227" s="253">
        <f>ROUND($O227*T227,2)</f>
        <v>0</v>
      </c>
      <c r="T227" s="591">
        <v>3.7499999999999999E-2</v>
      </c>
      <c r="U227"/>
      <c r="V227"/>
      <c r="W227"/>
      <c r="X227"/>
      <c r="Y227"/>
      <c r="Z227"/>
      <c r="AA227"/>
      <c r="AB227"/>
      <c r="AC227"/>
      <c r="AD227"/>
      <c r="AE227"/>
      <c r="AF227"/>
      <c r="AG227"/>
      <c r="AH227"/>
      <c r="AI227"/>
      <c r="AJ227"/>
      <c r="AK227"/>
    </row>
    <row r="228" spans="1:37" s="65" customFormat="1" ht="16.350000000000001" customHeight="1" x14ac:dyDescent="0.25">
      <c r="A228" s="967" t="s">
        <v>28</v>
      </c>
      <c r="B228" s="981" t="str">
        <f>B227</f>
        <v>Z-69 -  CRUDO</v>
      </c>
      <c r="C228" s="965" t="s">
        <v>31</v>
      </c>
      <c r="D228" s="970" t="s">
        <v>186</v>
      </c>
      <c r="E228" s="970"/>
      <c r="F228" s="969" t="str">
        <f>F227</f>
        <v>Bls</v>
      </c>
      <c r="G228" s="936">
        <f>G227</f>
        <v>0</v>
      </c>
      <c r="H228" s="1104">
        <v>0.47199999999999998</v>
      </c>
      <c r="I228" s="588"/>
      <c r="J228" s="1079">
        <v>64.248199999999997</v>
      </c>
      <c r="K228" s="557"/>
      <c r="L228" s="557"/>
      <c r="M228" s="934"/>
      <c r="N228" s="934"/>
      <c r="O228" s="934">
        <f>ROUND(G228*I228,2)+ROUND(H228*J228,2)-K228-L228-M228-N228</f>
        <v>30.33</v>
      </c>
      <c r="P228" s="557">
        <f>ROUND(18.75%*O228,2)</f>
        <v>5.69</v>
      </c>
      <c r="Q228" s="557">
        <f>ROUND($O228*R228,2)</f>
        <v>4.55</v>
      </c>
      <c r="R228" s="982">
        <v>0.15</v>
      </c>
      <c r="S228" s="557">
        <f>ROUND($O228*T228,2)</f>
        <v>1.1399999999999999</v>
      </c>
      <c r="T228" s="983">
        <v>3.7499999999999999E-2</v>
      </c>
      <c r="U228"/>
      <c r="V228"/>
      <c r="W228"/>
      <c r="X228"/>
      <c r="Y228"/>
      <c r="Z228"/>
      <c r="AA228"/>
      <c r="AB228"/>
      <c r="AC228"/>
      <c r="AD228"/>
      <c r="AE228"/>
      <c r="AF228"/>
      <c r="AG228"/>
      <c r="AH228"/>
      <c r="AI228"/>
      <c r="AJ228"/>
      <c r="AK228"/>
    </row>
    <row r="229" spans="1:37" s="65" customFormat="1" ht="15.75" x14ac:dyDescent="0.25">
      <c r="A229" s="971"/>
      <c r="B229" s="972" t="s">
        <v>181</v>
      </c>
      <c r="C229" s="973"/>
      <c r="D229" s="974"/>
      <c r="E229" s="974"/>
      <c r="F229" s="971"/>
      <c r="G229" s="975">
        <f t="shared" ref="G229" si="86">G228-G227</f>
        <v>0</v>
      </c>
      <c r="H229" s="975">
        <f>H228-H227</f>
        <v>0.47199999999999998</v>
      </c>
      <c r="I229" s="830">
        <f t="shared" ref="I229" si="87">I228-I227</f>
        <v>0</v>
      </c>
      <c r="J229" s="830">
        <f>J228-J227</f>
        <v>64.248199999999997</v>
      </c>
      <c r="K229" s="900">
        <f t="shared" ref="K229:N229" si="88">K228-K227</f>
        <v>0</v>
      </c>
      <c r="L229" s="900">
        <f t="shared" si="88"/>
        <v>0</v>
      </c>
      <c r="M229" s="900">
        <f t="shared" si="88"/>
        <v>0</v>
      </c>
      <c r="N229" s="900">
        <f t="shared" si="88"/>
        <v>0</v>
      </c>
      <c r="O229" s="830">
        <f>O228-O227</f>
        <v>30.33</v>
      </c>
      <c r="P229" s="830">
        <f>P228-P227</f>
        <v>5.69</v>
      </c>
      <c r="Q229" s="830">
        <f>Q228-Q227</f>
        <v>4.55</v>
      </c>
      <c r="R229" s="830"/>
      <c r="S229" s="830">
        <f>S228-S227</f>
        <v>1.1399999999999999</v>
      </c>
      <c r="T229" s="830"/>
      <c r="U229"/>
      <c r="V229"/>
      <c r="W229"/>
      <c r="X229"/>
      <c r="Y229"/>
      <c r="Z229"/>
      <c r="AA229"/>
      <c r="AB229"/>
      <c r="AC229"/>
      <c r="AD229"/>
      <c r="AE229"/>
      <c r="AF229"/>
      <c r="AG229"/>
      <c r="AH229"/>
      <c r="AI229"/>
      <c r="AJ229"/>
      <c r="AK229"/>
    </row>
    <row r="230" spans="1:37" s="65" customFormat="1" ht="15.75" x14ac:dyDescent="0.25">
      <c r="A230" s="950"/>
      <c r="B230" s="683"/>
      <c r="C230" s="950"/>
      <c r="D230" s="950"/>
      <c r="E230" s="950"/>
      <c r="F230" s="950"/>
      <c r="G230" s="985"/>
      <c r="H230" s="985"/>
      <c r="I230" s="985"/>
      <c r="J230" s="985"/>
      <c r="K230" s="950"/>
      <c r="L230" s="950"/>
      <c r="M230" s="950"/>
      <c r="N230" s="950"/>
      <c r="O230" s="985"/>
      <c r="P230" s="985"/>
      <c r="Q230" s="985"/>
      <c r="R230" s="985"/>
      <c r="S230" s="985"/>
      <c r="T230" s="985"/>
      <c r="U230"/>
      <c r="V230"/>
      <c r="W230"/>
      <c r="X230"/>
      <c r="Y230"/>
      <c r="Z230"/>
      <c r="AA230"/>
      <c r="AB230"/>
      <c r="AC230"/>
      <c r="AD230"/>
      <c r="AE230"/>
      <c r="AF230"/>
      <c r="AG230"/>
      <c r="AH230"/>
      <c r="AI230"/>
      <c r="AJ230"/>
      <c r="AK230"/>
    </row>
    <row r="231" spans="1:37" s="65" customFormat="1" ht="15.75" x14ac:dyDescent="0.25">
      <c r="A231" s="951"/>
      <c r="B231" s="879" t="s">
        <v>419</v>
      </c>
      <c r="C231" s="683"/>
      <c r="D231" s="683"/>
      <c r="E231" s="683"/>
      <c r="F231" s="683"/>
      <c r="G231" s="683"/>
      <c r="H231" s="683"/>
      <c r="I231" s="683"/>
      <c r="J231" s="952"/>
      <c r="K231" s="683"/>
      <c r="L231" s="683"/>
      <c r="M231" s="683"/>
      <c r="N231" s="950"/>
      <c r="O231" s="683"/>
      <c r="P231" s="683"/>
      <c r="Q231" s="683"/>
      <c r="R231" s="911"/>
      <c r="S231" s="683"/>
      <c r="T231" s="912"/>
      <c r="U231"/>
      <c r="V231"/>
      <c r="W231"/>
      <c r="X231"/>
      <c r="Y231"/>
      <c r="Z231"/>
      <c r="AA231"/>
      <c r="AB231"/>
      <c r="AC231"/>
      <c r="AD231"/>
      <c r="AE231"/>
      <c r="AF231"/>
      <c r="AG231"/>
      <c r="AH231"/>
      <c r="AI231"/>
      <c r="AJ231"/>
      <c r="AK231"/>
    </row>
    <row r="232" spans="1:37" s="65" customFormat="1" ht="15.75" x14ac:dyDescent="0.25">
      <c r="A232" s="977" t="s">
        <v>312</v>
      </c>
      <c r="B232" s="955"/>
      <c r="C232" s="956"/>
      <c r="D232" s="957" t="s">
        <v>19</v>
      </c>
      <c r="E232" s="958" t="s">
        <v>59</v>
      </c>
      <c r="F232" s="957" t="s">
        <v>27</v>
      </c>
      <c r="G232" s="959" t="s">
        <v>35</v>
      </c>
      <c r="H232" s="960" t="s">
        <v>36</v>
      </c>
      <c r="I232" s="960" t="s">
        <v>35</v>
      </c>
      <c r="J232" s="959" t="s">
        <v>36</v>
      </c>
      <c r="K232" s="959" t="s">
        <v>39</v>
      </c>
      <c r="L232" s="959" t="s">
        <v>40</v>
      </c>
      <c r="M232" s="959" t="s">
        <v>42</v>
      </c>
      <c r="N232" s="1056" t="s">
        <v>2</v>
      </c>
      <c r="O232" s="959" t="s">
        <v>180</v>
      </c>
      <c r="P232" s="961" t="s">
        <v>313</v>
      </c>
      <c r="Q232" s="961" t="s">
        <v>43</v>
      </c>
      <c r="R232" s="962"/>
      <c r="S232" s="1196" t="s">
        <v>44</v>
      </c>
      <c r="T232" s="1197"/>
      <c r="U232"/>
      <c r="V232"/>
      <c r="W232"/>
      <c r="X232"/>
      <c r="Y232"/>
      <c r="Z232"/>
      <c r="AA232"/>
      <c r="AB232"/>
      <c r="AC232"/>
      <c r="AD232"/>
      <c r="AE232"/>
      <c r="AF232"/>
      <c r="AG232"/>
      <c r="AH232"/>
      <c r="AI232"/>
      <c r="AJ232"/>
      <c r="AK232"/>
    </row>
    <row r="233" spans="1:37" s="1" customFormat="1" ht="15.75" x14ac:dyDescent="0.25">
      <c r="A233" s="963" t="s">
        <v>28</v>
      </c>
      <c r="B233" s="978" t="s">
        <v>412</v>
      </c>
      <c r="C233" s="979" t="s">
        <v>31</v>
      </c>
      <c r="D233" s="980" t="s">
        <v>30</v>
      </c>
      <c r="E233" s="980" t="s">
        <v>101</v>
      </c>
      <c r="F233" s="979" t="s">
        <v>37</v>
      </c>
      <c r="G233" s="913"/>
      <c r="H233" s="914"/>
      <c r="I233" s="915"/>
      <c r="J233" s="916"/>
      <c r="K233" s="367"/>
      <c r="L233" s="367"/>
      <c r="M233" s="367"/>
      <c r="N233" s="512"/>
      <c r="O233" s="589">
        <f>ROUND(G233*I233,2)+ROUND(H233*J233,2)-K233-L233-M233-N233</f>
        <v>0</v>
      </c>
      <c r="P233" s="253">
        <f>ROUND(18.75%*O233,2)</f>
        <v>0</v>
      </c>
      <c r="Q233" s="253">
        <f>ROUND($O233*R233,2)</f>
        <v>0</v>
      </c>
      <c r="R233" s="590">
        <v>0.15</v>
      </c>
      <c r="S233" s="253">
        <f>ROUND($O233*T233,2)</f>
        <v>0</v>
      </c>
      <c r="T233" s="591">
        <v>3.7499999999999999E-2</v>
      </c>
      <c r="U233"/>
      <c r="V233"/>
      <c r="W233"/>
      <c r="X233"/>
      <c r="Y233"/>
      <c r="Z233"/>
      <c r="AA233"/>
      <c r="AB233"/>
      <c r="AC233"/>
      <c r="AD233"/>
      <c r="AE233"/>
      <c r="AF233"/>
      <c r="AG233"/>
      <c r="AH233"/>
      <c r="AI233"/>
      <c r="AJ233"/>
      <c r="AK233"/>
    </row>
    <row r="234" spans="1:37" s="65" customFormat="1" ht="16.350000000000001" customHeight="1" x14ac:dyDescent="0.25">
      <c r="A234" s="967" t="s">
        <v>28</v>
      </c>
      <c r="B234" s="981" t="str">
        <f>B233</f>
        <v>Z-69 -  CRUDO</v>
      </c>
      <c r="C234" s="965" t="s">
        <v>31</v>
      </c>
      <c r="D234" s="970" t="s">
        <v>186</v>
      </c>
      <c r="E234" s="970"/>
      <c r="F234" s="969" t="str">
        <f>F233</f>
        <v>Bls</v>
      </c>
      <c r="G234" s="936">
        <f>G233</f>
        <v>0</v>
      </c>
      <c r="H234" s="1104">
        <v>0.14130000000000001</v>
      </c>
      <c r="I234" s="588"/>
      <c r="J234" s="1079">
        <v>63.684199999999997</v>
      </c>
      <c r="K234" s="557"/>
      <c r="L234" s="557"/>
      <c r="M234" s="934"/>
      <c r="N234" s="934"/>
      <c r="O234" s="934">
        <f>ROUND(G234*I234,2)+ROUND(H234*J234,2)-K234-L234-M234-N234</f>
        <v>9</v>
      </c>
      <c r="P234" s="557">
        <f>ROUND(18.75%*O234,2)</f>
        <v>1.69</v>
      </c>
      <c r="Q234" s="557">
        <f>ROUND($O234*R234,2)</f>
        <v>1.35</v>
      </c>
      <c r="R234" s="982">
        <v>0.15</v>
      </c>
      <c r="S234" s="557">
        <f>ROUND($O234*T234,2)</f>
        <v>0.34</v>
      </c>
      <c r="T234" s="983">
        <v>3.7499999999999999E-2</v>
      </c>
      <c r="U234"/>
      <c r="V234"/>
      <c r="W234"/>
      <c r="X234"/>
      <c r="Y234"/>
      <c r="Z234"/>
      <c r="AA234"/>
      <c r="AB234"/>
      <c r="AC234"/>
      <c r="AD234"/>
      <c r="AE234"/>
      <c r="AF234"/>
      <c r="AG234"/>
      <c r="AH234"/>
      <c r="AI234"/>
      <c r="AJ234"/>
      <c r="AK234"/>
    </row>
    <row r="235" spans="1:37" s="65" customFormat="1" ht="15.75" x14ac:dyDescent="0.25">
      <c r="A235" s="971"/>
      <c r="B235" s="972" t="s">
        <v>181</v>
      </c>
      <c r="C235" s="973"/>
      <c r="D235" s="974"/>
      <c r="E235" s="974"/>
      <c r="F235" s="971"/>
      <c r="G235" s="975">
        <f t="shared" ref="G235" si="89">G234-G233</f>
        <v>0</v>
      </c>
      <c r="H235" s="975">
        <f>H234-H233</f>
        <v>0.14130000000000001</v>
      </c>
      <c r="I235" s="830">
        <f t="shared" ref="I235" si="90">I234-I233</f>
        <v>0</v>
      </c>
      <c r="J235" s="830">
        <f>J234-J233</f>
        <v>63.684199999999997</v>
      </c>
      <c r="K235" s="900">
        <f t="shared" ref="K235:N235" si="91">K234-K233</f>
        <v>0</v>
      </c>
      <c r="L235" s="900">
        <f t="shared" si="91"/>
        <v>0</v>
      </c>
      <c r="M235" s="900">
        <f t="shared" si="91"/>
        <v>0</v>
      </c>
      <c r="N235" s="900">
        <f t="shared" si="91"/>
        <v>0</v>
      </c>
      <c r="O235" s="830">
        <f>O234-O233</f>
        <v>9</v>
      </c>
      <c r="P235" s="830">
        <f>P234-P233</f>
        <v>1.69</v>
      </c>
      <c r="Q235" s="830">
        <f>Q234-Q233</f>
        <v>1.35</v>
      </c>
      <c r="R235" s="830"/>
      <c r="S235" s="830">
        <f>S234-S233</f>
        <v>0.34</v>
      </c>
      <c r="T235" s="830"/>
      <c r="U235"/>
      <c r="V235"/>
      <c r="W235"/>
      <c r="X235"/>
      <c r="Y235"/>
      <c r="Z235"/>
      <c r="AA235"/>
      <c r="AB235"/>
      <c r="AC235"/>
      <c r="AD235"/>
      <c r="AE235"/>
      <c r="AF235"/>
      <c r="AG235"/>
      <c r="AH235"/>
      <c r="AI235"/>
      <c r="AJ235"/>
      <c r="AK235"/>
    </row>
    <row r="236" spans="1:37" s="65" customFormat="1" ht="15.75" x14ac:dyDescent="0.25">
      <c r="A236" s="950"/>
      <c r="B236" s="683"/>
      <c r="C236" s="950"/>
      <c r="D236" s="950"/>
      <c r="E236" s="950"/>
      <c r="F236" s="950"/>
      <c r="G236" s="985"/>
      <c r="H236" s="985"/>
      <c r="I236" s="985"/>
      <c r="J236" s="985"/>
      <c r="K236" s="950"/>
      <c r="L236" s="950"/>
      <c r="M236" s="950"/>
      <c r="N236" s="950"/>
      <c r="O236" s="985"/>
      <c r="P236" s="985"/>
      <c r="Q236" s="985"/>
      <c r="R236" s="985"/>
      <c r="S236" s="985"/>
      <c r="T236" s="985"/>
      <c r="U236"/>
      <c r="V236"/>
      <c r="W236"/>
      <c r="X236"/>
      <c r="Y236"/>
      <c r="Z236"/>
      <c r="AA236"/>
      <c r="AB236"/>
      <c r="AC236"/>
      <c r="AD236"/>
      <c r="AE236"/>
      <c r="AF236"/>
      <c r="AG236"/>
      <c r="AH236"/>
      <c r="AI236"/>
      <c r="AJ236"/>
      <c r="AK236"/>
    </row>
    <row r="237" spans="1:37" s="65" customFormat="1" ht="15.75" x14ac:dyDescent="0.25">
      <c r="A237" s="951"/>
      <c r="B237" s="879" t="s">
        <v>420</v>
      </c>
      <c r="C237" s="683"/>
      <c r="D237" s="683"/>
      <c r="E237" s="683"/>
      <c r="F237" s="683"/>
      <c r="G237" s="683"/>
      <c r="H237" s="683"/>
      <c r="I237" s="683"/>
      <c r="J237" s="952"/>
      <c r="K237" s="683"/>
      <c r="L237" s="683"/>
      <c r="M237" s="683"/>
      <c r="N237" s="950"/>
      <c r="O237" s="683"/>
      <c r="P237" s="683"/>
      <c r="Q237" s="683"/>
      <c r="R237" s="911"/>
      <c r="S237" s="683"/>
      <c r="T237" s="912"/>
      <c r="U237"/>
      <c r="V237"/>
      <c r="W237"/>
      <c r="X237"/>
      <c r="Y237"/>
      <c r="Z237"/>
      <c r="AA237"/>
      <c r="AB237"/>
      <c r="AC237"/>
      <c r="AD237"/>
      <c r="AE237"/>
      <c r="AF237"/>
      <c r="AG237"/>
      <c r="AH237"/>
      <c r="AI237"/>
      <c r="AJ237"/>
      <c r="AK237"/>
    </row>
    <row r="238" spans="1:37" s="65" customFormat="1" ht="15.75" x14ac:dyDescent="0.25">
      <c r="A238" s="977" t="s">
        <v>312</v>
      </c>
      <c r="B238" s="955"/>
      <c r="C238" s="956"/>
      <c r="D238" s="957" t="s">
        <v>19</v>
      </c>
      <c r="E238" s="958" t="s">
        <v>59</v>
      </c>
      <c r="F238" s="957" t="s">
        <v>27</v>
      </c>
      <c r="G238" s="959" t="s">
        <v>35</v>
      </c>
      <c r="H238" s="960" t="s">
        <v>36</v>
      </c>
      <c r="I238" s="960" t="s">
        <v>35</v>
      </c>
      <c r="J238" s="959" t="s">
        <v>36</v>
      </c>
      <c r="K238" s="959" t="s">
        <v>39</v>
      </c>
      <c r="L238" s="959" t="s">
        <v>40</v>
      </c>
      <c r="M238" s="959" t="s">
        <v>42</v>
      </c>
      <c r="N238" s="1056" t="s">
        <v>2</v>
      </c>
      <c r="O238" s="959" t="s">
        <v>180</v>
      </c>
      <c r="P238" s="961" t="s">
        <v>313</v>
      </c>
      <c r="Q238" s="961" t="s">
        <v>43</v>
      </c>
      <c r="R238" s="962"/>
      <c r="S238" s="1196" t="s">
        <v>44</v>
      </c>
      <c r="T238" s="1197"/>
      <c r="U238"/>
      <c r="V238"/>
      <c r="W238"/>
      <c r="X238"/>
      <c r="Y238"/>
      <c r="Z238"/>
      <c r="AA238"/>
      <c r="AB238"/>
      <c r="AC238"/>
      <c r="AD238"/>
      <c r="AE238"/>
      <c r="AF238"/>
      <c r="AG238"/>
      <c r="AH238"/>
      <c r="AI238"/>
      <c r="AJ238"/>
      <c r="AK238"/>
    </row>
    <row r="239" spans="1:37" s="1" customFormat="1" ht="15.75" x14ac:dyDescent="0.25">
      <c r="A239" s="963" t="s">
        <v>28</v>
      </c>
      <c r="B239" s="978" t="s">
        <v>412</v>
      </c>
      <c r="C239" s="979" t="s">
        <v>31</v>
      </c>
      <c r="D239" s="980" t="s">
        <v>30</v>
      </c>
      <c r="E239" s="980" t="s">
        <v>101</v>
      </c>
      <c r="F239" s="979" t="s">
        <v>37</v>
      </c>
      <c r="G239" s="913"/>
      <c r="H239" s="914"/>
      <c r="I239" s="915"/>
      <c r="J239" s="916"/>
      <c r="K239" s="367"/>
      <c r="L239" s="367"/>
      <c r="M239" s="367"/>
      <c r="N239" s="512"/>
      <c r="O239" s="589">
        <f>ROUND(G239*I239,2)+ROUND(H239*J239,2)-K239-L239-M239-N239</f>
        <v>0</v>
      </c>
      <c r="P239" s="253">
        <f>ROUND(18.75%*O239,2)</f>
        <v>0</v>
      </c>
      <c r="Q239" s="253">
        <f>ROUND($O239*R239,2)</f>
        <v>0</v>
      </c>
      <c r="R239" s="590">
        <v>0.15</v>
      </c>
      <c r="S239" s="253">
        <f>ROUND($O239*T239,2)</f>
        <v>0</v>
      </c>
      <c r="T239" s="591">
        <v>3.7499999999999999E-2</v>
      </c>
      <c r="U239"/>
      <c r="V239"/>
      <c r="W239"/>
      <c r="X239"/>
      <c r="Y239"/>
      <c r="Z239"/>
      <c r="AA239"/>
      <c r="AB239"/>
      <c r="AC239"/>
      <c r="AD239"/>
      <c r="AE239"/>
      <c r="AF239"/>
      <c r="AG239"/>
      <c r="AH239"/>
      <c r="AI239"/>
      <c r="AJ239"/>
      <c r="AK239"/>
    </row>
    <row r="240" spans="1:37" s="65" customFormat="1" ht="16.350000000000001" customHeight="1" x14ac:dyDescent="0.25">
      <c r="A240" s="967" t="s">
        <v>28</v>
      </c>
      <c r="B240" s="981" t="str">
        <f>B239</f>
        <v>Z-69 -  CRUDO</v>
      </c>
      <c r="C240" s="965" t="s">
        <v>31</v>
      </c>
      <c r="D240" s="970" t="s">
        <v>186</v>
      </c>
      <c r="E240" s="970"/>
      <c r="F240" s="969" t="str">
        <f>F239</f>
        <v>Bls</v>
      </c>
      <c r="G240" s="936">
        <f>G239</f>
        <v>0</v>
      </c>
      <c r="H240" s="1104">
        <v>2.4899999999999999E-2</v>
      </c>
      <c r="I240" s="588"/>
      <c r="J240" s="1079">
        <v>63.918999999999997</v>
      </c>
      <c r="K240" s="557"/>
      <c r="L240" s="557"/>
      <c r="M240" s="934"/>
      <c r="N240" s="934"/>
      <c r="O240" s="934">
        <f>ROUND(G240*I240,2)+ROUND(H240*J240,2)-K240-L240-M240-N240</f>
        <v>1.59</v>
      </c>
      <c r="P240" s="557">
        <f>ROUND(18.75%*O240,2)</f>
        <v>0.3</v>
      </c>
      <c r="Q240" s="557">
        <f>ROUND($O240*R240,2)</f>
        <v>0.24</v>
      </c>
      <c r="R240" s="982">
        <v>0.15</v>
      </c>
      <c r="S240" s="557">
        <f>ROUND($O240*T240,2)</f>
        <v>0.06</v>
      </c>
      <c r="T240" s="983">
        <v>3.7499999999999999E-2</v>
      </c>
      <c r="U240"/>
      <c r="V240"/>
      <c r="W240"/>
      <c r="X240"/>
      <c r="Y240"/>
      <c r="Z240"/>
      <c r="AA240"/>
      <c r="AB240"/>
      <c r="AC240"/>
      <c r="AD240"/>
      <c r="AE240"/>
      <c r="AF240"/>
      <c r="AG240"/>
      <c r="AH240"/>
      <c r="AI240"/>
      <c r="AJ240"/>
      <c r="AK240"/>
    </row>
    <row r="241" spans="1:37" s="65" customFormat="1" ht="15.75" x14ac:dyDescent="0.25">
      <c r="A241" s="971"/>
      <c r="B241" s="972" t="s">
        <v>181</v>
      </c>
      <c r="C241" s="973"/>
      <c r="D241" s="974"/>
      <c r="E241" s="974"/>
      <c r="F241" s="971"/>
      <c r="G241" s="975">
        <f t="shared" ref="G241" si="92">G240-G239</f>
        <v>0</v>
      </c>
      <c r="H241" s="975">
        <f>H240-H239</f>
        <v>2.4899999999999999E-2</v>
      </c>
      <c r="I241" s="830">
        <f t="shared" ref="I241" si="93">I240-I239</f>
        <v>0</v>
      </c>
      <c r="J241" s="830">
        <f>J240-J239</f>
        <v>63.918999999999997</v>
      </c>
      <c r="K241" s="900">
        <f t="shared" ref="K241:N241" si="94">K240-K239</f>
        <v>0</v>
      </c>
      <c r="L241" s="900">
        <f t="shared" si="94"/>
        <v>0</v>
      </c>
      <c r="M241" s="900">
        <f t="shared" si="94"/>
        <v>0</v>
      </c>
      <c r="N241" s="900">
        <f t="shared" si="94"/>
        <v>0</v>
      </c>
      <c r="O241" s="830">
        <f>O240-O239</f>
        <v>1.59</v>
      </c>
      <c r="P241" s="830">
        <f>P240-P239</f>
        <v>0.3</v>
      </c>
      <c r="Q241" s="830">
        <f>Q240-Q239</f>
        <v>0.24</v>
      </c>
      <c r="R241" s="830"/>
      <c r="S241" s="830">
        <f>S240-S239</f>
        <v>0.06</v>
      </c>
      <c r="T241" s="830"/>
      <c r="U241"/>
      <c r="V241"/>
      <c r="W241"/>
      <c r="X241"/>
      <c r="Y241"/>
      <c r="Z241"/>
      <c r="AA241"/>
      <c r="AB241"/>
      <c r="AC241"/>
      <c r="AD241"/>
      <c r="AE241"/>
      <c r="AF241"/>
      <c r="AG241"/>
      <c r="AH241"/>
      <c r="AI241"/>
      <c r="AJ241"/>
      <c r="AK241"/>
    </row>
    <row r="242" spans="1:37" ht="15.75" x14ac:dyDescent="0.2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row>
    <row r="243" spans="1:37" s="65" customFormat="1" ht="15.75" x14ac:dyDescent="0.25">
      <c r="A243"/>
      <c r="B243"/>
      <c r="C243"/>
      <c r="D243"/>
      <c r="E243"/>
      <c r="F243"/>
      <c r="G243"/>
      <c r="H243"/>
      <c r="I243"/>
      <c r="J243"/>
      <c r="K243"/>
      <c r="L243"/>
      <c r="M243"/>
      <c r="N243" s="418" t="s">
        <v>235</v>
      </c>
      <c r="O243" s="65">
        <f>O163+O157+O145+O139+O133+O127+O121+O115+O109+O103+O91+O85+O79+O175+O169+O151+O97+O241+O235+O229+O223+O217+O211+O205+O199+O193+O187+O181</f>
        <v>2326412.5328843361</v>
      </c>
      <c r="P243" s="65">
        <f t="shared" ref="P243:Q243" si="95">P163+P157+P145+P139+P133+P127+P121+P115+P109+P103+P91+P85+P79+P175+P169+P151+P97+P241+P235+P229+P223+P217+P211+P205+P199+P193+P187+P181</f>
        <v>1472820.1945209978</v>
      </c>
      <c r="Q243" s="65">
        <f t="shared" si="95"/>
        <v>734760.32999999903</v>
      </c>
      <c r="S243" s="65">
        <f>+S175+S169+S163+S157+S151+S145+S139+S133+S127+S241+S235+S229+S223+S217+S211+S205+S199+S193+S187+S181</f>
        <v>-1099.8200000000027</v>
      </c>
      <c r="T243" s="1"/>
      <c r="U243"/>
      <c r="V243"/>
      <c r="W243"/>
      <c r="X243"/>
      <c r="Y243"/>
      <c r="Z243"/>
      <c r="AA243"/>
      <c r="AB243"/>
      <c r="AC243"/>
      <c r="AD243"/>
      <c r="AE243"/>
      <c r="AF243"/>
      <c r="AG243"/>
      <c r="AH243"/>
      <c r="AI243"/>
      <c r="AJ243"/>
      <c r="AK243"/>
    </row>
    <row r="244" spans="1:37" ht="15.75" x14ac:dyDescent="0.2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row>
    <row r="245" spans="1:37" ht="15.75" x14ac:dyDescent="0.2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row>
    <row r="246" spans="1:37" ht="15.75" x14ac:dyDescent="0.25">
      <c r="A246"/>
      <c r="B246"/>
      <c r="C246"/>
      <c r="D246"/>
      <c r="E246"/>
      <c r="F246"/>
      <c r="G246"/>
      <c r="H246"/>
      <c r="I246"/>
      <c r="J246"/>
      <c r="K246"/>
      <c r="L246"/>
      <c r="M246"/>
      <c r="N246" s="1080" t="str">
        <f>+B77</f>
        <v xml:space="preserve">57 Gas    </v>
      </c>
      <c r="O246" s="498">
        <f>+O79</f>
        <v>-2482487.8274503946</v>
      </c>
      <c r="P246" s="498">
        <f>+P79</f>
        <v>-274304.27177300025</v>
      </c>
      <c r="Q246" s="498">
        <f>+Q79</f>
        <v>-137152.14000000013</v>
      </c>
      <c r="R246"/>
      <c r="S246"/>
      <c r="T246"/>
      <c r="U246"/>
      <c r="V246"/>
      <c r="W246"/>
      <c r="X246"/>
      <c r="Y246"/>
      <c r="Z246"/>
      <c r="AA246"/>
      <c r="AB246"/>
      <c r="AC246"/>
      <c r="AD246"/>
      <c r="AE246"/>
      <c r="AF246"/>
      <c r="AG246"/>
      <c r="AH246"/>
      <c r="AI246"/>
      <c r="AJ246"/>
    </row>
    <row r="247" spans="1:37" ht="15.75" x14ac:dyDescent="0.25">
      <c r="A247"/>
      <c r="B247"/>
      <c r="C247"/>
      <c r="D247"/>
      <c r="E247"/>
      <c r="F247"/>
      <c r="G247"/>
      <c r="H247"/>
      <c r="I247"/>
      <c r="J247"/>
      <c r="K247"/>
      <c r="L247"/>
      <c r="M247"/>
      <c r="N247" s="1080" t="str">
        <f>+B83</f>
        <v xml:space="preserve">57 Lgn    </v>
      </c>
      <c r="O247" s="498">
        <f>+O85</f>
        <v>160692.07697873935</v>
      </c>
      <c r="P247" s="498">
        <f>+P85</f>
        <v>10708.816293999902</v>
      </c>
      <c r="Q247" s="498">
        <f>+Q85</f>
        <v>5354.4099999999744</v>
      </c>
      <c r="R247"/>
      <c r="S247"/>
      <c r="T247"/>
      <c r="U247"/>
      <c r="V247"/>
      <c r="W247"/>
      <c r="X247"/>
      <c r="Y247"/>
      <c r="Z247"/>
      <c r="AA247"/>
      <c r="AB247"/>
      <c r="AC247"/>
      <c r="AD247"/>
      <c r="AE247"/>
      <c r="AF247"/>
      <c r="AG247"/>
      <c r="AH247"/>
      <c r="AI247"/>
      <c r="AJ247"/>
    </row>
    <row r="248" spans="1:37" ht="15.75" x14ac:dyDescent="0.25">
      <c r="A248"/>
      <c r="B248"/>
      <c r="C248"/>
      <c r="D248"/>
      <c r="E248"/>
      <c r="F248"/>
      <c r="G248"/>
      <c r="H248"/>
      <c r="I248"/>
      <c r="J248"/>
      <c r="K248"/>
      <c r="L248"/>
      <c r="M248"/>
      <c r="N248" s="1080" t="str">
        <f>+B89</f>
        <v xml:space="preserve">88 Gas    </v>
      </c>
      <c r="O248" s="498">
        <f>+O91+O97</f>
        <v>4602573.5799999908</v>
      </c>
      <c r="P248" s="498">
        <f>+P91+P97</f>
        <v>1713998.3999999985</v>
      </c>
      <c r="Q248" s="498">
        <f>+Q91+Q97</f>
        <v>856999.19999999925</v>
      </c>
      <c r="R248"/>
      <c r="S248"/>
      <c r="T248"/>
      <c r="U248"/>
      <c r="V248"/>
      <c r="W248"/>
      <c r="X248"/>
      <c r="Y248"/>
      <c r="Z248"/>
      <c r="AA248"/>
      <c r="AB248"/>
      <c r="AC248"/>
      <c r="AD248"/>
      <c r="AE248"/>
      <c r="AF248"/>
      <c r="AG248"/>
      <c r="AH248"/>
      <c r="AI248"/>
      <c r="AJ248"/>
    </row>
    <row r="249" spans="1:37" ht="15.75" x14ac:dyDescent="0.25">
      <c r="A249"/>
      <c r="B249"/>
      <c r="C249"/>
      <c r="D249"/>
      <c r="E249"/>
      <c r="F249"/>
      <c r="G249"/>
      <c r="H249"/>
      <c r="I249"/>
      <c r="J249"/>
      <c r="K249"/>
      <c r="L249"/>
      <c r="M249"/>
      <c r="N249" s="1080" t="str">
        <f>+B101</f>
        <v>88 Gas Planta Pisco</v>
      </c>
      <c r="O249" s="498">
        <f>+O103+O109</f>
        <v>42866.27335600002</v>
      </c>
      <c r="P249" s="498">
        <f>+P103+P109</f>
        <v>15963.399999999994</v>
      </c>
      <c r="Q249" s="498">
        <f>+Q103+Q109</f>
        <v>7981.6899999999951</v>
      </c>
      <c r="R249"/>
      <c r="S249"/>
      <c r="T249"/>
      <c r="U249"/>
      <c r="V249"/>
      <c r="W249"/>
      <c r="X249"/>
      <c r="Y249"/>
      <c r="Z249"/>
      <c r="AA249"/>
      <c r="AB249"/>
      <c r="AC249"/>
      <c r="AD249"/>
      <c r="AE249"/>
      <c r="AF249"/>
      <c r="AG249"/>
      <c r="AH249"/>
      <c r="AI249"/>
      <c r="AJ249"/>
    </row>
    <row r="250" spans="1:37" ht="15.75" x14ac:dyDescent="0.25">
      <c r="A250"/>
      <c r="B250"/>
      <c r="C250"/>
      <c r="D250"/>
      <c r="E250"/>
      <c r="F250"/>
      <c r="G250"/>
      <c r="H250"/>
      <c r="I250"/>
      <c r="J250"/>
      <c r="K250"/>
      <c r="L250"/>
      <c r="M250" s="1030"/>
      <c r="N250" s="1081" t="str">
        <f>+B113</f>
        <v>88 Gas P.Pisco Lt 56</v>
      </c>
      <c r="O250" s="1029">
        <f>+O115+O121</f>
        <v>32097.200000000012</v>
      </c>
      <c r="P250" s="1029">
        <f>+P115+P121</f>
        <v>11952.989999999998</v>
      </c>
      <c r="Q250" s="1029">
        <f>+Q115+Q121</f>
        <v>5976.489999999998</v>
      </c>
      <c r="R250" s="1030"/>
      <c r="S250" s="1030"/>
      <c r="T250"/>
      <c r="U250"/>
      <c r="V250"/>
      <c r="W250"/>
      <c r="X250"/>
      <c r="Y250"/>
      <c r="Z250"/>
      <c r="AA250"/>
      <c r="AB250"/>
      <c r="AC250"/>
      <c r="AD250"/>
      <c r="AE250"/>
      <c r="AF250"/>
      <c r="AG250"/>
      <c r="AH250"/>
      <c r="AI250"/>
      <c r="AJ250"/>
    </row>
    <row r="251" spans="1:37" ht="15.75" x14ac:dyDescent="0.25">
      <c r="A251"/>
      <c r="B251"/>
      <c r="C251"/>
      <c r="D251"/>
      <c r="E251"/>
      <c r="F251"/>
      <c r="G251"/>
      <c r="H251"/>
      <c r="I251"/>
      <c r="J251"/>
      <c r="K251"/>
      <c r="L251"/>
      <c r="M251"/>
      <c r="N251"/>
      <c r="O251" s="498">
        <f>+SUM(O246:O250)</f>
        <v>2355741.3028843356</v>
      </c>
      <c r="P251" s="498">
        <f t="shared" ref="P251:Q251" si="96">+SUM(P246:P250)</f>
        <v>1478319.3345209982</v>
      </c>
      <c r="Q251" s="498">
        <f t="shared" si="96"/>
        <v>739159.64999999898</v>
      </c>
      <c r="R251"/>
      <c r="S251"/>
      <c r="T251"/>
      <c r="U251"/>
      <c r="V251"/>
      <c r="W251"/>
      <c r="X251"/>
      <c r="Y251"/>
      <c r="Z251"/>
      <c r="AA251"/>
      <c r="AB251"/>
      <c r="AC251"/>
      <c r="AD251"/>
      <c r="AE251"/>
      <c r="AF251"/>
      <c r="AG251"/>
      <c r="AH251"/>
      <c r="AI251"/>
      <c r="AJ251"/>
    </row>
    <row r="252" spans="1:37" ht="15.75" x14ac:dyDescent="0.25">
      <c r="A252"/>
      <c r="B252"/>
      <c r="C252"/>
      <c r="D252"/>
      <c r="E252"/>
      <c r="F252"/>
      <c r="G252"/>
      <c r="H252"/>
      <c r="I252"/>
      <c r="J252"/>
      <c r="K252"/>
      <c r="L252"/>
      <c r="M252"/>
      <c r="N252"/>
      <c r="O252" s="498"/>
      <c r="P252" s="498"/>
      <c r="Q252" s="498"/>
      <c r="R252"/>
      <c r="S252"/>
      <c r="T252"/>
      <c r="U252"/>
      <c r="V252"/>
      <c r="W252"/>
      <c r="X252"/>
      <c r="Y252"/>
      <c r="Z252"/>
      <c r="AA252"/>
      <c r="AB252"/>
      <c r="AC252"/>
      <c r="AD252"/>
      <c r="AE252"/>
      <c r="AF252"/>
      <c r="AG252"/>
      <c r="AH252"/>
      <c r="AI252"/>
      <c r="AJ252"/>
    </row>
    <row r="253" spans="1:37" ht="15.75" x14ac:dyDescent="0.25">
      <c r="A253"/>
      <c r="B253"/>
      <c r="C253"/>
      <c r="D253"/>
      <c r="E253"/>
      <c r="F253"/>
      <c r="G253"/>
      <c r="H253"/>
      <c r="I253"/>
      <c r="J253"/>
      <c r="K253"/>
      <c r="L253"/>
      <c r="M253"/>
      <c r="N253" t="str">
        <f>+B125</f>
        <v>I Gas</v>
      </c>
      <c r="O253" s="498">
        <f>+O127</f>
        <v>-2423.2000000000116</v>
      </c>
      <c r="P253" s="498">
        <f>+P127</f>
        <v>-454.34999999999854</v>
      </c>
      <c r="Q253" s="498">
        <f>+Q127</f>
        <v>-363.47999999999956</v>
      </c>
      <c r="R253" s="498"/>
      <c r="S253" s="498">
        <f>+S127</f>
        <v>-90.869999999999891</v>
      </c>
      <c r="T253"/>
      <c r="U253"/>
      <c r="V253"/>
      <c r="W253"/>
      <c r="X253"/>
      <c r="Y253"/>
      <c r="Z253"/>
      <c r="AA253"/>
      <c r="AB253"/>
      <c r="AC253"/>
      <c r="AD253"/>
      <c r="AE253"/>
      <c r="AF253"/>
      <c r="AG253"/>
      <c r="AH253"/>
      <c r="AI253"/>
      <c r="AJ253"/>
    </row>
    <row r="254" spans="1:37" ht="15.75" x14ac:dyDescent="0.25">
      <c r="A254"/>
      <c r="B254"/>
      <c r="C254"/>
      <c r="D254"/>
      <c r="E254"/>
      <c r="F254"/>
      <c r="G254"/>
      <c r="H254"/>
      <c r="I254"/>
      <c r="J254"/>
      <c r="K254"/>
      <c r="L254"/>
      <c r="M254"/>
      <c r="N254" t="str">
        <f>+B131</f>
        <v>III Gas</v>
      </c>
      <c r="O254" s="498">
        <f>+O133</f>
        <v>8074.5600000000559</v>
      </c>
      <c r="P254" s="498">
        <f>+P133</f>
        <v>1513.9799999999959</v>
      </c>
      <c r="Q254" s="498">
        <f>+Q133</f>
        <v>1211.1900000000023</v>
      </c>
      <c r="R254" s="498"/>
      <c r="S254" s="498">
        <f>+S133</f>
        <v>302.79999999999927</v>
      </c>
      <c r="T254"/>
      <c r="U254"/>
      <c r="V254"/>
      <c r="W254"/>
      <c r="X254"/>
      <c r="Y254"/>
      <c r="Z254"/>
      <c r="AA254"/>
      <c r="AB254"/>
      <c r="AC254"/>
      <c r="AD254"/>
      <c r="AE254"/>
      <c r="AF254"/>
      <c r="AG254"/>
      <c r="AH254"/>
      <c r="AI254"/>
      <c r="AJ254"/>
    </row>
    <row r="255" spans="1:37" ht="15.75" x14ac:dyDescent="0.25">
      <c r="A255"/>
      <c r="B255"/>
      <c r="C255"/>
      <c r="D255"/>
      <c r="E255"/>
      <c r="F255"/>
      <c r="G255"/>
      <c r="H255"/>
      <c r="I255"/>
      <c r="J255"/>
      <c r="K255"/>
      <c r="L255"/>
      <c r="M255"/>
      <c r="N255" t="str">
        <f>+B137</f>
        <v>IV Gas</v>
      </c>
      <c r="O255" s="498">
        <f>+O139</f>
        <v>-10100.270000000019</v>
      </c>
      <c r="P255" s="498">
        <f>+P139</f>
        <v>-1893.7999999999884</v>
      </c>
      <c r="Q255" s="498">
        <f>+Q139</f>
        <v>-1515.0400000000009</v>
      </c>
      <c r="R255" s="498"/>
      <c r="S255" s="498">
        <f>+S139</f>
        <v>-378.76000000000022</v>
      </c>
      <c r="T255"/>
      <c r="U255"/>
      <c r="V255"/>
      <c r="W255"/>
      <c r="X255"/>
      <c r="Y255"/>
      <c r="Z255"/>
      <c r="AA255"/>
      <c r="AB255"/>
      <c r="AC255"/>
      <c r="AD255"/>
      <c r="AE255"/>
      <c r="AF255"/>
      <c r="AG255"/>
      <c r="AH255"/>
      <c r="AI255"/>
      <c r="AJ255"/>
    </row>
    <row r="256" spans="1:37" ht="15.75" x14ac:dyDescent="0.25">
      <c r="A256"/>
      <c r="B256"/>
      <c r="C256"/>
      <c r="D256"/>
      <c r="E256"/>
      <c r="F256"/>
      <c r="G256"/>
      <c r="H256"/>
      <c r="I256"/>
      <c r="J256"/>
      <c r="K256"/>
      <c r="L256"/>
      <c r="M256"/>
      <c r="N256" t="str">
        <f>+B143</f>
        <v>VI Gas</v>
      </c>
      <c r="O256" s="498">
        <f>+O145</f>
        <v>-1868.570000000007</v>
      </c>
      <c r="P256" s="498">
        <f>+P145</f>
        <v>-350.34999999999854</v>
      </c>
      <c r="Q256" s="498">
        <f>+Q145</f>
        <v>-280.29000000000087</v>
      </c>
      <c r="R256" s="498"/>
      <c r="S256" s="498">
        <f>+S145</f>
        <v>-70.069999999999709</v>
      </c>
      <c r="T256"/>
      <c r="U256"/>
      <c r="V256"/>
      <c r="W256"/>
      <c r="X256"/>
      <c r="Y256"/>
      <c r="Z256"/>
      <c r="AA256"/>
      <c r="AB256"/>
      <c r="AC256"/>
      <c r="AD256"/>
      <c r="AE256"/>
      <c r="AF256"/>
      <c r="AG256"/>
      <c r="AH256"/>
      <c r="AI256"/>
      <c r="AJ256"/>
    </row>
    <row r="257" spans="1:37" ht="15.75" x14ac:dyDescent="0.25">
      <c r="A257"/>
      <c r="B257"/>
      <c r="C257"/>
      <c r="D257"/>
      <c r="E257"/>
      <c r="F257"/>
      <c r="G257"/>
      <c r="H257"/>
      <c r="I257"/>
      <c r="J257"/>
      <c r="K257"/>
      <c r="L257"/>
      <c r="M257"/>
      <c r="N257" s="498" t="str">
        <f>+B149</f>
        <v>XIII Gas - Paita 2</v>
      </c>
      <c r="O257" s="498">
        <f>+O151</f>
        <v>21582.950000000012</v>
      </c>
      <c r="P257" s="498">
        <f t="shared" ref="P257:Q257" si="97">+P151</f>
        <v>4046.8000000000029</v>
      </c>
      <c r="Q257" s="498">
        <f t="shared" si="97"/>
        <v>3237.4399999999987</v>
      </c>
      <c r="R257" s="498"/>
      <c r="S257" s="498">
        <f>+S151</f>
        <v>809.35999999999967</v>
      </c>
      <c r="T257"/>
      <c r="U257"/>
      <c r="V257"/>
      <c r="W257"/>
      <c r="X257"/>
      <c r="Y257"/>
      <c r="Z257"/>
      <c r="AA257"/>
      <c r="AB257"/>
      <c r="AC257"/>
      <c r="AD257"/>
      <c r="AE257"/>
      <c r="AF257"/>
      <c r="AG257"/>
      <c r="AH257"/>
      <c r="AI257"/>
      <c r="AJ257"/>
    </row>
    <row r="258" spans="1:37" ht="15.75" x14ac:dyDescent="0.25">
      <c r="A258"/>
      <c r="B258"/>
      <c r="C258"/>
      <c r="D258"/>
      <c r="E258"/>
      <c r="F258"/>
      <c r="G258"/>
      <c r="H258"/>
      <c r="I258"/>
      <c r="J258"/>
      <c r="K258"/>
      <c r="L258"/>
      <c r="M258"/>
      <c r="N258" s="498" t="str">
        <f>+B167</f>
        <v>XIII Petroleo</v>
      </c>
      <c r="O258" s="498">
        <f>+O169</f>
        <v>-37397.630000000121</v>
      </c>
      <c r="P258" s="498">
        <f>+P169</f>
        <v>-7012.0599999999977</v>
      </c>
      <c r="Q258" s="498">
        <f>+Q169</f>
        <v>-5609.6499999999942</v>
      </c>
      <c r="R258" s="498"/>
      <c r="S258" s="498">
        <f>+S169</f>
        <v>-1402.4100000000035</v>
      </c>
      <c r="T258"/>
      <c r="U258"/>
      <c r="V258"/>
      <c r="W258"/>
      <c r="X258"/>
      <c r="Y258"/>
      <c r="Z258"/>
      <c r="AA258"/>
      <c r="AB258"/>
      <c r="AC258"/>
      <c r="AD258"/>
      <c r="AE258"/>
      <c r="AF258"/>
      <c r="AG258"/>
      <c r="AH258"/>
      <c r="AI258"/>
      <c r="AJ258"/>
    </row>
    <row r="259" spans="1:37" ht="15.75" x14ac:dyDescent="0.25">
      <c r="A259"/>
      <c r="B259"/>
      <c r="C259"/>
      <c r="D259"/>
      <c r="E259"/>
      <c r="F259"/>
      <c r="G259"/>
      <c r="H259"/>
      <c r="I259"/>
      <c r="J259"/>
      <c r="K259"/>
      <c r="L259"/>
      <c r="M259"/>
      <c r="N259" s="498" t="str">
        <f>+B155</f>
        <v>Z-69 -  Gas Norp</v>
      </c>
      <c r="O259" s="498">
        <f>+O157</f>
        <v>-56.580000000074506</v>
      </c>
      <c r="P259" s="498">
        <f>+P157</f>
        <v>-10.610000000000582</v>
      </c>
      <c r="Q259" s="498">
        <f>+Q157</f>
        <v>-8.4899999999979627</v>
      </c>
      <c r="R259" s="498"/>
      <c r="S259" s="498">
        <f>+S157</f>
        <v>-2.1199999999989814</v>
      </c>
      <c r="T259"/>
      <c r="U259"/>
      <c r="V259"/>
      <c r="W259"/>
      <c r="X259"/>
      <c r="Y259"/>
      <c r="Z259"/>
      <c r="AA259"/>
      <c r="AB259"/>
      <c r="AC259"/>
      <c r="AD259"/>
      <c r="AE259"/>
      <c r="AF259"/>
      <c r="AG259"/>
      <c r="AH259"/>
      <c r="AI259"/>
      <c r="AJ259"/>
    </row>
    <row r="260" spans="1:37" ht="15.75" x14ac:dyDescent="0.25">
      <c r="A260"/>
      <c r="B260"/>
      <c r="C260"/>
      <c r="D260"/>
      <c r="E260"/>
      <c r="F260"/>
      <c r="G260"/>
      <c r="H260"/>
      <c r="I260"/>
      <c r="J260"/>
      <c r="K260"/>
      <c r="L260"/>
      <c r="M260"/>
      <c r="N260" s="498" t="str">
        <f>+B161</f>
        <v>Z-69 -  Lgn</v>
      </c>
      <c r="O260" s="498">
        <f>+O163</f>
        <v>-200.77000000001863</v>
      </c>
      <c r="P260" s="498">
        <f>+P163</f>
        <v>-37.649999999994179</v>
      </c>
      <c r="Q260" s="498">
        <f>+Q163</f>
        <v>-30.110000000000582</v>
      </c>
      <c r="R260" s="498"/>
      <c r="S260" s="498">
        <f>+S163</f>
        <v>-7.5299999999988358</v>
      </c>
      <c r="T260"/>
      <c r="U260"/>
      <c r="V260"/>
      <c r="W260"/>
      <c r="X260"/>
      <c r="Y260"/>
      <c r="Z260"/>
      <c r="AA260"/>
      <c r="AB260"/>
      <c r="AC260"/>
      <c r="AD260"/>
      <c r="AE260"/>
      <c r="AF260"/>
      <c r="AG260"/>
      <c r="AH260"/>
      <c r="AI260"/>
      <c r="AJ260"/>
    </row>
    <row r="261" spans="1:37" ht="15.75" x14ac:dyDescent="0.25">
      <c r="A261"/>
      <c r="B261"/>
      <c r="C261"/>
      <c r="D261"/>
      <c r="E261"/>
      <c r="F261"/>
      <c r="G261"/>
      <c r="H261"/>
      <c r="I261"/>
      <c r="J261"/>
      <c r="K261"/>
      <c r="L261"/>
      <c r="M261"/>
      <c r="N261" s="498" t="str">
        <f>+B179</f>
        <v>Z-69 -  CRUDO</v>
      </c>
      <c r="O261" s="498">
        <f>+O181+O187+O193+O199+O205+O211+O217+O223+O229+O235+O241</f>
        <v>355.48999999999995</v>
      </c>
      <c r="P261" s="498">
        <f t="shared" ref="P261:S261" si="98">+P181+P187+P193+P199+P205+P211+P217+P223+P229+P235+P241</f>
        <v>66.669999999999987</v>
      </c>
      <c r="Q261" s="498">
        <f t="shared" si="98"/>
        <v>53.32</v>
      </c>
      <c r="R261" s="498"/>
      <c r="S261" s="498">
        <f t="shared" si="98"/>
        <v>13.33</v>
      </c>
      <c r="T261"/>
      <c r="U261"/>
      <c r="V261"/>
      <c r="W261"/>
      <c r="X261"/>
      <c r="Y261"/>
      <c r="Z261"/>
      <c r="AA261"/>
      <c r="AB261"/>
      <c r="AC261"/>
      <c r="AD261"/>
      <c r="AE261"/>
      <c r="AF261"/>
      <c r="AG261"/>
      <c r="AH261"/>
      <c r="AI261"/>
      <c r="AJ261"/>
    </row>
    <row r="262" spans="1:37" ht="15.75" x14ac:dyDescent="0.25">
      <c r="A262"/>
      <c r="B262"/>
      <c r="C262"/>
      <c r="D262"/>
      <c r="E262"/>
      <c r="F262"/>
      <c r="G262"/>
      <c r="H262"/>
      <c r="I262"/>
      <c r="J262"/>
      <c r="K262"/>
      <c r="L262"/>
      <c r="M262"/>
      <c r="N262" s="1029" t="str">
        <f>+B173</f>
        <v>Z-69 -  Gas Pariñas</v>
      </c>
      <c r="O262" s="1029">
        <f>+O175</f>
        <v>-7294.75</v>
      </c>
      <c r="P262" s="1029">
        <f>+P175</f>
        <v>-1367.7700000000041</v>
      </c>
      <c r="Q262" s="1029">
        <f>+Q175</f>
        <v>-1094.2099999999991</v>
      </c>
      <c r="R262" s="1029"/>
      <c r="S262" s="1029">
        <f>+S175</f>
        <v>-273.55000000000018</v>
      </c>
      <c r="T262"/>
      <c r="U262"/>
      <c r="V262"/>
      <c r="W262"/>
      <c r="X262"/>
      <c r="Y262"/>
      <c r="Z262"/>
      <c r="AA262"/>
      <c r="AB262"/>
      <c r="AC262"/>
      <c r="AD262"/>
      <c r="AE262"/>
      <c r="AF262"/>
      <c r="AG262"/>
      <c r="AH262"/>
      <c r="AI262"/>
      <c r="AJ262"/>
    </row>
    <row r="263" spans="1:37" ht="15.75" x14ac:dyDescent="0.25">
      <c r="A263"/>
      <c r="B263"/>
      <c r="C263"/>
      <c r="D263"/>
      <c r="E263"/>
      <c r="F263"/>
      <c r="G263"/>
      <c r="H263"/>
      <c r="I263"/>
      <c r="J263"/>
      <c r="K263"/>
      <c r="L263"/>
      <c r="M263"/>
      <c r="N263"/>
      <c r="O263" s="498">
        <f>+SUM(O253:O262)</f>
        <v>-29328.770000000182</v>
      </c>
      <c r="P263" s="498">
        <f t="shared" ref="P263:S263" si="99">+SUM(P253:P262)</f>
        <v>-5499.139999999983</v>
      </c>
      <c r="Q263" s="498">
        <f t="shared" si="99"/>
        <v>-4399.3199999999924</v>
      </c>
      <c r="R263" s="498"/>
      <c r="S263" s="498">
        <f t="shared" si="99"/>
        <v>-1099.8200000000024</v>
      </c>
      <c r="T263"/>
      <c r="U263"/>
      <c r="V263"/>
      <c r="W263"/>
      <c r="X263"/>
      <c r="Y263"/>
      <c r="Z263"/>
      <c r="AA263"/>
      <c r="AB263"/>
      <c r="AC263"/>
      <c r="AD263"/>
      <c r="AE263"/>
      <c r="AF263"/>
      <c r="AG263"/>
      <c r="AH263"/>
      <c r="AI263"/>
      <c r="AJ263"/>
    </row>
    <row r="264" spans="1:37" ht="15.75" x14ac:dyDescent="0.25">
      <c r="A264"/>
      <c r="B264"/>
      <c r="C264"/>
      <c r="D264"/>
      <c r="E264"/>
      <c r="F264"/>
      <c r="G264"/>
      <c r="H264"/>
      <c r="I264"/>
      <c r="J264"/>
      <c r="K264"/>
      <c r="L264"/>
      <c r="M264"/>
      <c r="N264"/>
      <c r="O264" s="498"/>
      <c r="P264" s="498"/>
      <c r="Q264" s="498"/>
      <c r="R264"/>
      <c r="S264"/>
      <c r="T264"/>
      <c r="U264"/>
      <c r="V264"/>
      <c r="W264"/>
      <c r="X264"/>
      <c r="Y264"/>
      <c r="Z264"/>
      <c r="AA264"/>
      <c r="AB264"/>
      <c r="AC264"/>
      <c r="AD264"/>
      <c r="AE264"/>
      <c r="AF264"/>
      <c r="AG264"/>
      <c r="AH264"/>
      <c r="AI264"/>
      <c r="AJ264"/>
    </row>
    <row r="265" spans="1:37" ht="15.75" x14ac:dyDescent="0.25">
      <c r="A265"/>
      <c r="B265"/>
      <c r="C265"/>
      <c r="D265"/>
      <c r="E265"/>
      <c r="F265"/>
      <c r="G265"/>
      <c r="H265"/>
      <c r="I265"/>
      <c r="J265"/>
      <c r="K265"/>
      <c r="L265"/>
      <c r="M265"/>
      <c r="N265"/>
      <c r="O265" s="498">
        <f>+O263+O251</f>
        <v>2326412.5328843356</v>
      </c>
      <c r="P265" s="498">
        <f t="shared" ref="P265:S265" si="100">+P263+P251</f>
        <v>1472820.1945209983</v>
      </c>
      <c r="Q265" s="498">
        <f t="shared" si="100"/>
        <v>734760.32999999903</v>
      </c>
      <c r="R265" s="498"/>
      <c r="S265" s="498">
        <f t="shared" si="100"/>
        <v>-1099.8200000000024</v>
      </c>
      <c r="T265"/>
      <c r="U265"/>
      <c r="V265"/>
      <c r="W265"/>
      <c r="X265"/>
      <c r="Y265"/>
      <c r="Z265"/>
      <c r="AA265"/>
      <c r="AB265"/>
      <c r="AC265"/>
      <c r="AD265"/>
      <c r="AE265"/>
      <c r="AF265"/>
      <c r="AG265"/>
      <c r="AH265"/>
      <c r="AI265"/>
      <c r="AJ265"/>
    </row>
    <row r="266" spans="1:37" ht="15.75" x14ac:dyDescent="0.25">
      <c r="A266"/>
      <c r="B266"/>
      <c r="C266"/>
      <c r="D266"/>
      <c r="E266"/>
      <c r="F266"/>
      <c r="G266"/>
      <c r="H266"/>
      <c r="I266"/>
      <c r="J266"/>
      <c r="K266"/>
      <c r="L266"/>
      <c r="M266"/>
      <c r="N266"/>
      <c r="O266" s="498"/>
      <c r="P266" s="498"/>
      <c r="Q266" s="498"/>
      <c r="R266"/>
      <c r="S266"/>
      <c r="T266"/>
      <c r="U266"/>
      <c r="V266"/>
      <c r="W266"/>
      <c r="X266"/>
      <c r="Y266"/>
      <c r="Z266"/>
      <c r="AA266"/>
      <c r="AB266"/>
      <c r="AC266"/>
      <c r="AD266"/>
      <c r="AE266"/>
      <c r="AF266"/>
      <c r="AG266"/>
      <c r="AH266"/>
      <c r="AI266"/>
      <c r="AJ266"/>
    </row>
    <row r="267" spans="1:37" ht="15.75" x14ac:dyDescent="0.25">
      <c r="A267"/>
      <c r="B267"/>
      <c r="C267"/>
      <c r="D267"/>
      <c r="E267"/>
      <c r="F267"/>
      <c r="G267"/>
      <c r="H267"/>
      <c r="I267"/>
      <c r="J267"/>
      <c r="K267"/>
      <c r="L267"/>
      <c r="M267"/>
      <c r="N267"/>
      <c r="O267" s="498">
        <f>+O265-O243</f>
        <v>0</v>
      </c>
      <c r="P267" s="498">
        <f t="shared" ref="P267:S267" si="101">+P265-P243</f>
        <v>0</v>
      </c>
      <c r="Q267" s="498">
        <f t="shared" si="101"/>
        <v>0</v>
      </c>
      <c r="R267" s="498"/>
      <c r="S267" s="498">
        <f t="shared" si="101"/>
        <v>0</v>
      </c>
      <c r="T267"/>
      <c r="U267"/>
      <c r="V267"/>
      <c r="W267"/>
      <c r="X267"/>
      <c r="Y267"/>
      <c r="Z267"/>
      <c r="AA267"/>
      <c r="AB267"/>
      <c r="AC267"/>
      <c r="AD267"/>
      <c r="AE267"/>
      <c r="AF267"/>
      <c r="AG267"/>
      <c r="AH267"/>
      <c r="AI267"/>
      <c r="AJ267"/>
    </row>
    <row r="268" spans="1:37" ht="15.75" x14ac:dyDescent="0.2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row>
    <row r="269" spans="1:37" ht="15.75" x14ac:dyDescent="0.2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row>
    <row r="270" spans="1:37" s="65" customFormat="1" ht="16.350000000000001" customHeight="1" x14ac:dyDescent="0.25">
      <c r="A270" s="880" t="s">
        <v>231</v>
      </c>
      <c r="B270" s="596"/>
      <c r="C270" s="596">
        <v>88</v>
      </c>
      <c r="D270" s="596"/>
      <c r="E270" s="596"/>
      <c r="F270" s="596"/>
      <c r="G270" s="677"/>
      <c r="H270" s="677"/>
      <c r="I270" s="677"/>
      <c r="J270" s="677"/>
      <c r="K270" s="677"/>
      <c r="L270" s="596"/>
      <c r="M270" s="596"/>
      <c r="N270" s="950"/>
      <c r="O270" s="596"/>
      <c r="P270" s="596"/>
      <c r="Q270" s="596"/>
      <c r="R270" s="596"/>
      <c r="S270"/>
      <c r="T270"/>
      <c r="U270"/>
      <c r="V270"/>
      <c r="W270"/>
      <c r="X270"/>
      <c r="Y270"/>
      <c r="Z270"/>
      <c r="AA270"/>
      <c r="AB270"/>
      <c r="AC270"/>
      <c r="AD270"/>
      <c r="AE270"/>
      <c r="AF270"/>
      <c r="AG270"/>
      <c r="AH270"/>
      <c r="AI270"/>
      <c r="AJ270"/>
      <c r="AK270"/>
    </row>
    <row r="271" spans="1:37" s="65" customFormat="1" ht="15.75" x14ac:dyDescent="0.25">
      <c r="A271" s="887" t="s">
        <v>228</v>
      </c>
      <c r="B271" s="596"/>
      <c r="C271" s="596"/>
      <c r="D271" s="596"/>
      <c r="E271" s="596"/>
      <c r="F271" s="596"/>
      <c r="G271" s="704" t="s">
        <v>35</v>
      </c>
      <c r="H271" s="705" t="s">
        <v>36</v>
      </c>
      <c r="I271" s="705" t="s">
        <v>35</v>
      </c>
      <c r="J271" s="704" t="s">
        <v>36</v>
      </c>
      <c r="K271" s="704" t="s">
        <v>39</v>
      </c>
      <c r="L271" s="704" t="s">
        <v>40</v>
      </c>
      <c r="M271" s="704" t="s">
        <v>42</v>
      </c>
      <c r="N271" s="1058" t="s">
        <v>2</v>
      </c>
      <c r="O271" s="959" t="s">
        <v>180</v>
      </c>
      <c r="P271" s="1105" t="s">
        <v>163</v>
      </c>
      <c r="Q271" s="1105" t="s">
        <v>184</v>
      </c>
      <c r="R271" s="1096"/>
      <c r="S271"/>
      <c r="T271"/>
      <c r="U271"/>
      <c r="V271"/>
      <c r="W271"/>
      <c r="X271"/>
      <c r="Y271"/>
      <c r="Z271"/>
      <c r="AA271"/>
      <c r="AB271"/>
      <c r="AC271"/>
      <c r="AD271"/>
      <c r="AE271"/>
      <c r="AF271"/>
      <c r="AG271"/>
      <c r="AH271"/>
      <c r="AI271"/>
      <c r="AJ271"/>
      <c r="AK271"/>
    </row>
    <row r="272" spans="1:37" s="65" customFormat="1" ht="15.75" x14ac:dyDescent="0.25">
      <c r="A272" s="888" t="s">
        <v>28</v>
      </c>
      <c r="B272" s="889" t="s">
        <v>159</v>
      </c>
      <c r="C272" s="890" t="s">
        <v>31</v>
      </c>
      <c r="D272" s="890" t="s">
        <v>30</v>
      </c>
      <c r="E272" s="890" t="s">
        <v>158</v>
      </c>
      <c r="F272" s="891" t="s">
        <v>56</v>
      </c>
      <c r="G272" s="253">
        <v>11711074.8254</v>
      </c>
      <c r="H272" s="420">
        <v>12295972.062100001</v>
      </c>
      <c r="I272" s="806">
        <v>2.7549000000000001</v>
      </c>
      <c r="J272" s="764">
        <v>2.7549000000000001</v>
      </c>
      <c r="K272" s="253"/>
      <c r="L272" s="253"/>
      <c r="M272" s="253"/>
      <c r="N272" s="557"/>
      <c r="O272" s="557">
        <f>ROUND(G272*I272+H272*J272,2)</f>
        <v>66137013.469999999</v>
      </c>
      <c r="P272" s="557">
        <f>ROUND(37.24%*O272,2)</f>
        <v>24629423.82</v>
      </c>
      <c r="Q272" s="557">
        <f>ROUND(R272*P272,2)</f>
        <v>12314711.91</v>
      </c>
      <c r="R272" s="893">
        <v>0.5</v>
      </c>
      <c r="S272"/>
      <c r="T272"/>
      <c r="U272"/>
      <c r="V272"/>
      <c r="W272"/>
      <c r="X272"/>
      <c r="Y272"/>
      <c r="Z272"/>
      <c r="AA272"/>
      <c r="AB272"/>
      <c r="AC272"/>
      <c r="AD272"/>
      <c r="AE272"/>
      <c r="AF272"/>
      <c r="AG272"/>
      <c r="AH272"/>
      <c r="AI272"/>
      <c r="AJ272"/>
      <c r="AK272"/>
    </row>
    <row r="273" spans="1:37" s="65" customFormat="1" ht="15.75" x14ac:dyDescent="0.25">
      <c r="A273" s="894" t="s">
        <v>28</v>
      </c>
      <c r="B273" s="456" t="s">
        <v>177</v>
      </c>
      <c r="C273" s="378" t="s">
        <v>31</v>
      </c>
      <c r="D273" s="378" t="s">
        <v>30</v>
      </c>
      <c r="E273" s="378" t="s">
        <v>158</v>
      </c>
      <c r="F273" s="586" t="s">
        <v>56</v>
      </c>
      <c r="G273" s="253">
        <v>30092.288400000001</v>
      </c>
      <c r="H273" s="253">
        <v>30655.457399999999</v>
      </c>
      <c r="I273" s="806">
        <v>3.6046999999999998</v>
      </c>
      <c r="J273" s="728">
        <v>3.6046999999999998</v>
      </c>
      <c r="K273" s="253"/>
      <c r="L273" s="253"/>
      <c r="M273" s="253"/>
      <c r="N273" s="557"/>
      <c r="O273" s="557">
        <f>ROUND(G273*I273+H273*J273,2)</f>
        <v>218977.4</v>
      </c>
      <c r="P273" s="557">
        <f>ROUND(37.24%*O273,2)</f>
        <v>81547.179999999993</v>
      </c>
      <c r="Q273" s="557">
        <f>ROUND(R273*P273,2)</f>
        <v>40773.589999999997</v>
      </c>
      <c r="R273" s="775">
        <v>0.5</v>
      </c>
      <c r="S273"/>
      <c r="T273"/>
      <c r="U273"/>
      <c r="V273"/>
      <c r="W273"/>
      <c r="X273"/>
      <c r="Y273"/>
      <c r="Z273"/>
      <c r="AA273"/>
      <c r="AB273"/>
      <c r="AC273"/>
      <c r="AD273"/>
      <c r="AE273"/>
      <c r="AF273"/>
      <c r="AG273"/>
      <c r="AH273"/>
      <c r="AI273"/>
      <c r="AJ273"/>
      <c r="AK273"/>
    </row>
    <row r="274" spans="1:37" s="65" customFormat="1" ht="16.350000000000001" customHeight="1" x14ac:dyDescent="0.25">
      <c r="A274" s="894" t="s">
        <v>28</v>
      </c>
      <c r="B274" s="456" t="s">
        <v>234</v>
      </c>
      <c r="C274" s="378" t="s">
        <v>31</v>
      </c>
      <c r="D274" s="378" t="s">
        <v>30</v>
      </c>
      <c r="E274" s="378" t="s">
        <v>158</v>
      </c>
      <c r="F274" s="781" t="s">
        <v>56</v>
      </c>
      <c r="G274" s="253">
        <v>21627.41</v>
      </c>
      <c r="H274" s="341">
        <v>21911.89</v>
      </c>
      <c r="I274" s="806">
        <v>3.6046999999999998</v>
      </c>
      <c r="J274" s="728">
        <v>3.6046999999999998</v>
      </c>
      <c r="K274" s="253"/>
      <c r="L274" s="253"/>
      <c r="M274" s="253"/>
      <c r="N274" s="557"/>
      <c r="O274" s="557">
        <f>ROUND(G274*I274+H274*J274,2)</f>
        <v>156946.10999999999</v>
      </c>
      <c r="P274" s="557">
        <f>ROUND(37.24%*O274,2)</f>
        <v>58446.73</v>
      </c>
      <c r="Q274" s="557">
        <f>ROUND(R274*P274,2)</f>
        <v>29223.37</v>
      </c>
      <c r="R274" s="775">
        <v>0.5</v>
      </c>
      <c r="S274"/>
      <c r="T274"/>
      <c r="U274"/>
      <c r="V274"/>
      <c r="W274"/>
      <c r="X274"/>
      <c r="Y274"/>
      <c r="Z274"/>
      <c r="AA274"/>
      <c r="AB274"/>
      <c r="AC274"/>
      <c r="AD274"/>
      <c r="AE274"/>
      <c r="AF274"/>
      <c r="AG274"/>
      <c r="AH274"/>
      <c r="AI274"/>
      <c r="AJ274"/>
      <c r="AK274"/>
    </row>
    <row r="275" spans="1:37" s="65" customFormat="1" ht="15.75" x14ac:dyDescent="0.25">
      <c r="A275" s="898" t="s">
        <v>28</v>
      </c>
      <c r="B275" s="457" t="s">
        <v>178</v>
      </c>
      <c r="C275" s="899" t="s">
        <v>31</v>
      </c>
      <c r="D275" s="899" t="s">
        <v>30</v>
      </c>
      <c r="E275" s="899" t="s">
        <v>158</v>
      </c>
      <c r="F275" s="740" t="s">
        <v>56</v>
      </c>
      <c r="G275" s="424">
        <v>817438.58979999996</v>
      </c>
      <c r="H275" s="424">
        <v>815241.81</v>
      </c>
      <c r="I275" s="907">
        <v>2.8860000000000001</v>
      </c>
      <c r="J275" s="741">
        <v>2.85</v>
      </c>
      <c r="K275" s="424"/>
      <c r="L275" s="424"/>
      <c r="M275" s="424"/>
      <c r="N275" s="895"/>
      <c r="O275" s="895">
        <f>ROUND(G275*I275+H275*J275,2)</f>
        <v>4682566.93</v>
      </c>
      <c r="P275" s="218">
        <f>ROUND(38%*G275*I275,2)+ROUND(38%*H275*J275,2)</f>
        <v>1779375.4300000002</v>
      </c>
      <c r="Q275" s="895">
        <f>ROUND(R275*P275,2)</f>
        <v>889687.72</v>
      </c>
      <c r="R275" s="901">
        <v>0.5</v>
      </c>
      <c r="S275"/>
      <c r="T275"/>
      <c r="U275"/>
      <c r="V275"/>
      <c r="W275"/>
      <c r="X275"/>
      <c r="Y275"/>
      <c r="Z275"/>
      <c r="AA275"/>
      <c r="AB275"/>
      <c r="AC275"/>
      <c r="AD275"/>
      <c r="AE275"/>
      <c r="AF275"/>
      <c r="AG275"/>
      <c r="AH275"/>
      <c r="AI275"/>
      <c r="AJ275"/>
      <c r="AK275"/>
    </row>
    <row r="276" spans="1:37" s="65" customFormat="1" ht="15.75" x14ac:dyDescent="0.25">
      <c r="A276" s="596"/>
      <c r="B276" s="596"/>
      <c r="C276" s="596"/>
      <c r="D276" s="596"/>
      <c r="E276" s="596"/>
      <c r="F276" s="596"/>
      <c r="G276" s="902">
        <f>SUM(G272:G275)</f>
        <v>12580233.113600001</v>
      </c>
      <c r="H276" s="902">
        <f>SUM(H272:H275)</f>
        <v>13163781.219500002</v>
      </c>
      <c r="I276" s="902"/>
      <c r="J276" s="677"/>
      <c r="K276" s="677"/>
      <c r="L276" s="596"/>
      <c r="M276" s="596"/>
      <c r="N276" s="950"/>
      <c r="O276" s="734">
        <f>SUM(O272:O275)</f>
        <v>71195503.909999996</v>
      </c>
      <c r="P276" s="734">
        <f>SUM(P272:P275)</f>
        <v>26548793.16</v>
      </c>
      <c r="Q276" s="734">
        <f>SUM(Q272:Q275)</f>
        <v>13274396.59</v>
      </c>
      <c r="R276" s="596"/>
      <c r="S276"/>
      <c r="T276"/>
      <c r="U276"/>
      <c r="V276"/>
      <c r="W276"/>
      <c r="X276"/>
      <c r="Y276"/>
      <c r="Z276"/>
      <c r="AA276"/>
      <c r="AB276"/>
      <c r="AC276"/>
      <c r="AD276"/>
      <c r="AE276"/>
      <c r="AF276"/>
      <c r="AG276"/>
      <c r="AH276"/>
      <c r="AI276"/>
      <c r="AJ276"/>
      <c r="AK276"/>
    </row>
    <row r="277" spans="1:37" s="65" customFormat="1" ht="15.75" x14ac:dyDescent="0.25">
      <c r="A277" s="596"/>
      <c r="B277" s="596"/>
      <c r="C277" s="596"/>
      <c r="D277" s="596"/>
      <c r="E277" s="596"/>
      <c r="F277" s="596"/>
      <c r="G277" s="677"/>
      <c r="H277" s="677"/>
      <c r="I277" s="677"/>
      <c r="J277" s="677"/>
      <c r="K277" s="677"/>
      <c r="L277" s="596"/>
      <c r="M277" s="596"/>
      <c r="N277" s="950"/>
      <c r="O277" s="596"/>
      <c r="P277" s="861">
        <f>P276/O276</f>
        <v>0.37289985605777842</v>
      </c>
      <c r="Q277" s="596"/>
      <c r="R277" s="596"/>
      <c r="S277"/>
      <c r="T277"/>
      <c r="U277"/>
      <c r="V277"/>
      <c r="W277"/>
      <c r="X277"/>
      <c r="Y277"/>
      <c r="Z277"/>
      <c r="AA277"/>
      <c r="AB277"/>
      <c r="AC277"/>
      <c r="AD277"/>
      <c r="AE277"/>
      <c r="AF277"/>
      <c r="AG277"/>
      <c r="AH277"/>
      <c r="AI277"/>
      <c r="AJ277"/>
      <c r="AK277"/>
    </row>
    <row r="278" spans="1:37" s="65" customFormat="1" ht="15.75" x14ac:dyDescent="0.25">
      <c r="A278" s="880" t="s">
        <v>232</v>
      </c>
      <c r="B278" s="596"/>
      <c r="C278" s="596"/>
      <c r="D278" s="596"/>
      <c r="E278" s="596"/>
      <c r="F278" s="596"/>
      <c r="G278" s="677"/>
      <c r="H278" s="677"/>
      <c r="I278" s="677"/>
      <c r="J278" s="677"/>
      <c r="K278" s="677"/>
      <c r="L278" s="596"/>
      <c r="M278" s="596"/>
      <c r="N278" s="950"/>
      <c r="O278" s="597"/>
      <c r="P278" s="597"/>
      <c r="Q278" s="683"/>
      <c r="R278" s="596"/>
      <c r="S278"/>
      <c r="T278"/>
      <c r="U278"/>
      <c r="V278"/>
      <c r="W278"/>
      <c r="X278"/>
      <c r="Y278"/>
      <c r="Z278"/>
      <c r="AA278"/>
      <c r="AB278"/>
      <c r="AC278"/>
      <c r="AD278"/>
      <c r="AE278"/>
      <c r="AF278"/>
      <c r="AG278"/>
      <c r="AH278"/>
      <c r="AI278"/>
      <c r="AJ278"/>
      <c r="AK278"/>
    </row>
    <row r="279" spans="1:37" s="65" customFormat="1" ht="15.75" x14ac:dyDescent="0.25">
      <c r="A279" s="596"/>
      <c r="B279" s="596"/>
      <c r="C279" s="596"/>
      <c r="D279" s="596"/>
      <c r="E279" s="596"/>
      <c r="F279" s="596"/>
      <c r="G279" s="677"/>
      <c r="H279" s="677"/>
      <c r="I279" s="677"/>
      <c r="J279" s="677"/>
      <c r="K279" s="677"/>
      <c r="L279" s="596"/>
      <c r="M279" s="596"/>
      <c r="N279" s="950"/>
      <c r="O279" s="596"/>
      <c r="P279" s="596"/>
      <c r="Q279" s="596"/>
      <c r="R279" s="596"/>
      <c r="S279"/>
      <c r="T279"/>
      <c r="U279"/>
      <c r="V279"/>
      <c r="W279"/>
      <c r="X279"/>
      <c r="Y279"/>
      <c r="Z279"/>
      <c r="AA279"/>
      <c r="AB279"/>
      <c r="AC279"/>
      <c r="AD279"/>
      <c r="AE279"/>
      <c r="AF279"/>
      <c r="AG279"/>
      <c r="AH279"/>
      <c r="AI279"/>
      <c r="AJ279"/>
      <c r="AK279"/>
    </row>
    <row r="280" spans="1:37" s="65" customFormat="1" ht="16.350000000000001" customHeight="1" x14ac:dyDescent="0.25">
      <c r="A280" s="888" t="s">
        <v>28</v>
      </c>
      <c r="B280" s="889" t="s">
        <v>159</v>
      </c>
      <c r="C280" s="890" t="s">
        <v>31</v>
      </c>
      <c r="D280" s="890" t="s">
        <v>30</v>
      </c>
      <c r="E280" s="890" t="s">
        <v>158</v>
      </c>
      <c r="F280" s="891" t="s">
        <v>56</v>
      </c>
      <c r="G280" s="420">
        <f>G272</f>
        <v>11711074.8254</v>
      </c>
      <c r="H280" s="420"/>
      <c r="I280" s="903">
        <f>I272</f>
        <v>2.7549000000000001</v>
      </c>
      <c r="J280" s="764"/>
      <c r="K280" s="420"/>
      <c r="L280" s="420"/>
      <c r="M280" s="420"/>
      <c r="N280" s="904"/>
      <c r="O280" s="904">
        <f>ROUND(G280*I280+H280*J280,2)</f>
        <v>32262840.039999999</v>
      </c>
      <c r="P280" s="904">
        <f>ROUND(37.24%*O280,2)</f>
        <v>12014681.630000001</v>
      </c>
      <c r="Q280" s="904">
        <f>ROUND(R280*P280,2)</f>
        <v>6007340.8200000003</v>
      </c>
      <c r="R280" s="893">
        <v>0.5</v>
      </c>
      <c r="S280"/>
      <c r="T280"/>
      <c r="U280"/>
      <c r="V280"/>
      <c r="W280"/>
      <c r="X280"/>
      <c r="Y280"/>
      <c r="Z280"/>
      <c r="AA280"/>
      <c r="AB280"/>
      <c r="AC280"/>
      <c r="AD280"/>
      <c r="AE280"/>
      <c r="AF280"/>
      <c r="AG280"/>
      <c r="AH280"/>
      <c r="AI280"/>
      <c r="AJ280"/>
      <c r="AK280"/>
    </row>
    <row r="281" spans="1:37" s="65" customFormat="1" ht="15.75" x14ac:dyDescent="0.25">
      <c r="A281" s="894" t="s">
        <v>28</v>
      </c>
      <c r="B281" s="456" t="s">
        <v>177</v>
      </c>
      <c r="C281" s="378" t="s">
        <v>31</v>
      </c>
      <c r="D281" s="378" t="s">
        <v>30</v>
      </c>
      <c r="E281" s="378" t="s">
        <v>158</v>
      </c>
      <c r="F281" s="586" t="s">
        <v>56</v>
      </c>
      <c r="G281" s="253">
        <f>G273</f>
        <v>30092.288400000001</v>
      </c>
      <c r="H281" s="253"/>
      <c r="I281" s="806">
        <f>I273</f>
        <v>3.6046999999999998</v>
      </c>
      <c r="J281" s="728"/>
      <c r="K281" s="253"/>
      <c r="L281" s="253"/>
      <c r="M281" s="253"/>
      <c r="N281" s="557"/>
      <c r="O281" s="557">
        <f>ROUND(G281*I281+H281*J281,2)</f>
        <v>108473.67</v>
      </c>
      <c r="P281" s="557">
        <f>ROUND(37.24%*O281,2)</f>
        <v>40395.589999999997</v>
      </c>
      <c r="Q281" s="557">
        <f>ROUND(R281*P281,2)</f>
        <v>20197.8</v>
      </c>
      <c r="R281" s="775">
        <v>0.5</v>
      </c>
      <c r="S281"/>
      <c r="T281"/>
      <c r="U281"/>
      <c r="V281"/>
      <c r="W281"/>
      <c r="X281"/>
      <c r="Y281"/>
      <c r="Z281"/>
      <c r="AA281"/>
      <c r="AB281"/>
      <c r="AC281"/>
      <c r="AD281"/>
      <c r="AE281"/>
      <c r="AF281"/>
      <c r="AG281"/>
      <c r="AH281"/>
      <c r="AI281"/>
      <c r="AJ281"/>
      <c r="AK281"/>
    </row>
    <row r="282" spans="1:37" s="65" customFormat="1" ht="15.75" x14ac:dyDescent="0.25">
      <c r="A282" s="894" t="s">
        <v>28</v>
      </c>
      <c r="B282" s="456" t="s">
        <v>234</v>
      </c>
      <c r="C282" s="378" t="s">
        <v>31</v>
      </c>
      <c r="D282" s="378" t="s">
        <v>30</v>
      </c>
      <c r="E282" s="378" t="s">
        <v>158</v>
      </c>
      <c r="F282" s="586" t="s">
        <v>56</v>
      </c>
      <c r="G282" s="253">
        <f>G274</f>
        <v>21627.41</v>
      </c>
      <c r="H282" s="341"/>
      <c r="I282" s="806">
        <f>I274</f>
        <v>3.6046999999999998</v>
      </c>
      <c r="J282" s="728"/>
      <c r="K282" s="341"/>
      <c r="L282" s="341"/>
      <c r="M282" s="341"/>
      <c r="N282" s="897"/>
      <c r="O282" s="557">
        <f>ROUND(G282*I282+H282*J282,2)</f>
        <v>77960.320000000007</v>
      </c>
      <c r="P282" s="557">
        <f>ROUND(37.24%*O282,2)</f>
        <v>29032.42</v>
      </c>
      <c r="Q282" s="557">
        <f>ROUND(R282*P282,2)</f>
        <v>14516.21</v>
      </c>
      <c r="R282" s="906">
        <v>0.5</v>
      </c>
      <c r="S282"/>
      <c r="T282"/>
      <c r="U282"/>
      <c r="V282"/>
      <c r="W282"/>
      <c r="X282"/>
      <c r="Y282"/>
      <c r="Z282"/>
      <c r="AA282"/>
      <c r="AB282"/>
      <c r="AC282"/>
      <c r="AD282"/>
      <c r="AE282"/>
      <c r="AF282"/>
      <c r="AG282"/>
      <c r="AH282"/>
      <c r="AI282"/>
      <c r="AJ282"/>
      <c r="AK282"/>
    </row>
    <row r="283" spans="1:37" s="65" customFormat="1" ht="15.75" x14ac:dyDescent="0.25">
      <c r="A283" s="898" t="s">
        <v>28</v>
      </c>
      <c r="B283" s="457" t="s">
        <v>178</v>
      </c>
      <c r="C283" s="899" t="s">
        <v>31</v>
      </c>
      <c r="D283" s="899" t="s">
        <v>30</v>
      </c>
      <c r="E283" s="899" t="s">
        <v>158</v>
      </c>
      <c r="F283" s="740" t="s">
        <v>56</v>
      </c>
      <c r="G283" s="424">
        <f>G275</f>
        <v>817438.58979999996</v>
      </c>
      <c r="H283" s="424"/>
      <c r="I283" s="907">
        <f>I275</f>
        <v>2.8860000000000001</v>
      </c>
      <c r="J283" s="741"/>
      <c r="K283" s="424"/>
      <c r="L283" s="424"/>
      <c r="M283" s="424"/>
      <c r="N283" s="895"/>
      <c r="O283" s="895">
        <f>ROUND(G283*I283+H283*J283,2)</f>
        <v>2359127.77</v>
      </c>
      <c r="P283" s="218">
        <f>ROUND(38%*G283*I283,2)+ROUND(38%*H283*J283,2)</f>
        <v>896468.55</v>
      </c>
      <c r="Q283" s="895">
        <f>ROUND(R283*P283,2)</f>
        <v>448234.28</v>
      </c>
      <c r="R283" s="896">
        <v>0.5</v>
      </c>
      <c r="S283"/>
      <c r="T283"/>
      <c r="U283"/>
      <c r="V283"/>
      <c r="W283"/>
      <c r="X283"/>
      <c r="Y283"/>
      <c r="Z283"/>
      <c r="AA283"/>
      <c r="AB283"/>
      <c r="AC283"/>
      <c r="AD283"/>
      <c r="AE283"/>
      <c r="AF283"/>
      <c r="AG283"/>
      <c r="AH283"/>
      <c r="AI283"/>
      <c r="AJ283"/>
      <c r="AK283"/>
    </row>
    <row r="284" spans="1:37" s="65" customFormat="1" ht="15.75" x14ac:dyDescent="0.25">
      <c r="A284" s="596"/>
      <c r="B284" s="596"/>
      <c r="C284" s="596"/>
      <c r="D284" s="596"/>
      <c r="E284" s="596"/>
      <c r="F284" s="596"/>
      <c r="G284" s="902">
        <f>SUM(G280:G283)</f>
        <v>12580233.113600001</v>
      </c>
      <c r="H284" s="902"/>
      <c r="I284" s="908">
        <f>ROUND(O284/G284,4)</f>
        <v>2.7669000000000001</v>
      </c>
      <c r="J284" s="677"/>
      <c r="K284" s="677"/>
      <c r="L284" s="596"/>
      <c r="M284" s="596"/>
      <c r="N284" s="950"/>
      <c r="O284" s="734">
        <f>SUM(O280:O283)</f>
        <v>34808401.800000004</v>
      </c>
      <c r="P284" s="734">
        <f>SUM(P280:P283)</f>
        <v>12980578.190000001</v>
      </c>
      <c r="Q284" s="734">
        <f>SUM(Q280:Q283)</f>
        <v>6490289.1100000003</v>
      </c>
      <c r="R284" s="596"/>
      <c r="S284"/>
      <c r="T284"/>
      <c r="U284"/>
      <c r="V284"/>
      <c r="W284"/>
      <c r="X284"/>
      <c r="Y284"/>
      <c r="Z284"/>
      <c r="AA284"/>
      <c r="AB284"/>
      <c r="AC284"/>
      <c r="AD284"/>
      <c r="AE284"/>
      <c r="AF284"/>
      <c r="AG284"/>
      <c r="AH284"/>
      <c r="AI284"/>
      <c r="AJ284"/>
      <c r="AK284"/>
    </row>
    <row r="285" spans="1:37" s="65" customFormat="1" ht="15.75" x14ac:dyDescent="0.25">
      <c r="A285" s="596"/>
      <c r="B285" s="596"/>
      <c r="C285" s="596"/>
      <c r="D285" s="596"/>
      <c r="E285" s="596"/>
      <c r="F285" s="596"/>
      <c r="G285" s="677"/>
      <c r="H285" s="677"/>
      <c r="I285" s="677"/>
      <c r="J285" s="677"/>
      <c r="K285" s="677"/>
      <c r="L285" s="596"/>
      <c r="M285" s="596"/>
      <c r="N285" s="950"/>
      <c r="O285" s="596"/>
      <c r="P285" s="596"/>
      <c r="Q285" s="596"/>
      <c r="R285" s="596"/>
      <c r="S285"/>
      <c r="T285"/>
      <c r="U285"/>
      <c r="V285"/>
      <c r="W285"/>
      <c r="X285"/>
      <c r="Y285"/>
      <c r="Z285"/>
      <c r="AA285"/>
      <c r="AB285"/>
      <c r="AC285"/>
      <c r="AD285"/>
      <c r="AE285"/>
      <c r="AF285"/>
      <c r="AG285"/>
      <c r="AH285"/>
      <c r="AI285"/>
      <c r="AJ285"/>
      <c r="AK285"/>
    </row>
    <row r="286" spans="1:37" s="65" customFormat="1" ht="16.350000000000001" customHeight="1" x14ac:dyDescent="0.25">
      <c r="A286" s="880" t="s">
        <v>233</v>
      </c>
      <c r="B286" s="596"/>
      <c r="C286" s="596"/>
      <c r="D286" s="596"/>
      <c r="E286" s="596"/>
      <c r="F286" s="596"/>
      <c r="G286" s="677"/>
      <c r="H286" s="677"/>
      <c r="I286" s="677"/>
      <c r="J286" s="677"/>
      <c r="K286" s="677"/>
      <c r="L286" s="596"/>
      <c r="M286" s="596"/>
      <c r="N286" s="950"/>
      <c r="O286" s="596"/>
      <c r="P286" s="596"/>
      <c r="Q286" s="596"/>
      <c r="R286" s="596"/>
      <c r="S286"/>
      <c r="T286"/>
      <c r="U286"/>
      <c r="V286"/>
      <c r="W286"/>
      <c r="X286"/>
      <c r="Y286"/>
      <c r="Z286"/>
      <c r="AA286"/>
      <c r="AB286"/>
      <c r="AC286"/>
      <c r="AD286"/>
      <c r="AE286"/>
      <c r="AF286"/>
      <c r="AG286"/>
      <c r="AH286"/>
      <c r="AI286"/>
      <c r="AJ286"/>
      <c r="AK286"/>
    </row>
    <row r="287" spans="1:37" s="65" customFormat="1" ht="15.75" x14ac:dyDescent="0.25">
      <c r="A287" s="596"/>
      <c r="B287" s="596"/>
      <c r="C287" s="596"/>
      <c r="D287" s="596"/>
      <c r="E287" s="596"/>
      <c r="F287" s="596"/>
      <c r="G287" s="677"/>
      <c r="H287" s="677"/>
      <c r="I287" s="677"/>
      <c r="J287" s="677"/>
      <c r="K287" s="677"/>
      <c r="L287" s="596"/>
      <c r="M287" s="596"/>
      <c r="N287" s="950"/>
      <c r="O287" s="596"/>
      <c r="P287" s="596"/>
      <c r="Q287" s="596"/>
      <c r="R287" s="596"/>
      <c r="S287"/>
      <c r="T287"/>
      <c r="U287"/>
      <c r="V287"/>
      <c r="W287"/>
      <c r="X287"/>
      <c r="Y287"/>
      <c r="Z287"/>
      <c r="AA287"/>
      <c r="AB287"/>
      <c r="AC287"/>
      <c r="AD287"/>
      <c r="AE287"/>
      <c r="AF287"/>
      <c r="AG287"/>
      <c r="AH287"/>
      <c r="AI287"/>
      <c r="AJ287"/>
      <c r="AK287"/>
    </row>
    <row r="288" spans="1:37" s="65" customFormat="1" ht="15.75" x14ac:dyDescent="0.25">
      <c r="A288" s="888" t="s">
        <v>28</v>
      </c>
      <c r="B288" s="889" t="s">
        <v>159</v>
      </c>
      <c r="C288" s="890" t="s">
        <v>31</v>
      </c>
      <c r="D288" s="890" t="s">
        <v>30</v>
      </c>
      <c r="E288" s="890" t="s">
        <v>158</v>
      </c>
      <c r="F288" s="891" t="s">
        <v>56</v>
      </c>
      <c r="G288" s="420"/>
      <c r="H288" s="420">
        <f>H272</f>
        <v>12295972.062100001</v>
      </c>
      <c r="I288" s="764"/>
      <c r="J288" s="903">
        <f>J272</f>
        <v>2.7549000000000001</v>
      </c>
      <c r="K288" s="420"/>
      <c r="L288" s="420"/>
      <c r="M288" s="420"/>
      <c r="N288" s="904"/>
      <c r="O288" s="904">
        <f>ROUND(G288*I288+H288*J288,2)</f>
        <v>33874173.43</v>
      </c>
      <c r="P288" s="904">
        <f>ROUND(37.24%*O288,2)</f>
        <v>12614742.189999999</v>
      </c>
      <c r="Q288" s="904">
        <f>ROUND(R288*P288,2)</f>
        <v>6307371.0999999996</v>
      </c>
      <c r="R288" s="893">
        <v>0.5</v>
      </c>
      <c r="S288"/>
      <c r="T288"/>
      <c r="U288"/>
      <c r="V288"/>
      <c r="W288"/>
      <c r="X288"/>
      <c r="Y288"/>
      <c r="Z288"/>
      <c r="AA288"/>
      <c r="AB288"/>
      <c r="AC288"/>
      <c r="AD288"/>
      <c r="AE288"/>
      <c r="AF288"/>
      <c r="AG288"/>
      <c r="AH288"/>
      <c r="AI288"/>
      <c r="AJ288"/>
      <c r="AK288"/>
    </row>
    <row r="289" spans="1:37" s="65" customFormat="1" ht="15.75" x14ac:dyDescent="0.25">
      <c r="A289" s="894" t="s">
        <v>28</v>
      </c>
      <c r="B289" s="456" t="s">
        <v>177</v>
      </c>
      <c r="C289" s="378" t="s">
        <v>31</v>
      </c>
      <c r="D289" s="378" t="s">
        <v>30</v>
      </c>
      <c r="E289" s="378" t="s">
        <v>158</v>
      </c>
      <c r="F289" s="586" t="s">
        <v>56</v>
      </c>
      <c r="G289" s="253"/>
      <c r="H289" s="253">
        <f>H273</f>
        <v>30655.457399999999</v>
      </c>
      <c r="I289" s="728"/>
      <c r="J289" s="806">
        <f>J273</f>
        <v>3.6046999999999998</v>
      </c>
      <c r="K289" s="253"/>
      <c r="L289" s="253"/>
      <c r="M289" s="253"/>
      <c r="N289" s="557"/>
      <c r="O289" s="557">
        <f>ROUND(G289*I289+H289*J289,2)</f>
        <v>110503.73</v>
      </c>
      <c r="P289" s="557">
        <f>ROUND(37.24%*O289,2)</f>
        <v>41151.589999999997</v>
      </c>
      <c r="Q289" s="557">
        <f>ROUND(R289*P289,2)</f>
        <v>20575.8</v>
      </c>
      <c r="R289" s="775">
        <v>0.5</v>
      </c>
      <c r="S289"/>
      <c r="T289"/>
      <c r="U289"/>
      <c r="V289"/>
      <c r="W289"/>
      <c r="X289"/>
      <c r="Y289"/>
      <c r="Z289"/>
      <c r="AA289"/>
      <c r="AB289"/>
      <c r="AC289"/>
      <c r="AD289"/>
      <c r="AE289"/>
      <c r="AF289"/>
      <c r="AG289"/>
      <c r="AH289"/>
      <c r="AI289"/>
      <c r="AJ289"/>
      <c r="AK289"/>
    </row>
    <row r="290" spans="1:37" s="65" customFormat="1" ht="15.75" x14ac:dyDescent="0.25">
      <c r="A290" s="894" t="s">
        <v>28</v>
      </c>
      <c r="B290" s="456" t="s">
        <v>234</v>
      </c>
      <c r="C290" s="378" t="s">
        <v>31</v>
      </c>
      <c r="D290" s="378" t="s">
        <v>30</v>
      </c>
      <c r="E290" s="378" t="s">
        <v>158</v>
      </c>
      <c r="F290" s="586" t="s">
        <v>56</v>
      </c>
      <c r="G290" s="253"/>
      <c r="H290" s="253">
        <f>H274</f>
        <v>21911.89</v>
      </c>
      <c r="I290" s="728"/>
      <c r="J290" s="806">
        <f>J274</f>
        <v>3.6046999999999998</v>
      </c>
      <c r="K290" s="341"/>
      <c r="L290" s="341"/>
      <c r="M290" s="341"/>
      <c r="N290" s="897"/>
      <c r="O290" s="557">
        <f>ROUND(G290*I290+H290*J290,2)</f>
        <v>78985.789999999994</v>
      </c>
      <c r="P290" s="557">
        <f>ROUND(37.24%*O290,2)</f>
        <v>29414.31</v>
      </c>
      <c r="Q290" s="557">
        <f>ROUND(R290*P290,2)</f>
        <v>14707.16</v>
      </c>
      <c r="R290" s="775">
        <v>0.5</v>
      </c>
      <c r="S290"/>
      <c r="T290"/>
      <c r="U290"/>
      <c r="V290"/>
      <c r="W290"/>
      <c r="X290"/>
      <c r="Y290"/>
      <c r="Z290"/>
      <c r="AA290"/>
      <c r="AB290"/>
      <c r="AC290"/>
      <c r="AD290"/>
      <c r="AE290"/>
      <c r="AF290"/>
      <c r="AG290"/>
      <c r="AH290"/>
      <c r="AI290"/>
      <c r="AJ290"/>
      <c r="AK290"/>
    </row>
    <row r="291" spans="1:37" s="65" customFormat="1" ht="15.75" x14ac:dyDescent="0.25">
      <c r="A291" s="898" t="s">
        <v>28</v>
      </c>
      <c r="B291" s="457" t="s">
        <v>178</v>
      </c>
      <c r="C291" s="899" t="s">
        <v>31</v>
      </c>
      <c r="D291" s="899" t="s">
        <v>30</v>
      </c>
      <c r="E291" s="899" t="s">
        <v>158</v>
      </c>
      <c r="F291" s="740" t="s">
        <v>56</v>
      </c>
      <c r="G291" s="424"/>
      <c r="H291" s="424">
        <f>H275</f>
        <v>815241.81</v>
      </c>
      <c r="I291" s="741"/>
      <c r="J291" s="907">
        <f>J275</f>
        <v>2.85</v>
      </c>
      <c r="K291" s="424"/>
      <c r="L291" s="424"/>
      <c r="M291" s="424"/>
      <c r="N291" s="895"/>
      <c r="O291" s="895">
        <f>ROUND(G291*I291+H291*J291,2)</f>
        <v>2323439.16</v>
      </c>
      <c r="P291" s="218">
        <f>ROUND(38%*G291*I291,2)+ROUND(38%*H291*J291,2)</f>
        <v>882906.88</v>
      </c>
      <c r="Q291" s="895">
        <f>ROUND(R291*P291,2)</f>
        <v>441453.44</v>
      </c>
      <c r="R291" s="896">
        <v>0.5</v>
      </c>
      <c r="S291"/>
      <c r="T291"/>
      <c r="U291"/>
      <c r="V291"/>
      <c r="W291"/>
      <c r="X291"/>
      <c r="Y291"/>
      <c r="Z291"/>
      <c r="AA291"/>
      <c r="AB291"/>
      <c r="AC291"/>
      <c r="AD291"/>
      <c r="AE291"/>
      <c r="AF291"/>
      <c r="AG291"/>
      <c r="AH291"/>
      <c r="AI291"/>
      <c r="AJ291"/>
      <c r="AK291"/>
    </row>
    <row r="292" spans="1:37" s="65" customFormat="1" ht="16.350000000000001" customHeight="1" x14ac:dyDescent="0.25">
      <c r="A292" s="596"/>
      <c r="B292" s="596"/>
      <c r="C292" s="596"/>
      <c r="D292" s="596"/>
      <c r="E292" s="596"/>
      <c r="F292" s="596"/>
      <c r="G292" s="902"/>
      <c r="H292" s="902">
        <f>SUM(H288:H291)</f>
        <v>13163781.219500002</v>
      </c>
      <c r="I292" s="677"/>
      <c r="J292" s="908">
        <f>ROUND(O292/H292,4)</f>
        <v>2.7642000000000002</v>
      </c>
      <c r="K292" s="677"/>
      <c r="L292" s="596"/>
      <c r="M292" s="596"/>
      <c r="N292" s="950"/>
      <c r="O292" s="734">
        <f>SUM(O288:O291)</f>
        <v>36387102.109999999</v>
      </c>
      <c r="P292" s="734">
        <f>SUM(P288:P291)</f>
        <v>13568214.970000001</v>
      </c>
      <c r="Q292" s="734">
        <f>SUM(Q288:Q291)</f>
        <v>6784107.5</v>
      </c>
      <c r="R292" s="596"/>
      <c r="S292"/>
      <c r="T292"/>
      <c r="U292"/>
      <c r="V292"/>
      <c r="W292"/>
      <c r="X292"/>
      <c r="Y292"/>
      <c r="Z292"/>
      <c r="AA292"/>
      <c r="AB292"/>
      <c r="AC292"/>
      <c r="AD292"/>
      <c r="AE292"/>
      <c r="AF292"/>
      <c r="AG292"/>
      <c r="AH292"/>
      <c r="AI292"/>
      <c r="AJ292"/>
      <c r="AK292"/>
    </row>
    <row r="293" spans="1:37" s="65" customFormat="1" ht="15.75" x14ac:dyDescent="0.25">
      <c r="A293" s="596"/>
      <c r="B293" s="596"/>
      <c r="C293" s="596"/>
      <c r="D293" s="596"/>
      <c r="E293" s="596"/>
      <c r="F293" s="596"/>
      <c r="G293" s="902"/>
      <c r="H293" s="902"/>
      <c r="I293" s="677"/>
      <c r="J293" s="677"/>
      <c r="K293" s="677"/>
      <c r="L293" s="596"/>
      <c r="M293" s="596"/>
      <c r="N293" s="950"/>
      <c r="O293" s="734"/>
      <c r="P293" s="734"/>
      <c r="Q293" s="734"/>
      <c r="R293" s="596"/>
      <c r="S293"/>
      <c r="T293"/>
      <c r="U293"/>
      <c r="V293"/>
      <c r="W293"/>
      <c r="X293"/>
      <c r="Y293"/>
      <c r="Z293"/>
      <c r="AA293"/>
      <c r="AB293"/>
      <c r="AC293"/>
      <c r="AD293"/>
      <c r="AE293"/>
      <c r="AF293"/>
      <c r="AG293"/>
      <c r="AH293"/>
      <c r="AI293"/>
      <c r="AJ293"/>
      <c r="AK293"/>
    </row>
    <row r="294" spans="1:37" s="65" customFormat="1" ht="15.75" x14ac:dyDescent="0.25">
      <c r="A294" s="596"/>
      <c r="B294" s="596"/>
      <c r="C294" s="596"/>
      <c r="D294" s="596"/>
      <c r="E294" s="596"/>
      <c r="F294" s="596"/>
      <c r="G294" s="902"/>
      <c r="H294" s="902"/>
      <c r="I294" s="677"/>
      <c r="J294" s="677"/>
      <c r="K294" s="677"/>
      <c r="L294" s="596"/>
      <c r="M294" s="596"/>
      <c r="N294" s="985"/>
      <c r="O294" s="589">
        <f>O292+O284</f>
        <v>71195503.909999996</v>
      </c>
      <c r="P294" s="589">
        <f>P292+P284</f>
        <v>26548793.160000004</v>
      </c>
      <c r="Q294" s="589">
        <f>Q292+Q284</f>
        <v>13274396.609999999</v>
      </c>
      <c r="R294" s="910">
        <v>0.5</v>
      </c>
      <c r="S294"/>
      <c r="T294"/>
      <c r="U294"/>
      <c r="V294"/>
      <c r="W294"/>
      <c r="X294"/>
      <c r="Y294"/>
      <c r="Z294"/>
      <c r="AA294"/>
      <c r="AB294"/>
      <c r="AC294"/>
      <c r="AD294"/>
      <c r="AE294"/>
      <c r="AF294"/>
      <c r="AG294"/>
      <c r="AH294"/>
      <c r="AI294"/>
      <c r="AJ294"/>
      <c r="AK294"/>
    </row>
    <row r="295" spans="1:37" s="65" customFormat="1" ht="15.75" x14ac:dyDescent="0.25">
      <c r="A295" s="596"/>
      <c r="B295" s="596"/>
      <c r="C295" s="596"/>
      <c r="D295" s="596"/>
      <c r="E295" s="596"/>
      <c r="F295" s="596"/>
      <c r="G295" s="902"/>
      <c r="H295" s="902"/>
      <c r="I295" s="677"/>
      <c r="J295" s="677"/>
      <c r="K295" s="677"/>
      <c r="L295" s="596"/>
      <c r="M295" s="596"/>
      <c r="N295" s="950"/>
      <c r="O295" s="596"/>
      <c r="P295" s="596"/>
      <c r="Q295" s="596"/>
      <c r="R295" s="596"/>
      <c r="S295"/>
      <c r="T295"/>
      <c r="U295"/>
      <c r="V295"/>
      <c r="W295"/>
      <c r="X295"/>
      <c r="Y295"/>
      <c r="Z295"/>
      <c r="AA295"/>
      <c r="AB295"/>
      <c r="AC295"/>
      <c r="AD295"/>
      <c r="AE295"/>
      <c r="AF295"/>
      <c r="AG295"/>
      <c r="AH295"/>
      <c r="AI295"/>
      <c r="AJ295"/>
      <c r="AK295"/>
    </row>
    <row r="296" spans="1:37" s="65" customFormat="1" ht="15.75" x14ac:dyDescent="0.25">
      <c r="A296" s="596"/>
      <c r="B296" s="596"/>
      <c r="C296" s="596"/>
      <c r="D296" s="596"/>
      <c r="E296" s="596"/>
      <c r="F296" s="596"/>
      <c r="G296" s="902"/>
      <c r="H296" s="902"/>
      <c r="I296" s="677"/>
      <c r="J296" s="677"/>
      <c r="K296" s="677"/>
      <c r="L296" s="596"/>
      <c r="M296" s="596"/>
      <c r="N296" s="985"/>
      <c r="O296" s="879">
        <f>O294-O276</f>
        <v>0</v>
      </c>
      <c r="P296" s="879">
        <f>P294-P276</f>
        <v>0</v>
      </c>
      <c r="Q296" s="879">
        <f>Q294-Q276</f>
        <v>1.9999999552965164E-2</v>
      </c>
      <c r="R296" s="596"/>
      <c r="S296"/>
      <c r="T296"/>
      <c r="U296"/>
      <c r="V296"/>
      <c r="W296"/>
      <c r="X296"/>
      <c r="Y296"/>
      <c r="Z296"/>
      <c r="AA296"/>
      <c r="AB296"/>
      <c r="AC296"/>
      <c r="AD296"/>
      <c r="AE296"/>
      <c r="AF296"/>
      <c r="AG296"/>
      <c r="AH296"/>
      <c r="AI296"/>
      <c r="AJ296"/>
      <c r="AK296"/>
    </row>
    <row r="297" spans="1:37" s="65" customFormat="1" ht="15.75" x14ac:dyDescent="0.25">
      <c r="A297" s="596"/>
      <c r="B297" s="596"/>
      <c r="C297" s="596"/>
      <c r="D297" s="596"/>
      <c r="E297" s="596"/>
      <c r="F297" s="596"/>
      <c r="G297" s="596"/>
      <c r="H297" s="596"/>
      <c r="I297" s="596"/>
      <c r="J297" s="596"/>
      <c r="K297" s="596"/>
      <c r="L297" s="596"/>
      <c r="M297" s="596"/>
      <c r="N297" s="950"/>
      <c r="O297" s="596"/>
      <c r="P297" s="596"/>
      <c r="Q297" s="596"/>
      <c r="R297" s="596"/>
      <c r="S297"/>
      <c r="T297"/>
      <c r="U297"/>
      <c r="V297"/>
      <c r="W297"/>
      <c r="X297"/>
      <c r="Y297"/>
      <c r="Z297"/>
      <c r="AA297"/>
      <c r="AB297"/>
      <c r="AC297"/>
      <c r="AD297"/>
      <c r="AE297"/>
      <c r="AF297"/>
      <c r="AG297"/>
      <c r="AH297"/>
      <c r="AI297"/>
      <c r="AJ297"/>
      <c r="AK297"/>
    </row>
    <row r="298" spans="1:37" s="65" customFormat="1" ht="16.350000000000001" customHeight="1" x14ac:dyDescent="0.25">
      <c r="A298" s="880" t="s">
        <v>231</v>
      </c>
      <c r="B298" s="683"/>
      <c r="C298" s="683" t="s">
        <v>279</v>
      </c>
      <c r="D298" s="683"/>
      <c r="E298" s="683"/>
      <c r="F298" s="683"/>
      <c r="G298" s="683"/>
      <c r="H298" s="683"/>
      <c r="I298" s="683"/>
      <c r="J298" s="683"/>
      <c r="K298" s="683"/>
      <c r="L298" s="683"/>
      <c r="M298" s="683"/>
      <c r="N298" s="950"/>
      <c r="O298" s="683"/>
      <c r="P298" s="683"/>
      <c r="Q298" s="683">
        <f>P308*R306</f>
        <v>69895.309499999988</v>
      </c>
      <c r="R298" s="911"/>
      <c r="S298" s="683"/>
      <c r="T298" s="912"/>
      <c r="U298"/>
      <c r="V298"/>
      <c r="W298"/>
      <c r="X298"/>
      <c r="Y298"/>
      <c r="Z298"/>
      <c r="AA298"/>
      <c r="AB298"/>
      <c r="AC298"/>
      <c r="AD298"/>
      <c r="AE298"/>
      <c r="AF298"/>
      <c r="AG298"/>
      <c r="AH298"/>
      <c r="AI298"/>
      <c r="AJ298"/>
      <c r="AK298"/>
    </row>
    <row r="299" spans="1:37" s="65" customFormat="1" ht="15.75" x14ac:dyDescent="0.25">
      <c r="A299" s="887" t="s">
        <v>228</v>
      </c>
      <c r="B299" s="596"/>
      <c r="C299" s="596"/>
      <c r="D299" s="596"/>
      <c r="E299" s="596"/>
      <c r="F299" s="596"/>
      <c r="G299" s="704" t="s">
        <v>35</v>
      </c>
      <c r="H299" s="705" t="s">
        <v>36</v>
      </c>
      <c r="I299" s="705" t="s">
        <v>35</v>
      </c>
      <c r="J299" s="704" t="s">
        <v>36</v>
      </c>
      <c r="K299" s="704" t="s">
        <v>39</v>
      </c>
      <c r="L299" s="704" t="s">
        <v>40</v>
      </c>
      <c r="M299" s="704" t="s">
        <v>42</v>
      </c>
      <c r="N299" s="1058" t="s">
        <v>2</v>
      </c>
      <c r="O299" s="1066" t="s">
        <v>180</v>
      </c>
      <c r="P299" s="1067" t="s">
        <v>163</v>
      </c>
      <c r="Q299" s="790"/>
      <c r="R299" s="596"/>
      <c r="S299" s="596"/>
      <c r="T299" s="596"/>
      <c r="U299"/>
      <c r="V299"/>
      <c r="W299"/>
      <c r="X299"/>
      <c r="Y299"/>
      <c r="Z299"/>
      <c r="AA299"/>
      <c r="AB299"/>
      <c r="AC299"/>
      <c r="AD299"/>
      <c r="AE299"/>
      <c r="AF299"/>
      <c r="AG299"/>
      <c r="AH299"/>
      <c r="AI299"/>
      <c r="AJ299"/>
      <c r="AK299"/>
    </row>
    <row r="300" spans="1:37" s="65" customFormat="1" ht="15.75" x14ac:dyDescent="0.25">
      <c r="A300" s="888" t="s">
        <v>28</v>
      </c>
      <c r="B300" s="889" t="s">
        <v>218</v>
      </c>
      <c r="C300" s="890" t="s">
        <v>31</v>
      </c>
      <c r="D300" s="890" t="s">
        <v>30</v>
      </c>
      <c r="E300" s="890" t="s">
        <v>101</v>
      </c>
      <c r="F300" s="891" t="s">
        <v>56</v>
      </c>
      <c r="G300" s="1082">
        <v>145476.71520000001</v>
      </c>
      <c r="H300" s="1032">
        <v>165483.17559999999</v>
      </c>
      <c r="I300" s="1033">
        <v>1.82</v>
      </c>
      <c r="J300" s="1033">
        <v>1.82</v>
      </c>
      <c r="K300" s="420"/>
      <c r="L300" s="420"/>
      <c r="M300" s="420"/>
      <c r="N300" s="917"/>
      <c r="O300" s="420">
        <f>ROUND(G300*I300,2)+ROUND(H300*J300,2)-K300-L300-M300-N300</f>
        <v>565947</v>
      </c>
      <c r="P300" s="420">
        <f t="shared" ref="P300:P307" si="102">ROUND(18.75%*O300,2)</f>
        <v>106115.06</v>
      </c>
      <c r="Q300" s="420">
        <f t="shared" ref="Q300:Q307" si="103">ROUND($O300*R300,2)</f>
        <v>84892.05</v>
      </c>
      <c r="R300" s="893">
        <v>0.15</v>
      </c>
      <c r="S300" s="420">
        <f t="shared" ref="S300:S307" si="104">ROUND($O300*T300,2)</f>
        <v>21223.01</v>
      </c>
      <c r="T300" s="919">
        <v>3.7499999999999999E-2</v>
      </c>
      <c r="U300"/>
      <c r="V300"/>
      <c r="W300"/>
      <c r="X300"/>
      <c r="Y300"/>
      <c r="Z300"/>
      <c r="AA300"/>
      <c r="AB300"/>
      <c r="AC300"/>
      <c r="AD300"/>
      <c r="AE300"/>
      <c r="AF300"/>
      <c r="AG300"/>
      <c r="AH300"/>
      <c r="AI300"/>
      <c r="AJ300"/>
      <c r="AK300"/>
    </row>
    <row r="301" spans="1:37" s="65" customFormat="1" ht="15.75" x14ac:dyDescent="0.25">
      <c r="A301" s="894" t="s">
        <v>28</v>
      </c>
      <c r="B301" s="456" t="s">
        <v>219</v>
      </c>
      <c r="C301" s="378" t="s">
        <v>31</v>
      </c>
      <c r="D301" s="378" t="s">
        <v>30</v>
      </c>
      <c r="E301" s="378" t="s">
        <v>101</v>
      </c>
      <c r="F301" s="586" t="s">
        <v>56</v>
      </c>
      <c r="G301" s="1034">
        <v>39339.773200000003</v>
      </c>
      <c r="H301" s="1034">
        <v>45238.103999999999</v>
      </c>
      <c r="I301" s="1033">
        <v>4.1524999999999999</v>
      </c>
      <c r="J301" s="1031">
        <v>3.81</v>
      </c>
      <c r="K301" s="585"/>
      <c r="L301" s="585"/>
      <c r="M301" s="585"/>
      <c r="N301" s="984"/>
      <c r="O301" s="892">
        <f t="shared" ref="O301:O307" si="105">ROUND(G301*I301,2)+ROUND(H301*J301,2)-K301-L301-M301-N301</f>
        <v>335715.58999999997</v>
      </c>
      <c r="P301" s="253">
        <f t="shared" si="102"/>
        <v>62946.67</v>
      </c>
      <c r="Q301" s="253">
        <f t="shared" si="103"/>
        <v>50357.34</v>
      </c>
      <c r="R301" s="775">
        <v>0.15</v>
      </c>
      <c r="S301" s="253">
        <f t="shared" si="104"/>
        <v>12589.33</v>
      </c>
      <c r="T301" s="921">
        <v>3.7499999999999999E-2</v>
      </c>
      <c r="U301"/>
      <c r="V301"/>
      <c r="W301"/>
      <c r="X301"/>
      <c r="Y301"/>
      <c r="Z301"/>
      <c r="AA301"/>
      <c r="AB301"/>
      <c r="AC301"/>
      <c r="AD301"/>
      <c r="AE301"/>
      <c r="AF301"/>
      <c r="AG301"/>
      <c r="AH301"/>
      <c r="AI301"/>
      <c r="AJ301"/>
      <c r="AK301"/>
    </row>
    <row r="302" spans="1:37" s="65" customFormat="1" ht="15.75" x14ac:dyDescent="0.25">
      <c r="A302" s="922" t="s">
        <v>28</v>
      </c>
      <c r="B302" s="442" t="s">
        <v>217</v>
      </c>
      <c r="C302" s="854" t="s">
        <v>31</v>
      </c>
      <c r="D302" s="854" t="s">
        <v>30</v>
      </c>
      <c r="E302" s="854" t="s">
        <v>101</v>
      </c>
      <c r="F302" s="854" t="s">
        <v>56</v>
      </c>
      <c r="G302" s="587"/>
      <c r="H302" s="587"/>
      <c r="I302" s="587"/>
      <c r="J302" s="588"/>
      <c r="K302" s="441"/>
      <c r="L302" s="441"/>
      <c r="M302" s="441"/>
      <c r="N302" s="923"/>
      <c r="O302" s="253">
        <f t="shared" si="105"/>
        <v>0</v>
      </c>
      <c r="P302" s="441">
        <f t="shared" si="102"/>
        <v>0</v>
      </c>
      <c r="Q302" s="441">
        <f t="shared" si="103"/>
        <v>0</v>
      </c>
      <c r="R302" s="924">
        <v>0.15</v>
      </c>
      <c r="S302" s="253">
        <f t="shared" si="104"/>
        <v>0</v>
      </c>
      <c r="T302" s="921">
        <v>3.7499999999999999E-2</v>
      </c>
      <c r="U302"/>
      <c r="V302"/>
      <c r="W302"/>
      <c r="X302"/>
      <c r="Y302"/>
      <c r="Z302"/>
      <c r="AA302"/>
      <c r="AB302"/>
      <c r="AC302"/>
      <c r="AD302"/>
      <c r="AE302"/>
      <c r="AF302"/>
      <c r="AG302"/>
      <c r="AH302"/>
      <c r="AI302"/>
      <c r="AJ302"/>
      <c r="AK302"/>
    </row>
    <row r="303" spans="1:37" s="65" customFormat="1" ht="15.75" x14ac:dyDescent="0.25">
      <c r="A303" s="922" t="s">
        <v>28</v>
      </c>
      <c r="B303" s="442" t="s">
        <v>220</v>
      </c>
      <c r="C303" s="854" t="s">
        <v>31</v>
      </c>
      <c r="D303" s="854" t="s">
        <v>30</v>
      </c>
      <c r="E303" s="854" t="s">
        <v>101</v>
      </c>
      <c r="F303" s="854" t="s">
        <v>56</v>
      </c>
      <c r="G303" s="587"/>
      <c r="H303" s="587"/>
      <c r="I303" s="587"/>
      <c r="J303" s="588"/>
      <c r="K303" s="441"/>
      <c r="L303" s="441"/>
      <c r="M303" s="441"/>
      <c r="N303" s="923"/>
      <c r="O303" s="253">
        <f t="shared" si="105"/>
        <v>0</v>
      </c>
      <c r="P303" s="441">
        <f t="shared" si="102"/>
        <v>0</v>
      </c>
      <c r="Q303" s="441">
        <f t="shared" si="103"/>
        <v>0</v>
      </c>
      <c r="R303" s="924">
        <v>0.15</v>
      </c>
      <c r="S303" s="253">
        <f t="shared" si="104"/>
        <v>0</v>
      </c>
      <c r="T303" s="921">
        <v>3.7499999999999999E-2</v>
      </c>
      <c r="U303"/>
      <c r="V303"/>
      <c r="W303"/>
      <c r="X303"/>
      <c r="Y303"/>
      <c r="Z303"/>
      <c r="AA303"/>
      <c r="AB303"/>
      <c r="AC303"/>
      <c r="AD303"/>
      <c r="AE303"/>
      <c r="AF303"/>
      <c r="AG303"/>
      <c r="AH303"/>
      <c r="AI303"/>
      <c r="AJ303"/>
      <c r="AK303"/>
    </row>
    <row r="304" spans="1:37" s="65" customFormat="1" ht="16.350000000000001" customHeight="1" x14ac:dyDescent="0.25">
      <c r="A304" s="922" t="s">
        <v>28</v>
      </c>
      <c r="B304" s="442" t="s">
        <v>222</v>
      </c>
      <c r="C304" s="854" t="s">
        <v>31</v>
      </c>
      <c r="D304" s="854" t="s">
        <v>30</v>
      </c>
      <c r="E304" s="854" t="s">
        <v>101</v>
      </c>
      <c r="F304" s="854" t="s">
        <v>56</v>
      </c>
      <c r="G304" s="587"/>
      <c r="H304" s="587"/>
      <c r="I304" s="920"/>
      <c r="J304" s="588"/>
      <c r="K304" s="441"/>
      <c r="L304" s="441"/>
      <c r="M304" s="441"/>
      <c r="N304" s="925"/>
      <c r="O304" s="253">
        <f t="shared" si="105"/>
        <v>0</v>
      </c>
      <c r="P304" s="441">
        <f t="shared" si="102"/>
        <v>0</v>
      </c>
      <c r="Q304" s="441">
        <f t="shared" si="103"/>
        <v>0</v>
      </c>
      <c r="R304" s="924">
        <v>0.15</v>
      </c>
      <c r="S304" s="253">
        <f t="shared" si="104"/>
        <v>0</v>
      </c>
      <c r="T304" s="921">
        <v>3.7499999999999999E-2</v>
      </c>
      <c r="U304"/>
      <c r="V304"/>
      <c r="W304"/>
      <c r="X304"/>
      <c r="Y304"/>
      <c r="Z304"/>
      <c r="AA304"/>
      <c r="AB304"/>
      <c r="AC304"/>
      <c r="AD304"/>
      <c r="AE304"/>
      <c r="AF304"/>
      <c r="AG304"/>
      <c r="AH304"/>
      <c r="AI304"/>
      <c r="AJ304"/>
      <c r="AK304"/>
    </row>
    <row r="305" spans="1:37" s="65" customFormat="1" ht="15.75" x14ac:dyDescent="0.25">
      <c r="A305" s="922"/>
      <c r="B305" s="442" t="s">
        <v>226</v>
      </c>
      <c r="C305" s="854" t="s">
        <v>31</v>
      </c>
      <c r="D305" s="854" t="s">
        <v>30</v>
      </c>
      <c r="E305" s="854" t="s">
        <v>101</v>
      </c>
      <c r="F305" s="854" t="s">
        <v>56</v>
      </c>
      <c r="G305" s="1034">
        <v>213047.7206</v>
      </c>
      <c r="H305" s="1034">
        <v>172319.03039999999</v>
      </c>
      <c r="I305" s="1031">
        <v>3.6153</v>
      </c>
      <c r="J305" s="1035">
        <v>3.7048000000000001</v>
      </c>
      <c r="K305" s="471"/>
      <c r="L305" s="471"/>
      <c r="M305" s="471"/>
      <c r="N305" s="1083"/>
      <c r="O305" s="253">
        <f t="shared" si="105"/>
        <v>1408638.96</v>
      </c>
      <c r="P305" s="441">
        <f t="shared" si="102"/>
        <v>264119.81</v>
      </c>
      <c r="Q305" s="441">
        <f t="shared" si="103"/>
        <v>211295.84</v>
      </c>
      <c r="R305" s="924">
        <v>0.15</v>
      </c>
      <c r="S305" s="253">
        <f t="shared" si="104"/>
        <v>52823.96</v>
      </c>
      <c r="T305" s="921">
        <v>3.7499999999999999E-2</v>
      </c>
      <c r="U305"/>
      <c r="V305"/>
      <c r="W305"/>
      <c r="X305"/>
      <c r="Y305"/>
      <c r="Z305"/>
      <c r="AA305"/>
      <c r="AB305"/>
      <c r="AC305"/>
      <c r="AD305"/>
      <c r="AE305"/>
      <c r="AF305"/>
      <c r="AG305"/>
      <c r="AH305"/>
      <c r="AI305"/>
      <c r="AJ305"/>
      <c r="AK305"/>
    </row>
    <row r="306" spans="1:37" s="65" customFormat="1" ht="15.75" x14ac:dyDescent="0.25">
      <c r="A306" s="1000"/>
      <c r="B306" s="1001" t="s">
        <v>225</v>
      </c>
      <c r="C306" s="1002" t="s">
        <v>31</v>
      </c>
      <c r="D306" s="1002" t="s">
        <v>30</v>
      </c>
      <c r="E306" s="1002" t="s">
        <v>101</v>
      </c>
      <c r="F306" s="1002" t="s">
        <v>56</v>
      </c>
      <c r="G306" s="587"/>
      <c r="H306" s="587"/>
      <c r="I306" s="1003"/>
      <c r="J306" s="588"/>
      <c r="K306" s="1004"/>
      <c r="L306" s="1004"/>
      <c r="M306" s="1004"/>
      <c r="N306" s="1005"/>
      <c r="O306" s="253">
        <f t="shared" si="105"/>
        <v>0</v>
      </c>
      <c r="P306" s="1004">
        <f t="shared" si="102"/>
        <v>0</v>
      </c>
      <c r="Q306" s="1004">
        <f t="shared" si="103"/>
        <v>0</v>
      </c>
      <c r="R306" s="1006">
        <v>0.15</v>
      </c>
      <c r="S306" s="253">
        <f t="shared" si="104"/>
        <v>0</v>
      </c>
      <c r="T306" s="921">
        <v>3.7499999999999999E-2</v>
      </c>
      <c r="U306"/>
      <c r="V306"/>
      <c r="W306"/>
      <c r="X306"/>
      <c r="Y306"/>
      <c r="Z306"/>
      <c r="AA306"/>
      <c r="AB306"/>
      <c r="AC306"/>
      <c r="AD306"/>
      <c r="AE306"/>
      <c r="AF306"/>
      <c r="AG306"/>
      <c r="AH306"/>
      <c r="AI306"/>
      <c r="AJ306"/>
      <c r="AK306"/>
    </row>
    <row r="307" spans="1:37" s="65" customFormat="1" ht="15.75" x14ac:dyDescent="0.25">
      <c r="A307" s="993"/>
      <c r="B307" s="994" t="s">
        <v>362</v>
      </c>
      <c r="C307" s="995" t="s">
        <v>31</v>
      </c>
      <c r="D307" s="995" t="s">
        <v>30</v>
      </c>
      <c r="E307" s="995" t="s">
        <v>101</v>
      </c>
      <c r="F307" s="995" t="s">
        <v>56</v>
      </c>
      <c r="G307" s="1036">
        <v>30126.71</v>
      </c>
      <c r="H307" s="1036">
        <v>31882.16</v>
      </c>
      <c r="I307" s="1084">
        <v>2.82</v>
      </c>
      <c r="J307" s="1037">
        <v>2.82</v>
      </c>
      <c r="K307" s="756"/>
      <c r="L307" s="756"/>
      <c r="M307" s="756"/>
      <c r="N307" s="1085"/>
      <c r="O307" s="909">
        <f t="shared" si="105"/>
        <v>174865.01</v>
      </c>
      <c r="P307" s="909">
        <f t="shared" si="102"/>
        <v>32787.19</v>
      </c>
      <c r="Q307" s="909">
        <f t="shared" si="103"/>
        <v>26229.75</v>
      </c>
      <c r="R307" s="998">
        <v>0.15</v>
      </c>
      <c r="S307" s="909">
        <f t="shared" si="104"/>
        <v>6557.44</v>
      </c>
      <c r="T307" s="999">
        <v>3.7499999999999999E-2</v>
      </c>
      <c r="U307"/>
      <c r="V307"/>
      <c r="W307"/>
      <c r="X307"/>
      <c r="Y307"/>
      <c r="Z307"/>
      <c r="AA307"/>
      <c r="AB307"/>
      <c r="AC307"/>
      <c r="AD307"/>
      <c r="AE307"/>
      <c r="AF307"/>
      <c r="AG307"/>
      <c r="AH307"/>
      <c r="AI307"/>
      <c r="AJ307"/>
      <c r="AK307"/>
    </row>
    <row r="308" spans="1:37" s="65" customFormat="1" ht="15.75" x14ac:dyDescent="0.25">
      <c r="A308" s="596"/>
      <c r="B308" s="596"/>
      <c r="C308" s="596"/>
      <c r="D308" s="596"/>
      <c r="E308" s="596"/>
      <c r="F308" s="596"/>
      <c r="G308" s="902">
        <f>SUM(G300:G307)</f>
        <v>427990.91900000005</v>
      </c>
      <c r="H308" s="902">
        <f>SUM(H300:H306)</f>
        <v>383040.30999999994</v>
      </c>
      <c r="I308" s="902"/>
      <c r="J308" s="677"/>
      <c r="K308" s="677"/>
      <c r="L308" s="596"/>
      <c r="M308" s="596"/>
      <c r="N308" s="751">
        <f>SUM(N300:N307)</f>
        <v>0</v>
      </c>
      <c r="O308" s="734">
        <f>SUM(O300:O307)</f>
        <v>2485166.5599999996</v>
      </c>
      <c r="P308" s="734">
        <f>SUM(P300:P307)</f>
        <v>465968.73</v>
      </c>
      <c r="Q308" s="734">
        <f>SUM(Q300:Q307)</f>
        <v>372774.98</v>
      </c>
      <c r="R308" s="596"/>
      <c r="S308" s="734">
        <f>SUM(S300:S307)</f>
        <v>93193.739999999991</v>
      </c>
      <c r="T308" s="596"/>
      <c r="U308"/>
      <c r="V308"/>
      <c r="W308"/>
      <c r="X308"/>
      <c r="Y308"/>
      <c r="Z308"/>
      <c r="AA308"/>
      <c r="AB308"/>
      <c r="AC308"/>
      <c r="AD308"/>
      <c r="AE308"/>
      <c r="AF308"/>
      <c r="AG308"/>
      <c r="AH308"/>
      <c r="AI308"/>
      <c r="AJ308"/>
      <c r="AK308"/>
    </row>
    <row r="309" spans="1:37" s="65" customFormat="1" ht="15.75" x14ac:dyDescent="0.25">
      <c r="A309" s="596"/>
      <c r="B309" s="596"/>
      <c r="C309" s="596"/>
      <c r="D309" s="596"/>
      <c r="E309" s="596"/>
      <c r="F309" s="596"/>
      <c r="G309" s="677"/>
      <c r="H309" s="677"/>
      <c r="I309" s="677"/>
      <c r="J309" s="677"/>
      <c r="K309" s="677"/>
      <c r="L309" s="596"/>
      <c r="M309" s="596"/>
      <c r="N309" s="950"/>
      <c r="O309" s="597"/>
      <c r="P309" s="597"/>
      <c r="Q309" s="597">
        <f>SUM(Q305:Q307)</f>
        <v>237525.59</v>
      </c>
      <c r="R309" s="596"/>
      <c r="S309" s="597">
        <f>SUM(S305:S307)</f>
        <v>59381.4</v>
      </c>
      <c r="T309" s="596"/>
      <c r="U309"/>
      <c r="V309"/>
      <c r="W309"/>
      <c r="X309"/>
      <c r="Y309"/>
      <c r="Z309"/>
      <c r="AA309"/>
      <c r="AB309"/>
      <c r="AC309"/>
      <c r="AD309"/>
      <c r="AE309"/>
      <c r="AF309"/>
      <c r="AG309"/>
      <c r="AH309"/>
      <c r="AI309"/>
      <c r="AJ309"/>
      <c r="AK309"/>
    </row>
    <row r="310" spans="1:37" s="65" customFormat="1" ht="16.350000000000001" customHeight="1" x14ac:dyDescent="0.25">
      <c r="A310" s="887" t="s">
        <v>229</v>
      </c>
      <c r="B310" s="596"/>
      <c r="C310" s="596"/>
      <c r="D310" s="596"/>
      <c r="E310" s="596"/>
      <c r="F310" s="596"/>
      <c r="G310" s="677"/>
      <c r="H310" s="677"/>
      <c r="I310" s="677"/>
      <c r="J310" s="677"/>
      <c r="K310" s="677"/>
      <c r="L310" s="596"/>
      <c r="M310" s="596"/>
      <c r="N310" s="950"/>
      <c r="O310" s="596"/>
      <c r="P310" s="596"/>
      <c r="Q310" s="597"/>
      <c r="R310" s="596"/>
      <c r="S310" s="597"/>
      <c r="T310" s="596"/>
      <c r="U310"/>
      <c r="V310"/>
      <c r="W310"/>
      <c r="X310"/>
      <c r="Y310"/>
      <c r="Z310"/>
      <c r="AA310"/>
      <c r="AB310"/>
      <c r="AC310"/>
      <c r="AD310"/>
      <c r="AE310"/>
      <c r="AF310"/>
      <c r="AG310"/>
      <c r="AH310"/>
      <c r="AI310"/>
      <c r="AJ310"/>
      <c r="AK310"/>
    </row>
    <row r="311" spans="1:37" s="65" customFormat="1" ht="15.75" x14ac:dyDescent="0.25">
      <c r="A311" s="888" t="s">
        <v>28</v>
      </c>
      <c r="B311" s="889" t="s">
        <v>218</v>
      </c>
      <c r="C311" s="890" t="s">
        <v>31</v>
      </c>
      <c r="D311" s="890" t="s">
        <v>30</v>
      </c>
      <c r="E311" s="890" t="s">
        <v>101</v>
      </c>
      <c r="F311" s="891" t="s">
        <v>56</v>
      </c>
      <c r="G311" s="913">
        <f>G300</f>
        <v>145476.71520000001</v>
      </c>
      <c r="H311" s="914"/>
      <c r="I311" s="915">
        <f>I300</f>
        <v>1.82</v>
      </c>
      <c r="J311" s="916"/>
      <c r="K311" s="420"/>
      <c r="L311" s="420"/>
      <c r="M311" s="420"/>
      <c r="N311" s="904">
        <f>N300</f>
        <v>0</v>
      </c>
      <c r="O311" s="420">
        <f>ROUND(G311*I311,2)+ROUND(H311*J311,2)-K311-L311-M311-N311</f>
        <v>264767.62</v>
      </c>
      <c r="P311" s="420">
        <f t="shared" ref="P311:P318" si="106">ROUND(18.75%*O311,2)</f>
        <v>49643.93</v>
      </c>
      <c r="Q311" s="420">
        <f t="shared" ref="Q311:Q318" si="107">ROUND($O311*R311,2)</f>
        <v>39715.14</v>
      </c>
      <c r="R311" s="893">
        <v>0.15</v>
      </c>
      <c r="S311" s="420">
        <f t="shared" ref="S311:S318" si="108">ROUND($O311*T311,2)</f>
        <v>9928.7900000000009</v>
      </c>
      <c r="T311" s="919">
        <v>3.7499999999999999E-2</v>
      </c>
      <c r="U311"/>
      <c r="V311"/>
      <c r="W311"/>
      <c r="X311"/>
      <c r="Y311"/>
      <c r="Z311"/>
      <c r="AA311"/>
      <c r="AB311"/>
      <c r="AC311"/>
      <c r="AD311"/>
      <c r="AE311"/>
      <c r="AF311"/>
      <c r="AG311"/>
      <c r="AH311"/>
      <c r="AI311"/>
      <c r="AJ311"/>
      <c r="AK311"/>
    </row>
    <row r="312" spans="1:37" s="65" customFormat="1" ht="15.75" x14ac:dyDescent="0.25">
      <c r="A312" s="894" t="s">
        <v>28</v>
      </c>
      <c r="B312" s="456" t="s">
        <v>219</v>
      </c>
      <c r="C312" s="378" t="s">
        <v>31</v>
      </c>
      <c r="D312" s="378" t="s">
        <v>30</v>
      </c>
      <c r="E312" s="378" t="s">
        <v>101</v>
      </c>
      <c r="F312" s="586" t="s">
        <v>56</v>
      </c>
      <c r="G312" s="933">
        <f>G301</f>
        <v>39339.773200000003</v>
      </c>
      <c r="H312" s="587"/>
      <c r="I312" s="920">
        <f>I301</f>
        <v>4.1524999999999999</v>
      </c>
      <c r="J312" s="588"/>
      <c r="K312" s="253"/>
      <c r="L312" s="253"/>
      <c r="M312" s="253"/>
      <c r="N312" s="557"/>
      <c r="O312" s="892">
        <f t="shared" ref="O312:O318" si="109">ROUND(G312*I312,2)+ROUND(H312*J312,2)-K312-L312-M312-N312</f>
        <v>163358.41</v>
      </c>
      <c r="P312" s="253">
        <f t="shared" si="106"/>
        <v>30629.7</v>
      </c>
      <c r="Q312" s="253">
        <f t="shared" si="107"/>
        <v>24503.759999999998</v>
      </c>
      <c r="R312" s="775">
        <v>0.15</v>
      </c>
      <c r="S312" s="253">
        <f t="shared" si="108"/>
        <v>6125.94</v>
      </c>
      <c r="T312" s="921">
        <v>3.7499999999999999E-2</v>
      </c>
      <c r="U312"/>
      <c r="V312"/>
      <c r="W312"/>
      <c r="X312"/>
      <c r="Y312"/>
      <c r="Z312"/>
      <c r="AA312"/>
      <c r="AB312"/>
      <c r="AC312"/>
      <c r="AD312"/>
      <c r="AE312"/>
      <c r="AF312"/>
      <c r="AG312"/>
      <c r="AH312"/>
      <c r="AI312"/>
      <c r="AJ312"/>
      <c r="AK312"/>
    </row>
    <row r="313" spans="1:37" s="65" customFormat="1" ht="15.75" x14ac:dyDescent="0.25">
      <c r="A313" s="894" t="s">
        <v>28</v>
      </c>
      <c r="B313" s="456" t="s">
        <v>217</v>
      </c>
      <c r="C313" s="378" t="s">
        <v>31</v>
      </c>
      <c r="D313" s="378" t="s">
        <v>30</v>
      </c>
      <c r="E313" s="378" t="s">
        <v>101</v>
      </c>
      <c r="F313" s="586" t="s">
        <v>56</v>
      </c>
      <c r="G313" s="933">
        <f t="shared" ref="G313:G318" si="110">G302</f>
        <v>0</v>
      </c>
      <c r="H313" s="587"/>
      <c r="I313" s="920">
        <f t="shared" ref="I313:I318" si="111">I302</f>
        <v>0</v>
      </c>
      <c r="J313" s="588"/>
      <c r="K313" s="253"/>
      <c r="L313" s="253"/>
      <c r="M313" s="253"/>
      <c r="N313" s="557"/>
      <c r="O313" s="253">
        <f t="shared" si="109"/>
        <v>0</v>
      </c>
      <c r="P313" s="441">
        <f t="shared" si="106"/>
        <v>0</v>
      </c>
      <c r="Q313" s="441">
        <f t="shared" si="107"/>
        <v>0</v>
      </c>
      <c r="R313" s="924">
        <v>0.15</v>
      </c>
      <c r="S313" s="253">
        <f t="shared" si="108"/>
        <v>0</v>
      </c>
      <c r="T313" s="921">
        <v>3.7499999999999999E-2</v>
      </c>
      <c r="U313"/>
      <c r="V313"/>
      <c r="W313"/>
      <c r="X313"/>
      <c r="Y313"/>
      <c r="Z313"/>
      <c r="AA313"/>
      <c r="AB313"/>
      <c r="AC313"/>
      <c r="AD313"/>
      <c r="AE313"/>
      <c r="AF313"/>
      <c r="AG313"/>
      <c r="AH313"/>
      <c r="AI313"/>
      <c r="AJ313"/>
      <c r="AK313"/>
    </row>
    <row r="314" spans="1:37" s="65" customFormat="1" ht="15.75" x14ac:dyDescent="0.25">
      <c r="A314" s="894" t="s">
        <v>28</v>
      </c>
      <c r="B314" s="456" t="s">
        <v>220</v>
      </c>
      <c r="C314" s="378" t="s">
        <v>31</v>
      </c>
      <c r="D314" s="378" t="s">
        <v>30</v>
      </c>
      <c r="E314" s="378" t="s">
        <v>101</v>
      </c>
      <c r="F314" s="586" t="s">
        <v>56</v>
      </c>
      <c r="G314" s="933">
        <f t="shared" si="110"/>
        <v>0</v>
      </c>
      <c r="H314" s="587"/>
      <c r="I314" s="920">
        <f t="shared" si="111"/>
        <v>0</v>
      </c>
      <c r="J314" s="588"/>
      <c r="K314" s="253"/>
      <c r="L314" s="253"/>
      <c r="M314" s="253"/>
      <c r="N314" s="557"/>
      <c r="O314" s="253">
        <f t="shared" si="109"/>
        <v>0</v>
      </c>
      <c r="P314" s="441">
        <f t="shared" si="106"/>
        <v>0</v>
      </c>
      <c r="Q314" s="441">
        <f t="shared" si="107"/>
        <v>0</v>
      </c>
      <c r="R314" s="924">
        <v>0.15</v>
      </c>
      <c r="S314" s="253">
        <f t="shared" si="108"/>
        <v>0</v>
      </c>
      <c r="T314" s="921">
        <v>3.7499999999999999E-2</v>
      </c>
      <c r="U314"/>
      <c r="V314"/>
      <c r="W314"/>
      <c r="X314"/>
      <c r="Y314"/>
      <c r="Z314"/>
      <c r="AA314"/>
      <c r="AB314"/>
      <c r="AC314"/>
      <c r="AD314"/>
      <c r="AE314"/>
      <c r="AF314"/>
      <c r="AG314"/>
      <c r="AH314"/>
      <c r="AI314"/>
      <c r="AJ314"/>
      <c r="AK314"/>
    </row>
    <row r="315" spans="1:37" s="1" customFormat="1" ht="15.75" x14ac:dyDescent="0.25">
      <c r="A315" s="894" t="s">
        <v>28</v>
      </c>
      <c r="B315" s="456" t="s">
        <v>222</v>
      </c>
      <c r="C315" s="378" t="s">
        <v>31</v>
      </c>
      <c r="D315" s="378" t="s">
        <v>30</v>
      </c>
      <c r="E315" s="378" t="s">
        <v>101</v>
      </c>
      <c r="F315" s="586" t="s">
        <v>56</v>
      </c>
      <c r="G315" s="933">
        <f t="shared" si="110"/>
        <v>0</v>
      </c>
      <c r="H315" s="587"/>
      <c r="I315" s="920">
        <f t="shared" si="111"/>
        <v>0</v>
      </c>
      <c r="J315" s="588"/>
      <c r="K315" s="253"/>
      <c r="L315" s="253"/>
      <c r="M315" s="253"/>
      <c r="N315" s="934"/>
      <c r="O315" s="253">
        <f t="shared" si="109"/>
        <v>0</v>
      </c>
      <c r="P315" s="441">
        <f t="shared" si="106"/>
        <v>0</v>
      </c>
      <c r="Q315" s="441">
        <f t="shared" si="107"/>
        <v>0</v>
      </c>
      <c r="R315" s="924">
        <v>0.15</v>
      </c>
      <c r="S315" s="253">
        <f t="shared" si="108"/>
        <v>0</v>
      </c>
      <c r="T315" s="921">
        <v>3.7499999999999999E-2</v>
      </c>
      <c r="U315"/>
      <c r="V315"/>
      <c r="W315"/>
      <c r="X315"/>
      <c r="Y315"/>
      <c r="Z315"/>
      <c r="AA315"/>
      <c r="AB315"/>
      <c r="AC315"/>
      <c r="AD315"/>
      <c r="AE315"/>
      <c r="AF315"/>
      <c r="AG315"/>
      <c r="AH315"/>
      <c r="AI315"/>
      <c r="AJ315"/>
      <c r="AK315"/>
    </row>
    <row r="316" spans="1:37" s="65" customFormat="1" ht="16.350000000000001" customHeight="1" x14ac:dyDescent="0.25">
      <c r="A316" s="894"/>
      <c r="B316" s="456" t="s">
        <v>226</v>
      </c>
      <c r="C316" s="378" t="s">
        <v>31</v>
      </c>
      <c r="D316" s="378" t="s">
        <v>30</v>
      </c>
      <c r="E316" s="378" t="s">
        <v>101</v>
      </c>
      <c r="F316" s="586" t="s">
        <v>56</v>
      </c>
      <c r="G316" s="933">
        <f t="shared" si="110"/>
        <v>213047.7206</v>
      </c>
      <c r="H316" s="587"/>
      <c r="I316" s="920">
        <f t="shared" si="111"/>
        <v>3.6153</v>
      </c>
      <c r="J316" s="588"/>
      <c r="K316" s="253"/>
      <c r="L316" s="253"/>
      <c r="M316" s="253"/>
      <c r="N316" s="934"/>
      <c r="O316" s="253">
        <f t="shared" si="109"/>
        <v>770231.42</v>
      </c>
      <c r="P316" s="441">
        <f t="shared" si="106"/>
        <v>144418.39000000001</v>
      </c>
      <c r="Q316" s="441">
        <f t="shared" si="107"/>
        <v>115534.71</v>
      </c>
      <c r="R316" s="924">
        <v>0.15</v>
      </c>
      <c r="S316" s="253">
        <f t="shared" si="108"/>
        <v>28883.68</v>
      </c>
      <c r="T316" s="921">
        <v>3.7499999999999999E-2</v>
      </c>
      <c r="U316"/>
      <c r="V316"/>
      <c r="W316"/>
      <c r="X316"/>
      <c r="Y316"/>
      <c r="Z316"/>
      <c r="AA316"/>
      <c r="AB316"/>
      <c r="AC316"/>
      <c r="AD316"/>
      <c r="AE316"/>
      <c r="AF316"/>
      <c r="AG316"/>
      <c r="AH316"/>
      <c r="AI316"/>
      <c r="AJ316"/>
      <c r="AK316"/>
    </row>
    <row r="317" spans="1:37" s="65" customFormat="1" ht="15.75" x14ac:dyDescent="0.25">
      <c r="A317" s="1007"/>
      <c r="B317" s="1008" t="s">
        <v>225</v>
      </c>
      <c r="C317" s="1009" t="s">
        <v>31</v>
      </c>
      <c r="D317" s="1009" t="s">
        <v>30</v>
      </c>
      <c r="E317" s="1009" t="s">
        <v>101</v>
      </c>
      <c r="F317" s="1010" t="s">
        <v>56</v>
      </c>
      <c r="G317" s="933">
        <f t="shared" si="110"/>
        <v>0</v>
      </c>
      <c r="H317" s="1011"/>
      <c r="I317" s="920">
        <f t="shared" si="111"/>
        <v>0</v>
      </c>
      <c r="J317" s="1012"/>
      <c r="K317" s="1013"/>
      <c r="L317" s="1013"/>
      <c r="M317" s="1013"/>
      <c r="N317" s="1014"/>
      <c r="O317" s="253">
        <f t="shared" si="109"/>
        <v>0</v>
      </c>
      <c r="P317" s="1004">
        <f t="shared" si="106"/>
        <v>0</v>
      </c>
      <c r="Q317" s="1004">
        <f t="shared" si="107"/>
        <v>0</v>
      </c>
      <c r="R317" s="1006">
        <v>0.15</v>
      </c>
      <c r="S317" s="253">
        <f t="shared" si="108"/>
        <v>0</v>
      </c>
      <c r="T317" s="921">
        <v>3.7499999999999999E-2</v>
      </c>
      <c r="U317"/>
      <c r="V317"/>
      <c r="W317"/>
      <c r="X317"/>
      <c r="Y317"/>
      <c r="Z317"/>
      <c r="AA317"/>
      <c r="AB317"/>
      <c r="AC317"/>
      <c r="AD317"/>
      <c r="AE317"/>
      <c r="AF317"/>
      <c r="AG317"/>
      <c r="AH317"/>
      <c r="AI317"/>
      <c r="AJ317"/>
      <c r="AK317"/>
    </row>
    <row r="318" spans="1:37" s="65" customFormat="1" ht="15.75" x14ac:dyDescent="0.25">
      <c r="A318" s="993"/>
      <c r="B318" s="994" t="s">
        <v>362</v>
      </c>
      <c r="C318" s="995" t="s">
        <v>31</v>
      </c>
      <c r="D318" s="995" t="s">
        <v>30</v>
      </c>
      <c r="E318" s="995" t="s">
        <v>101</v>
      </c>
      <c r="F318" s="995" t="s">
        <v>56</v>
      </c>
      <c r="G318" s="1068">
        <f t="shared" si="110"/>
        <v>30126.71</v>
      </c>
      <c r="H318" s="996"/>
      <c r="I318" s="949">
        <f t="shared" si="111"/>
        <v>2.82</v>
      </c>
      <c r="J318" s="949"/>
      <c r="K318" s="909"/>
      <c r="L318" s="909"/>
      <c r="M318" s="909"/>
      <c r="N318" s="997"/>
      <c r="O318" s="909">
        <f t="shared" si="109"/>
        <v>84957.32</v>
      </c>
      <c r="P318" s="909">
        <f t="shared" si="106"/>
        <v>15929.5</v>
      </c>
      <c r="Q318" s="909">
        <f t="shared" si="107"/>
        <v>12743.6</v>
      </c>
      <c r="R318" s="998">
        <v>0.15</v>
      </c>
      <c r="S318" s="909">
        <f t="shared" si="108"/>
        <v>3185.9</v>
      </c>
      <c r="T318" s="999">
        <v>3.7499999999999999E-2</v>
      </c>
      <c r="U318"/>
      <c r="V318"/>
      <c r="W318"/>
      <c r="X318"/>
      <c r="Y318"/>
      <c r="Z318"/>
      <c r="AA318"/>
      <c r="AB318"/>
      <c r="AC318"/>
      <c r="AD318"/>
      <c r="AE318"/>
      <c r="AF318"/>
      <c r="AG318"/>
      <c r="AH318"/>
      <c r="AI318"/>
      <c r="AJ318"/>
      <c r="AK318"/>
    </row>
    <row r="319" spans="1:37" s="65" customFormat="1" ht="15.75" x14ac:dyDescent="0.25">
      <c r="A319" s="596"/>
      <c r="B319" s="596"/>
      <c r="C319" s="596"/>
      <c r="D319" s="596"/>
      <c r="E319" s="596"/>
      <c r="F319" s="596"/>
      <c r="G319" s="902">
        <f>SUM(G311:G318)</f>
        <v>427990.91900000005</v>
      </c>
      <c r="H319" s="902"/>
      <c r="I319" s="937">
        <f>O319/G319</f>
        <v>2.9984626145771101</v>
      </c>
      <c r="J319" s="937"/>
      <c r="K319" s="677"/>
      <c r="L319" s="596"/>
      <c r="M319" s="596"/>
      <c r="N319" s="1059">
        <f>SUM(N311:N317)</f>
        <v>0</v>
      </c>
      <c r="O319" s="734">
        <f>SUM(O311:O318)</f>
        <v>1283314.7700000003</v>
      </c>
      <c r="P319" s="734">
        <f>SUM(P311:P318)</f>
        <v>240621.52000000002</v>
      </c>
      <c r="Q319" s="734">
        <f>SUM(Q311:Q317)</f>
        <v>179753.61</v>
      </c>
      <c r="R319" s="734"/>
      <c r="S319" s="734">
        <f>SUM(S311:S317)</f>
        <v>44938.41</v>
      </c>
      <c r="T319" s="734"/>
      <c r="U319"/>
      <c r="V319"/>
      <c r="W319"/>
      <c r="X319"/>
      <c r="Y319"/>
      <c r="Z319"/>
      <c r="AA319"/>
      <c r="AB319"/>
      <c r="AC319"/>
      <c r="AD319"/>
      <c r="AE319"/>
      <c r="AF319"/>
      <c r="AG319"/>
      <c r="AH319"/>
      <c r="AI319"/>
      <c r="AJ319"/>
      <c r="AK319"/>
    </row>
    <row r="320" spans="1:37" s="65" customFormat="1" ht="15.75" x14ac:dyDescent="0.25">
      <c r="A320" s="596"/>
      <c r="B320" s="596"/>
      <c r="C320" s="596"/>
      <c r="D320" s="596"/>
      <c r="E320" s="596"/>
      <c r="F320" s="596"/>
      <c r="G320" s="677"/>
      <c r="H320" s="677"/>
      <c r="I320" s="677"/>
      <c r="J320" s="677"/>
      <c r="K320" s="677"/>
      <c r="L320" s="596"/>
      <c r="M320" s="596"/>
      <c r="N320" s="950"/>
      <c r="O320" s="683">
        <f>+O319+O331</f>
        <v>2485166.5600000005</v>
      </c>
      <c r="P320" s="596"/>
      <c r="Q320" s="596"/>
      <c r="R320" s="596"/>
      <c r="S320" s="596"/>
      <c r="T320" s="596"/>
      <c r="U320"/>
      <c r="V320"/>
      <c r="W320"/>
      <c r="X320"/>
      <c r="Y320"/>
      <c r="Z320"/>
      <c r="AA320"/>
      <c r="AB320"/>
      <c r="AC320"/>
      <c r="AD320"/>
      <c r="AE320"/>
      <c r="AF320"/>
      <c r="AG320"/>
      <c r="AH320"/>
      <c r="AI320"/>
      <c r="AJ320"/>
      <c r="AK320"/>
    </row>
    <row r="321" spans="1:37" s="65" customFormat="1" ht="15.75" x14ac:dyDescent="0.25">
      <c r="A321" s="596"/>
      <c r="B321" s="596"/>
      <c r="C321" s="596"/>
      <c r="D321" s="596"/>
      <c r="E321" s="596"/>
      <c r="F321" s="596"/>
      <c r="G321" s="677"/>
      <c r="H321" s="677"/>
      <c r="I321" s="677"/>
      <c r="J321" s="677"/>
      <c r="K321" s="677"/>
      <c r="L321" s="596"/>
      <c r="M321" s="596"/>
      <c r="N321" s="950"/>
      <c r="O321" s="597">
        <f>+O320-O308</f>
        <v>0</v>
      </c>
      <c r="P321" s="596"/>
      <c r="Q321" s="596"/>
      <c r="R321" s="596"/>
      <c r="S321" s="596"/>
      <c r="T321" s="596"/>
      <c r="U321"/>
      <c r="V321"/>
      <c r="W321"/>
      <c r="X321"/>
      <c r="Y321"/>
      <c r="Z321"/>
      <c r="AA321"/>
      <c r="AB321"/>
      <c r="AC321"/>
      <c r="AD321"/>
      <c r="AE321"/>
      <c r="AF321"/>
      <c r="AG321"/>
      <c r="AH321"/>
      <c r="AI321"/>
      <c r="AJ321"/>
      <c r="AK321"/>
    </row>
    <row r="322" spans="1:37" s="65" customFormat="1" ht="16.350000000000001" customHeight="1" x14ac:dyDescent="0.25">
      <c r="A322" s="887" t="s">
        <v>230</v>
      </c>
      <c r="B322" s="596"/>
      <c r="C322" s="596"/>
      <c r="D322" s="596"/>
      <c r="E322" s="596"/>
      <c r="F322" s="596"/>
      <c r="G322" s="677"/>
      <c r="H322" s="677"/>
      <c r="I322" s="677"/>
      <c r="J322" s="677"/>
      <c r="K322" s="677"/>
      <c r="L322" s="596"/>
      <c r="M322" s="596"/>
      <c r="N322" s="950"/>
      <c r="O322" s="596"/>
      <c r="P322" s="596"/>
      <c r="Q322" s="597"/>
      <c r="R322" s="596"/>
      <c r="S322" s="596"/>
      <c r="T322" s="596"/>
      <c r="U322"/>
      <c r="V322"/>
      <c r="W322"/>
      <c r="X322"/>
      <c r="Y322"/>
      <c r="Z322"/>
      <c r="AA322"/>
      <c r="AB322"/>
      <c r="AC322"/>
      <c r="AD322"/>
      <c r="AE322"/>
      <c r="AF322"/>
      <c r="AG322"/>
      <c r="AH322"/>
      <c r="AI322"/>
      <c r="AJ322"/>
      <c r="AK322"/>
    </row>
    <row r="323" spans="1:37" s="65" customFormat="1" ht="15.75" x14ac:dyDescent="0.25">
      <c r="A323" s="888" t="s">
        <v>28</v>
      </c>
      <c r="B323" s="889" t="s">
        <v>218</v>
      </c>
      <c r="C323" s="890" t="s">
        <v>31</v>
      </c>
      <c r="D323" s="890" t="s">
        <v>30</v>
      </c>
      <c r="E323" s="890" t="s">
        <v>101</v>
      </c>
      <c r="F323" s="891" t="s">
        <v>56</v>
      </c>
      <c r="G323" s="914"/>
      <c r="H323" s="947">
        <f>H300</f>
        <v>165483.17559999999</v>
      </c>
      <c r="I323" s="916"/>
      <c r="J323" s="947">
        <f>J300</f>
        <v>1.82</v>
      </c>
      <c r="K323" s="420"/>
      <c r="L323" s="420"/>
      <c r="M323" s="420"/>
      <c r="N323" s="1060"/>
      <c r="O323" s="420">
        <f>ROUND(G323*I323,2)+ROUND(H323*J323,2)-K323-L323-M323-N323</f>
        <v>301179.38</v>
      </c>
      <c r="P323" s="420">
        <f t="shared" ref="P323:P330" si="112">ROUND(18.75%*O323,2)</f>
        <v>56471.13</v>
      </c>
      <c r="Q323" s="420">
        <f t="shared" ref="Q323:Q330" si="113">ROUND($O323*R323,2)</f>
        <v>45176.91</v>
      </c>
      <c r="R323" s="893">
        <v>0.15</v>
      </c>
      <c r="S323" s="420">
        <f t="shared" ref="S323:S330" si="114">ROUND($O323*T323,2)</f>
        <v>11294.23</v>
      </c>
      <c r="T323" s="919">
        <v>3.7499999999999999E-2</v>
      </c>
      <c r="U323"/>
      <c r="V323"/>
      <c r="W323"/>
      <c r="X323"/>
      <c r="Y323"/>
      <c r="Z323"/>
      <c r="AA323"/>
      <c r="AB323"/>
      <c r="AC323"/>
      <c r="AD323"/>
      <c r="AE323"/>
      <c r="AF323"/>
      <c r="AG323"/>
      <c r="AH323"/>
      <c r="AI323"/>
      <c r="AJ323"/>
      <c r="AK323"/>
    </row>
    <row r="324" spans="1:37" s="65" customFormat="1" ht="15.75" x14ac:dyDescent="0.25">
      <c r="A324" s="894" t="s">
        <v>28</v>
      </c>
      <c r="B324" s="456" t="s">
        <v>219</v>
      </c>
      <c r="C324" s="378" t="s">
        <v>31</v>
      </c>
      <c r="D324" s="378" t="s">
        <v>30</v>
      </c>
      <c r="E324" s="378" t="s">
        <v>101</v>
      </c>
      <c r="F324" s="586" t="s">
        <v>56</v>
      </c>
      <c r="G324" s="587"/>
      <c r="H324" s="1012">
        <f>H301</f>
        <v>45238.103999999999</v>
      </c>
      <c r="I324" s="588"/>
      <c r="J324" s="588">
        <f>J301</f>
        <v>3.81</v>
      </c>
      <c r="K324" s="253"/>
      <c r="L324" s="253"/>
      <c r="M324" s="253"/>
      <c r="N324" s="557"/>
      <c r="O324" s="892">
        <f t="shared" ref="O324:O330" si="115">ROUND(G324*I324,2)+ROUND(H324*J324,2)-K324-L324-M324-N324</f>
        <v>172357.18</v>
      </c>
      <c r="P324" s="253">
        <f t="shared" si="112"/>
        <v>32316.97</v>
      </c>
      <c r="Q324" s="253">
        <f t="shared" si="113"/>
        <v>25853.58</v>
      </c>
      <c r="R324" s="775">
        <v>0.15</v>
      </c>
      <c r="S324" s="253">
        <f t="shared" si="114"/>
        <v>6463.39</v>
      </c>
      <c r="T324" s="921">
        <v>3.7499999999999999E-2</v>
      </c>
      <c r="U324"/>
      <c r="V324"/>
      <c r="W324"/>
      <c r="X324"/>
      <c r="Y324"/>
      <c r="Z324"/>
      <c r="AA324"/>
      <c r="AB324"/>
      <c r="AC324"/>
      <c r="AD324"/>
      <c r="AE324"/>
      <c r="AF324"/>
      <c r="AG324"/>
      <c r="AH324"/>
      <c r="AI324"/>
      <c r="AJ324"/>
      <c r="AK324"/>
    </row>
    <row r="325" spans="1:37" s="65" customFormat="1" ht="15.75" x14ac:dyDescent="0.25">
      <c r="A325" s="894" t="s">
        <v>28</v>
      </c>
      <c r="B325" s="456" t="s">
        <v>217</v>
      </c>
      <c r="C325" s="378" t="s">
        <v>31</v>
      </c>
      <c r="D325" s="378" t="s">
        <v>30</v>
      </c>
      <c r="E325" s="378" t="s">
        <v>101</v>
      </c>
      <c r="F325" s="586" t="s">
        <v>56</v>
      </c>
      <c r="G325" s="587"/>
      <c r="H325" s="920"/>
      <c r="I325" s="588"/>
      <c r="J325" s="588"/>
      <c r="K325" s="253"/>
      <c r="L325" s="253"/>
      <c r="M325" s="253"/>
      <c r="N325" s="557"/>
      <c r="O325" s="253">
        <f t="shared" si="115"/>
        <v>0</v>
      </c>
      <c r="P325" s="441">
        <f t="shared" si="112"/>
        <v>0</v>
      </c>
      <c r="Q325" s="441">
        <f t="shared" si="113"/>
        <v>0</v>
      </c>
      <c r="R325" s="924">
        <v>0.15</v>
      </c>
      <c r="S325" s="253">
        <f t="shared" si="114"/>
        <v>0</v>
      </c>
      <c r="T325" s="921">
        <v>3.7499999999999999E-2</v>
      </c>
      <c r="U325"/>
      <c r="V325"/>
      <c r="W325"/>
      <c r="X325"/>
      <c r="Y325"/>
      <c r="Z325"/>
      <c r="AA325"/>
      <c r="AB325"/>
      <c r="AC325"/>
      <c r="AD325"/>
      <c r="AE325"/>
      <c r="AF325"/>
      <c r="AG325"/>
      <c r="AH325"/>
      <c r="AI325"/>
      <c r="AJ325"/>
      <c r="AK325"/>
    </row>
    <row r="326" spans="1:37" s="65" customFormat="1" ht="15.75" x14ac:dyDescent="0.25">
      <c r="A326" s="894" t="s">
        <v>28</v>
      </c>
      <c r="B326" s="456" t="s">
        <v>220</v>
      </c>
      <c r="C326" s="378" t="s">
        <v>31</v>
      </c>
      <c r="D326" s="378" t="s">
        <v>30</v>
      </c>
      <c r="E326" s="378" t="s">
        <v>101</v>
      </c>
      <c r="F326" s="586" t="s">
        <v>56</v>
      </c>
      <c r="G326" s="587"/>
      <c r="H326" s="920"/>
      <c r="I326" s="588"/>
      <c r="J326" s="588"/>
      <c r="K326" s="253"/>
      <c r="L326" s="253"/>
      <c r="M326" s="253"/>
      <c r="N326" s="557"/>
      <c r="O326" s="253">
        <f t="shared" si="115"/>
        <v>0</v>
      </c>
      <c r="P326" s="441">
        <f t="shared" si="112"/>
        <v>0</v>
      </c>
      <c r="Q326" s="441">
        <f t="shared" si="113"/>
        <v>0</v>
      </c>
      <c r="R326" s="924">
        <v>0.15</v>
      </c>
      <c r="S326" s="253">
        <f t="shared" si="114"/>
        <v>0</v>
      </c>
      <c r="T326" s="921">
        <v>3.7499999999999999E-2</v>
      </c>
      <c r="U326"/>
      <c r="V326"/>
      <c r="W326"/>
      <c r="X326"/>
      <c r="Y326"/>
      <c r="Z326"/>
      <c r="AA326"/>
      <c r="AB326"/>
      <c r="AC326"/>
      <c r="AD326"/>
      <c r="AE326"/>
      <c r="AF326"/>
      <c r="AG326"/>
      <c r="AH326"/>
      <c r="AI326"/>
      <c r="AJ326"/>
      <c r="AK326"/>
    </row>
    <row r="327" spans="1:37" s="65" customFormat="1" ht="15.75" x14ac:dyDescent="0.25">
      <c r="A327" s="894" t="s">
        <v>28</v>
      </c>
      <c r="B327" s="456" t="s">
        <v>222</v>
      </c>
      <c r="C327" s="378" t="s">
        <v>31</v>
      </c>
      <c r="D327" s="378" t="s">
        <v>30</v>
      </c>
      <c r="E327" s="378" t="s">
        <v>101</v>
      </c>
      <c r="F327" s="586" t="s">
        <v>56</v>
      </c>
      <c r="G327" s="587"/>
      <c r="H327" s="920"/>
      <c r="I327" s="588"/>
      <c r="J327" s="588"/>
      <c r="K327" s="253"/>
      <c r="L327" s="253"/>
      <c r="M327" s="253"/>
      <c r="N327" s="934"/>
      <c r="O327" s="253">
        <f t="shared" si="115"/>
        <v>0</v>
      </c>
      <c r="P327" s="441">
        <f t="shared" si="112"/>
        <v>0</v>
      </c>
      <c r="Q327" s="441">
        <f t="shared" si="113"/>
        <v>0</v>
      </c>
      <c r="R327" s="924">
        <v>0.15</v>
      </c>
      <c r="S327" s="253">
        <f t="shared" si="114"/>
        <v>0</v>
      </c>
      <c r="T327" s="921">
        <v>3.7499999999999999E-2</v>
      </c>
      <c r="U327"/>
      <c r="V327"/>
      <c r="W327"/>
      <c r="X327"/>
      <c r="Y327"/>
      <c r="Z327"/>
      <c r="AA327"/>
      <c r="AB327"/>
      <c r="AC327"/>
      <c r="AD327"/>
      <c r="AE327"/>
      <c r="AF327"/>
      <c r="AG327"/>
      <c r="AH327"/>
      <c r="AI327"/>
      <c r="AJ327"/>
      <c r="AK327"/>
    </row>
    <row r="328" spans="1:37" s="65" customFormat="1" ht="16.350000000000001" customHeight="1" x14ac:dyDescent="0.25">
      <c r="A328" s="894"/>
      <c r="B328" s="456" t="s">
        <v>226</v>
      </c>
      <c r="C328" s="378" t="s">
        <v>31</v>
      </c>
      <c r="D328" s="378" t="s">
        <v>30</v>
      </c>
      <c r="E328" s="378" t="s">
        <v>101</v>
      </c>
      <c r="F328" s="586" t="s">
        <v>56</v>
      </c>
      <c r="G328" s="587"/>
      <c r="H328" s="920">
        <f>H305</f>
        <v>172319.03039999999</v>
      </c>
      <c r="I328" s="588"/>
      <c r="J328" s="588">
        <f>J305</f>
        <v>3.7048000000000001</v>
      </c>
      <c r="K328" s="253"/>
      <c r="L328" s="253"/>
      <c r="M328" s="253"/>
      <c r="N328" s="934"/>
      <c r="O328" s="253">
        <f t="shared" si="115"/>
        <v>638407.54</v>
      </c>
      <c r="P328" s="441">
        <f t="shared" si="112"/>
        <v>119701.41</v>
      </c>
      <c r="Q328" s="441">
        <f t="shared" si="113"/>
        <v>95761.13</v>
      </c>
      <c r="R328" s="924">
        <v>0.15</v>
      </c>
      <c r="S328" s="253">
        <f t="shared" si="114"/>
        <v>23940.28</v>
      </c>
      <c r="T328" s="921">
        <v>3.7499999999999999E-2</v>
      </c>
      <c r="U328"/>
      <c r="V328"/>
      <c r="W328"/>
      <c r="X328"/>
      <c r="Y328"/>
      <c r="Z328"/>
      <c r="AA328"/>
      <c r="AB328"/>
      <c r="AC328"/>
      <c r="AD328"/>
      <c r="AE328"/>
      <c r="AF328"/>
      <c r="AG328"/>
      <c r="AH328"/>
      <c r="AI328"/>
      <c r="AJ328"/>
      <c r="AK328"/>
    </row>
    <row r="329" spans="1:37" s="65" customFormat="1" ht="15.75" x14ac:dyDescent="0.25">
      <c r="A329" s="894"/>
      <c r="B329" s="456" t="s">
        <v>225</v>
      </c>
      <c r="C329" s="378" t="s">
        <v>31</v>
      </c>
      <c r="D329" s="378" t="s">
        <v>30</v>
      </c>
      <c r="E329" s="378" t="s">
        <v>101</v>
      </c>
      <c r="F329" s="586" t="s">
        <v>56</v>
      </c>
      <c r="G329" s="587"/>
      <c r="H329" s="920"/>
      <c r="I329" s="588"/>
      <c r="J329" s="933"/>
      <c r="K329" s="253"/>
      <c r="L329" s="253"/>
      <c r="M329" s="253"/>
      <c r="N329" s="557"/>
      <c r="O329" s="253">
        <f t="shared" si="115"/>
        <v>0</v>
      </c>
      <c r="P329" s="1004">
        <f t="shared" si="112"/>
        <v>0</v>
      </c>
      <c r="Q329" s="1004">
        <f t="shared" si="113"/>
        <v>0</v>
      </c>
      <c r="R329" s="1006">
        <v>0.15</v>
      </c>
      <c r="S329" s="253">
        <f t="shared" si="114"/>
        <v>0</v>
      </c>
      <c r="T329" s="921">
        <v>3.7499999999999999E-2</v>
      </c>
      <c r="U329"/>
      <c r="V329"/>
      <c r="W329"/>
      <c r="X329"/>
      <c r="Y329"/>
      <c r="Z329"/>
      <c r="AA329"/>
      <c r="AB329"/>
      <c r="AC329"/>
      <c r="AD329"/>
      <c r="AE329"/>
      <c r="AF329"/>
      <c r="AG329"/>
      <c r="AH329"/>
      <c r="AI329"/>
      <c r="AJ329"/>
      <c r="AK329"/>
    </row>
    <row r="330" spans="1:37" s="65" customFormat="1" ht="15.75" x14ac:dyDescent="0.25">
      <c r="A330" s="993"/>
      <c r="B330" s="994" t="s">
        <v>362</v>
      </c>
      <c r="C330" s="995" t="s">
        <v>31</v>
      </c>
      <c r="D330" s="995" t="s">
        <v>30</v>
      </c>
      <c r="E330" s="995" t="s">
        <v>101</v>
      </c>
      <c r="F330" s="995" t="s">
        <v>56</v>
      </c>
      <c r="G330" s="996"/>
      <c r="H330" s="928">
        <f>H307</f>
        <v>31882.16</v>
      </c>
      <c r="I330" s="949"/>
      <c r="J330" s="929">
        <f>J307</f>
        <v>2.82</v>
      </c>
      <c r="K330" s="909"/>
      <c r="L330" s="909"/>
      <c r="M330" s="909"/>
      <c r="N330" s="997"/>
      <c r="O330" s="909">
        <f t="shared" si="115"/>
        <v>89907.69</v>
      </c>
      <c r="P330" s="909">
        <f t="shared" si="112"/>
        <v>16857.689999999999</v>
      </c>
      <c r="Q330" s="909">
        <f t="shared" si="113"/>
        <v>13486.15</v>
      </c>
      <c r="R330" s="998">
        <v>0.15</v>
      </c>
      <c r="S330" s="909">
        <f t="shared" si="114"/>
        <v>3371.54</v>
      </c>
      <c r="T330" s="999">
        <v>3.7499999999999999E-2</v>
      </c>
      <c r="U330"/>
      <c r="V330"/>
      <c r="W330"/>
      <c r="X330"/>
      <c r="Y330"/>
      <c r="Z330"/>
      <c r="AA330"/>
      <c r="AB330"/>
      <c r="AC330"/>
      <c r="AD330"/>
      <c r="AE330"/>
      <c r="AF330"/>
      <c r="AG330"/>
      <c r="AH330"/>
      <c r="AI330"/>
      <c r="AJ330"/>
      <c r="AK330"/>
    </row>
    <row r="331" spans="1:37" s="65" customFormat="1" ht="15.75" x14ac:dyDescent="0.25">
      <c r="A331" s="596"/>
      <c r="B331" s="596"/>
      <c r="C331" s="596"/>
      <c r="D331" s="596"/>
      <c r="E331" s="596"/>
      <c r="F331" s="596"/>
      <c r="G331" s="902"/>
      <c r="H331" s="902">
        <f>SUM(H323:H330)</f>
        <v>414922.46999999991</v>
      </c>
      <c r="I331" s="937"/>
      <c r="J331" s="937">
        <f>O331/H331</f>
        <v>2.8965695446669839</v>
      </c>
      <c r="K331" s="677"/>
      <c r="L331" s="596"/>
      <c r="M331" s="596"/>
      <c r="N331" s="1059"/>
      <c r="O331" s="734">
        <f>SUM(O323:O330)</f>
        <v>1201851.79</v>
      </c>
      <c r="P331" s="734">
        <f>SUM(P323:P330)</f>
        <v>225347.20000000001</v>
      </c>
      <c r="Q331" s="734">
        <f>SUM(Q323:Q330)</f>
        <v>180277.77</v>
      </c>
      <c r="R331" s="596"/>
      <c r="S331" s="734">
        <f>SUM(S323:S330)</f>
        <v>45069.439999999995</v>
      </c>
      <c r="T331" s="596"/>
      <c r="U331"/>
      <c r="V331"/>
      <c r="W331"/>
      <c r="X331"/>
      <c r="Y331"/>
      <c r="Z331"/>
      <c r="AA331"/>
      <c r="AB331"/>
      <c r="AC331"/>
      <c r="AD331"/>
      <c r="AE331"/>
      <c r="AF331"/>
      <c r="AG331"/>
      <c r="AH331"/>
      <c r="AI331"/>
      <c r="AJ331"/>
      <c r="AK331"/>
    </row>
    <row r="332" spans="1:37" s="65" customFormat="1" ht="15.75" x14ac:dyDescent="0.25">
      <c r="A332" s="596"/>
      <c r="B332" s="596"/>
      <c r="C332" s="596"/>
      <c r="D332" s="596"/>
      <c r="E332" s="596"/>
      <c r="F332" s="596"/>
      <c r="G332" s="677"/>
      <c r="H332" s="677"/>
      <c r="I332" s="677"/>
      <c r="J332" s="677"/>
      <c r="K332" s="677"/>
      <c r="L332" s="596"/>
      <c r="M332" s="596"/>
      <c r="N332" s="950"/>
      <c r="O332" s="596"/>
      <c r="P332" s="596"/>
      <c r="Q332" s="596"/>
      <c r="R332" s="596"/>
      <c r="S332" s="596"/>
      <c r="T332" s="596"/>
      <c r="U332"/>
      <c r="V332"/>
      <c r="W332"/>
      <c r="X332"/>
      <c r="Y332"/>
      <c r="Z332"/>
      <c r="AA332"/>
      <c r="AB332"/>
      <c r="AC332"/>
      <c r="AD332"/>
      <c r="AE332"/>
      <c r="AF332"/>
      <c r="AG332"/>
      <c r="AH332"/>
      <c r="AI332"/>
      <c r="AJ332"/>
      <c r="AK332"/>
    </row>
    <row r="333" spans="1:37" s="65" customFormat="1" ht="15.75" x14ac:dyDescent="0.25">
      <c r="A333" s="596"/>
      <c r="B333" s="596"/>
      <c r="C333" s="596"/>
      <c r="D333" s="596"/>
      <c r="E333" s="596"/>
      <c r="F333" s="596"/>
      <c r="G333" s="596"/>
      <c r="H333" s="596"/>
      <c r="I333" s="596"/>
      <c r="J333" s="596"/>
      <c r="K333" s="596"/>
      <c r="L333" s="596"/>
      <c r="M333" s="596"/>
      <c r="N333" s="1061"/>
      <c r="O333" s="596"/>
      <c r="P333" s="596"/>
      <c r="Q333" s="596"/>
      <c r="R333" s="596"/>
      <c r="S333" s="596"/>
      <c r="T333" s="596"/>
      <c r="U333"/>
      <c r="V333"/>
      <c r="W333"/>
      <c r="X333"/>
      <c r="Y333"/>
      <c r="Z333"/>
      <c r="AA333"/>
      <c r="AB333"/>
      <c r="AC333"/>
      <c r="AD333"/>
      <c r="AE333"/>
      <c r="AF333"/>
      <c r="AG333"/>
      <c r="AH333"/>
      <c r="AI333"/>
      <c r="AJ333"/>
      <c r="AK333"/>
    </row>
    <row r="334" spans="1:37" s="65" customFormat="1" ht="16.350000000000001" customHeight="1" x14ac:dyDescent="0.25">
      <c r="A334" s="596"/>
      <c r="B334" s="596"/>
      <c r="C334" s="596"/>
      <c r="D334" s="596"/>
      <c r="E334" s="596"/>
      <c r="F334" s="596"/>
      <c r="G334" s="677"/>
      <c r="H334" s="677"/>
      <c r="I334" s="677"/>
      <c r="J334" s="677"/>
      <c r="K334" s="677"/>
      <c r="L334" s="596"/>
      <c r="M334" s="596"/>
      <c r="N334" s="1061"/>
      <c r="O334" s="596"/>
      <c r="P334" s="596"/>
      <c r="Q334" s="596"/>
      <c r="R334" s="596"/>
      <c r="S334" s="596"/>
      <c r="T334" s="596"/>
      <c r="U334"/>
      <c r="V334"/>
      <c r="W334"/>
      <c r="X334"/>
      <c r="Y334"/>
      <c r="Z334"/>
      <c r="AA334"/>
      <c r="AB334"/>
      <c r="AC334"/>
      <c r="AD334"/>
      <c r="AE334"/>
      <c r="AF334"/>
      <c r="AG334"/>
      <c r="AH334"/>
      <c r="AI334"/>
      <c r="AJ334"/>
      <c r="AK334"/>
    </row>
    <row r="335" spans="1:37" s="65" customFormat="1" ht="15.75" x14ac:dyDescent="0.25">
      <c r="A335" s="880" t="s">
        <v>231</v>
      </c>
      <c r="B335" s="596"/>
      <c r="C335" s="596" t="s">
        <v>330</v>
      </c>
      <c r="D335" s="596"/>
      <c r="E335" s="596"/>
      <c r="F335" s="596"/>
      <c r="G335" s="596"/>
      <c r="H335" s="596"/>
      <c r="I335" s="596"/>
      <c r="J335" s="596"/>
      <c r="K335" s="596"/>
      <c r="L335" s="596"/>
      <c r="M335" s="596"/>
      <c r="N335" s="1061"/>
      <c r="O335" s="596"/>
      <c r="P335" s="596"/>
      <c r="Q335" s="596"/>
      <c r="R335" s="596"/>
      <c r="S335" s="596"/>
      <c r="T335" s="596"/>
      <c r="U335"/>
      <c r="V335"/>
      <c r="W335"/>
      <c r="X335"/>
      <c r="Y335"/>
      <c r="Z335"/>
      <c r="AA335"/>
      <c r="AB335"/>
      <c r="AC335"/>
      <c r="AD335"/>
      <c r="AE335"/>
      <c r="AF335"/>
      <c r="AG335"/>
      <c r="AH335"/>
      <c r="AI335"/>
      <c r="AJ335"/>
      <c r="AK335"/>
    </row>
    <row r="336" spans="1:37" s="65" customFormat="1" ht="15.75" x14ac:dyDescent="0.25">
      <c r="A336" s="887" t="s">
        <v>228</v>
      </c>
      <c r="B336" s="596"/>
      <c r="C336" s="596"/>
      <c r="D336" s="596"/>
      <c r="E336" s="596"/>
      <c r="F336" s="596"/>
      <c r="G336" s="704" t="s">
        <v>35</v>
      </c>
      <c r="H336" s="705" t="s">
        <v>36</v>
      </c>
      <c r="I336" s="705" t="s">
        <v>35</v>
      </c>
      <c r="J336" s="704" t="s">
        <v>36</v>
      </c>
      <c r="K336" s="704" t="s">
        <v>39</v>
      </c>
      <c r="L336" s="704" t="s">
        <v>40</v>
      </c>
      <c r="M336" s="704" t="s">
        <v>42</v>
      </c>
      <c r="N336" s="1058" t="s">
        <v>2</v>
      </c>
      <c r="O336" s="596"/>
      <c r="P336" s="596"/>
      <c r="Q336" s="596"/>
      <c r="R336" s="596"/>
      <c r="S336" s="596"/>
      <c r="T336" s="596"/>
      <c r="U336"/>
      <c r="V336"/>
      <c r="W336"/>
      <c r="X336"/>
      <c r="Y336"/>
      <c r="Z336"/>
      <c r="AA336"/>
      <c r="AB336"/>
      <c r="AC336"/>
      <c r="AD336"/>
      <c r="AE336"/>
      <c r="AF336"/>
      <c r="AG336"/>
      <c r="AH336"/>
      <c r="AI336"/>
      <c r="AJ336"/>
      <c r="AK336"/>
    </row>
    <row r="337" spans="1:37" s="65" customFormat="1" ht="15.75" x14ac:dyDescent="0.25">
      <c r="A337" s="939" t="s">
        <v>28</v>
      </c>
      <c r="B337" s="940" t="s">
        <v>367</v>
      </c>
      <c r="C337" s="845" t="s">
        <v>31</v>
      </c>
      <c r="D337" s="845" t="s">
        <v>30</v>
      </c>
      <c r="E337" s="845" t="s">
        <v>101</v>
      </c>
      <c r="F337" s="845" t="s">
        <v>56</v>
      </c>
      <c r="G337" s="1082">
        <v>46644.67</v>
      </c>
      <c r="H337" s="1032">
        <v>2741.51</v>
      </c>
      <c r="I337" s="1033">
        <v>2.3727</v>
      </c>
      <c r="J337" s="1038">
        <v>2.3727</v>
      </c>
      <c r="K337" s="1023"/>
      <c r="L337" s="1023"/>
      <c r="M337" s="1023"/>
      <c r="N337" s="1086"/>
      <c r="O337" s="1087">
        <f>ROUND(G337*I337,2)+ROUND(H337*J337,2)-K337-L337-M337-N337</f>
        <v>117178.59</v>
      </c>
      <c r="P337" s="918">
        <f>ROUND(18.75%*O337,2)</f>
        <v>21970.99</v>
      </c>
      <c r="Q337" s="941">
        <f>ROUND($O337*R337,2)</f>
        <v>17576.79</v>
      </c>
      <c r="R337" s="942">
        <v>0.15</v>
      </c>
      <c r="S337" s="941">
        <f>ROUND($O337*T337,2)</f>
        <v>4394.2</v>
      </c>
      <c r="T337" s="943">
        <v>3.7499999999999999E-2</v>
      </c>
      <c r="U337"/>
      <c r="V337"/>
      <c r="W337"/>
      <c r="X337"/>
      <c r="Y337"/>
      <c r="Z337"/>
      <c r="AA337"/>
      <c r="AB337"/>
      <c r="AC337"/>
      <c r="AD337"/>
      <c r="AE337"/>
      <c r="AF337"/>
      <c r="AG337"/>
      <c r="AH337"/>
      <c r="AI337"/>
      <c r="AJ337"/>
      <c r="AK337"/>
    </row>
    <row r="338" spans="1:37" s="65" customFormat="1" ht="15.75" x14ac:dyDescent="0.25">
      <c r="A338" s="922" t="s">
        <v>28</v>
      </c>
      <c r="B338" s="442" t="s">
        <v>373</v>
      </c>
      <c r="C338" s="854" t="s">
        <v>31</v>
      </c>
      <c r="D338" s="854" t="s">
        <v>30</v>
      </c>
      <c r="E338" s="854" t="s">
        <v>101</v>
      </c>
      <c r="F338" s="854" t="s">
        <v>56</v>
      </c>
      <c r="G338" s="1088">
        <v>6919.45</v>
      </c>
      <c r="H338" s="1034">
        <v>8134.09</v>
      </c>
      <c r="I338" s="1031">
        <v>2.21</v>
      </c>
      <c r="J338" s="1035">
        <v>2.21</v>
      </c>
      <c r="K338" s="471"/>
      <c r="L338" s="471"/>
      <c r="M338" s="471"/>
      <c r="N338" s="1089"/>
      <c r="O338" s="1090">
        <f>ROUND(G338*I338,2)+ROUND(H338*J338,2)-K338-L338-M338-N338</f>
        <v>33268.32</v>
      </c>
      <c r="P338" s="944">
        <f>ROUND(18.75%*O338,2)</f>
        <v>6237.81</v>
      </c>
      <c r="Q338" s="441">
        <f>ROUND($O338*R338,2)</f>
        <v>4990.25</v>
      </c>
      <c r="R338" s="924">
        <v>0.15</v>
      </c>
      <c r="S338" s="441">
        <f>ROUND($O338*T338,2)</f>
        <v>1247.56</v>
      </c>
      <c r="T338" s="945">
        <v>3.7499999999999999E-2</v>
      </c>
      <c r="U338"/>
      <c r="V338"/>
      <c r="W338"/>
      <c r="X338"/>
      <c r="Y338"/>
      <c r="Z338"/>
      <c r="AA338"/>
      <c r="AB338"/>
      <c r="AC338"/>
      <c r="AD338"/>
      <c r="AE338"/>
      <c r="AF338"/>
      <c r="AG338"/>
      <c r="AH338"/>
      <c r="AI338"/>
      <c r="AJ338"/>
      <c r="AK338"/>
    </row>
    <row r="339" spans="1:37" s="65" customFormat="1" ht="15.75" x14ac:dyDescent="0.25">
      <c r="A339" s="922" t="s">
        <v>28</v>
      </c>
      <c r="B339" s="442" t="s">
        <v>374</v>
      </c>
      <c r="C339" s="854" t="s">
        <v>31</v>
      </c>
      <c r="D339" s="854" t="s">
        <v>30</v>
      </c>
      <c r="E339" s="854" t="s">
        <v>101</v>
      </c>
      <c r="F339" s="854" t="s">
        <v>56</v>
      </c>
      <c r="G339" s="1088">
        <v>39097.83</v>
      </c>
      <c r="H339" s="1034">
        <v>45724.54</v>
      </c>
      <c r="I339" s="1031">
        <v>2.75</v>
      </c>
      <c r="J339" s="1035">
        <v>2.85</v>
      </c>
      <c r="K339" s="471"/>
      <c r="L339" s="471"/>
      <c r="M339" s="471"/>
      <c r="N339" s="1089"/>
      <c r="O339" s="471">
        <f>ROUND(G339*I339,2)+ROUND(H339*J339,2)-K339-L339-M339-N339</f>
        <v>237833.97</v>
      </c>
      <c r="P339" s="441">
        <f>ROUND(18.75%*O339,2)</f>
        <v>44593.87</v>
      </c>
      <c r="Q339" s="441">
        <f>ROUND($O339*R339,2)</f>
        <v>35675.1</v>
      </c>
      <c r="R339" s="924">
        <v>0.15</v>
      </c>
      <c r="S339" s="441">
        <f>ROUND($O339*T339,2)</f>
        <v>8918.77</v>
      </c>
      <c r="T339" s="945">
        <v>3.7499999999999999E-2</v>
      </c>
      <c r="U339"/>
      <c r="V339"/>
      <c r="W339"/>
      <c r="X339"/>
      <c r="Y339"/>
      <c r="Z339"/>
      <c r="AA339"/>
      <c r="AB339"/>
      <c r="AC339"/>
      <c r="AD339"/>
      <c r="AE339"/>
      <c r="AF339"/>
      <c r="AG339"/>
      <c r="AH339"/>
      <c r="AI339"/>
      <c r="AJ339"/>
      <c r="AK339"/>
    </row>
    <row r="340" spans="1:37" s="65" customFormat="1" ht="16.350000000000001" customHeight="1" x14ac:dyDescent="0.25">
      <c r="A340" s="922" t="s">
        <v>28</v>
      </c>
      <c r="B340" s="442" t="s">
        <v>375</v>
      </c>
      <c r="C340" s="854" t="s">
        <v>31</v>
      </c>
      <c r="D340" s="854" t="s">
        <v>30</v>
      </c>
      <c r="E340" s="854" t="s">
        <v>101</v>
      </c>
      <c r="F340" s="854" t="s">
        <v>56</v>
      </c>
      <c r="G340" s="1088">
        <v>616.19000000000005</v>
      </c>
      <c r="H340" s="1034">
        <v>993.26</v>
      </c>
      <c r="I340" s="1031">
        <v>2.21</v>
      </c>
      <c r="J340" s="1035">
        <v>2.21</v>
      </c>
      <c r="K340" s="471"/>
      <c r="L340" s="471"/>
      <c r="M340" s="471"/>
      <c r="N340" s="1089"/>
      <c r="O340" s="471">
        <f>ROUND(G340*I340,2)+ROUND(H340*J340,2)-K340-L340-M340-N340</f>
        <v>3556.88</v>
      </c>
      <c r="P340" s="441">
        <f>ROUND(18.75%*O340,2)</f>
        <v>666.92</v>
      </c>
      <c r="Q340" s="441">
        <f>ROUND($O340*R340,2)</f>
        <v>533.53</v>
      </c>
      <c r="R340" s="924">
        <v>0.15</v>
      </c>
      <c r="S340" s="441">
        <f>ROUND($O340*T340,2)</f>
        <v>133.38</v>
      </c>
      <c r="T340" s="945">
        <v>3.7499999999999999E-2</v>
      </c>
      <c r="U340"/>
      <c r="V340"/>
      <c r="W340"/>
      <c r="X340"/>
      <c r="Y340"/>
      <c r="Z340"/>
      <c r="AA340"/>
      <c r="AB340"/>
      <c r="AC340"/>
      <c r="AD340"/>
      <c r="AE340"/>
      <c r="AF340"/>
      <c r="AG340"/>
      <c r="AH340"/>
      <c r="AI340"/>
      <c r="AJ340"/>
      <c r="AK340"/>
    </row>
    <row r="341" spans="1:37" s="65" customFormat="1" ht="15.75" x14ac:dyDescent="0.25">
      <c r="A341" s="926" t="s">
        <v>28</v>
      </c>
      <c r="B341" s="445" t="s">
        <v>376</v>
      </c>
      <c r="C341" s="867" t="s">
        <v>31</v>
      </c>
      <c r="D341" s="867" t="s">
        <v>30</v>
      </c>
      <c r="E341" s="867" t="s">
        <v>101</v>
      </c>
      <c r="F341" s="867" t="s">
        <v>56</v>
      </c>
      <c r="G341" s="1091">
        <v>50330.89</v>
      </c>
      <c r="H341" s="1036">
        <v>81351.14</v>
      </c>
      <c r="I341" s="1039">
        <v>2.6541000000000001</v>
      </c>
      <c r="J341" s="1039">
        <v>2.6541000000000001</v>
      </c>
      <c r="K341" s="505"/>
      <c r="L341" s="505"/>
      <c r="M341" s="505"/>
      <c r="N341" s="1092"/>
      <c r="O341" s="505">
        <f>ROUND(G341*I341,2)+ROUND(H341*J341,2)-K341-L341-M341-N341</f>
        <v>349497.28</v>
      </c>
      <c r="P341" s="568">
        <f>ROUND(18.75%*O341,2)</f>
        <v>65530.74</v>
      </c>
      <c r="Q341" s="568">
        <f>ROUND($O341*R341,2)</f>
        <v>52424.59</v>
      </c>
      <c r="R341" s="931">
        <v>0.15</v>
      </c>
      <c r="S341" s="568">
        <f>ROUND($O341*T341,2)</f>
        <v>13106.15</v>
      </c>
      <c r="T341" s="946">
        <v>3.7499999999999999E-2</v>
      </c>
      <c r="U341"/>
      <c r="V341"/>
      <c r="W341"/>
      <c r="X341"/>
      <c r="Y341"/>
      <c r="Z341"/>
      <c r="AA341"/>
      <c r="AB341"/>
      <c r="AC341"/>
      <c r="AD341"/>
      <c r="AE341"/>
      <c r="AF341"/>
      <c r="AG341"/>
      <c r="AH341"/>
      <c r="AI341"/>
      <c r="AJ341"/>
      <c r="AK341"/>
    </row>
    <row r="342" spans="1:37" s="65" customFormat="1" ht="15.75" x14ac:dyDescent="0.25">
      <c r="A342" s="596"/>
      <c r="B342" s="596"/>
      <c r="C342" s="596"/>
      <c r="D342" s="596"/>
      <c r="E342" s="596"/>
      <c r="F342" s="596"/>
      <c r="G342" s="902">
        <f>SUM(G337:G341)</f>
        <v>143609.03</v>
      </c>
      <c r="H342" s="902">
        <f>SUM(H337:H341)</f>
        <v>138944.54</v>
      </c>
      <c r="I342" s="677"/>
      <c r="J342" s="677"/>
      <c r="K342" s="677"/>
      <c r="L342" s="596"/>
      <c r="M342" s="596"/>
      <c r="N342" s="1059">
        <f>SUM(N337:N341)</f>
        <v>0</v>
      </c>
      <c r="O342" s="734">
        <f>SUM(O337:O341)</f>
        <v>741335.04000000004</v>
      </c>
      <c r="P342" s="734">
        <f>SUM(P337:P341)</f>
        <v>139000.33000000002</v>
      </c>
      <c r="Q342" s="734">
        <f>SUM(Q337:Q341)</f>
        <v>111200.26</v>
      </c>
      <c r="R342" s="596"/>
      <c r="S342" s="734">
        <f>SUM(S337:S341)</f>
        <v>27800.059999999998</v>
      </c>
      <c r="T342" s="596"/>
      <c r="U342"/>
      <c r="V342"/>
      <c r="W342"/>
      <c r="X342"/>
      <c r="Y342"/>
      <c r="Z342"/>
      <c r="AA342"/>
      <c r="AB342"/>
      <c r="AC342"/>
      <c r="AD342"/>
      <c r="AE342"/>
      <c r="AF342"/>
      <c r="AG342"/>
      <c r="AH342"/>
      <c r="AI342"/>
      <c r="AJ342"/>
      <c r="AK342"/>
    </row>
    <row r="343" spans="1:37" s="65" customFormat="1" ht="15.75" x14ac:dyDescent="0.25">
      <c r="A343" s="596"/>
      <c r="B343" s="596"/>
      <c r="C343" s="596"/>
      <c r="D343" s="596"/>
      <c r="E343" s="596"/>
      <c r="F343" s="596"/>
      <c r="G343" s="677"/>
      <c r="H343" s="677"/>
      <c r="I343" s="677"/>
      <c r="J343" s="677"/>
      <c r="K343" s="677"/>
      <c r="L343" s="596"/>
      <c r="M343" s="596"/>
      <c r="N343" s="950"/>
      <c r="O343" s="597"/>
      <c r="P343" s="597"/>
      <c r="Q343" s="597"/>
      <c r="R343" s="596"/>
      <c r="S343" s="597"/>
      <c r="T343" s="596"/>
      <c r="U343"/>
      <c r="V343"/>
      <c r="W343"/>
      <c r="X343"/>
      <c r="Y343"/>
      <c r="Z343"/>
      <c r="AA343"/>
      <c r="AB343"/>
      <c r="AC343"/>
      <c r="AD343"/>
      <c r="AE343"/>
      <c r="AF343"/>
      <c r="AG343"/>
      <c r="AH343"/>
      <c r="AI343"/>
      <c r="AJ343"/>
      <c r="AK343"/>
    </row>
    <row r="344" spans="1:37" s="65" customFormat="1" ht="15.75" x14ac:dyDescent="0.25">
      <c r="A344" s="887" t="s">
        <v>229</v>
      </c>
      <c r="B344" s="596"/>
      <c r="C344" s="596"/>
      <c r="D344" s="596"/>
      <c r="E344" s="596"/>
      <c r="F344" s="596"/>
      <c r="G344" s="677"/>
      <c r="H344" s="677"/>
      <c r="I344" s="677"/>
      <c r="J344" s="677"/>
      <c r="K344" s="677"/>
      <c r="L344" s="596"/>
      <c r="M344" s="596"/>
      <c r="N344" s="950"/>
      <c r="O344" s="596"/>
      <c r="P344" s="596"/>
      <c r="Q344" s="597"/>
      <c r="R344" s="596"/>
      <c r="S344" s="596"/>
      <c r="T344" s="596"/>
      <c r="U344"/>
      <c r="V344"/>
      <c r="W344"/>
      <c r="X344"/>
      <c r="Y344"/>
      <c r="Z344"/>
      <c r="AA344"/>
      <c r="AB344"/>
      <c r="AC344"/>
      <c r="AD344"/>
      <c r="AE344"/>
      <c r="AF344"/>
      <c r="AG344"/>
      <c r="AH344"/>
      <c r="AI344"/>
      <c r="AJ344"/>
      <c r="AK344"/>
    </row>
    <row r="345" spans="1:37" s="65" customFormat="1" ht="15.75" x14ac:dyDescent="0.25">
      <c r="A345" s="888" t="s">
        <v>28</v>
      </c>
      <c r="B345" s="940" t="s">
        <v>303</v>
      </c>
      <c r="C345" s="890" t="s">
        <v>31</v>
      </c>
      <c r="D345" s="890" t="s">
        <v>30</v>
      </c>
      <c r="E345" s="890" t="s">
        <v>101</v>
      </c>
      <c r="F345" s="891" t="s">
        <v>56</v>
      </c>
      <c r="G345" s="913">
        <f>G337</f>
        <v>46644.67</v>
      </c>
      <c r="H345" s="914"/>
      <c r="I345" s="1074">
        <f>I337</f>
        <v>2.3727</v>
      </c>
      <c r="J345" s="916"/>
      <c r="K345" s="420"/>
      <c r="L345" s="420"/>
      <c r="M345" s="420"/>
      <c r="N345" s="904">
        <f>N337</f>
        <v>0</v>
      </c>
      <c r="O345" s="918">
        <f>ROUND(G345*I345,2)+ROUND(H345*J345,2)-K345-L345-M345-N345</f>
        <v>110673.81</v>
      </c>
      <c r="P345" s="918">
        <f>ROUND(18.75%*O345,2)</f>
        <v>20751.34</v>
      </c>
      <c r="Q345" s="941">
        <f>ROUND($O345*R345,2)</f>
        <v>16601.07</v>
      </c>
      <c r="R345" s="942">
        <v>0.15</v>
      </c>
      <c r="S345" s="941">
        <f>ROUND($O345*T345,2)</f>
        <v>4150.2700000000004</v>
      </c>
      <c r="T345" s="943">
        <v>3.7499999999999999E-2</v>
      </c>
      <c r="U345"/>
      <c r="V345"/>
      <c r="W345"/>
      <c r="X345"/>
      <c r="Y345"/>
      <c r="Z345"/>
      <c r="AA345"/>
      <c r="AB345"/>
      <c r="AC345"/>
      <c r="AD345"/>
      <c r="AE345"/>
      <c r="AF345"/>
      <c r="AG345"/>
      <c r="AH345"/>
      <c r="AI345"/>
      <c r="AJ345"/>
      <c r="AK345"/>
    </row>
    <row r="346" spans="1:37" s="65" customFormat="1" ht="16.350000000000001" customHeight="1" x14ac:dyDescent="0.25">
      <c r="A346" s="894" t="s">
        <v>28</v>
      </c>
      <c r="B346" s="442" t="s">
        <v>303</v>
      </c>
      <c r="C346" s="378" t="s">
        <v>31</v>
      </c>
      <c r="D346" s="378" t="s">
        <v>30</v>
      </c>
      <c r="E346" s="378" t="s">
        <v>101</v>
      </c>
      <c r="F346" s="586" t="s">
        <v>56</v>
      </c>
      <c r="G346" s="933">
        <f>G338</f>
        <v>6919.45</v>
      </c>
      <c r="H346" s="587"/>
      <c r="I346" s="1075">
        <f>I338</f>
        <v>2.21</v>
      </c>
      <c r="J346" s="588"/>
      <c r="K346" s="253"/>
      <c r="L346" s="253"/>
      <c r="M346" s="253"/>
      <c r="N346" s="557"/>
      <c r="O346" s="944">
        <f>ROUND(G346*I346,2)+ROUND(H346*J346,2)-K346-L346-M346-N346</f>
        <v>15291.98</v>
      </c>
      <c r="P346" s="944">
        <f>ROUND(18.75%*O346,2)</f>
        <v>2867.25</v>
      </c>
      <c r="Q346" s="441">
        <f>ROUND($O346*R346,2)</f>
        <v>2293.8000000000002</v>
      </c>
      <c r="R346" s="924">
        <v>0.15</v>
      </c>
      <c r="S346" s="441">
        <f>ROUND($O346*T346,2)</f>
        <v>573.45000000000005</v>
      </c>
      <c r="T346" s="945">
        <v>3.7499999999999999E-2</v>
      </c>
      <c r="U346"/>
      <c r="V346"/>
      <c r="W346"/>
      <c r="X346"/>
      <c r="Y346"/>
      <c r="Z346"/>
      <c r="AA346"/>
      <c r="AB346"/>
      <c r="AC346"/>
      <c r="AD346"/>
      <c r="AE346"/>
      <c r="AF346"/>
      <c r="AG346"/>
      <c r="AH346"/>
      <c r="AI346"/>
      <c r="AJ346"/>
      <c r="AK346"/>
    </row>
    <row r="347" spans="1:37" s="65" customFormat="1" ht="15.75" x14ac:dyDescent="0.25">
      <c r="A347" s="894" t="s">
        <v>28</v>
      </c>
      <c r="B347" s="442" t="s">
        <v>303</v>
      </c>
      <c r="C347" s="378" t="s">
        <v>31</v>
      </c>
      <c r="D347" s="378" t="s">
        <v>30</v>
      </c>
      <c r="E347" s="378" t="s">
        <v>101</v>
      </c>
      <c r="F347" s="586" t="s">
        <v>56</v>
      </c>
      <c r="G347" s="933">
        <f>G339</f>
        <v>39097.83</v>
      </c>
      <c r="H347" s="587"/>
      <c r="I347" s="1075">
        <f>I339</f>
        <v>2.75</v>
      </c>
      <c r="J347" s="588"/>
      <c r="K347" s="253"/>
      <c r="L347" s="253"/>
      <c r="M347" s="253"/>
      <c r="N347" s="557"/>
      <c r="O347" s="441">
        <f>ROUND(G347*I347,2)+ROUND(H347*J347,2)-K347-L347-M347-N347</f>
        <v>107519.03</v>
      </c>
      <c r="P347" s="441">
        <f>ROUND(18.75%*O347,2)</f>
        <v>20159.82</v>
      </c>
      <c r="Q347" s="441">
        <f>ROUND($O347*R347,2)</f>
        <v>16127.85</v>
      </c>
      <c r="R347" s="924">
        <v>0.15</v>
      </c>
      <c r="S347" s="441">
        <f>ROUND($O347*T347,2)</f>
        <v>4031.96</v>
      </c>
      <c r="T347" s="945">
        <v>3.7499999999999999E-2</v>
      </c>
      <c r="U347"/>
      <c r="V347"/>
      <c r="W347"/>
      <c r="X347"/>
      <c r="Y347"/>
      <c r="Z347"/>
      <c r="AA347"/>
      <c r="AB347"/>
      <c r="AC347"/>
      <c r="AD347"/>
      <c r="AE347"/>
      <c r="AF347"/>
      <c r="AG347"/>
      <c r="AH347"/>
      <c r="AI347"/>
      <c r="AJ347"/>
      <c r="AK347"/>
    </row>
    <row r="348" spans="1:37" s="65" customFormat="1" ht="15.75" x14ac:dyDescent="0.25">
      <c r="A348" s="894" t="s">
        <v>28</v>
      </c>
      <c r="B348" s="442" t="s">
        <v>303</v>
      </c>
      <c r="C348" s="378" t="s">
        <v>31</v>
      </c>
      <c r="D348" s="378" t="s">
        <v>30</v>
      </c>
      <c r="E348" s="378" t="s">
        <v>101</v>
      </c>
      <c r="F348" s="586" t="s">
        <v>56</v>
      </c>
      <c r="G348" s="933">
        <f>G340</f>
        <v>616.19000000000005</v>
      </c>
      <c r="H348" s="587"/>
      <c r="I348" s="1075">
        <f>I340</f>
        <v>2.21</v>
      </c>
      <c r="J348" s="588"/>
      <c r="K348" s="253"/>
      <c r="L348" s="253"/>
      <c r="M348" s="253"/>
      <c r="N348" s="557"/>
      <c r="O348" s="441">
        <f>ROUND(G348*I348,2)+ROUND(H348*J348,2)-K348-L348-M348-N348</f>
        <v>1361.78</v>
      </c>
      <c r="P348" s="441">
        <f>ROUND(18.75%*O348,2)</f>
        <v>255.33</v>
      </c>
      <c r="Q348" s="441">
        <f>ROUND($O348*R348,2)</f>
        <v>204.27</v>
      </c>
      <c r="R348" s="924">
        <v>0.15</v>
      </c>
      <c r="S348" s="441">
        <f>ROUND($O348*T348,2)</f>
        <v>51.07</v>
      </c>
      <c r="T348" s="945">
        <v>3.7499999999999999E-2</v>
      </c>
      <c r="U348"/>
      <c r="V348"/>
      <c r="W348"/>
      <c r="X348"/>
      <c r="Y348"/>
      <c r="Z348"/>
      <c r="AA348"/>
      <c r="AB348"/>
      <c r="AC348"/>
      <c r="AD348"/>
      <c r="AE348"/>
      <c r="AF348"/>
      <c r="AG348"/>
      <c r="AH348"/>
      <c r="AI348"/>
      <c r="AJ348"/>
      <c r="AK348"/>
    </row>
    <row r="349" spans="1:37" s="65" customFormat="1" ht="15.75" x14ac:dyDescent="0.25">
      <c r="A349" s="898" t="s">
        <v>28</v>
      </c>
      <c r="B349" s="445" t="s">
        <v>303</v>
      </c>
      <c r="C349" s="899" t="s">
        <v>31</v>
      </c>
      <c r="D349" s="899" t="s">
        <v>30</v>
      </c>
      <c r="E349" s="899" t="s">
        <v>101</v>
      </c>
      <c r="F349" s="740" t="s">
        <v>56</v>
      </c>
      <c r="G349" s="935">
        <f>G341</f>
        <v>50330.89</v>
      </c>
      <c r="H349" s="927"/>
      <c r="I349" s="1076">
        <f>I341</f>
        <v>2.6541000000000001</v>
      </c>
      <c r="J349" s="929"/>
      <c r="K349" s="424"/>
      <c r="L349" s="424"/>
      <c r="M349" s="424"/>
      <c r="N349" s="936"/>
      <c r="O349" s="568">
        <f>ROUND(G349*I349,2)+ROUND(H349*J349,2)-K349-L349-M349-N349</f>
        <v>133583.22</v>
      </c>
      <c r="P349" s="568">
        <f>ROUND(18.75%*O349,2)</f>
        <v>25046.85</v>
      </c>
      <c r="Q349" s="568">
        <f>ROUND($O349*R349,2)</f>
        <v>20037.48</v>
      </c>
      <c r="R349" s="931">
        <v>0.15</v>
      </c>
      <c r="S349" s="568">
        <f>ROUND($O349*T349,2)</f>
        <v>5009.37</v>
      </c>
      <c r="T349" s="946">
        <v>3.7499999999999999E-2</v>
      </c>
      <c r="U349"/>
      <c r="V349"/>
      <c r="W349"/>
      <c r="X349"/>
      <c r="Y349"/>
      <c r="Z349"/>
      <c r="AA349"/>
      <c r="AB349"/>
      <c r="AC349"/>
      <c r="AD349"/>
      <c r="AE349"/>
      <c r="AF349"/>
      <c r="AG349"/>
      <c r="AH349"/>
      <c r="AI349"/>
      <c r="AJ349"/>
      <c r="AK349"/>
    </row>
    <row r="350" spans="1:37" s="65" customFormat="1" ht="15.75" x14ac:dyDescent="0.25">
      <c r="A350" s="596"/>
      <c r="B350" s="596"/>
      <c r="C350" s="596"/>
      <c r="D350" s="596"/>
      <c r="E350" s="596"/>
      <c r="F350" s="596"/>
      <c r="G350" s="902">
        <f>SUM(G345:G349)</f>
        <v>143609.03</v>
      </c>
      <c r="H350" s="902"/>
      <c r="I350" s="937">
        <f>O350/G350</f>
        <v>2.5655059434633047</v>
      </c>
      <c r="J350" s="937"/>
      <c r="K350" s="677"/>
      <c r="L350" s="596"/>
      <c r="M350" s="596"/>
      <c r="N350" s="1059"/>
      <c r="O350" s="734">
        <f>SUM(O345:O349)</f>
        <v>368429.82</v>
      </c>
      <c r="P350" s="734"/>
      <c r="Q350" s="734">
        <f>SUM(Q345:Q349)</f>
        <v>55264.47</v>
      </c>
      <c r="R350" s="596"/>
      <c r="S350" s="734">
        <f>SUM(S345:S349)</f>
        <v>13816.119999999999</v>
      </c>
      <c r="T350" s="596"/>
      <c r="U350"/>
      <c r="V350"/>
      <c r="W350"/>
      <c r="X350"/>
      <c r="Y350"/>
      <c r="Z350"/>
      <c r="AA350"/>
      <c r="AB350"/>
      <c r="AC350"/>
      <c r="AD350"/>
      <c r="AE350"/>
      <c r="AF350"/>
      <c r="AG350"/>
      <c r="AH350"/>
      <c r="AI350"/>
      <c r="AJ350"/>
      <c r="AK350"/>
    </row>
    <row r="351" spans="1:37" s="65" customFormat="1" ht="15.75" x14ac:dyDescent="0.25">
      <c r="A351" s="596"/>
      <c r="B351" s="596"/>
      <c r="C351" s="596"/>
      <c r="D351" s="596"/>
      <c r="E351" s="596"/>
      <c r="F351" s="596"/>
      <c r="G351" s="677"/>
      <c r="H351" s="677"/>
      <c r="I351" s="677"/>
      <c r="J351" s="677"/>
      <c r="K351" s="677"/>
      <c r="L351" s="596"/>
      <c r="M351" s="596"/>
      <c r="N351" s="950"/>
      <c r="O351" s="683"/>
      <c r="P351" s="683"/>
      <c r="Q351" s="596"/>
      <c r="R351" s="596"/>
      <c r="S351" s="596"/>
      <c r="T351" s="596"/>
      <c r="U351"/>
      <c r="V351"/>
      <c r="W351"/>
      <c r="X351"/>
      <c r="Y351"/>
      <c r="Z351"/>
      <c r="AA351"/>
      <c r="AB351"/>
      <c r="AC351"/>
      <c r="AD351"/>
      <c r="AE351"/>
      <c r="AF351"/>
      <c r="AG351"/>
      <c r="AH351"/>
      <c r="AI351"/>
      <c r="AJ351"/>
      <c r="AK351"/>
    </row>
    <row r="352" spans="1:37" s="65" customFormat="1" ht="16.350000000000001" customHeight="1" x14ac:dyDescent="0.25">
      <c r="A352" s="596"/>
      <c r="B352" s="596"/>
      <c r="C352" s="596"/>
      <c r="D352" s="596"/>
      <c r="E352" s="596"/>
      <c r="F352" s="596"/>
      <c r="G352" s="677"/>
      <c r="H352" s="677"/>
      <c r="I352" s="677"/>
      <c r="J352" s="677"/>
      <c r="K352" s="677"/>
      <c r="L352" s="596"/>
      <c r="M352" s="596"/>
      <c r="N352" s="950"/>
      <c r="O352" s="597"/>
      <c r="P352" s="597"/>
      <c r="Q352" s="596"/>
      <c r="R352" s="596"/>
      <c r="S352" s="596"/>
      <c r="T352" s="596"/>
      <c r="U352"/>
      <c r="V352"/>
      <c r="W352"/>
      <c r="X352"/>
      <c r="Y352"/>
      <c r="Z352"/>
      <c r="AA352"/>
      <c r="AB352"/>
      <c r="AC352"/>
      <c r="AD352"/>
      <c r="AE352"/>
      <c r="AF352"/>
      <c r="AG352"/>
      <c r="AH352"/>
      <c r="AI352"/>
      <c r="AJ352"/>
      <c r="AK352"/>
    </row>
    <row r="353" spans="1:37" s="65" customFormat="1" ht="15.75" x14ac:dyDescent="0.25">
      <c r="A353" s="887" t="s">
        <v>230</v>
      </c>
      <c r="B353" s="596"/>
      <c r="C353" s="596"/>
      <c r="D353" s="596"/>
      <c r="E353" s="596"/>
      <c r="F353" s="596"/>
      <c r="G353" s="677"/>
      <c r="H353" s="677"/>
      <c r="I353" s="677"/>
      <c r="J353" s="677"/>
      <c r="K353" s="677"/>
      <c r="L353" s="596"/>
      <c r="M353" s="596"/>
      <c r="N353" s="950"/>
      <c r="O353" s="596"/>
      <c r="P353" s="596"/>
      <c r="Q353" s="596"/>
      <c r="R353" s="596"/>
      <c r="S353" s="596"/>
      <c r="T353" s="596"/>
      <c r="U353"/>
      <c r="V353"/>
      <c r="W353"/>
      <c r="X353"/>
      <c r="Y353"/>
      <c r="Z353"/>
      <c r="AA353"/>
      <c r="AB353"/>
      <c r="AC353"/>
      <c r="AD353"/>
      <c r="AE353"/>
      <c r="AF353"/>
      <c r="AG353"/>
      <c r="AH353"/>
      <c r="AI353"/>
      <c r="AJ353"/>
      <c r="AK353"/>
    </row>
    <row r="354" spans="1:37" s="65" customFormat="1" ht="15.75" x14ac:dyDescent="0.25">
      <c r="A354" s="888" t="s">
        <v>28</v>
      </c>
      <c r="B354" s="940" t="s">
        <v>303</v>
      </c>
      <c r="C354" s="890" t="s">
        <v>31</v>
      </c>
      <c r="D354" s="890" t="s">
        <v>30</v>
      </c>
      <c r="E354" s="890" t="s">
        <v>101</v>
      </c>
      <c r="F354" s="891" t="s">
        <v>56</v>
      </c>
      <c r="G354" s="914"/>
      <c r="H354" s="914">
        <f>H337</f>
        <v>2741.51</v>
      </c>
      <c r="I354" s="916"/>
      <c r="J354" s="1077">
        <f>J337</f>
        <v>2.3727</v>
      </c>
      <c r="K354" s="420"/>
      <c r="L354" s="420"/>
      <c r="M354" s="420"/>
      <c r="N354" s="904"/>
      <c r="O354" s="918">
        <f>ROUND(G354*I354,2)+ROUND(H354*J354,2)-K354-L354-M354-N354</f>
        <v>6504.78</v>
      </c>
      <c r="P354" s="918">
        <f>ROUND(18.75%*O354,2)</f>
        <v>1219.6500000000001</v>
      </c>
      <c r="Q354" s="941">
        <f>ROUND($O354*R354,2)</f>
        <v>975.72</v>
      </c>
      <c r="R354" s="942">
        <v>0.15</v>
      </c>
      <c r="S354" s="941">
        <f>ROUND($O354*T354,2)</f>
        <v>243.93</v>
      </c>
      <c r="T354" s="943">
        <v>3.7499999999999999E-2</v>
      </c>
      <c r="U354"/>
      <c r="V354"/>
      <c r="W354"/>
      <c r="X354"/>
      <c r="Y354"/>
      <c r="Z354"/>
      <c r="AA354"/>
      <c r="AB354"/>
      <c r="AC354"/>
      <c r="AD354"/>
      <c r="AE354"/>
      <c r="AF354"/>
      <c r="AG354"/>
      <c r="AH354"/>
      <c r="AI354"/>
      <c r="AJ354"/>
      <c r="AK354"/>
    </row>
    <row r="355" spans="1:37" s="65" customFormat="1" ht="15.75" x14ac:dyDescent="0.25">
      <c r="A355" s="894" t="s">
        <v>28</v>
      </c>
      <c r="B355" s="442" t="s">
        <v>303</v>
      </c>
      <c r="C355" s="378" t="s">
        <v>31</v>
      </c>
      <c r="D355" s="378" t="s">
        <v>30</v>
      </c>
      <c r="E355" s="378" t="s">
        <v>101</v>
      </c>
      <c r="F355" s="586" t="s">
        <v>56</v>
      </c>
      <c r="G355" s="587"/>
      <c r="H355" s="587">
        <f>H338</f>
        <v>8134.09</v>
      </c>
      <c r="I355" s="588"/>
      <c r="J355" s="615">
        <f>J338</f>
        <v>2.21</v>
      </c>
      <c r="K355" s="253"/>
      <c r="L355" s="253"/>
      <c r="M355" s="253"/>
      <c r="N355" s="557"/>
      <c r="O355" s="944">
        <f>ROUND(G355*I355,2)+ROUND(H355*J355,2)-K355-L355-M355-N355</f>
        <v>17976.34</v>
      </c>
      <c r="P355" s="944">
        <f>ROUND(18.75%*O355,2)</f>
        <v>3370.56</v>
      </c>
      <c r="Q355" s="441">
        <f>ROUND($O355*R355,2)</f>
        <v>2696.45</v>
      </c>
      <c r="R355" s="924">
        <v>0.15</v>
      </c>
      <c r="S355" s="441">
        <f>ROUND($O355*T355,2)</f>
        <v>674.11</v>
      </c>
      <c r="T355" s="945">
        <v>3.7499999999999999E-2</v>
      </c>
      <c r="U355"/>
      <c r="V355"/>
      <c r="W355"/>
      <c r="X355"/>
      <c r="Y355"/>
      <c r="Z355"/>
      <c r="AA355"/>
      <c r="AB355"/>
      <c r="AC355"/>
      <c r="AD355"/>
      <c r="AE355"/>
      <c r="AF355"/>
      <c r="AG355"/>
      <c r="AH355"/>
      <c r="AI355"/>
      <c r="AJ355"/>
      <c r="AK355"/>
    </row>
    <row r="356" spans="1:37" s="65" customFormat="1" ht="15.75" x14ac:dyDescent="0.25">
      <c r="A356" s="894" t="s">
        <v>28</v>
      </c>
      <c r="B356" s="442" t="s">
        <v>303</v>
      </c>
      <c r="C356" s="378" t="s">
        <v>31</v>
      </c>
      <c r="D356" s="378" t="s">
        <v>30</v>
      </c>
      <c r="E356" s="378" t="s">
        <v>101</v>
      </c>
      <c r="F356" s="586" t="s">
        <v>56</v>
      </c>
      <c r="G356" s="587"/>
      <c r="H356" s="587">
        <f>H339</f>
        <v>45724.54</v>
      </c>
      <c r="I356" s="588"/>
      <c r="J356" s="615">
        <f>J339</f>
        <v>2.85</v>
      </c>
      <c r="K356" s="253"/>
      <c r="L356" s="253"/>
      <c r="M356" s="253"/>
      <c r="N356" s="557"/>
      <c r="O356" s="441">
        <f>ROUND(G356*I356,2)+ROUND(H356*J356,2)-K356-L356-M356-N356</f>
        <v>130314.94</v>
      </c>
      <c r="P356" s="441">
        <f>ROUND(18.75%*O356,2)</f>
        <v>24434.05</v>
      </c>
      <c r="Q356" s="441">
        <f>ROUND($O356*R356,2)</f>
        <v>19547.240000000002</v>
      </c>
      <c r="R356" s="924">
        <v>0.15</v>
      </c>
      <c r="S356" s="441">
        <f>ROUND($O356*T356,2)</f>
        <v>4886.8100000000004</v>
      </c>
      <c r="T356" s="945">
        <v>3.7499999999999999E-2</v>
      </c>
      <c r="U356"/>
      <c r="V356"/>
      <c r="W356"/>
      <c r="X356"/>
      <c r="Y356"/>
      <c r="Z356"/>
      <c r="AA356"/>
      <c r="AB356"/>
      <c r="AC356"/>
      <c r="AD356"/>
      <c r="AE356"/>
      <c r="AF356"/>
      <c r="AG356"/>
      <c r="AH356"/>
      <c r="AI356"/>
      <c r="AJ356"/>
      <c r="AK356"/>
    </row>
    <row r="357" spans="1:37" s="65" customFormat="1" ht="15.75" x14ac:dyDescent="0.25">
      <c r="A357" s="894" t="s">
        <v>28</v>
      </c>
      <c r="B357" s="442" t="s">
        <v>303</v>
      </c>
      <c r="C357" s="378" t="s">
        <v>31</v>
      </c>
      <c r="D357" s="378" t="s">
        <v>30</v>
      </c>
      <c r="E357" s="378" t="s">
        <v>101</v>
      </c>
      <c r="F357" s="586" t="s">
        <v>56</v>
      </c>
      <c r="G357" s="587"/>
      <c r="H357" s="587">
        <f>H340</f>
        <v>993.26</v>
      </c>
      <c r="I357" s="588"/>
      <c r="J357" s="615">
        <f>J340</f>
        <v>2.21</v>
      </c>
      <c r="K357" s="253"/>
      <c r="L357" s="253"/>
      <c r="M357" s="253"/>
      <c r="N357" s="557"/>
      <c r="O357" s="441">
        <f>ROUND(G357*I357,2)+ROUND(H357*J357,2)-K357-L357-M357-N357</f>
        <v>2195.1</v>
      </c>
      <c r="P357" s="441">
        <f>ROUND(18.75%*O357,2)</f>
        <v>411.58</v>
      </c>
      <c r="Q357" s="441">
        <f>ROUND($O357*R357,2)</f>
        <v>329.27</v>
      </c>
      <c r="R357" s="924">
        <v>0.15</v>
      </c>
      <c r="S357" s="441">
        <f>ROUND($O357*T357,2)</f>
        <v>82.32</v>
      </c>
      <c r="T357" s="945">
        <v>3.7499999999999999E-2</v>
      </c>
      <c r="U357"/>
      <c r="V357"/>
      <c r="W357"/>
      <c r="X357"/>
      <c r="Y357"/>
      <c r="Z357"/>
      <c r="AA357"/>
      <c r="AB357"/>
      <c r="AC357"/>
      <c r="AD357"/>
      <c r="AE357"/>
      <c r="AF357"/>
      <c r="AG357"/>
      <c r="AH357"/>
      <c r="AI357"/>
      <c r="AJ357"/>
      <c r="AK357"/>
    </row>
    <row r="358" spans="1:37" s="65" customFormat="1" ht="16.350000000000001" customHeight="1" x14ac:dyDescent="0.25">
      <c r="A358" s="898" t="s">
        <v>28</v>
      </c>
      <c r="B358" s="445" t="s">
        <v>303</v>
      </c>
      <c r="C358" s="899" t="s">
        <v>31</v>
      </c>
      <c r="D358" s="899" t="s">
        <v>30</v>
      </c>
      <c r="E358" s="899" t="s">
        <v>101</v>
      </c>
      <c r="F358" s="740" t="s">
        <v>56</v>
      </c>
      <c r="G358" s="927"/>
      <c r="H358" s="927">
        <f>H341</f>
        <v>81351.14</v>
      </c>
      <c r="I358" s="929"/>
      <c r="J358" s="1078">
        <f>J341</f>
        <v>2.6541000000000001</v>
      </c>
      <c r="K358" s="424"/>
      <c r="L358" s="424"/>
      <c r="M358" s="424"/>
      <c r="N358" s="936"/>
      <c r="O358" s="568">
        <f>ROUND(G358*I358,2)+ROUND(H358*J358,2)-K358-L358-M358-N358</f>
        <v>215914.06</v>
      </c>
      <c r="P358" s="568">
        <f>ROUND(18.75%*O358,2)</f>
        <v>40483.89</v>
      </c>
      <c r="Q358" s="568">
        <f>ROUND($O358*R358,2)</f>
        <v>32387.11</v>
      </c>
      <c r="R358" s="931">
        <v>0.15</v>
      </c>
      <c r="S358" s="568">
        <f>ROUND($O358*T358,2)</f>
        <v>8096.78</v>
      </c>
      <c r="T358" s="946">
        <v>3.7499999999999999E-2</v>
      </c>
      <c r="U358"/>
      <c r="V358"/>
      <c r="W358"/>
      <c r="X358"/>
      <c r="Y358"/>
      <c r="Z358"/>
      <c r="AA358"/>
      <c r="AB358"/>
      <c r="AC358"/>
      <c r="AD358"/>
      <c r="AE358"/>
      <c r="AF358"/>
      <c r="AG358"/>
      <c r="AH358"/>
      <c r="AI358"/>
      <c r="AJ358"/>
      <c r="AK358"/>
    </row>
    <row r="359" spans="1:37" s="65" customFormat="1" ht="15.75" x14ac:dyDescent="0.25">
      <c r="A359" s="596"/>
      <c r="B359" s="596"/>
      <c r="C359" s="596"/>
      <c r="D359" s="596"/>
      <c r="E359" s="596"/>
      <c r="F359" s="596"/>
      <c r="G359" s="902"/>
      <c r="H359" s="902">
        <f>SUM(H354:H358)</f>
        <v>138944.54</v>
      </c>
      <c r="I359" s="937"/>
      <c r="J359" s="937">
        <f>O359/H359</f>
        <v>2.683842200636311</v>
      </c>
      <c r="K359" s="677"/>
      <c r="L359" s="596"/>
      <c r="M359" s="596"/>
      <c r="N359" s="1059"/>
      <c r="O359" s="734">
        <f>SUM(O354:O358)</f>
        <v>372905.22</v>
      </c>
      <c r="P359" s="734"/>
      <c r="Q359" s="734">
        <f>SUM(Q354:Q358)</f>
        <v>55935.790000000008</v>
      </c>
      <c r="R359" s="596"/>
      <c r="S359" s="734">
        <f>SUM(S354:S358)</f>
        <v>13983.95</v>
      </c>
      <c r="T359" s="596"/>
      <c r="U359"/>
      <c r="V359"/>
      <c r="W359"/>
      <c r="X359"/>
      <c r="Y359"/>
      <c r="Z359"/>
      <c r="AA359"/>
      <c r="AB359"/>
      <c r="AC359"/>
      <c r="AD359"/>
      <c r="AE359"/>
      <c r="AF359"/>
      <c r="AG359"/>
      <c r="AH359"/>
      <c r="AI359"/>
      <c r="AJ359"/>
      <c r="AK359"/>
    </row>
    <row r="360" spans="1:37" s="65" customFormat="1" ht="15.75" x14ac:dyDescent="0.25">
      <c r="A360" s="1"/>
      <c r="B360" s="1"/>
      <c r="C360" s="1"/>
      <c r="D360" s="1"/>
      <c r="E360" s="1"/>
      <c r="F360" s="1"/>
      <c r="G360" s="199"/>
      <c r="H360" s="199"/>
      <c r="I360" s="199"/>
      <c r="J360" s="199"/>
      <c r="K360" s="199"/>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row>
    <row r="361" spans="1:37" s="65" customFormat="1" ht="15.75" x14ac:dyDescent="0.25">
      <c r="A361" s="1"/>
      <c r="B361" s="1"/>
      <c r="C361" s="1"/>
      <c r="D361" s="1"/>
      <c r="E361" s="1"/>
      <c r="F361" s="1"/>
      <c r="G361" s="199"/>
      <c r="H361" s="199"/>
      <c r="I361" s="199"/>
      <c r="J361" s="199"/>
      <c r="K361" s="199"/>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row>
    <row r="362" spans="1:37" s="65" customFormat="1" ht="15.75" x14ac:dyDescent="0.25">
      <c r="A362" s="880" t="s">
        <v>231</v>
      </c>
      <c r="B362" s="596"/>
      <c r="C362" s="596" t="s">
        <v>397</v>
      </c>
      <c r="D362" s="596"/>
      <c r="E362" s="596"/>
      <c r="F362" s="596"/>
      <c r="G362" s="596"/>
      <c r="H362" s="596"/>
      <c r="I362" s="596"/>
      <c r="J362" s="596"/>
      <c r="K362" s="596"/>
      <c r="L362" s="596"/>
      <c r="M362" s="596"/>
      <c r="N362" s="1061"/>
      <c r="O362" s="596"/>
      <c r="P362" s="596"/>
      <c r="Q362" s="596"/>
      <c r="R362" s="596"/>
      <c r="S362" s="596"/>
      <c r="T362" s="596"/>
      <c r="U362"/>
      <c r="V362"/>
      <c r="W362"/>
      <c r="X362"/>
      <c r="Y362"/>
      <c r="Z362"/>
      <c r="AA362"/>
      <c r="AB362"/>
      <c r="AC362"/>
      <c r="AD362"/>
      <c r="AE362"/>
      <c r="AF362"/>
      <c r="AG362"/>
      <c r="AH362"/>
      <c r="AI362"/>
      <c r="AJ362"/>
      <c r="AK362"/>
    </row>
    <row r="363" spans="1:37" s="65" customFormat="1" ht="15.75" x14ac:dyDescent="0.25">
      <c r="A363" s="887" t="s">
        <v>406</v>
      </c>
      <c r="B363" s="596"/>
      <c r="C363" s="596"/>
      <c r="D363" s="596"/>
      <c r="E363" s="596"/>
      <c r="F363" s="596"/>
      <c r="G363" s="704" t="s">
        <v>35</v>
      </c>
      <c r="H363" s="705" t="s">
        <v>36</v>
      </c>
      <c r="I363" s="705" t="s">
        <v>35</v>
      </c>
      <c r="J363" s="704" t="s">
        <v>36</v>
      </c>
      <c r="K363" s="704" t="s">
        <v>39</v>
      </c>
      <c r="L363" s="704" t="s">
        <v>40</v>
      </c>
      <c r="M363" s="704" t="s">
        <v>42</v>
      </c>
      <c r="N363" s="1058" t="s">
        <v>2</v>
      </c>
      <c r="O363" s="596"/>
      <c r="P363" s="596"/>
      <c r="Q363" s="596"/>
      <c r="R363" s="596"/>
      <c r="S363" s="596"/>
      <c r="T363" s="596"/>
      <c r="U363"/>
      <c r="V363"/>
      <c r="W363"/>
      <c r="X363"/>
      <c r="Y363"/>
      <c r="Z363"/>
      <c r="AA363"/>
      <c r="AB363"/>
      <c r="AC363"/>
      <c r="AD363"/>
      <c r="AE363"/>
      <c r="AF363"/>
      <c r="AG363"/>
      <c r="AH363"/>
      <c r="AI363"/>
      <c r="AJ363"/>
      <c r="AK363"/>
    </row>
    <row r="364" spans="1:37" s="65" customFormat="1" ht="15.75" x14ac:dyDescent="0.25">
      <c r="A364" s="939" t="s">
        <v>28</v>
      </c>
      <c r="B364" s="940" t="s">
        <v>395</v>
      </c>
      <c r="C364" s="845" t="s">
        <v>31</v>
      </c>
      <c r="D364" s="845" t="s">
        <v>30</v>
      </c>
      <c r="E364" s="845" t="s">
        <v>101</v>
      </c>
      <c r="F364" s="845" t="s">
        <v>56</v>
      </c>
      <c r="G364" s="215"/>
      <c r="H364" s="215"/>
      <c r="I364" s="217"/>
      <c r="J364" s="217"/>
      <c r="K364" s="222"/>
      <c r="L364" s="222"/>
      <c r="M364" s="222"/>
      <c r="N364" s="386"/>
      <c r="O364" s="1087">
        <f>ROUND(G364*I364,2)+ROUND(H364*J364,2)-K364-L364-M364-N364</f>
        <v>0</v>
      </c>
      <c r="P364" s="918">
        <f>ROUND(18.75%*O364,2)</f>
        <v>0</v>
      </c>
      <c r="Q364" s="941">
        <f>ROUND($O364*R364,2)</f>
        <v>0</v>
      </c>
      <c r="R364" s="942">
        <v>0.15</v>
      </c>
      <c r="S364" s="941">
        <f>ROUND($O364*T364,2)</f>
        <v>0</v>
      </c>
      <c r="T364" s="943">
        <v>3.7499999999999999E-2</v>
      </c>
      <c r="U364"/>
      <c r="V364"/>
      <c r="W364"/>
      <c r="X364"/>
      <c r="Y364"/>
      <c r="Z364"/>
      <c r="AA364"/>
      <c r="AB364"/>
      <c r="AC364"/>
      <c r="AD364"/>
      <c r="AE364"/>
      <c r="AF364"/>
      <c r="AG364"/>
      <c r="AH364"/>
      <c r="AI364"/>
      <c r="AJ364"/>
      <c r="AK364"/>
    </row>
    <row r="365" spans="1:37" s="65" customFormat="1" ht="15.75" x14ac:dyDescent="0.25">
      <c r="A365" s="926" t="s">
        <v>28</v>
      </c>
      <c r="B365" s="445" t="s">
        <v>396</v>
      </c>
      <c r="C365" s="867" t="s">
        <v>31</v>
      </c>
      <c r="D365" s="867" t="s">
        <v>30</v>
      </c>
      <c r="E365" s="867" t="s">
        <v>101</v>
      </c>
      <c r="F365" s="867" t="s">
        <v>56</v>
      </c>
      <c r="G365" s="1091"/>
      <c r="H365" s="927">
        <v>41625.673900000002</v>
      </c>
      <c r="I365" s="1039"/>
      <c r="J365" s="1100">
        <v>3</v>
      </c>
      <c r="K365" s="505"/>
      <c r="L365" s="505"/>
      <c r="M365" s="505"/>
      <c r="N365" s="1093"/>
      <c r="O365" s="756"/>
      <c r="P365" s="909">
        <f>ROUND(18.75%*O365,2)</f>
        <v>0</v>
      </c>
      <c r="Q365" s="568">
        <f>ROUND($O365*R365,2)</f>
        <v>0</v>
      </c>
      <c r="R365" s="931">
        <v>0.15</v>
      </c>
      <c r="S365" s="568">
        <f>ROUND($O365*T365,2)</f>
        <v>0</v>
      </c>
      <c r="T365" s="946">
        <v>3.7499999999999999E-2</v>
      </c>
      <c r="U365"/>
      <c r="V365"/>
      <c r="W365"/>
      <c r="X365"/>
      <c r="Y365"/>
      <c r="Z365"/>
      <c r="AA365"/>
      <c r="AB365"/>
      <c r="AC365"/>
      <c r="AD365"/>
      <c r="AE365"/>
      <c r="AF365"/>
      <c r="AG365"/>
      <c r="AH365"/>
      <c r="AI365"/>
      <c r="AJ365"/>
      <c r="AK365"/>
    </row>
    <row r="366" spans="1:37" s="65" customFormat="1" ht="15.75" x14ac:dyDescent="0.25">
      <c r="A366" s="596"/>
      <c r="B366" s="596"/>
      <c r="C366" s="596"/>
      <c r="D366" s="596"/>
      <c r="E366" s="596"/>
      <c r="F366" s="596"/>
      <c r="G366" s="902">
        <f>SUM(G364:G365)</f>
        <v>0</v>
      </c>
      <c r="H366" s="902">
        <f>SUM(H364:H365)</f>
        <v>41625.673900000002</v>
      </c>
      <c r="I366" s="677"/>
      <c r="J366" s="677"/>
      <c r="K366" s="677"/>
      <c r="L366" s="596"/>
      <c r="M366" s="596"/>
      <c r="N366" s="1059">
        <f>SUM(N364:N365)</f>
        <v>0</v>
      </c>
      <c r="O366" s="734">
        <f>SUM(O364:O365)</f>
        <v>0</v>
      </c>
      <c r="P366" s="734">
        <f>SUM(P364:P365)</f>
        <v>0</v>
      </c>
      <c r="Q366" s="734">
        <f>SUM(Q364:Q365)</f>
        <v>0</v>
      </c>
      <c r="R366" s="596"/>
      <c r="S366" s="734">
        <f>SUM(S364:S365)</f>
        <v>0</v>
      </c>
      <c r="T366" s="596"/>
      <c r="U366"/>
      <c r="V366"/>
      <c r="W366"/>
      <c r="X366"/>
      <c r="Y366"/>
      <c r="Z366"/>
      <c r="AA366"/>
      <c r="AB366"/>
      <c r="AC366"/>
      <c r="AD366"/>
      <c r="AE366"/>
      <c r="AF366"/>
      <c r="AG366"/>
      <c r="AH366"/>
      <c r="AI366"/>
      <c r="AJ366"/>
      <c r="AK366"/>
    </row>
    <row r="367" spans="1:37" s="65" customFormat="1" ht="15.75" x14ac:dyDescent="0.25">
      <c r="A367" s="596"/>
      <c r="B367" s="596"/>
      <c r="C367" s="596"/>
      <c r="D367" s="596"/>
      <c r="E367" s="596"/>
      <c r="F367" s="596"/>
      <c r="G367" s="902"/>
      <c r="H367" s="902"/>
      <c r="I367" s="677"/>
      <c r="J367" s="677"/>
      <c r="K367" s="677"/>
      <c r="L367" s="596"/>
      <c r="M367" s="596"/>
      <c r="N367" s="1059"/>
      <c r="O367" s="734"/>
      <c r="P367" s="734"/>
      <c r="Q367" s="734"/>
      <c r="R367" s="596"/>
      <c r="S367" s="734"/>
      <c r="T367" s="596"/>
      <c r="U367"/>
      <c r="V367"/>
      <c r="W367"/>
      <c r="X367"/>
      <c r="Y367"/>
      <c r="Z367"/>
      <c r="AA367"/>
      <c r="AB367"/>
      <c r="AC367"/>
      <c r="AD367"/>
      <c r="AE367"/>
      <c r="AF367"/>
      <c r="AG367"/>
      <c r="AH367"/>
      <c r="AI367"/>
      <c r="AJ367"/>
      <c r="AK367"/>
    </row>
    <row r="368" spans="1:37" s="65" customFormat="1" ht="15.75" x14ac:dyDescent="0.25">
      <c r="A368" s="880" t="s">
        <v>231</v>
      </c>
      <c r="B368" s="596"/>
      <c r="C368" s="596" t="s">
        <v>407</v>
      </c>
      <c r="D368" s="596"/>
      <c r="E368" s="596"/>
      <c r="F368" s="596"/>
      <c r="G368" s="596"/>
      <c r="H368" s="596"/>
      <c r="I368" s="596"/>
      <c r="J368" s="596"/>
      <c r="K368" s="596"/>
      <c r="L368" s="596"/>
      <c r="M368" s="596"/>
      <c r="N368" s="1061"/>
      <c r="O368" s="596"/>
      <c r="P368" s="596"/>
      <c r="Q368" s="596"/>
      <c r="R368" s="596"/>
      <c r="S368" s="596"/>
      <c r="T368" s="596"/>
      <c r="U368"/>
      <c r="V368"/>
      <c r="W368"/>
      <c r="X368"/>
      <c r="Y368"/>
      <c r="Z368"/>
      <c r="AA368"/>
      <c r="AB368"/>
      <c r="AC368"/>
      <c r="AD368"/>
      <c r="AE368"/>
      <c r="AF368"/>
      <c r="AG368"/>
      <c r="AH368"/>
      <c r="AI368"/>
      <c r="AJ368"/>
      <c r="AK368"/>
    </row>
    <row r="369" spans="1:37" s="65" customFormat="1" ht="15.75" x14ac:dyDescent="0.25">
      <c r="A369" s="887" t="s">
        <v>406</v>
      </c>
      <c r="B369" s="596"/>
      <c r="C369" s="596"/>
      <c r="D369" s="596"/>
      <c r="E369" s="596"/>
      <c r="F369" s="596"/>
      <c r="G369" s="704" t="s">
        <v>35</v>
      </c>
      <c r="H369" s="705" t="s">
        <v>36</v>
      </c>
      <c r="I369" s="705" t="s">
        <v>35</v>
      </c>
      <c r="J369" s="704" t="s">
        <v>36</v>
      </c>
      <c r="K369" s="704" t="s">
        <v>39</v>
      </c>
      <c r="L369" s="704" t="s">
        <v>40</v>
      </c>
      <c r="M369" s="704" t="s">
        <v>42</v>
      </c>
      <c r="N369" s="1058" t="s">
        <v>2</v>
      </c>
      <c r="O369" s="596"/>
      <c r="P369" s="596"/>
      <c r="Q369" s="596"/>
      <c r="R369" s="596"/>
      <c r="S369" s="596"/>
      <c r="T369" s="596"/>
      <c r="U369"/>
      <c r="V369"/>
      <c r="W369"/>
      <c r="X369"/>
      <c r="Y369"/>
      <c r="Z369"/>
      <c r="AA369"/>
      <c r="AB369"/>
      <c r="AC369"/>
      <c r="AD369"/>
      <c r="AE369"/>
      <c r="AF369"/>
      <c r="AG369"/>
      <c r="AH369"/>
      <c r="AI369"/>
      <c r="AJ369"/>
      <c r="AK369"/>
    </row>
    <row r="370" spans="1:37" s="65" customFormat="1" ht="15.75" x14ac:dyDescent="0.25">
      <c r="A370" s="939" t="s">
        <v>28</v>
      </c>
      <c r="B370" s="940" t="s">
        <v>395</v>
      </c>
      <c r="C370" s="845" t="s">
        <v>31</v>
      </c>
      <c r="D370" s="845" t="s">
        <v>30</v>
      </c>
      <c r="E370" s="845" t="s">
        <v>101</v>
      </c>
      <c r="F370" s="845" t="s">
        <v>56</v>
      </c>
      <c r="G370" s="215"/>
      <c r="H370" s="215">
        <v>552</v>
      </c>
      <c r="I370" s="217"/>
      <c r="J370" s="217">
        <v>62.451700000000002</v>
      </c>
      <c r="K370" s="222"/>
      <c r="L370" s="222"/>
      <c r="M370" s="222"/>
      <c r="N370" s="386"/>
      <c r="O370" s="1087">
        <f>ROUND(G370*I370,2)+ROUND(H370*J370,2)-K370-L370-M370-N370</f>
        <v>34473.339999999997</v>
      </c>
      <c r="P370" s="918">
        <f>ROUND(18.75%*O370,2)</f>
        <v>6463.75</v>
      </c>
      <c r="Q370" s="941">
        <f>ROUND($O370*R370,2)</f>
        <v>5171</v>
      </c>
      <c r="R370" s="942">
        <v>0.15</v>
      </c>
      <c r="S370" s="941">
        <f>ROUND($O370*T370,2)</f>
        <v>1292.75</v>
      </c>
      <c r="T370" s="943">
        <v>3.7499999999999999E-2</v>
      </c>
      <c r="U370"/>
      <c r="V370"/>
      <c r="W370"/>
      <c r="X370"/>
      <c r="Y370"/>
      <c r="Z370"/>
      <c r="AA370"/>
      <c r="AB370"/>
      <c r="AC370"/>
      <c r="AD370"/>
      <c r="AE370"/>
      <c r="AF370"/>
      <c r="AG370"/>
      <c r="AH370"/>
      <c r="AI370"/>
      <c r="AJ370"/>
      <c r="AK370"/>
    </row>
    <row r="371" spans="1:37" s="65" customFormat="1" ht="15.75" x14ac:dyDescent="0.25">
      <c r="A371" s="926" t="s">
        <v>28</v>
      </c>
      <c r="B371" s="445" t="s">
        <v>396</v>
      </c>
      <c r="C371" s="867" t="s">
        <v>31</v>
      </c>
      <c r="D371" s="867" t="s">
        <v>30</v>
      </c>
      <c r="E371" s="867" t="s">
        <v>101</v>
      </c>
      <c r="F371" s="867" t="s">
        <v>56</v>
      </c>
      <c r="G371" s="1091"/>
      <c r="H371" s="927">
        <v>5708</v>
      </c>
      <c r="I371" s="1039"/>
      <c r="J371" s="1100">
        <v>63.482700000000001</v>
      </c>
      <c r="K371" s="505"/>
      <c r="L371" s="505"/>
      <c r="M371" s="505"/>
      <c r="N371" s="1093"/>
      <c r="O371" s="756"/>
      <c r="P371" s="909">
        <f>ROUND(18.75%*O371,2)</f>
        <v>0</v>
      </c>
      <c r="Q371" s="568">
        <f>ROUND($O371*R371,2)</f>
        <v>0</v>
      </c>
      <c r="R371" s="931">
        <v>0.15</v>
      </c>
      <c r="S371" s="568">
        <f>ROUND($O371*T371,2)</f>
        <v>0</v>
      </c>
      <c r="T371" s="946">
        <v>3.7499999999999999E-2</v>
      </c>
      <c r="U371"/>
      <c r="V371"/>
      <c r="W371"/>
      <c r="X371"/>
      <c r="Y371"/>
      <c r="Z371"/>
      <c r="AA371"/>
      <c r="AB371"/>
      <c r="AC371"/>
      <c r="AD371"/>
      <c r="AE371"/>
      <c r="AF371"/>
      <c r="AG371"/>
      <c r="AH371"/>
      <c r="AI371"/>
      <c r="AJ371"/>
      <c r="AK371"/>
    </row>
    <row r="372" spans="1:37" s="65" customFormat="1" ht="15.75" x14ac:dyDescent="0.25">
      <c r="A372" s="596"/>
      <c r="B372" s="596"/>
      <c r="C372" s="596"/>
      <c r="D372" s="596"/>
      <c r="E372" s="596"/>
      <c r="F372" s="596"/>
      <c r="G372" s="902">
        <f>SUM(G370:G371)</f>
        <v>0</v>
      </c>
      <c r="H372" s="902">
        <f>SUM(H370:H371)</f>
        <v>6260</v>
      </c>
      <c r="I372" s="677"/>
      <c r="J372" s="677"/>
      <c r="K372" s="677"/>
      <c r="L372" s="596"/>
      <c r="M372" s="596"/>
      <c r="N372" s="1059">
        <f>SUM(N370:N371)</f>
        <v>0</v>
      </c>
      <c r="O372" s="734">
        <f>SUM(O370:O371)</f>
        <v>34473.339999999997</v>
      </c>
      <c r="P372" s="734">
        <f>SUM(P370:P371)</f>
        <v>6463.75</v>
      </c>
      <c r="Q372" s="734">
        <f>SUM(Q370:Q371)</f>
        <v>5171</v>
      </c>
      <c r="R372" s="596"/>
      <c r="S372" s="734">
        <f>SUM(S370:S371)</f>
        <v>1292.75</v>
      </c>
      <c r="T372" s="596"/>
      <c r="U372"/>
      <c r="V372"/>
      <c r="W372"/>
      <c r="X372"/>
      <c r="Y372"/>
      <c r="Z372"/>
      <c r="AA372"/>
      <c r="AB372"/>
      <c r="AC372"/>
      <c r="AD372"/>
      <c r="AE372"/>
      <c r="AF372"/>
      <c r="AG372"/>
      <c r="AH372"/>
      <c r="AI372"/>
      <c r="AJ372"/>
      <c r="AK372"/>
    </row>
    <row r="373" spans="1:37" s="65" customFormat="1" ht="15.75" x14ac:dyDescent="0.25">
      <c r="A373" s="596"/>
      <c r="B373" s="596"/>
      <c r="C373" s="596"/>
      <c r="D373" s="596"/>
      <c r="E373" s="596"/>
      <c r="F373" s="596"/>
      <c r="G373" s="677"/>
      <c r="H373" s="677"/>
      <c r="I373" s="677"/>
      <c r="J373" s="677"/>
      <c r="K373" s="677"/>
      <c r="L373" s="596"/>
      <c r="M373" s="596"/>
      <c r="N373" s="950"/>
      <c r="O373" s="597"/>
      <c r="P373" s="597"/>
      <c r="Q373" s="597"/>
      <c r="R373" s="596"/>
      <c r="S373" s="597"/>
      <c r="T373" s="596"/>
      <c r="U373"/>
      <c r="V373"/>
      <c r="W373"/>
      <c r="X373"/>
      <c r="Y373"/>
      <c r="Z373"/>
      <c r="AA373"/>
      <c r="AB373"/>
      <c r="AC373"/>
      <c r="AD373"/>
      <c r="AE373"/>
      <c r="AF373"/>
      <c r="AG373"/>
      <c r="AH373"/>
      <c r="AI373"/>
      <c r="AJ373"/>
      <c r="AK373"/>
    </row>
    <row r="374" spans="1:37" s="65" customFormat="1" ht="15.75" x14ac:dyDescent="0.25">
      <c r="A374" s="887" t="s">
        <v>229</v>
      </c>
      <c r="B374" s="596"/>
      <c r="C374" s="596"/>
      <c r="D374" s="596"/>
      <c r="E374" s="596"/>
      <c r="F374" s="596"/>
      <c r="G374" s="677"/>
      <c r="H374" s="677"/>
      <c r="I374" s="677"/>
      <c r="J374" s="677"/>
      <c r="K374" s="677"/>
      <c r="L374" s="596"/>
      <c r="M374" s="596"/>
      <c r="N374" s="950"/>
      <c r="O374" s="596"/>
      <c r="P374" s="596"/>
      <c r="Q374" s="597"/>
      <c r="R374" s="596"/>
      <c r="S374" s="596"/>
      <c r="T374" s="596"/>
      <c r="U374"/>
      <c r="V374"/>
      <c r="W374"/>
      <c r="X374"/>
      <c r="Y374"/>
      <c r="Z374"/>
      <c r="AA374"/>
      <c r="AB374"/>
      <c r="AC374"/>
      <c r="AD374"/>
      <c r="AE374"/>
      <c r="AF374"/>
      <c r="AG374"/>
      <c r="AH374"/>
      <c r="AI374"/>
      <c r="AJ374"/>
      <c r="AK374"/>
    </row>
    <row r="375" spans="1:37" s="65" customFormat="1" ht="15.75" x14ac:dyDescent="0.25">
      <c r="A375" s="939" t="s">
        <v>28</v>
      </c>
      <c r="B375" s="940" t="str">
        <f>B364</f>
        <v>I - PETRO</v>
      </c>
      <c r="C375" s="845" t="s">
        <v>31</v>
      </c>
      <c r="D375" s="845" t="s">
        <v>30</v>
      </c>
      <c r="E375" s="845" t="s">
        <v>101</v>
      </c>
      <c r="F375" s="845" t="s">
        <v>56</v>
      </c>
      <c r="G375" s="1082">
        <f>G364</f>
        <v>0</v>
      </c>
      <c r="H375" s="1032"/>
      <c r="I375" s="1033">
        <f>I364</f>
        <v>0</v>
      </c>
      <c r="J375" s="1033"/>
      <c r="K375" s="1023"/>
      <c r="L375" s="1023"/>
      <c r="M375" s="1023"/>
      <c r="N375" s="1087"/>
      <c r="O375" s="1087">
        <f>ROUND(G375*I375,2)+ROUND(H375*J375,2)-K375-L375-M375-N375</f>
        <v>0</v>
      </c>
      <c r="P375" s="918">
        <f>ROUND(18.75%*O375,2)</f>
        <v>0</v>
      </c>
      <c r="Q375" s="941">
        <f>ROUND($O375*R375,2)</f>
        <v>0</v>
      </c>
      <c r="R375" s="942">
        <v>0.15</v>
      </c>
      <c r="S375" s="941">
        <f>ROUND($O375*T375,2)</f>
        <v>0</v>
      </c>
      <c r="T375" s="943">
        <v>3.7499999999999999E-2</v>
      </c>
      <c r="U375"/>
      <c r="V375"/>
      <c r="W375"/>
      <c r="X375"/>
      <c r="Y375"/>
      <c r="Z375"/>
      <c r="AA375"/>
      <c r="AB375"/>
      <c r="AC375"/>
      <c r="AD375"/>
      <c r="AE375"/>
      <c r="AF375"/>
      <c r="AG375"/>
      <c r="AH375"/>
      <c r="AI375"/>
      <c r="AJ375"/>
      <c r="AK375"/>
    </row>
    <row r="376" spans="1:37" s="65" customFormat="1" ht="15.75" x14ac:dyDescent="0.25">
      <c r="A376" s="926" t="s">
        <v>28</v>
      </c>
      <c r="B376" s="445" t="str">
        <f>B365</f>
        <v>I - INEXPERT</v>
      </c>
      <c r="C376" s="867" t="s">
        <v>31</v>
      </c>
      <c r="D376" s="867" t="s">
        <v>30</v>
      </c>
      <c r="E376" s="867" t="s">
        <v>101</v>
      </c>
      <c r="F376" s="867" t="s">
        <v>56</v>
      </c>
      <c r="G376" s="1091">
        <f>G365</f>
        <v>0</v>
      </c>
      <c r="H376" s="1036"/>
      <c r="I376" s="1039">
        <f>I365</f>
        <v>0</v>
      </c>
      <c r="J376" s="1039"/>
      <c r="K376" s="505"/>
      <c r="L376" s="505"/>
      <c r="M376" s="505"/>
      <c r="N376" s="1093"/>
      <c r="O376" s="756">
        <f>ROUND(G376*I376,2)+ROUND(H376*J376,2)-K376-L376-M376-N376</f>
        <v>0</v>
      </c>
      <c r="P376" s="909">
        <f>ROUND(18.75%*O376,2)</f>
        <v>0</v>
      </c>
      <c r="Q376" s="568">
        <f>ROUND($O376*R376,2)</f>
        <v>0</v>
      </c>
      <c r="R376" s="931">
        <v>0.15</v>
      </c>
      <c r="S376" s="568">
        <f>ROUND($O376*T376,2)</f>
        <v>0</v>
      </c>
      <c r="T376" s="946">
        <v>3.7499999999999999E-2</v>
      </c>
      <c r="U376"/>
      <c r="V376"/>
      <c r="W376"/>
      <c r="X376"/>
      <c r="Y376"/>
      <c r="Z376"/>
      <c r="AA376"/>
      <c r="AB376"/>
      <c r="AC376"/>
      <c r="AD376"/>
      <c r="AE376"/>
      <c r="AF376"/>
      <c r="AG376"/>
      <c r="AH376"/>
      <c r="AI376"/>
      <c r="AJ376"/>
      <c r="AK376"/>
    </row>
    <row r="377" spans="1:37" s="65" customFormat="1" ht="15.75" x14ac:dyDescent="0.25">
      <c r="A377" s="596"/>
      <c r="B377" s="596"/>
      <c r="C377" s="596"/>
      <c r="D377" s="596"/>
      <c r="E377" s="596"/>
      <c r="F377" s="596"/>
      <c r="G377" s="902">
        <f>SUM(G375:G376)</f>
        <v>0</v>
      </c>
      <c r="H377" s="902"/>
      <c r="I377" s="937" t="e">
        <f>O377/G377</f>
        <v>#DIV/0!</v>
      </c>
      <c r="J377" s="677"/>
      <c r="K377" s="677"/>
      <c r="L377" s="596"/>
      <c r="M377" s="596"/>
      <c r="N377" s="1059">
        <f>SUM(N375:N376)</f>
        <v>0</v>
      </c>
      <c r="O377" s="734">
        <f>SUM(O375:O376)</f>
        <v>0</v>
      </c>
      <c r="P377" s="734">
        <f>SUM(P375:P376)</f>
        <v>0</v>
      </c>
      <c r="Q377" s="734">
        <f>SUM(Q375:Q376)</f>
        <v>0</v>
      </c>
      <c r="R377" s="596"/>
      <c r="S377" s="734">
        <f>SUM(S375:S376)</f>
        <v>0</v>
      </c>
      <c r="T377" s="596"/>
      <c r="U377"/>
      <c r="V377"/>
      <c r="W377"/>
      <c r="X377"/>
      <c r="Y377"/>
      <c r="Z377"/>
      <c r="AA377"/>
      <c r="AB377"/>
      <c r="AC377"/>
      <c r="AD377"/>
      <c r="AE377"/>
      <c r="AF377"/>
      <c r="AG377"/>
      <c r="AH377"/>
      <c r="AI377"/>
      <c r="AJ377"/>
      <c r="AK377"/>
    </row>
    <row r="378" spans="1:37" s="65" customFormat="1" ht="15.75" x14ac:dyDescent="0.25">
      <c r="A378" s="596"/>
      <c r="B378" s="596"/>
      <c r="C378" s="596"/>
      <c r="D378" s="596"/>
      <c r="E378" s="596"/>
      <c r="F378" s="596"/>
      <c r="G378" s="677"/>
      <c r="H378" s="677"/>
      <c r="I378" s="677"/>
      <c r="J378" s="677"/>
      <c r="K378" s="677"/>
      <c r="L378" s="596"/>
      <c r="M378" s="596"/>
      <c r="N378" s="950"/>
      <c r="O378" s="683"/>
      <c r="P378" s="683"/>
      <c r="Q378" s="596"/>
      <c r="R378" s="596"/>
      <c r="S378" s="596"/>
      <c r="T378" s="596"/>
      <c r="U378"/>
      <c r="V378"/>
      <c r="W378"/>
      <c r="X378"/>
      <c r="Y378"/>
      <c r="Z378"/>
      <c r="AA378"/>
      <c r="AB378"/>
      <c r="AC378"/>
      <c r="AD378"/>
      <c r="AE378"/>
      <c r="AF378"/>
      <c r="AG378"/>
      <c r="AH378"/>
      <c r="AI378"/>
      <c r="AJ378"/>
      <c r="AK378"/>
    </row>
    <row r="379" spans="1:37" s="65" customFormat="1" ht="16.350000000000001" customHeight="1" x14ac:dyDescent="0.25">
      <c r="A379" s="596"/>
      <c r="B379" s="596"/>
      <c r="C379" s="596"/>
      <c r="D379" s="596"/>
      <c r="E379" s="596"/>
      <c r="F379" s="596"/>
      <c r="G379" s="677"/>
      <c r="H379" s="677"/>
      <c r="I379" s="677"/>
      <c r="J379" s="677"/>
      <c r="K379" s="677"/>
      <c r="L379" s="596"/>
      <c r="M379" s="596"/>
      <c r="N379" s="950"/>
      <c r="O379" s="597"/>
      <c r="P379" s="597"/>
      <c r="Q379" s="596"/>
      <c r="R379" s="596"/>
      <c r="S379" s="596"/>
      <c r="T379" s="596"/>
      <c r="U379"/>
      <c r="V379"/>
      <c r="W379"/>
      <c r="X379"/>
      <c r="Y379"/>
      <c r="Z379"/>
      <c r="AA379"/>
      <c r="AB379"/>
      <c r="AC379"/>
      <c r="AD379"/>
      <c r="AE379"/>
      <c r="AF379"/>
      <c r="AG379"/>
      <c r="AH379"/>
      <c r="AI379"/>
      <c r="AJ379"/>
      <c r="AK379"/>
    </row>
    <row r="380" spans="1:37" s="65" customFormat="1" ht="15.75" x14ac:dyDescent="0.25">
      <c r="A380" s="887" t="s">
        <v>405</v>
      </c>
      <c r="B380" s="596"/>
      <c r="C380" s="596"/>
      <c r="D380" s="596"/>
      <c r="E380" s="596"/>
      <c r="F380" s="596"/>
      <c r="G380" s="677"/>
      <c r="H380" s="677"/>
      <c r="I380" s="677"/>
      <c r="J380" s="677"/>
      <c r="K380" s="677"/>
      <c r="L380" s="596"/>
      <c r="M380" s="596"/>
      <c r="N380" s="950"/>
      <c r="O380" s="596"/>
      <c r="P380" s="596"/>
      <c r="Q380" s="596"/>
      <c r="R380" s="596"/>
      <c r="S380" s="596"/>
      <c r="T380" s="596"/>
      <c r="U380"/>
      <c r="V380"/>
      <c r="W380"/>
      <c r="X380"/>
      <c r="Y380"/>
      <c r="Z380"/>
      <c r="AA380"/>
      <c r="AB380"/>
      <c r="AC380"/>
      <c r="AD380"/>
      <c r="AE380"/>
      <c r="AF380"/>
      <c r="AG380"/>
      <c r="AH380"/>
      <c r="AI380"/>
      <c r="AJ380"/>
      <c r="AK380"/>
    </row>
    <row r="381" spans="1:37" s="65" customFormat="1" ht="15.75" x14ac:dyDescent="0.25">
      <c r="A381" s="888" t="s">
        <v>28</v>
      </c>
      <c r="B381" s="940" t="str">
        <f>B364</f>
        <v>I - PETRO</v>
      </c>
      <c r="C381" s="890" t="s">
        <v>31</v>
      </c>
      <c r="D381" s="890" t="s">
        <v>30</v>
      </c>
      <c r="E381" s="890" t="s">
        <v>101</v>
      </c>
      <c r="F381" s="891" t="s">
        <v>56</v>
      </c>
      <c r="G381" s="914"/>
      <c r="H381" s="914">
        <f>+H364</f>
        <v>0</v>
      </c>
      <c r="I381" s="916"/>
      <c r="J381" s="1077">
        <f>J364</f>
        <v>0</v>
      </c>
      <c r="K381" s="420"/>
      <c r="L381" s="420"/>
      <c r="M381" s="420"/>
      <c r="N381" s="1087">
        <f>N364</f>
        <v>0</v>
      </c>
      <c r="O381" s="918">
        <f>ROUND(G381*I381,2)+ROUND(H381*J381,2)-K381-L381-M381-N381</f>
        <v>0</v>
      </c>
      <c r="P381" s="918">
        <f>ROUND(18.75%*O381,2)</f>
        <v>0</v>
      </c>
      <c r="Q381" s="941">
        <f>ROUND($O381*R381,2)</f>
        <v>0</v>
      </c>
      <c r="R381" s="942">
        <v>0.15</v>
      </c>
      <c r="S381" s="941">
        <f>ROUND($O381*T381,2)</f>
        <v>0</v>
      </c>
      <c r="T381" s="943">
        <v>3.7499999999999999E-2</v>
      </c>
      <c r="U381"/>
      <c r="V381"/>
      <c r="W381"/>
      <c r="X381"/>
      <c r="Y381"/>
      <c r="Z381"/>
      <c r="AA381"/>
      <c r="AB381"/>
      <c r="AC381"/>
      <c r="AD381"/>
      <c r="AE381"/>
      <c r="AF381"/>
      <c r="AG381"/>
      <c r="AH381"/>
      <c r="AI381"/>
      <c r="AJ381"/>
      <c r="AK381"/>
    </row>
    <row r="382" spans="1:37" s="65" customFormat="1" ht="15.75" x14ac:dyDescent="0.25">
      <c r="A382" s="898" t="s">
        <v>28</v>
      </c>
      <c r="B382" s="445" t="str">
        <f>B365</f>
        <v>I - INEXPERT</v>
      </c>
      <c r="C382" s="899" t="s">
        <v>31</v>
      </c>
      <c r="D382" s="899" t="s">
        <v>30</v>
      </c>
      <c r="E382" s="899" t="s">
        <v>101</v>
      </c>
      <c r="F382" s="740" t="s">
        <v>56</v>
      </c>
      <c r="G382" s="927"/>
      <c r="H382" s="927">
        <f>H365</f>
        <v>41625.673900000002</v>
      </c>
      <c r="I382" s="929"/>
      <c r="J382" s="1078">
        <f>J365</f>
        <v>3</v>
      </c>
      <c r="K382" s="424"/>
      <c r="L382" s="424"/>
      <c r="M382" s="424"/>
      <c r="N382" s="1093">
        <f>N365</f>
        <v>0</v>
      </c>
      <c r="O382" s="909">
        <f>ROUND(G382*I382,2)+ROUND(H382*J382,2)-K382-L382-M382-N382</f>
        <v>124877.02</v>
      </c>
      <c r="P382" s="909">
        <f>ROUND(18.75%*O382,2)</f>
        <v>23414.44</v>
      </c>
      <c r="Q382" s="568">
        <f>ROUND($O382*R382,2)</f>
        <v>18731.55</v>
      </c>
      <c r="R382" s="931">
        <v>0.15</v>
      </c>
      <c r="S382" s="568">
        <f>ROUND($O382*T382,2)</f>
        <v>4682.8900000000003</v>
      </c>
      <c r="T382" s="946">
        <v>3.7499999999999999E-2</v>
      </c>
      <c r="U382"/>
      <c r="V382"/>
      <c r="W382"/>
      <c r="X382"/>
      <c r="Y382"/>
      <c r="Z382"/>
      <c r="AA382"/>
      <c r="AB382"/>
      <c r="AC382"/>
      <c r="AD382"/>
      <c r="AE382"/>
      <c r="AF382"/>
      <c r="AG382"/>
      <c r="AH382"/>
      <c r="AI382"/>
      <c r="AJ382"/>
      <c r="AK382"/>
    </row>
    <row r="383" spans="1:37" s="65" customFormat="1" ht="15.75" x14ac:dyDescent="0.25">
      <c r="A383" s="596"/>
      <c r="B383" s="596"/>
      <c r="C383" s="596"/>
      <c r="D383" s="596"/>
      <c r="E383" s="596"/>
      <c r="F383" s="596"/>
      <c r="G383" s="902"/>
      <c r="H383" s="902">
        <f>SUM(H381:H382)</f>
        <v>41625.673900000002</v>
      </c>
      <c r="I383" s="937"/>
      <c r="J383" s="937">
        <f>O383/H383</f>
        <v>2.9999999591598203</v>
      </c>
      <c r="K383" s="677"/>
      <c r="L383" s="596"/>
      <c r="M383" s="596"/>
      <c r="N383" s="1094">
        <f>SUM(N381:N382)</f>
        <v>0</v>
      </c>
      <c r="O383" s="734">
        <f>SUM(O381:O382)</f>
        <v>124877.02</v>
      </c>
      <c r="P383" s="734">
        <f>SUM(P381:P382)</f>
        <v>23414.44</v>
      </c>
      <c r="Q383" s="734">
        <f>SUM(Q381:Q382)</f>
        <v>18731.55</v>
      </c>
      <c r="R383" s="596"/>
      <c r="S383" s="734">
        <f>SUM(S381:S382)</f>
        <v>4682.8900000000003</v>
      </c>
      <c r="T383" s="596"/>
      <c r="U383"/>
      <c r="V383"/>
      <c r="W383"/>
      <c r="X383"/>
      <c r="Y383"/>
      <c r="Z383"/>
      <c r="AA383"/>
      <c r="AB383"/>
      <c r="AC383"/>
      <c r="AD383"/>
      <c r="AE383"/>
      <c r="AF383"/>
      <c r="AG383"/>
      <c r="AH383"/>
      <c r="AI383"/>
      <c r="AJ383"/>
      <c r="AK383"/>
    </row>
    <row r="384" spans="1:37" s="1" customFormat="1" ht="15.75" x14ac:dyDescent="0.25">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row>
    <row r="385" spans="1:37" s="65" customFormat="1" ht="15.75" x14ac:dyDescent="0.25">
      <c r="A385" s="887" t="s">
        <v>408</v>
      </c>
      <c r="B385" s="596"/>
      <c r="C385" s="596"/>
      <c r="D385" s="596"/>
      <c r="E385" s="596"/>
      <c r="F385" s="596"/>
      <c r="G385" s="677"/>
      <c r="H385" s="677"/>
      <c r="I385" s="677"/>
      <c r="J385" s="677"/>
      <c r="K385" s="677"/>
      <c r="L385" s="596"/>
      <c r="M385" s="596"/>
      <c r="N385" s="950"/>
      <c r="O385" s="596"/>
      <c r="P385" s="596"/>
      <c r="Q385" s="596"/>
      <c r="R385" s="596"/>
      <c r="S385" s="596"/>
      <c r="T385" s="596"/>
      <c r="U385"/>
      <c r="V385"/>
      <c r="W385"/>
      <c r="X385"/>
      <c r="Y385"/>
      <c r="Z385"/>
      <c r="AA385"/>
      <c r="AB385"/>
      <c r="AC385"/>
      <c r="AD385"/>
      <c r="AE385"/>
      <c r="AF385"/>
      <c r="AG385"/>
      <c r="AH385"/>
      <c r="AI385"/>
      <c r="AJ385"/>
      <c r="AK385"/>
    </row>
    <row r="386" spans="1:37" s="65" customFormat="1" ht="15.75" x14ac:dyDescent="0.25">
      <c r="A386" s="888" t="s">
        <v>28</v>
      </c>
      <c r="B386" s="940" t="str">
        <f>+B370</f>
        <v>I - PETRO</v>
      </c>
      <c r="C386" s="890" t="s">
        <v>31</v>
      </c>
      <c r="D386" s="890" t="s">
        <v>30</v>
      </c>
      <c r="E386" s="890" t="s">
        <v>101</v>
      </c>
      <c r="F386" s="891" t="s">
        <v>56</v>
      </c>
      <c r="G386" s="914"/>
      <c r="H386" s="914">
        <f>+H370</f>
        <v>552</v>
      </c>
      <c r="I386" s="916"/>
      <c r="J386" s="914">
        <f>+J370</f>
        <v>62.451700000000002</v>
      </c>
      <c r="K386" s="420"/>
      <c r="L386" s="420"/>
      <c r="M386" s="420"/>
      <c r="N386" s="1087">
        <f>+N370</f>
        <v>0</v>
      </c>
      <c r="O386" s="918">
        <f>ROUND(G386*I386,2)+ROUND(H386*J386,2)-K386-L386-M386-N386</f>
        <v>34473.339999999997</v>
      </c>
      <c r="P386" s="918">
        <f>ROUND(18.75%*O386,2)</f>
        <v>6463.75</v>
      </c>
      <c r="Q386" s="941">
        <f>ROUND($O386*R386,2)</f>
        <v>5171</v>
      </c>
      <c r="R386" s="942">
        <v>0.15</v>
      </c>
      <c r="S386" s="941">
        <f>ROUND($O386*T386,2)</f>
        <v>1292.75</v>
      </c>
      <c r="T386" s="943">
        <v>3.7499999999999999E-2</v>
      </c>
      <c r="U386"/>
      <c r="V386"/>
      <c r="W386"/>
      <c r="X386"/>
      <c r="Y386"/>
      <c r="Z386"/>
      <c r="AA386"/>
      <c r="AB386"/>
      <c r="AC386"/>
      <c r="AD386"/>
      <c r="AE386"/>
      <c r="AF386"/>
      <c r="AG386"/>
      <c r="AH386"/>
      <c r="AI386"/>
      <c r="AJ386"/>
      <c r="AK386"/>
    </row>
    <row r="387" spans="1:37" s="65" customFormat="1" ht="15.75" x14ac:dyDescent="0.25">
      <c r="A387" s="898" t="s">
        <v>28</v>
      </c>
      <c r="B387" s="1101" t="str">
        <f>+B371</f>
        <v>I - INEXPERT</v>
      </c>
      <c r="C387" s="899" t="s">
        <v>31</v>
      </c>
      <c r="D387" s="899" t="s">
        <v>30</v>
      </c>
      <c r="E387" s="899" t="s">
        <v>101</v>
      </c>
      <c r="F387" s="740" t="s">
        <v>56</v>
      </c>
      <c r="G387" s="927"/>
      <c r="H387" s="927">
        <f>+H371</f>
        <v>5708</v>
      </c>
      <c r="I387" s="929"/>
      <c r="J387" s="927">
        <f>+J371</f>
        <v>63.482700000000001</v>
      </c>
      <c r="K387" s="424"/>
      <c r="L387" s="424"/>
      <c r="M387" s="424"/>
      <c r="N387" s="667">
        <f>+N371</f>
        <v>0</v>
      </c>
      <c r="O387" s="909">
        <f>ROUND(G387*I387,2)+ROUND(H387*J387,2)-K387-L387-M387-N387</f>
        <v>362359.25</v>
      </c>
      <c r="P387" s="909">
        <f>ROUND(18.75%*O387,2)</f>
        <v>67942.36</v>
      </c>
      <c r="Q387" s="568">
        <f>ROUND($O387*R387,2)</f>
        <v>54353.89</v>
      </c>
      <c r="R387" s="931">
        <v>0.15</v>
      </c>
      <c r="S387" s="568">
        <f>ROUND($O387*T387,2)</f>
        <v>13588.47</v>
      </c>
      <c r="T387" s="946">
        <v>3.7499999999999999E-2</v>
      </c>
      <c r="U387"/>
      <c r="V387"/>
      <c r="W387"/>
      <c r="X387"/>
      <c r="Y387"/>
      <c r="Z387"/>
      <c r="AA387"/>
      <c r="AB387"/>
      <c r="AC387"/>
      <c r="AD387"/>
      <c r="AE387"/>
      <c r="AF387"/>
      <c r="AG387"/>
      <c r="AH387"/>
      <c r="AI387"/>
      <c r="AJ387"/>
      <c r="AK387"/>
    </row>
    <row r="388" spans="1:37" s="65" customFormat="1" ht="15.75" x14ac:dyDescent="0.25">
      <c r="A388" s="596"/>
      <c r="B388" s="596"/>
      <c r="C388" s="596"/>
      <c r="D388" s="596"/>
      <c r="E388" s="596"/>
      <c r="F388" s="596"/>
      <c r="G388" s="902"/>
      <c r="H388" s="902">
        <f>SUM(H386:H387)</f>
        <v>6260</v>
      </c>
      <c r="I388" s="937"/>
      <c r="J388" s="937">
        <f>O388/H388</f>
        <v>63.391787539936097</v>
      </c>
      <c r="K388" s="677"/>
      <c r="L388" s="596"/>
      <c r="M388" s="596"/>
      <c r="N388" s="1094">
        <f>SUM(N386:N387)</f>
        <v>0</v>
      </c>
      <c r="O388" s="734">
        <f>SUM(O386:O387)</f>
        <v>396832.58999999997</v>
      </c>
      <c r="P388" s="734">
        <f>SUM(P386:P387)</f>
        <v>74406.11</v>
      </c>
      <c r="Q388" s="734">
        <f>SUM(Q386:Q387)</f>
        <v>59524.89</v>
      </c>
      <c r="R388" s="596"/>
      <c r="S388" s="734">
        <f>SUM(S386:S387)</f>
        <v>14881.22</v>
      </c>
      <c r="T388" s="596"/>
      <c r="U388"/>
      <c r="V388"/>
      <c r="W388"/>
      <c r="X388"/>
      <c r="Y388"/>
      <c r="Z388"/>
      <c r="AA388"/>
      <c r="AB388"/>
      <c r="AC388"/>
      <c r="AD388"/>
      <c r="AE388"/>
      <c r="AF388"/>
      <c r="AG388"/>
      <c r="AH388"/>
      <c r="AI388"/>
      <c r="AJ388"/>
      <c r="AK388"/>
    </row>
    <row r="389" spans="1:37" s="65" customFormat="1" ht="15.75" x14ac:dyDescent="0.25">
      <c r="A389" s="596"/>
      <c r="B389" s="596"/>
      <c r="C389" s="596"/>
      <c r="D389" s="596"/>
      <c r="E389" s="596"/>
      <c r="F389" s="596"/>
      <c r="G389" s="902"/>
      <c r="H389" s="902"/>
      <c r="I389" s="937"/>
      <c r="J389" s="937"/>
      <c r="K389" s="677"/>
      <c r="L389" s="596"/>
      <c r="M389" s="596"/>
      <c r="N389" s="1094"/>
      <c r="O389" s="734"/>
      <c r="P389" s="734"/>
      <c r="Q389" s="734"/>
      <c r="R389" s="596"/>
      <c r="S389" s="734"/>
      <c r="T389" s="596"/>
      <c r="U389"/>
      <c r="V389"/>
      <c r="W389"/>
      <c r="X389"/>
      <c r="Y389"/>
      <c r="Z389"/>
      <c r="AA389"/>
      <c r="AB389"/>
      <c r="AC389"/>
      <c r="AD389"/>
      <c r="AE389"/>
      <c r="AF389"/>
      <c r="AG389"/>
      <c r="AH389"/>
      <c r="AI389"/>
      <c r="AJ389"/>
      <c r="AK389"/>
    </row>
    <row r="390" spans="1:37" s="65" customFormat="1" ht="15.75" x14ac:dyDescent="0.25">
      <c r="A390" s="596"/>
      <c r="B390" s="596"/>
      <c r="C390" s="596"/>
      <c r="D390" s="596"/>
      <c r="E390" s="596"/>
      <c r="F390" s="596"/>
      <c r="G390" s="902"/>
      <c r="H390" s="902"/>
      <c r="I390" s="937"/>
      <c r="J390" s="937"/>
      <c r="K390" s="677"/>
      <c r="L390" s="596"/>
      <c r="M390" s="596"/>
      <c r="N390" s="1094"/>
      <c r="O390" s="734"/>
      <c r="P390" s="734"/>
      <c r="Q390" s="734"/>
      <c r="R390" s="596"/>
      <c r="S390" s="734"/>
      <c r="T390" s="596"/>
      <c r="U390"/>
      <c r="V390"/>
      <c r="W390"/>
      <c r="X390"/>
      <c r="Y390"/>
      <c r="Z390"/>
      <c r="AA390"/>
      <c r="AB390"/>
      <c r="AC390"/>
      <c r="AD390"/>
      <c r="AE390"/>
      <c r="AF390"/>
      <c r="AG390"/>
      <c r="AH390"/>
      <c r="AI390"/>
      <c r="AJ390"/>
      <c r="AK390"/>
    </row>
    <row r="391" spans="1:37" s="65" customFormat="1" ht="15.75" x14ac:dyDescent="0.25">
      <c r="A391" s="880" t="s">
        <v>231</v>
      </c>
      <c r="B391" s="596"/>
      <c r="C391" s="596" t="s">
        <v>411</v>
      </c>
      <c r="D391" s="596"/>
      <c r="E391" s="596"/>
      <c r="F391" s="596"/>
      <c r="G391" s="596"/>
      <c r="H391" s="596"/>
      <c r="I391" s="596"/>
      <c r="J391" s="596"/>
      <c r="K391" s="596"/>
      <c r="L391" s="596"/>
      <c r="M391" s="596"/>
      <c r="N391" s="1061"/>
      <c r="O391" s="596"/>
      <c r="P391" s="596"/>
      <c r="Q391" s="596"/>
      <c r="R391" s="596"/>
      <c r="S391" s="596"/>
      <c r="T391" s="596"/>
      <c r="U391"/>
      <c r="V391"/>
      <c r="W391"/>
      <c r="X391"/>
      <c r="Y391"/>
      <c r="Z391"/>
      <c r="AA391"/>
      <c r="AB391"/>
      <c r="AC391"/>
      <c r="AD391"/>
      <c r="AE391"/>
      <c r="AF391"/>
      <c r="AG391"/>
      <c r="AH391"/>
      <c r="AI391"/>
      <c r="AJ391"/>
      <c r="AK391"/>
    </row>
    <row r="392" spans="1:37" s="65" customFormat="1" ht="15.75" x14ac:dyDescent="0.25">
      <c r="A392" s="887" t="s">
        <v>228</v>
      </c>
      <c r="B392" s="596"/>
      <c r="C392" s="596"/>
      <c r="D392" s="596"/>
      <c r="E392" s="596"/>
      <c r="F392" s="596"/>
      <c r="G392" s="704" t="s">
        <v>35</v>
      </c>
      <c r="H392" s="705" t="s">
        <v>36</v>
      </c>
      <c r="I392" s="705" t="s">
        <v>35</v>
      </c>
      <c r="J392" s="704" t="s">
        <v>36</v>
      </c>
      <c r="K392" s="704" t="s">
        <v>39</v>
      </c>
      <c r="L392" s="704" t="s">
        <v>40</v>
      </c>
      <c r="M392" s="704" t="s">
        <v>42</v>
      </c>
      <c r="N392" s="1058" t="s">
        <v>2</v>
      </c>
      <c r="O392" s="596"/>
      <c r="P392" s="596"/>
      <c r="Q392" s="596"/>
      <c r="R392" s="596"/>
      <c r="S392" s="596"/>
      <c r="T392" s="596"/>
      <c r="U392"/>
      <c r="V392"/>
      <c r="W392"/>
      <c r="X392"/>
      <c r="Y392"/>
      <c r="Z392"/>
      <c r="AA392"/>
      <c r="AB392"/>
      <c r="AC392"/>
      <c r="AD392"/>
      <c r="AE392"/>
      <c r="AF392"/>
      <c r="AG392"/>
      <c r="AH392"/>
      <c r="AI392"/>
      <c r="AJ392"/>
      <c r="AK392"/>
    </row>
    <row r="393" spans="1:37" s="65" customFormat="1" ht="15.75" x14ac:dyDescent="0.25">
      <c r="A393" s="939" t="s">
        <v>28</v>
      </c>
      <c r="B393" s="940" t="s">
        <v>409</v>
      </c>
      <c r="C393" s="845" t="s">
        <v>31</v>
      </c>
      <c r="D393" s="845" t="s">
        <v>30</v>
      </c>
      <c r="E393" s="845" t="s">
        <v>101</v>
      </c>
      <c r="F393" s="845" t="s">
        <v>56</v>
      </c>
      <c r="G393" s="1082"/>
      <c r="H393" s="1032">
        <v>18124</v>
      </c>
      <c r="I393" s="1033"/>
      <c r="J393" s="1038">
        <v>60.042700000000004</v>
      </c>
      <c r="K393" s="1023"/>
      <c r="L393" s="1023"/>
      <c r="M393" s="1023"/>
      <c r="N393" s="1086"/>
      <c r="O393" s="1087">
        <f>ROUND(G393*I393,2)+ROUND(H393*J393,2)-K393-L393-M393-N393</f>
        <v>1088213.8899999999</v>
      </c>
      <c r="P393" s="918">
        <f>ROUND(18.75%*O393,2)</f>
        <v>204040.1</v>
      </c>
      <c r="Q393" s="941">
        <f>ROUND($O393*R393,2)</f>
        <v>163232.07999999999</v>
      </c>
      <c r="R393" s="942">
        <v>0.15</v>
      </c>
      <c r="S393" s="941">
        <f>ROUND($O393*T393,2)</f>
        <v>40808.019999999997</v>
      </c>
      <c r="T393" s="943">
        <v>3.7499999999999999E-2</v>
      </c>
      <c r="U393"/>
      <c r="V393"/>
      <c r="W393"/>
      <c r="X393"/>
      <c r="Y393"/>
      <c r="Z393"/>
      <c r="AA393"/>
      <c r="AB393"/>
      <c r="AC393"/>
      <c r="AD393"/>
      <c r="AE393"/>
      <c r="AF393"/>
      <c r="AG393"/>
      <c r="AH393"/>
      <c r="AI393"/>
      <c r="AJ393"/>
      <c r="AK393"/>
    </row>
    <row r="394" spans="1:37" s="65" customFormat="1" ht="15.75" x14ac:dyDescent="0.25">
      <c r="A394" s="926" t="s">
        <v>28</v>
      </c>
      <c r="B394" s="445" t="s">
        <v>410</v>
      </c>
      <c r="C394" s="867" t="s">
        <v>31</v>
      </c>
      <c r="D394" s="867" t="s">
        <v>30</v>
      </c>
      <c r="E394" s="867" t="s">
        <v>101</v>
      </c>
      <c r="F394" s="867" t="s">
        <v>56</v>
      </c>
      <c r="G394" s="1091"/>
      <c r="H394" s="1036">
        <v>29780</v>
      </c>
      <c r="I394" s="1039"/>
      <c r="J394" s="1084">
        <v>54.310400000000001</v>
      </c>
      <c r="K394" s="505"/>
      <c r="L394" s="505"/>
      <c r="M394" s="505"/>
      <c r="N394" s="1093"/>
      <c r="O394" s="756">
        <f>ROUND(G394*I394,2)+ROUND(H394*J394,2)-K394-L394-M394-N394</f>
        <v>1617363.71</v>
      </c>
      <c r="P394" s="909">
        <f>ROUND(18.75%*O394,2)</f>
        <v>303255.7</v>
      </c>
      <c r="Q394" s="568">
        <f>ROUND($O394*R394,2)</f>
        <v>242604.56</v>
      </c>
      <c r="R394" s="931">
        <v>0.15</v>
      </c>
      <c r="S394" s="568">
        <f>ROUND($O394*T394,2)</f>
        <v>60651.14</v>
      </c>
      <c r="T394" s="946">
        <v>3.7499999999999999E-2</v>
      </c>
      <c r="U394"/>
      <c r="V394"/>
      <c r="W394"/>
      <c r="X394"/>
      <c r="Y394"/>
      <c r="Z394"/>
      <c r="AA394"/>
      <c r="AB394"/>
      <c r="AC394"/>
      <c r="AD394"/>
      <c r="AE394"/>
      <c r="AF394"/>
      <c r="AG394"/>
      <c r="AH394"/>
      <c r="AI394"/>
      <c r="AJ394"/>
      <c r="AK394"/>
    </row>
    <row r="395" spans="1:37" s="65" customFormat="1" ht="15.75" x14ac:dyDescent="0.25">
      <c r="A395" s="596"/>
      <c r="B395" s="596"/>
      <c r="C395" s="596"/>
      <c r="D395" s="596"/>
      <c r="E395" s="596"/>
      <c r="F395" s="596"/>
      <c r="G395" s="902">
        <f>SUM(G393:G394)</f>
        <v>0</v>
      </c>
      <c r="H395" s="902">
        <f>SUM(H393:H394)</f>
        <v>47904</v>
      </c>
      <c r="I395" s="677"/>
      <c r="J395" s="677"/>
      <c r="K395" s="677"/>
      <c r="L395" s="596"/>
      <c r="M395" s="596"/>
      <c r="N395" s="1059">
        <f>SUM(N393:N394)</f>
        <v>0</v>
      </c>
      <c r="O395" s="734">
        <f>SUM(O393:O394)</f>
        <v>2705577.5999999996</v>
      </c>
      <c r="P395" s="734">
        <f>SUM(P393:P394)</f>
        <v>507295.80000000005</v>
      </c>
      <c r="Q395" s="734">
        <f>SUM(Q393:Q394)</f>
        <v>405836.64</v>
      </c>
      <c r="R395" s="596"/>
      <c r="S395" s="734">
        <f>SUM(S393:S394)</f>
        <v>101459.16</v>
      </c>
      <c r="T395" s="596"/>
      <c r="U395"/>
      <c r="V395"/>
      <c r="W395"/>
      <c r="X395"/>
      <c r="Y395"/>
      <c r="Z395"/>
      <c r="AA395"/>
      <c r="AB395"/>
      <c r="AC395"/>
      <c r="AD395"/>
      <c r="AE395"/>
      <c r="AF395"/>
      <c r="AG395"/>
      <c r="AH395"/>
      <c r="AI395"/>
      <c r="AJ395"/>
      <c r="AK395"/>
    </row>
    <row r="396" spans="1:37" s="65" customFormat="1" ht="15.75" x14ac:dyDescent="0.25">
      <c r="A396" s="596"/>
      <c r="B396" s="596"/>
      <c r="C396" s="596"/>
      <c r="D396" s="596"/>
      <c r="E396" s="596"/>
      <c r="F396" s="596"/>
      <c r="G396" s="677"/>
      <c r="H396" s="677"/>
      <c r="I396" s="677"/>
      <c r="J396" s="677"/>
      <c r="K396" s="677"/>
      <c r="L396" s="596"/>
      <c r="M396" s="596"/>
      <c r="N396" s="950"/>
      <c r="O396" s="597"/>
      <c r="P396" s="597"/>
      <c r="Q396" s="597"/>
      <c r="R396" s="596"/>
      <c r="S396" s="597"/>
      <c r="T396" s="596"/>
      <c r="U396"/>
      <c r="V396"/>
      <c r="W396"/>
      <c r="X396"/>
      <c r="Y396"/>
      <c r="Z396"/>
      <c r="AA396"/>
      <c r="AB396"/>
      <c r="AC396"/>
      <c r="AD396"/>
      <c r="AE396"/>
      <c r="AF396"/>
      <c r="AG396"/>
      <c r="AH396"/>
      <c r="AI396"/>
      <c r="AJ396"/>
      <c r="AK396"/>
    </row>
    <row r="397" spans="1:37" s="65" customFormat="1" ht="15.75" x14ac:dyDescent="0.25">
      <c r="A397" s="887" t="s">
        <v>230</v>
      </c>
      <c r="B397" s="596"/>
      <c r="C397" s="596"/>
      <c r="D397" s="596"/>
      <c r="E397" s="596"/>
      <c r="F397" s="596"/>
      <c r="G397" s="677"/>
      <c r="H397" s="677"/>
      <c r="I397" s="677"/>
      <c r="J397" s="677"/>
      <c r="K397" s="677"/>
      <c r="L397" s="596"/>
      <c r="M397" s="596"/>
      <c r="N397" s="950"/>
      <c r="O397" s="596"/>
      <c r="P397" s="596"/>
      <c r="Q397" s="597"/>
      <c r="R397" s="596"/>
      <c r="S397" s="596"/>
      <c r="T397" s="596"/>
      <c r="U397"/>
      <c r="V397"/>
      <c r="W397"/>
      <c r="X397"/>
      <c r="Y397"/>
      <c r="Z397"/>
      <c r="AA397"/>
      <c r="AB397"/>
      <c r="AC397"/>
      <c r="AD397"/>
      <c r="AE397"/>
      <c r="AF397"/>
      <c r="AG397"/>
      <c r="AH397"/>
      <c r="AI397"/>
      <c r="AJ397"/>
      <c r="AK397"/>
    </row>
    <row r="398" spans="1:37" s="65" customFormat="1" ht="15.75" x14ac:dyDescent="0.25">
      <c r="A398" s="888" t="s">
        <v>28</v>
      </c>
      <c r="B398" s="940" t="str">
        <f>+B393</f>
        <v>UPLAND OIL AND GAS L.L.C.,</v>
      </c>
      <c r="C398" s="890" t="s">
        <v>31</v>
      </c>
      <c r="D398" s="890" t="s">
        <v>30</v>
      </c>
      <c r="E398" s="890" t="s">
        <v>101</v>
      </c>
      <c r="F398" s="891" t="s">
        <v>56</v>
      </c>
      <c r="G398" s="913">
        <f t="shared" ref="G398:J399" si="116">G393</f>
        <v>0</v>
      </c>
      <c r="H398" s="913">
        <f t="shared" si="116"/>
        <v>18124</v>
      </c>
      <c r="I398" s="1074">
        <f t="shared" si="116"/>
        <v>0</v>
      </c>
      <c r="J398" s="1074">
        <f t="shared" si="116"/>
        <v>60.042700000000004</v>
      </c>
      <c r="K398" s="420"/>
      <c r="L398" s="420"/>
      <c r="M398" s="420"/>
      <c r="N398" s="904">
        <f>N393</f>
        <v>0</v>
      </c>
      <c r="O398" s="918">
        <f>ROUND(G398*I398,2)+ROUND(H398*J398,2)-K398-L398-M398-N398</f>
        <v>1088213.8899999999</v>
      </c>
      <c r="P398" s="918">
        <f>ROUND(18.75%*O398,2)</f>
        <v>204040.1</v>
      </c>
      <c r="Q398" s="941">
        <f>ROUND($O398*R398,2)</f>
        <v>163232.07999999999</v>
      </c>
      <c r="R398" s="942">
        <v>0.15</v>
      </c>
      <c r="S398" s="941">
        <f>ROUND($O398*T398,2)</f>
        <v>40808.019999999997</v>
      </c>
      <c r="T398" s="943">
        <v>3.7499999999999999E-2</v>
      </c>
      <c r="U398"/>
      <c r="V398"/>
      <c r="W398"/>
      <c r="X398"/>
      <c r="Y398"/>
      <c r="Z398"/>
      <c r="AA398"/>
      <c r="AB398"/>
      <c r="AC398"/>
      <c r="AD398"/>
      <c r="AE398"/>
      <c r="AF398"/>
      <c r="AG398"/>
      <c r="AH398"/>
      <c r="AI398"/>
      <c r="AJ398"/>
      <c r="AK398"/>
    </row>
    <row r="399" spans="1:37" s="65" customFormat="1" ht="16.350000000000001" customHeight="1" x14ac:dyDescent="0.25">
      <c r="A399" s="898" t="s">
        <v>28</v>
      </c>
      <c r="B399" s="445" t="str">
        <f>+B394</f>
        <v>PLUSPETROL NORTE SA</v>
      </c>
      <c r="C399" s="899" t="s">
        <v>31</v>
      </c>
      <c r="D399" s="899" t="s">
        <v>30</v>
      </c>
      <c r="E399" s="899" t="s">
        <v>101</v>
      </c>
      <c r="F399" s="740" t="s">
        <v>56</v>
      </c>
      <c r="G399" s="935">
        <f t="shared" si="116"/>
        <v>0</v>
      </c>
      <c r="H399" s="935">
        <f t="shared" si="116"/>
        <v>29780</v>
      </c>
      <c r="I399" s="1076">
        <f t="shared" si="116"/>
        <v>0</v>
      </c>
      <c r="J399" s="1076">
        <f t="shared" si="116"/>
        <v>54.310400000000001</v>
      </c>
      <c r="K399" s="424"/>
      <c r="L399" s="424"/>
      <c r="M399" s="424"/>
      <c r="N399" s="895">
        <f>+N394</f>
        <v>0</v>
      </c>
      <c r="O399" s="909">
        <f>ROUND(G399*I399,2)+ROUND(H399*J399,2)-K399-L399-M399-N399</f>
        <v>1617363.71</v>
      </c>
      <c r="P399" s="909">
        <f>ROUND(18.75%*O399,2)</f>
        <v>303255.7</v>
      </c>
      <c r="Q399" s="568">
        <f>ROUND($O399*R399,2)</f>
        <v>242604.56</v>
      </c>
      <c r="R399" s="931">
        <v>0.15</v>
      </c>
      <c r="S399" s="568">
        <f>ROUND($O399*T399,2)</f>
        <v>60651.14</v>
      </c>
      <c r="T399" s="946">
        <v>3.7499999999999999E-2</v>
      </c>
      <c r="U399"/>
      <c r="V399"/>
      <c r="W399"/>
      <c r="X399"/>
      <c r="Y399"/>
      <c r="Z399"/>
      <c r="AA399"/>
      <c r="AB399"/>
      <c r="AC399"/>
      <c r="AD399"/>
      <c r="AE399"/>
      <c r="AF399"/>
      <c r="AG399"/>
      <c r="AH399"/>
      <c r="AI399"/>
      <c r="AJ399"/>
      <c r="AK399"/>
    </row>
    <row r="400" spans="1:37" s="65" customFormat="1" ht="15.75" x14ac:dyDescent="0.25">
      <c r="A400" s="596"/>
      <c r="B400" s="596"/>
      <c r="C400" s="596"/>
      <c r="D400" s="596"/>
      <c r="E400" s="596"/>
      <c r="F400" s="596"/>
      <c r="G400" s="902">
        <f>SUM(G398:G399)</f>
        <v>0</v>
      </c>
      <c r="H400" s="902">
        <f>SUM(H398:H399)</f>
        <v>47904</v>
      </c>
      <c r="I400" s="937"/>
      <c r="J400" s="937">
        <f>+O400/H400</f>
        <v>56.47915831663326</v>
      </c>
      <c r="K400" s="677"/>
      <c r="L400" s="596"/>
      <c r="M400" s="596"/>
      <c r="N400" s="1059"/>
      <c r="O400" s="734">
        <f>SUM(O398:O399)</f>
        <v>2705577.5999999996</v>
      </c>
      <c r="P400" s="734"/>
      <c r="Q400" s="734">
        <f>SUM(Q398:Q399)</f>
        <v>405836.64</v>
      </c>
      <c r="R400" s="596"/>
      <c r="S400" s="734">
        <f>SUM(S398:S399)</f>
        <v>101459.16</v>
      </c>
      <c r="T400" s="596"/>
      <c r="U400"/>
      <c r="V400"/>
      <c r="W400"/>
      <c r="X400"/>
      <c r="Y400"/>
      <c r="Z400"/>
      <c r="AA400"/>
      <c r="AB400"/>
      <c r="AC400"/>
      <c r="AD400"/>
      <c r="AE400"/>
      <c r="AF400"/>
      <c r="AG400"/>
      <c r="AH400"/>
      <c r="AI400"/>
      <c r="AJ400"/>
      <c r="AK400"/>
    </row>
    <row r="401" spans="1:37" s="1" customFormat="1" ht="15.75" x14ac:dyDescent="0.25">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row>
    <row r="402" spans="1:37" s="1" customFormat="1" ht="15.75" x14ac:dyDescent="0.25">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row>
    <row r="403" spans="1:37" s="1" customFormat="1" ht="15.75" x14ac:dyDescent="0.25">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row>
    <row r="404" spans="1:37" s="1" customFormat="1" ht="15.75" x14ac:dyDescent="0.25">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row>
    <row r="405" spans="1:37" s="1" customFormat="1" ht="15.75" outlineLevel="1" x14ac:dyDescent="0.25">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row>
    <row r="406" spans="1:37" s="1" customFormat="1" ht="15.75" outlineLevel="1" x14ac:dyDescent="0.25">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row>
    <row r="407" spans="1:37" s="1" customFormat="1" ht="15.75" outlineLevel="1" x14ac:dyDescent="0.25">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row>
    <row r="408" spans="1:37" s="1" customFormat="1" ht="15.75" outlineLevel="1" x14ac:dyDescent="0.25">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row>
    <row r="409" spans="1:37" s="1" customFormat="1" ht="15.75" outlineLevel="1" x14ac:dyDescent="0.25">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row>
    <row r="410" spans="1:37" s="1" customFormat="1" ht="15.75" outlineLevel="1" x14ac:dyDescent="0.25">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row>
    <row r="411" spans="1:37" s="1" customFormat="1" ht="15.75" outlineLevel="1" x14ac:dyDescent="0.25">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row>
    <row r="412" spans="1:37" s="1" customFormat="1" ht="15.75" outlineLevel="1" x14ac:dyDescent="0.25">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row>
    <row r="413" spans="1:37" s="1" customFormat="1" ht="15.75" outlineLevel="1" x14ac:dyDescent="0.25">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row>
    <row r="414" spans="1:37" s="1" customFormat="1" ht="15.75" outlineLevel="1" x14ac:dyDescent="0.25">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row>
    <row r="415" spans="1:37" s="1" customFormat="1" ht="15.75" outlineLevel="1" x14ac:dyDescent="0.25">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row>
    <row r="416" spans="1:37" s="1" customFormat="1" ht="15.75" outlineLevel="1" x14ac:dyDescent="0.25">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row>
    <row r="417" spans="1:37" s="1" customFormat="1" ht="15.75" outlineLevel="1" x14ac:dyDescent="0.25">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row>
    <row r="418" spans="1:37" s="1" customFormat="1" ht="15.75" outlineLevel="1" x14ac:dyDescent="0.25">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row>
    <row r="419" spans="1:37" s="1" customFormat="1" ht="15.75" outlineLevel="1" x14ac:dyDescent="0.25">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row>
    <row r="420" spans="1:37" s="1" customFormat="1" ht="15.75" outlineLevel="1" x14ac:dyDescent="0.25">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row>
    <row r="421" spans="1:37" ht="15.75" x14ac:dyDescent="0.25">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row>
    <row r="422" spans="1:37" ht="15.75" x14ac:dyDescent="0.25">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row>
    <row r="423" spans="1:37" ht="15.75" x14ac:dyDescent="0.25">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row>
    <row r="424" spans="1:37" ht="15.75" x14ac:dyDescent="0.25">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row>
    <row r="425" spans="1:37" ht="15.75" x14ac:dyDescent="0.25">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row>
    <row r="426" spans="1:37" ht="15.75" x14ac:dyDescent="0.25">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row>
    <row r="427" spans="1:37" ht="15.75" x14ac:dyDescent="0.25">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row>
    <row r="428" spans="1:37" ht="15.75"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row>
    <row r="429" spans="1:37" ht="15.75" x14ac:dyDescent="0.25">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row>
    <row r="430" spans="1:37" ht="15.75" x14ac:dyDescent="0.25">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row>
    <row r="431" spans="1:37" ht="15.75" x14ac:dyDescent="0.25">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row>
    <row r="432" spans="1:37" ht="15.75" x14ac:dyDescent="0.25">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row>
    <row r="433" spans="1:36" ht="15.75" x14ac:dyDescent="0.25">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row>
    <row r="434" spans="1:36" ht="15.75" x14ac:dyDescent="0.25">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row>
    <row r="435" spans="1:36" ht="15.75" x14ac:dyDescent="0.25">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row>
    <row r="436" spans="1:36" ht="15.75" x14ac:dyDescent="0.25">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row>
    <row r="437" spans="1:36" ht="15.75" x14ac:dyDescent="0.25">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row>
    <row r="438" spans="1:36" ht="15.75" x14ac:dyDescent="0.25">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row>
    <row r="439" spans="1:36" ht="15.75" x14ac:dyDescent="0.25">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row>
    <row r="440" spans="1:36" ht="15.75" x14ac:dyDescent="0.25">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row>
    <row r="441" spans="1:36" ht="15.75" x14ac:dyDescent="0.25">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row>
    <row r="442" spans="1:36" ht="15.75" x14ac:dyDescent="0.25">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row>
    <row r="443" spans="1:36" ht="15.75" x14ac:dyDescent="0.25">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row>
    <row r="444" spans="1:36" ht="15.75" x14ac:dyDescent="0.25">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row>
    <row r="445" spans="1:36" ht="15.75" x14ac:dyDescent="0.25">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row>
    <row r="446" spans="1:36" ht="15.75" x14ac:dyDescent="0.25">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row>
    <row r="447" spans="1:36" ht="15.75" x14ac:dyDescent="0.25">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row>
    <row r="448" spans="1:36" ht="15.75" x14ac:dyDescent="0.25">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row>
    <row r="449" spans="1:36" ht="15.75" x14ac:dyDescent="0.25">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row>
    <row r="450" spans="1:36" ht="15.75" x14ac:dyDescent="0.25">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row>
    <row r="451" spans="1:36" ht="15.75" x14ac:dyDescent="0.25">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row>
    <row r="452" spans="1:36" ht="15.75" x14ac:dyDescent="0.25">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row>
    <row r="453" spans="1:36" ht="15.75" x14ac:dyDescent="0.25">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row>
    <row r="454" spans="1:36" ht="15.75" x14ac:dyDescent="0.25">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row>
    <row r="455" spans="1:36" ht="15.75" x14ac:dyDescent="0.25">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row>
    <row r="456" spans="1:36" ht="15.75" x14ac:dyDescent="0.25">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row>
    <row r="457" spans="1:36" ht="15.75" x14ac:dyDescent="0.25">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row>
    <row r="458" spans="1:36" ht="15.75" x14ac:dyDescent="0.25">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row>
    <row r="459" spans="1:36" ht="15.75" x14ac:dyDescent="0.25">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row>
    <row r="460" spans="1:36" ht="15.75" x14ac:dyDescent="0.25">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row>
    <row r="461" spans="1:36" s="880" customFormat="1" ht="15.75" x14ac:dyDescent="0.25">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row>
    <row r="462" spans="1:36" ht="15.75" x14ac:dyDescent="0.25">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row>
    <row r="463" spans="1:36" ht="15.75" x14ac:dyDescent="0.25">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row>
    <row r="464" spans="1:36" ht="15.75" x14ac:dyDescent="0.25">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row>
    <row r="465" spans="1:36" ht="15.75" x14ac:dyDescent="0.25">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row>
    <row r="466" spans="1:36" ht="15.75" x14ac:dyDescent="0.25">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row>
    <row r="467" spans="1:36" ht="15.75" x14ac:dyDescent="0.25">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row>
    <row r="468" spans="1:36" ht="15.75" x14ac:dyDescent="0.25">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row>
    <row r="469" spans="1:36" ht="15.75" x14ac:dyDescent="0.25">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row>
    <row r="470" spans="1:36" ht="15.75" x14ac:dyDescent="0.25">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row>
    <row r="471" spans="1:36" ht="15.75" x14ac:dyDescent="0.25">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row>
    <row r="472" spans="1:36" ht="15.75" x14ac:dyDescent="0.25">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row>
    <row r="473" spans="1:36" ht="15.75" x14ac:dyDescent="0.25">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row>
    <row r="474" spans="1:36" ht="15.75" x14ac:dyDescent="0.25">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row>
    <row r="475" spans="1:36" ht="15.75" x14ac:dyDescent="0.25">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row>
    <row r="476" spans="1:36" ht="15.75" x14ac:dyDescent="0.25">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row>
    <row r="477" spans="1:36" ht="15.75" x14ac:dyDescent="0.25">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row>
    <row r="478" spans="1:36" ht="15.75" x14ac:dyDescent="0.25">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row>
    <row r="479" spans="1:36" ht="15.75" x14ac:dyDescent="0.25">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row>
    <row r="480" spans="1:36" ht="15.75" x14ac:dyDescent="0.25">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row>
    <row r="481" spans="1:36" ht="15.75" x14ac:dyDescent="0.25">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row>
    <row r="482" spans="1:36" ht="15.75" x14ac:dyDescent="0.25">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row>
    <row r="483" spans="1:36" ht="15.75" hidden="1" x14ac:dyDescent="0.25">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row>
    <row r="484" spans="1:36" ht="15.75" hidden="1" x14ac:dyDescent="0.25">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row>
    <row r="485" spans="1:36" ht="15.75" hidden="1" x14ac:dyDescent="0.25">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row>
    <row r="486" spans="1:36" ht="15.75" hidden="1" x14ac:dyDescent="0.25">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row>
    <row r="487" spans="1:36" ht="15.75" hidden="1" x14ac:dyDescent="0.25">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row>
    <row r="488" spans="1:36" ht="15.75" hidden="1" x14ac:dyDescent="0.25">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row>
    <row r="489" spans="1:36" ht="15.75" hidden="1" x14ac:dyDescent="0.25">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row>
    <row r="490" spans="1:36" ht="15.75" hidden="1" x14ac:dyDescent="0.25">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row>
    <row r="491" spans="1:36" ht="15.75" hidden="1" x14ac:dyDescent="0.25">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row>
    <row r="492" spans="1:36" ht="15.75" hidden="1" x14ac:dyDescent="0.25">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row>
    <row r="493" spans="1:36" ht="15.75" hidden="1" x14ac:dyDescent="0.25">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row>
    <row r="494" spans="1:36" ht="15.75" hidden="1" x14ac:dyDescent="0.25">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row>
    <row r="495" spans="1:36" ht="15.75" hidden="1" x14ac:dyDescent="0.25">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row>
    <row r="496" spans="1:36" ht="15.75" hidden="1" x14ac:dyDescent="0.25">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row>
    <row r="497" spans="1:36" ht="15.75" hidden="1" x14ac:dyDescent="0.25">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row>
    <row r="498" spans="1:36" ht="15.75" hidden="1" x14ac:dyDescent="0.25">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row>
    <row r="499" spans="1:36" ht="15.75" hidden="1" x14ac:dyDescent="0.25">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row>
    <row r="500" spans="1:36" ht="15.75" hidden="1" x14ac:dyDescent="0.25">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row>
    <row r="501" spans="1:36" ht="15.75" hidden="1" x14ac:dyDescent="0.25">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row>
    <row r="502" spans="1:36" ht="15.75" hidden="1" x14ac:dyDescent="0.25">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row>
    <row r="503" spans="1:36" ht="15.75" hidden="1" x14ac:dyDescent="0.25">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row>
    <row r="504" spans="1:36" ht="15.75" hidden="1" x14ac:dyDescent="0.25">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row>
    <row r="505" spans="1:36" ht="15.75" hidden="1" x14ac:dyDescent="0.25">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row>
    <row r="506" spans="1:36" ht="15.75" hidden="1" x14ac:dyDescent="0.25">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row>
    <row r="507" spans="1:36" ht="15.75" hidden="1" x14ac:dyDescent="0.25">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row>
    <row r="508" spans="1:36" ht="15.75" hidden="1" x14ac:dyDescent="0.25">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row>
    <row r="509" spans="1:36" ht="15.75" hidden="1" x14ac:dyDescent="0.25">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row>
    <row r="510" spans="1:36" ht="15.75" hidden="1" x14ac:dyDescent="0.25">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row>
    <row r="511" spans="1:36" ht="15.75" hidden="1" x14ac:dyDescent="0.25">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row>
    <row r="512" spans="1:36" ht="15.75" hidden="1" x14ac:dyDescent="0.25">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row>
    <row r="513" spans="1:36" ht="15.75" hidden="1" x14ac:dyDescent="0.25">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row>
    <row r="514" spans="1:36" ht="15.75" hidden="1" x14ac:dyDescent="0.25">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row>
    <row r="515" spans="1:36" ht="15.75" hidden="1" x14ac:dyDescent="0.25">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row>
    <row r="516" spans="1:36" ht="15.75" hidden="1" x14ac:dyDescent="0.25">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row>
    <row r="517" spans="1:36" ht="15.75" hidden="1" x14ac:dyDescent="0.25">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row>
    <row r="518" spans="1:36" ht="15.75" hidden="1" x14ac:dyDescent="0.25">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row>
    <row r="519" spans="1:36" ht="15.75" hidden="1" x14ac:dyDescent="0.25">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row>
    <row r="520" spans="1:36" ht="15.75" hidden="1" x14ac:dyDescent="0.25">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row>
    <row r="521" spans="1:36" ht="15.75" hidden="1" x14ac:dyDescent="0.25">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row>
    <row r="522" spans="1:36" ht="15.75" hidden="1" x14ac:dyDescent="0.25">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row>
    <row r="523" spans="1:36" ht="15.75" hidden="1" x14ac:dyDescent="0.25">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row>
    <row r="524" spans="1:36" ht="15.75" hidden="1" x14ac:dyDescent="0.25">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row>
    <row r="525" spans="1:36" ht="15.75" hidden="1" x14ac:dyDescent="0.25">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row>
    <row r="526" spans="1:36" ht="15.75" hidden="1" x14ac:dyDescent="0.25">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row>
    <row r="527" spans="1:36" ht="15.75" hidden="1" x14ac:dyDescent="0.25">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row>
    <row r="528" spans="1:36" ht="15.75" hidden="1" x14ac:dyDescent="0.25">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row>
    <row r="529" spans="1:36" ht="15.75" hidden="1" x14ac:dyDescent="0.25">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row>
    <row r="530" spans="1:36" ht="15.75" hidden="1" x14ac:dyDescent="0.25">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row>
    <row r="531" spans="1:36" ht="15.75" hidden="1" x14ac:dyDescent="0.25">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row>
    <row r="532" spans="1:36" ht="15.75" hidden="1" x14ac:dyDescent="0.25">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row>
    <row r="533" spans="1:36" ht="15.75" hidden="1" x14ac:dyDescent="0.25">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row>
    <row r="534" spans="1:36" ht="15.75" hidden="1" x14ac:dyDescent="0.25">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row>
    <row r="535" spans="1:36" ht="15.75" hidden="1" x14ac:dyDescent="0.25">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row>
    <row r="536" spans="1:36" ht="15.75" hidden="1" x14ac:dyDescent="0.25">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row>
    <row r="537" spans="1:36" ht="15.75" hidden="1" x14ac:dyDescent="0.25">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row>
    <row r="538" spans="1:36" ht="15.75" hidden="1" x14ac:dyDescent="0.25">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row>
    <row r="539" spans="1:36" ht="15.75" hidden="1" x14ac:dyDescent="0.25">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row>
    <row r="540" spans="1:36" ht="15.75" hidden="1" x14ac:dyDescent="0.25">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row>
    <row r="541" spans="1:36" ht="15.75" hidden="1" x14ac:dyDescent="0.25">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row>
    <row r="542" spans="1:36" ht="15.75" hidden="1" x14ac:dyDescent="0.25">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row>
    <row r="543" spans="1:36" ht="15.75" hidden="1" x14ac:dyDescent="0.25">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row>
    <row r="544" spans="1:36" ht="15.75" hidden="1" x14ac:dyDescent="0.25">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row>
    <row r="545" spans="1:36" ht="15.75" hidden="1" x14ac:dyDescent="0.25">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row>
    <row r="546" spans="1:36" ht="15.75" hidden="1" x14ac:dyDescent="0.25">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row>
    <row r="547" spans="1:36" ht="15.75" hidden="1" x14ac:dyDescent="0.25">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row>
    <row r="548" spans="1:36" ht="15.75" hidden="1" x14ac:dyDescent="0.25">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row>
    <row r="549" spans="1:36" ht="15.75" hidden="1" x14ac:dyDescent="0.25">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row>
    <row r="550" spans="1:36" ht="15.75" hidden="1" x14ac:dyDescent="0.25">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row>
    <row r="551" spans="1:36" ht="15.75" hidden="1" x14ac:dyDescent="0.25">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row>
    <row r="552" spans="1:36" ht="15.75" hidden="1" x14ac:dyDescent="0.25">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row>
    <row r="553" spans="1:36" ht="15.75" hidden="1" x14ac:dyDescent="0.25">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row>
    <row r="554" spans="1:36" ht="15.75" hidden="1" x14ac:dyDescent="0.25">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row>
    <row r="555" spans="1:36" ht="15.75" hidden="1" x14ac:dyDescent="0.25">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row>
    <row r="556" spans="1:36" ht="15.75" hidden="1" x14ac:dyDescent="0.25">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row>
    <row r="557" spans="1:36" ht="15.75" hidden="1" x14ac:dyDescent="0.25">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row>
    <row r="558" spans="1:36" ht="15.75" hidden="1" x14ac:dyDescent="0.25">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row>
    <row r="559" spans="1:36" ht="15.75" hidden="1" x14ac:dyDescent="0.25">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row>
    <row r="560" spans="1:36" ht="15.75" x14ac:dyDescent="0.25">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row>
    <row r="561" spans="1:36" ht="20.25" customHeight="1" x14ac:dyDescent="0.25">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row>
    <row r="562" spans="1:36" ht="20.25" customHeight="1" x14ac:dyDescent="0.25">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row>
    <row r="563" spans="1:36" ht="20.25" customHeight="1" x14ac:dyDescent="0.25">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row>
    <row r="564" spans="1:36" ht="20.25" customHeight="1" x14ac:dyDescent="0.25">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row>
    <row r="565" spans="1:36" ht="15.75" x14ac:dyDescent="0.25">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row>
    <row r="566" spans="1:36" ht="15.75" x14ac:dyDescent="0.25">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row>
    <row r="567" spans="1:36" ht="15.75" x14ac:dyDescent="0.25">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row>
    <row r="568" spans="1:36" ht="15.75" x14ac:dyDescent="0.25">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row>
    <row r="569" spans="1:36" ht="15.75" x14ac:dyDescent="0.25">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row>
    <row r="570" spans="1:36" ht="15.75" x14ac:dyDescent="0.25">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row>
    <row r="571" spans="1:36" ht="15.75" x14ac:dyDescent="0.25">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row>
    <row r="572" spans="1:36" ht="15.75" x14ac:dyDescent="0.25">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row>
    <row r="573" spans="1:36" ht="15.75" x14ac:dyDescent="0.25">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row>
    <row r="574" spans="1:36" ht="15.75" x14ac:dyDescent="0.25">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row>
    <row r="575" spans="1:36" ht="15.75" x14ac:dyDescent="0.25">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row>
    <row r="576" spans="1:36" ht="15.75" x14ac:dyDescent="0.25">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row>
    <row r="577" spans="1:36" ht="15.75" x14ac:dyDescent="0.25">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row>
    <row r="578" spans="1:36" ht="15.75" x14ac:dyDescent="0.25">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row>
    <row r="579" spans="1:36" ht="15.75" x14ac:dyDescent="0.25">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row>
    <row r="580" spans="1:36" ht="15.75" x14ac:dyDescent="0.25">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row>
    <row r="581" spans="1:36" ht="15.75" x14ac:dyDescent="0.25">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row>
    <row r="582" spans="1:36" ht="15.75" x14ac:dyDescent="0.25">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row>
    <row r="583" spans="1:36" ht="15.75" x14ac:dyDescent="0.25">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row>
    <row r="584" spans="1:36" ht="15.75" x14ac:dyDescent="0.25">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row>
    <row r="585" spans="1:36" ht="15.75" x14ac:dyDescent="0.25">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row>
    <row r="586" spans="1:36" ht="15.75" x14ac:dyDescent="0.25">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row>
    <row r="587" spans="1:36" ht="15.75" x14ac:dyDescent="0.25">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row>
    <row r="588" spans="1:36" ht="15.75" x14ac:dyDescent="0.25">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row>
    <row r="589" spans="1:36" ht="15.75" x14ac:dyDescent="0.25">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row>
    <row r="590" spans="1:36" ht="15.75" x14ac:dyDescent="0.25">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row>
    <row r="591" spans="1:36" ht="15.75" x14ac:dyDescent="0.25">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row>
    <row r="592" spans="1:36" ht="15.75" x14ac:dyDescent="0.25">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row>
    <row r="593" spans="1:36" ht="15.75" x14ac:dyDescent="0.25">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row>
    <row r="594" spans="1:36" ht="15.75" x14ac:dyDescent="0.25">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row>
    <row r="595" spans="1:36" ht="15.75" x14ac:dyDescent="0.25">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row>
    <row r="596" spans="1:36" ht="15.75" x14ac:dyDescent="0.25">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row>
    <row r="597" spans="1:36" ht="15.75" x14ac:dyDescent="0.25">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row>
    <row r="598" spans="1:36" ht="15.75" x14ac:dyDescent="0.25">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row>
    <row r="599" spans="1:36" ht="15.75" x14ac:dyDescent="0.25">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row>
    <row r="600" spans="1:36" ht="15.75" x14ac:dyDescent="0.25">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row>
    <row r="601" spans="1:36" ht="15.75" x14ac:dyDescent="0.25">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row>
    <row r="602" spans="1:36" ht="15.75" x14ac:dyDescent="0.25">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row>
    <row r="603" spans="1:36" ht="15.75" x14ac:dyDescent="0.25">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row>
    <row r="604" spans="1:36" ht="15.75" x14ac:dyDescent="0.25">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row>
    <row r="605" spans="1:36" ht="15.75" x14ac:dyDescent="0.25">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row>
    <row r="606" spans="1:36" ht="15.75" x14ac:dyDescent="0.25">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row>
    <row r="607" spans="1:36" ht="15.75" x14ac:dyDescent="0.25">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row>
    <row r="608" spans="1:36" ht="15.75" x14ac:dyDescent="0.25">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row>
    <row r="609" spans="1:36" ht="15.75" x14ac:dyDescent="0.25">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row>
    <row r="610" spans="1:36" ht="15.75" x14ac:dyDescent="0.25">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row>
    <row r="611" spans="1:36" ht="15.75" x14ac:dyDescent="0.25">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row>
    <row r="612" spans="1:36" ht="15.75" x14ac:dyDescent="0.25">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row>
    <row r="613" spans="1:36" ht="15.75" x14ac:dyDescent="0.25">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row>
    <row r="614" spans="1:36" ht="15.75" x14ac:dyDescent="0.25">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row>
    <row r="615" spans="1:36" ht="15.75" x14ac:dyDescent="0.25">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row>
    <row r="616" spans="1:36" ht="15.75" x14ac:dyDescent="0.25">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row>
    <row r="617" spans="1:36" ht="15.75" x14ac:dyDescent="0.25">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row>
    <row r="618" spans="1:36" ht="15.75" x14ac:dyDescent="0.25">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row>
    <row r="619" spans="1:36" ht="15.75" x14ac:dyDescent="0.25">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row>
    <row r="620" spans="1:36" ht="15.75" x14ac:dyDescent="0.25">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row>
    <row r="621" spans="1:36" ht="15.75" x14ac:dyDescent="0.25">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row>
    <row r="622" spans="1:36" ht="15.75" x14ac:dyDescent="0.25">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row>
    <row r="623" spans="1:36" ht="15.75" x14ac:dyDescent="0.25">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row>
    <row r="624" spans="1:36" ht="15.75" x14ac:dyDescent="0.25">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row>
    <row r="625" spans="1:36" ht="15.75" x14ac:dyDescent="0.25">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row>
    <row r="626" spans="1:36" ht="15.75" x14ac:dyDescent="0.25">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row>
    <row r="627" spans="1:36" ht="15.75" x14ac:dyDescent="0.25">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row>
    <row r="628" spans="1:36" ht="15.75" x14ac:dyDescent="0.25">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row>
    <row r="629" spans="1:36" ht="15.75" x14ac:dyDescent="0.25">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row>
    <row r="630" spans="1:36" ht="15.75" x14ac:dyDescent="0.25">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row>
    <row r="631" spans="1:36" ht="15.75" x14ac:dyDescent="0.25">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row>
    <row r="632" spans="1:36" ht="15.75" x14ac:dyDescent="0.25">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row>
    <row r="633" spans="1:36" ht="15.75" x14ac:dyDescent="0.25">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row>
    <row r="634" spans="1:36" ht="15.75" x14ac:dyDescent="0.25">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row>
    <row r="635" spans="1:36" ht="15.75" x14ac:dyDescent="0.25">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row>
    <row r="636" spans="1:36" ht="15.75" x14ac:dyDescent="0.25">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row>
    <row r="637" spans="1:36" ht="15.75" x14ac:dyDescent="0.25">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row>
    <row r="638" spans="1:36" ht="15.75" x14ac:dyDescent="0.25">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row>
    <row r="639" spans="1:36" ht="15.75" x14ac:dyDescent="0.25">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row>
    <row r="640" spans="1:36" ht="15.75" x14ac:dyDescent="0.25">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row>
    <row r="641" spans="1:36" ht="15.75" x14ac:dyDescent="0.25">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row>
    <row r="642" spans="1:36" ht="15.75" x14ac:dyDescent="0.25">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row>
    <row r="643" spans="1:36" ht="15.75" x14ac:dyDescent="0.25">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row>
    <row r="644" spans="1:36" ht="15.75" x14ac:dyDescent="0.25">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row>
    <row r="645" spans="1:36" ht="15.75" x14ac:dyDescent="0.25">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row>
    <row r="646" spans="1:36" ht="15.75" x14ac:dyDescent="0.25">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row>
    <row r="647" spans="1:36" ht="15.75" x14ac:dyDescent="0.25">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row>
    <row r="648" spans="1:36" ht="15.75" x14ac:dyDescent="0.25">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row>
    <row r="649" spans="1:36" ht="15.75" x14ac:dyDescent="0.25">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row>
    <row r="650" spans="1:36" ht="15.75" x14ac:dyDescent="0.25">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row>
    <row r="651" spans="1:36" ht="15.75" x14ac:dyDescent="0.25">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row>
    <row r="652" spans="1:36" ht="15.75" x14ac:dyDescent="0.25">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row>
    <row r="653" spans="1:36" ht="15.75" x14ac:dyDescent="0.25">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row>
    <row r="654" spans="1:36" ht="15.75" x14ac:dyDescent="0.25">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row>
    <row r="655" spans="1:36" ht="15.75" x14ac:dyDescent="0.25">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row>
    <row r="656" spans="1:36" ht="15.75" x14ac:dyDescent="0.25">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row>
    <row r="657" spans="1:36" ht="15.75" x14ac:dyDescent="0.25">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row>
    <row r="658" spans="1:36" ht="15.75" x14ac:dyDescent="0.25">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row>
    <row r="659" spans="1:36" ht="15.75" x14ac:dyDescent="0.25">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row>
    <row r="660" spans="1:36" ht="15.75" x14ac:dyDescent="0.25">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row>
    <row r="661" spans="1:36" ht="15.75" x14ac:dyDescent="0.25">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row>
    <row r="662" spans="1:36" ht="15.75" x14ac:dyDescent="0.25">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row>
    <row r="663" spans="1:36" ht="15.75" x14ac:dyDescent="0.25">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row>
    <row r="664" spans="1:36" ht="15.75" x14ac:dyDescent="0.25">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row>
    <row r="665" spans="1:36" ht="15.75" x14ac:dyDescent="0.25">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row>
    <row r="666" spans="1:36" ht="15.75" x14ac:dyDescent="0.25">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row>
    <row r="667" spans="1:36" ht="15.75" x14ac:dyDescent="0.25">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row>
    <row r="668" spans="1:36" ht="15.75" x14ac:dyDescent="0.25">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row>
    <row r="669" spans="1:36" ht="15.75" x14ac:dyDescent="0.25">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row>
    <row r="670" spans="1:36" ht="15.75" x14ac:dyDescent="0.25">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row>
    <row r="671" spans="1:36" ht="15.75" x14ac:dyDescent="0.25">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row>
    <row r="672" spans="1:36" ht="15.75" x14ac:dyDescent="0.25">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row>
    <row r="673" spans="1:36" ht="15.75" x14ac:dyDescent="0.25">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row>
    <row r="674" spans="1:36" ht="15.75" x14ac:dyDescent="0.25">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row>
    <row r="675" spans="1:36" ht="15.75" x14ac:dyDescent="0.25">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row>
    <row r="676" spans="1:36" ht="15.75" x14ac:dyDescent="0.25">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row>
    <row r="677" spans="1:36" ht="15.75" x14ac:dyDescent="0.25">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row>
    <row r="678" spans="1:36" ht="15.75" x14ac:dyDescent="0.25">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row>
    <row r="679" spans="1:36" ht="15.75" x14ac:dyDescent="0.25">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row>
    <row r="680" spans="1:36" ht="15.75" x14ac:dyDescent="0.25">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row>
    <row r="681" spans="1:36" ht="15.75" x14ac:dyDescent="0.25">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row>
    <row r="682" spans="1:36" ht="15.75" x14ac:dyDescent="0.25">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row>
    <row r="683" spans="1:36" ht="15.75" x14ac:dyDescent="0.25">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row>
    <row r="684" spans="1:36" ht="15.75" x14ac:dyDescent="0.25">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row>
    <row r="685" spans="1:36" ht="15.75" x14ac:dyDescent="0.25">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row>
    <row r="686" spans="1:36" ht="15.75" x14ac:dyDescent="0.25">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row>
    <row r="687" spans="1:36" ht="15.75" x14ac:dyDescent="0.25">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row>
  </sheetData>
  <mergeCells count="22">
    <mergeCell ref="S220:T220"/>
    <mergeCell ref="S226:T226"/>
    <mergeCell ref="S232:T232"/>
    <mergeCell ref="S238:T238"/>
    <mergeCell ref="S184:T184"/>
    <mergeCell ref="S190:T190"/>
    <mergeCell ref="S196:T196"/>
    <mergeCell ref="S202:T202"/>
    <mergeCell ref="S208:T208"/>
    <mergeCell ref="S214:T214"/>
    <mergeCell ref="S178:T178"/>
    <mergeCell ref="C7:C8"/>
    <mergeCell ref="O7:O8"/>
    <mergeCell ref="S124:T124"/>
    <mergeCell ref="S130:T130"/>
    <mergeCell ref="S136:T136"/>
    <mergeCell ref="S142:T142"/>
    <mergeCell ref="S148:T148"/>
    <mergeCell ref="S154:T154"/>
    <mergeCell ref="S160:T160"/>
    <mergeCell ref="S166:T166"/>
    <mergeCell ref="S172:T172"/>
  </mergeCells>
  <printOptions horizontalCentered="1" verticalCentered="1"/>
  <pageMargins left="0.23622047244094491" right="0.23622047244094491" top="0.51181102362204722" bottom="0.51181102362204722" header="0" footer="0"/>
  <pageSetup paperSize="9" scale="63" fitToWidth="2"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P232"/>
  <sheetViews>
    <sheetView view="pageBreakPreview" topLeftCell="A196" zoomScale="55" zoomScaleNormal="95" zoomScaleSheetLayoutView="55" workbookViewId="0">
      <selection activeCell="F44" sqref="F44"/>
    </sheetView>
  </sheetViews>
  <sheetFormatPr baseColWidth="10" defaultColWidth="8.77734375" defaultRowHeight="12.75" x14ac:dyDescent="0.2"/>
  <cols>
    <col min="1" max="1" width="3" style="596" customWidth="1"/>
    <col min="2" max="2" width="16.109375" style="596" customWidth="1"/>
    <col min="3" max="3" width="7.77734375" style="596" customWidth="1"/>
    <col min="4" max="4" width="8.109375" style="596" customWidth="1"/>
    <col min="5" max="5" width="8.77734375" style="596" customWidth="1"/>
    <col min="6" max="6" width="8.44140625" style="596" customWidth="1"/>
    <col min="7" max="8" width="11.77734375" style="677" customWidth="1"/>
    <col min="9" max="9" width="12.109375" style="677" customWidth="1"/>
    <col min="10" max="10" width="10.77734375" style="677" customWidth="1"/>
    <col min="11" max="11" width="9.5546875" style="677" customWidth="1"/>
    <col min="12" max="12" width="11.21875" style="596" customWidth="1"/>
    <col min="13" max="13" width="7" style="596" customWidth="1"/>
    <col min="14" max="15" width="13.109375" style="596" customWidth="1"/>
    <col min="16" max="16" width="13.77734375" style="596" customWidth="1"/>
    <col min="17" max="17" width="11.5546875" style="596" customWidth="1"/>
    <col min="18" max="18" width="5.77734375" style="596" customWidth="1"/>
    <col min="19" max="19" width="11.5546875" style="596" customWidth="1"/>
    <col min="20" max="20" width="5.77734375" style="596" customWidth="1"/>
    <col min="21" max="21" width="11.109375" style="596" hidden="1" customWidth="1"/>
    <col min="22" max="23" width="10.77734375" style="596" hidden="1" customWidth="1"/>
    <col min="24" max="24" width="10.5546875" style="596" hidden="1" customWidth="1"/>
    <col min="25" max="25" width="8.77734375" style="596" hidden="1" customWidth="1"/>
    <col min="26" max="26" width="9.5546875" style="596" hidden="1" customWidth="1"/>
    <col min="27" max="34" width="8.77734375" style="596" hidden="1" customWidth="1"/>
    <col min="35" max="35" width="10.109375" style="596" hidden="1" customWidth="1"/>
    <col min="36" max="36" width="10.77734375" style="596" customWidth="1"/>
    <col min="37" max="38" width="11.109375" style="596" customWidth="1"/>
    <col min="39" max="41" width="8.77734375" style="596"/>
    <col min="42" max="42" width="9.6640625" style="596" bestFit="1" customWidth="1"/>
    <col min="43" max="16384" width="8.77734375" style="596"/>
  </cols>
  <sheetData>
    <row r="1" spans="1:33" ht="12.75" customHeight="1" x14ac:dyDescent="0.2">
      <c r="A1" s="596" t="s">
        <v>332</v>
      </c>
      <c r="C1" s="674"/>
      <c r="D1" s="674"/>
      <c r="E1" s="675">
        <v>45962</v>
      </c>
      <c r="F1" s="676"/>
      <c r="S1" s="596" t="s">
        <v>179</v>
      </c>
      <c r="U1" s="678" t="s">
        <v>60</v>
      </c>
      <c r="V1" s="678"/>
      <c r="W1" s="679">
        <f>DATE(YEAR(E1),MONTH(E1)+1,1)-DATE(YEAR(E1),MONTH(E1),1)</f>
        <v>30</v>
      </c>
    </row>
    <row r="2" spans="1:33" x14ac:dyDescent="0.2">
      <c r="A2" s="674" t="s">
        <v>0</v>
      </c>
    </row>
    <row r="3" spans="1:33" x14ac:dyDescent="0.2">
      <c r="A3" s="680" t="s">
        <v>109</v>
      </c>
      <c r="B3" s="680"/>
      <c r="C3" s="680"/>
      <c r="D3" s="680"/>
      <c r="E3" s="680"/>
      <c r="F3" s="680"/>
      <c r="G3" s="680"/>
      <c r="H3" s="680"/>
      <c r="I3" s="680"/>
      <c r="J3" s="680"/>
      <c r="K3" s="680"/>
      <c r="L3" s="680"/>
      <c r="M3" s="680"/>
      <c r="N3" s="680"/>
      <c r="O3" s="680"/>
      <c r="P3" s="680"/>
      <c r="Q3" s="680"/>
      <c r="R3" s="680"/>
      <c r="S3" s="680"/>
      <c r="T3" s="680"/>
    </row>
    <row r="4" spans="1:33" x14ac:dyDescent="0.2">
      <c r="A4" s="681" t="str">
        <f>"Correspondiente a  "&amp;TEXT(E1,"MMMMMMM YYYY")</f>
        <v>Correspondiente a  Noviembre 2025</v>
      </c>
      <c r="B4" s="681"/>
      <c r="C4" s="681"/>
      <c r="D4" s="681"/>
      <c r="E4" s="681"/>
      <c r="F4" s="681"/>
      <c r="G4" s="681"/>
      <c r="H4" s="681"/>
      <c r="I4" s="681"/>
      <c r="J4" s="681"/>
      <c r="K4" s="681"/>
      <c r="L4" s="681"/>
      <c r="M4" s="681"/>
      <c r="N4" s="681"/>
      <c r="O4" s="681"/>
      <c r="P4" s="681"/>
      <c r="Q4" s="681"/>
      <c r="R4" s="681"/>
      <c r="S4" s="681"/>
      <c r="T4" s="681"/>
    </row>
    <row r="5" spans="1:33" x14ac:dyDescent="0.2">
      <c r="A5" s="681" t="str">
        <f>"Tipo de Cambio= "&amp;TEXT(F1,"0.000")</f>
        <v>Tipo de Cambio= 0.000</v>
      </c>
      <c r="B5" s="681"/>
      <c r="C5" s="681"/>
      <c r="D5" s="681"/>
      <c r="E5" s="681"/>
      <c r="F5" s="681"/>
      <c r="G5" s="681"/>
      <c r="H5" s="681"/>
      <c r="I5" s="681"/>
      <c r="J5" s="681"/>
      <c r="K5" s="681"/>
      <c r="L5" s="681"/>
      <c r="M5" s="681"/>
      <c r="N5" s="681"/>
      <c r="O5" s="681"/>
      <c r="P5" s="681"/>
      <c r="Q5" s="682"/>
      <c r="R5" s="681"/>
      <c r="S5" s="681"/>
      <c r="T5" s="681"/>
      <c r="U5" s="683"/>
      <c r="V5" s="683"/>
    </row>
    <row r="6" spans="1:33" x14ac:dyDescent="0.2">
      <c r="E6" s="683"/>
      <c r="F6" s="683"/>
      <c r="G6" s="684"/>
      <c r="H6" s="685"/>
      <c r="Q6" s="682"/>
      <c r="U6" s="683"/>
      <c r="W6" s="683"/>
    </row>
    <row r="7" spans="1:33" ht="21.75" customHeight="1" x14ac:dyDescent="0.2">
      <c r="A7" s="686" t="s">
        <v>25</v>
      </c>
      <c r="B7" s="687"/>
      <c r="C7" s="1198" t="s">
        <v>33</v>
      </c>
      <c r="D7" s="688" t="s">
        <v>58</v>
      </c>
      <c r="E7" s="689"/>
      <c r="F7" s="690" t="s">
        <v>106</v>
      </c>
      <c r="G7" s="691"/>
      <c r="H7" s="692"/>
      <c r="I7" s="690" t="s">
        <v>38</v>
      </c>
      <c r="J7" s="692"/>
      <c r="K7" s="690" t="s">
        <v>41</v>
      </c>
      <c r="L7" s="691"/>
      <c r="M7" s="691"/>
      <c r="N7" s="692"/>
      <c r="O7" s="1198" t="s">
        <v>96</v>
      </c>
      <c r="P7" s="690" t="s">
        <v>50</v>
      </c>
      <c r="Q7" s="691"/>
      <c r="R7" s="691"/>
      <c r="S7" s="691"/>
      <c r="T7" s="692"/>
      <c r="U7" s="693" t="s">
        <v>223</v>
      </c>
      <c r="V7" s="694"/>
      <c r="W7" s="694"/>
      <c r="X7" s="694"/>
      <c r="Y7" s="694"/>
      <c r="Z7" s="695"/>
      <c r="AA7" s="696" t="s">
        <v>224</v>
      </c>
      <c r="AB7" s="697"/>
      <c r="AC7" s="697"/>
      <c r="AD7" s="697"/>
      <c r="AE7" s="697"/>
      <c r="AF7" s="698"/>
      <c r="AG7" s="699" t="s">
        <v>63</v>
      </c>
    </row>
    <row r="8" spans="1:33" ht="14.25" customHeight="1" x14ac:dyDescent="0.2">
      <c r="A8" s="700" t="s">
        <v>26</v>
      </c>
      <c r="B8" s="701"/>
      <c r="C8" s="1199"/>
      <c r="D8" s="702" t="s">
        <v>19</v>
      </c>
      <c r="E8" s="703" t="s">
        <v>59</v>
      </c>
      <c r="F8" s="702" t="s">
        <v>27</v>
      </c>
      <c r="G8" s="704" t="s">
        <v>35</v>
      </c>
      <c r="H8" s="705" t="s">
        <v>36</v>
      </c>
      <c r="I8" s="705" t="s">
        <v>35</v>
      </c>
      <c r="J8" s="704" t="s">
        <v>36</v>
      </c>
      <c r="K8" s="704" t="s">
        <v>39</v>
      </c>
      <c r="L8" s="704" t="s">
        <v>40</v>
      </c>
      <c r="M8" s="704" t="s">
        <v>42</v>
      </c>
      <c r="N8" s="704" t="s">
        <v>2</v>
      </c>
      <c r="O8" s="1199"/>
      <c r="P8" s="699" t="s">
        <v>1</v>
      </c>
      <c r="Q8" s="690" t="s">
        <v>45</v>
      </c>
      <c r="R8" s="692"/>
      <c r="S8" s="690" t="s">
        <v>46</v>
      </c>
      <c r="T8" s="692"/>
      <c r="U8" s="698" t="s">
        <v>64</v>
      </c>
      <c r="V8" s="694"/>
      <c r="W8" s="695"/>
      <c r="X8" s="706" t="s">
        <v>65</v>
      </c>
      <c r="Y8" s="698" t="s">
        <v>66</v>
      </c>
      <c r="Z8" s="695"/>
      <c r="AA8" s="698" t="s">
        <v>64</v>
      </c>
      <c r="AB8" s="694"/>
      <c r="AC8" s="695"/>
      <c r="AD8" s="704" t="s">
        <v>65</v>
      </c>
      <c r="AE8" s="697" t="s">
        <v>66</v>
      </c>
      <c r="AF8" s="698"/>
      <c r="AG8" s="707" t="s">
        <v>1</v>
      </c>
    </row>
    <row r="9" spans="1:33" x14ac:dyDescent="0.2">
      <c r="A9" s="708" t="s">
        <v>23</v>
      </c>
      <c r="B9" s="709"/>
      <c r="C9" s="710"/>
      <c r="D9" s="711"/>
      <c r="E9" s="711"/>
      <c r="F9" s="708"/>
      <c r="G9" s="712"/>
      <c r="H9" s="713"/>
      <c r="I9" s="714"/>
      <c r="J9" s="712"/>
      <c r="K9" s="712"/>
      <c r="L9" s="712"/>
      <c r="M9" s="712"/>
      <c r="N9" s="712"/>
      <c r="O9" s="715"/>
      <c r="P9" s="712"/>
      <c r="Q9" s="716" t="s">
        <v>43</v>
      </c>
      <c r="R9" s="717"/>
      <c r="S9" s="716" t="s">
        <v>44</v>
      </c>
      <c r="T9" s="717"/>
      <c r="U9" s="718" t="s">
        <v>67</v>
      </c>
      <c r="V9" s="718" t="s">
        <v>97</v>
      </c>
      <c r="W9" s="718" t="s">
        <v>68</v>
      </c>
      <c r="X9" s="718" t="s">
        <v>69</v>
      </c>
      <c r="Y9" s="718" t="s">
        <v>69</v>
      </c>
      <c r="Z9" s="718" t="s">
        <v>70</v>
      </c>
      <c r="AA9" s="718" t="s">
        <v>71</v>
      </c>
      <c r="AB9" s="718" t="s">
        <v>97</v>
      </c>
      <c r="AC9" s="718" t="s">
        <v>72</v>
      </c>
      <c r="AD9" s="718" t="s">
        <v>73</v>
      </c>
      <c r="AE9" s="718" t="s">
        <v>73</v>
      </c>
      <c r="AF9" s="719" t="s">
        <v>70</v>
      </c>
      <c r="AG9" s="720" t="s">
        <v>74</v>
      </c>
    </row>
    <row r="10" spans="1:33" s="1" customFormat="1" x14ac:dyDescent="0.2">
      <c r="A10" s="23" t="s">
        <v>28</v>
      </c>
      <c r="B10" s="24" t="s">
        <v>13</v>
      </c>
      <c r="C10" s="57" t="s">
        <v>29</v>
      </c>
      <c r="D10" s="25" t="s">
        <v>21</v>
      </c>
      <c r="E10" s="57" t="s">
        <v>98</v>
      </c>
      <c r="F10" s="236" t="s">
        <v>37</v>
      </c>
      <c r="G10" s="215"/>
      <c r="H10" s="215"/>
      <c r="I10" s="217"/>
      <c r="J10" s="215"/>
      <c r="K10" s="222"/>
      <c r="L10" s="222"/>
      <c r="M10" s="222"/>
      <c r="N10" s="386"/>
      <c r="O10" s="215">
        <f>ROUND(G10*I10,2)+ROUND(H10*J10,2)-K10-L10-M10-N10</f>
        <v>0</v>
      </c>
      <c r="P10" s="222">
        <f>ROUND(18.75%*O10,2)</f>
        <v>0</v>
      </c>
      <c r="Q10" s="222">
        <f>ROUND($O10*R10,2)</f>
        <v>0</v>
      </c>
      <c r="R10" s="223">
        <v>0.15</v>
      </c>
      <c r="S10" s="222">
        <f t="shared" ref="S10:S25" si="0">ROUND($O10*T10,2)</f>
        <v>0</v>
      </c>
      <c r="T10" s="258">
        <v>3.7499999999999999E-2</v>
      </c>
      <c r="U10" s="66">
        <f t="shared" ref="U10:U27" si="1">IF($F10&amp;"/Día"=W$9,SUM($G10:$H10),"")</f>
        <v>0</v>
      </c>
      <c r="V10" s="66">
        <f>IF(U10&lt;&gt;"",$O10,"")</f>
        <v>0</v>
      </c>
      <c r="W10" s="73">
        <f>IF($F10&amp;"/Día"=W$9,ROUND(U10/$W$1,1),"")</f>
        <v>0</v>
      </c>
      <c r="X10" s="74">
        <f t="shared" ref="X10:X27" si="2">IF(U10=0,0,IF($F10&amp;"/Día"=W$9,ROUND(V10/U10,4),""))</f>
        <v>0</v>
      </c>
      <c r="Y10" s="74">
        <f t="shared" ref="Y10:Y27" si="3">IF(U10=0,0,IF($F10&amp;"/Día"=W$9,ROUND(Z10/U10,4),""))</f>
        <v>0</v>
      </c>
      <c r="Z10" s="66">
        <f t="shared" ref="Z10:Z27" si="4">IF(U10&lt;&gt;"",$P10,"")</f>
        <v>0</v>
      </c>
      <c r="AA10" s="66" t="str">
        <f t="shared" ref="AA10:AA27" si="5">IF($F10&amp;"/Día"=AC$9,SUM($G10:$H10),"")</f>
        <v/>
      </c>
      <c r="AB10" s="66" t="str">
        <f>IF(AA10&lt;&gt;"",$O10,"")</f>
        <v/>
      </c>
      <c r="AC10" s="73" t="str">
        <f>IF($F10&amp;"/Día"=AC$9,ROUND(AA10/$W$1,1),"")</f>
        <v/>
      </c>
      <c r="AD10" s="74" t="str">
        <f t="shared" ref="AD10:AD27" si="6">IF(AA10=0,0,IF($F10&amp;"/Día"=AC$9,ROUND(AB10/AA10,4),""))</f>
        <v/>
      </c>
      <c r="AE10" s="74" t="str">
        <f t="shared" ref="AE10:AE27" si="7">IF(AA10=0,0,IF($F10&amp;"/Día"=AC$9,ROUND(AF10/AA10,4),""))</f>
        <v/>
      </c>
      <c r="AF10" s="66" t="str">
        <f t="shared" ref="AF10:AF27" si="8">IF(AA10&lt;&gt;"",$P10,"")</f>
        <v/>
      </c>
      <c r="AG10" s="49"/>
    </row>
    <row r="11" spans="1:33" s="1" customFormat="1" ht="12.75" customHeight="1" x14ac:dyDescent="0.2">
      <c r="A11" s="23" t="s">
        <v>28</v>
      </c>
      <c r="B11" s="24" t="s">
        <v>14</v>
      </c>
      <c r="C11" s="57" t="s">
        <v>29</v>
      </c>
      <c r="D11" s="25" t="s">
        <v>21</v>
      </c>
      <c r="E11" s="57" t="s">
        <v>98</v>
      </c>
      <c r="F11" s="236" t="s">
        <v>56</v>
      </c>
      <c r="G11" s="215"/>
      <c r="H11" s="215"/>
      <c r="I11" s="217"/>
      <c r="J11" s="215"/>
      <c r="K11" s="222"/>
      <c r="L11" s="222"/>
      <c r="M11" s="222"/>
      <c r="N11" s="386"/>
      <c r="O11" s="215">
        <f>ROUND(G11*I11,2)+ROUND(H11*J11,2)-K11-L11-M11-N11</f>
        <v>0</v>
      </c>
      <c r="P11" s="222">
        <f>ROUND(18.75%*O11,2)</f>
        <v>0</v>
      </c>
      <c r="Q11" s="222">
        <f t="shared" ref="Q11:Q25" si="9">ROUND($O11*R11,2)</f>
        <v>0</v>
      </c>
      <c r="R11" s="223">
        <v>0.15</v>
      </c>
      <c r="S11" s="222">
        <f t="shared" si="0"/>
        <v>0</v>
      </c>
      <c r="T11" s="258">
        <v>3.7499999999999999E-2</v>
      </c>
      <c r="U11" s="40" t="str">
        <f t="shared" si="1"/>
        <v/>
      </c>
      <c r="V11" s="40" t="str">
        <f t="shared" ref="V11:V33" si="10">IF(U11&lt;&gt;"",$O11,"")</f>
        <v/>
      </c>
      <c r="W11" s="75" t="str">
        <f t="shared" ref="W11:W38" si="11">IF($F11&amp;"/Día"=W$9,ROUND(U11/$W$1,1),"")</f>
        <v/>
      </c>
      <c r="X11" s="76" t="str">
        <f t="shared" si="2"/>
        <v/>
      </c>
      <c r="Y11" s="76" t="str">
        <f t="shared" si="3"/>
        <v/>
      </c>
      <c r="Z11" s="40" t="str">
        <f t="shared" si="4"/>
        <v/>
      </c>
      <c r="AA11" s="40">
        <f t="shared" si="5"/>
        <v>0</v>
      </c>
      <c r="AB11" s="40">
        <f t="shared" ref="AB11:AB33" si="12">IF(AA11&lt;&gt;"",$O11,"")</f>
        <v>0</v>
      </c>
      <c r="AC11" s="75">
        <f t="shared" ref="AC11:AC38" si="13">IF($F11&amp;"/Día"=AC$9,ROUND(AA11/$W$1,1),"")</f>
        <v>0</v>
      </c>
      <c r="AD11" s="76">
        <f t="shared" si="6"/>
        <v>0</v>
      </c>
      <c r="AE11" s="76">
        <f t="shared" si="7"/>
        <v>0</v>
      </c>
      <c r="AF11" s="40">
        <f t="shared" si="8"/>
        <v>0</v>
      </c>
      <c r="AG11" s="50"/>
    </row>
    <row r="12" spans="1:33" s="1" customFormat="1" x14ac:dyDescent="0.2">
      <c r="A12" s="23" t="s">
        <v>28</v>
      </c>
      <c r="B12" s="24" t="s">
        <v>3</v>
      </c>
      <c r="C12" s="57" t="s">
        <v>31</v>
      </c>
      <c r="D12" s="25" t="s">
        <v>30</v>
      </c>
      <c r="E12" s="57" t="s">
        <v>101</v>
      </c>
      <c r="F12" s="236" t="s">
        <v>37</v>
      </c>
      <c r="G12" s="215"/>
      <c r="H12" s="215"/>
      <c r="I12" s="371"/>
      <c r="J12" s="371"/>
      <c r="K12" s="222"/>
      <c r="L12" s="222"/>
      <c r="M12" s="222"/>
      <c r="N12" s="386"/>
      <c r="O12" s="215">
        <f>ROUND(G12*I12,2)+ROUND(H12*J12,2)-K12-L12-M12-N12</f>
        <v>0</v>
      </c>
      <c r="P12" s="222">
        <f t="shared" ref="P12:P25" si="14">ROUND(18.75%*O12,2)</f>
        <v>0</v>
      </c>
      <c r="Q12" s="222">
        <f>ROUND($O12*R12,2)</f>
        <v>0</v>
      </c>
      <c r="R12" s="223">
        <v>0.15</v>
      </c>
      <c r="S12" s="222">
        <f t="shared" si="0"/>
        <v>0</v>
      </c>
      <c r="T12" s="258">
        <v>3.7499999999999999E-2</v>
      </c>
      <c r="U12" s="40">
        <f>IF($F12&amp;"/Día"=W$9,SUM($G12:$I12),"")</f>
        <v>0</v>
      </c>
      <c r="V12" s="40">
        <f t="shared" si="10"/>
        <v>0</v>
      </c>
      <c r="W12" s="75">
        <f t="shared" si="11"/>
        <v>0</v>
      </c>
      <c r="X12" s="76">
        <f t="shared" si="2"/>
        <v>0</v>
      </c>
      <c r="Y12" s="76">
        <f t="shared" si="3"/>
        <v>0</v>
      </c>
      <c r="Z12" s="40">
        <f t="shared" si="4"/>
        <v>0</v>
      </c>
      <c r="AA12" s="40" t="str">
        <f>IF($F12&amp;"/Día"=AC$9,SUM($G12:$I12),"")</f>
        <v/>
      </c>
      <c r="AB12" s="40" t="str">
        <f t="shared" si="12"/>
        <v/>
      </c>
      <c r="AC12" s="75" t="str">
        <f t="shared" si="13"/>
        <v/>
      </c>
      <c r="AD12" s="76" t="str">
        <f t="shared" si="6"/>
        <v/>
      </c>
      <c r="AE12" s="76" t="str">
        <f t="shared" si="7"/>
        <v/>
      </c>
      <c r="AF12" s="40" t="str">
        <f t="shared" si="8"/>
        <v/>
      </c>
      <c r="AG12" s="50"/>
    </row>
    <row r="13" spans="1:33" s="1" customFormat="1" x14ac:dyDescent="0.2">
      <c r="A13" s="242" t="s">
        <v>28</v>
      </c>
      <c r="B13" s="245" t="s">
        <v>369</v>
      </c>
      <c r="C13" s="236" t="s">
        <v>29</v>
      </c>
      <c r="D13" s="243" t="s">
        <v>21</v>
      </c>
      <c r="E13" s="236" t="s">
        <v>98</v>
      </c>
      <c r="F13" s="236" t="s">
        <v>56</v>
      </c>
      <c r="G13" s="215"/>
      <c r="H13" s="215"/>
      <c r="I13" s="217"/>
      <c r="J13" s="217"/>
      <c r="K13" s="222"/>
      <c r="L13" s="222"/>
      <c r="M13" s="222"/>
      <c r="N13" s="386"/>
      <c r="O13" s="215">
        <f>ROUND(G13*I13,2)+ROUND(H13*J13,2)-K13-L13-M13-N13</f>
        <v>0</v>
      </c>
      <c r="P13" s="222">
        <f t="shared" si="14"/>
        <v>0</v>
      </c>
      <c r="Q13" s="222">
        <f>ROUND($O13*R13,2)</f>
        <v>0</v>
      </c>
      <c r="R13" s="223">
        <v>0.15</v>
      </c>
      <c r="S13" s="222">
        <f t="shared" si="0"/>
        <v>0</v>
      </c>
      <c r="T13" s="258">
        <v>3.7499999999999999E-2</v>
      </c>
      <c r="U13" s="40" t="str">
        <f t="shared" si="1"/>
        <v/>
      </c>
      <c r="V13" s="40" t="str">
        <f t="shared" si="10"/>
        <v/>
      </c>
      <c r="W13" s="75" t="str">
        <f t="shared" si="11"/>
        <v/>
      </c>
      <c r="X13" s="76" t="str">
        <f t="shared" si="2"/>
        <v/>
      </c>
      <c r="Y13" s="76" t="str">
        <f t="shared" si="3"/>
        <v/>
      </c>
      <c r="Z13" s="40" t="str">
        <f t="shared" si="4"/>
        <v/>
      </c>
      <c r="AA13" s="40">
        <f t="shared" si="5"/>
        <v>0</v>
      </c>
      <c r="AB13" s="40">
        <f t="shared" si="12"/>
        <v>0</v>
      </c>
      <c r="AC13" s="75">
        <f t="shared" si="13"/>
        <v>0</v>
      </c>
      <c r="AD13" s="76">
        <f t="shared" si="6"/>
        <v>0</v>
      </c>
      <c r="AE13" s="76">
        <f t="shared" si="7"/>
        <v>0</v>
      </c>
      <c r="AF13" s="40">
        <f t="shared" si="8"/>
        <v>0</v>
      </c>
      <c r="AG13" s="50"/>
    </row>
    <row r="14" spans="1:33" s="1" customFormat="1" x14ac:dyDescent="0.2">
      <c r="A14" s="23" t="s">
        <v>28</v>
      </c>
      <c r="B14" s="24" t="s">
        <v>4</v>
      </c>
      <c r="C14" s="57" t="s">
        <v>31</v>
      </c>
      <c r="D14" s="25" t="s">
        <v>30</v>
      </c>
      <c r="E14" s="57" t="s">
        <v>101</v>
      </c>
      <c r="F14" s="236" t="s">
        <v>37</v>
      </c>
      <c r="G14" s="215"/>
      <c r="H14" s="215"/>
      <c r="I14" s="217"/>
      <c r="J14" s="217"/>
      <c r="K14" s="222"/>
      <c r="L14" s="222"/>
      <c r="M14" s="222"/>
      <c r="N14" s="386"/>
      <c r="O14" s="215">
        <f t="shared" ref="O14:O25" si="15">ROUND(G14*I14,2)+ROUND(H14*J14,2)-K14-L14-M14-N14</f>
        <v>0</v>
      </c>
      <c r="P14" s="222">
        <f t="shared" si="14"/>
        <v>0</v>
      </c>
      <c r="Q14" s="222">
        <f t="shared" si="9"/>
        <v>0</v>
      </c>
      <c r="R14" s="223">
        <v>0.15</v>
      </c>
      <c r="S14" s="222">
        <f t="shared" si="0"/>
        <v>0</v>
      </c>
      <c r="T14" s="258">
        <v>3.7499999999999999E-2</v>
      </c>
      <c r="U14" s="40">
        <f t="shared" si="1"/>
        <v>0</v>
      </c>
      <c r="V14" s="40">
        <f t="shared" si="10"/>
        <v>0</v>
      </c>
      <c r="W14" s="75">
        <f t="shared" si="11"/>
        <v>0</v>
      </c>
      <c r="X14" s="76">
        <f t="shared" si="2"/>
        <v>0</v>
      </c>
      <c r="Y14" s="76">
        <f t="shared" si="3"/>
        <v>0</v>
      </c>
      <c r="Z14" s="40">
        <f t="shared" si="4"/>
        <v>0</v>
      </c>
      <c r="AA14" s="40" t="str">
        <f t="shared" si="5"/>
        <v/>
      </c>
      <c r="AB14" s="40" t="str">
        <f t="shared" si="12"/>
        <v/>
      </c>
      <c r="AC14" s="75" t="str">
        <f t="shared" si="13"/>
        <v/>
      </c>
      <c r="AD14" s="76" t="str">
        <f t="shared" si="6"/>
        <v/>
      </c>
      <c r="AE14" s="76" t="str">
        <f t="shared" si="7"/>
        <v/>
      </c>
      <c r="AF14" s="40" t="str">
        <f t="shared" si="8"/>
        <v/>
      </c>
      <c r="AG14" s="50"/>
    </row>
    <row r="15" spans="1:33" s="1" customFormat="1" x14ac:dyDescent="0.2">
      <c r="A15" s="23" t="s">
        <v>28</v>
      </c>
      <c r="B15" s="24" t="s">
        <v>370</v>
      </c>
      <c r="C15" s="236" t="s">
        <v>29</v>
      </c>
      <c r="D15" s="243" t="s">
        <v>21</v>
      </c>
      <c r="E15" s="236" t="s">
        <v>98</v>
      </c>
      <c r="F15" s="236" t="s">
        <v>56</v>
      </c>
      <c r="G15" s="215"/>
      <c r="H15" s="215"/>
      <c r="I15" s="217"/>
      <c r="J15" s="217"/>
      <c r="K15" s="222"/>
      <c r="L15" s="222"/>
      <c r="M15" s="222"/>
      <c r="N15" s="222"/>
      <c r="O15" s="224">
        <f t="shared" si="15"/>
        <v>0</v>
      </c>
      <c r="P15" s="222">
        <f t="shared" si="14"/>
        <v>0</v>
      </c>
      <c r="Q15" s="222">
        <f t="shared" si="9"/>
        <v>0</v>
      </c>
      <c r="R15" s="223">
        <v>0.15</v>
      </c>
      <c r="S15" s="222">
        <f t="shared" si="0"/>
        <v>0</v>
      </c>
      <c r="T15" s="258">
        <v>3.7499999999999999E-2</v>
      </c>
      <c r="U15" s="40" t="str">
        <f t="shared" si="1"/>
        <v/>
      </c>
      <c r="V15" s="40" t="str">
        <f t="shared" si="10"/>
        <v/>
      </c>
      <c r="W15" s="75" t="str">
        <f t="shared" si="11"/>
        <v/>
      </c>
      <c r="X15" s="76" t="str">
        <f t="shared" si="2"/>
        <v/>
      </c>
      <c r="Y15" s="76" t="str">
        <f t="shared" si="3"/>
        <v/>
      </c>
      <c r="Z15" s="40" t="str">
        <f t="shared" si="4"/>
        <v/>
      </c>
      <c r="AA15" s="40">
        <f t="shared" si="5"/>
        <v>0</v>
      </c>
      <c r="AB15" s="40">
        <f t="shared" si="12"/>
        <v>0</v>
      </c>
      <c r="AC15" s="75">
        <f t="shared" si="13"/>
        <v>0</v>
      </c>
      <c r="AD15" s="76">
        <f t="shared" si="6"/>
        <v>0</v>
      </c>
      <c r="AE15" s="76">
        <f t="shared" si="7"/>
        <v>0</v>
      </c>
      <c r="AF15" s="40">
        <f t="shared" si="8"/>
        <v>0</v>
      </c>
      <c r="AG15" s="50"/>
    </row>
    <row r="16" spans="1:33" s="1" customFormat="1" x14ac:dyDescent="0.2">
      <c r="A16" s="23" t="s">
        <v>28</v>
      </c>
      <c r="B16" s="24" t="s">
        <v>5</v>
      </c>
      <c r="C16" s="57" t="s">
        <v>31</v>
      </c>
      <c r="D16" s="25" t="s">
        <v>30</v>
      </c>
      <c r="E16" s="57" t="s">
        <v>101</v>
      </c>
      <c r="F16" s="236" t="s">
        <v>37</v>
      </c>
      <c r="G16" s="215"/>
      <c r="H16" s="215"/>
      <c r="I16" s="217"/>
      <c r="J16" s="217"/>
      <c r="K16" s="222"/>
      <c r="L16" s="222"/>
      <c r="M16" s="222"/>
      <c r="N16" s="386"/>
      <c r="O16" s="215">
        <f>ROUND(G16*I16,2)+ROUND(H16*J16,2)-K16-L16-M16-N16</f>
        <v>0</v>
      </c>
      <c r="P16" s="222">
        <f t="shared" si="14"/>
        <v>0</v>
      </c>
      <c r="Q16" s="222">
        <f t="shared" si="9"/>
        <v>0</v>
      </c>
      <c r="R16" s="223">
        <v>0.15</v>
      </c>
      <c r="S16" s="222">
        <f t="shared" si="0"/>
        <v>0</v>
      </c>
      <c r="T16" s="258">
        <v>3.7499999999999999E-2</v>
      </c>
      <c r="U16" s="40">
        <f t="shared" si="1"/>
        <v>0</v>
      </c>
      <c r="V16" s="40">
        <f t="shared" si="10"/>
        <v>0</v>
      </c>
      <c r="W16" s="75">
        <f t="shared" si="11"/>
        <v>0</v>
      </c>
      <c r="X16" s="76">
        <f t="shared" si="2"/>
        <v>0</v>
      </c>
      <c r="Y16" s="76">
        <f t="shared" si="3"/>
        <v>0</v>
      </c>
      <c r="Z16" s="40">
        <f t="shared" si="4"/>
        <v>0</v>
      </c>
      <c r="AA16" s="40" t="str">
        <f t="shared" si="5"/>
        <v/>
      </c>
      <c r="AB16" s="40" t="str">
        <f t="shared" si="12"/>
        <v/>
      </c>
      <c r="AC16" s="75" t="str">
        <f t="shared" si="13"/>
        <v/>
      </c>
      <c r="AD16" s="76" t="str">
        <f t="shared" si="6"/>
        <v/>
      </c>
      <c r="AE16" s="76" t="str">
        <f t="shared" si="7"/>
        <v/>
      </c>
      <c r="AF16" s="40" t="str">
        <f t="shared" si="8"/>
        <v/>
      </c>
      <c r="AG16" s="50"/>
    </row>
    <row r="17" spans="1:36" s="1" customFormat="1" x14ac:dyDescent="0.2">
      <c r="A17" s="23" t="s">
        <v>28</v>
      </c>
      <c r="B17" s="24" t="s">
        <v>371</v>
      </c>
      <c r="C17" s="57" t="s">
        <v>31</v>
      </c>
      <c r="D17" s="25" t="s">
        <v>30</v>
      </c>
      <c r="E17" s="57" t="s">
        <v>101</v>
      </c>
      <c r="F17" s="236" t="s">
        <v>37</v>
      </c>
      <c r="G17" s="215"/>
      <c r="H17" s="215"/>
      <c r="I17" s="217"/>
      <c r="J17" s="217"/>
      <c r="K17" s="222"/>
      <c r="L17" s="222"/>
      <c r="M17" s="222"/>
      <c r="N17" s="386"/>
      <c r="O17" s="215">
        <f t="shared" si="15"/>
        <v>0</v>
      </c>
      <c r="P17" s="222">
        <f t="shared" si="14"/>
        <v>0</v>
      </c>
      <c r="Q17" s="222">
        <f t="shared" si="9"/>
        <v>0</v>
      </c>
      <c r="R17" s="223">
        <v>0.15</v>
      </c>
      <c r="S17" s="222">
        <f t="shared" si="0"/>
        <v>0</v>
      </c>
      <c r="T17" s="258">
        <v>3.7499999999999999E-2</v>
      </c>
      <c r="U17" s="40">
        <f t="shared" si="1"/>
        <v>0</v>
      </c>
      <c r="V17" s="40">
        <f t="shared" si="10"/>
        <v>0</v>
      </c>
      <c r="W17" s="75">
        <f t="shared" si="11"/>
        <v>0</v>
      </c>
      <c r="X17" s="76">
        <f t="shared" si="2"/>
        <v>0</v>
      </c>
      <c r="Y17" s="76">
        <f t="shared" si="3"/>
        <v>0</v>
      </c>
      <c r="Z17" s="40">
        <f t="shared" si="4"/>
        <v>0</v>
      </c>
      <c r="AA17" s="40" t="str">
        <f t="shared" si="5"/>
        <v/>
      </c>
      <c r="AB17" s="40" t="str">
        <f t="shared" si="12"/>
        <v/>
      </c>
      <c r="AC17" s="75" t="str">
        <f t="shared" si="13"/>
        <v/>
      </c>
      <c r="AD17" s="76" t="str">
        <f t="shared" si="6"/>
        <v/>
      </c>
      <c r="AE17" s="76" t="str">
        <f t="shared" si="7"/>
        <v/>
      </c>
      <c r="AF17" s="40" t="str">
        <f t="shared" si="8"/>
        <v/>
      </c>
      <c r="AG17" s="50"/>
    </row>
    <row r="18" spans="1:36" s="1" customFormat="1" x14ac:dyDescent="0.2">
      <c r="A18" s="23" t="s">
        <v>28</v>
      </c>
      <c r="B18" s="24" t="s">
        <v>17</v>
      </c>
      <c r="C18" s="57" t="s">
        <v>29</v>
      </c>
      <c r="D18" s="25" t="s">
        <v>21</v>
      </c>
      <c r="E18" s="57" t="s">
        <v>98</v>
      </c>
      <c r="F18" s="236" t="s">
        <v>37</v>
      </c>
      <c r="G18" s="215"/>
      <c r="H18" s="215"/>
      <c r="I18" s="217"/>
      <c r="J18" s="217"/>
      <c r="K18" s="222"/>
      <c r="L18" s="222"/>
      <c r="M18" s="222"/>
      <c r="N18" s="386"/>
      <c r="O18" s="224">
        <f t="shared" si="15"/>
        <v>0</v>
      </c>
      <c r="P18" s="222">
        <f t="shared" si="14"/>
        <v>0</v>
      </c>
      <c r="Q18" s="222">
        <f t="shared" si="9"/>
        <v>0</v>
      </c>
      <c r="R18" s="223">
        <v>0.15</v>
      </c>
      <c r="S18" s="222">
        <f t="shared" si="0"/>
        <v>0</v>
      </c>
      <c r="T18" s="258">
        <v>3.7499999999999999E-2</v>
      </c>
      <c r="U18" s="40">
        <f t="shared" si="1"/>
        <v>0</v>
      </c>
      <c r="V18" s="40">
        <f t="shared" si="10"/>
        <v>0</v>
      </c>
      <c r="W18" s="75">
        <f t="shared" si="11"/>
        <v>0</v>
      </c>
      <c r="X18" s="76">
        <f t="shared" si="2"/>
        <v>0</v>
      </c>
      <c r="Y18" s="76">
        <f t="shared" si="3"/>
        <v>0</v>
      </c>
      <c r="Z18" s="40">
        <f t="shared" si="4"/>
        <v>0</v>
      </c>
      <c r="AA18" s="40" t="str">
        <f t="shared" si="5"/>
        <v/>
      </c>
      <c r="AB18" s="40" t="str">
        <f t="shared" si="12"/>
        <v/>
      </c>
      <c r="AC18" s="75" t="str">
        <f t="shared" si="13"/>
        <v/>
      </c>
      <c r="AD18" s="76" t="str">
        <f t="shared" si="6"/>
        <v/>
      </c>
      <c r="AE18" s="76" t="str">
        <f t="shared" si="7"/>
        <v/>
      </c>
      <c r="AF18" s="40" t="str">
        <f t="shared" si="8"/>
        <v/>
      </c>
      <c r="AG18" s="50"/>
    </row>
    <row r="19" spans="1:36" s="1" customFormat="1" x14ac:dyDescent="0.2">
      <c r="A19" s="23" t="s">
        <v>28</v>
      </c>
      <c r="B19" s="24" t="s">
        <v>237</v>
      </c>
      <c r="C19" s="57" t="s">
        <v>31</v>
      </c>
      <c r="D19" s="25" t="s">
        <v>30</v>
      </c>
      <c r="E19" s="57" t="s">
        <v>98</v>
      </c>
      <c r="F19" s="236" t="s">
        <v>37</v>
      </c>
      <c r="G19" s="215"/>
      <c r="H19" s="215"/>
      <c r="I19" s="216"/>
      <c r="J19" s="217"/>
      <c r="K19" s="222"/>
      <c r="L19" s="222"/>
      <c r="M19" s="222"/>
      <c r="N19" s="386"/>
      <c r="O19" s="224">
        <f>ROUND(G19*I19,2)+ROUND(H19*J19,2)-K19-L19-M19-N19</f>
        <v>0</v>
      </c>
      <c r="P19" s="222">
        <f>ROUND(18.75%*O19,2)</f>
        <v>0</v>
      </c>
      <c r="Q19" s="222">
        <f t="shared" si="9"/>
        <v>0</v>
      </c>
      <c r="R19" s="223">
        <v>0.15</v>
      </c>
      <c r="S19" s="222">
        <f t="shared" si="0"/>
        <v>0</v>
      </c>
      <c r="T19" s="258">
        <v>3.7499999999999999E-2</v>
      </c>
      <c r="U19" s="40">
        <f t="shared" si="1"/>
        <v>0</v>
      </c>
      <c r="V19" s="40">
        <f t="shared" si="10"/>
        <v>0</v>
      </c>
      <c r="W19" s="75">
        <f t="shared" si="11"/>
        <v>0</v>
      </c>
      <c r="X19" s="76">
        <f t="shared" si="2"/>
        <v>0</v>
      </c>
      <c r="Y19" s="76">
        <f t="shared" si="3"/>
        <v>0</v>
      </c>
      <c r="Z19" s="40">
        <f t="shared" si="4"/>
        <v>0</v>
      </c>
      <c r="AA19" s="40" t="str">
        <f t="shared" si="5"/>
        <v/>
      </c>
      <c r="AB19" s="40" t="str">
        <f t="shared" si="12"/>
        <v/>
      </c>
      <c r="AC19" s="75" t="str">
        <f t="shared" si="13"/>
        <v/>
      </c>
      <c r="AD19" s="76" t="str">
        <f t="shared" si="6"/>
        <v/>
      </c>
      <c r="AE19" s="76" t="str">
        <f t="shared" si="7"/>
        <v/>
      </c>
      <c r="AF19" s="40" t="str">
        <f t="shared" si="8"/>
        <v/>
      </c>
      <c r="AG19" s="50"/>
    </row>
    <row r="20" spans="1:36" s="1" customFormat="1" x14ac:dyDescent="0.2">
      <c r="A20" s="23" t="s">
        <v>28</v>
      </c>
      <c r="B20" s="24" t="s">
        <v>239</v>
      </c>
      <c r="C20" s="57" t="s">
        <v>31</v>
      </c>
      <c r="D20" s="25" t="s">
        <v>30</v>
      </c>
      <c r="E20" s="57" t="s">
        <v>98</v>
      </c>
      <c r="F20" s="236" t="s">
        <v>56</v>
      </c>
      <c r="G20" s="215"/>
      <c r="H20" s="215"/>
      <c r="I20" s="216"/>
      <c r="J20" s="217"/>
      <c r="K20" s="222"/>
      <c r="L20" s="222"/>
      <c r="M20" s="222"/>
      <c r="N20" s="386"/>
      <c r="O20" s="224">
        <f t="shared" si="15"/>
        <v>0</v>
      </c>
      <c r="P20" s="222">
        <f t="shared" si="14"/>
        <v>0</v>
      </c>
      <c r="Q20" s="222">
        <f t="shared" si="9"/>
        <v>0</v>
      </c>
      <c r="R20" s="223">
        <v>0.15</v>
      </c>
      <c r="S20" s="222">
        <f t="shared" si="0"/>
        <v>0</v>
      </c>
      <c r="T20" s="258">
        <v>3.7499999999999999E-2</v>
      </c>
      <c r="U20" s="40" t="str">
        <f t="shared" si="1"/>
        <v/>
      </c>
      <c r="V20" s="40" t="str">
        <f t="shared" si="10"/>
        <v/>
      </c>
      <c r="W20" s="75" t="str">
        <f t="shared" si="11"/>
        <v/>
      </c>
      <c r="X20" s="76" t="str">
        <f t="shared" si="2"/>
        <v/>
      </c>
      <c r="Y20" s="76" t="str">
        <f t="shared" si="3"/>
        <v/>
      </c>
      <c r="Z20" s="40" t="str">
        <f t="shared" si="4"/>
        <v/>
      </c>
      <c r="AA20" s="40">
        <f t="shared" si="5"/>
        <v>0</v>
      </c>
      <c r="AB20" s="40">
        <f t="shared" si="12"/>
        <v>0</v>
      </c>
      <c r="AC20" s="75">
        <f t="shared" si="13"/>
        <v>0</v>
      </c>
      <c r="AD20" s="76">
        <f t="shared" si="6"/>
        <v>0</v>
      </c>
      <c r="AE20" s="76">
        <f t="shared" si="7"/>
        <v>0</v>
      </c>
      <c r="AF20" s="40">
        <f t="shared" si="8"/>
        <v>0</v>
      </c>
      <c r="AG20" s="50"/>
    </row>
    <row r="21" spans="1:36" s="1" customFormat="1" x14ac:dyDescent="0.2">
      <c r="A21" s="23" t="s">
        <v>28</v>
      </c>
      <c r="B21" s="24" t="s">
        <v>238</v>
      </c>
      <c r="C21" s="57" t="s">
        <v>31</v>
      </c>
      <c r="D21" s="25" t="s">
        <v>30</v>
      </c>
      <c r="E21" s="57" t="s">
        <v>98</v>
      </c>
      <c r="F21" s="236" t="s">
        <v>37</v>
      </c>
      <c r="G21" s="215"/>
      <c r="H21" s="216"/>
      <c r="I21" s="216"/>
      <c r="J21" s="217"/>
      <c r="K21" s="222"/>
      <c r="L21" s="222"/>
      <c r="M21" s="222"/>
      <c r="N21" s="386"/>
      <c r="O21" s="224">
        <f t="shared" si="15"/>
        <v>0</v>
      </c>
      <c r="P21" s="222">
        <f t="shared" si="14"/>
        <v>0</v>
      </c>
      <c r="Q21" s="222">
        <f t="shared" si="9"/>
        <v>0</v>
      </c>
      <c r="R21" s="223">
        <v>0.15</v>
      </c>
      <c r="S21" s="222">
        <f t="shared" si="0"/>
        <v>0</v>
      </c>
      <c r="T21" s="258">
        <v>3.7499999999999999E-2</v>
      </c>
      <c r="U21" s="40">
        <f t="shared" si="1"/>
        <v>0</v>
      </c>
      <c r="V21" s="40">
        <f t="shared" si="10"/>
        <v>0</v>
      </c>
      <c r="W21" s="75">
        <f t="shared" si="11"/>
        <v>0</v>
      </c>
      <c r="X21" s="76">
        <f t="shared" si="2"/>
        <v>0</v>
      </c>
      <c r="Y21" s="76">
        <f t="shared" si="3"/>
        <v>0</v>
      </c>
      <c r="Z21" s="40">
        <f t="shared" si="4"/>
        <v>0</v>
      </c>
      <c r="AA21" s="40" t="str">
        <f t="shared" si="5"/>
        <v/>
      </c>
      <c r="AB21" s="40" t="str">
        <f t="shared" si="12"/>
        <v/>
      </c>
      <c r="AC21" s="75" t="str">
        <f t="shared" si="13"/>
        <v/>
      </c>
      <c r="AD21" s="76" t="str">
        <f t="shared" si="6"/>
        <v/>
      </c>
      <c r="AE21" s="76" t="str">
        <f t="shared" si="7"/>
        <v/>
      </c>
      <c r="AF21" s="40" t="str">
        <f t="shared" si="8"/>
        <v/>
      </c>
      <c r="AG21" s="50"/>
    </row>
    <row r="22" spans="1:36" s="1" customFormat="1" x14ac:dyDescent="0.2">
      <c r="A22" s="23" t="s">
        <v>28</v>
      </c>
      <c r="B22" s="24" t="s">
        <v>18</v>
      </c>
      <c r="C22" s="57" t="s">
        <v>31</v>
      </c>
      <c r="D22" s="25" t="s">
        <v>30</v>
      </c>
      <c r="E22" s="57" t="s">
        <v>101</v>
      </c>
      <c r="F22" s="236" t="s">
        <v>37</v>
      </c>
      <c r="G22" s="215"/>
      <c r="H22" s="215"/>
      <c r="I22" s="217"/>
      <c r="J22" s="217"/>
      <c r="K22" s="222"/>
      <c r="L22" s="222"/>
      <c r="M22" s="222"/>
      <c r="N22" s="386"/>
      <c r="O22" s="224">
        <f t="shared" si="15"/>
        <v>0</v>
      </c>
      <c r="P22" s="222">
        <f t="shared" si="14"/>
        <v>0</v>
      </c>
      <c r="Q22" s="222">
        <f t="shared" si="9"/>
        <v>0</v>
      </c>
      <c r="R22" s="223">
        <v>0.15</v>
      </c>
      <c r="S22" s="222">
        <f t="shared" si="0"/>
        <v>0</v>
      </c>
      <c r="T22" s="258">
        <v>3.7499999999999999E-2</v>
      </c>
      <c r="U22" s="40">
        <f t="shared" si="1"/>
        <v>0</v>
      </c>
      <c r="V22" s="40">
        <f t="shared" si="10"/>
        <v>0</v>
      </c>
      <c r="W22" s="75">
        <f t="shared" si="11"/>
        <v>0</v>
      </c>
      <c r="X22" s="76">
        <f t="shared" si="2"/>
        <v>0</v>
      </c>
      <c r="Y22" s="76">
        <f t="shared" si="3"/>
        <v>0</v>
      </c>
      <c r="Z22" s="40">
        <f t="shared" si="4"/>
        <v>0</v>
      </c>
      <c r="AA22" s="40" t="str">
        <f t="shared" si="5"/>
        <v/>
      </c>
      <c r="AB22" s="40" t="str">
        <f t="shared" si="12"/>
        <v/>
      </c>
      <c r="AC22" s="75" t="str">
        <f t="shared" si="13"/>
        <v/>
      </c>
      <c r="AD22" s="76" t="str">
        <f t="shared" si="6"/>
        <v/>
      </c>
      <c r="AE22" s="76" t="str">
        <f t="shared" si="7"/>
        <v/>
      </c>
      <c r="AF22" s="40" t="str">
        <f t="shared" si="8"/>
        <v/>
      </c>
      <c r="AG22" s="50"/>
    </row>
    <row r="23" spans="1:36" s="1" customFormat="1" x14ac:dyDescent="0.2">
      <c r="A23" s="23" t="s">
        <v>28</v>
      </c>
      <c r="B23" s="24" t="s">
        <v>20</v>
      </c>
      <c r="C23" s="57" t="s">
        <v>31</v>
      </c>
      <c r="D23" s="25" t="s">
        <v>30</v>
      </c>
      <c r="E23" s="57" t="s">
        <v>101</v>
      </c>
      <c r="F23" s="236" t="s">
        <v>37</v>
      </c>
      <c r="G23" s="215"/>
      <c r="H23" s="215"/>
      <c r="I23" s="217"/>
      <c r="J23" s="217"/>
      <c r="K23" s="222"/>
      <c r="L23" s="222"/>
      <c r="M23" s="222"/>
      <c r="N23" s="386"/>
      <c r="O23" s="224">
        <f t="shared" si="15"/>
        <v>0</v>
      </c>
      <c r="P23" s="222">
        <f t="shared" si="14"/>
        <v>0</v>
      </c>
      <c r="Q23" s="222">
        <f t="shared" si="9"/>
        <v>0</v>
      </c>
      <c r="R23" s="223">
        <v>0.15</v>
      </c>
      <c r="S23" s="222">
        <f t="shared" si="0"/>
        <v>0</v>
      </c>
      <c r="T23" s="258">
        <v>3.7499999999999999E-2</v>
      </c>
      <c r="U23" s="40">
        <f t="shared" si="1"/>
        <v>0</v>
      </c>
      <c r="V23" s="40">
        <f t="shared" si="10"/>
        <v>0</v>
      </c>
      <c r="W23" s="75">
        <f t="shared" si="11"/>
        <v>0</v>
      </c>
      <c r="X23" s="76">
        <f t="shared" si="2"/>
        <v>0</v>
      </c>
      <c r="Y23" s="76">
        <f t="shared" si="3"/>
        <v>0</v>
      </c>
      <c r="Z23" s="40">
        <f t="shared" si="4"/>
        <v>0</v>
      </c>
      <c r="AA23" s="40" t="str">
        <f t="shared" si="5"/>
        <v/>
      </c>
      <c r="AB23" s="40" t="str">
        <f t="shared" si="12"/>
        <v/>
      </c>
      <c r="AC23" s="75" t="str">
        <f t="shared" si="13"/>
        <v/>
      </c>
      <c r="AD23" s="76" t="str">
        <f t="shared" si="6"/>
        <v/>
      </c>
      <c r="AE23" s="76" t="str">
        <f t="shared" si="7"/>
        <v/>
      </c>
      <c r="AF23" s="40" t="str">
        <f t="shared" si="8"/>
        <v/>
      </c>
      <c r="AG23" s="50"/>
    </row>
    <row r="24" spans="1:36" s="1" customFormat="1" x14ac:dyDescent="0.2">
      <c r="A24" s="23" t="s">
        <v>28</v>
      </c>
      <c r="B24" s="24" t="s">
        <v>372</v>
      </c>
      <c r="C24" s="57" t="s">
        <v>31</v>
      </c>
      <c r="D24" s="25" t="s">
        <v>21</v>
      </c>
      <c r="E24" s="57" t="s">
        <v>101</v>
      </c>
      <c r="F24" s="236" t="s">
        <v>56</v>
      </c>
      <c r="G24" s="215"/>
      <c r="H24" s="215"/>
      <c r="I24" s="217"/>
      <c r="J24" s="217"/>
      <c r="K24" s="222"/>
      <c r="L24" s="222"/>
      <c r="M24" s="222"/>
      <c r="N24" s="386"/>
      <c r="O24" s="224">
        <f t="shared" si="15"/>
        <v>0</v>
      </c>
      <c r="P24" s="222">
        <f t="shared" si="14"/>
        <v>0</v>
      </c>
      <c r="Q24" s="222">
        <f t="shared" si="9"/>
        <v>0</v>
      </c>
      <c r="R24" s="223">
        <v>0.15</v>
      </c>
      <c r="S24" s="222">
        <f t="shared" si="0"/>
        <v>0</v>
      </c>
      <c r="T24" s="258">
        <v>3.7499999999999999E-2</v>
      </c>
      <c r="U24" s="40" t="str">
        <f t="shared" si="1"/>
        <v/>
      </c>
      <c r="V24" s="40" t="str">
        <f t="shared" si="10"/>
        <v/>
      </c>
      <c r="W24" s="75" t="str">
        <f t="shared" si="11"/>
        <v/>
      </c>
      <c r="X24" s="76" t="str">
        <f t="shared" si="2"/>
        <v/>
      </c>
      <c r="Y24" s="76" t="str">
        <f t="shared" si="3"/>
        <v/>
      </c>
      <c r="Z24" s="40" t="str">
        <f t="shared" si="4"/>
        <v/>
      </c>
      <c r="AA24" s="40">
        <f t="shared" si="5"/>
        <v>0</v>
      </c>
      <c r="AB24" s="40">
        <f t="shared" si="12"/>
        <v>0</v>
      </c>
      <c r="AC24" s="75">
        <f t="shared" si="13"/>
        <v>0</v>
      </c>
      <c r="AD24" s="76">
        <f t="shared" si="6"/>
        <v>0</v>
      </c>
      <c r="AE24" s="76">
        <f t="shared" si="7"/>
        <v>0</v>
      </c>
      <c r="AF24" s="40">
        <f t="shared" si="8"/>
        <v>0</v>
      </c>
      <c r="AG24" s="50"/>
    </row>
    <row r="25" spans="1:36" s="1" customFormat="1" x14ac:dyDescent="0.2">
      <c r="A25" s="23" t="s">
        <v>28</v>
      </c>
      <c r="B25" s="24" t="s">
        <v>9</v>
      </c>
      <c r="C25" s="57" t="s">
        <v>31</v>
      </c>
      <c r="D25" s="25" t="s">
        <v>30</v>
      </c>
      <c r="E25" s="57" t="s">
        <v>101</v>
      </c>
      <c r="F25" s="236" t="s">
        <v>37</v>
      </c>
      <c r="G25" s="215"/>
      <c r="H25" s="215"/>
      <c r="I25" s="217"/>
      <c r="J25" s="217"/>
      <c r="K25" s="222"/>
      <c r="L25" s="222"/>
      <c r="M25" s="222"/>
      <c r="N25" s="386"/>
      <c r="O25" s="224">
        <f t="shared" si="15"/>
        <v>0</v>
      </c>
      <c r="P25" s="222">
        <f t="shared" si="14"/>
        <v>0</v>
      </c>
      <c r="Q25" s="222">
        <f t="shared" si="9"/>
        <v>0</v>
      </c>
      <c r="R25" s="223">
        <v>0.15</v>
      </c>
      <c r="S25" s="222">
        <f t="shared" si="0"/>
        <v>0</v>
      </c>
      <c r="T25" s="258">
        <v>3.7499999999999999E-2</v>
      </c>
      <c r="U25" s="40">
        <f t="shared" si="1"/>
        <v>0</v>
      </c>
      <c r="V25" s="40">
        <f t="shared" si="10"/>
        <v>0</v>
      </c>
      <c r="W25" s="75">
        <f t="shared" si="11"/>
        <v>0</v>
      </c>
      <c r="X25" s="76">
        <f t="shared" si="2"/>
        <v>0</v>
      </c>
      <c r="Y25" s="76">
        <f t="shared" si="3"/>
        <v>0</v>
      </c>
      <c r="Z25" s="40">
        <f t="shared" si="4"/>
        <v>0</v>
      </c>
      <c r="AA25" s="40" t="str">
        <f t="shared" si="5"/>
        <v/>
      </c>
      <c r="AB25" s="40" t="str">
        <f t="shared" si="12"/>
        <v/>
      </c>
      <c r="AC25" s="75" t="str">
        <f t="shared" si="13"/>
        <v/>
      </c>
      <c r="AD25" s="76" t="str">
        <f t="shared" si="6"/>
        <v/>
      </c>
      <c r="AE25" s="76" t="str">
        <f t="shared" si="7"/>
        <v/>
      </c>
      <c r="AF25" s="40" t="str">
        <f t="shared" si="8"/>
        <v/>
      </c>
      <c r="AG25" s="50"/>
    </row>
    <row r="26" spans="1:36" s="1" customFormat="1" x14ac:dyDescent="0.2">
      <c r="A26" s="23" t="s">
        <v>28</v>
      </c>
      <c r="B26" s="24" t="s">
        <v>165</v>
      </c>
      <c r="C26" s="57" t="s">
        <v>31</v>
      </c>
      <c r="D26" s="25" t="s">
        <v>30</v>
      </c>
      <c r="E26" s="57" t="s">
        <v>101</v>
      </c>
      <c r="F26" s="236" t="s">
        <v>37</v>
      </c>
      <c r="G26" s="215"/>
      <c r="H26" s="217"/>
      <c r="I26" s="217"/>
      <c r="J26" s="217"/>
      <c r="K26" s="222"/>
      <c r="L26" s="222"/>
      <c r="M26" s="222"/>
      <c r="N26" s="386"/>
      <c r="O26" s="224">
        <f>ROUND(G26*I26,2)+ROUND(H26*J26,2)-K26-L26-M26-N26</f>
        <v>0</v>
      </c>
      <c r="P26" s="222">
        <f>ROUND(18.75%*O26,2)</f>
        <v>0</v>
      </c>
      <c r="Q26" s="222">
        <f>ROUND($O26*R26,2)</f>
        <v>0</v>
      </c>
      <c r="R26" s="223">
        <v>0.15</v>
      </c>
      <c r="S26" s="222">
        <f>ROUND($O26*T26,2)</f>
        <v>0</v>
      </c>
      <c r="T26" s="258">
        <v>3.7499999999999999E-2</v>
      </c>
      <c r="U26" s="40">
        <f>IF($F26&amp;"/Día"=W$9,SUM($G26:$H26),"")</f>
        <v>0</v>
      </c>
      <c r="V26" s="40">
        <f t="shared" si="10"/>
        <v>0</v>
      </c>
      <c r="W26" s="75">
        <f>IF($F26&amp;"/Día"=W$9,ROUND(U26/$W$1,1),"")</f>
        <v>0</v>
      </c>
      <c r="X26" s="76">
        <f>IF(U26=0,0,IF($F26&amp;"/Día"=W$9,ROUND(V26/U26,4),""))</f>
        <v>0</v>
      </c>
      <c r="Y26" s="76">
        <f>IF(U26=0,0,IF($F26&amp;"/Día"=W$9,ROUND(Z26/U26,4),""))</f>
        <v>0</v>
      </c>
      <c r="Z26" s="40">
        <f>IF(U26&lt;&gt;"",$P26,"")</f>
        <v>0</v>
      </c>
      <c r="AA26" s="40" t="str">
        <f>IF($F26&amp;"/Día"=AC$9,SUM($G26:$H26),"")</f>
        <v/>
      </c>
      <c r="AB26" s="40" t="str">
        <f t="shared" si="12"/>
        <v/>
      </c>
      <c r="AC26" s="75" t="str">
        <f>IF($F26&amp;"/Día"=AC$9,ROUND(AA26/$W$1,1),"")</f>
        <v/>
      </c>
      <c r="AD26" s="76" t="str">
        <f>IF(AA26=0,0,IF($F26&amp;"/Día"=AC$9,ROUND(AB26/AA26,4),""))</f>
        <v/>
      </c>
      <c r="AE26" s="76" t="str">
        <f>IF(AA26=0,0,IF($F26&amp;"/Día"=AC$9,ROUND(AF26/AA26,4),""))</f>
        <v/>
      </c>
      <c r="AF26" s="40" t="str">
        <f>IF(AA26&lt;&gt;"",$P26,"")</f>
        <v/>
      </c>
      <c r="AG26" s="50"/>
    </row>
    <row r="27" spans="1:36" s="1" customFormat="1" x14ac:dyDescent="0.2">
      <c r="A27" s="23" t="s">
        <v>28</v>
      </c>
      <c r="B27" s="24" t="s">
        <v>157</v>
      </c>
      <c r="C27" s="57" t="s">
        <v>31</v>
      </c>
      <c r="D27" s="25" t="s">
        <v>30</v>
      </c>
      <c r="E27" s="57" t="s">
        <v>101</v>
      </c>
      <c r="F27" s="236" t="s">
        <v>56</v>
      </c>
      <c r="G27" s="386"/>
      <c r="H27" s="1188"/>
      <c r="I27" s="386"/>
      <c r="J27" s="301"/>
      <c r="K27" s="222"/>
      <c r="L27" s="222"/>
      <c r="M27" s="222"/>
      <c r="N27" s="224"/>
      <c r="O27" s="224" t="e">
        <f>#REF!</f>
        <v>#REF!</v>
      </c>
      <c r="P27" s="224" t="e">
        <f>#REF!</f>
        <v>#REF!</v>
      </c>
      <c r="Q27" s="224" t="e">
        <f>#REF!</f>
        <v>#REF!</v>
      </c>
      <c r="R27" s="223">
        <v>0.15</v>
      </c>
      <c r="S27" s="224" t="e">
        <f>#REF!</f>
        <v>#REF!</v>
      </c>
      <c r="T27" s="258">
        <v>3.7499999999999999E-2</v>
      </c>
      <c r="U27" s="40" t="str">
        <f t="shared" si="1"/>
        <v/>
      </c>
      <c r="V27" s="40" t="str">
        <f t="shared" si="10"/>
        <v/>
      </c>
      <c r="W27" s="75" t="str">
        <f t="shared" si="11"/>
        <v/>
      </c>
      <c r="X27" s="76" t="str">
        <f t="shared" si="2"/>
        <v/>
      </c>
      <c r="Y27" s="76" t="str">
        <f t="shared" si="3"/>
        <v/>
      </c>
      <c r="Z27" s="40" t="str">
        <f t="shared" si="4"/>
        <v/>
      </c>
      <c r="AA27" s="40">
        <f t="shared" si="5"/>
        <v>0</v>
      </c>
      <c r="AB27" s="40" t="e">
        <f t="shared" si="12"/>
        <v>#REF!</v>
      </c>
      <c r="AC27" s="75">
        <f t="shared" si="13"/>
        <v>0</v>
      </c>
      <c r="AD27" s="76">
        <f t="shared" si="6"/>
        <v>0</v>
      </c>
      <c r="AE27" s="76">
        <f t="shared" si="7"/>
        <v>0</v>
      </c>
      <c r="AF27" s="40" t="e">
        <f t="shared" si="8"/>
        <v>#REF!</v>
      </c>
      <c r="AG27" s="50"/>
      <c r="AJ27" s="65"/>
    </row>
    <row r="28" spans="1:36" s="1" customFormat="1" x14ac:dyDescent="0.2">
      <c r="A28" s="23" t="s">
        <v>28</v>
      </c>
      <c r="B28" s="24" t="s">
        <v>170</v>
      </c>
      <c r="C28" s="57" t="s">
        <v>31</v>
      </c>
      <c r="D28" s="25" t="s">
        <v>30</v>
      </c>
      <c r="E28" s="57" t="s">
        <v>101</v>
      </c>
      <c r="F28" s="236" t="s">
        <v>37</v>
      </c>
      <c r="G28" s="215"/>
      <c r="H28" s="217"/>
      <c r="I28" s="217"/>
      <c r="J28" s="217"/>
      <c r="K28" s="222"/>
      <c r="L28" s="222"/>
      <c r="M28" s="222"/>
      <c r="N28" s="386"/>
      <c r="O28" s="224">
        <f>ROUND(G28*I28,2)+ROUND(H28*J28,2)-K28-L28-M28-N28</f>
        <v>0</v>
      </c>
      <c r="P28" s="222">
        <f>ROUND(18.75%*O28,2)</f>
        <v>0</v>
      </c>
      <c r="Q28" s="222">
        <f>ROUND($O28*R28,2)</f>
        <v>0</v>
      </c>
      <c r="R28" s="258">
        <v>3.7499999999999999E-2</v>
      </c>
      <c r="S28" s="222">
        <f>ROUND($O28*T28,2)</f>
        <v>0</v>
      </c>
      <c r="T28" s="223">
        <v>0.15</v>
      </c>
      <c r="U28" s="40">
        <f>IF($F28&amp;"/Día"=W$9,SUM($G28:$H28),"")</f>
        <v>0</v>
      </c>
      <c r="V28" s="40">
        <f t="shared" si="10"/>
        <v>0</v>
      </c>
      <c r="W28" s="75">
        <f>IF($F28&amp;"/Día"=W$9,ROUND(U28/$W$1,1),"")</f>
        <v>0</v>
      </c>
      <c r="X28" s="76">
        <f>IF(U28=0,0,IF($F28&amp;"/Día"=W$9,ROUND(V28/U28,4),""))</f>
        <v>0</v>
      </c>
      <c r="Y28" s="76">
        <f>IF(U28=0,0,IF($F28&amp;"/Día"=W$9,ROUND(Z28/U28,4),""))</f>
        <v>0</v>
      </c>
      <c r="Z28" s="40">
        <f>IF(U28&lt;&gt;"",$P28,"")</f>
        <v>0</v>
      </c>
      <c r="AA28" s="40" t="str">
        <f>IF($F28&amp;"/Día"=AC$9,SUM($G28:$H28),"")</f>
        <v/>
      </c>
      <c r="AB28" s="40" t="str">
        <f t="shared" si="12"/>
        <v/>
      </c>
      <c r="AC28" s="75" t="str">
        <f>IF($F28&amp;"/Día"=AC$9,ROUND(AA28/$W$1,1),"")</f>
        <v/>
      </c>
      <c r="AD28" s="76" t="str">
        <f>IF(AA28=0,0,IF($F28&amp;"/Día"=AC$9,ROUND(AB28/AA28,4),""))</f>
        <v/>
      </c>
      <c r="AE28" s="76" t="str">
        <f>IF(AA28=0,0,IF($F28&amp;"/Día"=AC$9,ROUND(AF28/AA28,4),""))</f>
        <v/>
      </c>
      <c r="AF28" s="40" t="str">
        <f>IF(AA28&lt;&gt;"",$P28,"")</f>
        <v/>
      </c>
      <c r="AG28" s="50"/>
    </row>
    <row r="29" spans="1:36" s="1" customFormat="1" x14ac:dyDescent="0.2">
      <c r="A29" s="23" t="s">
        <v>28</v>
      </c>
      <c r="B29" s="24" t="s">
        <v>368</v>
      </c>
      <c r="C29" s="57" t="s">
        <v>31</v>
      </c>
      <c r="D29" s="25" t="s">
        <v>30</v>
      </c>
      <c r="E29" s="57" t="s">
        <v>101</v>
      </c>
      <c r="F29" s="236" t="s">
        <v>37</v>
      </c>
      <c r="G29" s="215"/>
      <c r="H29" s="215"/>
      <c r="I29" s="217"/>
      <c r="J29" s="217"/>
      <c r="K29" s="222"/>
      <c r="L29" s="222"/>
      <c r="M29" s="222"/>
      <c r="N29" s="386"/>
      <c r="O29" s="224">
        <f>ROUND(G29*I29,2)+ROUND(H29*J29,2)-K29-L29-M29-N29</f>
        <v>0</v>
      </c>
      <c r="P29" s="222">
        <f>ROUND(18.75%*O29,2)</f>
        <v>0</v>
      </c>
      <c r="Q29" s="222">
        <f>ROUND($O29*R29,2)</f>
        <v>0</v>
      </c>
      <c r="R29" s="258">
        <v>3.7499999999999999E-2</v>
      </c>
      <c r="S29" s="222">
        <f>ROUND($O29*T29,2)</f>
        <v>0</v>
      </c>
      <c r="T29" s="223">
        <v>0.15</v>
      </c>
      <c r="U29" s="40"/>
      <c r="V29" s="40"/>
      <c r="W29" s="75"/>
      <c r="X29" s="76"/>
      <c r="Y29" s="76"/>
      <c r="Z29" s="40"/>
      <c r="AA29" s="40"/>
      <c r="AB29" s="40"/>
      <c r="AC29" s="75"/>
      <c r="AD29" s="76"/>
      <c r="AE29" s="76"/>
      <c r="AF29" s="40"/>
      <c r="AG29" s="50"/>
      <c r="AI29" s="257"/>
    </row>
    <row r="30" spans="1:36" s="1" customFormat="1" x14ac:dyDescent="0.2">
      <c r="A30" s="26" t="s">
        <v>28</v>
      </c>
      <c r="B30" s="29" t="s">
        <v>302</v>
      </c>
      <c r="C30" s="57" t="s">
        <v>31</v>
      </c>
      <c r="D30" s="25" t="s">
        <v>30</v>
      </c>
      <c r="E30" s="57" t="s">
        <v>101</v>
      </c>
      <c r="F30" s="236" t="s">
        <v>37</v>
      </c>
      <c r="G30" s="386"/>
      <c r="H30" s="386"/>
      <c r="I30" s="217"/>
      <c r="J30" s="217"/>
      <c r="K30" s="215"/>
      <c r="L30" s="222"/>
      <c r="M30" s="222"/>
      <c r="N30" s="386"/>
      <c r="O30" s="224">
        <f>ROUND(G30*I30,2)+ROUND(H30*J30,2)-K30-L30-M30-N30</f>
        <v>0</v>
      </c>
      <c r="P30" s="222">
        <f>ROUND(18.75%*O30,2)</f>
        <v>0</v>
      </c>
      <c r="Q30" s="222">
        <f>ROUND($O30*R30,2)</f>
        <v>0</v>
      </c>
      <c r="R30" s="248">
        <v>0.15</v>
      </c>
      <c r="S30" s="222">
        <f>ROUND($O30*T30,2)</f>
        <v>0</v>
      </c>
      <c r="T30" s="258">
        <v>3.7499999999999999E-2</v>
      </c>
      <c r="U30" s="40"/>
      <c r="V30" s="40"/>
      <c r="W30" s="75"/>
      <c r="X30" s="76"/>
      <c r="Y30" s="76"/>
      <c r="Z30" s="40"/>
      <c r="AA30" s="40"/>
      <c r="AB30" s="40"/>
      <c r="AC30" s="75"/>
      <c r="AD30" s="76"/>
      <c r="AE30" s="76"/>
      <c r="AF30" s="40"/>
      <c r="AG30" s="50"/>
    </row>
    <row r="31" spans="1:36" s="1" customFormat="1" x14ac:dyDescent="0.2">
      <c r="A31" s="26" t="s">
        <v>28</v>
      </c>
      <c r="B31" s="29" t="s">
        <v>303</v>
      </c>
      <c r="C31" s="57" t="s">
        <v>31</v>
      </c>
      <c r="D31" s="25" t="s">
        <v>30</v>
      </c>
      <c r="E31" s="57" t="s">
        <v>101</v>
      </c>
      <c r="F31" s="236" t="s">
        <v>56</v>
      </c>
      <c r="G31" s="386"/>
      <c r="H31" s="386"/>
      <c r="I31" s="386"/>
      <c r="J31" s="386"/>
      <c r="K31" s="215"/>
      <c r="L31" s="222"/>
      <c r="M31" s="222"/>
      <c r="N31" s="386"/>
      <c r="O31" s="224">
        <f>ROUND(G31*I31,2)+ROUND(H31*J31,2)-K31-L31-M31-N31</f>
        <v>0</v>
      </c>
      <c r="P31" s="222">
        <f>ROUND(18.75%*O31,2)</f>
        <v>0</v>
      </c>
      <c r="Q31" s="222">
        <f>ROUND($O31*R31,2)</f>
        <v>0</v>
      </c>
      <c r="R31" s="248">
        <v>0.15</v>
      </c>
      <c r="S31" s="222">
        <f>ROUND($O31*T31,2)</f>
        <v>0</v>
      </c>
      <c r="T31" s="258">
        <v>3.7499999999999999E-2</v>
      </c>
      <c r="U31" s="40"/>
      <c r="V31" s="40"/>
      <c r="W31" s="75"/>
      <c r="X31" s="76"/>
      <c r="Y31" s="76"/>
      <c r="Z31" s="40"/>
      <c r="AA31" s="40"/>
      <c r="AB31" s="40"/>
      <c r="AC31" s="75"/>
      <c r="AD31" s="76"/>
      <c r="AE31" s="76"/>
      <c r="AF31" s="40"/>
      <c r="AG31" s="50"/>
    </row>
    <row r="32" spans="1:36" s="1" customFormat="1" x14ac:dyDescent="0.2">
      <c r="A32" s="26" t="s">
        <v>28</v>
      </c>
      <c r="B32" s="29" t="s">
        <v>304</v>
      </c>
      <c r="C32" s="57" t="s">
        <v>31</v>
      </c>
      <c r="D32" s="25" t="s">
        <v>30</v>
      </c>
      <c r="E32" s="57" t="s">
        <v>101</v>
      </c>
      <c r="F32" s="236" t="s">
        <v>37</v>
      </c>
      <c r="G32" s="386"/>
      <c r="H32" s="386"/>
      <c r="I32" s="217"/>
      <c r="J32" s="217"/>
      <c r="K32" s="215"/>
      <c r="L32" s="222"/>
      <c r="M32" s="222"/>
      <c r="N32" s="386"/>
      <c r="O32" s="224">
        <f>ROUND(G32*I32,2)+ROUND(H32*J32,2)-K32-L32-M32-N32</f>
        <v>0</v>
      </c>
      <c r="P32" s="222">
        <f>ROUND(18.75%*O32,2)</f>
        <v>0</v>
      </c>
      <c r="Q32" s="222">
        <f>ROUND($O32*R32,2)</f>
        <v>0</v>
      </c>
      <c r="R32" s="248">
        <v>0.15</v>
      </c>
      <c r="S32" s="222">
        <f>ROUND($O32*T32,2)</f>
        <v>0</v>
      </c>
      <c r="T32" s="258">
        <v>3.7499999999999999E-2</v>
      </c>
      <c r="U32" s="40"/>
      <c r="V32" s="40"/>
      <c r="W32" s="75"/>
      <c r="X32" s="76"/>
      <c r="Y32" s="76"/>
      <c r="Z32" s="40"/>
      <c r="AA32" s="40"/>
      <c r="AB32" s="40"/>
      <c r="AC32" s="75"/>
      <c r="AD32" s="76"/>
      <c r="AE32" s="76"/>
      <c r="AF32" s="40"/>
      <c r="AG32" s="50"/>
    </row>
    <row r="33" spans="1:35" s="1" customFormat="1" x14ac:dyDescent="0.2">
      <c r="A33" s="26" t="s">
        <v>28</v>
      </c>
      <c r="B33" s="29" t="s">
        <v>52</v>
      </c>
      <c r="C33" s="56"/>
      <c r="D33" s="56"/>
      <c r="E33" s="27"/>
      <c r="F33" s="236"/>
      <c r="G33" s="222"/>
      <c r="H33" s="222"/>
      <c r="I33" s="216"/>
      <c r="J33" s="216"/>
      <c r="K33" s="222"/>
      <c r="L33" s="222"/>
      <c r="M33" s="577"/>
      <c r="N33" s="222"/>
      <c r="O33" s="224"/>
      <c r="P33" s="224"/>
      <c r="Q33" s="224"/>
      <c r="R33" s="224"/>
      <c r="S33" s="224"/>
      <c r="T33" s="223"/>
      <c r="U33" s="40" t="str">
        <f>IF($F33&amp;"/Día"=W$9,SUM($G33:$H33),"")</f>
        <v/>
      </c>
      <c r="V33" s="40" t="str">
        <f t="shared" si="10"/>
        <v/>
      </c>
      <c r="W33" s="75" t="str">
        <f>IF($F33&amp;"/Día"=W$9,ROUND(U33/$W$1,1),"")</f>
        <v/>
      </c>
      <c r="X33" s="76" t="str">
        <f>IF(U33=0,0,IF($F33&amp;"/Día"=W$9,ROUND(V33/U33,4),""))</f>
        <v/>
      </c>
      <c r="Y33" s="76" t="str">
        <f>IF(U33=0,0,IF($F33&amp;"/Día"=W$9,ROUND(Z33/U33,4),""))</f>
        <v/>
      </c>
      <c r="Z33" s="40" t="str">
        <f>IF(U33&lt;&gt;"",$P33,"")</f>
        <v/>
      </c>
      <c r="AA33" s="40" t="str">
        <f>IF($F33&amp;"/Día"=AC$9,SUM($G33:$H33),"")</f>
        <v/>
      </c>
      <c r="AB33" s="40" t="str">
        <f t="shared" si="12"/>
        <v/>
      </c>
      <c r="AC33" s="75" t="str">
        <f>IF($F33&amp;"/Día"=AC$9,ROUND(AA33/$W$1,1),"")</f>
        <v/>
      </c>
      <c r="AD33" s="76" t="str">
        <f>IF(AA33=0,0,IF($F33&amp;"/Día"=AC$9,ROUND(AB33/AA33,4),""))</f>
        <v/>
      </c>
      <c r="AE33" s="76" t="str">
        <f>IF(AA33=0,0,IF($F33&amp;"/Día"=AC$9,ROUND(AF33/AA33,4),""))</f>
        <v/>
      </c>
      <c r="AF33" s="40" t="str">
        <f>IF(AA33&lt;&gt;"",$P33,"")</f>
        <v/>
      </c>
      <c r="AG33" s="50"/>
      <c r="AI33" s="179"/>
    </row>
    <row r="34" spans="1:35" s="1" customFormat="1" x14ac:dyDescent="0.2">
      <c r="A34" s="30"/>
      <c r="B34" s="153" t="s">
        <v>108</v>
      </c>
      <c r="C34" s="31" t="str">
        <f>TEXT(A$9,)&amp;" US$"</f>
        <v>Piura / Tumbes US$</v>
      </c>
      <c r="D34" s="38"/>
      <c r="E34" s="39"/>
      <c r="F34" s="244"/>
      <c r="G34" s="218"/>
      <c r="H34" s="218"/>
      <c r="I34" s="219"/>
      <c r="J34" s="219"/>
      <c r="K34" s="218"/>
      <c r="L34" s="218"/>
      <c r="M34" s="218"/>
      <c r="N34" s="227"/>
      <c r="O34" s="228" t="e">
        <f>SUM(O10:O33)</f>
        <v>#REF!</v>
      </c>
      <c r="P34" s="228" t="e">
        <f>SUM(P10:P33)</f>
        <v>#REF!</v>
      </c>
      <c r="Q34" s="228" t="e">
        <f>SUM(Q10:Q33)</f>
        <v>#REF!</v>
      </c>
      <c r="R34" s="229"/>
      <c r="S34" s="228" t="e">
        <f>SUM(S10:S33)</f>
        <v>#REF!</v>
      </c>
      <c r="T34" s="511">
        <v>0</v>
      </c>
      <c r="U34" s="77">
        <f>SUM(U10:U33)</f>
        <v>0</v>
      </c>
      <c r="V34" s="77">
        <f>SUM(V10:V33)</f>
        <v>0</v>
      </c>
      <c r="W34" s="78">
        <f>SUM(W10:W33)</f>
        <v>0</v>
      </c>
      <c r="X34" s="79" t="e">
        <f>ROUND(V34/U34,4)</f>
        <v>#DIV/0!</v>
      </c>
      <c r="Y34" s="79" t="e">
        <f>ROUND(Z34/U34,4)</f>
        <v>#DIV/0!</v>
      </c>
      <c r="Z34" s="77">
        <f>SUM(Z10:Z33)</f>
        <v>0</v>
      </c>
      <c r="AA34" s="77">
        <f>SUM(AA10:AA33)</f>
        <v>0</v>
      </c>
      <c r="AB34" s="77" t="e">
        <f>SUM(AB10:AB33)</f>
        <v>#REF!</v>
      </c>
      <c r="AC34" s="78">
        <f>SUM(AC10:AC33)</f>
        <v>0</v>
      </c>
      <c r="AD34" s="79" t="e">
        <f>ROUND(AB34/AA34,4)</f>
        <v>#REF!</v>
      </c>
      <c r="AE34" s="79" t="e">
        <f>ROUND(AF34/AA34,4)</f>
        <v>#REF!</v>
      </c>
      <c r="AF34" s="77" t="e">
        <f>SUM(AF10:AF33)</f>
        <v>#REF!</v>
      </c>
      <c r="AG34" s="43" t="e">
        <f>P34-Z34-AF34</f>
        <v>#REF!</v>
      </c>
      <c r="AI34" s="472"/>
    </row>
    <row r="35" spans="1:35" s="1" customFormat="1" x14ac:dyDescent="0.2">
      <c r="A35" s="125"/>
      <c r="B35" s="126"/>
      <c r="C35" s="31" t="str">
        <f>TEXT(A$9,)&amp;" S/."</f>
        <v>Piura / Tumbes S/.</v>
      </c>
      <c r="D35" s="56"/>
      <c r="E35" s="56"/>
      <c r="F35" s="137"/>
      <c r="G35" s="177"/>
      <c r="H35" s="177"/>
      <c r="I35" s="202"/>
      <c r="J35" s="202"/>
      <c r="K35" s="177"/>
      <c r="L35" s="177"/>
      <c r="M35" s="177"/>
      <c r="N35" s="177"/>
      <c r="O35" s="209"/>
      <c r="P35" s="210" t="e">
        <f>ROUND($F$1*P34,2)</f>
        <v>#REF!</v>
      </c>
      <c r="Q35" s="210" t="e">
        <f>ROUND($F$1*Q34,2)</f>
        <v>#REF!</v>
      </c>
      <c r="R35" s="139"/>
      <c r="S35" s="285" t="e">
        <f>ROUND($F$1*S34,2)</f>
        <v>#REF!</v>
      </c>
      <c r="T35" s="148"/>
      <c r="U35" s="140"/>
      <c r="V35" s="140"/>
      <c r="W35" s="141"/>
      <c r="X35" s="142"/>
      <c r="Y35" s="142"/>
      <c r="Z35" s="140"/>
      <c r="AA35" s="140"/>
      <c r="AB35" s="140"/>
      <c r="AC35" s="141"/>
      <c r="AD35" s="142"/>
      <c r="AE35" s="142"/>
      <c r="AF35" s="140"/>
      <c r="AG35" s="140"/>
      <c r="AI35" s="472"/>
    </row>
    <row r="36" spans="1:35" s="1" customFormat="1" x14ac:dyDescent="0.2">
      <c r="A36" s="15" t="s">
        <v>22</v>
      </c>
      <c r="B36" s="16"/>
      <c r="C36" s="58"/>
      <c r="D36" s="58"/>
      <c r="E36" s="17"/>
      <c r="F36" s="34"/>
      <c r="G36" s="220"/>
      <c r="H36" s="220"/>
      <c r="I36" s="221"/>
      <c r="J36" s="221"/>
      <c r="K36" s="220"/>
      <c r="L36" s="220"/>
      <c r="M36" s="220"/>
      <c r="N36" s="220"/>
      <c r="O36" s="231"/>
      <c r="P36" s="220"/>
      <c r="Q36" s="232" t="s">
        <v>49</v>
      </c>
      <c r="R36" s="214"/>
      <c r="S36" s="275"/>
      <c r="T36" s="276"/>
      <c r="U36" s="49"/>
      <c r="V36" s="49"/>
      <c r="W36" s="80"/>
      <c r="X36" s="81"/>
      <c r="Y36" s="81"/>
      <c r="Z36" s="81"/>
      <c r="AA36" s="49"/>
      <c r="AB36" s="49"/>
      <c r="AC36" s="80"/>
      <c r="AD36" s="81"/>
      <c r="AE36" s="81"/>
      <c r="AF36" s="81"/>
      <c r="AG36" s="46"/>
    </row>
    <row r="37" spans="1:35" s="1" customFormat="1"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c r="U37" s="40">
        <f>IF($F37&amp;"/Día"=W$9,SUM($G37:$H37),"")</f>
        <v>0</v>
      </c>
      <c r="V37" s="40">
        <f>IF(U37&lt;&gt;"",$O37,"")</f>
        <v>0</v>
      </c>
      <c r="W37" s="75">
        <f t="shared" si="11"/>
        <v>0</v>
      </c>
      <c r="X37" s="76">
        <f>IF(U37=0,0,IF($F37&amp;"/Día"=W$9,ROUND(V37/U37,4),""))</f>
        <v>0</v>
      </c>
      <c r="Y37" s="76">
        <f>IF(U37=0,0,IF($F37&amp;"/Día"=W$9,ROUND(Z37/U37,4),""))</f>
        <v>0</v>
      </c>
      <c r="Z37" s="40">
        <f>IF(U37&lt;&gt;"",$P37,"")</f>
        <v>0</v>
      </c>
      <c r="AA37" s="40" t="str">
        <f>IF($F37&amp;"/Día"=AC$9,SUM($G37:$H37),"")</f>
        <v/>
      </c>
      <c r="AB37" s="40" t="str">
        <f>IF(AA37&lt;&gt;"",$O37,"")</f>
        <v/>
      </c>
      <c r="AC37" s="75" t="str">
        <f t="shared" si="13"/>
        <v/>
      </c>
      <c r="AD37" s="76" t="str">
        <f>IF(AA37=0,0,IF($F37&amp;"/Día"=AC$9,ROUND(AB37/AA37,4),""))</f>
        <v/>
      </c>
      <c r="AE37" s="76" t="str">
        <f>IF(AA37=0,0,IF($F37&amp;"/Día"=AC$9,ROUND(AF37/AA37,4),""))</f>
        <v/>
      </c>
      <c r="AF37" s="40" t="str">
        <f>IF(AA37&lt;&gt;"",$P37,"")</f>
        <v/>
      </c>
      <c r="AG37" s="50"/>
    </row>
    <row r="38" spans="1:35" s="1" customFormat="1" x14ac:dyDescent="0.2">
      <c r="A38" s="26" t="s">
        <v>28</v>
      </c>
      <c r="B38" s="29" t="s">
        <v>53</v>
      </c>
      <c r="C38" s="56"/>
      <c r="D38" s="56"/>
      <c r="E38" s="5"/>
      <c r="F38" s="33"/>
      <c r="G38" s="222"/>
      <c r="H38" s="222"/>
      <c r="I38" s="216"/>
      <c r="J38" s="216"/>
      <c r="K38" s="222"/>
      <c r="L38" s="222"/>
      <c r="M38" s="222"/>
      <c r="N38" s="222"/>
      <c r="O38" s="224"/>
      <c r="P38" s="224"/>
      <c r="Q38" s="224"/>
      <c r="R38" s="225"/>
      <c r="S38" s="224"/>
      <c r="T38" s="225"/>
      <c r="U38" s="40" t="str">
        <f>IF($F38&amp;"/Día"=W$9,SUM($G38:$H38),"")</f>
        <v/>
      </c>
      <c r="V38" s="40" t="str">
        <f>IF(U38&lt;&gt;"",$O38,"")</f>
        <v/>
      </c>
      <c r="W38" s="75" t="str">
        <f t="shared" si="11"/>
        <v/>
      </c>
      <c r="X38" s="76" t="str">
        <f>IF(U38=0,0,IF($F38&amp;"/Día"=W$9,ROUND(V38/U38,4),""))</f>
        <v/>
      </c>
      <c r="Y38" s="76" t="str">
        <f>IF(U38=0,0,IF($F38&amp;"/Día"=W$9,ROUND(Z38/U38,4),""))</f>
        <v/>
      </c>
      <c r="Z38" s="40" t="str">
        <f>IF(U38&lt;&gt;"",$P38,"")</f>
        <v/>
      </c>
      <c r="AA38" s="40" t="str">
        <f>IF($F38&amp;"/Día"=AC$9,SUM($G38:$H38),"")</f>
        <v/>
      </c>
      <c r="AB38" s="40" t="str">
        <f>IF(AA38&lt;&gt;"",$O38,"")</f>
        <v/>
      </c>
      <c r="AC38" s="75" t="str">
        <f t="shared" si="13"/>
        <v/>
      </c>
      <c r="AD38" s="76" t="str">
        <f>IF(AA38=0,0,IF($F38&amp;"/Día"=AC$9,ROUND(AB38/AA38,4),""))</f>
        <v/>
      </c>
      <c r="AE38" s="76" t="str">
        <f>IF(AA38=0,0,IF($F38&amp;"/Día"=AC$9,ROUND(AF38/AA38,4),""))</f>
        <v/>
      </c>
      <c r="AF38" s="40" t="str">
        <f>IF(AA38&lt;&gt;"",$P38,"")</f>
        <v/>
      </c>
      <c r="AG38" s="50"/>
      <c r="AI38" s="257"/>
    </row>
    <row r="39" spans="1:35" s="1" customFormat="1"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c r="U39" s="43">
        <f>SUM(U37:U38)</f>
        <v>0</v>
      </c>
      <c r="V39" s="43">
        <f>SUM(V37:V38)</f>
        <v>0</v>
      </c>
      <c r="W39" s="82">
        <f>SUM(W37:W38)</f>
        <v>0</v>
      </c>
      <c r="X39" s="83" t="e">
        <f>ROUND(V39/U39,4)</f>
        <v>#DIV/0!</v>
      </c>
      <c r="Y39" s="83" t="e">
        <f>ROUND(Z39/U39,4)</f>
        <v>#DIV/0!</v>
      </c>
      <c r="Z39" s="43">
        <f>SUM(Z37:Z38)</f>
        <v>0</v>
      </c>
      <c r="AA39" s="43">
        <f>SUM(AA37:AA38)</f>
        <v>0</v>
      </c>
      <c r="AB39" s="43">
        <f>SUM(AB37:AB38)</f>
        <v>0</v>
      </c>
      <c r="AC39" s="82">
        <f>SUM(AC37:AC38)</f>
        <v>0</v>
      </c>
      <c r="AD39" s="83">
        <f>IF(AA39=0,0,ROUND(AB39/AA39,4))</f>
        <v>0</v>
      </c>
      <c r="AE39" s="83">
        <f>IF(AA39=0,0,ROUND(AF39/AA39,4))</f>
        <v>0</v>
      </c>
      <c r="AF39" s="43">
        <f>SUM(AF37:AF38)</f>
        <v>0</v>
      </c>
      <c r="AG39" s="77">
        <f>P39-Z39-AF39</f>
        <v>0</v>
      </c>
    </row>
    <row r="40" spans="1:35" s="1" customFormat="1"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210">
        <f>ROUND($F$1*Q39,2)</f>
        <v>0</v>
      </c>
      <c r="R40" s="139"/>
      <c r="S40" s="210">
        <f>ROUND($F$1*S39,2)</f>
        <v>0</v>
      </c>
      <c r="T40" s="139"/>
      <c r="U40" s="140"/>
      <c r="V40" s="140"/>
      <c r="W40" s="141"/>
      <c r="X40" s="142"/>
      <c r="Y40" s="142"/>
      <c r="Z40" s="140"/>
      <c r="AA40" s="140"/>
      <c r="AB40" s="140"/>
      <c r="AC40" s="141"/>
      <c r="AD40" s="142"/>
      <c r="AE40" s="142"/>
      <c r="AF40" s="140"/>
      <c r="AG40" s="140"/>
      <c r="AI40" s="257"/>
    </row>
    <row r="41" spans="1:35" s="1" customFormat="1"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c r="U41" s="46"/>
      <c r="V41" s="46"/>
      <c r="W41" s="73"/>
      <c r="X41" s="74"/>
      <c r="Y41" s="74"/>
      <c r="Z41" s="74"/>
      <c r="AA41" s="46"/>
      <c r="AB41" s="46"/>
      <c r="AC41" s="73"/>
      <c r="AD41" s="74"/>
      <c r="AE41" s="74"/>
      <c r="AF41" s="74"/>
      <c r="AG41" s="46"/>
      <c r="AI41" s="257"/>
    </row>
    <row r="42" spans="1:35" s="1" customFormat="1"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c r="U42" s="40">
        <f t="shared" ref="U42:U47" si="16">IF($F42&amp;"/Día"=W$9,SUM($G42:$H42),"")</f>
        <v>0</v>
      </c>
      <c r="V42" s="40">
        <f t="shared" ref="V42:V47" si="17">IF(U42&lt;&gt;"",$O42,"")</f>
        <v>0</v>
      </c>
      <c r="W42" s="75">
        <f t="shared" ref="W42:W47" si="18">IF($F42&amp;"/Día"=W$9,ROUND(U42/$W$1,1),"")</f>
        <v>0</v>
      </c>
      <c r="X42" s="76">
        <f t="shared" ref="X42:X47" si="19">IF(U42=0,0,IF($F42&amp;"/Día"=W$9,ROUND(V42/U42,4),""))</f>
        <v>0</v>
      </c>
      <c r="Y42" s="76">
        <f t="shared" ref="Y42:Y47" si="20">IF(U42=0,0,IF($F42&amp;"/Día"=W$9,ROUND(Z42/U42,4),""))</f>
        <v>0</v>
      </c>
      <c r="Z42" s="40">
        <f t="shared" ref="Z42:Z47" si="21">IF(U42&lt;&gt;"",$P42,"")</f>
        <v>0</v>
      </c>
      <c r="AA42" s="40" t="str">
        <f t="shared" ref="AA42:AA47" si="22">IF($F42&amp;"/Día"=AC$9,SUM($G42:$H42),"")</f>
        <v/>
      </c>
      <c r="AB42" s="40" t="str">
        <f t="shared" ref="AB42:AB47" si="23">IF(AA42&lt;&gt;"",$O42,"")</f>
        <v/>
      </c>
      <c r="AC42" s="75" t="str">
        <f t="shared" ref="AC42:AC47" si="24">IF($F42&amp;"/Día"=AC$9,ROUND(AA42/$W$1,1),"")</f>
        <v/>
      </c>
      <c r="AD42" s="76" t="str">
        <f t="shared" ref="AD42:AD47" si="25">IF(AA42=0,0,IF($F42&amp;"/Día"=AC$9,ROUND(AB42/AA42,4),""))</f>
        <v/>
      </c>
      <c r="AE42" s="76" t="str">
        <f t="shared" ref="AE42:AE47" si="26">IF(AA42=0,0,IF($F42&amp;"/Día"=AC$9,ROUND(AF42/AA42,4),""))</f>
        <v/>
      </c>
      <c r="AF42" s="40" t="str">
        <f t="shared" ref="AF42:AF47" si="27">IF(AA42&lt;&gt;"",$P42,"")</f>
        <v/>
      </c>
      <c r="AG42" s="50"/>
    </row>
    <row r="43" spans="1:35" s="1" customFormat="1" x14ac:dyDescent="0.2">
      <c r="A43" s="23" t="s">
        <v>28</v>
      </c>
      <c r="B43" s="24" t="s">
        <v>12</v>
      </c>
      <c r="C43" s="57" t="s">
        <v>31</v>
      </c>
      <c r="D43" s="57" t="s">
        <v>30</v>
      </c>
      <c r="E43" s="57" t="s">
        <v>101</v>
      </c>
      <c r="F43" s="238" t="s">
        <v>56</v>
      </c>
      <c r="G43" s="215"/>
      <c r="H43" s="215"/>
      <c r="I43" s="217"/>
      <c r="J43" s="217"/>
      <c r="K43" s="222"/>
      <c r="L43" s="222"/>
      <c r="M43" s="222"/>
      <c r="N43" s="224"/>
      <c r="O43" s="224">
        <f>ROUND(G43*I43,2)+ROUND(H43*J43,2)-K43-L43-M43-N43</f>
        <v>0</v>
      </c>
      <c r="P43" s="222">
        <f>ROUND(18.75%*O43,2)</f>
        <v>0</v>
      </c>
      <c r="Q43" s="222">
        <f>ROUND($O43*R43,2)</f>
        <v>0</v>
      </c>
      <c r="R43" s="258">
        <v>3.7499999999999999E-2</v>
      </c>
      <c r="S43" s="222">
        <f>ROUND($O43*T43,2)</f>
        <v>0</v>
      </c>
      <c r="T43" s="223">
        <v>0.15</v>
      </c>
      <c r="U43" s="40" t="str">
        <f t="shared" si="16"/>
        <v/>
      </c>
      <c r="V43" s="40" t="str">
        <f t="shared" si="17"/>
        <v/>
      </c>
      <c r="W43" s="75" t="str">
        <f t="shared" si="18"/>
        <v/>
      </c>
      <c r="X43" s="76" t="str">
        <f t="shared" si="19"/>
        <v/>
      </c>
      <c r="Y43" s="76" t="str">
        <f t="shared" si="20"/>
        <v/>
      </c>
      <c r="Z43" s="40" t="str">
        <f t="shared" si="21"/>
        <v/>
      </c>
      <c r="AA43" s="40">
        <f t="shared" si="22"/>
        <v>0</v>
      </c>
      <c r="AB43" s="40">
        <f t="shared" si="23"/>
        <v>0</v>
      </c>
      <c r="AC43" s="75">
        <f t="shared" si="24"/>
        <v>0</v>
      </c>
      <c r="AD43" s="76">
        <f t="shared" si="25"/>
        <v>0</v>
      </c>
      <c r="AE43" s="76">
        <f t="shared" si="26"/>
        <v>0</v>
      </c>
      <c r="AF43" s="40">
        <f t="shared" si="27"/>
        <v>0</v>
      </c>
      <c r="AG43" s="50"/>
      <c r="AI43" s="257"/>
    </row>
    <row r="44" spans="1:35" s="1" customFormat="1" x14ac:dyDescent="0.2">
      <c r="A44" s="23" t="s">
        <v>28</v>
      </c>
      <c r="B44" s="24" t="s">
        <v>75</v>
      </c>
      <c r="C44" s="57" t="s">
        <v>31</v>
      </c>
      <c r="D44" s="57" t="s">
        <v>30</v>
      </c>
      <c r="E44" s="57" t="s">
        <v>103</v>
      </c>
      <c r="F44" s="238" t="s">
        <v>37</v>
      </c>
      <c r="G44" s="215"/>
      <c r="H44" s="215"/>
      <c r="I44" s="217"/>
      <c r="J44" s="217"/>
      <c r="K44" s="222"/>
      <c r="L44" s="222"/>
      <c r="M44" s="222"/>
      <c r="N44" s="386"/>
      <c r="O44" s="224">
        <f>ROUND(G44*I44,2)+ROUND(H44*J44,2)-K44-L44-M44-N44</f>
        <v>0</v>
      </c>
      <c r="P44" s="222">
        <f>ROUND(18.75%*O44,2)</f>
        <v>0</v>
      </c>
      <c r="Q44" s="222">
        <f>ROUND($O44*R44,2)</f>
        <v>0</v>
      </c>
      <c r="R44" s="258">
        <v>3.7499999999999999E-2</v>
      </c>
      <c r="S44" s="222">
        <f>ROUND($O44*T44,2)</f>
        <v>0</v>
      </c>
      <c r="T44" s="223">
        <v>0.15</v>
      </c>
      <c r="U44" s="40">
        <f t="shared" si="16"/>
        <v>0</v>
      </c>
      <c r="V44" s="40">
        <f t="shared" si="17"/>
        <v>0</v>
      </c>
      <c r="W44" s="75">
        <f t="shared" si="18"/>
        <v>0</v>
      </c>
      <c r="X44" s="76">
        <f t="shared" si="19"/>
        <v>0</v>
      </c>
      <c r="Y44" s="76">
        <f t="shared" si="20"/>
        <v>0</v>
      </c>
      <c r="Z44" s="40">
        <f t="shared" si="21"/>
        <v>0</v>
      </c>
      <c r="AA44" s="40" t="str">
        <f t="shared" si="22"/>
        <v/>
      </c>
      <c r="AB44" s="40" t="str">
        <f t="shared" si="23"/>
        <v/>
      </c>
      <c r="AC44" s="75" t="str">
        <f t="shared" si="24"/>
        <v/>
      </c>
      <c r="AD44" s="76" t="str">
        <f t="shared" si="25"/>
        <v/>
      </c>
      <c r="AE44" s="76" t="str">
        <f t="shared" si="26"/>
        <v/>
      </c>
      <c r="AF44" s="40" t="str">
        <f t="shared" si="27"/>
        <v/>
      </c>
      <c r="AG44" s="50"/>
    </row>
    <row r="45" spans="1:35" s="1" customFormat="1" x14ac:dyDescent="0.2">
      <c r="A45" s="23" t="s">
        <v>28</v>
      </c>
      <c r="B45" s="578">
        <v>95</v>
      </c>
      <c r="C45" s="57" t="s">
        <v>31</v>
      </c>
      <c r="D45" s="57" t="s">
        <v>30</v>
      </c>
      <c r="E45" s="57" t="s">
        <v>101</v>
      </c>
      <c r="F45" s="238" t="s">
        <v>37</v>
      </c>
      <c r="G45" s="215"/>
      <c r="H45" s="215"/>
      <c r="I45" s="217"/>
      <c r="J45" s="217"/>
      <c r="K45" s="215"/>
      <c r="L45" s="222"/>
      <c r="M45" s="222"/>
      <c r="N45" s="386"/>
      <c r="O45" s="224">
        <f>ROUND(G45*I45,2)+ROUND(H45*J45,2)-K45-L45-M45-N45</f>
        <v>0</v>
      </c>
      <c r="P45" s="222">
        <f>ROUND(18.75%*O45,2)</f>
        <v>0</v>
      </c>
      <c r="Q45" s="222">
        <f>P45-S45</f>
        <v>0</v>
      </c>
      <c r="R45" s="223">
        <v>0.15</v>
      </c>
      <c r="S45" s="222">
        <f>ROUND($O45*T45,2)</f>
        <v>0</v>
      </c>
      <c r="T45" s="258">
        <v>3.7499999999999999E-2</v>
      </c>
      <c r="U45" s="40">
        <f>IF($F45&amp;"/Día"=W$9,SUM($G45:$H45),"")</f>
        <v>0</v>
      </c>
      <c r="V45" s="40">
        <f>IF(U45&lt;&gt;"",$O45,"")</f>
        <v>0</v>
      </c>
      <c r="W45" s="75">
        <f>IF($F45&amp;"/Día"=W$9,ROUND(U45/$W$1,1),"")</f>
        <v>0</v>
      </c>
      <c r="X45" s="76">
        <f>IF(U45=0,0,IF($F45&amp;"/Día"=W$9,ROUND(V45/U45,4),""))</f>
        <v>0</v>
      </c>
      <c r="Y45" s="76">
        <f>IF(U45=0,0,IF($F45&amp;"/Día"=W$9,ROUND(Z45/U45,4),""))</f>
        <v>0</v>
      </c>
      <c r="Z45" s="40">
        <f>IF(U45&lt;&gt;"",$P45,"")</f>
        <v>0</v>
      </c>
      <c r="AA45" s="40" t="str">
        <f>IF($F45&amp;"/Día"=AC$9,SUM($G45:$H45),"")</f>
        <v/>
      </c>
      <c r="AB45" s="40" t="str">
        <f>IF(AA45&lt;&gt;"",$O45,"")</f>
        <v/>
      </c>
      <c r="AC45" s="75" t="str">
        <f>IF($F45&amp;"/Día"=AC$9,ROUND(AA45/$W$1,1),"")</f>
        <v/>
      </c>
      <c r="AD45" s="76" t="str">
        <f>IF(AA45=0,0,IF($F45&amp;"/Día"=AC$9,ROUND(AB45/AA45,4),""))</f>
        <v/>
      </c>
      <c r="AE45" s="76" t="str">
        <f>IF(AA45=0,0,IF($F45&amp;"/Día"=AC$9,ROUND(AF45/AA45,4),""))</f>
        <v/>
      </c>
      <c r="AF45" s="40" t="str">
        <f>IF(AA45&lt;&gt;"",$P45,"")</f>
        <v/>
      </c>
      <c r="AG45" s="50"/>
    </row>
    <row r="46" spans="1:35" x14ac:dyDescent="0.2">
      <c r="A46" s="376" t="s">
        <v>28</v>
      </c>
      <c r="B46" s="272">
        <v>67</v>
      </c>
      <c r="C46" s="378" t="s">
        <v>31</v>
      </c>
      <c r="D46" s="378" t="s">
        <v>30</v>
      </c>
      <c r="E46" s="378" t="s">
        <v>101</v>
      </c>
      <c r="F46" s="781" t="s">
        <v>37</v>
      </c>
      <c r="G46" s="587"/>
      <c r="H46" s="587"/>
      <c r="I46" s="588"/>
      <c r="J46" s="588"/>
      <c r="K46" s="587"/>
      <c r="L46" s="253"/>
      <c r="M46" s="733"/>
      <c r="N46" s="253"/>
      <c r="O46" s="589">
        <f>ROUND(G46*I46,2)+ROUND(H46*J46,2)-K46-L46-M46-N46</f>
        <v>0</v>
      </c>
      <c r="P46" s="253">
        <f>ROUND(18.75%*O46,2)</f>
        <v>0</v>
      </c>
      <c r="Q46" s="253">
        <f>P46-S46</f>
        <v>0</v>
      </c>
      <c r="R46" s="590">
        <v>0.15</v>
      </c>
      <c r="S46" s="253">
        <f>ROUND($O46*T46,2)</f>
        <v>0</v>
      </c>
      <c r="T46" s="591">
        <v>3.7499999999999999E-2</v>
      </c>
      <c r="U46" s="592">
        <f>IF($F46&amp;"/Día"=W$9,SUM($G46:$H46),"")</f>
        <v>0</v>
      </c>
      <c r="V46" s="592">
        <f>IF(U46&lt;&gt;"",$O46,"")</f>
        <v>0</v>
      </c>
      <c r="W46" s="593">
        <f>IF($F46&amp;"/Día"=W$9,ROUND(U46/$W$1,1),"")</f>
        <v>0</v>
      </c>
      <c r="X46" s="594">
        <f>IF(U46=0,0,IF($F46&amp;"/Día"=W$9,ROUND(V46/U46,4),""))</f>
        <v>0</v>
      </c>
      <c r="Y46" s="594">
        <f>IF(U46=0,0,IF($F46&amp;"/Día"=W$9,ROUND(Z46/U46,4),""))</f>
        <v>0</v>
      </c>
      <c r="Z46" s="592">
        <f>IF(U46&lt;&gt;"",$P46,"")</f>
        <v>0</v>
      </c>
      <c r="AA46" s="592" t="str">
        <f>IF($F46&amp;"/Día"=AC$9,SUM($G46:$H46),"")</f>
        <v/>
      </c>
      <c r="AB46" s="592" t="str">
        <f>IF(AA46&lt;&gt;"",$O46,"")</f>
        <v/>
      </c>
      <c r="AC46" s="593" t="str">
        <f>IF($F46&amp;"/Día"=AC$9,ROUND(AA46/$W$1,1),"")</f>
        <v/>
      </c>
      <c r="AD46" s="594" t="str">
        <f>IF(AA46=0,0,IF($F46&amp;"/Día"=AC$9,ROUND(AB46/AA46,4),""))</f>
        <v/>
      </c>
      <c r="AE46" s="594" t="str">
        <f>IF(AA46=0,0,IF($F46&amp;"/Día"=AC$9,ROUND(AF46/AA46,4),""))</f>
        <v/>
      </c>
      <c r="AF46" s="592" t="str">
        <f>IF(AA46&lt;&gt;"",$P46,"")</f>
        <v/>
      </c>
      <c r="AG46" s="595"/>
    </row>
    <row r="47" spans="1:35" x14ac:dyDescent="0.2">
      <c r="A47" s="782" t="s">
        <v>28</v>
      </c>
      <c r="B47" s="29" t="s">
        <v>54</v>
      </c>
      <c r="C47" s="731"/>
      <c r="D47" s="732"/>
      <c r="E47" s="732"/>
      <c r="F47" s="781"/>
      <c r="G47" s="253"/>
      <c r="H47" s="253"/>
      <c r="I47" s="728"/>
      <c r="J47" s="728"/>
      <c r="K47" s="253"/>
      <c r="L47" s="253"/>
      <c r="M47" s="253"/>
      <c r="N47" s="253"/>
      <c r="O47" s="253"/>
      <c r="P47" s="253"/>
      <c r="Q47" s="253"/>
      <c r="R47" s="253"/>
      <c r="S47" s="253"/>
      <c r="T47" s="590"/>
      <c r="U47" s="592" t="str">
        <f t="shared" si="16"/>
        <v/>
      </c>
      <c r="V47" s="592" t="str">
        <f t="shared" si="17"/>
        <v/>
      </c>
      <c r="W47" s="593" t="str">
        <f t="shared" si="18"/>
        <v/>
      </c>
      <c r="X47" s="594" t="str">
        <f t="shared" si="19"/>
        <v/>
      </c>
      <c r="Y47" s="594" t="str">
        <f t="shared" si="20"/>
        <v/>
      </c>
      <c r="Z47" s="592" t="str">
        <f t="shared" si="21"/>
        <v/>
      </c>
      <c r="AA47" s="592" t="str">
        <f t="shared" si="22"/>
        <v/>
      </c>
      <c r="AB47" s="592" t="str">
        <f t="shared" si="23"/>
        <v/>
      </c>
      <c r="AC47" s="593" t="str">
        <f t="shared" si="24"/>
        <v/>
      </c>
      <c r="AD47" s="594" t="str">
        <f t="shared" si="25"/>
        <v/>
      </c>
      <c r="AE47" s="594" t="str">
        <f t="shared" si="26"/>
        <v/>
      </c>
      <c r="AF47" s="592" t="str">
        <f t="shared" si="27"/>
        <v/>
      </c>
      <c r="AG47" s="595"/>
    </row>
    <row r="48" spans="1:35" x14ac:dyDescent="0.2">
      <c r="A48" s="735"/>
      <c r="B48" s="153" t="s">
        <v>108</v>
      </c>
      <c r="C48" s="737" t="str">
        <f>TEXT(A$41,)&amp;" US$"</f>
        <v>Loreto / Ucayali US$</v>
      </c>
      <c r="D48" s="783"/>
      <c r="E48" s="783"/>
      <c r="F48" s="784"/>
      <c r="G48" s="785"/>
      <c r="H48" s="785"/>
      <c r="I48" s="786"/>
      <c r="J48" s="787"/>
      <c r="K48" s="788"/>
      <c r="L48" s="788"/>
      <c r="M48" s="788"/>
      <c r="N48" s="616"/>
      <c r="O48" s="616">
        <f>SUM(O42:O47)</f>
        <v>0</v>
      </c>
      <c r="P48" s="616">
        <f>SUM(P42:P47)</f>
        <v>0</v>
      </c>
      <c r="Q48" s="616">
        <f>SUM(Q42:Q47)</f>
        <v>0</v>
      </c>
      <c r="R48" s="789"/>
      <c r="S48" s="616">
        <f>SUM(S42:S47)</f>
        <v>0</v>
      </c>
      <c r="T48" s="742"/>
      <c r="U48" s="744">
        <f>SUM(U42:U47)</f>
        <v>0</v>
      </c>
      <c r="V48" s="744">
        <f>SUM(V42:V47)</f>
        <v>0</v>
      </c>
      <c r="W48" s="745">
        <f>SUM(W42:W47)</f>
        <v>0</v>
      </c>
      <c r="X48" s="746" t="e">
        <f>ROUND(V48/U48,4)</f>
        <v>#DIV/0!</v>
      </c>
      <c r="Y48" s="746" t="e">
        <f>ROUND(Z48/U48,4)</f>
        <v>#DIV/0!</v>
      </c>
      <c r="Z48" s="744">
        <f>SUM(Z42:Z47)</f>
        <v>0</v>
      </c>
      <c r="AA48" s="744">
        <f>SUM(AA42:AA47)</f>
        <v>0</v>
      </c>
      <c r="AB48" s="744">
        <f>SUM(AB42:AB47)</f>
        <v>0</v>
      </c>
      <c r="AC48" s="745">
        <f>SUM(AC42:AC47)</f>
        <v>0</v>
      </c>
      <c r="AD48" s="746" t="e">
        <f>ROUND(AB48/AA48,4)</f>
        <v>#DIV/0!</v>
      </c>
      <c r="AE48" s="746" t="e">
        <f>ROUND(AF48/AA48,4)</f>
        <v>#DIV/0!</v>
      </c>
      <c r="AF48" s="744">
        <f>SUM(AF42:AF47)</f>
        <v>0</v>
      </c>
      <c r="AG48" s="744">
        <f>P48-Z48-AF48</f>
        <v>0</v>
      </c>
    </row>
    <row r="49" spans="1:42" x14ac:dyDescent="0.2">
      <c r="A49" s="790"/>
      <c r="B49" s="146"/>
      <c r="C49" s="737" t="str">
        <f>TEXT(A$41,)&amp;" S/."</f>
        <v>Loreto / Ucayali S/.</v>
      </c>
      <c r="D49" s="792"/>
      <c r="E49" s="792"/>
      <c r="F49" s="790"/>
      <c r="G49" s="793"/>
      <c r="H49" s="793"/>
      <c r="I49" s="794"/>
      <c r="J49" s="794"/>
      <c r="K49" s="793"/>
      <c r="L49" s="793"/>
      <c r="M49" s="793"/>
      <c r="N49" s="793"/>
      <c r="O49" s="667"/>
      <c r="P49" s="667">
        <f>ROUND($F$1*P48,2)</f>
        <v>0</v>
      </c>
      <c r="Q49" s="667">
        <f>ROUND($F$1*Q48,2)</f>
        <v>0</v>
      </c>
      <c r="R49" s="795"/>
      <c r="S49" s="667">
        <f>ROUND($F$1*S48,2)</f>
        <v>0</v>
      </c>
      <c r="T49" s="757"/>
      <c r="U49" s="796"/>
      <c r="V49" s="796"/>
      <c r="W49" s="797"/>
      <c r="X49" s="798"/>
      <c r="Y49" s="798"/>
      <c r="Z49" s="796"/>
      <c r="AA49" s="796"/>
      <c r="AB49" s="796"/>
      <c r="AC49" s="797"/>
      <c r="AD49" s="798"/>
      <c r="AE49" s="798"/>
      <c r="AF49" s="796"/>
      <c r="AG49" s="796"/>
    </row>
    <row r="50" spans="1:42" x14ac:dyDescent="0.2">
      <c r="A50" s="708" t="s">
        <v>161</v>
      </c>
      <c r="B50" s="16"/>
      <c r="C50" s="709"/>
      <c r="D50" s="709"/>
      <c r="E50" s="711"/>
      <c r="F50" s="708"/>
      <c r="G50" s="799"/>
      <c r="H50" s="800"/>
      <c r="I50" s="801"/>
      <c r="J50" s="802"/>
      <c r="K50" s="799"/>
      <c r="L50" s="799"/>
      <c r="M50" s="799"/>
      <c r="N50" s="799"/>
      <c r="O50" s="799"/>
      <c r="P50" s="803" t="s">
        <v>163</v>
      </c>
      <c r="Q50" s="803" t="s">
        <v>161</v>
      </c>
      <c r="R50" s="717"/>
      <c r="S50" s="804"/>
      <c r="T50" s="805"/>
      <c r="U50" s="796"/>
      <c r="V50" s="796"/>
      <c r="W50" s="797"/>
      <c r="X50" s="798"/>
      <c r="Y50" s="798"/>
      <c r="Z50" s="796"/>
      <c r="AA50" s="796"/>
      <c r="AB50" s="796"/>
      <c r="AC50" s="797"/>
      <c r="AD50" s="798"/>
      <c r="AE50" s="798"/>
      <c r="AF50" s="796"/>
      <c r="AG50" s="796"/>
    </row>
    <row r="51" spans="1:42" x14ac:dyDescent="0.2">
      <c r="A51" s="376" t="s">
        <v>28</v>
      </c>
      <c r="B51" s="24" t="s">
        <v>160</v>
      </c>
      <c r="C51" s="378" t="s">
        <v>31</v>
      </c>
      <c r="D51" s="378" t="s">
        <v>30</v>
      </c>
      <c r="E51" s="378" t="s">
        <v>158</v>
      </c>
      <c r="F51" s="781" t="s">
        <v>37</v>
      </c>
      <c r="G51" s="253"/>
      <c r="H51" s="253"/>
      <c r="I51" s="728"/>
      <c r="J51" s="728"/>
      <c r="K51" s="253"/>
      <c r="L51" s="253"/>
      <c r="M51" s="253"/>
      <c r="N51" s="253"/>
      <c r="O51" s="589">
        <f>G51*I51+H51*J51</f>
        <v>0</v>
      </c>
      <c r="P51" s="253">
        <f>ROUND(37.24%*(G51*I51+H51*J51),2)</f>
        <v>0</v>
      </c>
      <c r="Q51" s="253">
        <f t="shared" ref="Q51:Q56" si="28">ROUND(R51*P51,2)</f>
        <v>0</v>
      </c>
      <c r="R51" s="590">
        <v>0.5</v>
      </c>
      <c r="S51" s="253"/>
      <c r="T51" s="591"/>
      <c r="U51" s="592">
        <f t="shared" ref="U51:U57" si="29">IF($F51&amp;"/Día"=W$9,SUM($G51:$H51),"")</f>
        <v>0</v>
      </c>
      <c r="V51" s="592">
        <f t="shared" ref="V51:V57" si="30">IF(U51&lt;&gt;"",$O51,"")</f>
        <v>0</v>
      </c>
      <c r="W51" s="593">
        <f t="shared" ref="W51:W57" si="31">IF($F51&amp;"/Día"=W$9,ROUND(U51/$W$1,1),"")</f>
        <v>0</v>
      </c>
      <c r="X51" s="594">
        <f t="shared" ref="X51:X57" si="32">IF(U51=0,0,IF($F51&amp;"/Día"=W$9,ROUND(V51/U51,4),""))</f>
        <v>0</v>
      </c>
      <c r="Y51" s="594">
        <f t="shared" ref="Y51:Y57" si="33">IF(U51=0,0,IF($F51&amp;"/Día"=W$9,ROUND(Z51/U51,4),""))</f>
        <v>0</v>
      </c>
      <c r="Z51" s="592">
        <f t="shared" ref="Z51:Z57" si="34">IF(U51&lt;&gt;"",$Q51,"")</f>
        <v>0</v>
      </c>
      <c r="AA51" s="592" t="str">
        <f t="shared" ref="AA51:AA57" si="35">IF($F51&amp;"/Día"=AC$9,SUM($G51:$H51),"")</f>
        <v/>
      </c>
      <c r="AB51" s="592" t="str">
        <f t="shared" ref="AB51:AB57" si="36">IF(AA51&lt;&gt;"",$O51,"")</f>
        <v/>
      </c>
      <c r="AC51" s="593" t="str">
        <f t="shared" ref="AC51:AC57" si="37">IF($F51&amp;"/Día"=AC$9,ROUND(AA51/$W$1,1),"")</f>
        <v/>
      </c>
      <c r="AD51" s="594" t="str">
        <f t="shared" ref="AD51:AD57" si="38">IF(AA51=0,0,IF($F51&amp;"/Día"=AC$9,ROUND(AB51/AA51,4),""))</f>
        <v/>
      </c>
      <c r="AE51" s="594" t="str">
        <f t="shared" ref="AE51:AE57" si="39">IF(AA51=0,0,IF($F51&amp;"/Día"=AC$9,ROUND(AF51/AA51,4),""))</f>
        <v/>
      </c>
      <c r="AF51" s="592" t="str">
        <f t="shared" ref="AF51:AF57" si="40">IF(AA51&lt;&gt;"",$Q51,"")</f>
        <v/>
      </c>
      <c r="AG51" s="796"/>
    </row>
    <row r="52" spans="1:42" x14ac:dyDescent="0.2">
      <c r="A52" s="376" t="s">
        <v>28</v>
      </c>
      <c r="B52" s="24" t="s">
        <v>159</v>
      </c>
      <c r="C52" s="378" t="s">
        <v>31</v>
      </c>
      <c r="D52" s="378" t="s">
        <v>30</v>
      </c>
      <c r="E52" s="378" t="s">
        <v>158</v>
      </c>
      <c r="F52" s="781" t="s">
        <v>56</v>
      </c>
      <c r="G52" s="253"/>
      <c r="H52" s="253"/>
      <c r="I52" s="728"/>
      <c r="J52" s="728"/>
      <c r="K52" s="253"/>
      <c r="L52" s="253"/>
      <c r="M52" s="253"/>
      <c r="N52" s="253"/>
      <c r="O52" s="253" t="e">
        <f>+#REF!</f>
        <v>#REF!</v>
      </c>
      <c r="P52" s="253" t="e">
        <f>+#REF!</f>
        <v>#REF!</v>
      </c>
      <c r="Q52" s="253" t="e">
        <f>+#REF!</f>
        <v>#REF!</v>
      </c>
      <c r="R52" s="590">
        <v>0.5</v>
      </c>
      <c r="S52" s="253"/>
      <c r="T52" s="590"/>
      <c r="U52" s="592" t="str">
        <f t="shared" si="29"/>
        <v/>
      </c>
      <c r="V52" s="592" t="str">
        <f t="shared" si="30"/>
        <v/>
      </c>
      <c r="W52" s="593" t="str">
        <f t="shared" si="31"/>
        <v/>
      </c>
      <c r="X52" s="594" t="str">
        <f t="shared" si="32"/>
        <v/>
      </c>
      <c r="Y52" s="594" t="str">
        <f t="shared" si="33"/>
        <v/>
      </c>
      <c r="Z52" s="592" t="str">
        <f t="shared" si="34"/>
        <v/>
      </c>
      <c r="AA52" s="592">
        <f t="shared" si="35"/>
        <v>0</v>
      </c>
      <c r="AB52" s="592" t="e">
        <f t="shared" si="36"/>
        <v>#REF!</v>
      </c>
      <c r="AC52" s="593">
        <f t="shared" si="37"/>
        <v>0</v>
      </c>
      <c r="AD52" s="594">
        <f t="shared" si="38"/>
        <v>0</v>
      </c>
      <c r="AE52" s="594">
        <f t="shared" si="39"/>
        <v>0</v>
      </c>
      <c r="AF52" s="592" t="e">
        <f t="shared" si="40"/>
        <v>#REF!</v>
      </c>
      <c r="AG52" s="796"/>
    </row>
    <row r="53" spans="1:42" x14ac:dyDescent="0.2">
      <c r="A53" s="376" t="s">
        <v>28</v>
      </c>
      <c r="B53" s="24" t="s">
        <v>168</v>
      </c>
      <c r="C53" s="378" t="s">
        <v>31</v>
      </c>
      <c r="D53" s="378" t="s">
        <v>30</v>
      </c>
      <c r="E53" s="378" t="s">
        <v>158</v>
      </c>
      <c r="F53" s="781" t="s">
        <v>37</v>
      </c>
      <c r="G53" s="253"/>
      <c r="H53" s="253"/>
      <c r="I53" s="728"/>
      <c r="J53" s="728"/>
      <c r="K53" s="253"/>
      <c r="L53" s="253"/>
      <c r="M53" s="253"/>
      <c r="N53" s="253"/>
      <c r="O53" s="589">
        <f>G53*I53+H53*J53</f>
        <v>0</v>
      </c>
      <c r="P53" s="253">
        <f>ROUND(40%*G53*I53,2)+ROUND(40%*H53*J53,2)</f>
        <v>0</v>
      </c>
      <c r="Q53" s="253">
        <f t="shared" si="28"/>
        <v>0</v>
      </c>
      <c r="R53" s="590">
        <v>0.5</v>
      </c>
      <c r="S53" s="253"/>
      <c r="T53" s="590"/>
      <c r="U53" s="592">
        <f t="shared" si="29"/>
        <v>0</v>
      </c>
      <c r="V53" s="592">
        <f t="shared" si="30"/>
        <v>0</v>
      </c>
      <c r="W53" s="593">
        <f t="shared" si="31"/>
        <v>0</v>
      </c>
      <c r="X53" s="594">
        <f t="shared" si="32"/>
        <v>0</v>
      </c>
      <c r="Y53" s="594">
        <f t="shared" si="33"/>
        <v>0</v>
      </c>
      <c r="Z53" s="592">
        <f t="shared" si="34"/>
        <v>0</v>
      </c>
      <c r="AA53" s="592" t="str">
        <f t="shared" si="35"/>
        <v/>
      </c>
      <c r="AB53" s="592" t="str">
        <f t="shared" si="36"/>
        <v/>
      </c>
      <c r="AC53" s="593" t="str">
        <f t="shared" si="37"/>
        <v/>
      </c>
      <c r="AD53" s="594" t="str">
        <f t="shared" si="38"/>
        <v/>
      </c>
      <c r="AE53" s="594" t="str">
        <f t="shared" si="39"/>
        <v/>
      </c>
      <c r="AF53" s="592" t="str">
        <f t="shared" si="40"/>
        <v/>
      </c>
      <c r="AG53" s="796"/>
    </row>
    <row r="54" spans="1:42" x14ac:dyDescent="0.2">
      <c r="A54" s="376" t="s">
        <v>28</v>
      </c>
      <c r="B54" s="24" t="s">
        <v>169</v>
      </c>
      <c r="C54" s="378" t="s">
        <v>31</v>
      </c>
      <c r="D54" s="378" t="s">
        <v>30</v>
      </c>
      <c r="E54" s="378" t="s">
        <v>158</v>
      </c>
      <c r="F54" s="781" t="s">
        <v>56</v>
      </c>
      <c r="G54" s="253"/>
      <c r="H54" s="253"/>
      <c r="I54" s="728"/>
      <c r="J54" s="728"/>
      <c r="K54" s="253"/>
      <c r="L54" s="253"/>
      <c r="M54" s="253"/>
      <c r="N54" s="253"/>
      <c r="O54" s="589">
        <f>G54*I54+H54*J54</f>
        <v>0</v>
      </c>
      <c r="P54" s="1099">
        <f>ROUND(38%*G54*I54,2)+ROUND(38%*H54*J54,2)</f>
        <v>0</v>
      </c>
      <c r="Q54" s="1099">
        <f>ROUND(R54*P54,2)</f>
        <v>0</v>
      </c>
      <c r="R54" s="590">
        <v>0.5</v>
      </c>
      <c r="S54" s="253"/>
      <c r="T54" s="590"/>
      <c r="U54" s="592" t="str">
        <f t="shared" si="29"/>
        <v/>
      </c>
      <c r="V54" s="592" t="str">
        <f t="shared" si="30"/>
        <v/>
      </c>
      <c r="W54" s="593" t="str">
        <f t="shared" si="31"/>
        <v/>
      </c>
      <c r="X54" s="594" t="str">
        <f t="shared" si="32"/>
        <v/>
      </c>
      <c r="Y54" s="594" t="str">
        <f t="shared" si="33"/>
        <v/>
      </c>
      <c r="Z54" s="592" t="str">
        <f t="shared" si="34"/>
        <v/>
      </c>
      <c r="AA54" s="592">
        <f t="shared" si="35"/>
        <v>0</v>
      </c>
      <c r="AB54" s="592">
        <f t="shared" si="36"/>
        <v>0</v>
      </c>
      <c r="AC54" s="593">
        <f t="shared" si="37"/>
        <v>0</v>
      </c>
      <c r="AD54" s="594">
        <f t="shared" si="38"/>
        <v>0</v>
      </c>
      <c r="AE54" s="594">
        <f t="shared" si="39"/>
        <v>0</v>
      </c>
      <c r="AF54" s="592">
        <f t="shared" si="40"/>
        <v>0</v>
      </c>
      <c r="AG54" s="796"/>
    </row>
    <row r="55" spans="1:42" x14ac:dyDescent="0.2">
      <c r="A55" s="376" t="s">
        <v>28</v>
      </c>
      <c r="B55" s="28" t="s">
        <v>175</v>
      </c>
      <c r="C55" s="378" t="s">
        <v>31</v>
      </c>
      <c r="D55" s="378" t="s">
        <v>30</v>
      </c>
      <c r="E55" s="378" t="s">
        <v>158</v>
      </c>
      <c r="F55" s="781" t="s">
        <v>37</v>
      </c>
      <c r="G55" s="253"/>
      <c r="H55" s="253"/>
      <c r="I55" s="728"/>
      <c r="J55" s="728"/>
      <c r="K55" s="587"/>
      <c r="L55" s="253"/>
      <c r="M55" s="253"/>
      <c r="N55" s="587"/>
      <c r="O55" s="589">
        <f>G55*I55+H55*J55</f>
        <v>0</v>
      </c>
      <c r="P55" s="589">
        <f>ROUND(G55*I55,2)*6.73%+ROUND(H55*J55,2)*6.74%</f>
        <v>0</v>
      </c>
      <c r="Q55" s="253">
        <f t="shared" si="28"/>
        <v>0</v>
      </c>
      <c r="R55" s="590">
        <v>0.5</v>
      </c>
      <c r="S55" s="253"/>
      <c r="T55" s="591"/>
      <c r="U55" s="592">
        <f>IF($F55&amp;"/Día"=W$9,SUM($G55:$H55),"")</f>
        <v>0</v>
      </c>
      <c r="V55" s="592">
        <f t="shared" si="30"/>
        <v>0</v>
      </c>
      <c r="W55" s="593">
        <f t="shared" si="31"/>
        <v>0</v>
      </c>
      <c r="X55" s="594">
        <f t="shared" si="32"/>
        <v>0</v>
      </c>
      <c r="Y55" s="594">
        <f>IF(U55=0,0,IF($F55&amp;"/Día"=W$9,ROUND(Z55/U55,4),""))</f>
        <v>0</v>
      </c>
      <c r="Z55" s="592">
        <f>IF(U55&lt;&gt;"",$Q55,"")</f>
        <v>0</v>
      </c>
      <c r="AA55" s="592" t="str">
        <f t="shared" si="35"/>
        <v/>
      </c>
      <c r="AB55" s="592" t="str">
        <f t="shared" si="36"/>
        <v/>
      </c>
      <c r="AC55" s="593" t="str">
        <f t="shared" si="37"/>
        <v/>
      </c>
      <c r="AD55" s="594" t="str">
        <f t="shared" si="38"/>
        <v/>
      </c>
      <c r="AE55" s="594" t="str">
        <f>IF(AA55=0,0,IF($F55&amp;"/Día"=AC$9,ROUND(AF55/AA55,4),""))</f>
        <v/>
      </c>
      <c r="AF55" s="592" t="str">
        <f>IF(AA55&lt;&gt;"",$Q55,"")</f>
        <v/>
      </c>
      <c r="AG55" s="796"/>
    </row>
    <row r="56" spans="1:42" x14ac:dyDescent="0.2">
      <c r="A56" s="376" t="s">
        <v>28</v>
      </c>
      <c r="B56" s="272" t="s">
        <v>176</v>
      </c>
      <c r="C56" s="378" t="s">
        <v>31</v>
      </c>
      <c r="D56" s="378" t="s">
        <v>30</v>
      </c>
      <c r="E56" s="378" t="s">
        <v>158</v>
      </c>
      <c r="F56" s="781" t="s">
        <v>56</v>
      </c>
      <c r="G56" s="253"/>
      <c r="H56" s="253"/>
      <c r="I56" s="728"/>
      <c r="J56" s="728"/>
      <c r="K56" s="807"/>
      <c r="L56" s="253"/>
      <c r="M56" s="253"/>
      <c r="N56" s="587"/>
      <c r="O56" s="589">
        <f>G56*I56+H56*J56</f>
        <v>0</v>
      </c>
      <c r="P56" s="253">
        <f>ROUND(G56*I56,2)*11.09%+ROUND(H56*J56,2)*11.23%</f>
        <v>0</v>
      </c>
      <c r="Q56" s="253">
        <f t="shared" si="28"/>
        <v>0</v>
      </c>
      <c r="R56" s="590">
        <v>0.5</v>
      </c>
      <c r="S56" s="253"/>
      <c r="T56" s="591"/>
      <c r="U56" s="592" t="str">
        <f>IF($F56&amp;"/Día"=W$9,SUM($G56:$H56),"")</f>
        <v/>
      </c>
      <c r="V56" s="592" t="str">
        <f t="shared" si="30"/>
        <v/>
      </c>
      <c r="W56" s="593" t="str">
        <f t="shared" si="31"/>
        <v/>
      </c>
      <c r="X56" s="594" t="str">
        <f t="shared" si="32"/>
        <v/>
      </c>
      <c r="Y56" s="594" t="str">
        <f>IF(U56=0,0,IF($F56&amp;"/Día"=W$9,ROUND(Z56/U56,4),""))</f>
        <v/>
      </c>
      <c r="Z56" s="592" t="str">
        <f>IF(U56&lt;&gt;"",$Q56,"")</f>
        <v/>
      </c>
      <c r="AA56" s="592">
        <f t="shared" si="35"/>
        <v>0</v>
      </c>
      <c r="AB56" s="592">
        <f t="shared" si="36"/>
        <v>0</v>
      </c>
      <c r="AC56" s="593">
        <f t="shared" si="37"/>
        <v>0</v>
      </c>
      <c r="AD56" s="594">
        <f t="shared" si="38"/>
        <v>0</v>
      </c>
      <c r="AE56" s="594">
        <f>IF(AA56=0,0,IF($F56&amp;"/Día"=AC$9,ROUND(AF56/AA56,4),""))</f>
        <v>0</v>
      </c>
      <c r="AF56" s="592">
        <f>IF(AA56&lt;&gt;"",$Q56,"")</f>
        <v>0</v>
      </c>
      <c r="AG56" s="796"/>
    </row>
    <row r="57" spans="1:42" x14ac:dyDescent="0.2">
      <c r="A57" s="808" t="s">
        <v>28</v>
      </c>
      <c r="B57" s="182" t="s">
        <v>162</v>
      </c>
      <c r="C57" s="809"/>
      <c r="D57" s="809"/>
      <c r="E57" s="810"/>
      <c r="F57" s="773"/>
      <c r="G57" s="811"/>
      <c r="H57" s="812"/>
      <c r="I57" s="812"/>
      <c r="J57" s="813"/>
      <c r="K57" s="813"/>
      <c r="L57" s="813"/>
      <c r="M57" s="814"/>
      <c r="N57" s="814"/>
      <c r="O57" s="1098"/>
      <c r="P57" s="1098"/>
      <c r="Q57" s="1098"/>
      <c r="R57" s="757"/>
      <c r="S57" s="816"/>
      <c r="T57" s="757"/>
      <c r="U57" s="592" t="str">
        <f t="shared" si="29"/>
        <v/>
      </c>
      <c r="V57" s="592" t="str">
        <f t="shared" si="30"/>
        <v/>
      </c>
      <c r="W57" s="593" t="str">
        <f t="shared" si="31"/>
        <v/>
      </c>
      <c r="X57" s="594" t="str">
        <f t="shared" si="32"/>
        <v/>
      </c>
      <c r="Y57" s="594" t="str">
        <f t="shared" si="33"/>
        <v/>
      </c>
      <c r="Z57" s="592" t="str">
        <f t="shared" si="34"/>
        <v/>
      </c>
      <c r="AA57" s="592" t="str">
        <f t="shared" si="35"/>
        <v/>
      </c>
      <c r="AB57" s="592" t="str">
        <f t="shared" si="36"/>
        <v/>
      </c>
      <c r="AC57" s="593" t="str">
        <f t="shared" si="37"/>
        <v/>
      </c>
      <c r="AD57" s="594" t="str">
        <f t="shared" si="38"/>
        <v/>
      </c>
      <c r="AE57" s="594" t="str">
        <f t="shared" si="39"/>
        <v/>
      </c>
      <c r="AF57" s="592" t="str">
        <f t="shared" si="40"/>
        <v/>
      </c>
      <c r="AG57" s="796"/>
      <c r="AN57" s="1200" t="s">
        <v>423</v>
      </c>
      <c r="AO57" s="1200"/>
    </row>
    <row r="58" spans="1:42" x14ac:dyDescent="0.2">
      <c r="A58" s="735"/>
      <c r="B58" s="736" t="s">
        <v>108</v>
      </c>
      <c r="C58" s="737" t="str">
        <f>TEXT(A$50,)&amp;" US$"</f>
        <v>Cusco US$</v>
      </c>
      <c r="D58" s="783"/>
      <c r="E58" s="783"/>
      <c r="F58" s="817"/>
      <c r="G58" s="254"/>
      <c r="H58" s="254"/>
      <c r="I58" s="304"/>
      <c r="J58" s="254"/>
      <c r="K58" s="265"/>
      <c r="L58" s="265"/>
      <c r="M58" s="818"/>
      <c r="N58" s="819"/>
      <c r="O58" s="819" t="e">
        <f>SUM(O51:O57)</f>
        <v>#REF!</v>
      </c>
      <c r="P58" s="819" t="e">
        <f>SUM(P51:P57)</f>
        <v>#REF!</v>
      </c>
      <c r="Q58" s="819" t="e">
        <f>SUM(Q51:Q57)</f>
        <v>#REF!</v>
      </c>
      <c r="R58" s="820"/>
      <c r="S58" s="821"/>
      <c r="T58" s="757"/>
      <c r="U58" s="744">
        <f>SUM(U51:U57)</f>
        <v>0</v>
      </c>
      <c r="V58" s="744">
        <f>SUM(V51:V57)</f>
        <v>0</v>
      </c>
      <c r="W58" s="745">
        <f>SUM(W51:W57)</f>
        <v>0</v>
      </c>
      <c r="X58" s="746" t="e">
        <f>ROUND(V58/U58,4)</f>
        <v>#DIV/0!</v>
      </c>
      <c r="Y58" s="746" t="e">
        <f>ROUND(Z58/U58,4)</f>
        <v>#DIV/0!</v>
      </c>
      <c r="Z58" s="744">
        <f>SUM(Z51:Z57)</f>
        <v>0</v>
      </c>
      <c r="AA58" s="744">
        <f>SUM(AA51:AA57)</f>
        <v>0</v>
      </c>
      <c r="AB58" s="744" t="e">
        <f>SUM(AB51:AB57)</f>
        <v>#REF!</v>
      </c>
      <c r="AC58" s="745">
        <f>SUM(AC51:AC57)</f>
        <v>0</v>
      </c>
      <c r="AD58" s="746" t="e">
        <f>ROUND(AB58/AA58,4)</f>
        <v>#REF!</v>
      </c>
      <c r="AE58" s="746" t="e">
        <f>ROUND(AF58/AA58,4)</f>
        <v>#REF!</v>
      </c>
      <c r="AF58" s="744" t="e">
        <f>SUM(AF51:AF57)</f>
        <v>#REF!</v>
      </c>
      <c r="AG58" s="744" t="e">
        <f>Q58-Z58-AF58</f>
        <v>#REF!</v>
      </c>
      <c r="AN58" s="596" t="s">
        <v>74</v>
      </c>
      <c r="AO58" s="596" t="s">
        <v>424</v>
      </c>
    </row>
    <row r="59" spans="1:42" x14ac:dyDescent="0.2">
      <c r="A59" s="790"/>
      <c r="B59" s="791"/>
      <c r="C59" s="737" t="str">
        <f>TEXT(A$50,)&amp;" S/."</f>
        <v>Cusco S/.</v>
      </c>
      <c r="D59" s="792"/>
      <c r="E59" s="792"/>
      <c r="F59" s="817"/>
      <c r="G59" s="255" t="e">
        <f>SUMPRODUCT(I54:I54,G54:G54)/SUM(G54:G54)</f>
        <v>#VALUE!</v>
      </c>
      <c r="H59" s="255" t="e">
        <f>SUMPRODUCT(J54:J54,H54:H54)/SUM(H54:H54)</f>
        <v>#VALUE!</v>
      </c>
      <c r="I59" s="305"/>
      <c r="J59" s="254"/>
      <c r="K59" s="266"/>
      <c r="L59" s="266"/>
      <c r="M59" s="822"/>
      <c r="N59" s="823"/>
      <c r="O59" s="823"/>
      <c r="P59" s="824"/>
      <c r="Q59" s="824" t="e">
        <f>Q58*F1</f>
        <v>#REF!</v>
      </c>
      <c r="R59" s="825"/>
      <c r="S59" s="821"/>
      <c r="T59" s="757"/>
      <c r="U59" s="796"/>
      <c r="V59" s="796"/>
      <c r="W59" s="797"/>
      <c r="X59" s="798"/>
      <c r="Y59" s="798"/>
      <c r="Z59" s="796"/>
      <c r="AA59" s="796"/>
      <c r="AB59" s="796"/>
      <c r="AC59" s="797"/>
      <c r="AD59" s="798"/>
      <c r="AE59" s="798"/>
      <c r="AF59" s="796"/>
      <c r="AG59" s="796"/>
      <c r="AJ59" s="678" t="s">
        <v>189</v>
      </c>
      <c r="AK59" s="826"/>
      <c r="AL59" s="826" t="e">
        <f>P34</f>
        <v>#REF!</v>
      </c>
      <c r="AM59" s="826" t="s">
        <v>23</v>
      </c>
    </row>
    <row r="60" spans="1:42" x14ac:dyDescent="0.2">
      <c r="A60" s="827" t="s">
        <v>55</v>
      </c>
      <c r="B60" s="828"/>
      <c r="C60" s="828"/>
      <c r="D60" s="828"/>
      <c r="E60" s="828"/>
      <c r="F60" s="829"/>
      <c r="G60" s="256" t="e">
        <f>G58*G59</f>
        <v>#VALUE!</v>
      </c>
      <c r="H60" s="256" t="e">
        <f>H58*H59</f>
        <v>#VALUE!</v>
      </c>
      <c r="I60" s="254" t="e">
        <f>H60+G60</f>
        <v>#VALUE!</v>
      </c>
      <c r="J60" s="254" t="e">
        <f>O54+#REF!</f>
        <v>#REF!</v>
      </c>
      <c r="K60" s="306" t="e">
        <f>I60-J60</f>
        <v>#VALUE!</v>
      </c>
      <c r="L60" s="306"/>
      <c r="M60" s="667">
        <f>SUM(M10:M56)</f>
        <v>0</v>
      </c>
      <c r="N60" s="667">
        <f>SUM(N10:N56)</f>
        <v>0</v>
      </c>
      <c r="O60" s="667" t="e">
        <f>O34+O39+O48+O58</f>
        <v>#REF!</v>
      </c>
      <c r="P60" s="667" t="e">
        <f>Q58+Q48+S48+Q39+Q34+S34</f>
        <v>#REF!</v>
      </c>
      <c r="Q60" s="830" t="e">
        <f>Q35+S35+Q40+Q49+S49+Q59</f>
        <v>#REF!</v>
      </c>
      <c r="R60" s="831"/>
      <c r="S60" s="830"/>
      <c r="T60" s="831"/>
      <c r="U60" s="832">
        <f>U34+U39+U48+U58</f>
        <v>0</v>
      </c>
      <c r="V60" s="832">
        <f>V34+V39+V48+V58</f>
        <v>0</v>
      </c>
      <c r="W60" s="833">
        <f>W34+W39+W48+W58</f>
        <v>0</v>
      </c>
      <c r="X60" s="834" t="e">
        <f>ROUND(V60/U60,4)</f>
        <v>#DIV/0!</v>
      </c>
      <c r="Y60" s="834" t="e">
        <f>ROUND(Z60/U60,4)</f>
        <v>#DIV/0!</v>
      </c>
      <c r="Z60" s="832">
        <f>Z34+Z39+Z48+Z58</f>
        <v>0</v>
      </c>
      <c r="AA60" s="832">
        <f>AA34+AA39+AA48+AA58</f>
        <v>0</v>
      </c>
      <c r="AB60" s="832" t="e">
        <f>AB34+AB39+AB48+AB58</f>
        <v>#REF!</v>
      </c>
      <c r="AC60" s="832">
        <f>AC34+AC39+AC48+AC58</f>
        <v>0</v>
      </c>
      <c r="AD60" s="834" t="e">
        <f>ROUND(AB60/AA60,4)</f>
        <v>#REF!</v>
      </c>
      <c r="AE60" s="834" t="e">
        <f>ROUND(AF60/AA60,4)</f>
        <v>#REF!</v>
      </c>
      <c r="AF60" s="832" t="e">
        <f>AF34+AF39+AF48+AF58</f>
        <v>#REF!</v>
      </c>
      <c r="AG60" s="832" t="e">
        <f>P60-Z60-AF60</f>
        <v>#REF!</v>
      </c>
      <c r="AI60" s="596">
        <v>57</v>
      </c>
      <c r="AJ60" s="678" t="s">
        <v>190</v>
      </c>
      <c r="AK60" s="826"/>
      <c r="AL60" s="826">
        <f>P48</f>
        <v>0</v>
      </c>
      <c r="AM60" s="826" t="s">
        <v>24</v>
      </c>
    </row>
    <row r="61" spans="1:42" x14ac:dyDescent="0.2">
      <c r="G61" s="596"/>
      <c r="H61" s="596"/>
      <c r="I61" s="596"/>
      <c r="J61" s="596"/>
      <c r="K61" s="596"/>
      <c r="N61" s="835"/>
      <c r="O61" s="836"/>
      <c r="S61" s="597"/>
      <c r="Z61" s="678"/>
      <c r="AA61" s="678"/>
      <c r="AB61" s="678"/>
      <c r="AC61" s="678"/>
      <c r="AD61" s="678"/>
      <c r="AE61" s="678"/>
      <c r="AI61" s="596">
        <v>56</v>
      </c>
      <c r="AJ61" s="678"/>
      <c r="AK61" s="826"/>
      <c r="AL61" s="838">
        <f>P39</f>
        <v>0</v>
      </c>
      <c r="AM61" s="826" t="s">
        <v>191</v>
      </c>
    </row>
    <row r="62" spans="1:42" x14ac:dyDescent="0.2">
      <c r="A62" s="837" t="s">
        <v>93</v>
      </c>
      <c r="B62" s="596" t="s">
        <v>76</v>
      </c>
      <c r="G62" s="596"/>
      <c r="H62" s="837" t="s">
        <v>77</v>
      </c>
      <c r="I62" s="596"/>
      <c r="J62" s="683"/>
      <c r="K62" s="683"/>
      <c r="N62" s="835"/>
      <c r="O62" s="835"/>
      <c r="P62" s="597"/>
      <c r="Q62" s="683"/>
      <c r="S62" s="683"/>
      <c r="U62" s="678"/>
      <c r="V62" s="826"/>
      <c r="W62" s="826"/>
      <c r="X62" s="826"/>
      <c r="AI62" s="596">
        <v>88</v>
      </c>
      <c r="AJ62" s="678"/>
      <c r="AK62" s="838">
        <f>SUM(AK59:AK61)</f>
        <v>0</v>
      </c>
      <c r="AL62" s="838" t="e">
        <f>SUM(AL59:AL61)</f>
        <v>#REF!</v>
      </c>
      <c r="AM62" s="826" t="e">
        <f>+AK62-AL62</f>
        <v>#REF!</v>
      </c>
      <c r="AO62" s="1109">
        <f>P14</f>
        <v>0</v>
      </c>
      <c r="AP62" s="1110" t="e">
        <f>+AM62-AN62+AO62</f>
        <v>#REF!</v>
      </c>
    </row>
    <row r="63" spans="1:42" x14ac:dyDescent="0.2">
      <c r="B63" s="839" t="s">
        <v>78</v>
      </c>
      <c r="C63" s="840" t="s">
        <v>79</v>
      </c>
      <c r="D63" s="841"/>
      <c r="E63" s="842" t="s">
        <v>35</v>
      </c>
      <c r="F63" s="842" t="s">
        <v>80</v>
      </c>
      <c r="G63" s="596"/>
      <c r="H63" s="843" t="s">
        <v>35</v>
      </c>
      <c r="I63" s="828"/>
      <c r="J63" s="828"/>
      <c r="K63" s="828"/>
      <c r="L63" s="844"/>
      <c r="N63" s="835"/>
      <c r="O63" s="835"/>
      <c r="P63" s="597"/>
      <c r="Q63" s="683"/>
      <c r="S63" s="683"/>
      <c r="U63" s="678"/>
      <c r="V63" s="826"/>
      <c r="W63" s="826"/>
      <c r="X63" s="826"/>
      <c r="AJ63" s="678"/>
      <c r="AM63" s="683"/>
    </row>
    <row r="64" spans="1:42" x14ac:dyDescent="0.2">
      <c r="B64" s="845" t="s">
        <v>81</v>
      </c>
      <c r="C64" s="846" t="s">
        <v>82</v>
      </c>
      <c r="D64" s="847"/>
      <c r="E64" s="848"/>
      <c r="F64" s="848"/>
      <c r="G64" s="596"/>
      <c r="H64" s="849" t="str">
        <f>"=  ("&amp;TEXT(E64,"0.0000")&amp;" * "&amp;TEXT(E67,"0.00%")&amp;" + ("&amp;TEXT(E65,"0.0000")&amp;" - "&amp;TEXT(E66,"0.0000")&amp;" - "&amp;TEXT(E69,"0.0000")&amp;") * (1 - "&amp;TEXT(E67,"0.00%")&amp;"))"</f>
        <v>=  (0.0000 * 0.00% + (0.0000 - 0.0000 - 0.0000) * (1 - 0.00%))</v>
      </c>
      <c r="I64" s="596"/>
      <c r="J64" s="596"/>
      <c r="K64" s="596"/>
      <c r="L64" s="850"/>
      <c r="M64" s="851"/>
      <c r="N64" s="851">
        <f>547803.45/8532764.09</f>
        <v>6.4199999463479832E-2</v>
      </c>
      <c r="O64" s="683"/>
      <c r="P64" s="852"/>
      <c r="Q64" s="853"/>
      <c r="S64" s="853"/>
      <c r="U64" s="678"/>
      <c r="V64" s="826"/>
      <c r="W64" s="826"/>
      <c r="X64" s="826"/>
      <c r="AJ64" s="678" t="s">
        <v>194</v>
      </c>
      <c r="AK64" s="826"/>
      <c r="AL64" s="826"/>
      <c r="AM64" s="826"/>
    </row>
    <row r="65" spans="1:39" x14ac:dyDescent="0.2">
      <c r="B65" s="854" t="s">
        <v>83</v>
      </c>
      <c r="C65" s="855" t="s">
        <v>84</v>
      </c>
      <c r="D65" s="856"/>
      <c r="E65" s="857"/>
      <c r="F65" s="858"/>
      <c r="G65" s="596"/>
      <c r="H65" s="859">
        <f>((85.98%*E64+4.4221)*E67+(E65-E66-E69)*(1-E67))</f>
        <v>0</v>
      </c>
      <c r="I65" s="792"/>
      <c r="J65" s="792"/>
      <c r="K65" s="792"/>
      <c r="L65" s="860"/>
      <c r="M65" s="851">
        <f>698277.28/7412709.99</f>
        <v>9.4199999857272176E-2</v>
      </c>
      <c r="N65" s="851">
        <f>1065699.61/10775526.87</f>
        <v>9.8900000237297003E-2</v>
      </c>
      <c r="O65" s="1108"/>
      <c r="P65" s="853"/>
      <c r="Q65" s="853"/>
      <c r="S65" s="853"/>
      <c r="U65" s="678"/>
      <c r="V65" s="838"/>
      <c r="W65" s="838"/>
      <c r="X65" s="826"/>
      <c r="Y65" s="683"/>
      <c r="Z65" s="683"/>
      <c r="AA65" s="683"/>
      <c r="AB65" s="683"/>
      <c r="AC65" s="683"/>
      <c r="AJ65" s="678" t="s">
        <v>192</v>
      </c>
      <c r="AK65" s="826"/>
      <c r="AL65" s="826"/>
      <c r="AM65" s="826"/>
    </row>
    <row r="66" spans="1:39" x14ac:dyDescent="0.2">
      <c r="B66" s="854" t="s">
        <v>85</v>
      </c>
      <c r="C66" s="855" t="s">
        <v>86</v>
      </c>
      <c r="D66" s="856"/>
      <c r="E66" s="857"/>
      <c r="F66" s="857"/>
      <c r="G66" s="596"/>
      <c r="H66" s="596"/>
      <c r="I66" s="861"/>
      <c r="J66" s="596"/>
      <c r="K66" s="596"/>
      <c r="M66" s="851">
        <f>5254120.1/13135300.26</f>
        <v>0.39999999969547706</v>
      </c>
      <c r="N66" s="851">
        <f>7653140.6/19132851.51</f>
        <v>0.39999999979093542</v>
      </c>
      <c r="O66" s="597"/>
      <c r="P66" s="597"/>
      <c r="Q66" s="597"/>
      <c r="U66" s="678"/>
      <c r="V66" s="826"/>
      <c r="W66" s="826"/>
      <c r="X66" s="826"/>
      <c r="Y66" s="683"/>
      <c r="Z66" s="683"/>
      <c r="AA66" s="683"/>
      <c r="AB66" s="683"/>
      <c r="AJ66" s="678" t="s">
        <v>193</v>
      </c>
      <c r="AK66" s="826"/>
      <c r="AL66" s="826"/>
      <c r="AM66" s="826"/>
    </row>
    <row r="67" spans="1:39" x14ac:dyDescent="0.2">
      <c r="B67" s="854" t="s">
        <v>87</v>
      </c>
      <c r="C67" s="855" t="s">
        <v>88</v>
      </c>
      <c r="D67" s="856"/>
      <c r="E67" s="862"/>
      <c r="F67" s="862"/>
      <c r="G67" s="596"/>
      <c r="H67" s="843" t="s">
        <v>80</v>
      </c>
      <c r="I67" s="863"/>
      <c r="J67" s="828"/>
      <c r="K67" s="828"/>
      <c r="L67" s="844"/>
      <c r="M67" s="851">
        <f>503101.38/1323950.99</f>
        <v>0.38000000287019686</v>
      </c>
      <c r="N67" s="851"/>
      <c r="O67" s="864"/>
      <c r="U67" s="678"/>
      <c r="V67" s="826"/>
      <c r="W67" s="826"/>
      <c r="X67" s="826"/>
      <c r="Y67" s="683"/>
      <c r="Z67" s="683"/>
      <c r="AA67" s="683"/>
      <c r="AB67" s="683"/>
      <c r="AC67" s="683"/>
      <c r="AJ67" s="678" t="s">
        <v>197</v>
      </c>
      <c r="AK67" s="826"/>
      <c r="AL67" s="826"/>
      <c r="AM67" s="826"/>
    </row>
    <row r="68" spans="1:39" x14ac:dyDescent="0.2">
      <c r="B68" s="854" t="s">
        <v>89</v>
      </c>
      <c r="C68" s="855" t="s">
        <v>90</v>
      </c>
      <c r="D68" s="856"/>
      <c r="E68" s="865"/>
      <c r="F68" s="858"/>
      <c r="G68" s="596"/>
      <c r="H68" s="849" t="str">
        <f>"=  ("&amp;TEXT(F64,"0.0000")&amp;" * "&amp;TEXT(F67,"0.00%")&amp;" + ("&amp;TEXT(F65,"0.0000")&amp;" - "&amp;TEXT(F66,"0.0000")&amp;" - "&amp;TEXT(F69,"0.0000")&amp;") * (1 - "&amp;TEXT(F67,"0.00%")&amp;"))"</f>
        <v>=  (0.0000 * 0.00% + (0.0000 - 0.0000 - 0.0000) * (1 - 0.00%))</v>
      </c>
      <c r="I68" s="861"/>
      <c r="J68" s="596"/>
      <c r="K68" s="596"/>
      <c r="L68" s="850"/>
      <c r="N68" s="866"/>
      <c r="O68" s="864"/>
      <c r="U68" s="678"/>
      <c r="V68" s="826"/>
      <c r="W68" s="826"/>
      <c r="X68" s="826"/>
      <c r="Y68" s="683"/>
      <c r="Z68" s="683"/>
      <c r="AA68" s="683"/>
      <c r="AB68" s="683"/>
      <c r="AC68" s="683"/>
      <c r="AJ68" s="678" t="s">
        <v>195</v>
      </c>
      <c r="AK68" s="826"/>
      <c r="AL68" s="826"/>
      <c r="AM68" s="826"/>
    </row>
    <row r="69" spans="1:39" x14ac:dyDescent="0.2">
      <c r="B69" s="867" t="s">
        <v>91</v>
      </c>
      <c r="C69" s="868" t="s">
        <v>92</v>
      </c>
      <c r="D69" s="869"/>
      <c r="E69" s="870"/>
      <c r="F69" s="870"/>
      <c r="G69" s="596"/>
      <c r="H69" s="859">
        <f>((85.98%*F64+4.4221)*F67+(F65-F66-F69)*(1-F67))</f>
        <v>0</v>
      </c>
      <c r="I69" s="871"/>
      <c r="J69" s="792"/>
      <c r="K69" s="792"/>
      <c r="L69" s="860"/>
      <c r="M69" s="864"/>
      <c r="N69" s="864"/>
      <c r="O69" s="864"/>
      <c r="U69" s="678"/>
      <c r="V69" s="826"/>
      <c r="W69" s="826"/>
      <c r="X69" s="826"/>
      <c r="Y69" s="683"/>
      <c r="Z69" s="683"/>
      <c r="AA69" s="683"/>
      <c r="AB69" s="683"/>
      <c r="AC69" s="683"/>
      <c r="AJ69" s="678" t="s">
        <v>196</v>
      </c>
      <c r="AK69" s="826"/>
      <c r="AL69" s="826"/>
      <c r="AM69" s="826"/>
    </row>
    <row r="70" spans="1:39" x14ac:dyDescent="0.2">
      <c r="A70" s="837"/>
      <c r="G70" s="596"/>
      <c r="H70" s="751"/>
      <c r="I70" s="596"/>
      <c r="J70" s="596"/>
      <c r="K70" s="596"/>
      <c r="M70" s="864"/>
      <c r="N70" s="864"/>
      <c r="O70" s="864"/>
      <c r="U70" s="678"/>
      <c r="V70" s="826"/>
      <c r="W70" s="826"/>
      <c r="X70" s="826"/>
      <c r="Y70" s="683"/>
      <c r="Z70" s="683"/>
      <c r="AA70" s="683"/>
      <c r="AB70" s="683"/>
      <c r="AC70" s="683"/>
      <c r="AJ70" s="678"/>
      <c r="AK70" s="838">
        <f>SUM(AK64:AK69)</f>
        <v>0</v>
      </c>
      <c r="AL70" s="838" t="e">
        <f>Q58</f>
        <v>#REF!</v>
      </c>
      <c r="AM70" s="838" t="e">
        <f>AK70-AL70</f>
        <v>#REF!</v>
      </c>
    </row>
    <row r="71" spans="1:39" x14ac:dyDescent="0.2">
      <c r="A71" s="872"/>
      <c r="G71" s="596"/>
      <c r="H71" s="596"/>
      <c r="I71" s="596"/>
      <c r="J71" s="596"/>
      <c r="K71" s="596"/>
      <c r="U71" s="678"/>
      <c r="V71" s="826"/>
      <c r="W71" s="826"/>
      <c r="X71" s="826"/>
      <c r="Y71" s="683"/>
      <c r="Z71" s="683"/>
      <c r="AA71" s="683"/>
      <c r="AB71" s="683"/>
      <c r="AC71" s="683"/>
      <c r="AK71" s="826">
        <f>+AK59+AK64+AK65+AK66</f>
        <v>0</v>
      </c>
    </row>
    <row r="72" spans="1:39" x14ac:dyDescent="0.2">
      <c r="G72" s="596"/>
      <c r="H72" s="596"/>
      <c r="I72" s="596"/>
      <c r="J72" s="596"/>
      <c r="K72" s="596"/>
      <c r="O72" s="683"/>
      <c r="P72" s="683"/>
      <c r="Q72" s="683"/>
      <c r="U72" s="678"/>
      <c r="V72" s="838"/>
      <c r="W72" s="838"/>
      <c r="X72" s="826"/>
      <c r="Y72" s="683"/>
      <c r="Z72" s="683"/>
      <c r="AA72" s="683"/>
      <c r="AB72" s="683"/>
      <c r="AC72" s="683"/>
      <c r="AJ72" s="678"/>
      <c r="AK72" s="826">
        <f>+AK60+AK67+AK68+AK69</f>
        <v>0</v>
      </c>
      <c r="AL72" s="826"/>
      <c r="AM72" s="678"/>
    </row>
    <row r="73" spans="1:39" ht="18" x14ac:dyDescent="0.25">
      <c r="A73" s="873" t="str">
        <f>"AJUSTES PARA "&amp;UPPER(TEXT(E1,"MMMMMMM YYYY"))</f>
        <v>AJUSTES PARA NOVIEMBRE 2025</v>
      </c>
      <c r="B73" s="874"/>
      <c r="C73" s="874"/>
      <c r="D73" s="874"/>
      <c r="E73" s="874"/>
      <c r="F73" s="874"/>
      <c r="G73" s="874"/>
      <c r="H73" s="874"/>
      <c r="I73" s="874"/>
      <c r="J73" s="874"/>
      <c r="K73" s="874"/>
      <c r="L73" s="874"/>
      <c r="M73" s="874"/>
      <c r="N73" s="874"/>
      <c r="O73" s="874"/>
      <c r="P73" s="875"/>
      <c r="Q73" s="875"/>
      <c r="R73" s="874"/>
      <c r="S73" s="876"/>
      <c r="T73" s="874"/>
      <c r="U73" s="678"/>
      <c r="V73" s="877"/>
      <c r="W73" s="877"/>
      <c r="X73" s="826"/>
      <c r="Y73" s="878"/>
      <c r="Z73" s="878"/>
      <c r="AA73" s="683"/>
      <c r="AB73" s="683"/>
      <c r="AJ73" s="683"/>
      <c r="AK73" s="879">
        <f>SUM(AK71:AK72)</f>
        <v>0</v>
      </c>
      <c r="AL73" s="683"/>
      <c r="AM73" s="683"/>
    </row>
    <row r="74" spans="1:39" ht="15.75" x14ac:dyDescent="0.25">
      <c r="A74"/>
      <c r="B74"/>
      <c r="C74"/>
      <c r="D74"/>
      <c r="E74"/>
      <c r="F74"/>
      <c r="G74"/>
      <c r="H74"/>
      <c r="I74"/>
      <c r="J74"/>
      <c r="K74"/>
      <c r="L74"/>
      <c r="M74"/>
      <c r="N74"/>
      <c r="O74"/>
      <c r="P74"/>
      <c r="Q74"/>
      <c r="R74"/>
      <c r="S74"/>
      <c r="T74"/>
      <c r="U74"/>
      <c r="V74"/>
      <c r="W74"/>
      <c r="X74"/>
      <c r="Y74"/>
      <c r="Z74"/>
      <c r="AA74"/>
      <c r="AB74"/>
      <c r="AC74"/>
      <c r="AD74"/>
      <c r="AE74"/>
      <c r="AF74"/>
      <c r="AG74"/>
      <c r="AH74"/>
      <c r="AI74"/>
      <c r="AJ74"/>
    </row>
    <row r="75" spans="1:39" ht="15.75" x14ac:dyDescent="0.25">
      <c r="A75"/>
      <c r="B75"/>
      <c r="C75"/>
      <c r="D75"/>
      <c r="E75"/>
      <c r="F75"/>
      <c r="G75"/>
      <c r="H75"/>
      <c r="I75"/>
      <c r="J75"/>
      <c r="K75"/>
      <c r="L75"/>
      <c r="M75"/>
      <c r="N75"/>
      <c r="O75"/>
      <c r="P75"/>
      <c r="Q75"/>
      <c r="R75"/>
      <c r="S75"/>
      <c r="T75"/>
      <c r="U75"/>
      <c r="V75"/>
      <c r="W75"/>
      <c r="X75"/>
      <c r="Y75"/>
      <c r="Z75"/>
      <c r="AA75"/>
      <c r="AB75"/>
      <c r="AC75"/>
      <c r="AD75"/>
      <c r="AE75"/>
      <c r="AF75"/>
      <c r="AG75"/>
      <c r="AH75"/>
      <c r="AI75"/>
      <c r="AJ75"/>
    </row>
    <row r="76" spans="1:39" ht="15.75" x14ac:dyDescent="0.25">
      <c r="A76"/>
      <c r="B76"/>
      <c r="C76"/>
      <c r="D76"/>
      <c r="E76"/>
      <c r="F76"/>
      <c r="G76"/>
      <c r="H76"/>
      <c r="I76"/>
      <c r="J76"/>
      <c r="K76"/>
      <c r="L76"/>
      <c r="M76"/>
      <c r="N76"/>
      <c r="O76"/>
      <c r="P76"/>
      <c r="Q76"/>
      <c r="R76"/>
      <c r="S76"/>
      <c r="T76"/>
      <c r="U76"/>
      <c r="V76"/>
      <c r="W76"/>
      <c r="X76"/>
      <c r="Y76"/>
      <c r="Z76"/>
      <c r="AA76"/>
      <c r="AB76"/>
      <c r="AC76"/>
      <c r="AD76"/>
      <c r="AE76"/>
      <c r="AF76"/>
      <c r="AG76"/>
      <c r="AH76"/>
      <c r="AI76"/>
      <c r="AJ76"/>
    </row>
    <row r="77" spans="1:39" ht="15.75" x14ac:dyDescent="0.25">
      <c r="A77"/>
      <c r="B77"/>
      <c r="C77"/>
      <c r="D77"/>
      <c r="E77"/>
      <c r="F77"/>
      <c r="G77"/>
      <c r="H77"/>
      <c r="I77"/>
      <c r="J77"/>
      <c r="K77"/>
      <c r="L77"/>
      <c r="M77"/>
      <c r="N77"/>
      <c r="O77"/>
      <c r="P77"/>
      <c r="Q77"/>
      <c r="R77"/>
      <c r="S77"/>
      <c r="T77"/>
      <c r="U77"/>
      <c r="V77"/>
      <c r="W77"/>
      <c r="X77"/>
      <c r="Y77"/>
      <c r="Z77"/>
      <c r="AA77"/>
      <c r="AB77"/>
      <c r="AC77"/>
      <c r="AD77"/>
      <c r="AE77"/>
      <c r="AF77"/>
      <c r="AG77"/>
      <c r="AH77"/>
      <c r="AI77"/>
      <c r="AJ77"/>
    </row>
    <row r="78" spans="1:39" ht="15.75" x14ac:dyDescent="0.25">
      <c r="A78"/>
      <c r="B78"/>
      <c r="C78"/>
      <c r="D78"/>
      <c r="E78"/>
      <c r="F78"/>
      <c r="G78"/>
      <c r="H78"/>
      <c r="I78"/>
      <c r="J78"/>
      <c r="K78"/>
      <c r="L78"/>
      <c r="M78"/>
      <c r="N78"/>
      <c r="O78"/>
      <c r="P78"/>
      <c r="Q78"/>
      <c r="R78"/>
      <c r="S78"/>
      <c r="T78"/>
      <c r="U78"/>
      <c r="V78"/>
      <c r="W78"/>
      <c r="X78"/>
      <c r="Y78"/>
      <c r="Z78"/>
      <c r="AA78"/>
      <c r="AB78"/>
      <c r="AC78"/>
      <c r="AD78"/>
      <c r="AE78"/>
      <c r="AF78"/>
      <c r="AG78"/>
      <c r="AH78"/>
      <c r="AI78"/>
      <c r="AJ78"/>
    </row>
    <row r="79" spans="1:39" ht="15.75" x14ac:dyDescent="0.25">
      <c r="A79"/>
      <c r="B79"/>
      <c r="C79"/>
      <c r="D79"/>
      <c r="E79"/>
      <c r="F79"/>
      <c r="G79"/>
      <c r="H79"/>
      <c r="I79"/>
      <c r="J79"/>
      <c r="K79"/>
      <c r="L79"/>
      <c r="M79"/>
      <c r="N79"/>
      <c r="O79"/>
      <c r="P79"/>
      <c r="Q79"/>
      <c r="R79"/>
      <c r="S79"/>
      <c r="T79"/>
      <c r="U79"/>
      <c r="V79"/>
      <c r="W79"/>
      <c r="X79"/>
      <c r="Y79"/>
      <c r="Z79"/>
      <c r="AA79"/>
      <c r="AB79"/>
      <c r="AC79"/>
      <c r="AD79"/>
      <c r="AE79"/>
      <c r="AF79"/>
      <c r="AG79"/>
      <c r="AH79"/>
      <c r="AI79"/>
      <c r="AJ79"/>
    </row>
    <row r="80" spans="1:39" ht="15.75" x14ac:dyDescent="0.25">
      <c r="A80"/>
      <c r="B80"/>
      <c r="C80"/>
      <c r="D80"/>
      <c r="E80"/>
      <c r="F80"/>
      <c r="G80"/>
      <c r="H80"/>
      <c r="I80"/>
      <c r="J80"/>
      <c r="K80"/>
      <c r="L80"/>
      <c r="M80"/>
      <c r="N80"/>
      <c r="O80"/>
      <c r="P80"/>
      <c r="Q80"/>
      <c r="R80"/>
      <c r="S80"/>
      <c r="T80"/>
      <c r="U80"/>
      <c r="V80"/>
      <c r="W80"/>
      <c r="X80"/>
      <c r="Y80"/>
      <c r="Z80"/>
      <c r="AA80"/>
      <c r="AB80"/>
      <c r="AC80"/>
      <c r="AD80"/>
      <c r="AE80"/>
      <c r="AF80"/>
      <c r="AG80"/>
      <c r="AH80"/>
      <c r="AI80"/>
      <c r="AJ80"/>
    </row>
    <row r="81" spans="1:36" ht="15.75" x14ac:dyDescent="0.25">
      <c r="A81"/>
      <c r="B81"/>
      <c r="C81"/>
      <c r="D81"/>
      <c r="E81"/>
      <c r="F81"/>
      <c r="G81"/>
      <c r="H81"/>
      <c r="I81"/>
      <c r="J81"/>
      <c r="K81"/>
      <c r="L81"/>
      <c r="M81"/>
      <c r="N81"/>
      <c r="O81"/>
      <c r="P81"/>
      <c r="Q81"/>
      <c r="R81"/>
      <c r="S81"/>
      <c r="T81"/>
      <c r="U81"/>
      <c r="V81"/>
      <c r="W81"/>
      <c r="X81"/>
      <c r="Y81"/>
      <c r="Z81"/>
      <c r="AA81"/>
      <c r="AB81"/>
      <c r="AC81"/>
      <c r="AD81"/>
      <c r="AE81"/>
      <c r="AF81"/>
      <c r="AG81"/>
      <c r="AH81"/>
      <c r="AI81"/>
      <c r="AJ81"/>
    </row>
    <row r="82" spans="1:36" ht="15.75" x14ac:dyDescent="0.25">
      <c r="A82"/>
      <c r="B82"/>
      <c r="C82"/>
      <c r="D82"/>
      <c r="E82"/>
      <c r="F82"/>
      <c r="G82"/>
      <c r="H82"/>
      <c r="I82"/>
      <c r="J82"/>
      <c r="K82"/>
      <c r="L82"/>
      <c r="M82"/>
      <c r="N82"/>
      <c r="O82"/>
      <c r="P82"/>
      <c r="Q82"/>
      <c r="R82"/>
      <c r="S82"/>
      <c r="T82"/>
      <c r="U82"/>
      <c r="V82"/>
      <c r="W82"/>
      <c r="X82"/>
      <c r="Y82"/>
      <c r="Z82"/>
      <c r="AA82"/>
      <c r="AB82"/>
      <c r="AC82"/>
      <c r="AD82"/>
      <c r="AE82"/>
      <c r="AF82"/>
      <c r="AG82"/>
      <c r="AH82"/>
      <c r="AI82"/>
      <c r="AJ82"/>
    </row>
    <row r="83" spans="1:36" ht="15.75" x14ac:dyDescent="0.25">
      <c r="A83"/>
      <c r="B83"/>
      <c r="C83"/>
      <c r="D83"/>
      <c r="E83"/>
      <c r="F83"/>
      <c r="G83"/>
      <c r="H83"/>
      <c r="I83"/>
      <c r="J83"/>
      <c r="K83"/>
      <c r="L83"/>
      <c r="M83"/>
      <c r="N83"/>
      <c r="O83"/>
      <c r="P83"/>
      <c r="Q83"/>
      <c r="R83"/>
      <c r="S83"/>
      <c r="T83"/>
      <c r="U83"/>
      <c r="V83"/>
      <c r="W83"/>
      <c r="X83"/>
      <c r="Y83"/>
      <c r="Z83"/>
      <c r="AA83"/>
      <c r="AB83"/>
      <c r="AC83"/>
      <c r="AD83"/>
      <c r="AE83"/>
      <c r="AF83"/>
      <c r="AG83"/>
      <c r="AH83"/>
      <c r="AI83"/>
      <c r="AJ83"/>
    </row>
    <row r="84" spans="1:36" ht="15.75" x14ac:dyDescent="0.25">
      <c r="A84"/>
      <c r="B84"/>
      <c r="C84"/>
      <c r="D84"/>
      <c r="E84"/>
      <c r="F84"/>
      <c r="G84"/>
      <c r="H84"/>
      <c r="I84"/>
      <c r="J84"/>
      <c r="K84"/>
      <c r="L84"/>
      <c r="M84"/>
      <c r="N84"/>
      <c r="O84"/>
      <c r="P84"/>
      <c r="Q84"/>
      <c r="R84"/>
      <c r="S84"/>
      <c r="T84"/>
      <c r="U84"/>
      <c r="V84"/>
      <c r="W84"/>
      <c r="X84"/>
      <c r="Y84"/>
      <c r="Z84"/>
      <c r="AA84"/>
      <c r="AB84"/>
      <c r="AC84"/>
      <c r="AD84"/>
      <c r="AE84"/>
      <c r="AF84"/>
      <c r="AG84"/>
      <c r="AH84"/>
      <c r="AI84"/>
      <c r="AJ84"/>
    </row>
    <row r="85" spans="1:36" ht="15.75" x14ac:dyDescent="0.25">
      <c r="A85"/>
      <c r="B85"/>
      <c r="C85"/>
      <c r="D85"/>
      <c r="E85"/>
      <c r="F85"/>
      <c r="G85"/>
      <c r="H85"/>
      <c r="I85"/>
      <c r="J85"/>
      <c r="K85"/>
      <c r="L85"/>
      <c r="M85"/>
      <c r="N85"/>
      <c r="O85"/>
      <c r="P85"/>
      <c r="Q85"/>
      <c r="R85"/>
      <c r="S85"/>
      <c r="T85"/>
      <c r="U85"/>
      <c r="V85"/>
      <c r="W85"/>
      <c r="X85"/>
      <c r="Y85"/>
      <c r="Z85"/>
      <c r="AA85"/>
      <c r="AB85"/>
      <c r="AC85"/>
      <c r="AD85"/>
      <c r="AE85"/>
      <c r="AF85"/>
      <c r="AG85"/>
      <c r="AH85"/>
      <c r="AI85"/>
      <c r="AJ85"/>
    </row>
    <row r="86" spans="1:36" ht="15.75" x14ac:dyDescent="0.25">
      <c r="A86"/>
      <c r="B86"/>
      <c r="C86"/>
      <c r="D86"/>
      <c r="E86"/>
      <c r="F86"/>
      <c r="G86"/>
      <c r="H86"/>
      <c r="I86"/>
      <c r="J86"/>
      <c r="K86"/>
      <c r="L86"/>
      <c r="M86"/>
      <c r="N86"/>
      <c r="O86"/>
      <c r="P86"/>
      <c r="Q86"/>
      <c r="R86"/>
      <c r="S86"/>
      <c r="T86"/>
      <c r="U86"/>
      <c r="V86"/>
      <c r="W86"/>
      <c r="X86"/>
      <c r="Y86"/>
      <c r="Z86"/>
      <c r="AA86"/>
      <c r="AB86"/>
      <c r="AC86"/>
      <c r="AD86"/>
      <c r="AE86"/>
      <c r="AF86"/>
      <c r="AG86"/>
      <c r="AH86"/>
      <c r="AI86"/>
      <c r="AJ86"/>
    </row>
    <row r="87" spans="1:36" ht="15.75" x14ac:dyDescent="0.25">
      <c r="A87"/>
      <c r="B87"/>
      <c r="C87"/>
      <c r="D87"/>
      <c r="E87"/>
      <c r="F87"/>
      <c r="G87"/>
      <c r="H87"/>
      <c r="I87"/>
      <c r="J87"/>
      <c r="K87"/>
      <c r="L87"/>
      <c r="M87"/>
      <c r="N87"/>
      <c r="O87"/>
      <c r="P87"/>
      <c r="Q87"/>
      <c r="R87"/>
      <c r="S87"/>
      <c r="T87"/>
      <c r="U87"/>
      <c r="V87"/>
      <c r="W87"/>
      <c r="X87"/>
      <c r="Y87"/>
      <c r="Z87"/>
      <c r="AA87"/>
      <c r="AB87"/>
      <c r="AC87"/>
      <c r="AD87"/>
      <c r="AE87"/>
      <c r="AF87"/>
      <c r="AG87"/>
      <c r="AH87"/>
      <c r="AI87"/>
      <c r="AJ87"/>
    </row>
    <row r="88" spans="1:36" ht="15.75" x14ac:dyDescent="0.25">
      <c r="A88"/>
      <c r="B88"/>
      <c r="C88"/>
      <c r="D88"/>
      <c r="E88"/>
      <c r="F88"/>
      <c r="G88"/>
      <c r="H88"/>
      <c r="I88"/>
      <c r="J88"/>
      <c r="K88"/>
      <c r="L88"/>
      <c r="M88"/>
      <c r="N88"/>
      <c r="O88"/>
      <c r="P88"/>
      <c r="Q88"/>
      <c r="R88"/>
      <c r="S88"/>
      <c r="T88"/>
      <c r="U88"/>
      <c r="V88"/>
      <c r="W88"/>
      <c r="X88"/>
      <c r="Y88"/>
      <c r="Z88"/>
      <c r="AA88"/>
      <c r="AB88"/>
      <c r="AC88"/>
      <c r="AD88"/>
      <c r="AE88"/>
      <c r="AF88"/>
      <c r="AG88"/>
      <c r="AH88"/>
      <c r="AI88"/>
      <c r="AJ88"/>
    </row>
    <row r="89" spans="1:36" ht="15.75" x14ac:dyDescent="0.25">
      <c r="A89"/>
      <c r="B89"/>
      <c r="C89"/>
      <c r="D89"/>
      <c r="E89"/>
      <c r="F89"/>
      <c r="G89"/>
      <c r="H89"/>
      <c r="I89"/>
      <c r="J89"/>
      <c r="K89"/>
      <c r="L89"/>
      <c r="M89"/>
      <c r="N89"/>
      <c r="O89"/>
      <c r="P89"/>
      <c r="Q89"/>
      <c r="R89"/>
      <c r="S89"/>
      <c r="T89"/>
      <c r="U89"/>
      <c r="V89"/>
      <c r="W89"/>
      <c r="X89"/>
      <c r="Y89"/>
      <c r="Z89"/>
      <c r="AA89"/>
      <c r="AB89"/>
      <c r="AC89"/>
      <c r="AD89"/>
      <c r="AE89"/>
      <c r="AF89"/>
      <c r="AG89"/>
      <c r="AH89"/>
      <c r="AI89"/>
      <c r="AJ89"/>
    </row>
    <row r="90" spans="1:36" ht="15.75" x14ac:dyDescent="0.25">
      <c r="A90"/>
      <c r="B90"/>
      <c r="C90"/>
      <c r="D90"/>
      <c r="E90"/>
      <c r="F90"/>
      <c r="G90"/>
      <c r="H90"/>
      <c r="I90"/>
      <c r="J90"/>
      <c r="K90"/>
      <c r="L90"/>
      <c r="M90"/>
      <c r="N90"/>
      <c r="O90"/>
      <c r="P90"/>
      <c r="Q90"/>
      <c r="R90"/>
      <c r="S90"/>
      <c r="T90"/>
      <c r="U90"/>
      <c r="V90"/>
      <c r="W90"/>
      <c r="X90"/>
      <c r="Y90"/>
      <c r="Z90"/>
      <c r="AA90"/>
      <c r="AB90"/>
      <c r="AC90"/>
      <c r="AD90"/>
      <c r="AE90"/>
      <c r="AF90"/>
      <c r="AG90"/>
      <c r="AH90"/>
      <c r="AI90"/>
      <c r="AJ90"/>
    </row>
    <row r="91" spans="1:36" ht="15.75" x14ac:dyDescent="0.25">
      <c r="A91"/>
      <c r="B91"/>
      <c r="C91"/>
      <c r="D91"/>
      <c r="E91"/>
      <c r="F91"/>
      <c r="G91"/>
      <c r="H91"/>
      <c r="I91"/>
      <c r="J91"/>
      <c r="K91"/>
      <c r="L91"/>
      <c r="M91"/>
      <c r="N91"/>
      <c r="O91"/>
      <c r="P91"/>
      <c r="Q91"/>
      <c r="R91"/>
      <c r="S91"/>
      <c r="T91"/>
      <c r="U91"/>
      <c r="V91"/>
      <c r="W91"/>
      <c r="X91"/>
      <c r="Y91"/>
      <c r="Z91"/>
      <c r="AA91"/>
      <c r="AB91"/>
      <c r="AC91"/>
      <c r="AD91"/>
      <c r="AE91"/>
      <c r="AF91"/>
      <c r="AG91"/>
      <c r="AH91"/>
      <c r="AI91"/>
      <c r="AJ91"/>
    </row>
    <row r="92" spans="1:36" ht="15.75"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row>
    <row r="93" spans="1:36" ht="15.75" x14ac:dyDescent="0.25">
      <c r="A93"/>
      <c r="B93"/>
      <c r="C93"/>
      <c r="D93"/>
      <c r="E93"/>
      <c r="F93"/>
      <c r="G93"/>
      <c r="H93"/>
      <c r="I93"/>
      <c r="J93"/>
      <c r="K93"/>
      <c r="L93"/>
      <c r="M93"/>
      <c r="N93"/>
      <c r="O93"/>
      <c r="P93"/>
      <c r="Q93"/>
      <c r="R93"/>
      <c r="S93"/>
      <c r="T93"/>
      <c r="U93"/>
      <c r="V93"/>
      <c r="W93"/>
      <c r="X93"/>
      <c r="Y93"/>
      <c r="Z93"/>
      <c r="AA93"/>
      <c r="AB93"/>
      <c r="AC93"/>
      <c r="AD93"/>
      <c r="AE93"/>
      <c r="AF93"/>
      <c r="AG93"/>
      <c r="AH93"/>
      <c r="AI93"/>
      <c r="AJ93"/>
    </row>
    <row r="94" spans="1:36" ht="15.75" x14ac:dyDescent="0.25">
      <c r="A94"/>
      <c r="B94"/>
      <c r="C94"/>
      <c r="D94"/>
      <c r="E94"/>
      <c r="F94"/>
      <c r="G94"/>
      <c r="H94"/>
      <c r="I94"/>
      <c r="J94"/>
      <c r="K94"/>
      <c r="L94"/>
      <c r="M94"/>
      <c r="N94"/>
      <c r="O94"/>
      <c r="P94"/>
      <c r="Q94"/>
      <c r="R94"/>
      <c r="S94"/>
      <c r="T94"/>
      <c r="U94"/>
      <c r="V94"/>
      <c r="W94"/>
      <c r="X94"/>
      <c r="Y94"/>
      <c r="Z94"/>
      <c r="AA94"/>
      <c r="AB94"/>
      <c r="AC94"/>
      <c r="AD94"/>
      <c r="AE94"/>
      <c r="AF94"/>
      <c r="AG94"/>
      <c r="AH94"/>
      <c r="AI94"/>
      <c r="AJ94"/>
    </row>
    <row r="95" spans="1:36" ht="15.75" x14ac:dyDescent="0.25">
      <c r="A95"/>
      <c r="B95"/>
      <c r="C95"/>
      <c r="D95"/>
      <c r="E95"/>
      <c r="F95"/>
      <c r="G95"/>
      <c r="H95"/>
      <c r="I95"/>
      <c r="J95"/>
      <c r="K95"/>
      <c r="L95"/>
      <c r="M95"/>
      <c r="N95"/>
      <c r="O95"/>
      <c r="P95"/>
      <c r="Q95"/>
      <c r="R95"/>
      <c r="S95"/>
      <c r="T95"/>
      <c r="U95"/>
      <c r="V95"/>
      <c r="W95"/>
      <c r="X95"/>
      <c r="Y95"/>
      <c r="Z95"/>
      <c r="AA95"/>
      <c r="AB95"/>
      <c r="AC95"/>
      <c r="AD95"/>
      <c r="AE95"/>
      <c r="AF95"/>
      <c r="AG95"/>
      <c r="AH95"/>
      <c r="AI95"/>
      <c r="AJ95"/>
    </row>
    <row r="96" spans="1:36" ht="15.75" x14ac:dyDescent="0.25">
      <c r="A96"/>
      <c r="B96"/>
      <c r="C96"/>
      <c r="D96"/>
      <c r="E96"/>
      <c r="F96"/>
      <c r="G96"/>
      <c r="H96"/>
      <c r="I96"/>
      <c r="J96"/>
      <c r="K96"/>
      <c r="L96"/>
      <c r="M96"/>
      <c r="N96"/>
      <c r="O96"/>
      <c r="P96"/>
      <c r="Q96"/>
      <c r="R96"/>
      <c r="S96"/>
      <c r="T96"/>
      <c r="U96"/>
      <c r="V96"/>
      <c r="W96"/>
      <c r="X96"/>
      <c r="Y96"/>
      <c r="Z96"/>
      <c r="AA96"/>
      <c r="AB96"/>
      <c r="AC96"/>
      <c r="AD96"/>
      <c r="AE96"/>
      <c r="AF96"/>
      <c r="AG96"/>
      <c r="AH96"/>
      <c r="AI96"/>
      <c r="AJ96"/>
    </row>
    <row r="97" spans="1:36" ht="15.75" x14ac:dyDescent="0.25">
      <c r="A97"/>
      <c r="B97"/>
      <c r="C97"/>
      <c r="D97"/>
      <c r="E97"/>
      <c r="F97"/>
      <c r="G97"/>
      <c r="H97"/>
      <c r="I97"/>
      <c r="J97"/>
      <c r="K97"/>
      <c r="L97"/>
      <c r="M97"/>
      <c r="N97"/>
      <c r="O97"/>
      <c r="P97"/>
      <c r="Q97"/>
      <c r="R97"/>
      <c r="S97"/>
      <c r="T97"/>
      <c r="U97"/>
      <c r="V97"/>
      <c r="W97"/>
      <c r="X97"/>
      <c r="Y97"/>
      <c r="Z97"/>
      <c r="AA97"/>
      <c r="AB97"/>
      <c r="AC97"/>
      <c r="AD97"/>
      <c r="AE97"/>
      <c r="AF97"/>
      <c r="AG97"/>
      <c r="AH97"/>
      <c r="AI97"/>
      <c r="AJ97"/>
    </row>
    <row r="98" spans="1:36" ht="15.75" x14ac:dyDescent="0.25">
      <c r="A98"/>
      <c r="B98"/>
      <c r="C98"/>
      <c r="D98"/>
      <c r="E98"/>
      <c r="F98"/>
      <c r="G98"/>
      <c r="H98"/>
      <c r="I98"/>
      <c r="J98"/>
      <c r="K98"/>
      <c r="L98"/>
      <c r="M98"/>
      <c r="N98"/>
      <c r="O98"/>
      <c r="P98"/>
      <c r="Q98"/>
      <c r="R98"/>
      <c r="S98"/>
      <c r="T98"/>
      <c r="U98"/>
      <c r="V98"/>
      <c r="W98"/>
      <c r="X98"/>
      <c r="Y98"/>
      <c r="Z98"/>
      <c r="AA98"/>
      <c r="AB98"/>
      <c r="AC98"/>
      <c r="AD98"/>
      <c r="AE98"/>
      <c r="AF98"/>
      <c r="AG98"/>
      <c r="AH98"/>
      <c r="AI98"/>
      <c r="AJ98"/>
    </row>
    <row r="99" spans="1:36" ht="15.75" x14ac:dyDescent="0.25">
      <c r="A99"/>
      <c r="B99"/>
      <c r="C99"/>
      <c r="D99"/>
      <c r="E99"/>
      <c r="F99"/>
      <c r="G99"/>
      <c r="H99"/>
      <c r="I99"/>
      <c r="J99"/>
      <c r="K99"/>
      <c r="L99"/>
      <c r="M99"/>
      <c r="N99"/>
      <c r="O99"/>
      <c r="P99"/>
      <c r="Q99"/>
      <c r="R99"/>
      <c r="S99"/>
      <c r="T99"/>
      <c r="U99"/>
      <c r="V99"/>
      <c r="W99"/>
      <c r="X99"/>
      <c r="Y99"/>
      <c r="Z99"/>
      <c r="AA99"/>
      <c r="AB99"/>
      <c r="AC99"/>
      <c r="AD99"/>
      <c r="AE99"/>
      <c r="AF99"/>
      <c r="AG99"/>
      <c r="AH99"/>
      <c r="AI99"/>
      <c r="AJ99"/>
    </row>
    <row r="100" spans="1:36" ht="15.75" x14ac:dyDescent="0.2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row>
    <row r="101" spans="1:36" ht="15.75" x14ac:dyDescent="0.2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row>
    <row r="102" spans="1:36" ht="15.75" x14ac:dyDescent="0.2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row>
    <row r="103" spans="1:36" ht="15.75" x14ac:dyDescent="0.2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row>
    <row r="104" spans="1:36" ht="15.75" x14ac:dyDescent="0.2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row>
    <row r="105" spans="1:36" ht="15.75" x14ac:dyDescent="0.2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row>
    <row r="106" spans="1:36" ht="15.75" x14ac:dyDescent="0.2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row>
    <row r="107" spans="1:36" ht="15.75" x14ac:dyDescent="0.2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row>
    <row r="108" spans="1:36" ht="15.75" x14ac:dyDescent="0.2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row>
    <row r="109" spans="1:36" ht="15.75" x14ac:dyDescent="0.2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row>
    <row r="110" spans="1:36" ht="15.75" x14ac:dyDescent="0.2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row>
    <row r="111" spans="1:36" ht="15.75" x14ac:dyDescent="0.2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row>
    <row r="112" spans="1:36" ht="15.75" x14ac:dyDescent="0.2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row>
    <row r="113" spans="1:36" ht="15.75" x14ac:dyDescent="0.2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row>
    <row r="114" spans="1:36" ht="15.75" x14ac:dyDescent="0.2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row>
    <row r="115" spans="1:36" ht="15.75" x14ac:dyDescent="0.2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row>
    <row r="116" spans="1:36" ht="15.75" x14ac:dyDescent="0.2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row>
    <row r="117" spans="1:36" ht="15.75" x14ac:dyDescent="0.2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row>
    <row r="118" spans="1:36" ht="15.75" x14ac:dyDescent="0.2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row>
    <row r="119" spans="1:36" ht="15.75" x14ac:dyDescent="0.2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row>
    <row r="120" spans="1:36" ht="15.75" x14ac:dyDescent="0.2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row>
    <row r="121" spans="1:36" ht="15.75"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row>
    <row r="122" spans="1:36" ht="15.75"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row>
    <row r="123" spans="1:36" ht="15.75"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row>
    <row r="124" spans="1:36" ht="15.75"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row>
    <row r="125" spans="1:36" ht="15.75"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row>
    <row r="126" spans="1:36" ht="15.75"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row>
    <row r="127" spans="1:36" ht="15.75"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row>
    <row r="128" spans="1:36" ht="15.75"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row>
    <row r="129" spans="1:36" ht="15.75"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row>
    <row r="130" spans="1:36" ht="15.75"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row>
    <row r="131" spans="1:36" ht="15.75"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row>
    <row r="132" spans="1:36" ht="15.75"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row>
    <row r="133" spans="1:36" ht="15.75"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row>
    <row r="134" spans="1:36" ht="15.75"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row>
    <row r="135" spans="1:36" ht="15.75"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row>
    <row r="136" spans="1:36" ht="15.75"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row>
    <row r="137" spans="1:36" ht="15.75"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row>
    <row r="138" spans="1:36" ht="15.75"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row>
    <row r="139" spans="1:36" ht="15.75"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row>
    <row r="140" spans="1:36" ht="15.75"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row>
    <row r="141" spans="1:36" ht="15.75"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row>
    <row r="142" spans="1:36" ht="15.75"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row>
    <row r="143" spans="1:36" ht="15.75"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row>
    <row r="144" spans="1:36" ht="15.75"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row>
    <row r="145" spans="1:36" ht="15.75"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row>
    <row r="146" spans="1:36" ht="15.75"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row>
    <row r="147" spans="1:36" ht="15.75"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row>
    <row r="148" spans="1:36" ht="15.75"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row>
    <row r="149" spans="1:36" ht="15.75"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row>
    <row r="150" spans="1:36" ht="15.75"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row>
    <row r="151" spans="1:36" ht="15.75"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row>
    <row r="152" spans="1:36" ht="15.75"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row>
    <row r="153" spans="1:36" ht="15.75"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row>
    <row r="154" spans="1:36" ht="15.75"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row>
    <row r="155" spans="1:36" ht="15.75"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row>
    <row r="156" spans="1:36" ht="15.75"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row>
    <row r="157" spans="1:36" ht="15.75"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row>
    <row r="158" spans="1:36" ht="15.75"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row>
    <row r="159" spans="1:36" ht="15.75"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row>
    <row r="160" spans="1:36" ht="15.75" x14ac:dyDescent="0.2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row>
    <row r="161" spans="1:36" ht="15.75" x14ac:dyDescent="0.2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row>
    <row r="162" spans="1:36" ht="15.75" x14ac:dyDescent="0.2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row>
    <row r="163" spans="1:36" ht="15.75" x14ac:dyDescent="0.2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row>
    <row r="164" spans="1:36" ht="15.75"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row>
    <row r="165" spans="1:36" ht="15.75" x14ac:dyDescent="0.2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row>
    <row r="166" spans="1:36" ht="15.75" x14ac:dyDescent="0.2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row>
    <row r="167" spans="1:36" ht="15.75" x14ac:dyDescent="0.2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row>
    <row r="168" spans="1:36" ht="15.75" x14ac:dyDescent="0.2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row>
    <row r="169" spans="1:36" ht="15.75" x14ac:dyDescent="0.2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row>
    <row r="170" spans="1:36" ht="15.75"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row>
    <row r="171" spans="1:36" ht="15.75" x14ac:dyDescent="0.2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row>
    <row r="172" spans="1:36" ht="15.75" x14ac:dyDescent="0.2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row>
    <row r="173" spans="1:36" ht="15.75" x14ac:dyDescent="0.2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row>
    <row r="174" spans="1:36" ht="15.75" x14ac:dyDescent="0.2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row>
    <row r="175" spans="1:36" ht="15.75" x14ac:dyDescent="0.2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row>
    <row r="176" spans="1:36" ht="15.75" x14ac:dyDescent="0.2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row>
    <row r="177" spans="1:36" ht="15.75" x14ac:dyDescent="0.25">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row>
    <row r="178" spans="1:36" ht="15.75" x14ac:dyDescent="0.25">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row>
    <row r="179" spans="1:36" ht="15.75" x14ac:dyDescent="0.25">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row>
    <row r="180" spans="1:36" ht="15.75" x14ac:dyDescent="0.2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row>
    <row r="181" spans="1:36" ht="15.75" x14ac:dyDescent="0.25">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row>
    <row r="182" spans="1:36" ht="15.75" x14ac:dyDescent="0.2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row>
    <row r="183" spans="1:36" ht="15.75" x14ac:dyDescent="0.25">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row>
    <row r="184" spans="1:36" ht="15.75" x14ac:dyDescent="0.25">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row>
    <row r="185" spans="1:36" ht="15.75" x14ac:dyDescent="0.25">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row>
    <row r="186" spans="1:36" ht="15.75" x14ac:dyDescent="0.25">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row>
    <row r="187" spans="1:36" ht="15.75" x14ac:dyDescent="0.25">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row>
    <row r="188" spans="1:36" ht="15.75" x14ac:dyDescent="0.25">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row>
    <row r="189" spans="1:36" ht="15.75" x14ac:dyDescent="0.25">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row>
    <row r="190" spans="1:36" ht="15.75" x14ac:dyDescent="0.25">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row>
    <row r="191" spans="1:36" ht="15.75" x14ac:dyDescent="0.25">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row>
    <row r="192" spans="1:36" ht="15.75" x14ac:dyDescent="0.25">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row>
    <row r="193" spans="1:36" ht="15.75" x14ac:dyDescent="0.25">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row>
    <row r="194" spans="1:36" ht="15.75" x14ac:dyDescent="0.2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row>
    <row r="195" spans="1:36" ht="15.75" x14ac:dyDescent="0.25">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row>
    <row r="196" spans="1:36" ht="15.75" x14ac:dyDescent="0.25">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row>
    <row r="197" spans="1:36" ht="15.75" x14ac:dyDescent="0.25">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row>
    <row r="198" spans="1:36" ht="15.75" x14ac:dyDescent="0.25">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row>
    <row r="199" spans="1:36" ht="15.75" x14ac:dyDescent="0.25">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row>
    <row r="200" spans="1:36" ht="15.75" x14ac:dyDescent="0.25">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row>
    <row r="201" spans="1:36" ht="15.75" x14ac:dyDescent="0.25">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row>
    <row r="202" spans="1:36" ht="15.75" x14ac:dyDescent="0.2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row>
    <row r="203" spans="1:36" ht="15.75" x14ac:dyDescent="0.25">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row>
    <row r="204" spans="1:36" ht="15.75" x14ac:dyDescent="0.25">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row>
    <row r="205" spans="1:36" ht="15.75" x14ac:dyDescent="0.25">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row>
    <row r="206" spans="1:36" ht="15.75" x14ac:dyDescent="0.25">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row>
    <row r="207" spans="1:36" ht="15.75" x14ac:dyDescent="0.25">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row>
    <row r="208" spans="1:36" ht="15.75" x14ac:dyDescent="0.25">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row>
    <row r="209" spans="1:36" ht="15.75" x14ac:dyDescent="0.25">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row>
    <row r="210" spans="1:36" ht="15.75" x14ac:dyDescent="0.25">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row>
    <row r="211" spans="1:36" ht="15.75" x14ac:dyDescent="0.25">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row>
    <row r="212" spans="1:36" ht="15.75" x14ac:dyDescent="0.25">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row>
    <row r="213" spans="1:36" ht="15.75"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row>
    <row r="214" spans="1:36" ht="15.75"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row>
    <row r="215" spans="1:36" ht="15.75"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row>
    <row r="216" spans="1:36" ht="15.75"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row>
    <row r="217" spans="1:36" ht="15.75"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row>
    <row r="218" spans="1:36" ht="15.75"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row>
    <row r="219" spans="1:36" ht="15.75"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row>
    <row r="220" spans="1:36" ht="15.75"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row>
    <row r="221" spans="1:36" ht="15.75"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row>
    <row r="222" spans="1:36" ht="15.75"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row>
    <row r="223" spans="1:36" ht="15.75"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row>
    <row r="224" spans="1:36" ht="15.75"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row>
    <row r="225" spans="1:36" ht="15.75"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row>
    <row r="226" spans="1:36" ht="15.75" x14ac:dyDescent="0.2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row>
    <row r="227" spans="1:36" ht="15.75" x14ac:dyDescent="0.2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row>
    <row r="228" spans="1:36" ht="15.75" x14ac:dyDescent="0.2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row>
    <row r="229" spans="1:36" ht="15.75" x14ac:dyDescent="0.2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row>
    <row r="230" spans="1:36" ht="15.75" x14ac:dyDescent="0.2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row>
    <row r="231" spans="1:36" ht="15.75" x14ac:dyDescent="0.2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row>
    <row r="232" spans="1:36" ht="15.75" x14ac:dyDescent="0.2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row>
  </sheetData>
  <mergeCells count="3">
    <mergeCell ref="AN57:AO57"/>
    <mergeCell ref="C7:C8"/>
    <mergeCell ref="O7:O8"/>
  </mergeCells>
  <printOptions horizontalCentered="1" verticalCentered="1"/>
  <pageMargins left="0.23622047244094491" right="0.23622047244094491" top="0.51181102362204722" bottom="0.51181102362204722" header="0" footer="0"/>
  <pageSetup paperSize="9" scale="63" fitToWidth="2"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2">
    <pageSetUpPr fitToPage="1"/>
  </sheetPr>
  <dimension ref="A1:AN323"/>
  <sheetViews>
    <sheetView view="pageBreakPreview" zoomScale="55" zoomScaleNormal="95" zoomScaleSheetLayoutView="55" workbookViewId="0">
      <selection activeCell="F44" sqref="F44"/>
    </sheetView>
  </sheetViews>
  <sheetFormatPr baseColWidth="10" defaultColWidth="8.77734375" defaultRowHeight="12.75" x14ac:dyDescent="0.2"/>
  <cols>
    <col min="1" max="1" width="3" style="1" customWidth="1"/>
    <col min="2" max="2" width="15.77734375" style="1" customWidth="1"/>
    <col min="3" max="3" width="7.77734375" style="1" customWidth="1"/>
    <col min="4" max="4" width="8.109375" style="1" customWidth="1"/>
    <col min="5" max="5" width="8.77734375" style="1" customWidth="1"/>
    <col min="6" max="6" width="8.44140625" style="1" customWidth="1"/>
    <col min="7" max="7" width="13.109375" style="199" customWidth="1"/>
    <col min="8" max="9" width="11.77734375" style="199" customWidth="1"/>
    <col min="10" max="10" width="10.44140625" style="199" customWidth="1"/>
    <col min="11" max="11" width="10.44140625" style="199" hidden="1" customWidth="1"/>
    <col min="12" max="13" width="10.44140625" style="1" hidden="1" customWidth="1"/>
    <col min="14" max="14" width="15.109375" style="1" customWidth="1"/>
    <col min="15" max="15" width="14.77734375" style="1" customWidth="1"/>
    <col min="16" max="16" width="14.109375" style="1" customWidth="1"/>
    <col min="17" max="17" width="12.44140625" style="1" customWidth="1"/>
    <col min="18" max="18" width="7" style="1" customWidth="1"/>
    <col min="19" max="19" width="11.5546875" style="1" customWidth="1"/>
    <col min="20" max="20" width="5.77734375" style="1" customWidth="1"/>
    <col min="21" max="21" width="11.109375" style="1" hidden="1" customWidth="1"/>
    <col min="22" max="23" width="10.77734375" style="1" hidden="1" customWidth="1"/>
    <col min="24" max="24" width="10.5546875" style="1" hidden="1" customWidth="1"/>
    <col min="25" max="25" width="8.77734375" style="1" hidden="1" customWidth="1"/>
    <col min="26" max="26" width="9.5546875" style="1" hidden="1" customWidth="1"/>
    <col min="27" max="34" width="8.77734375" style="1" hidden="1" customWidth="1"/>
    <col min="35" max="35" width="10.109375" style="1" hidden="1" customWidth="1"/>
    <col min="36" max="36" width="10.77734375" style="1" customWidth="1"/>
    <col min="37" max="37" width="11.109375" style="1" customWidth="1"/>
    <col min="38" max="38" width="10.77734375" style="1" customWidth="1"/>
    <col min="39" max="39" width="10.109375" style="1" customWidth="1"/>
    <col min="40" max="40" width="11.109375" style="1" bestFit="1" customWidth="1"/>
    <col min="41" max="16384" width="8.77734375" style="1"/>
  </cols>
  <sheetData>
    <row r="1" spans="1:37" ht="12.75" customHeight="1" x14ac:dyDescent="0.2">
      <c r="A1" s="1" t="s">
        <v>332</v>
      </c>
      <c r="C1" s="3"/>
      <c r="D1" s="3"/>
      <c r="E1" s="6">
        <v>45992</v>
      </c>
      <c r="F1" s="462"/>
      <c r="S1" s="1" t="s">
        <v>179</v>
      </c>
      <c r="U1" s="51" t="s">
        <v>60</v>
      </c>
      <c r="V1" s="51"/>
      <c r="W1" s="67">
        <f>DATE(YEAR(E1),MONTH(E1)+1,1)-DATE(YEAR(E1),MONTH(E1),1)</f>
        <v>31</v>
      </c>
    </row>
    <row r="2" spans="1:37" x14ac:dyDescent="0.2">
      <c r="A2" s="3" t="s">
        <v>0</v>
      </c>
      <c r="I2" s="882"/>
      <c r="N2" s="365"/>
      <c r="O2" s="179"/>
    </row>
    <row r="3" spans="1:37" x14ac:dyDescent="0.2">
      <c r="A3" s="133" t="s">
        <v>109</v>
      </c>
      <c r="B3" s="133"/>
      <c r="C3" s="133"/>
      <c r="D3" s="133"/>
      <c r="E3" s="133"/>
      <c r="F3" s="133"/>
      <c r="G3" s="133"/>
      <c r="H3" s="133"/>
      <c r="I3" s="133"/>
      <c r="J3" s="133"/>
      <c r="K3" s="133"/>
      <c r="L3" s="133"/>
      <c r="M3" s="133"/>
      <c r="N3" s="133"/>
      <c r="O3" s="133"/>
      <c r="P3" s="133"/>
      <c r="Q3" s="133"/>
      <c r="R3" s="133"/>
      <c r="S3" s="133"/>
      <c r="T3" s="133"/>
    </row>
    <row r="4" spans="1:37" x14ac:dyDescent="0.2">
      <c r="A4" s="132" t="str">
        <f>"Correspondiente a  "&amp;TEXT(E1,"MMMMMMM YYYY")</f>
        <v>Correspondiente a  Diciembre 2025</v>
      </c>
      <c r="B4" s="132"/>
      <c r="C4" s="132"/>
      <c r="D4" s="132"/>
      <c r="E4" s="132"/>
      <c r="F4" s="132"/>
      <c r="G4" s="132"/>
      <c r="H4" s="132"/>
      <c r="I4" s="132"/>
      <c r="J4" s="132"/>
      <c r="K4" s="132"/>
      <c r="L4" s="132"/>
      <c r="M4" s="132"/>
      <c r="N4" s="132"/>
      <c r="O4" s="881"/>
      <c r="P4" s="132"/>
      <c r="Q4" s="132"/>
      <c r="R4" s="132"/>
      <c r="S4" s="132"/>
      <c r="T4" s="132"/>
    </row>
    <row r="5" spans="1:37"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c r="U5" s="65"/>
      <c r="V5" s="65"/>
    </row>
    <row r="6" spans="1:37" x14ac:dyDescent="0.2">
      <c r="E6" s="65"/>
      <c r="F6" s="65"/>
      <c r="G6" s="264"/>
      <c r="H6" s="200"/>
      <c r="O6" s="257"/>
      <c r="Q6" s="385"/>
      <c r="U6" s="65"/>
      <c r="W6" s="65"/>
    </row>
    <row r="7" spans="1:37"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7"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7"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7" x14ac:dyDescent="0.2">
      <c r="A10" s="23" t="s">
        <v>28</v>
      </c>
      <c r="B10" s="24" t="s">
        <v>13</v>
      </c>
      <c r="C10" s="57" t="s">
        <v>29</v>
      </c>
      <c r="D10" s="25" t="s">
        <v>21</v>
      </c>
      <c r="E10" s="57" t="s">
        <v>98</v>
      </c>
      <c r="F10" s="236" t="s">
        <v>37</v>
      </c>
      <c r="G10" s="215"/>
      <c r="H10" s="215"/>
      <c r="I10" s="1168"/>
      <c r="J10" s="1168"/>
      <c r="K10" s="222"/>
      <c r="L10" s="222"/>
      <c r="M10" s="222"/>
      <c r="N10" s="386"/>
      <c r="O10" s="215">
        <f t="shared" ref="O10:O26" si="0">ROUND(G10*I10,2)+ROUND(H10*J10,2)-K10-L10-M10-N10</f>
        <v>0</v>
      </c>
      <c r="P10" s="222">
        <f t="shared" ref="P10:P26" si="1">ROUND(18.75%*O10,2)</f>
        <v>0</v>
      </c>
      <c r="Q10" s="222">
        <f t="shared" ref="Q10:Q26" si="2">ROUND($O10*R10,2)</f>
        <v>0</v>
      </c>
      <c r="R10" s="223">
        <v>0.15</v>
      </c>
      <c r="S10" s="222">
        <f t="shared" ref="S10:S32" si="3">ROUND($O10*T10,2)</f>
        <v>0</v>
      </c>
      <c r="T10" s="258">
        <v>3.7499999999999999E-2</v>
      </c>
      <c r="U10" s="66">
        <f t="shared" ref="U10:U28" si="4">IF($F10&amp;"/Día"=W$9,SUM($G10:$H10),"")</f>
        <v>0</v>
      </c>
      <c r="V10" s="66">
        <f t="shared" ref="V10:V28" si="5">IF(U10&lt;&gt;"",$O10,"")</f>
        <v>0</v>
      </c>
      <c r="W10" s="73">
        <f t="shared" ref="W10:W28" si="6">IF($F10&amp;"/Día"=W$9,ROUND(U10/$W$1,1),"")</f>
        <v>0</v>
      </c>
      <c r="X10" s="74">
        <f t="shared" ref="X10:X28" si="7">IF(U10=0,0,IF($F10&amp;"/Día"=W$9,ROUND(V10/U10,4),""))</f>
        <v>0</v>
      </c>
      <c r="Y10" s="74">
        <f t="shared" ref="Y10:Y28" si="8">IF(U10=0,0,IF($F10&amp;"/Día"=W$9,ROUND(Z10/U10,4),""))</f>
        <v>0</v>
      </c>
      <c r="Z10" s="66">
        <f t="shared" ref="Z10:Z28" si="9">IF(U10&lt;&gt;"",$P10,"")</f>
        <v>0</v>
      </c>
      <c r="AA10" s="66" t="str">
        <f t="shared" ref="AA10:AA28" si="10">IF($F10&amp;"/Día"=AC$9,SUM($G10:$H10),"")</f>
        <v/>
      </c>
      <c r="AB10" s="66" t="str">
        <f t="shared" ref="AB10:AB28" si="11">IF(AA10&lt;&gt;"",$O10,"")</f>
        <v/>
      </c>
      <c r="AC10" s="73" t="str">
        <f t="shared" ref="AC10:AC28" si="12">IF($F10&amp;"/Día"=AC$9,ROUND(AA10/$W$1,1),"")</f>
        <v/>
      </c>
      <c r="AD10" s="74" t="str">
        <f t="shared" ref="AD10:AD28" si="13">IF(AA10=0,0,IF($F10&amp;"/Día"=AC$9,ROUND(AB10/AA10,4),""))</f>
        <v/>
      </c>
      <c r="AE10" s="74" t="str">
        <f t="shared" ref="AE10:AE28" si="14">IF(AA10=0,0,IF($F10&amp;"/Día"=AC$9,ROUND(AF10/AA10,4),""))</f>
        <v/>
      </c>
      <c r="AF10" s="66" t="str">
        <f t="shared" ref="AF10:AF28" si="15">IF(AA10&lt;&gt;"",$P10,"")</f>
        <v/>
      </c>
      <c r="AG10" s="49"/>
      <c r="AJ10" s="257"/>
      <c r="AK10" s="257"/>
    </row>
    <row r="11" spans="1:37" ht="12.75" customHeight="1" x14ac:dyDescent="0.2">
      <c r="A11" s="23" t="s">
        <v>28</v>
      </c>
      <c r="B11" s="24" t="s">
        <v>14</v>
      </c>
      <c r="C11" s="57" t="s">
        <v>29</v>
      </c>
      <c r="D11" s="25" t="s">
        <v>21</v>
      </c>
      <c r="E11" s="57" t="s">
        <v>98</v>
      </c>
      <c r="F11" s="236" t="s">
        <v>56</v>
      </c>
      <c r="G11" s="215"/>
      <c r="H11" s="215"/>
      <c r="I11" s="1168"/>
      <c r="J11" s="1168"/>
      <c r="K11" s="222"/>
      <c r="L11" s="222"/>
      <c r="M11" s="222"/>
      <c r="N11" s="386"/>
      <c r="O11" s="215">
        <f t="shared" si="0"/>
        <v>0</v>
      </c>
      <c r="P11" s="222">
        <f t="shared" si="1"/>
        <v>0</v>
      </c>
      <c r="Q11" s="222">
        <f t="shared" si="2"/>
        <v>0</v>
      </c>
      <c r="R11" s="223">
        <v>0.15</v>
      </c>
      <c r="S11" s="222">
        <f t="shared" si="3"/>
        <v>0</v>
      </c>
      <c r="T11" s="258">
        <v>3.7499999999999999E-2</v>
      </c>
      <c r="U11" s="40" t="str">
        <f t="shared" si="4"/>
        <v/>
      </c>
      <c r="V11" s="40" t="str">
        <f t="shared" si="5"/>
        <v/>
      </c>
      <c r="W11" s="75" t="str">
        <f t="shared" si="6"/>
        <v/>
      </c>
      <c r="X11" s="76" t="str">
        <f t="shared" si="7"/>
        <v/>
      </c>
      <c r="Y11" s="76" t="str">
        <f t="shared" si="8"/>
        <v/>
      </c>
      <c r="Z11" s="40" t="str">
        <f t="shared" si="9"/>
        <v/>
      </c>
      <c r="AA11" s="40">
        <f t="shared" si="10"/>
        <v>0</v>
      </c>
      <c r="AB11" s="40">
        <f t="shared" si="11"/>
        <v>0</v>
      </c>
      <c r="AC11" s="75">
        <f t="shared" si="12"/>
        <v>0</v>
      </c>
      <c r="AD11" s="76">
        <f t="shared" si="13"/>
        <v>0</v>
      </c>
      <c r="AE11" s="76">
        <f t="shared" si="14"/>
        <v>0</v>
      </c>
      <c r="AF11" s="40">
        <f t="shared" si="15"/>
        <v>0</v>
      </c>
      <c r="AG11" s="50"/>
      <c r="AJ11" s="257"/>
      <c r="AK11" s="257"/>
    </row>
    <row r="12" spans="1:37" x14ac:dyDescent="0.2">
      <c r="A12" s="23" t="s">
        <v>28</v>
      </c>
      <c r="B12" s="1131" t="s">
        <v>3</v>
      </c>
      <c r="C12" s="57" t="s">
        <v>31</v>
      </c>
      <c r="D12" s="25" t="s">
        <v>30</v>
      </c>
      <c r="E12" s="57" t="s">
        <v>101</v>
      </c>
      <c r="F12" s="236" t="s">
        <v>37</v>
      </c>
      <c r="G12" s="215"/>
      <c r="H12" s="215"/>
      <c r="I12" s="1168"/>
      <c r="J12" s="1168"/>
      <c r="K12" s="222"/>
      <c r="L12" s="222"/>
      <c r="M12" s="222"/>
      <c r="N12" s="386"/>
      <c r="O12" s="215">
        <f t="shared" si="0"/>
        <v>0</v>
      </c>
      <c r="P12" s="222">
        <f t="shared" si="1"/>
        <v>0</v>
      </c>
      <c r="Q12" s="222">
        <f t="shared" si="2"/>
        <v>0</v>
      </c>
      <c r="R12" s="223">
        <v>0.15</v>
      </c>
      <c r="S12" s="222">
        <f t="shared" si="3"/>
        <v>0</v>
      </c>
      <c r="T12" s="258">
        <v>3.7499999999999999E-2</v>
      </c>
      <c r="U12" s="40">
        <f t="shared" si="4"/>
        <v>0</v>
      </c>
      <c r="V12" s="40">
        <f t="shared" si="5"/>
        <v>0</v>
      </c>
      <c r="W12" s="75">
        <f t="shared" si="6"/>
        <v>0</v>
      </c>
      <c r="X12" s="76">
        <f t="shared" si="7"/>
        <v>0</v>
      </c>
      <c r="Y12" s="76">
        <f t="shared" si="8"/>
        <v>0</v>
      </c>
      <c r="Z12" s="40">
        <f t="shared" si="9"/>
        <v>0</v>
      </c>
      <c r="AA12" s="40" t="str">
        <f t="shared" si="10"/>
        <v/>
      </c>
      <c r="AB12" s="40" t="str">
        <f t="shared" si="11"/>
        <v/>
      </c>
      <c r="AC12" s="75" t="str">
        <f t="shared" si="12"/>
        <v/>
      </c>
      <c r="AD12" s="76" t="str">
        <f t="shared" si="13"/>
        <v/>
      </c>
      <c r="AE12" s="76" t="str">
        <f t="shared" si="14"/>
        <v/>
      </c>
      <c r="AF12" s="40" t="str">
        <f t="shared" si="15"/>
        <v/>
      </c>
      <c r="AG12" s="50"/>
      <c r="AJ12" s="257"/>
      <c r="AK12" s="257"/>
    </row>
    <row r="13" spans="1:37" x14ac:dyDescent="0.2">
      <c r="A13" s="242" t="s">
        <v>28</v>
      </c>
      <c r="B13" s="1132" t="s">
        <v>369</v>
      </c>
      <c r="C13" s="236" t="s">
        <v>29</v>
      </c>
      <c r="D13" s="243" t="s">
        <v>21</v>
      </c>
      <c r="E13" s="236" t="s">
        <v>98</v>
      </c>
      <c r="F13" s="236" t="s">
        <v>56</v>
      </c>
      <c r="G13" s="215"/>
      <c r="H13" s="215"/>
      <c r="I13" s="1168"/>
      <c r="J13" s="1168"/>
      <c r="K13" s="222"/>
      <c r="L13" s="222"/>
      <c r="M13" s="222"/>
      <c r="N13" s="386"/>
      <c r="O13" s="215">
        <f t="shared" si="0"/>
        <v>0</v>
      </c>
      <c r="P13" s="222">
        <f t="shared" si="1"/>
        <v>0</v>
      </c>
      <c r="Q13" s="222">
        <f t="shared" si="2"/>
        <v>0</v>
      </c>
      <c r="R13" s="223">
        <v>0.15</v>
      </c>
      <c r="S13" s="222">
        <f t="shared" si="3"/>
        <v>0</v>
      </c>
      <c r="T13" s="258">
        <v>3.7499999999999999E-2</v>
      </c>
      <c r="U13" s="40" t="str">
        <f t="shared" si="4"/>
        <v/>
      </c>
      <c r="V13" s="40" t="str">
        <f t="shared" si="5"/>
        <v/>
      </c>
      <c r="W13" s="75" t="str">
        <f t="shared" si="6"/>
        <v/>
      </c>
      <c r="X13" s="76" t="str">
        <f t="shared" si="7"/>
        <v/>
      </c>
      <c r="Y13" s="76" t="str">
        <f t="shared" si="8"/>
        <v/>
      </c>
      <c r="Z13" s="40" t="str">
        <f t="shared" si="9"/>
        <v/>
      </c>
      <c r="AA13" s="40">
        <f t="shared" si="10"/>
        <v>0</v>
      </c>
      <c r="AB13" s="40">
        <f t="shared" si="11"/>
        <v>0</v>
      </c>
      <c r="AC13" s="75">
        <f t="shared" si="12"/>
        <v>0</v>
      </c>
      <c r="AD13" s="76">
        <f t="shared" si="13"/>
        <v>0</v>
      </c>
      <c r="AE13" s="76">
        <f t="shared" si="14"/>
        <v>0</v>
      </c>
      <c r="AF13" s="40">
        <f t="shared" si="15"/>
        <v>0</v>
      </c>
      <c r="AG13" s="50"/>
      <c r="AJ13" s="257"/>
      <c r="AK13" s="257"/>
    </row>
    <row r="14" spans="1:37" x14ac:dyDescent="0.2">
      <c r="A14" s="23" t="s">
        <v>28</v>
      </c>
      <c r="B14" s="24" t="s">
        <v>4</v>
      </c>
      <c r="C14" s="57" t="s">
        <v>31</v>
      </c>
      <c r="D14" s="25" t="s">
        <v>30</v>
      </c>
      <c r="E14" s="57" t="s">
        <v>101</v>
      </c>
      <c r="F14" s="236" t="s">
        <v>37</v>
      </c>
      <c r="G14" s="215"/>
      <c r="H14" s="215"/>
      <c r="I14" s="1168"/>
      <c r="J14" s="1168"/>
      <c r="K14" s="222"/>
      <c r="L14" s="222"/>
      <c r="M14" s="222"/>
      <c r="N14" s="386"/>
      <c r="O14" s="215">
        <f t="shared" si="0"/>
        <v>0</v>
      </c>
      <c r="P14" s="222">
        <f t="shared" si="1"/>
        <v>0</v>
      </c>
      <c r="Q14" s="222">
        <f t="shared" si="2"/>
        <v>0</v>
      </c>
      <c r="R14" s="223">
        <v>0.15</v>
      </c>
      <c r="S14" s="222">
        <f t="shared" si="3"/>
        <v>0</v>
      </c>
      <c r="T14" s="258">
        <v>3.7499999999999999E-2</v>
      </c>
      <c r="U14" s="40">
        <f t="shared" si="4"/>
        <v>0</v>
      </c>
      <c r="V14" s="40">
        <f t="shared" si="5"/>
        <v>0</v>
      </c>
      <c r="W14" s="75">
        <f t="shared" si="6"/>
        <v>0</v>
      </c>
      <c r="X14" s="76">
        <f t="shared" si="7"/>
        <v>0</v>
      </c>
      <c r="Y14" s="76">
        <f t="shared" si="8"/>
        <v>0</v>
      </c>
      <c r="Z14" s="40">
        <f t="shared" si="9"/>
        <v>0</v>
      </c>
      <c r="AA14" s="40" t="str">
        <f t="shared" si="10"/>
        <v/>
      </c>
      <c r="AB14" s="40" t="str">
        <f t="shared" si="11"/>
        <v/>
      </c>
      <c r="AC14" s="75" t="str">
        <f t="shared" si="12"/>
        <v/>
      </c>
      <c r="AD14" s="76" t="str">
        <f t="shared" si="13"/>
        <v/>
      </c>
      <c r="AE14" s="76" t="str">
        <f t="shared" si="14"/>
        <v/>
      </c>
      <c r="AF14" s="40" t="str">
        <f t="shared" si="15"/>
        <v/>
      </c>
      <c r="AG14" s="50"/>
      <c r="AJ14" s="257"/>
      <c r="AK14" s="257"/>
    </row>
    <row r="15" spans="1:37" x14ac:dyDescent="0.2">
      <c r="A15" s="23" t="s">
        <v>28</v>
      </c>
      <c r="B15" s="24" t="s">
        <v>370</v>
      </c>
      <c r="C15" s="236" t="s">
        <v>29</v>
      </c>
      <c r="D15" s="243" t="s">
        <v>21</v>
      </c>
      <c r="E15" s="236" t="s">
        <v>98</v>
      </c>
      <c r="F15" s="236" t="s">
        <v>56</v>
      </c>
      <c r="G15" s="215"/>
      <c r="H15" s="215"/>
      <c r="I15" s="1168"/>
      <c r="J15" s="1168"/>
      <c r="K15" s="222"/>
      <c r="L15" s="222"/>
      <c r="M15" s="222"/>
      <c r="N15" s="222"/>
      <c r="O15" s="224">
        <f t="shared" si="0"/>
        <v>0</v>
      </c>
      <c r="P15" s="222">
        <f t="shared" si="1"/>
        <v>0</v>
      </c>
      <c r="Q15" s="222">
        <f t="shared" si="2"/>
        <v>0</v>
      </c>
      <c r="R15" s="223">
        <v>0.15</v>
      </c>
      <c r="S15" s="222">
        <f t="shared" si="3"/>
        <v>0</v>
      </c>
      <c r="T15" s="258">
        <v>3.7499999999999999E-2</v>
      </c>
      <c r="U15" s="40" t="str">
        <f t="shared" si="4"/>
        <v/>
      </c>
      <c r="V15" s="40" t="str">
        <f t="shared" si="5"/>
        <v/>
      </c>
      <c r="W15" s="75" t="str">
        <f t="shared" si="6"/>
        <v/>
      </c>
      <c r="X15" s="76" t="str">
        <f t="shared" si="7"/>
        <v/>
      </c>
      <c r="Y15" s="76" t="str">
        <f t="shared" si="8"/>
        <v/>
      </c>
      <c r="Z15" s="40" t="str">
        <f t="shared" si="9"/>
        <v/>
      </c>
      <c r="AA15" s="40">
        <f t="shared" si="10"/>
        <v>0</v>
      </c>
      <c r="AB15" s="40">
        <f t="shared" si="11"/>
        <v>0</v>
      </c>
      <c r="AC15" s="75">
        <f t="shared" si="12"/>
        <v>0</v>
      </c>
      <c r="AD15" s="76">
        <f t="shared" si="13"/>
        <v>0</v>
      </c>
      <c r="AE15" s="76">
        <f t="shared" si="14"/>
        <v>0</v>
      </c>
      <c r="AF15" s="40">
        <f t="shared" si="15"/>
        <v>0</v>
      </c>
      <c r="AG15" s="50"/>
      <c r="AJ15" s="257"/>
      <c r="AK15" s="257"/>
    </row>
    <row r="16" spans="1:37" x14ac:dyDescent="0.2">
      <c r="A16" s="23" t="s">
        <v>28</v>
      </c>
      <c r="B16" s="24" t="s">
        <v>5</v>
      </c>
      <c r="C16" s="57" t="s">
        <v>31</v>
      </c>
      <c r="D16" s="25" t="s">
        <v>30</v>
      </c>
      <c r="E16" s="57" t="s">
        <v>101</v>
      </c>
      <c r="F16" s="236" t="s">
        <v>37</v>
      </c>
      <c r="G16" s="215"/>
      <c r="H16" s="215"/>
      <c r="I16" s="1168"/>
      <c r="J16" s="1168"/>
      <c r="K16" s="222"/>
      <c r="L16" s="222"/>
      <c r="M16" s="222"/>
      <c r="N16" s="222"/>
      <c r="O16" s="215">
        <f t="shared" si="0"/>
        <v>0</v>
      </c>
      <c r="P16" s="222">
        <f t="shared" si="1"/>
        <v>0</v>
      </c>
      <c r="Q16" s="222">
        <f t="shared" si="2"/>
        <v>0</v>
      </c>
      <c r="R16" s="223">
        <v>0.15</v>
      </c>
      <c r="S16" s="222">
        <f t="shared" si="3"/>
        <v>0</v>
      </c>
      <c r="T16" s="258">
        <v>3.7499999999999999E-2</v>
      </c>
      <c r="U16" s="40">
        <f t="shared" si="4"/>
        <v>0</v>
      </c>
      <c r="V16" s="40">
        <f t="shared" si="5"/>
        <v>0</v>
      </c>
      <c r="W16" s="75">
        <f t="shared" si="6"/>
        <v>0</v>
      </c>
      <c r="X16" s="76">
        <f t="shared" si="7"/>
        <v>0</v>
      </c>
      <c r="Y16" s="76">
        <f t="shared" si="8"/>
        <v>0</v>
      </c>
      <c r="Z16" s="40">
        <f t="shared" si="9"/>
        <v>0</v>
      </c>
      <c r="AA16" s="40" t="str">
        <f t="shared" si="10"/>
        <v/>
      </c>
      <c r="AB16" s="40" t="str">
        <f t="shared" si="11"/>
        <v/>
      </c>
      <c r="AC16" s="75" t="str">
        <f t="shared" si="12"/>
        <v/>
      </c>
      <c r="AD16" s="76" t="str">
        <f t="shared" si="13"/>
        <v/>
      </c>
      <c r="AE16" s="76" t="str">
        <f t="shared" si="14"/>
        <v/>
      </c>
      <c r="AF16" s="40" t="str">
        <f t="shared" si="15"/>
        <v/>
      </c>
      <c r="AG16" s="50"/>
      <c r="AJ16" s="257"/>
      <c r="AK16" s="257"/>
    </row>
    <row r="17" spans="1:37" x14ac:dyDescent="0.2">
      <c r="A17" s="23" t="s">
        <v>28</v>
      </c>
      <c r="B17" s="24" t="s">
        <v>371</v>
      </c>
      <c r="C17" s="57" t="s">
        <v>31</v>
      </c>
      <c r="D17" s="25" t="s">
        <v>30</v>
      </c>
      <c r="E17" s="57" t="s">
        <v>101</v>
      </c>
      <c r="F17" s="236" t="s">
        <v>37</v>
      </c>
      <c r="G17" s="215"/>
      <c r="H17" s="215"/>
      <c r="I17" s="1168"/>
      <c r="J17" s="1168"/>
      <c r="K17" s="222"/>
      <c r="L17" s="222"/>
      <c r="M17" s="222"/>
      <c r="N17" s="222"/>
      <c r="O17" s="215">
        <f t="shared" si="0"/>
        <v>0</v>
      </c>
      <c r="P17" s="222">
        <f t="shared" si="1"/>
        <v>0</v>
      </c>
      <c r="Q17" s="222">
        <f t="shared" si="2"/>
        <v>0</v>
      </c>
      <c r="R17" s="223">
        <v>0.15</v>
      </c>
      <c r="S17" s="222">
        <f t="shared" si="3"/>
        <v>0</v>
      </c>
      <c r="T17" s="258">
        <v>3.7499999999999999E-2</v>
      </c>
      <c r="U17" s="40">
        <f t="shared" si="4"/>
        <v>0</v>
      </c>
      <c r="V17" s="40">
        <f t="shared" si="5"/>
        <v>0</v>
      </c>
      <c r="W17" s="75">
        <f t="shared" si="6"/>
        <v>0</v>
      </c>
      <c r="X17" s="76">
        <f t="shared" si="7"/>
        <v>0</v>
      </c>
      <c r="Y17" s="76">
        <f t="shared" si="8"/>
        <v>0</v>
      </c>
      <c r="Z17" s="40">
        <f t="shared" si="9"/>
        <v>0</v>
      </c>
      <c r="AA17" s="40" t="str">
        <f t="shared" si="10"/>
        <v/>
      </c>
      <c r="AB17" s="40" t="str">
        <f t="shared" si="11"/>
        <v/>
      </c>
      <c r="AC17" s="75" t="str">
        <f t="shared" si="12"/>
        <v/>
      </c>
      <c r="AD17" s="76" t="str">
        <f t="shared" si="13"/>
        <v/>
      </c>
      <c r="AE17" s="76" t="str">
        <f t="shared" si="14"/>
        <v/>
      </c>
      <c r="AF17" s="40" t="str">
        <f t="shared" si="15"/>
        <v/>
      </c>
      <c r="AG17" s="50"/>
      <c r="AJ17" s="257"/>
      <c r="AK17" s="257"/>
    </row>
    <row r="18" spans="1:37" x14ac:dyDescent="0.2">
      <c r="A18" s="23" t="s">
        <v>28</v>
      </c>
      <c r="B18" s="24" t="s">
        <v>17</v>
      </c>
      <c r="C18" s="57" t="s">
        <v>29</v>
      </c>
      <c r="D18" s="25" t="s">
        <v>21</v>
      </c>
      <c r="E18" s="57" t="s">
        <v>98</v>
      </c>
      <c r="F18" s="236" t="s">
        <v>37</v>
      </c>
      <c r="G18" s="215"/>
      <c r="H18" s="215"/>
      <c r="I18" s="1168"/>
      <c r="J18" s="1168"/>
      <c r="K18" s="222"/>
      <c r="L18" s="222"/>
      <c r="M18" s="222"/>
      <c r="N18" s="386"/>
      <c r="O18" s="224">
        <f t="shared" si="0"/>
        <v>0</v>
      </c>
      <c r="P18" s="222">
        <f t="shared" si="1"/>
        <v>0</v>
      </c>
      <c r="Q18" s="222">
        <f t="shared" si="2"/>
        <v>0</v>
      </c>
      <c r="R18" s="223">
        <v>0.15</v>
      </c>
      <c r="S18" s="222">
        <f t="shared" si="3"/>
        <v>0</v>
      </c>
      <c r="T18" s="258">
        <v>3.7499999999999999E-2</v>
      </c>
      <c r="U18" s="40">
        <f t="shared" si="4"/>
        <v>0</v>
      </c>
      <c r="V18" s="40">
        <f t="shared" si="5"/>
        <v>0</v>
      </c>
      <c r="W18" s="75">
        <f t="shared" si="6"/>
        <v>0</v>
      </c>
      <c r="X18" s="76">
        <f t="shared" si="7"/>
        <v>0</v>
      </c>
      <c r="Y18" s="76">
        <f t="shared" si="8"/>
        <v>0</v>
      </c>
      <c r="Z18" s="40">
        <f t="shared" si="9"/>
        <v>0</v>
      </c>
      <c r="AA18" s="40" t="str">
        <f t="shared" si="10"/>
        <v/>
      </c>
      <c r="AB18" s="40" t="str">
        <f t="shared" si="11"/>
        <v/>
      </c>
      <c r="AC18" s="75" t="str">
        <f t="shared" si="12"/>
        <v/>
      </c>
      <c r="AD18" s="76" t="str">
        <f t="shared" si="13"/>
        <v/>
      </c>
      <c r="AE18" s="76" t="str">
        <f t="shared" si="14"/>
        <v/>
      </c>
      <c r="AF18" s="40" t="str">
        <f t="shared" si="15"/>
        <v/>
      </c>
      <c r="AG18" s="50"/>
      <c r="AJ18" s="257"/>
      <c r="AK18" s="257"/>
    </row>
    <row r="19" spans="1:37" x14ac:dyDescent="0.2">
      <c r="A19" s="376" t="s">
        <v>28</v>
      </c>
      <c r="B19" s="377" t="s">
        <v>237</v>
      </c>
      <c r="C19" s="378" t="s">
        <v>31</v>
      </c>
      <c r="D19" s="379" t="s">
        <v>30</v>
      </c>
      <c r="E19" s="378" t="s">
        <v>98</v>
      </c>
      <c r="F19" s="236" t="s">
        <v>37</v>
      </c>
      <c r="G19" s="215"/>
      <c r="H19" s="215"/>
      <c r="I19" s="1169"/>
      <c r="J19" s="1168"/>
      <c r="K19" s="222"/>
      <c r="L19" s="222"/>
      <c r="M19" s="222"/>
      <c r="N19" s="386"/>
      <c r="O19" s="224">
        <f t="shared" si="0"/>
        <v>0</v>
      </c>
      <c r="P19" s="222">
        <f t="shared" si="1"/>
        <v>0</v>
      </c>
      <c r="Q19" s="222">
        <f t="shared" si="2"/>
        <v>0</v>
      </c>
      <c r="R19" s="223">
        <v>0.15</v>
      </c>
      <c r="S19" s="222">
        <f t="shared" si="3"/>
        <v>0</v>
      </c>
      <c r="T19" s="258">
        <v>3.7499999999999999E-2</v>
      </c>
      <c r="U19" s="40">
        <f t="shared" si="4"/>
        <v>0</v>
      </c>
      <c r="V19" s="40">
        <f t="shared" si="5"/>
        <v>0</v>
      </c>
      <c r="W19" s="75">
        <f t="shared" si="6"/>
        <v>0</v>
      </c>
      <c r="X19" s="76">
        <f t="shared" si="7"/>
        <v>0</v>
      </c>
      <c r="Y19" s="76">
        <f t="shared" si="8"/>
        <v>0</v>
      </c>
      <c r="Z19" s="40">
        <f t="shared" si="9"/>
        <v>0</v>
      </c>
      <c r="AA19" s="40" t="str">
        <f t="shared" si="10"/>
        <v/>
      </c>
      <c r="AB19" s="40" t="str">
        <f t="shared" si="11"/>
        <v/>
      </c>
      <c r="AC19" s="75" t="str">
        <f t="shared" si="12"/>
        <v/>
      </c>
      <c r="AD19" s="76" t="str">
        <f t="shared" si="13"/>
        <v/>
      </c>
      <c r="AE19" s="76" t="str">
        <f t="shared" si="14"/>
        <v/>
      </c>
      <c r="AF19" s="40" t="str">
        <f t="shared" si="15"/>
        <v/>
      </c>
      <c r="AG19" s="50"/>
      <c r="AJ19" s="257"/>
      <c r="AK19" s="257"/>
    </row>
    <row r="20" spans="1:37" x14ac:dyDescent="0.2">
      <c r="A20" s="376" t="s">
        <v>28</v>
      </c>
      <c r="B20" s="377" t="s">
        <v>239</v>
      </c>
      <c r="C20" s="378" t="s">
        <v>31</v>
      </c>
      <c r="D20" s="379" t="s">
        <v>30</v>
      </c>
      <c r="E20" s="378" t="s">
        <v>98</v>
      </c>
      <c r="F20" s="236" t="s">
        <v>56</v>
      </c>
      <c r="G20" s="215"/>
      <c r="H20" s="215"/>
      <c r="I20" s="1169"/>
      <c r="J20" s="1168"/>
      <c r="K20" s="222"/>
      <c r="L20" s="222"/>
      <c r="M20" s="222"/>
      <c r="N20" s="386"/>
      <c r="O20" s="224">
        <f t="shared" si="0"/>
        <v>0</v>
      </c>
      <c r="P20" s="222">
        <f t="shared" si="1"/>
        <v>0</v>
      </c>
      <c r="Q20" s="222">
        <f t="shared" si="2"/>
        <v>0</v>
      </c>
      <c r="R20" s="223">
        <v>0.15</v>
      </c>
      <c r="S20" s="222">
        <f t="shared" si="3"/>
        <v>0</v>
      </c>
      <c r="T20" s="258">
        <v>3.7499999999999999E-2</v>
      </c>
      <c r="U20" s="40" t="str">
        <f t="shared" si="4"/>
        <v/>
      </c>
      <c r="V20" s="40" t="str">
        <f t="shared" si="5"/>
        <v/>
      </c>
      <c r="W20" s="75" t="str">
        <f t="shared" si="6"/>
        <v/>
      </c>
      <c r="X20" s="76" t="str">
        <f t="shared" si="7"/>
        <v/>
      </c>
      <c r="Y20" s="76" t="str">
        <f t="shared" si="8"/>
        <v/>
      </c>
      <c r="Z20" s="40" t="str">
        <f t="shared" si="9"/>
        <v/>
      </c>
      <c r="AA20" s="40">
        <f t="shared" si="10"/>
        <v>0</v>
      </c>
      <c r="AB20" s="40">
        <f t="shared" si="11"/>
        <v>0</v>
      </c>
      <c r="AC20" s="75">
        <f t="shared" si="12"/>
        <v>0</v>
      </c>
      <c r="AD20" s="76">
        <f t="shared" si="13"/>
        <v>0</v>
      </c>
      <c r="AE20" s="76">
        <f t="shared" si="14"/>
        <v>0</v>
      </c>
      <c r="AF20" s="40">
        <f t="shared" si="15"/>
        <v>0</v>
      </c>
      <c r="AG20" s="50"/>
      <c r="AJ20" s="257"/>
      <c r="AK20" s="257"/>
    </row>
    <row r="21" spans="1:37" x14ac:dyDescent="0.2">
      <c r="A21" s="23" t="s">
        <v>28</v>
      </c>
      <c r="B21" s="24" t="s">
        <v>238</v>
      </c>
      <c r="C21" s="57" t="s">
        <v>31</v>
      </c>
      <c r="D21" s="25" t="s">
        <v>30</v>
      </c>
      <c r="E21" s="57" t="s">
        <v>98</v>
      </c>
      <c r="F21" s="236" t="s">
        <v>37</v>
      </c>
      <c r="G21" s="215"/>
      <c r="H21" s="215"/>
      <c r="I21" s="1169"/>
      <c r="J21" s="1168"/>
      <c r="K21" s="222"/>
      <c r="L21" s="222"/>
      <c r="M21" s="222"/>
      <c r="N21" s="386"/>
      <c r="O21" s="224">
        <f t="shared" si="0"/>
        <v>0</v>
      </c>
      <c r="P21" s="222">
        <f t="shared" si="1"/>
        <v>0</v>
      </c>
      <c r="Q21" s="222">
        <f t="shared" si="2"/>
        <v>0</v>
      </c>
      <c r="R21" s="223">
        <v>0.15</v>
      </c>
      <c r="S21" s="222">
        <f t="shared" si="3"/>
        <v>0</v>
      </c>
      <c r="T21" s="258">
        <v>3.7499999999999999E-2</v>
      </c>
      <c r="U21" s="40">
        <f t="shared" si="4"/>
        <v>0</v>
      </c>
      <c r="V21" s="40">
        <f t="shared" si="5"/>
        <v>0</v>
      </c>
      <c r="W21" s="75">
        <f t="shared" si="6"/>
        <v>0</v>
      </c>
      <c r="X21" s="76">
        <f t="shared" si="7"/>
        <v>0</v>
      </c>
      <c r="Y21" s="76">
        <f t="shared" si="8"/>
        <v>0</v>
      </c>
      <c r="Z21" s="40">
        <f t="shared" si="9"/>
        <v>0</v>
      </c>
      <c r="AA21" s="40" t="str">
        <f t="shared" si="10"/>
        <v/>
      </c>
      <c r="AB21" s="40" t="str">
        <f t="shared" si="11"/>
        <v/>
      </c>
      <c r="AC21" s="75" t="str">
        <f t="shared" si="12"/>
        <v/>
      </c>
      <c r="AD21" s="76" t="str">
        <f t="shared" si="13"/>
        <v/>
      </c>
      <c r="AE21" s="76" t="str">
        <f t="shared" si="14"/>
        <v/>
      </c>
      <c r="AF21" s="40" t="str">
        <f t="shared" si="15"/>
        <v/>
      </c>
      <c r="AG21" s="50"/>
      <c r="AJ21" s="257"/>
      <c r="AK21" s="257"/>
    </row>
    <row r="22" spans="1:37" x14ac:dyDescent="0.2">
      <c r="A22" s="23" t="s">
        <v>28</v>
      </c>
      <c r="B22" s="24" t="s">
        <v>18</v>
      </c>
      <c r="C22" s="57" t="s">
        <v>31</v>
      </c>
      <c r="D22" s="25" t="s">
        <v>30</v>
      </c>
      <c r="E22" s="57" t="s">
        <v>101</v>
      </c>
      <c r="F22" s="236" t="s">
        <v>37</v>
      </c>
      <c r="G22" s="215"/>
      <c r="H22" s="215"/>
      <c r="I22" s="1168"/>
      <c r="J22" s="1168"/>
      <c r="K22" s="222"/>
      <c r="L22" s="222"/>
      <c r="M22" s="222"/>
      <c r="N22" s="386"/>
      <c r="O22" s="224">
        <f t="shared" si="0"/>
        <v>0</v>
      </c>
      <c r="P22" s="222">
        <f t="shared" si="1"/>
        <v>0</v>
      </c>
      <c r="Q22" s="222">
        <f t="shared" si="2"/>
        <v>0</v>
      </c>
      <c r="R22" s="223">
        <v>0.15</v>
      </c>
      <c r="S22" s="222">
        <f t="shared" si="3"/>
        <v>0</v>
      </c>
      <c r="T22" s="258">
        <v>3.7499999999999999E-2</v>
      </c>
      <c r="U22" s="40">
        <f t="shared" si="4"/>
        <v>0</v>
      </c>
      <c r="V22" s="40">
        <f t="shared" si="5"/>
        <v>0</v>
      </c>
      <c r="W22" s="75">
        <f t="shared" si="6"/>
        <v>0</v>
      </c>
      <c r="X22" s="76">
        <f t="shared" si="7"/>
        <v>0</v>
      </c>
      <c r="Y22" s="76">
        <f t="shared" si="8"/>
        <v>0</v>
      </c>
      <c r="Z22" s="40">
        <f t="shared" si="9"/>
        <v>0</v>
      </c>
      <c r="AA22" s="40" t="str">
        <f t="shared" si="10"/>
        <v/>
      </c>
      <c r="AB22" s="40" t="str">
        <f t="shared" si="11"/>
        <v/>
      </c>
      <c r="AC22" s="75" t="str">
        <f t="shared" si="12"/>
        <v/>
      </c>
      <c r="AD22" s="76" t="str">
        <f t="shared" si="13"/>
        <v/>
      </c>
      <c r="AE22" s="76" t="str">
        <f t="shared" si="14"/>
        <v/>
      </c>
      <c r="AF22" s="40" t="str">
        <f t="shared" si="15"/>
        <v/>
      </c>
      <c r="AG22" s="50"/>
      <c r="AJ22" s="257"/>
      <c r="AK22" s="257"/>
    </row>
    <row r="23" spans="1:37" x14ac:dyDescent="0.2">
      <c r="A23" s="23" t="s">
        <v>28</v>
      </c>
      <c r="B23" s="24" t="s">
        <v>20</v>
      </c>
      <c r="C23" s="57" t="s">
        <v>31</v>
      </c>
      <c r="D23" s="25" t="s">
        <v>30</v>
      </c>
      <c r="E23" s="57" t="s">
        <v>101</v>
      </c>
      <c r="F23" s="236" t="s">
        <v>37</v>
      </c>
      <c r="G23" s="215"/>
      <c r="H23" s="215"/>
      <c r="I23" s="1168"/>
      <c r="J23" s="1168"/>
      <c r="K23" s="222"/>
      <c r="L23" s="222"/>
      <c r="M23" s="222"/>
      <c r="N23" s="386"/>
      <c r="O23" s="224">
        <f t="shared" si="0"/>
        <v>0</v>
      </c>
      <c r="P23" s="222">
        <f t="shared" si="1"/>
        <v>0</v>
      </c>
      <c r="Q23" s="222">
        <f t="shared" si="2"/>
        <v>0</v>
      </c>
      <c r="R23" s="223">
        <v>0.15</v>
      </c>
      <c r="S23" s="222">
        <f t="shared" si="3"/>
        <v>0</v>
      </c>
      <c r="T23" s="258">
        <v>3.7499999999999999E-2</v>
      </c>
      <c r="U23" s="40">
        <f t="shared" si="4"/>
        <v>0</v>
      </c>
      <c r="V23" s="40">
        <f t="shared" si="5"/>
        <v>0</v>
      </c>
      <c r="W23" s="75">
        <f t="shared" si="6"/>
        <v>0</v>
      </c>
      <c r="X23" s="76">
        <f t="shared" si="7"/>
        <v>0</v>
      </c>
      <c r="Y23" s="76">
        <f t="shared" si="8"/>
        <v>0</v>
      </c>
      <c r="Z23" s="40">
        <f t="shared" si="9"/>
        <v>0</v>
      </c>
      <c r="AA23" s="40" t="str">
        <f t="shared" si="10"/>
        <v/>
      </c>
      <c r="AB23" s="40" t="str">
        <f t="shared" si="11"/>
        <v/>
      </c>
      <c r="AC23" s="75" t="str">
        <f t="shared" si="12"/>
        <v/>
      </c>
      <c r="AD23" s="76" t="str">
        <f t="shared" si="13"/>
        <v/>
      </c>
      <c r="AE23" s="76" t="str">
        <f t="shared" si="14"/>
        <v/>
      </c>
      <c r="AF23" s="40" t="str">
        <f t="shared" si="15"/>
        <v/>
      </c>
      <c r="AG23" s="50"/>
      <c r="AJ23" s="257"/>
      <c r="AK23" s="257"/>
    </row>
    <row r="24" spans="1:37" x14ac:dyDescent="0.2">
      <c r="A24" s="23" t="s">
        <v>28</v>
      </c>
      <c r="B24" s="24" t="s">
        <v>372</v>
      </c>
      <c r="C24" s="57" t="s">
        <v>31</v>
      </c>
      <c r="D24" s="25" t="s">
        <v>21</v>
      </c>
      <c r="E24" s="57" t="s">
        <v>101</v>
      </c>
      <c r="F24" s="236" t="s">
        <v>56</v>
      </c>
      <c r="G24" s="215"/>
      <c r="H24" s="215"/>
      <c r="I24" s="1168"/>
      <c r="J24" s="1168"/>
      <c r="K24" s="222"/>
      <c r="L24" s="222"/>
      <c r="M24" s="222"/>
      <c r="N24" s="386"/>
      <c r="O24" s="224">
        <f t="shared" si="0"/>
        <v>0</v>
      </c>
      <c r="P24" s="222">
        <f t="shared" si="1"/>
        <v>0</v>
      </c>
      <c r="Q24" s="222">
        <f t="shared" si="2"/>
        <v>0</v>
      </c>
      <c r="R24" s="223">
        <v>0.15</v>
      </c>
      <c r="S24" s="222">
        <f t="shared" si="3"/>
        <v>0</v>
      </c>
      <c r="T24" s="258">
        <v>3.7499999999999999E-2</v>
      </c>
      <c r="U24" s="40" t="str">
        <f t="shared" si="4"/>
        <v/>
      </c>
      <c r="V24" s="40" t="str">
        <f t="shared" si="5"/>
        <v/>
      </c>
      <c r="W24" s="75" t="str">
        <f t="shared" si="6"/>
        <v/>
      </c>
      <c r="X24" s="76" t="str">
        <f t="shared" si="7"/>
        <v/>
      </c>
      <c r="Y24" s="76" t="str">
        <f t="shared" si="8"/>
        <v/>
      </c>
      <c r="Z24" s="40" t="str">
        <f t="shared" si="9"/>
        <v/>
      </c>
      <c r="AA24" s="40">
        <f t="shared" si="10"/>
        <v>0</v>
      </c>
      <c r="AB24" s="40">
        <f t="shared" si="11"/>
        <v>0</v>
      </c>
      <c r="AC24" s="75">
        <f t="shared" si="12"/>
        <v>0</v>
      </c>
      <c r="AD24" s="76">
        <f t="shared" si="13"/>
        <v>0</v>
      </c>
      <c r="AE24" s="76">
        <f t="shared" si="14"/>
        <v>0</v>
      </c>
      <c r="AF24" s="40">
        <f t="shared" si="15"/>
        <v>0</v>
      </c>
      <c r="AG24" s="50"/>
      <c r="AJ24" s="257"/>
      <c r="AK24" s="257"/>
    </row>
    <row r="25" spans="1:37" ht="13.5" customHeight="1" x14ac:dyDescent="0.2">
      <c r="A25" s="23" t="s">
        <v>28</v>
      </c>
      <c r="B25" s="24" t="s">
        <v>9</v>
      </c>
      <c r="C25" s="57" t="s">
        <v>31</v>
      </c>
      <c r="D25" s="25" t="s">
        <v>30</v>
      </c>
      <c r="E25" s="57" t="s">
        <v>101</v>
      </c>
      <c r="F25" s="236" t="s">
        <v>37</v>
      </c>
      <c r="G25" s="215"/>
      <c r="H25" s="215"/>
      <c r="I25" s="1168"/>
      <c r="J25" s="1168"/>
      <c r="K25" s="222"/>
      <c r="L25" s="222"/>
      <c r="M25" s="222"/>
      <c r="N25" s="386"/>
      <c r="O25" s="224">
        <f t="shared" si="0"/>
        <v>0</v>
      </c>
      <c r="P25" s="222">
        <f t="shared" si="1"/>
        <v>0</v>
      </c>
      <c r="Q25" s="222">
        <f t="shared" si="2"/>
        <v>0</v>
      </c>
      <c r="R25" s="223">
        <v>0.15</v>
      </c>
      <c r="S25" s="222">
        <f t="shared" si="3"/>
        <v>0</v>
      </c>
      <c r="T25" s="258">
        <v>3.7499999999999999E-2</v>
      </c>
      <c r="U25" s="40">
        <f t="shared" si="4"/>
        <v>0</v>
      </c>
      <c r="V25" s="40">
        <f t="shared" si="5"/>
        <v>0</v>
      </c>
      <c r="W25" s="75">
        <f t="shared" si="6"/>
        <v>0</v>
      </c>
      <c r="X25" s="76">
        <f t="shared" si="7"/>
        <v>0</v>
      </c>
      <c r="Y25" s="76">
        <f t="shared" si="8"/>
        <v>0</v>
      </c>
      <c r="Z25" s="40">
        <f t="shared" si="9"/>
        <v>0</v>
      </c>
      <c r="AA25" s="40" t="str">
        <f t="shared" si="10"/>
        <v/>
      </c>
      <c r="AB25" s="40" t="str">
        <f t="shared" si="11"/>
        <v/>
      </c>
      <c r="AC25" s="75" t="str">
        <f t="shared" si="12"/>
        <v/>
      </c>
      <c r="AD25" s="76" t="str">
        <f t="shared" si="13"/>
        <v/>
      </c>
      <c r="AE25" s="76" t="str">
        <f t="shared" si="14"/>
        <v/>
      </c>
      <c r="AF25" s="40" t="str">
        <f t="shared" si="15"/>
        <v/>
      </c>
      <c r="AG25" s="50"/>
      <c r="AJ25" s="257"/>
      <c r="AK25" s="257"/>
    </row>
    <row r="26" spans="1:37" x14ac:dyDescent="0.2">
      <c r="A26" s="23" t="s">
        <v>28</v>
      </c>
      <c r="B26" s="24" t="s">
        <v>165</v>
      </c>
      <c r="C26" s="57" t="s">
        <v>31</v>
      </c>
      <c r="D26" s="25" t="s">
        <v>30</v>
      </c>
      <c r="E26" s="57" t="s">
        <v>101</v>
      </c>
      <c r="F26" s="236" t="s">
        <v>37</v>
      </c>
      <c r="G26" s="215"/>
      <c r="H26" s="215"/>
      <c r="I26" s="1168"/>
      <c r="J26" s="1168"/>
      <c r="K26" s="222"/>
      <c r="L26" s="222"/>
      <c r="M26" s="222"/>
      <c r="N26" s="386"/>
      <c r="O26" s="224">
        <f t="shared" si="0"/>
        <v>0</v>
      </c>
      <c r="P26" s="222">
        <f t="shared" si="1"/>
        <v>0</v>
      </c>
      <c r="Q26" s="222">
        <f t="shared" si="2"/>
        <v>0</v>
      </c>
      <c r="R26" s="223">
        <v>0.15</v>
      </c>
      <c r="S26" s="222">
        <f t="shared" si="3"/>
        <v>0</v>
      </c>
      <c r="T26" s="258">
        <v>3.7499999999999999E-2</v>
      </c>
      <c r="U26" s="40">
        <f t="shared" si="4"/>
        <v>0</v>
      </c>
      <c r="V26" s="40">
        <f t="shared" si="5"/>
        <v>0</v>
      </c>
      <c r="W26" s="75">
        <f t="shared" si="6"/>
        <v>0</v>
      </c>
      <c r="X26" s="76">
        <f t="shared" si="7"/>
        <v>0</v>
      </c>
      <c r="Y26" s="76">
        <f t="shared" si="8"/>
        <v>0</v>
      </c>
      <c r="Z26" s="40">
        <f t="shared" si="9"/>
        <v>0</v>
      </c>
      <c r="AA26" s="40" t="str">
        <f t="shared" si="10"/>
        <v/>
      </c>
      <c r="AB26" s="40" t="str">
        <f t="shared" si="11"/>
        <v/>
      </c>
      <c r="AC26" s="75" t="str">
        <f t="shared" si="12"/>
        <v/>
      </c>
      <c r="AD26" s="76" t="str">
        <f t="shared" si="13"/>
        <v/>
      </c>
      <c r="AE26" s="76" t="str">
        <f t="shared" si="14"/>
        <v/>
      </c>
      <c r="AF26" s="40" t="str">
        <f t="shared" si="15"/>
        <v/>
      </c>
      <c r="AG26" s="50"/>
      <c r="AJ26" s="257"/>
      <c r="AK26" s="257"/>
    </row>
    <row r="27" spans="1:37" x14ac:dyDescent="0.2">
      <c r="A27" s="23" t="s">
        <v>28</v>
      </c>
      <c r="B27" s="24" t="s">
        <v>157</v>
      </c>
      <c r="C27" s="57" t="s">
        <v>31</v>
      </c>
      <c r="D27" s="25" t="s">
        <v>30</v>
      </c>
      <c r="E27" s="57" t="s">
        <v>101</v>
      </c>
      <c r="F27" s="236" t="s">
        <v>56</v>
      </c>
      <c r="G27" s="386"/>
      <c r="H27" s="386"/>
      <c r="I27" s="1169"/>
      <c r="J27" s="1169"/>
      <c r="K27" s="222"/>
      <c r="L27" s="222"/>
      <c r="M27" s="222"/>
      <c r="N27" s="224"/>
      <c r="O27" s="224">
        <f t="shared" ref="O27" si="16">ROUND(G27*I27,2)+ROUND(H27*J27,2)-K27-L27-M27-N27</f>
        <v>0</v>
      </c>
      <c r="P27" s="222">
        <f t="shared" ref="P27" si="17">ROUND(18.75%*O27,2)</f>
        <v>0</v>
      </c>
      <c r="Q27" s="222">
        <f t="shared" ref="Q27" si="18">ROUND($O27*R27,2)</f>
        <v>0</v>
      </c>
      <c r="R27" s="223">
        <v>0.15</v>
      </c>
      <c r="S27" s="222">
        <f t="shared" ref="S27" si="19">ROUND($O27*T27,2)</f>
        <v>0</v>
      </c>
      <c r="T27" s="258">
        <v>3.7499999999999999E-2</v>
      </c>
      <c r="U27" s="40" t="str">
        <f t="shared" si="4"/>
        <v/>
      </c>
      <c r="V27" s="40" t="str">
        <f t="shared" si="5"/>
        <v/>
      </c>
      <c r="W27" s="75" t="str">
        <f t="shared" si="6"/>
        <v/>
      </c>
      <c r="X27" s="76" t="str">
        <f t="shared" si="7"/>
        <v/>
      </c>
      <c r="Y27" s="76" t="str">
        <f t="shared" si="8"/>
        <v/>
      </c>
      <c r="Z27" s="40" t="str">
        <f t="shared" si="9"/>
        <v/>
      </c>
      <c r="AA27" s="40">
        <f t="shared" si="10"/>
        <v>0</v>
      </c>
      <c r="AB27" s="40">
        <f t="shared" si="11"/>
        <v>0</v>
      </c>
      <c r="AC27" s="75">
        <f t="shared" si="12"/>
        <v>0</v>
      </c>
      <c r="AD27" s="76">
        <f t="shared" si="13"/>
        <v>0</v>
      </c>
      <c r="AE27" s="76">
        <f t="shared" si="14"/>
        <v>0</v>
      </c>
      <c r="AF27" s="40">
        <f t="shared" si="15"/>
        <v>0</v>
      </c>
      <c r="AG27" s="50"/>
      <c r="AJ27" s="257"/>
      <c r="AK27" s="257"/>
    </row>
    <row r="28" spans="1:37" x14ac:dyDescent="0.2">
      <c r="A28" s="23" t="s">
        <v>28</v>
      </c>
      <c r="B28" s="24" t="s">
        <v>170</v>
      </c>
      <c r="C28" s="57" t="s">
        <v>31</v>
      </c>
      <c r="D28" s="25" t="s">
        <v>30</v>
      </c>
      <c r="E28" s="57" t="s">
        <v>101</v>
      </c>
      <c r="F28" s="236" t="s">
        <v>37</v>
      </c>
      <c r="G28" s="215"/>
      <c r="H28" s="215"/>
      <c r="I28" s="1168"/>
      <c r="J28" s="1168"/>
      <c r="K28" s="222"/>
      <c r="L28" s="222"/>
      <c r="M28" s="222"/>
      <c r="N28" s="386"/>
      <c r="O28" s="224">
        <f>ROUND(G28*I28,2)+ROUND(H28*J28,2)-K28-L28-M28-N28</f>
        <v>0</v>
      </c>
      <c r="P28" s="222">
        <f>ROUND(18.75%*O28,2)</f>
        <v>0</v>
      </c>
      <c r="Q28" s="222">
        <f>ROUND($O28*R28,2)</f>
        <v>0</v>
      </c>
      <c r="R28" s="258">
        <v>3.7499999999999999E-2</v>
      </c>
      <c r="S28" s="222">
        <f t="shared" si="3"/>
        <v>0</v>
      </c>
      <c r="T28" s="223">
        <v>0.15</v>
      </c>
      <c r="U28" s="40">
        <f t="shared" si="4"/>
        <v>0</v>
      </c>
      <c r="V28" s="40">
        <f t="shared" si="5"/>
        <v>0</v>
      </c>
      <c r="W28" s="75">
        <f t="shared" si="6"/>
        <v>0</v>
      </c>
      <c r="X28" s="76">
        <f t="shared" si="7"/>
        <v>0</v>
      </c>
      <c r="Y28" s="76">
        <f t="shared" si="8"/>
        <v>0</v>
      </c>
      <c r="Z28" s="40">
        <f t="shared" si="9"/>
        <v>0</v>
      </c>
      <c r="AA28" s="40" t="str">
        <f t="shared" si="10"/>
        <v/>
      </c>
      <c r="AB28" s="40" t="str">
        <f t="shared" si="11"/>
        <v/>
      </c>
      <c r="AC28" s="75" t="str">
        <f t="shared" si="12"/>
        <v/>
      </c>
      <c r="AD28" s="76" t="str">
        <f t="shared" si="13"/>
        <v/>
      </c>
      <c r="AE28" s="76" t="str">
        <f t="shared" si="14"/>
        <v/>
      </c>
      <c r="AF28" s="40" t="str">
        <f t="shared" si="15"/>
        <v/>
      </c>
      <c r="AG28" s="50"/>
      <c r="AJ28" s="257"/>
      <c r="AK28" s="257"/>
    </row>
    <row r="29" spans="1:37" x14ac:dyDescent="0.2">
      <c r="A29" s="23" t="s">
        <v>28</v>
      </c>
      <c r="B29" s="24" t="s">
        <v>368</v>
      </c>
      <c r="C29" s="57" t="s">
        <v>31</v>
      </c>
      <c r="D29" s="25" t="s">
        <v>30</v>
      </c>
      <c r="E29" s="57" t="s">
        <v>101</v>
      </c>
      <c r="F29" s="236" t="s">
        <v>37</v>
      </c>
      <c r="G29" s="215"/>
      <c r="H29" s="215"/>
      <c r="I29" s="1168"/>
      <c r="J29" s="1168"/>
      <c r="K29" s="222"/>
      <c r="L29" s="222"/>
      <c r="M29" s="222"/>
      <c r="N29" s="409"/>
      <c r="O29" s="224">
        <f>ROUND(G29*I29,2)+ROUND(H29*J29,2)-K29-L29-M29-N29</f>
        <v>0</v>
      </c>
      <c r="P29" s="222">
        <f>ROUND(18.75%*O29,2)</f>
        <v>0</v>
      </c>
      <c r="Q29" s="222">
        <f>ROUND($O29*R29,2)</f>
        <v>0</v>
      </c>
      <c r="R29" s="258">
        <v>3.7499999999999999E-2</v>
      </c>
      <c r="S29" s="222">
        <f t="shared" si="3"/>
        <v>0</v>
      </c>
      <c r="T29" s="223">
        <v>0.15</v>
      </c>
      <c r="U29" s="40"/>
      <c r="V29" s="40"/>
      <c r="W29" s="75"/>
      <c r="X29" s="76"/>
      <c r="Y29" s="76"/>
      <c r="Z29" s="40"/>
      <c r="AA29" s="40"/>
      <c r="AB29" s="40"/>
      <c r="AC29" s="75"/>
      <c r="AD29" s="76"/>
      <c r="AE29" s="76"/>
      <c r="AF29" s="40"/>
      <c r="AG29" s="50"/>
      <c r="AI29" s="257"/>
      <c r="AJ29" s="257"/>
      <c r="AK29" s="257"/>
    </row>
    <row r="30" spans="1:37" x14ac:dyDescent="0.2">
      <c r="A30" s="26" t="s">
        <v>28</v>
      </c>
      <c r="B30" s="29" t="s">
        <v>302</v>
      </c>
      <c r="C30" s="57" t="s">
        <v>31</v>
      </c>
      <c r="D30" s="25" t="s">
        <v>30</v>
      </c>
      <c r="E30" s="57" t="s">
        <v>101</v>
      </c>
      <c r="F30" s="236" t="s">
        <v>37</v>
      </c>
      <c r="G30" s="386"/>
      <c r="H30" s="386"/>
      <c r="I30" s="1168"/>
      <c r="J30" s="1168"/>
      <c r="K30" s="215"/>
      <c r="L30" s="222"/>
      <c r="M30" s="222"/>
      <c r="N30" s="386"/>
      <c r="O30" s="224">
        <f>ROUND(G30*I30,2)+ROUND(H30*J30,2)-K30-L30-M30-N30</f>
        <v>0</v>
      </c>
      <c r="P30" s="222">
        <f>ROUND(18.75%*O30,2)</f>
        <v>0</v>
      </c>
      <c r="Q30" s="222">
        <f>ROUND($O30*R30,2)</f>
        <v>0</v>
      </c>
      <c r="R30" s="248">
        <v>0.15</v>
      </c>
      <c r="S30" s="222">
        <f t="shared" si="3"/>
        <v>0</v>
      </c>
      <c r="T30" s="258">
        <v>3.7499999999999999E-2</v>
      </c>
      <c r="U30" s="40"/>
      <c r="V30" s="40"/>
      <c r="W30" s="75"/>
      <c r="X30" s="76"/>
      <c r="Y30" s="76"/>
      <c r="Z30" s="40"/>
      <c r="AA30" s="40"/>
      <c r="AB30" s="40"/>
      <c r="AC30" s="75"/>
      <c r="AD30" s="76"/>
      <c r="AE30" s="76"/>
      <c r="AF30" s="40"/>
      <c r="AG30" s="50"/>
      <c r="AJ30" s="257"/>
      <c r="AK30" s="257"/>
    </row>
    <row r="31" spans="1:37" x14ac:dyDescent="0.2">
      <c r="A31" s="26" t="s">
        <v>28</v>
      </c>
      <c r="B31" s="29" t="s">
        <v>303</v>
      </c>
      <c r="C31" s="57" t="s">
        <v>31</v>
      </c>
      <c r="D31" s="25" t="s">
        <v>30</v>
      </c>
      <c r="E31" s="57" t="s">
        <v>101</v>
      </c>
      <c r="F31" s="236" t="s">
        <v>56</v>
      </c>
      <c r="G31" s="386"/>
      <c r="H31" s="386"/>
      <c r="I31" s="1168"/>
      <c r="J31" s="1169"/>
      <c r="K31" s="215"/>
      <c r="L31" s="222"/>
      <c r="M31" s="222"/>
      <c r="N31" s="386"/>
      <c r="O31" s="224">
        <f>ROUND(G31*I31,2)+ROUND(H31*J31,2)-K31-L31-M31-N31</f>
        <v>0</v>
      </c>
      <c r="P31" s="222">
        <f>ROUND(18.75%*O31,2)</f>
        <v>0</v>
      </c>
      <c r="Q31" s="222">
        <f>ROUND($O31*R31,2)</f>
        <v>0</v>
      </c>
      <c r="R31" s="248">
        <v>0.15</v>
      </c>
      <c r="S31" s="222">
        <f t="shared" ref="S31" si="20">ROUND($O31*T31,2)</f>
        <v>0</v>
      </c>
      <c r="T31" s="258">
        <v>3.7499999999999999E-2</v>
      </c>
      <c r="U31" s="40"/>
      <c r="V31" s="40"/>
      <c r="W31" s="75"/>
      <c r="X31" s="76"/>
      <c r="Y31" s="76"/>
      <c r="Z31" s="40"/>
      <c r="AA31" s="40"/>
      <c r="AB31" s="40"/>
      <c r="AC31" s="75"/>
      <c r="AD31" s="76"/>
      <c r="AE31" s="76"/>
      <c r="AF31" s="40"/>
      <c r="AG31" s="50"/>
      <c r="AJ31" s="257"/>
      <c r="AK31" s="257"/>
    </row>
    <row r="32" spans="1:37" x14ac:dyDescent="0.2">
      <c r="A32" s="26" t="s">
        <v>28</v>
      </c>
      <c r="B32" s="29" t="s">
        <v>304</v>
      </c>
      <c r="C32" s="57" t="s">
        <v>31</v>
      </c>
      <c r="D32" s="25" t="s">
        <v>30</v>
      </c>
      <c r="E32" s="57" t="s">
        <v>101</v>
      </c>
      <c r="F32" s="236" t="s">
        <v>37</v>
      </c>
      <c r="G32" s="386"/>
      <c r="H32" s="386"/>
      <c r="I32" s="1168"/>
      <c r="J32" s="1168"/>
      <c r="K32" s="215"/>
      <c r="L32" s="222"/>
      <c r="M32" s="222"/>
      <c r="N32" s="386"/>
      <c r="O32" s="224">
        <f>ROUND(G32*I32,2)+ROUND(H32*J32,2)-K32-L32-M32-N32</f>
        <v>0</v>
      </c>
      <c r="P32" s="222">
        <f>ROUND(18.75%*O32,2)</f>
        <v>0</v>
      </c>
      <c r="Q32" s="222">
        <f>ROUND($O32*R32,2)</f>
        <v>0</v>
      </c>
      <c r="R32" s="248">
        <v>0.15</v>
      </c>
      <c r="S32" s="222">
        <f t="shared" si="3"/>
        <v>0</v>
      </c>
      <c r="T32" s="258">
        <v>3.7499999999999999E-2</v>
      </c>
      <c r="U32" s="40"/>
      <c r="V32" s="40"/>
      <c r="W32" s="75"/>
      <c r="X32" s="76"/>
      <c r="Y32" s="76"/>
      <c r="Z32" s="40"/>
      <c r="AA32" s="40"/>
      <c r="AB32" s="40"/>
      <c r="AC32" s="75"/>
      <c r="AD32" s="76"/>
      <c r="AE32" s="76"/>
      <c r="AF32" s="40"/>
      <c r="AG32" s="50"/>
      <c r="AJ32" s="257"/>
      <c r="AK32" s="257"/>
    </row>
    <row r="33" spans="1:37" x14ac:dyDescent="0.2">
      <c r="A33" s="26" t="s">
        <v>28</v>
      </c>
      <c r="B33" s="29" t="s">
        <v>52</v>
      </c>
      <c r="C33" s="56"/>
      <c r="D33" s="56"/>
      <c r="E33" s="27"/>
      <c r="F33" s="236"/>
      <c r="G33" s="222"/>
      <c r="H33" s="222"/>
      <c r="I33" s="1169"/>
      <c r="J33" s="1169"/>
      <c r="K33" s="222"/>
      <c r="L33" s="222"/>
      <c r="M33" s="577"/>
      <c r="N33" s="222"/>
      <c r="O33" s="582"/>
      <c r="P33" s="582"/>
      <c r="Q33" s="582"/>
      <c r="R33" s="248">
        <v>0.15</v>
      </c>
      <c r="S33" s="582"/>
      <c r="T33" s="258">
        <v>3.7499999999999999E-2</v>
      </c>
      <c r="U33" s="40" t="str">
        <f>IF($F33&amp;"/Día"=W$9,SUM($G33:$H33),"")</f>
        <v/>
      </c>
      <c r="V33" s="40" t="str">
        <f>IF(U33&lt;&gt;"",$O33,"")</f>
        <v/>
      </c>
      <c r="W33" s="75" t="str">
        <f>IF($F33&amp;"/Día"=W$9,ROUND(U33/$W$1,1),"")</f>
        <v/>
      </c>
      <c r="X33" s="76" t="str">
        <f>IF(U33=0,0,IF($F33&amp;"/Día"=W$9,ROUND(V33/U33,4),""))</f>
        <v/>
      </c>
      <c r="Y33" s="76" t="str">
        <f>IF(U33=0,0,IF($F33&amp;"/Día"=W$9,ROUND(Z33/U33,4),""))</f>
        <v/>
      </c>
      <c r="Z33" s="40" t="str">
        <f>IF(U33&lt;&gt;"",$P33,"")</f>
        <v/>
      </c>
      <c r="AA33" s="40" t="str">
        <f>IF($F33&amp;"/Día"=AC$9,SUM($G33:$H33),"")</f>
        <v/>
      </c>
      <c r="AB33" s="40" t="str">
        <f>IF(AA33&lt;&gt;"",$O33,"")</f>
        <v/>
      </c>
      <c r="AC33" s="75" t="str">
        <f>IF($F33&amp;"/Día"=AC$9,ROUND(AA33/$W$1,1),"")</f>
        <v/>
      </c>
      <c r="AD33" s="76" t="str">
        <f>IF(AA33=0,0,IF($F33&amp;"/Día"=AC$9,ROUND(AB33/AA33,4),""))</f>
        <v/>
      </c>
      <c r="AE33" s="76" t="str">
        <f>IF(AA33=0,0,IF($F33&amp;"/Día"=AC$9,ROUND(AF33/AA33,4),""))</f>
        <v/>
      </c>
      <c r="AF33" s="40" t="str">
        <f>IF(AA33&lt;&gt;"",$P33,"")</f>
        <v/>
      </c>
      <c r="AG33" s="50"/>
      <c r="AI33" s="179"/>
      <c r="AJ33" s="257"/>
      <c r="AK33" s="257"/>
    </row>
    <row r="34" spans="1:37" x14ac:dyDescent="0.2">
      <c r="A34" s="30"/>
      <c r="B34" s="153" t="s">
        <v>108</v>
      </c>
      <c r="C34" s="31" t="str">
        <f>TEXT(A$9,)&amp;" US$"</f>
        <v>Piura / Tumbes US$</v>
      </c>
      <c r="D34" s="38"/>
      <c r="E34" s="39"/>
      <c r="F34" s="244"/>
      <c r="G34" s="218"/>
      <c r="H34" s="218"/>
      <c r="I34" s="1170"/>
      <c r="J34" s="1170"/>
      <c r="K34" s="218"/>
      <c r="L34" s="218"/>
      <c r="M34" s="218"/>
      <c r="N34" s="218"/>
      <c r="O34" s="227">
        <f>SUM(O10:O33)</f>
        <v>0</v>
      </c>
      <c r="P34" s="227">
        <f>SUM(P10:P33)</f>
        <v>0</v>
      </c>
      <c r="Q34" s="227">
        <f>SUM(Q10:Q33)</f>
        <v>0</v>
      </c>
      <c r="R34" s="229"/>
      <c r="S34" s="227">
        <f>SUM(S10:S33)</f>
        <v>0</v>
      </c>
      <c r="T34" s="511"/>
      <c r="U34" s="77">
        <f>SUM(U10:U33)</f>
        <v>0</v>
      </c>
      <c r="V34" s="77">
        <f>SUM(V10:V33)</f>
        <v>0</v>
      </c>
      <c r="W34" s="78">
        <f>SUM(W10:W33)</f>
        <v>0</v>
      </c>
      <c r="X34" s="79" t="e">
        <f>ROUND(V34/U34,4)</f>
        <v>#DIV/0!</v>
      </c>
      <c r="Y34" s="79" t="e">
        <f>ROUND(Z34/U34,4)</f>
        <v>#DIV/0!</v>
      </c>
      <c r="Z34" s="77">
        <f>SUM(Z10:Z33)</f>
        <v>0</v>
      </c>
      <c r="AA34" s="77">
        <f>SUM(AA10:AA33)</f>
        <v>0</v>
      </c>
      <c r="AB34" s="77">
        <f>SUM(AB10:AB33)</f>
        <v>0</v>
      </c>
      <c r="AC34" s="78">
        <f>SUM(AC10:AC33)</f>
        <v>0</v>
      </c>
      <c r="AD34" s="79" t="e">
        <f>ROUND(AB34/AA34,4)</f>
        <v>#DIV/0!</v>
      </c>
      <c r="AE34" s="79" t="e">
        <f>ROUND(AF34/AA34,4)</f>
        <v>#DIV/0!</v>
      </c>
      <c r="AF34" s="77">
        <f>SUM(AF10:AF33)</f>
        <v>0</v>
      </c>
      <c r="AG34" s="43">
        <f>P34-Z34-AF34</f>
        <v>0</v>
      </c>
      <c r="AI34" s="472"/>
      <c r="AJ34" s="257"/>
      <c r="AK34" s="257"/>
    </row>
    <row r="35" spans="1:37" x14ac:dyDescent="0.2">
      <c r="A35" s="125"/>
      <c r="B35" s="126"/>
      <c r="C35" s="31" t="str">
        <f>TEXT(A$9,)&amp;" S/."</f>
        <v>Piura / Tumbes S/.</v>
      </c>
      <c r="D35" s="56"/>
      <c r="E35" s="56"/>
      <c r="F35" s="137"/>
      <c r="G35" s="177"/>
      <c r="H35" s="177"/>
      <c r="I35" s="1171"/>
      <c r="J35" s="1171"/>
      <c r="K35" s="177"/>
      <c r="L35" s="177"/>
      <c r="M35" s="177"/>
      <c r="N35" s="177"/>
      <c r="O35" s="209"/>
      <c r="P35" s="210">
        <f>ROUND($F$1*P34,2)</f>
        <v>0</v>
      </c>
      <c r="Q35" s="210">
        <f>ROUND($F$1*Q34,2)</f>
        <v>0</v>
      </c>
      <c r="R35" s="139"/>
      <c r="S35" s="363">
        <f>ROUND($F$1*S34,2)</f>
        <v>0</v>
      </c>
      <c r="T35" s="160"/>
      <c r="U35" s="140"/>
      <c r="V35" s="140"/>
      <c r="W35" s="141"/>
      <c r="X35" s="142"/>
      <c r="Y35" s="142"/>
      <c r="Z35" s="140"/>
      <c r="AA35" s="140"/>
      <c r="AB35" s="140"/>
      <c r="AC35" s="141"/>
      <c r="AD35" s="142"/>
      <c r="AE35" s="142"/>
      <c r="AF35" s="140"/>
      <c r="AG35" s="140"/>
      <c r="AI35" s="472"/>
      <c r="AJ35" s="257"/>
    </row>
    <row r="36" spans="1:37" x14ac:dyDescent="0.2">
      <c r="A36" s="15" t="s">
        <v>22</v>
      </c>
      <c r="B36" s="16"/>
      <c r="C36" s="58"/>
      <c r="D36" s="58"/>
      <c r="E36" s="17"/>
      <c r="F36" s="34"/>
      <c r="G36" s="220"/>
      <c r="H36" s="220"/>
      <c r="I36" s="1172"/>
      <c r="J36" s="1172"/>
      <c r="K36" s="220"/>
      <c r="L36" s="220"/>
      <c r="M36" s="220"/>
      <c r="N36" s="220"/>
      <c r="O36" s="231"/>
      <c r="P36" s="220"/>
      <c r="Q36" s="232" t="s">
        <v>49</v>
      </c>
      <c r="R36" s="214"/>
      <c r="S36" s="275"/>
      <c r="T36" s="276"/>
      <c r="U36" s="49"/>
      <c r="V36" s="49"/>
      <c r="W36" s="80"/>
      <c r="X36" s="81"/>
      <c r="Y36" s="81"/>
      <c r="Z36" s="81"/>
      <c r="AA36" s="49"/>
      <c r="AB36" s="49"/>
      <c r="AC36" s="80"/>
      <c r="AD36" s="81"/>
      <c r="AE36" s="81"/>
      <c r="AF36" s="81"/>
      <c r="AG36" s="46"/>
    </row>
    <row r="37" spans="1:37" x14ac:dyDescent="0.2">
      <c r="A37" s="26" t="s">
        <v>28</v>
      </c>
      <c r="B37" s="28">
        <v>131</v>
      </c>
      <c r="C37" s="57" t="s">
        <v>31</v>
      </c>
      <c r="D37" s="25" t="s">
        <v>30</v>
      </c>
      <c r="E37" s="57" t="s">
        <v>101</v>
      </c>
      <c r="F37" s="33" t="s">
        <v>37</v>
      </c>
      <c r="G37" s="215"/>
      <c r="H37" s="215"/>
      <c r="I37" s="1168"/>
      <c r="J37" s="1168"/>
      <c r="K37" s="222"/>
      <c r="L37" s="222"/>
      <c r="M37" s="222"/>
      <c r="N37" s="386"/>
      <c r="O37" s="224"/>
      <c r="P37" s="222">
        <f>ROUND(15%*O37,2)</f>
        <v>0</v>
      </c>
      <c r="Q37" s="222">
        <f>ROUND($O37*R37,2)</f>
        <v>0</v>
      </c>
      <c r="R37" s="223">
        <v>0.15</v>
      </c>
      <c r="S37" s="226"/>
      <c r="T37" s="225"/>
      <c r="U37" s="40">
        <f>IF($F37&amp;"/Día"=W$9,SUM($G37:$H37),"")</f>
        <v>0</v>
      </c>
      <c r="V37" s="40">
        <f>IF(U37&lt;&gt;"",$O37,"")</f>
        <v>0</v>
      </c>
      <c r="W37" s="75">
        <f>IF($F37&amp;"/Día"=W$9,ROUND(U37/$W$1,1),"")</f>
        <v>0</v>
      </c>
      <c r="X37" s="76">
        <f>IF(U37=0,0,IF($F37&amp;"/Día"=W$9,ROUND(V37/U37,4),""))</f>
        <v>0</v>
      </c>
      <c r="Y37" s="76">
        <f>IF(U37=0,0,IF($F37&amp;"/Día"=W$9,ROUND(Z37/U37,4),""))</f>
        <v>0</v>
      </c>
      <c r="Z37" s="40">
        <f>IF(U37&lt;&gt;"",$P37,"")</f>
        <v>0</v>
      </c>
      <c r="AA37" s="40" t="str">
        <f>IF($F37&amp;"/Día"=AC$9,SUM($G37:$H37),"")</f>
        <v/>
      </c>
      <c r="AB37" s="40" t="str">
        <f>IF(AA37&lt;&gt;"",$O37,"")</f>
        <v/>
      </c>
      <c r="AC37" s="75" t="str">
        <f>IF($F37&amp;"/Día"=AC$9,ROUND(AA37/$W$1,1),"")</f>
        <v/>
      </c>
      <c r="AD37" s="76" t="str">
        <f>IF(AA37=0,0,IF($F37&amp;"/Día"=AC$9,ROUND(AB37/AA37,4),""))</f>
        <v/>
      </c>
      <c r="AE37" s="76" t="str">
        <f>IF(AA37=0,0,IF($F37&amp;"/Día"=AC$9,ROUND(AF37/AA37,4),""))</f>
        <v/>
      </c>
      <c r="AF37" s="40" t="str">
        <f>IF(AA37&lt;&gt;"",$P37,"")</f>
        <v/>
      </c>
      <c r="AG37" s="50"/>
    </row>
    <row r="38" spans="1:37" x14ac:dyDescent="0.2">
      <c r="A38" s="26" t="s">
        <v>28</v>
      </c>
      <c r="B38" s="29" t="s">
        <v>53</v>
      </c>
      <c r="C38" s="56"/>
      <c r="D38" s="56"/>
      <c r="E38" s="5"/>
      <c r="F38" s="33"/>
      <c r="G38" s="222"/>
      <c r="H38" s="222"/>
      <c r="I38" s="1169"/>
      <c r="J38" s="1169"/>
      <c r="K38" s="222"/>
      <c r="L38" s="222"/>
      <c r="M38" s="222"/>
      <c r="N38" s="222"/>
      <c r="O38" s="224"/>
      <c r="P38" s="224"/>
      <c r="Q38" s="224"/>
      <c r="R38" s="225"/>
      <c r="S38" s="224"/>
      <c r="T38" s="225"/>
      <c r="U38" s="40" t="str">
        <f>IF($F38&amp;"/Día"=W$9,SUM($G38:$H38),"")</f>
        <v/>
      </c>
      <c r="V38" s="40" t="str">
        <f>IF(U38&lt;&gt;"",$O38,"")</f>
        <v/>
      </c>
      <c r="W38" s="75" t="str">
        <f>IF($F38&amp;"/Día"=W$9,ROUND(U38/$W$1,1),"")</f>
        <v/>
      </c>
      <c r="X38" s="76" t="str">
        <f>IF(U38=0,0,IF($F38&amp;"/Día"=W$9,ROUND(V38/U38,4),""))</f>
        <v/>
      </c>
      <c r="Y38" s="76" t="str">
        <f>IF(U38=0,0,IF($F38&amp;"/Día"=W$9,ROUND(Z38/U38,4),""))</f>
        <v/>
      </c>
      <c r="Z38" s="40" t="str">
        <f>IF(U38&lt;&gt;"",$P38,"")</f>
        <v/>
      </c>
      <c r="AA38" s="40" t="str">
        <f>IF($F38&amp;"/Día"=AC$9,SUM($G38:$H38),"")</f>
        <v/>
      </c>
      <c r="AB38" s="40" t="str">
        <f>IF(AA38&lt;&gt;"",$O38,"")</f>
        <v/>
      </c>
      <c r="AC38" s="75" t="str">
        <f>IF($F38&amp;"/Día"=AC$9,ROUND(AA38/$W$1,1),"")</f>
        <v/>
      </c>
      <c r="AD38" s="76" t="str">
        <f>IF(AA38=0,0,IF($F38&amp;"/Día"=AC$9,ROUND(AB38/AA38,4),""))</f>
        <v/>
      </c>
      <c r="AE38" s="76" t="str">
        <f>IF(AA38=0,0,IF($F38&amp;"/Día"=AC$9,ROUND(AF38/AA38,4),""))</f>
        <v/>
      </c>
      <c r="AF38" s="40" t="str">
        <f>IF(AA38&lt;&gt;"",$P38,"")</f>
        <v/>
      </c>
      <c r="AG38" s="50"/>
      <c r="AI38" s="257"/>
      <c r="AJ38" s="257"/>
    </row>
    <row r="39" spans="1:37" x14ac:dyDescent="0.2">
      <c r="A39" s="30"/>
      <c r="B39" s="153" t="s">
        <v>108</v>
      </c>
      <c r="C39" s="31" t="str">
        <f>TEXT(A$36,)&amp;" US$"</f>
        <v>Provincia Puerto Inca Huanuco US$</v>
      </c>
      <c r="D39" s="38"/>
      <c r="E39" s="39"/>
      <c r="F39" s="38"/>
      <c r="G39" s="218"/>
      <c r="H39" s="218"/>
      <c r="I39" s="1170"/>
      <c r="J39" s="1170"/>
      <c r="K39" s="218"/>
      <c r="L39" s="218"/>
      <c r="M39" s="218"/>
      <c r="N39" s="218"/>
      <c r="O39" s="227">
        <f>SUM(O37:O38)</f>
        <v>0</v>
      </c>
      <c r="P39" s="227">
        <f>SUM(P37:P38)</f>
        <v>0</v>
      </c>
      <c r="Q39" s="227">
        <f>SUM(Q37:Q38)</f>
        <v>0</v>
      </c>
      <c r="R39" s="229"/>
      <c r="S39" s="227">
        <f>SUM(S37:S38)</f>
        <v>0</v>
      </c>
      <c r="T39" s="229"/>
      <c r="U39" s="43">
        <f>SUM(U37:U38)</f>
        <v>0</v>
      </c>
      <c r="V39" s="43">
        <f>SUM(V37:V38)</f>
        <v>0</v>
      </c>
      <c r="W39" s="82">
        <f>SUM(W37:W38)</f>
        <v>0</v>
      </c>
      <c r="X39" s="83" t="e">
        <f>ROUND(V39/U39,4)</f>
        <v>#DIV/0!</v>
      </c>
      <c r="Y39" s="83" t="e">
        <f>ROUND(Z39/U39,4)</f>
        <v>#DIV/0!</v>
      </c>
      <c r="Z39" s="43">
        <f>SUM(Z37:Z38)</f>
        <v>0</v>
      </c>
      <c r="AA39" s="43">
        <f>SUM(AA37:AA38)</f>
        <v>0</v>
      </c>
      <c r="AB39" s="43">
        <f>SUM(AB37:AB38)</f>
        <v>0</v>
      </c>
      <c r="AC39" s="82">
        <f>SUM(AC37:AC38)</f>
        <v>0</v>
      </c>
      <c r="AD39" s="83">
        <f>IF(AA39=0,0,ROUND(AB39/AA39,4))</f>
        <v>0</v>
      </c>
      <c r="AE39" s="83">
        <f>IF(AA39=0,0,ROUND(AF39/AA39,4))</f>
        <v>0</v>
      </c>
      <c r="AF39" s="43">
        <f>SUM(AF37:AF38)</f>
        <v>0</v>
      </c>
      <c r="AG39" s="77">
        <f>P39-Z39-AF39</f>
        <v>0</v>
      </c>
      <c r="AJ39" s="257"/>
    </row>
    <row r="40" spans="1:37" x14ac:dyDescent="0.2">
      <c r="A40" s="125"/>
      <c r="B40" s="126"/>
      <c r="C40" s="31" t="str">
        <f>TEXT(A$36,)&amp;" S/."</f>
        <v>Provincia Puerto Inca Huanuco S/.</v>
      </c>
      <c r="D40" s="56"/>
      <c r="E40" s="56"/>
      <c r="F40" s="137"/>
      <c r="G40" s="177"/>
      <c r="H40" s="177"/>
      <c r="I40" s="1171"/>
      <c r="J40" s="1171"/>
      <c r="K40" s="177"/>
      <c r="L40" s="177"/>
      <c r="M40" s="177"/>
      <c r="N40" s="177"/>
      <c r="O40" s="209"/>
      <c r="P40" s="210">
        <f>ROUND($F$1*P39,2)</f>
        <v>0</v>
      </c>
      <c r="Q40" s="210">
        <f>ROUND($F$1*Q39,2)</f>
        <v>0</v>
      </c>
      <c r="R40" s="139"/>
      <c r="S40" s="210">
        <f>ROUND($F$1*S39,2)</f>
        <v>0</v>
      </c>
      <c r="T40" s="139"/>
      <c r="U40" s="140"/>
      <c r="V40" s="140"/>
      <c r="W40" s="141"/>
      <c r="X40" s="142"/>
      <c r="Y40" s="142"/>
      <c r="Z40" s="140"/>
      <c r="AA40" s="140"/>
      <c r="AB40" s="140"/>
      <c r="AC40" s="141"/>
      <c r="AD40" s="142"/>
      <c r="AE40" s="142"/>
      <c r="AF40" s="140"/>
      <c r="AG40" s="140"/>
      <c r="AI40" s="257"/>
    </row>
    <row r="41" spans="1:37" x14ac:dyDescent="0.2">
      <c r="A41" s="15" t="s">
        <v>24</v>
      </c>
      <c r="B41" s="16"/>
      <c r="C41" s="58"/>
      <c r="D41" s="58"/>
      <c r="E41" s="17"/>
      <c r="F41" s="234"/>
      <c r="G41" s="220"/>
      <c r="H41" s="220"/>
      <c r="I41" s="1172"/>
      <c r="J41" s="1172"/>
      <c r="K41" s="220"/>
      <c r="L41" s="220"/>
      <c r="M41" s="220"/>
      <c r="N41" s="220"/>
      <c r="O41" s="231"/>
      <c r="P41" s="220"/>
      <c r="Q41" s="232" t="s">
        <v>47</v>
      </c>
      <c r="R41" s="214"/>
      <c r="S41" s="235" t="s">
        <v>48</v>
      </c>
      <c r="T41" s="214"/>
      <c r="U41" s="46"/>
      <c r="V41" s="46"/>
      <c r="W41" s="73"/>
      <c r="X41" s="74"/>
      <c r="Y41" s="74"/>
      <c r="Z41" s="74"/>
      <c r="AA41" s="46"/>
      <c r="AB41" s="46"/>
      <c r="AC41" s="73"/>
      <c r="AD41" s="74"/>
      <c r="AE41" s="74"/>
      <c r="AF41" s="74"/>
      <c r="AG41" s="46"/>
      <c r="AI41" s="257"/>
    </row>
    <row r="42" spans="1:37" x14ac:dyDescent="0.2">
      <c r="A42" s="23" t="s">
        <v>28</v>
      </c>
      <c r="B42" s="28">
        <v>8</v>
      </c>
      <c r="C42" s="57" t="s">
        <v>31</v>
      </c>
      <c r="D42" s="57" t="s">
        <v>30</v>
      </c>
      <c r="E42" s="57" t="s">
        <v>101</v>
      </c>
      <c r="F42" s="238" t="s">
        <v>37</v>
      </c>
      <c r="G42" s="222"/>
      <c r="H42" s="215"/>
      <c r="I42" s="1169"/>
      <c r="J42" s="1168"/>
      <c r="K42" s="222"/>
      <c r="L42" s="222"/>
      <c r="M42" s="222"/>
      <c r="N42" s="222"/>
      <c r="O42" s="224">
        <f>ROUND(G42*I42,2)+ROUND(H42*J42,2)-K42-L42-M42-N42</f>
        <v>0</v>
      </c>
      <c r="P42" s="222">
        <f>ROUND(18.75%*O42,2)</f>
        <v>0</v>
      </c>
      <c r="Q42" s="222">
        <f>ROUND($O42*R42,2)</f>
        <v>0</v>
      </c>
      <c r="R42" s="223">
        <v>0.15</v>
      </c>
      <c r="S42" s="222">
        <f>ROUND($O42*T42,2)</f>
        <v>0</v>
      </c>
      <c r="T42" s="258">
        <v>3.7499999999999999E-2</v>
      </c>
      <c r="U42" s="40">
        <f t="shared" ref="U42:U47" si="21">IF($F42&amp;"/Día"=W$9,SUM($G42:$H42),"")</f>
        <v>0</v>
      </c>
      <c r="V42" s="40">
        <f t="shared" ref="V42:V47" si="22">IF(U42&lt;&gt;"",$O42,"")</f>
        <v>0</v>
      </c>
      <c r="W42" s="75">
        <f t="shared" ref="W42:W47" si="23">IF($F42&amp;"/Día"=W$9,ROUND(U42/$W$1,1),"")</f>
        <v>0</v>
      </c>
      <c r="X42" s="76">
        <f t="shared" ref="X42:X47" si="24">IF(U42=0,0,IF($F42&amp;"/Día"=W$9,ROUND(V42/U42,4),""))</f>
        <v>0</v>
      </c>
      <c r="Y42" s="76">
        <f t="shared" ref="Y42:Y47" si="25">IF(U42=0,0,IF($F42&amp;"/Día"=W$9,ROUND(Z42/U42,4),""))</f>
        <v>0</v>
      </c>
      <c r="Z42" s="40">
        <f t="shared" ref="Z42:Z47" si="26">IF(U42&lt;&gt;"",$P42,"")</f>
        <v>0</v>
      </c>
      <c r="AA42" s="40" t="str">
        <f t="shared" ref="AA42:AA47" si="27">IF($F42&amp;"/Día"=AC$9,SUM($G42:$H42),"")</f>
        <v/>
      </c>
      <c r="AB42" s="40" t="str">
        <f t="shared" ref="AB42:AB47" si="28">IF(AA42&lt;&gt;"",$O42,"")</f>
        <v/>
      </c>
      <c r="AC42" s="75" t="str">
        <f t="shared" ref="AC42:AC47" si="29">IF($F42&amp;"/Día"=AC$9,ROUND(AA42/$W$1,1),"")</f>
        <v/>
      </c>
      <c r="AD42" s="76" t="str">
        <f t="shared" ref="AD42:AD47" si="30">IF(AA42=0,0,IF($F42&amp;"/Día"=AC$9,ROUND(AB42/AA42,4),""))</f>
        <v/>
      </c>
      <c r="AE42" s="76" t="str">
        <f t="shared" ref="AE42:AE47" si="31">IF(AA42=0,0,IF($F42&amp;"/Día"=AC$9,ROUND(AF42/AA42,4),""))</f>
        <v/>
      </c>
      <c r="AF42" s="40" t="str">
        <f t="shared" ref="AF42:AF47" si="32">IF(AA42&lt;&gt;"",$P42,"")</f>
        <v/>
      </c>
      <c r="AG42" s="50"/>
    </row>
    <row r="43" spans="1:37" x14ac:dyDescent="0.2">
      <c r="A43" s="23" t="s">
        <v>28</v>
      </c>
      <c r="B43" s="24" t="s">
        <v>12</v>
      </c>
      <c r="C43" s="57" t="s">
        <v>31</v>
      </c>
      <c r="D43" s="57" t="s">
        <v>30</v>
      </c>
      <c r="E43" s="57" t="s">
        <v>101</v>
      </c>
      <c r="F43" s="238" t="s">
        <v>56</v>
      </c>
      <c r="G43" s="215"/>
      <c r="H43" s="215"/>
      <c r="I43" s="1168"/>
      <c r="J43" s="1168"/>
      <c r="K43" s="222"/>
      <c r="L43" s="222"/>
      <c r="M43" s="222"/>
      <c r="N43" s="386"/>
      <c r="O43" s="224">
        <f>ROUND(G43*I43,2)+ROUND(H43*J43,2)-K43-L43-M43-N43</f>
        <v>0</v>
      </c>
      <c r="P43" s="222">
        <f>ROUND(18.75%*O43,2)</f>
        <v>0</v>
      </c>
      <c r="Q43" s="222">
        <f>ROUND($O43*R43,2)</f>
        <v>0</v>
      </c>
      <c r="R43" s="258">
        <v>3.7499999999999999E-2</v>
      </c>
      <c r="S43" s="222">
        <f>ROUND($O43*T43,2)</f>
        <v>0</v>
      </c>
      <c r="T43" s="223">
        <v>0.15</v>
      </c>
      <c r="U43" s="40" t="str">
        <f t="shared" si="21"/>
        <v/>
      </c>
      <c r="V43" s="40" t="str">
        <f t="shared" si="22"/>
        <v/>
      </c>
      <c r="W43" s="75" t="str">
        <f t="shared" si="23"/>
        <v/>
      </c>
      <c r="X43" s="76" t="str">
        <f t="shared" si="24"/>
        <v/>
      </c>
      <c r="Y43" s="76" t="str">
        <f t="shared" si="25"/>
        <v/>
      </c>
      <c r="Z43" s="40" t="str">
        <f t="shared" si="26"/>
        <v/>
      </c>
      <c r="AA43" s="40">
        <f t="shared" si="27"/>
        <v>0</v>
      </c>
      <c r="AB43" s="40">
        <f t="shared" si="28"/>
        <v>0</v>
      </c>
      <c r="AC43" s="75">
        <f t="shared" si="29"/>
        <v>0</v>
      </c>
      <c r="AD43" s="76">
        <f t="shared" si="30"/>
        <v>0</v>
      </c>
      <c r="AE43" s="76">
        <f t="shared" si="31"/>
        <v>0</v>
      </c>
      <c r="AF43" s="40">
        <f t="shared" si="32"/>
        <v>0</v>
      </c>
      <c r="AG43" s="50"/>
      <c r="AI43" s="257"/>
    </row>
    <row r="44" spans="1:37" x14ac:dyDescent="0.2">
      <c r="A44" s="23" t="s">
        <v>28</v>
      </c>
      <c r="B44" s="24" t="s">
        <v>75</v>
      </c>
      <c r="C44" s="57" t="s">
        <v>31</v>
      </c>
      <c r="D44" s="57" t="s">
        <v>30</v>
      </c>
      <c r="E44" s="57" t="s">
        <v>103</v>
      </c>
      <c r="F44" s="238" t="s">
        <v>37</v>
      </c>
      <c r="G44" s="215"/>
      <c r="H44" s="215"/>
      <c r="I44" s="1168"/>
      <c r="J44" s="1168"/>
      <c r="K44" s="222"/>
      <c r="L44" s="222"/>
      <c r="M44" s="222"/>
      <c r="N44" s="386"/>
      <c r="O44" s="224">
        <f>ROUND(G44*I44,2)+ROUND(H44*J44,2)-K44-L44-M44-N44</f>
        <v>0</v>
      </c>
      <c r="P44" s="222">
        <f>ROUND(18.75%*O44,2)</f>
        <v>0</v>
      </c>
      <c r="Q44" s="222">
        <f>ROUND($O44*R44,2)</f>
        <v>0</v>
      </c>
      <c r="R44" s="258">
        <v>3.7499999999999999E-2</v>
      </c>
      <c r="S44" s="222">
        <f>ROUND($O44*T44,2)</f>
        <v>0</v>
      </c>
      <c r="T44" s="223">
        <v>0.15</v>
      </c>
      <c r="U44" s="40">
        <f t="shared" si="21"/>
        <v>0</v>
      </c>
      <c r="V44" s="40">
        <f t="shared" si="22"/>
        <v>0</v>
      </c>
      <c r="W44" s="75">
        <f t="shared" si="23"/>
        <v>0</v>
      </c>
      <c r="X44" s="76">
        <f t="shared" si="24"/>
        <v>0</v>
      </c>
      <c r="Y44" s="76">
        <f t="shared" si="25"/>
        <v>0</v>
      </c>
      <c r="Z44" s="40">
        <f t="shared" si="26"/>
        <v>0</v>
      </c>
      <c r="AA44" s="40" t="str">
        <f t="shared" si="27"/>
        <v/>
      </c>
      <c r="AB44" s="40" t="str">
        <f t="shared" si="28"/>
        <v/>
      </c>
      <c r="AC44" s="75" t="str">
        <f t="shared" si="29"/>
        <v/>
      </c>
      <c r="AD44" s="76" t="str">
        <f t="shared" si="30"/>
        <v/>
      </c>
      <c r="AE44" s="76" t="str">
        <f t="shared" si="31"/>
        <v/>
      </c>
      <c r="AF44" s="40" t="str">
        <f t="shared" si="32"/>
        <v/>
      </c>
      <c r="AG44" s="50"/>
    </row>
    <row r="45" spans="1:37" x14ac:dyDescent="0.2">
      <c r="A45" s="23" t="s">
        <v>28</v>
      </c>
      <c r="B45" s="28">
        <v>95</v>
      </c>
      <c r="C45" s="57" t="s">
        <v>31</v>
      </c>
      <c r="D45" s="57" t="s">
        <v>30</v>
      </c>
      <c r="E45" s="57" t="s">
        <v>101</v>
      </c>
      <c r="F45" s="238" t="s">
        <v>37</v>
      </c>
      <c r="G45" s="215"/>
      <c r="H45" s="215"/>
      <c r="I45" s="1168"/>
      <c r="J45" s="1168"/>
      <c r="K45" s="215"/>
      <c r="L45" s="222"/>
      <c r="M45" s="222"/>
      <c r="N45" s="386"/>
      <c r="O45" s="224">
        <f>ROUND(G45*I45,2)+ROUND(H45*J45,2)-K45-L45-M45-N45</f>
        <v>0</v>
      </c>
      <c r="P45" s="222">
        <f>ROUND(18.75%*O45,2)</f>
        <v>0</v>
      </c>
      <c r="Q45" s="222">
        <f>P45-S45</f>
        <v>0</v>
      </c>
      <c r="R45" s="223">
        <v>0.15</v>
      </c>
      <c r="S45" s="222">
        <f>ROUND($O45*T45,2)</f>
        <v>0</v>
      </c>
      <c r="T45" s="258">
        <v>3.7499999999999999E-2</v>
      </c>
      <c r="U45" s="40">
        <f t="shared" si="21"/>
        <v>0</v>
      </c>
      <c r="V45" s="40">
        <f t="shared" si="22"/>
        <v>0</v>
      </c>
      <c r="W45" s="75">
        <f t="shared" si="23"/>
        <v>0</v>
      </c>
      <c r="X45" s="76">
        <f t="shared" si="24"/>
        <v>0</v>
      </c>
      <c r="Y45" s="76">
        <f t="shared" si="25"/>
        <v>0</v>
      </c>
      <c r="Z45" s="40">
        <f t="shared" si="26"/>
        <v>0</v>
      </c>
      <c r="AA45" s="40" t="str">
        <f t="shared" si="27"/>
        <v/>
      </c>
      <c r="AB45" s="40" t="str">
        <f t="shared" si="28"/>
        <v/>
      </c>
      <c r="AC45" s="75" t="str">
        <f t="shared" si="29"/>
        <v/>
      </c>
      <c r="AD45" s="76" t="str">
        <f t="shared" si="30"/>
        <v/>
      </c>
      <c r="AE45" s="76" t="str">
        <f t="shared" si="31"/>
        <v/>
      </c>
      <c r="AF45" s="40" t="str">
        <f t="shared" si="32"/>
        <v/>
      </c>
      <c r="AG45" s="50"/>
    </row>
    <row r="46" spans="1:37" x14ac:dyDescent="0.2">
      <c r="A46" s="23" t="s">
        <v>28</v>
      </c>
      <c r="B46" s="272">
        <v>67</v>
      </c>
      <c r="C46" s="57" t="s">
        <v>31</v>
      </c>
      <c r="D46" s="57" t="s">
        <v>30</v>
      </c>
      <c r="E46" s="57" t="s">
        <v>101</v>
      </c>
      <c r="F46" s="238" t="s">
        <v>37</v>
      </c>
      <c r="G46" s="215"/>
      <c r="H46" s="215"/>
      <c r="I46" s="1168"/>
      <c r="J46" s="1168"/>
      <c r="K46" s="215"/>
      <c r="L46" s="222"/>
      <c r="M46" s="577"/>
      <c r="N46" s="222"/>
      <c r="O46" s="224">
        <f>ROUND(G46*I46,2)+ROUND(H46*J46,2)-K46-L46-M46-N46</f>
        <v>0</v>
      </c>
      <c r="P46" s="222">
        <f>ROUND(18.75%*O46,2)</f>
        <v>0</v>
      </c>
      <c r="Q46" s="222">
        <f>P46-S46</f>
        <v>0</v>
      </c>
      <c r="R46" s="223">
        <v>0.15</v>
      </c>
      <c r="S46" s="222">
        <f>ROUND($O46*T46,2)</f>
        <v>0</v>
      </c>
      <c r="T46" s="258">
        <v>3.7499999999999999E-2</v>
      </c>
      <c r="U46" s="40">
        <f t="shared" si="21"/>
        <v>0</v>
      </c>
      <c r="V46" s="40">
        <f t="shared" si="22"/>
        <v>0</v>
      </c>
      <c r="W46" s="75">
        <f t="shared" si="23"/>
        <v>0</v>
      </c>
      <c r="X46" s="76">
        <f t="shared" si="24"/>
        <v>0</v>
      </c>
      <c r="Y46" s="76">
        <f t="shared" si="25"/>
        <v>0</v>
      </c>
      <c r="Z46" s="40">
        <f t="shared" si="26"/>
        <v>0</v>
      </c>
      <c r="AA46" s="40" t="str">
        <f t="shared" si="27"/>
        <v/>
      </c>
      <c r="AB46" s="40" t="str">
        <f t="shared" si="28"/>
        <v/>
      </c>
      <c r="AC46" s="75" t="str">
        <f t="shared" si="29"/>
        <v/>
      </c>
      <c r="AD46" s="76" t="str">
        <f t="shared" si="30"/>
        <v/>
      </c>
      <c r="AE46" s="76" t="str">
        <f t="shared" si="31"/>
        <v/>
      </c>
      <c r="AF46" s="40" t="str">
        <f t="shared" si="32"/>
        <v/>
      </c>
      <c r="AG46" s="50"/>
    </row>
    <row r="47" spans="1:37" x14ac:dyDescent="0.2">
      <c r="A47" s="18" t="s">
        <v>28</v>
      </c>
      <c r="B47" s="29" t="s">
        <v>54</v>
      </c>
      <c r="C47" s="56"/>
      <c r="D47" s="27"/>
      <c r="E47" s="27"/>
      <c r="F47" s="238"/>
      <c r="G47" s="222"/>
      <c r="H47" s="222"/>
      <c r="I47" s="1169"/>
      <c r="J47" s="1169"/>
      <c r="K47" s="222"/>
      <c r="L47" s="222"/>
      <c r="M47" s="222"/>
      <c r="N47" s="222"/>
      <c r="O47" s="222"/>
      <c r="P47" s="222"/>
      <c r="Q47" s="222"/>
      <c r="R47" s="222"/>
      <c r="S47" s="222"/>
      <c r="T47" s="223"/>
      <c r="U47" s="40" t="str">
        <f t="shared" si="21"/>
        <v/>
      </c>
      <c r="V47" s="40" t="str">
        <f t="shared" si="22"/>
        <v/>
      </c>
      <c r="W47" s="75" t="str">
        <f t="shared" si="23"/>
        <v/>
      </c>
      <c r="X47" s="76" t="str">
        <f t="shared" si="24"/>
        <v/>
      </c>
      <c r="Y47" s="76" t="str">
        <f t="shared" si="25"/>
        <v/>
      </c>
      <c r="Z47" s="40" t="str">
        <f t="shared" si="26"/>
        <v/>
      </c>
      <c r="AA47" s="40" t="str">
        <f t="shared" si="27"/>
        <v/>
      </c>
      <c r="AB47" s="40" t="str">
        <f t="shared" si="28"/>
        <v/>
      </c>
      <c r="AC47" s="75" t="str">
        <f t="shared" si="29"/>
        <v/>
      </c>
      <c r="AD47" s="76" t="str">
        <f t="shared" si="30"/>
        <v/>
      </c>
      <c r="AE47" s="76" t="str">
        <f t="shared" si="31"/>
        <v/>
      </c>
      <c r="AF47" s="40" t="str">
        <f t="shared" si="32"/>
        <v/>
      </c>
      <c r="AG47" s="50"/>
    </row>
    <row r="48" spans="1:37" x14ac:dyDescent="0.2">
      <c r="A48" s="30"/>
      <c r="B48" s="153" t="s">
        <v>108</v>
      </c>
      <c r="C48" s="31" t="str">
        <f>TEXT(A$41,)&amp;" US$"</f>
        <v>Loreto / Ucayali US$</v>
      </c>
      <c r="D48" s="19"/>
      <c r="E48" s="19"/>
      <c r="F48" s="251"/>
      <c r="G48" s="249"/>
      <c r="H48" s="249"/>
      <c r="I48" s="1173"/>
      <c r="J48" s="1174"/>
      <c r="K48" s="239"/>
      <c r="L48" s="239"/>
      <c r="M48" s="239"/>
      <c r="N48" s="227"/>
      <c r="O48" s="227">
        <f>SUM(O42:O47)</f>
        <v>0</v>
      </c>
      <c r="P48" s="227">
        <f>SUM(P42:P47)</f>
        <v>0</v>
      </c>
      <c r="Q48" s="227">
        <f>SUM(Q42:Q47)</f>
        <v>0</v>
      </c>
      <c r="R48" s="241"/>
      <c r="S48" s="227">
        <f>SUM(S42:S47)</f>
        <v>0</v>
      </c>
      <c r="T48" s="229"/>
      <c r="U48" s="77">
        <f>SUM(U42:U47)</f>
        <v>0</v>
      </c>
      <c r="V48" s="77">
        <f>SUM(V42:V47)</f>
        <v>0</v>
      </c>
      <c r="W48" s="78">
        <f>SUM(W42:W47)</f>
        <v>0</v>
      </c>
      <c r="X48" s="79" t="e">
        <f>ROUND(V48/U48,4)</f>
        <v>#DIV/0!</v>
      </c>
      <c r="Y48" s="79" t="e">
        <f>ROUND(Z48/U48,4)</f>
        <v>#DIV/0!</v>
      </c>
      <c r="Z48" s="77">
        <f>SUM(Z42:Z47)</f>
        <v>0</v>
      </c>
      <c r="AA48" s="77">
        <f>SUM(AA42:AA47)</f>
        <v>0</v>
      </c>
      <c r="AB48" s="77">
        <f>SUM(AB42:AB47)</f>
        <v>0</v>
      </c>
      <c r="AC48" s="78">
        <f>SUM(AC42:AC47)</f>
        <v>0</v>
      </c>
      <c r="AD48" s="79" t="e">
        <f>ROUND(AB48/AA48,4)</f>
        <v>#DIV/0!</v>
      </c>
      <c r="AE48" s="79" t="e">
        <f>ROUND(AF48/AA48,4)</f>
        <v>#DIV/0!</v>
      </c>
      <c r="AF48" s="77">
        <f>SUM(AF42:AF47)</f>
        <v>0</v>
      </c>
      <c r="AG48" s="77">
        <f>P48-Z48-AF48</f>
        <v>0</v>
      </c>
    </row>
    <row r="49" spans="1:40" x14ac:dyDescent="0.2">
      <c r="A49" s="145"/>
      <c r="B49" s="146"/>
      <c r="C49" s="31" t="str">
        <f>TEXT(A$41,)&amp;" S/."</f>
        <v>Loreto / Ucayali S/.</v>
      </c>
      <c r="D49" s="103"/>
      <c r="E49" s="103"/>
      <c r="F49" s="145"/>
      <c r="G49" s="208"/>
      <c r="H49" s="208"/>
      <c r="I49" s="1175"/>
      <c r="J49" s="1175"/>
      <c r="K49" s="208"/>
      <c r="L49" s="208"/>
      <c r="M49" s="208"/>
      <c r="N49" s="208"/>
      <c r="O49" s="211"/>
      <c r="P49" s="211">
        <f>ROUND($F$1*P48,2)</f>
        <v>0</v>
      </c>
      <c r="Q49" s="211">
        <f>ROUND($F$1*Q48,2)</f>
        <v>0</v>
      </c>
      <c r="R49" s="160"/>
      <c r="S49" s="363">
        <f>ROUND($F$1*S48,2)</f>
        <v>0</v>
      </c>
      <c r="T49" s="148"/>
      <c r="U49" s="149"/>
      <c r="V49" s="149"/>
      <c r="W49" s="150"/>
      <c r="X49" s="151"/>
      <c r="Y49" s="151"/>
      <c r="Z49" s="149"/>
      <c r="AA49" s="149"/>
      <c r="AB49" s="149"/>
      <c r="AC49" s="150"/>
      <c r="AD49" s="151"/>
      <c r="AE49" s="151"/>
      <c r="AF49" s="149"/>
      <c r="AG49" s="149"/>
    </row>
    <row r="50" spans="1:40" x14ac:dyDescent="0.2">
      <c r="A50" s="15" t="s">
        <v>161</v>
      </c>
      <c r="B50" s="16"/>
      <c r="C50" s="16"/>
      <c r="D50" s="16"/>
      <c r="E50" s="21"/>
      <c r="F50" s="15"/>
      <c r="G50" s="206"/>
      <c r="H50" s="207"/>
      <c r="I50" s="1176"/>
      <c r="J50" s="1177"/>
      <c r="K50" s="206"/>
      <c r="L50" s="206"/>
      <c r="M50" s="206"/>
      <c r="N50" s="206"/>
      <c r="O50" s="206"/>
      <c r="P50" s="213" t="s">
        <v>163</v>
      </c>
      <c r="Q50" s="213" t="s">
        <v>161</v>
      </c>
      <c r="R50" s="169"/>
      <c r="S50" s="212"/>
      <c r="T50" s="180"/>
      <c r="U50" s="149"/>
      <c r="V50" s="149"/>
      <c r="W50" s="150"/>
      <c r="X50" s="151"/>
      <c r="Y50" s="151"/>
      <c r="Z50" s="149"/>
      <c r="AA50" s="149"/>
      <c r="AB50" s="149"/>
      <c r="AC50" s="150"/>
      <c r="AD50" s="151"/>
      <c r="AE50" s="151"/>
      <c r="AF50" s="149"/>
      <c r="AG50" s="149"/>
    </row>
    <row r="51" spans="1:40" x14ac:dyDescent="0.2">
      <c r="A51" s="23" t="s">
        <v>28</v>
      </c>
      <c r="B51" s="24" t="s">
        <v>160</v>
      </c>
      <c r="C51" s="57" t="s">
        <v>31</v>
      </c>
      <c r="D51" s="57" t="s">
        <v>30</v>
      </c>
      <c r="E51" s="57" t="s">
        <v>158</v>
      </c>
      <c r="F51" s="238" t="s">
        <v>37</v>
      </c>
      <c r="G51" s="222"/>
      <c r="H51" s="222"/>
      <c r="I51" s="1169"/>
      <c r="J51" s="1169"/>
      <c r="K51" s="222"/>
      <c r="L51" s="222"/>
      <c r="M51" s="222"/>
      <c r="N51" s="409"/>
      <c r="O51" s="224">
        <f t="shared" ref="O51:O56" si="33">G51*I51+H51*J51</f>
        <v>0</v>
      </c>
      <c r="P51" s="253">
        <f>ROUND(37.24%*(G51*I51+H51*J51),2)</f>
        <v>0</v>
      </c>
      <c r="Q51" s="253">
        <f t="shared" ref="Q51:Q56" si="34">ROUND(R51*P51,2)</f>
        <v>0</v>
      </c>
      <c r="R51" s="223">
        <v>0.5</v>
      </c>
      <c r="S51" s="222"/>
      <c r="T51" s="258"/>
      <c r="U51" s="40">
        <f t="shared" ref="U51:U57" si="35">IF($F51&amp;"/Día"=W$9,SUM($G51:$H51),"")</f>
        <v>0</v>
      </c>
      <c r="V51" s="40">
        <f t="shared" ref="V51:V57" si="36">IF(U51&lt;&gt;"",$O51,"")</f>
        <v>0</v>
      </c>
      <c r="W51" s="75">
        <f t="shared" ref="W51:W57" si="37">IF($F51&amp;"/Día"=W$9,ROUND(U51/$W$1,1),"")</f>
        <v>0</v>
      </c>
      <c r="X51" s="76">
        <f t="shared" ref="X51:X57" si="38">IF(U51=0,0,IF($F51&amp;"/Día"=W$9,ROUND(V51/U51,4),""))</f>
        <v>0</v>
      </c>
      <c r="Y51" s="76">
        <f t="shared" ref="Y51:Y57" si="39">IF(U51=0,0,IF($F51&amp;"/Día"=W$9,ROUND(Z51/U51,4),""))</f>
        <v>0</v>
      </c>
      <c r="Z51" s="40">
        <f t="shared" ref="Z51:Z57" si="40">IF(U51&lt;&gt;"",$Q51,"")</f>
        <v>0</v>
      </c>
      <c r="AA51" s="40" t="str">
        <f t="shared" ref="AA51:AA57" si="41">IF($F51&amp;"/Día"=AC$9,SUM($G51:$H51),"")</f>
        <v/>
      </c>
      <c r="AB51" s="40" t="str">
        <f t="shared" ref="AB51:AB57" si="42">IF(AA51&lt;&gt;"",$O51,"")</f>
        <v/>
      </c>
      <c r="AC51" s="75" t="str">
        <f t="shared" ref="AC51:AC57" si="43">IF($F51&amp;"/Día"=AC$9,ROUND(AA51/$W$1,1),"")</f>
        <v/>
      </c>
      <c r="AD51" s="76" t="str">
        <f t="shared" ref="AD51:AD57" si="44">IF(AA51=0,0,IF($F51&amp;"/Día"=AC$9,ROUND(AB51/AA51,4),""))</f>
        <v/>
      </c>
      <c r="AE51" s="76" t="str">
        <f t="shared" ref="AE51:AE57" si="45">IF(AA51=0,0,IF($F51&amp;"/Día"=AC$9,ROUND(AF51/AA51,4),""))</f>
        <v/>
      </c>
      <c r="AF51" s="40" t="str">
        <f t="shared" ref="AF51:AF57" si="46">IF(AA51&lt;&gt;"",$Q51,"")</f>
        <v/>
      </c>
      <c r="AG51" s="149"/>
      <c r="AK51" s="179"/>
    </row>
    <row r="52" spans="1:40" x14ac:dyDescent="0.2">
      <c r="A52" s="23" t="s">
        <v>28</v>
      </c>
      <c r="B52" s="24" t="s">
        <v>159</v>
      </c>
      <c r="C52" s="57" t="s">
        <v>31</v>
      </c>
      <c r="D52" s="57" t="s">
        <v>30</v>
      </c>
      <c r="E52" s="57" t="s">
        <v>158</v>
      </c>
      <c r="F52" s="238" t="s">
        <v>56</v>
      </c>
      <c r="G52" s="222"/>
      <c r="H52" s="222"/>
      <c r="I52" s="1169"/>
      <c r="J52" s="1169"/>
      <c r="K52" s="222"/>
      <c r="L52" s="222"/>
      <c r="M52" s="222"/>
      <c r="N52" s="409"/>
      <c r="O52" s="224">
        <f t="shared" si="33"/>
        <v>0</v>
      </c>
      <c r="P52" s="253">
        <f>ROUND(37.24%*(G52*I52+H52*J52),2)</f>
        <v>0</v>
      </c>
      <c r="Q52" s="253">
        <f t="shared" si="34"/>
        <v>0</v>
      </c>
      <c r="R52" s="223">
        <v>0.5</v>
      </c>
      <c r="S52" s="222"/>
      <c r="T52" s="223"/>
      <c r="U52" s="40" t="str">
        <f t="shared" si="35"/>
        <v/>
      </c>
      <c r="V52" s="40" t="str">
        <f t="shared" si="36"/>
        <v/>
      </c>
      <c r="W52" s="75" t="str">
        <f t="shared" si="37"/>
        <v/>
      </c>
      <c r="X52" s="76" t="str">
        <f t="shared" si="38"/>
        <v/>
      </c>
      <c r="Y52" s="76" t="str">
        <f t="shared" si="39"/>
        <v/>
      </c>
      <c r="Z52" s="40" t="str">
        <f t="shared" si="40"/>
        <v/>
      </c>
      <c r="AA52" s="40">
        <f t="shared" si="41"/>
        <v>0</v>
      </c>
      <c r="AB52" s="40">
        <f t="shared" si="42"/>
        <v>0</v>
      </c>
      <c r="AC52" s="75">
        <f t="shared" si="43"/>
        <v>0</v>
      </c>
      <c r="AD52" s="76">
        <f t="shared" si="44"/>
        <v>0</v>
      </c>
      <c r="AE52" s="76">
        <f t="shared" si="45"/>
        <v>0</v>
      </c>
      <c r="AF52" s="40">
        <f t="shared" si="46"/>
        <v>0</v>
      </c>
      <c r="AG52" s="149"/>
      <c r="AK52" s="179"/>
    </row>
    <row r="53" spans="1:40" x14ac:dyDescent="0.2">
      <c r="A53" s="23" t="s">
        <v>28</v>
      </c>
      <c r="B53" s="24" t="s">
        <v>168</v>
      </c>
      <c r="C53" s="57" t="s">
        <v>31</v>
      </c>
      <c r="D53" s="57" t="s">
        <v>30</v>
      </c>
      <c r="E53" s="57" t="s">
        <v>158</v>
      </c>
      <c r="F53" s="238" t="s">
        <v>37</v>
      </c>
      <c r="G53" s="222"/>
      <c r="H53" s="222"/>
      <c r="I53" s="1169"/>
      <c r="J53" s="1169"/>
      <c r="K53" s="222"/>
      <c r="L53" s="222"/>
      <c r="M53" s="222"/>
      <c r="N53" s="222"/>
      <c r="O53" s="224">
        <f t="shared" si="33"/>
        <v>0</v>
      </c>
      <c r="P53" s="253">
        <f>ROUND(40%*G53*I53,2)+ROUND(40%*H53*J53,2)</f>
        <v>0</v>
      </c>
      <c r="Q53" s="253">
        <f t="shared" si="34"/>
        <v>0</v>
      </c>
      <c r="R53" s="223">
        <v>0.5</v>
      </c>
      <c r="S53" s="222"/>
      <c r="T53" s="223"/>
      <c r="U53" s="40">
        <f t="shared" si="35"/>
        <v>0</v>
      </c>
      <c r="V53" s="40">
        <f t="shared" si="36"/>
        <v>0</v>
      </c>
      <c r="W53" s="75">
        <f t="shared" si="37"/>
        <v>0</v>
      </c>
      <c r="X53" s="76">
        <f t="shared" si="38"/>
        <v>0</v>
      </c>
      <c r="Y53" s="76">
        <f t="shared" si="39"/>
        <v>0</v>
      </c>
      <c r="Z53" s="40">
        <f t="shared" si="40"/>
        <v>0</v>
      </c>
      <c r="AA53" s="40" t="str">
        <f t="shared" si="41"/>
        <v/>
      </c>
      <c r="AB53" s="40" t="str">
        <f t="shared" si="42"/>
        <v/>
      </c>
      <c r="AC53" s="75" t="str">
        <f t="shared" si="43"/>
        <v/>
      </c>
      <c r="AD53" s="76" t="str">
        <f t="shared" si="44"/>
        <v/>
      </c>
      <c r="AE53" s="76" t="str">
        <f t="shared" si="45"/>
        <v/>
      </c>
      <c r="AF53" s="40" t="str">
        <f t="shared" si="46"/>
        <v/>
      </c>
      <c r="AG53" s="149"/>
      <c r="AK53" s="179"/>
    </row>
    <row r="54" spans="1:40" x14ac:dyDescent="0.2">
      <c r="A54" s="23" t="s">
        <v>28</v>
      </c>
      <c r="B54" s="24" t="s">
        <v>169</v>
      </c>
      <c r="C54" s="57" t="s">
        <v>31</v>
      </c>
      <c r="D54" s="57" t="s">
        <v>30</v>
      </c>
      <c r="E54" s="57" t="s">
        <v>158</v>
      </c>
      <c r="F54" s="238" t="s">
        <v>56</v>
      </c>
      <c r="G54" s="222"/>
      <c r="H54" s="222"/>
      <c r="I54" s="1169"/>
      <c r="J54" s="1169"/>
      <c r="K54" s="222"/>
      <c r="L54" s="222"/>
      <c r="M54" s="222"/>
      <c r="N54" s="222"/>
      <c r="O54" s="589">
        <f t="shared" si="33"/>
        <v>0</v>
      </c>
      <c r="P54" s="253">
        <f>ROUND(38%*G54*I54,2)+ROUND(38%*H54*J54,2)</f>
        <v>0</v>
      </c>
      <c r="Q54" s="253">
        <f t="shared" si="34"/>
        <v>0</v>
      </c>
      <c r="R54" s="223">
        <v>0.5</v>
      </c>
      <c r="S54" s="222"/>
      <c r="T54" s="223"/>
      <c r="U54" s="40" t="str">
        <f t="shared" si="35"/>
        <v/>
      </c>
      <c r="V54" s="40" t="str">
        <f t="shared" si="36"/>
        <v/>
      </c>
      <c r="W54" s="75" t="str">
        <f t="shared" si="37"/>
        <v/>
      </c>
      <c r="X54" s="76" t="str">
        <f t="shared" si="38"/>
        <v/>
      </c>
      <c r="Y54" s="76" t="str">
        <f t="shared" si="39"/>
        <v/>
      </c>
      <c r="Z54" s="40" t="str">
        <f t="shared" si="40"/>
        <v/>
      </c>
      <c r="AA54" s="40">
        <f t="shared" si="41"/>
        <v>0</v>
      </c>
      <c r="AB54" s="40">
        <f t="shared" si="42"/>
        <v>0</v>
      </c>
      <c r="AC54" s="75">
        <f t="shared" si="43"/>
        <v>0</v>
      </c>
      <c r="AD54" s="76">
        <f t="shared" si="44"/>
        <v>0</v>
      </c>
      <c r="AE54" s="76">
        <f t="shared" si="45"/>
        <v>0</v>
      </c>
      <c r="AF54" s="40">
        <f t="shared" si="46"/>
        <v>0</v>
      </c>
      <c r="AG54" s="149"/>
      <c r="AK54" s="179"/>
    </row>
    <row r="55" spans="1:40" ht="13.5" customHeight="1" x14ac:dyDescent="0.2">
      <c r="A55" s="23" t="s">
        <v>28</v>
      </c>
      <c r="B55" s="28" t="s">
        <v>175</v>
      </c>
      <c r="C55" s="57" t="s">
        <v>31</v>
      </c>
      <c r="D55" s="57" t="s">
        <v>30</v>
      </c>
      <c r="E55" s="57" t="s">
        <v>158</v>
      </c>
      <c r="F55" s="238" t="s">
        <v>37</v>
      </c>
      <c r="G55" s="222"/>
      <c r="H55" s="222"/>
      <c r="I55" s="1169"/>
      <c r="J55" s="1169"/>
      <c r="K55" s="215"/>
      <c r="L55" s="222"/>
      <c r="M55" s="222"/>
      <c r="N55" s="215"/>
      <c r="O55" s="224">
        <f t="shared" si="33"/>
        <v>0</v>
      </c>
      <c r="P55" s="222">
        <f>ROUND(G55*I55,2)*6.68%+ROUND(H55*J55,2)*6.74%</f>
        <v>0</v>
      </c>
      <c r="Q55" s="253">
        <f t="shared" si="34"/>
        <v>0</v>
      </c>
      <c r="R55" s="223">
        <v>0.5</v>
      </c>
      <c r="S55" s="222"/>
      <c r="T55" s="258"/>
      <c r="U55" s="40">
        <f t="shared" si="35"/>
        <v>0</v>
      </c>
      <c r="V55" s="40">
        <f t="shared" si="36"/>
        <v>0</v>
      </c>
      <c r="W55" s="75">
        <f t="shared" si="37"/>
        <v>0</v>
      </c>
      <c r="X55" s="76">
        <f t="shared" si="38"/>
        <v>0</v>
      </c>
      <c r="Y55" s="76">
        <f t="shared" si="39"/>
        <v>0</v>
      </c>
      <c r="Z55" s="40">
        <f t="shared" si="40"/>
        <v>0</v>
      </c>
      <c r="AA55" s="40" t="str">
        <f t="shared" si="41"/>
        <v/>
      </c>
      <c r="AB55" s="40" t="str">
        <f t="shared" si="42"/>
        <v/>
      </c>
      <c r="AC55" s="75" t="str">
        <f t="shared" si="43"/>
        <v/>
      </c>
      <c r="AD55" s="76" t="str">
        <f t="shared" si="44"/>
        <v/>
      </c>
      <c r="AE55" s="76" t="str">
        <f t="shared" si="45"/>
        <v/>
      </c>
      <c r="AF55" s="40" t="str">
        <f t="shared" si="46"/>
        <v/>
      </c>
      <c r="AG55" s="149"/>
      <c r="AK55" s="179"/>
    </row>
    <row r="56" spans="1:40" x14ac:dyDescent="0.2">
      <c r="A56" s="23" t="s">
        <v>28</v>
      </c>
      <c r="B56" s="272" t="s">
        <v>176</v>
      </c>
      <c r="C56" s="57" t="s">
        <v>31</v>
      </c>
      <c r="D56" s="57" t="s">
        <v>30</v>
      </c>
      <c r="E56" s="57" t="s">
        <v>158</v>
      </c>
      <c r="F56" s="238" t="s">
        <v>56</v>
      </c>
      <c r="G56" s="222"/>
      <c r="H56" s="222"/>
      <c r="I56" s="1169"/>
      <c r="J56" s="1169"/>
      <c r="K56" s="559"/>
      <c r="L56" s="222"/>
      <c r="M56" s="222"/>
      <c r="N56" s="215"/>
      <c r="O56" s="224">
        <f t="shared" si="33"/>
        <v>0</v>
      </c>
      <c r="P56" s="222">
        <f>ROUND(G56*I56,2)*11.1%+ROUND(H56*J56,2)*11.17%</f>
        <v>0</v>
      </c>
      <c r="Q56" s="253">
        <f t="shared" si="34"/>
        <v>0</v>
      </c>
      <c r="R56" s="223">
        <v>0.5</v>
      </c>
      <c r="S56" s="222"/>
      <c r="T56" s="258"/>
      <c r="U56" s="40" t="str">
        <f t="shared" si="35"/>
        <v/>
      </c>
      <c r="V56" s="40" t="str">
        <f t="shared" si="36"/>
        <v/>
      </c>
      <c r="W56" s="75" t="str">
        <f t="shared" si="37"/>
        <v/>
      </c>
      <c r="X56" s="76" t="str">
        <f t="shared" si="38"/>
        <v/>
      </c>
      <c r="Y56" s="76" t="str">
        <f t="shared" si="39"/>
        <v/>
      </c>
      <c r="Z56" s="40" t="str">
        <f t="shared" si="40"/>
        <v/>
      </c>
      <c r="AA56" s="40">
        <f t="shared" si="41"/>
        <v>0</v>
      </c>
      <c r="AB56" s="40">
        <f t="shared" si="42"/>
        <v>0</v>
      </c>
      <c r="AC56" s="75">
        <f t="shared" si="43"/>
        <v>0</v>
      </c>
      <c r="AD56" s="76">
        <f t="shared" si="44"/>
        <v>0</v>
      </c>
      <c r="AE56" s="76">
        <f t="shared" si="45"/>
        <v>0</v>
      </c>
      <c r="AF56" s="40">
        <f t="shared" si="46"/>
        <v>0</v>
      </c>
      <c r="AG56" s="149"/>
      <c r="AK56" s="1160"/>
    </row>
    <row r="57" spans="1:40" x14ac:dyDescent="0.2">
      <c r="A57" s="181" t="s">
        <v>28</v>
      </c>
      <c r="B57" s="182" t="s">
        <v>162</v>
      </c>
      <c r="C57" s="183"/>
      <c r="D57" s="183"/>
      <c r="E57" s="184"/>
      <c r="F57" s="33"/>
      <c r="G57" s="261"/>
      <c r="H57" s="262"/>
      <c r="I57" s="1178"/>
      <c r="J57" s="1179"/>
      <c r="K57" s="263"/>
      <c r="L57" s="263"/>
      <c r="M57" s="187"/>
      <c r="N57" s="187"/>
      <c r="O57" s="815"/>
      <c r="P57" s="815"/>
      <c r="Q57" s="815"/>
      <c r="R57" s="148"/>
      <c r="S57" s="188"/>
      <c r="T57" s="148"/>
      <c r="U57" s="40" t="str">
        <f t="shared" si="35"/>
        <v/>
      </c>
      <c r="V57" s="40" t="str">
        <f t="shared" si="36"/>
        <v/>
      </c>
      <c r="W57" s="75" t="str">
        <f t="shared" si="37"/>
        <v/>
      </c>
      <c r="X57" s="76" t="str">
        <f t="shared" si="38"/>
        <v/>
      </c>
      <c r="Y57" s="76" t="str">
        <f t="shared" si="39"/>
        <v/>
      </c>
      <c r="Z57" s="40" t="str">
        <f t="shared" si="40"/>
        <v/>
      </c>
      <c r="AA57" s="40" t="str">
        <f t="shared" si="41"/>
        <v/>
      </c>
      <c r="AB57" s="40" t="str">
        <f t="shared" si="42"/>
        <v/>
      </c>
      <c r="AC57" s="75" t="str">
        <f t="shared" si="43"/>
        <v/>
      </c>
      <c r="AD57" s="76" t="str">
        <f t="shared" si="44"/>
        <v/>
      </c>
      <c r="AE57" s="76" t="str">
        <f t="shared" si="45"/>
        <v/>
      </c>
      <c r="AF57" s="40" t="str">
        <f t="shared" si="46"/>
        <v/>
      </c>
      <c r="AG57" s="149"/>
      <c r="AK57" s="179"/>
    </row>
    <row r="58" spans="1:40" x14ac:dyDescent="0.2">
      <c r="A58" s="30"/>
      <c r="B58" s="153" t="s">
        <v>108</v>
      </c>
      <c r="C58" s="31" t="str">
        <f>TEXT(A$50,)&amp;" US$"</f>
        <v>Cusco US$</v>
      </c>
      <c r="D58" s="19"/>
      <c r="E58" s="19"/>
      <c r="F58" s="268"/>
      <c r="G58" s="254">
        <f>SUM(G54:G54)</f>
        <v>0</v>
      </c>
      <c r="H58" s="254">
        <f>SUM(H54:H54)</f>
        <v>0</v>
      </c>
      <c r="I58" s="304"/>
      <c r="J58" s="254"/>
      <c r="K58" s="265"/>
      <c r="L58" s="259"/>
      <c r="M58" s="303"/>
      <c r="N58" s="201"/>
      <c r="O58" s="201">
        <f>SUM(O51:O57)</f>
        <v>0</v>
      </c>
      <c r="P58" s="201">
        <f>SUM(P51:P57)</f>
        <v>0</v>
      </c>
      <c r="Q58" s="201">
        <f>SUM(Q51:Q57)</f>
        <v>0</v>
      </c>
      <c r="R58" s="560"/>
      <c r="S58" s="192"/>
      <c r="T58" s="148"/>
      <c r="U58" s="77">
        <f>SUM(U51:U57)</f>
        <v>0</v>
      </c>
      <c r="V58" s="77">
        <f>SUM(V51:V57)</f>
        <v>0</v>
      </c>
      <c r="W58" s="78">
        <f>SUM(W51:W57)</f>
        <v>0</v>
      </c>
      <c r="X58" s="79" t="e">
        <f>ROUND(V58/U58,4)</f>
        <v>#DIV/0!</v>
      </c>
      <c r="Y58" s="79" t="e">
        <f>ROUND(Z58/U58,4)</f>
        <v>#DIV/0!</v>
      </c>
      <c r="Z58" s="77">
        <f>SUM(Z51:Z57)</f>
        <v>0</v>
      </c>
      <c r="AA58" s="77">
        <f>SUM(AA51:AA57)</f>
        <v>0</v>
      </c>
      <c r="AB58" s="77">
        <f>SUM(AB51:AB57)</f>
        <v>0</v>
      </c>
      <c r="AC58" s="78">
        <f>SUM(AC51:AC57)</f>
        <v>0</v>
      </c>
      <c r="AD58" s="79" t="e">
        <f>ROUND(AB58/AA58,4)</f>
        <v>#DIV/0!</v>
      </c>
      <c r="AE58" s="79" t="e">
        <f>ROUND(AF58/AA58,4)</f>
        <v>#DIV/0!</v>
      </c>
      <c r="AF58" s="77">
        <f>SUM(AF51:AF57)</f>
        <v>0</v>
      </c>
      <c r="AG58" s="77">
        <f>Q58-Z58-AF58</f>
        <v>0</v>
      </c>
    </row>
    <row r="59" spans="1:40"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f>Q58*F1</f>
        <v>0</v>
      </c>
      <c r="R59" s="185"/>
      <c r="S59" s="192"/>
      <c r="T59" s="148"/>
      <c r="U59" s="149"/>
      <c r="V59" s="149"/>
      <c r="W59" s="150"/>
      <c r="X59" s="151"/>
      <c r="Y59" s="151"/>
      <c r="Z59" s="149"/>
      <c r="AA59" s="149"/>
      <c r="AB59" s="149"/>
      <c r="AC59" s="150"/>
      <c r="AD59" s="151"/>
      <c r="AE59" s="151"/>
      <c r="AF59" s="149"/>
      <c r="AG59" s="149"/>
      <c r="AJ59" s="3" t="s">
        <v>189</v>
      </c>
      <c r="AK59" s="143"/>
      <c r="AL59" s="143">
        <f>P34</f>
        <v>0</v>
      </c>
      <c r="AM59" s="143" t="s">
        <v>23</v>
      </c>
    </row>
    <row r="60" spans="1:40"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f>O34+O39+O48+O58</f>
        <v>0</v>
      </c>
      <c r="P60" s="363">
        <f>Q58+P48+P39+P34</f>
        <v>0</v>
      </c>
      <c r="Q60" s="196">
        <f>Q35+S35+Q40+Q49+S49+Q59</f>
        <v>0</v>
      </c>
      <c r="R60" s="55"/>
      <c r="S60" s="196"/>
      <c r="T60" s="55"/>
      <c r="U60" s="84">
        <f>U34+U39+U48+U58</f>
        <v>0</v>
      </c>
      <c r="V60" s="84">
        <f>V34+V39+V48+V58</f>
        <v>0</v>
      </c>
      <c r="W60" s="85">
        <f>W34+W39+W48+W58</f>
        <v>0</v>
      </c>
      <c r="X60" s="86" t="e">
        <f>ROUND(V60/U60,4)</f>
        <v>#DIV/0!</v>
      </c>
      <c r="Y60" s="86" t="e">
        <f>ROUND(Z60/U60,4)</f>
        <v>#DIV/0!</v>
      </c>
      <c r="Z60" s="84">
        <f>Z34+Z39+Z48+Z58</f>
        <v>0</v>
      </c>
      <c r="AA60" s="84">
        <f>AA34+AA39+AA48+AA58</f>
        <v>0</v>
      </c>
      <c r="AB60" s="84">
        <f>AB34+AB39+AB48+AB58</f>
        <v>0</v>
      </c>
      <c r="AC60" s="84">
        <f>AC34+AC39+AC48+AC58</f>
        <v>0</v>
      </c>
      <c r="AD60" s="86" t="e">
        <f>ROUND(AB60/AA60,4)</f>
        <v>#DIV/0!</v>
      </c>
      <c r="AE60" s="86" t="e">
        <f>ROUND(AF60/AA60,4)</f>
        <v>#DIV/0!</v>
      </c>
      <c r="AF60" s="84">
        <f>AF34+AF39+AF48+AF58</f>
        <v>0</v>
      </c>
      <c r="AG60" s="84">
        <f>P60-Z60-AF60</f>
        <v>0</v>
      </c>
      <c r="AI60" s="1">
        <v>57</v>
      </c>
      <c r="AJ60" s="51" t="s">
        <v>190</v>
      </c>
      <c r="AK60" s="143"/>
      <c r="AL60" s="143">
        <f>P48</f>
        <v>0</v>
      </c>
      <c r="AM60" s="143" t="s">
        <v>24</v>
      </c>
    </row>
    <row r="61" spans="1:40" x14ac:dyDescent="0.2">
      <c r="G61" s="1"/>
      <c r="H61" s="1"/>
      <c r="I61" s="1"/>
      <c r="J61" s="1"/>
      <c r="K61" s="1"/>
      <c r="N61" s="1140"/>
      <c r="O61" s="1141"/>
      <c r="P61" s="1141"/>
      <c r="Q61" s="1141"/>
      <c r="R61" s="1141"/>
      <c r="S61" s="1142"/>
      <c r="Z61" s="51"/>
      <c r="AA61" s="51"/>
      <c r="AB61" s="51"/>
      <c r="AC61" s="51"/>
      <c r="AD61" s="51"/>
      <c r="AE61" s="51"/>
      <c r="AI61" s="1">
        <v>56</v>
      </c>
      <c r="AJ61" s="51"/>
      <c r="AK61" s="143"/>
      <c r="AL61" s="143">
        <f>P39</f>
        <v>0</v>
      </c>
      <c r="AM61" s="143" t="s">
        <v>191</v>
      </c>
    </row>
    <row r="62" spans="1:40" x14ac:dyDescent="0.2">
      <c r="A62" s="4" t="s">
        <v>93</v>
      </c>
      <c r="B62" s="1" t="s">
        <v>76</v>
      </c>
      <c r="G62" s="1"/>
      <c r="H62" s="4" t="s">
        <v>77</v>
      </c>
      <c r="I62" s="1"/>
      <c r="J62" s="65"/>
      <c r="K62" s="65"/>
      <c r="N62" s="1139"/>
      <c r="O62" s="1161"/>
      <c r="P62" s="326"/>
      <c r="Q62" s="328"/>
      <c r="R62" s="325"/>
      <c r="S62" s="1133"/>
      <c r="U62" s="51"/>
      <c r="V62" s="143"/>
      <c r="W62" s="143"/>
      <c r="X62" s="143"/>
      <c r="AI62" s="1">
        <v>88</v>
      </c>
      <c r="AJ62" s="51"/>
      <c r="AK62" s="138">
        <f>SUM(AK59:AK61)</f>
        <v>0</v>
      </c>
      <c r="AL62" s="138">
        <f>SUM(AL59:AL61)</f>
        <v>0</v>
      </c>
      <c r="AM62" s="143">
        <f>+AK62-AL62</f>
        <v>0</v>
      </c>
      <c r="AN62" s="883"/>
    </row>
    <row r="63" spans="1:40" x14ac:dyDescent="0.2">
      <c r="B63" s="115" t="s">
        <v>78</v>
      </c>
      <c r="C63" s="116" t="s">
        <v>79</v>
      </c>
      <c r="D63" s="117"/>
      <c r="E63" s="118" t="s">
        <v>35</v>
      </c>
      <c r="F63" s="118" t="s">
        <v>80</v>
      </c>
      <c r="G63" s="1"/>
      <c r="H63" s="89" t="s">
        <v>35</v>
      </c>
      <c r="I63" s="8"/>
      <c r="J63" s="8"/>
      <c r="K63" s="8"/>
      <c r="L63" s="90"/>
      <c r="N63" s="1159"/>
      <c r="O63" s="1162"/>
      <c r="P63" s="326"/>
      <c r="Q63" s="328"/>
      <c r="R63" s="325"/>
      <c r="S63" s="1133"/>
      <c r="U63" s="51"/>
      <c r="V63" s="143"/>
      <c r="W63" s="143"/>
      <c r="X63" s="143"/>
      <c r="AJ63" s="51"/>
      <c r="AN63" s="65"/>
    </row>
    <row r="64" spans="1:4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599"/>
      <c r="O64" s="1163"/>
      <c r="P64" s="1164"/>
      <c r="Q64" s="1164"/>
      <c r="R64" s="325"/>
      <c r="S64" s="1122"/>
      <c r="U64" s="51"/>
      <c r="V64" s="143"/>
      <c r="W64" s="143"/>
      <c r="X64" s="143"/>
      <c r="AJ64" s="3" t="s">
        <v>194</v>
      </c>
      <c r="AK64" s="143"/>
      <c r="AL64" s="143"/>
      <c r="AM64" s="143"/>
    </row>
    <row r="65" spans="1:39" x14ac:dyDescent="0.2">
      <c r="B65" s="97" t="s">
        <v>83</v>
      </c>
      <c r="C65" s="98" t="s">
        <v>84</v>
      </c>
      <c r="D65" s="99"/>
      <c r="E65" s="100"/>
      <c r="F65" s="101"/>
      <c r="G65" s="1"/>
      <c r="H65" s="102">
        <f>((85.98%*E64+4.4221)*E67+(E65-E66-E69)*(1-E67))</f>
        <v>0</v>
      </c>
      <c r="I65" s="103"/>
      <c r="J65" s="103"/>
      <c r="K65" s="103"/>
      <c r="L65" s="104"/>
      <c r="M65" s="561">
        <f>698277.28/7412709.99</f>
        <v>9.4199999857272176E-2</v>
      </c>
      <c r="N65" s="599"/>
      <c r="O65" s="328"/>
      <c r="P65" s="1164"/>
      <c r="Q65" s="1164"/>
      <c r="R65" s="325"/>
      <c r="S65" s="1122"/>
      <c r="U65" s="51"/>
      <c r="V65" s="138"/>
      <c r="W65" s="138"/>
      <c r="X65" s="143"/>
      <c r="Y65" s="65"/>
      <c r="Z65" s="65"/>
      <c r="AA65" s="65"/>
      <c r="AB65" s="65"/>
      <c r="AC65" s="65"/>
      <c r="AJ65" s="3" t="s">
        <v>192</v>
      </c>
      <c r="AK65" s="143"/>
      <c r="AL65" s="143"/>
      <c r="AM65" s="143"/>
    </row>
    <row r="66" spans="1:39" x14ac:dyDescent="0.2">
      <c r="B66" s="97" t="s">
        <v>85</v>
      </c>
      <c r="C66" s="98" t="s">
        <v>86</v>
      </c>
      <c r="D66" s="99"/>
      <c r="E66" s="100"/>
      <c r="F66" s="100"/>
      <c r="G66" s="1"/>
      <c r="H66" s="1"/>
      <c r="I66" s="105"/>
      <c r="J66" s="1"/>
      <c r="K66" s="1"/>
      <c r="M66" s="561">
        <f>5254120.1/13135300.26</f>
        <v>0.39999999969547706</v>
      </c>
      <c r="N66" s="599"/>
      <c r="O66" s="1161"/>
      <c r="P66" s="326"/>
      <c r="Q66" s="326"/>
      <c r="R66" s="325"/>
      <c r="S66" s="252"/>
      <c r="U66" s="51"/>
      <c r="V66" s="143"/>
      <c r="W66" s="143"/>
      <c r="X66" s="143"/>
      <c r="Y66" s="65"/>
      <c r="Z66" s="65"/>
      <c r="AA66" s="65"/>
      <c r="AB66" s="65"/>
      <c r="AJ66" s="3" t="s">
        <v>193</v>
      </c>
      <c r="AK66" s="143"/>
      <c r="AL66" s="143"/>
      <c r="AM66" s="143"/>
    </row>
    <row r="67" spans="1:39" x14ac:dyDescent="0.2">
      <c r="B67" s="97" t="s">
        <v>87</v>
      </c>
      <c r="C67" s="98" t="s">
        <v>88</v>
      </c>
      <c r="D67" s="99"/>
      <c r="E67" s="106"/>
      <c r="F67" s="106"/>
      <c r="G67" s="1"/>
      <c r="H67" s="89" t="s">
        <v>80</v>
      </c>
      <c r="I67" s="107"/>
      <c r="J67" s="8"/>
      <c r="K67" s="8"/>
      <c r="L67" s="90"/>
      <c r="M67" s="561">
        <f>503101.38/1323950.99</f>
        <v>0.38000000287019686</v>
      </c>
      <c r="N67" s="599"/>
      <c r="O67" s="1163"/>
      <c r="P67" s="1164"/>
      <c r="Q67" s="325"/>
      <c r="R67" s="325"/>
      <c r="S67" s="252"/>
      <c r="U67" s="51"/>
      <c r="V67" s="143"/>
      <c r="W67" s="143"/>
      <c r="X67" s="143"/>
      <c r="Y67" s="65"/>
      <c r="Z67" s="65"/>
      <c r="AA67" s="65"/>
      <c r="AB67" s="65"/>
      <c r="AC67" s="65"/>
      <c r="AJ67" s="51" t="s">
        <v>197</v>
      </c>
      <c r="AK67" s="143"/>
      <c r="AL67" s="143"/>
      <c r="AM67" s="143"/>
    </row>
    <row r="68" spans="1:39"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N68" s="599"/>
      <c r="O68" s="325"/>
      <c r="P68" s="325"/>
      <c r="Q68" s="325"/>
      <c r="R68" s="325"/>
      <c r="S68" s="252"/>
      <c r="U68" s="51"/>
      <c r="V68" s="143"/>
      <c r="W68" s="143"/>
      <c r="X68" s="143"/>
      <c r="Y68" s="65"/>
      <c r="Z68" s="65"/>
      <c r="AA68" s="65"/>
      <c r="AB68" s="65"/>
      <c r="AC68" s="65"/>
      <c r="AJ68" s="51" t="s">
        <v>195</v>
      </c>
      <c r="AK68" s="143"/>
      <c r="AL68" s="143"/>
      <c r="AM68" s="143"/>
    </row>
    <row r="69" spans="1:39" x14ac:dyDescent="0.2">
      <c r="B69" s="109" t="s">
        <v>91</v>
      </c>
      <c r="C69" s="110" t="s">
        <v>92</v>
      </c>
      <c r="D69" s="111"/>
      <c r="E69" s="112"/>
      <c r="F69" s="112"/>
      <c r="G69" s="1"/>
      <c r="H69" s="102">
        <f>((85.98%*F64+4.4221)*F67+(F65-F66-F69)*(1-F67))</f>
        <v>0</v>
      </c>
      <c r="I69" s="113"/>
      <c r="J69" s="103"/>
      <c r="K69" s="103"/>
      <c r="L69" s="104"/>
      <c r="M69" s="325"/>
      <c r="N69" s="252"/>
      <c r="O69" s="325"/>
      <c r="P69" s="325"/>
      <c r="Q69" s="325"/>
      <c r="R69" s="325"/>
      <c r="S69" s="252"/>
      <c r="U69" s="51"/>
      <c r="V69" s="143"/>
      <c r="W69" s="143"/>
      <c r="X69" s="143"/>
      <c r="Y69" s="65"/>
      <c r="Z69" s="65"/>
      <c r="AA69" s="65"/>
      <c r="AB69" s="65"/>
      <c r="AC69" s="65"/>
      <c r="AJ69" s="51" t="s">
        <v>196</v>
      </c>
      <c r="AK69" s="143"/>
      <c r="AL69" s="143"/>
      <c r="AM69" s="143"/>
    </row>
    <row r="70" spans="1:39" x14ac:dyDescent="0.2">
      <c r="A70" s="4"/>
      <c r="G70" s="1"/>
      <c r="H70" s="177"/>
      <c r="I70" s="1"/>
      <c r="J70" s="1"/>
      <c r="K70" s="1"/>
      <c r="M70" s="325"/>
      <c r="U70" s="51"/>
      <c r="V70" s="143"/>
      <c r="W70" s="143"/>
      <c r="X70" s="143"/>
      <c r="Y70" s="65"/>
      <c r="Z70" s="65"/>
      <c r="AA70" s="65"/>
      <c r="AB70" s="65"/>
      <c r="AC70" s="65"/>
      <c r="AJ70" s="51"/>
      <c r="AK70" s="138">
        <f>SUM(AK64:AK69)</f>
        <v>0</v>
      </c>
      <c r="AL70" s="138">
        <f>Q58</f>
        <v>0</v>
      </c>
      <c r="AM70" s="143">
        <f>AK70-AL70</f>
        <v>0</v>
      </c>
    </row>
    <row r="71" spans="1:39" x14ac:dyDescent="0.2">
      <c r="A71" s="406"/>
      <c r="G71" s="1"/>
      <c r="H71" s="1"/>
      <c r="I71" s="1"/>
      <c r="J71" s="1"/>
      <c r="K71" s="1"/>
      <c r="U71" s="51"/>
      <c r="V71" s="143"/>
      <c r="W71" s="143"/>
      <c r="X71" s="143"/>
      <c r="Y71" s="65"/>
      <c r="Z71" s="65"/>
      <c r="AA71" s="65"/>
      <c r="AB71" s="65"/>
      <c r="AC71" s="65"/>
      <c r="AK71" s="143">
        <f>+AK59+AK64+AK65+AK66</f>
        <v>0</v>
      </c>
    </row>
    <row r="72" spans="1:39" x14ac:dyDescent="0.2">
      <c r="G72" s="1"/>
      <c r="H72" s="1"/>
      <c r="I72" s="1"/>
      <c r="J72" s="1"/>
      <c r="K72" s="1"/>
      <c r="O72" s="65"/>
      <c r="P72" s="65"/>
      <c r="Q72" s="65"/>
      <c r="U72" s="51"/>
      <c r="V72" s="138"/>
      <c r="W72" s="138"/>
      <c r="X72" s="143"/>
      <c r="Y72" s="65"/>
      <c r="Z72" s="65"/>
      <c r="AA72" s="65"/>
      <c r="AB72" s="65"/>
      <c r="AC72" s="65"/>
      <c r="AJ72" s="51"/>
      <c r="AK72" s="143">
        <f>+AK60+AK67+AK68+AK69</f>
        <v>0</v>
      </c>
      <c r="AL72" s="143"/>
      <c r="AM72" s="143"/>
    </row>
    <row r="73" spans="1:39" ht="18" x14ac:dyDescent="0.25">
      <c r="A73" s="271" t="str">
        <f>"AJUSTES PARA "&amp;UPPER(TEXT(E1,"MMMMMMM YYYY"))</f>
        <v>AJUSTES PARA DICIEMBRE 2025</v>
      </c>
      <c r="B73" s="156"/>
      <c r="C73" s="156"/>
      <c r="D73" s="156"/>
      <c r="E73" s="156"/>
      <c r="F73" s="156"/>
      <c r="G73" s="156"/>
      <c r="H73" s="156"/>
      <c r="I73" s="156"/>
      <c r="J73" s="156"/>
      <c r="K73" s="156"/>
      <c r="L73" s="156"/>
      <c r="M73" s="156"/>
      <c r="N73" s="156"/>
      <c r="O73" s="156"/>
      <c r="P73" s="563"/>
      <c r="Q73" s="563"/>
      <c r="R73" s="156"/>
      <c r="S73" s="564"/>
      <c r="T73" s="156"/>
      <c r="U73" s="51"/>
      <c r="V73" s="374"/>
      <c r="W73" s="374"/>
      <c r="X73" s="143"/>
      <c r="Y73" s="360"/>
      <c r="Z73" s="360"/>
      <c r="AA73" s="65"/>
      <c r="AB73" s="65"/>
      <c r="AJ73" s="65"/>
      <c r="AK73" s="407">
        <f>SUM(AK71:AK72)</f>
        <v>0</v>
      </c>
      <c r="AL73" s="65"/>
      <c r="AM73" s="65"/>
    </row>
    <row r="74" spans="1:39" ht="18" x14ac:dyDescent="0.25">
      <c r="A74" s="271"/>
      <c r="B74" s="156"/>
      <c r="C74" s="156"/>
      <c r="D74" s="156"/>
      <c r="E74" s="156"/>
      <c r="F74" s="156"/>
      <c r="G74" s="156"/>
      <c r="H74" s="156"/>
      <c r="I74" s="156"/>
      <c r="J74" s="156"/>
      <c r="K74" s="156"/>
      <c r="L74" s="156"/>
      <c r="M74" s="156"/>
      <c r="N74" s="156"/>
      <c r="O74" s="156"/>
      <c r="P74" s="156"/>
      <c r="Q74" s="156"/>
      <c r="R74" s="156"/>
      <c r="S74" s="156"/>
      <c r="T74" s="156"/>
      <c r="U74" s="51"/>
      <c r="V74" s="374"/>
      <c r="W74" s="374"/>
      <c r="X74" s="143"/>
      <c r="Y74" s="360"/>
      <c r="Z74" s="360"/>
      <c r="AA74" s="65"/>
      <c r="AB74" s="65"/>
    </row>
    <row r="75" spans="1:39" ht="18" x14ac:dyDescent="0.25">
      <c r="A75" s="271"/>
      <c r="B75" s="156"/>
      <c r="C75" s="156"/>
      <c r="D75" s="156"/>
      <c r="E75" s="156"/>
      <c r="F75" s="156"/>
      <c r="G75" s="156"/>
      <c r="H75" s="156"/>
      <c r="I75" s="156"/>
      <c r="J75" s="156"/>
      <c r="K75" s="156"/>
      <c r="L75" s="156"/>
      <c r="M75" s="156"/>
      <c r="N75" s="156"/>
      <c r="O75" s="156"/>
      <c r="P75" s="156"/>
      <c r="Q75" s="156"/>
      <c r="R75" s="156"/>
      <c r="S75" s="156"/>
      <c r="T75" s="156"/>
      <c r="U75" s="51"/>
      <c r="V75" s="374"/>
      <c r="W75" s="374"/>
      <c r="X75" s="143"/>
      <c r="Y75" s="360"/>
      <c r="Z75" s="360"/>
      <c r="AA75" s="65"/>
      <c r="AB75" s="65"/>
    </row>
    <row r="76" spans="1:39" ht="18" x14ac:dyDescent="0.25">
      <c r="A76" s="271"/>
      <c r="B76" s="156"/>
      <c r="C76" s="156"/>
      <c r="D76" s="156"/>
      <c r="E76" s="156"/>
      <c r="F76" s="156"/>
      <c r="G76" s="156"/>
      <c r="H76" s="156"/>
      <c r="I76" s="156"/>
      <c r="J76" s="156"/>
      <c r="K76" s="156"/>
      <c r="L76" s="156"/>
      <c r="M76" s="156"/>
      <c r="N76" s="156"/>
      <c r="O76" s="156"/>
      <c r="P76" s="156"/>
      <c r="Q76" s="156"/>
      <c r="R76" s="156"/>
      <c r="S76" s="156"/>
      <c r="T76" s="156"/>
      <c r="U76" s="51"/>
      <c r="V76" s="374"/>
      <c r="W76" s="374"/>
      <c r="X76" s="143"/>
      <c r="Y76" s="360"/>
      <c r="Z76" s="360"/>
      <c r="AA76" s="65"/>
      <c r="AB76" s="65"/>
    </row>
    <row r="77" spans="1:39" ht="18" x14ac:dyDescent="0.25">
      <c r="A77" s="271"/>
      <c r="B77" s="156"/>
      <c r="C77" s="156"/>
      <c r="D77" s="156"/>
      <c r="E77" s="156"/>
      <c r="F77" s="156"/>
      <c r="G77" s="156"/>
      <c r="H77" s="156"/>
      <c r="I77" s="156"/>
      <c r="J77" s="156"/>
      <c r="K77" s="156"/>
      <c r="L77" s="156"/>
      <c r="M77" s="156"/>
      <c r="N77" s="156"/>
      <c r="O77" s="156"/>
      <c r="P77" s="156"/>
      <c r="Q77" s="156"/>
      <c r="R77" s="156"/>
      <c r="S77" s="156"/>
      <c r="T77" s="156"/>
      <c r="U77" s="51"/>
      <c r="V77" s="374"/>
      <c r="W77" s="374"/>
      <c r="X77" s="143"/>
      <c r="Y77" s="360"/>
      <c r="Z77" s="360"/>
      <c r="AA77" s="65"/>
      <c r="AB77" s="65"/>
    </row>
    <row r="78" spans="1:39" ht="18" x14ac:dyDescent="0.25">
      <c r="A78" s="271"/>
      <c r="B78" s="156"/>
      <c r="C78" s="156"/>
      <c r="D78" s="156"/>
      <c r="E78" s="156"/>
      <c r="F78" s="156"/>
      <c r="G78" s="156"/>
      <c r="H78" s="156"/>
      <c r="I78" s="156"/>
      <c r="J78" s="156"/>
      <c r="K78" s="156"/>
      <c r="L78" s="156"/>
      <c r="M78" s="156"/>
      <c r="N78" s="156"/>
      <c r="O78" s="156"/>
      <c r="P78" s="156"/>
      <c r="Q78" s="156"/>
      <c r="R78" s="156"/>
      <c r="S78" s="156"/>
      <c r="T78" s="156"/>
      <c r="U78" s="51"/>
      <c r="V78" s="374"/>
      <c r="W78" s="374"/>
      <c r="X78" s="143"/>
      <c r="Y78" s="360"/>
      <c r="Z78" s="360"/>
      <c r="AA78" s="65"/>
      <c r="AB78" s="65"/>
    </row>
    <row r="79" spans="1:39" ht="18" x14ac:dyDescent="0.25">
      <c r="A79" s="271"/>
      <c r="B79" s="156"/>
      <c r="C79" s="156"/>
      <c r="D79" s="156"/>
      <c r="E79" s="156"/>
      <c r="F79" s="156"/>
      <c r="G79" s="156"/>
      <c r="H79" s="156"/>
      <c r="I79" s="156"/>
      <c r="J79" s="156"/>
      <c r="K79" s="156"/>
      <c r="L79" s="156"/>
      <c r="M79" s="156"/>
      <c r="N79" s="156"/>
      <c r="O79" s="156"/>
      <c r="P79" s="156"/>
      <c r="Q79" s="156"/>
      <c r="R79" s="156"/>
      <c r="S79" s="156"/>
      <c r="T79" s="156"/>
      <c r="U79" s="51"/>
      <c r="V79" s="374"/>
      <c r="W79" s="374"/>
      <c r="X79" s="143"/>
      <c r="Y79" s="360"/>
      <c r="Z79" s="360"/>
      <c r="AA79" s="65"/>
      <c r="AB79" s="65"/>
    </row>
    <row r="80" spans="1:39" ht="18" x14ac:dyDescent="0.25">
      <c r="A80" s="271"/>
      <c r="B80" s="156"/>
      <c r="C80" s="156"/>
      <c r="D80" s="156"/>
      <c r="E80" s="156"/>
      <c r="F80" s="156"/>
      <c r="G80" s="156"/>
      <c r="H80" s="156"/>
      <c r="I80" s="156"/>
      <c r="J80" s="156"/>
      <c r="K80" s="156"/>
      <c r="L80" s="156"/>
      <c r="M80" s="156"/>
      <c r="N80" s="156"/>
      <c r="O80" s="156"/>
      <c r="P80" s="156"/>
      <c r="Q80" s="156"/>
      <c r="R80" s="156"/>
      <c r="S80" s="156"/>
      <c r="T80" s="156"/>
      <c r="U80" s="51"/>
      <c r="V80" s="374"/>
      <c r="W80" s="374"/>
      <c r="X80" s="143"/>
      <c r="Y80" s="360"/>
      <c r="Z80" s="360"/>
      <c r="AA80" s="65"/>
      <c r="AB80" s="65"/>
    </row>
    <row r="81" spans="1:28" ht="18" x14ac:dyDescent="0.25">
      <c r="A81" s="271"/>
      <c r="B81" s="156"/>
      <c r="C81" s="156"/>
      <c r="D81" s="156"/>
      <c r="E81" s="156"/>
      <c r="F81" s="156"/>
      <c r="G81" s="156"/>
      <c r="H81" s="156"/>
      <c r="I81" s="156"/>
      <c r="J81" s="156"/>
      <c r="K81" s="156"/>
      <c r="L81" s="156"/>
      <c r="M81" s="156"/>
      <c r="N81" s="156"/>
      <c r="O81" s="156"/>
      <c r="P81" s="156"/>
      <c r="Q81" s="156"/>
      <c r="R81" s="156"/>
      <c r="S81" s="156"/>
      <c r="T81" s="156"/>
      <c r="U81" s="51"/>
      <c r="V81" s="374"/>
      <c r="W81" s="374"/>
      <c r="X81" s="143"/>
      <c r="Y81" s="360"/>
      <c r="Z81" s="360"/>
      <c r="AA81" s="65"/>
      <c r="AB81" s="65"/>
    </row>
    <row r="82" spans="1:28" ht="18" x14ac:dyDescent="0.25">
      <c r="A82" s="271"/>
      <c r="B82" s="156"/>
      <c r="C82" s="156"/>
      <c r="D82" s="156"/>
      <c r="E82" s="156"/>
      <c r="F82" s="156"/>
      <c r="G82" s="156"/>
      <c r="H82" s="156"/>
      <c r="I82" s="156"/>
      <c r="J82" s="156"/>
      <c r="K82" s="156"/>
      <c r="L82" s="156"/>
      <c r="M82" s="156"/>
      <c r="N82" s="156"/>
      <c r="O82" s="156"/>
      <c r="P82" s="156"/>
      <c r="Q82" s="156"/>
      <c r="R82" s="156"/>
      <c r="S82" s="156"/>
      <c r="T82" s="156"/>
      <c r="U82" s="51"/>
      <c r="V82" s="374"/>
      <c r="W82" s="374"/>
      <c r="X82" s="143"/>
      <c r="Y82" s="360"/>
      <c r="Z82" s="360"/>
      <c r="AA82" s="65"/>
      <c r="AB82" s="65"/>
    </row>
    <row r="83" spans="1:28" ht="18" x14ac:dyDescent="0.25">
      <c r="A83" s="271"/>
      <c r="B83" s="156"/>
      <c r="C83" s="156"/>
      <c r="D83" s="156"/>
      <c r="E83" s="156"/>
      <c r="F83" s="156"/>
      <c r="G83" s="156"/>
      <c r="H83" s="156"/>
      <c r="I83" s="156"/>
      <c r="J83" s="156"/>
      <c r="K83" s="156"/>
      <c r="L83" s="156"/>
      <c r="M83" s="156"/>
      <c r="N83" s="156"/>
      <c r="O83" s="156"/>
      <c r="P83" s="156"/>
      <c r="Q83" s="156"/>
      <c r="R83" s="156"/>
      <c r="S83" s="156"/>
      <c r="T83" s="156"/>
      <c r="U83" s="51"/>
      <c r="V83" s="374"/>
      <c r="W83" s="374"/>
      <c r="X83" s="143"/>
      <c r="Y83" s="360"/>
      <c r="Z83" s="360"/>
      <c r="AA83" s="65"/>
      <c r="AB83" s="65"/>
    </row>
    <row r="84" spans="1:28" ht="18" x14ac:dyDescent="0.25">
      <c r="A84" s="271"/>
      <c r="B84" s="156"/>
      <c r="C84" s="156"/>
      <c r="D84" s="156"/>
      <c r="E84" s="156"/>
      <c r="F84" s="156"/>
      <c r="G84" s="156"/>
      <c r="H84" s="156"/>
      <c r="I84" s="156"/>
      <c r="J84" s="156"/>
      <c r="K84" s="156"/>
      <c r="L84" s="156"/>
      <c r="M84" s="156"/>
      <c r="N84" s="156"/>
      <c r="O84" s="156"/>
      <c r="P84" s="156"/>
      <c r="Q84" s="156"/>
      <c r="R84" s="156"/>
      <c r="S84" s="156"/>
      <c r="T84" s="156"/>
      <c r="U84" s="51"/>
      <c r="V84" s="374"/>
      <c r="W84" s="374"/>
      <c r="X84" s="143"/>
      <c r="Y84" s="360"/>
      <c r="Z84" s="360"/>
      <c r="AA84" s="65"/>
      <c r="AB84" s="65"/>
    </row>
    <row r="85" spans="1:28" ht="18" x14ac:dyDescent="0.25">
      <c r="A85" s="271"/>
      <c r="B85" s="156"/>
      <c r="C85" s="156"/>
      <c r="D85" s="156"/>
      <c r="E85" s="156"/>
      <c r="F85" s="156"/>
      <c r="G85" s="156"/>
      <c r="H85" s="156"/>
      <c r="I85" s="156"/>
      <c r="J85" s="156"/>
      <c r="K85" s="156"/>
      <c r="L85" s="156"/>
      <c r="M85" s="156"/>
      <c r="N85" s="156"/>
      <c r="O85" s="156"/>
      <c r="P85" s="156"/>
      <c r="Q85" s="156"/>
      <c r="R85" s="156"/>
      <c r="S85" s="156"/>
      <c r="T85" s="156"/>
      <c r="U85" s="51"/>
      <c r="V85" s="374"/>
      <c r="W85" s="374"/>
      <c r="X85" s="143"/>
      <c r="Y85" s="360"/>
      <c r="Z85" s="360"/>
      <c r="AA85" s="65"/>
      <c r="AB85" s="65"/>
    </row>
    <row r="86" spans="1:28" ht="18" x14ac:dyDescent="0.25">
      <c r="A86" s="271"/>
      <c r="B86" s="156"/>
      <c r="C86" s="156"/>
      <c r="D86" s="156"/>
      <c r="E86" s="156"/>
      <c r="F86" s="156"/>
      <c r="G86" s="156"/>
      <c r="H86" s="156"/>
      <c r="I86" s="156"/>
      <c r="J86" s="156"/>
      <c r="K86" s="156"/>
      <c r="L86" s="156"/>
      <c r="M86" s="156"/>
      <c r="N86" s="156"/>
      <c r="O86" s="156"/>
      <c r="P86" s="156"/>
      <c r="Q86" s="156"/>
      <c r="R86" s="156"/>
      <c r="S86" s="156"/>
      <c r="T86" s="156"/>
      <c r="U86" s="51"/>
      <c r="V86" s="374"/>
      <c r="W86" s="374"/>
      <c r="X86" s="143"/>
      <c r="Y86" s="360"/>
      <c r="Z86" s="360"/>
      <c r="AA86" s="65"/>
      <c r="AB86" s="65"/>
    </row>
    <row r="87" spans="1:28" ht="18" x14ac:dyDescent="0.25">
      <c r="A87" s="271"/>
      <c r="B87" s="156"/>
      <c r="C87" s="156"/>
      <c r="D87" s="156"/>
      <c r="E87" s="156"/>
      <c r="F87" s="156"/>
      <c r="G87" s="156"/>
      <c r="H87" s="156"/>
      <c r="I87" s="156"/>
      <c r="J87" s="156"/>
      <c r="K87" s="156"/>
      <c r="L87" s="156"/>
      <c r="M87" s="156"/>
      <c r="N87" s="156"/>
      <c r="O87" s="156"/>
      <c r="P87" s="156"/>
      <c r="Q87" s="156"/>
      <c r="R87" s="156"/>
      <c r="S87" s="156"/>
      <c r="T87" s="156"/>
      <c r="U87" s="51"/>
      <c r="V87" s="374"/>
      <c r="W87" s="374"/>
      <c r="X87" s="143"/>
      <c r="Y87" s="360"/>
      <c r="Z87" s="360"/>
      <c r="AA87" s="65"/>
      <c r="AB87" s="65"/>
    </row>
    <row r="88" spans="1:28" ht="18" x14ac:dyDescent="0.25">
      <c r="A88" s="271"/>
      <c r="B88" s="156"/>
      <c r="C88" s="156"/>
      <c r="D88" s="156"/>
      <c r="E88" s="156"/>
      <c r="F88" s="156"/>
      <c r="G88" s="156"/>
      <c r="H88" s="156"/>
      <c r="I88" s="156"/>
      <c r="J88" s="156"/>
      <c r="K88" s="156"/>
      <c r="L88" s="156"/>
      <c r="M88" s="156"/>
      <c r="N88" s="156"/>
      <c r="O88" s="156"/>
      <c r="P88" s="156"/>
      <c r="Q88" s="156"/>
      <c r="R88" s="156"/>
      <c r="S88" s="156"/>
      <c r="T88" s="156"/>
      <c r="U88" s="51"/>
      <c r="V88" s="374"/>
      <c r="W88" s="374"/>
      <c r="X88" s="143"/>
      <c r="Y88" s="360"/>
      <c r="Z88" s="360"/>
      <c r="AA88" s="65"/>
      <c r="AB88" s="65"/>
    </row>
    <row r="89" spans="1:28" ht="18" x14ac:dyDescent="0.25">
      <c r="A89" s="271"/>
      <c r="B89" s="156"/>
      <c r="C89" s="156"/>
      <c r="D89" s="156"/>
      <c r="E89" s="156"/>
      <c r="F89" s="156"/>
      <c r="G89" s="156"/>
      <c r="H89" s="156"/>
      <c r="I89" s="156"/>
      <c r="J89" s="156"/>
      <c r="K89" s="156"/>
      <c r="L89" s="156"/>
      <c r="M89" s="156"/>
      <c r="N89" s="156"/>
      <c r="O89" s="156"/>
      <c r="P89" s="156"/>
      <c r="Q89" s="156"/>
      <c r="R89" s="156"/>
      <c r="S89" s="156"/>
      <c r="T89" s="156"/>
      <c r="U89" s="51"/>
      <c r="V89" s="374"/>
      <c r="W89" s="374"/>
      <c r="X89" s="143"/>
      <c r="Y89" s="360"/>
      <c r="Z89" s="360"/>
      <c r="AA89" s="65"/>
      <c r="AB89" s="65"/>
    </row>
    <row r="90" spans="1:28" ht="18" x14ac:dyDescent="0.25">
      <c r="A90" s="271"/>
      <c r="B90" s="156"/>
      <c r="C90" s="156"/>
      <c r="D90" s="156"/>
      <c r="E90" s="156"/>
      <c r="F90" s="156"/>
      <c r="G90" s="156"/>
      <c r="H90" s="156"/>
      <c r="I90" s="156"/>
      <c r="J90" s="156"/>
      <c r="K90" s="156"/>
      <c r="L90" s="156"/>
      <c r="M90" s="156"/>
      <c r="N90" s="156"/>
      <c r="O90" s="156"/>
      <c r="P90" s="156"/>
      <c r="Q90" s="156"/>
      <c r="R90" s="156"/>
      <c r="S90" s="156"/>
      <c r="T90" s="156"/>
      <c r="U90" s="51"/>
      <c r="V90" s="374"/>
      <c r="W90" s="374"/>
      <c r="X90" s="143"/>
      <c r="Y90" s="360"/>
      <c r="Z90" s="360"/>
      <c r="AA90" s="65"/>
      <c r="AB90" s="65"/>
    </row>
    <row r="91" spans="1:28" ht="18" x14ac:dyDescent="0.25">
      <c r="A91" s="271"/>
      <c r="B91" s="156"/>
      <c r="C91" s="156"/>
      <c r="D91" s="156"/>
      <c r="E91" s="156"/>
      <c r="F91" s="156"/>
      <c r="G91" s="156"/>
      <c r="H91" s="156"/>
      <c r="I91" s="156"/>
      <c r="J91" s="156"/>
      <c r="K91" s="156"/>
      <c r="L91" s="156"/>
      <c r="M91" s="156"/>
      <c r="N91" s="156"/>
      <c r="O91" s="156"/>
      <c r="P91" s="156"/>
      <c r="Q91" s="156"/>
      <c r="R91" s="156"/>
      <c r="S91" s="156"/>
      <c r="T91" s="156"/>
      <c r="U91" s="51"/>
      <c r="V91" s="374"/>
      <c r="W91" s="374"/>
      <c r="X91" s="143"/>
      <c r="Y91" s="360"/>
      <c r="Z91" s="360"/>
      <c r="AA91" s="65"/>
      <c r="AB91" s="65"/>
    </row>
    <row r="92" spans="1:28" ht="18" x14ac:dyDescent="0.25">
      <c r="A92" s="271"/>
      <c r="B92" s="156"/>
      <c r="C92" s="156"/>
      <c r="D92" s="156"/>
      <c r="E92" s="156"/>
      <c r="F92" s="156"/>
      <c r="G92" s="156"/>
      <c r="H92" s="156"/>
      <c r="I92" s="156"/>
      <c r="J92" s="156"/>
      <c r="K92" s="156"/>
      <c r="L92" s="156"/>
      <c r="M92" s="156"/>
      <c r="N92" s="156"/>
      <c r="O92" s="156"/>
      <c r="P92" s="156"/>
      <c r="Q92" s="156"/>
      <c r="R92" s="156"/>
      <c r="S92" s="156"/>
      <c r="T92" s="156"/>
      <c r="U92" s="51"/>
      <c r="V92" s="374"/>
      <c r="W92" s="374"/>
      <c r="X92" s="143"/>
      <c r="Y92" s="360"/>
      <c r="Z92" s="360"/>
      <c r="AA92" s="65"/>
      <c r="AB92" s="65"/>
    </row>
    <row r="93" spans="1:28" ht="18" x14ac:dyDescent="0.25">
      <c r="A93" s="271"/>
      <c r="B93" s="156"/>
      <c r="C93" s="156"/>
      <c r="D93" s="156"/>
      <c r="E93" s="156"/>
      <c r="F93" s="156"/>
      <c r="G93" s="156"/>
      <c r="H93" s="156"/>
      <c r="I93" s="156"/>
      <c r="J93" s="156"/>
      <c r="K93" s="156"/>
      <c r="L93" s="156"/>
      <c r="M93" s="156"/>
      <c r="N93" s="156"/>
      <c r="O93" s="156"/>
      <c r="P93" s="156"/>
      <c r="Q93" s="156"/>
      <c r="R93" s="156"/>
      <c r="S93" s="156"/>
      <c r="T93" s="156"/>
      <c r="U93" s="51"/>
      <c r="V93" s="374"/>
      <c r="W93" s="374"/>
      <c r="X93" s="143"/>
      <c r="Y93" s="360"/>
      <c r="Z93" s="360"/>
      <c r="AA93" s="65"/>
      <c r="AB93" s="65"/>
    </row>
    <row r="94" spans="1:28" ht="18" x14ac:dyDescent="0.25">
      <c r="A94" s="271"/>
      <c r="B94" s="156"/>
      <c r="C94" s="156"/>
      <c r="D94" s="156"/>
      <c r="E94" s="156"/>
      <c r="F94" s="156"/>
      <c r="G94" s="156"/>
      <c r="H94" s="156"/>
      <c r="I94" s="156"/>
      <c r="J94" s="156"/>
      <c r="K94" s="156"/>
      <c r="L94" s="156"/>
      <c r="M94" s="156"/>
      <c r="N94" s="156"/>
      <c r="O94" s="156"/>
      <c r="P94" s="156"/>
      <c r="Q94" s="156"/>
      <c r="R94" s="156"/>
      <c r="S94" s="156"/>
      <c r="T94" s="156"/>
      <c r="U94" s="51"/>
      <c r="V94" s="374"/>
      <c r="W94" s="374"/>
      <c r="X94" s="143"/>
      <c r="Y94" s="360"/>
      <c r="Z94" s="360"/>
      <c r="AA94" s="65"/>
      <c r="AB94" s="65"/>
    </row>
    <row r="95" spans="1:28" ht="18" x14ac:dyDescent="0.25">
      <c r="A95" s="271"/>
      <c r="B95" s="156"/>
      <c r="C95" s="156"/>
      <c r="D95" s="156"/>
      <c r="E95" s="156"/>
      <c r="F95" s="156"/>
      <c r="G95" s="156"/>
      <c r="H95" s="156"/>
      <c r="I95" s="156"/>
      <c r="J95" s="156"/>
      <c r="K95" s="156"/>
      <c r="L95" s="156"/>
      <c r="M95" s="156"/>
      <c r="N95" s="156"/>
      <c r="O95" s="156"/>
      <c r="P95" s="156"/>
      <c r="Q95" s="156"/>
      <c r="R95" s="156"/>
      <c r="S95" s="156"/>
      <c r="T95" s="156"/>
      <c r="U95" s="51"/>
      <c r="V95" s="374"/>
      <c r="W95" s="374"/>
      <c r="X95" s="143"/>
      <c r="Y95" s="360"/>
      <c r="Z95" s="360"/>
      <c r="AA95" s="65"/>
      <c r="AB95" s="65"/>
    </row>
    <row r="96" spans="1:28" ht="18" x14ac:dyDescent="0.25">
      <c r="A96" s="271"/>
      <c r="B96" s="156"/>
      <c r="C96" s="156"/>
      <c r="D96" s="156"/>
      <c r="E96" s="156"/>
      <c r="F96" s="156"/>
      <c r="G96" s="156"/>
      <c r="H96" s="156"/>
      <c r="I96" s="156"/>
      <c r="J96" s="156"/>
      <c r="K96" s="156"/>
      <c r="L96" s="156"/>
      <c r="M96" s="156"/>
      <c r="N96" s="156"/>
      <c r="O96" s="156"/>
      <c r="P96" s="156"/>
      <c r="Q96" s="156"/>
      <c r="R96" s="156"/>
      <c r="S96" s="156"/>
      <c r="T96" s="156"/>
      <c r="U96" s="51"/>
      <c r="V96" s="374"/>
      <c r="W96" s="374"/>
      <c r="X96" s="143"/>
      <c r="Y96" s="360"/>
      <c r="Z96" s="360"/>
      <c r="AA96" s="65"/>
      <c r="AB96" s="65"/>
    </row>
    <row r="97" spans="1:28" ht="18" x14ac:dyDescent="0.25">
      <c r="A97" s="271"/>
      <c r="B97" s="156"/>
      <c r="C97" s="156"/>
      <c r="D97" s="156"/>
      <c r="E97" s="156"/>
      <c r="F97" s="156"/>
      <c r="G97" s="156"/>
      <c r="H97" s="156"/>
      <c r="I97" s="156"/>
      <c r="J97" s="156"/>
      <c r="K97" s="156"/>
      <c r="L97" s="156"/>
      <c r="M97" s="156"/>
      <c r="N97" s="156"/>
      <c r="O97" s="156"/>
      <c r="P97" s="156"/>
      <c r="Q97" s="156"/>
      <c r="R97" s="156"/>
      <c r="S97" s="156"/>
      <c r="T97" s="156"/>
      <c r="U97" s="51"/>
      <c r="V97" s="374"/>
      <c r="W97" s="374"/>
      <c r="X97" s="143"/>
      <c r="Y97" s="360"/>
      <c r="Z97" s="360"/>
      <c r="AA97" s="65"/>
      <c r="AB97" s="65"/>
    </row>
    <row r="98" spans="1:28" ht="18" x14ac:dyDescent="0.25">
      <c r="A98" s="271"/>
      <c r="B98" s="156"/>
      <c r="C98" s="156"/>
      <c r="D98" s="156"/>
      <c r="E98" s="156"/>
      <c r="F98" s="156"/>
      <c r="G98" s="156"/>
      <c r="H98" s="156"/>
      <c r="I98" s="156"/>
      <c r="J98" s="156"/>
      <c r="K98" s="156"/>
      <c r="L98" s="156"/>
      <c r="M98" s="156"/>
      <c r="N98" s="156"/>
      <c r="O98" s="156"/>
      <c r="P98" s="156"/>
      <c r="Q98" s="156"/>
      <c r="R98" s="156"/>
      <c r="S98" s="156"/>
      <c r="T98" s="156"/>
      <c r="U98" s="51"/>
      <c r="V98" s="374"/>
      <c r="W98" s="374"/>
      <c r="X98" s="143"/>
      <c r="Y98" s="360"/>
      <c r="Z98" s="360"/>
      <c r="AA98" s="65"/>
      <c r="AB98" s="65"/>
    </row>
    <row r="99" spans="1:28" ht="18" x14ac:dyDescent="0.25">
      <c r="A99" s="271"/>
      <c r="B99" s="156"/>
      <c r="C99" s="156"/>
      <c r="D99" s="156"/>
      <c r="E99" s="156"/>
      <c r="F99" s="156"/>
      <c r="G99" s="156"/>
      <c r="H99" s="156"/>
      <c r="I99" s="156"/>
      <c r="J99" s="156"/>
      <c r="K99" s="156"/>
      <c r="L99" s="156"/>
      <c r="M99" s="156"/>
      <c r="N99" s="156"/>
      <c r="O99" s="156"/>
      <c r="P99" s="156"/>
      <c r="Q99" s="156"/>
      <c r="R99" s="156"/>
      <c r="S99" s="156"/>
      <c r="T99" s="156"/>
      <c r="U99" s="51"/>
      <c r="V99" s="374"/>
      <c r="W99" s="374"/>
      <c r="X99" s="143"/>
      <c r="Y99" s="360"/>
      <c r="Z99" s="360"/>
      <c r="AA99" s="65"/>
      <c r="AB99" s="65"/>
    </row>
    <row r="100" spans="1:28" ht="18" x14ac:dyDescent="0.25">
      <c r="A100" s="271"/>
      <c r="B100" s="156"/>
      <c r="C100" s="156"/>
      <c r="D100" s="156"/>
      <c r="E100" s="156"/>
      <c r="F100" s="156"/>
      <c r="G100" s="156"/>
      <c r="H100" s="156"/>
      <c r="I100" s="156"/>
      <c r="J100" s="156"/>
      <c r="K100" s="156"/>
      <c r="L100" s="156"/>
      <c r="M100" s="156"/>
      <c r="N100" s="156"/>
      <c r="O100" s="156"/>
      <c r="P100" s="156"/>
      <c r="Q100" s="156"/>
      <c r="R100" s="156"/>
      <c r="S100" s="156"/>
      <c r="T100" s="156"/>
      <c r="U100" s="51"/>
      <c r="V100" s="374"/>
      <c r="W100" s="374"/>
      <c r="X100" s="143"/>
      <c r="Y100" s="360"/>
      <c r="Z100" s="360"/>
      <c r="AA100" s="65"/>
      <c r="AB100" s="65"/>
    </row>
    <row r="101" spans="1:28" ht="18" x14ac:dyDescent="0.25">
      <c r="A101" s="271"/>
      <c r="B101" s="156"/>
      <c r="C101" s="156"/>
      <c r="D101" s="156"/>
      <c r="E101" s="156"/>
      <c r="F101" s="156"/>
      <c r="G101" s="156"/>
      <c r="H101" s="156"/>
      <c r="I101" s="156"/>
      <c r="J101" s="156"/>
      <c r="K101" s="156"/>
      <c r="L101" s="156"/>
      <c r="M101" s="156"/>
      <c r="N101" s="156"/>
      <c r="O101" s="156"/>
      <c r="P101" s="156"/>
      <c r="Q101" s="156"/>
      <c r="R101" s="156"/>
      <c r="S101" s="156"/>
      <c r="T101" s="156"/>
      <c r="U101" s="51"/>
      <c r="V101" s="374"/>
      <c r="W101" s="374"/>
      <c r="X101" s="143"/>
      <c r="Y101" s="360"/>
      <c r="Z101" s="360"/>
      <c r="AA101" s="65"/>
      <c r="AB101" s="65"/>
    </row>
    <row r="102" spans="1:28" ht="18" x14ac:dyDescent="0.25">
      <c r="A102" s="271"/>
      <c r="B102" s="156"/>
      <c r="C102" s="156"/>
      <c r="D102" s="156"/>
      <c r="E102" s="156"/>
      <c r="F102" s="156"/>
      <c r="G102" s="156"/>
      <c r="H102" s="156"/>
      <c r="I102" s="156"/>
      <c r="J102" s="156"/>
      <c r="K102" s="156"/>
      <c r="L102" s="156"/>
      <c r="M102" s="156"/>
      <c r="N102" s="156"/>
      <c r="O102" s="156"/>
      <c r="P102" s="156"/>
      <c r="Q102" s="156"/>
      <c r="R102" s="156"/>
      <c r="S102" s="156"/>
      <c r="T102" s="156"/>
      <c r="U102" s="51"/>
      <c r="V102" s="374"/>
      <c r="W102" s="374"/>
      <c r="X102" s="143"/>
      <c r="Y102" s="360"/>
      <c r="Z102" s="360"/>
      <c r="AA102" s="65"/>
      <c r="AB102" s="65"/>
    </row>
    <row r="103" spans="1:28" ht="18" x14ac:dyDescent="0.25">
      <c r="A103" s="271"/>
      <c r="B103" s="156"/>
      <c r="C103" s="156"/>
      <c r="D103" s="156"/>
      <c r="E103" s="156"/>
      <c r="F103" s="156"/>
      <c r="G103" s="156"/>
      <c r="H103" s="156"/>
      <c r="I103" s="156"/>
      <c r="J103" s="156"/>
      <c r="K103" s="156"/>
      <c r="L103" s="156"/>
      <c r="M103" s="156"/>
      <c r="N103" s="156"/>
      <c r="O103" s="156"/>
      <c r="P103" s="156"/>
      <c r="Q103" s="156"/>
      <c r="R103" s="156"/>
      <c r="S103" s="156"/>
      <c r="T103" s="156"/>
      <c r="U103" s="51"/>
      <c r="V103" s="374"/>
      <c r="W103" s="374"/>
      <c r="X103" s="143"/>
      <c r="Y103" s="360"/>
      <c r="Z103" s="360"/>
      <c r="AA103" s="65"/>
      <c r="AB103" s="65"/>
    </row>
    <row r="104" spans="1:28" ht="18" x14ac:dyDescent="0.25">
      <c r="A104" s="271"/>
      <c r="B104" s="156"/>
      <c r="C104" s="156"/>
      <c r="D104" s="156"/>
      <c r="E104" s="156"/>
      <c r="F104" s="156"/>
      <c r="G104" s="156"/>
      <c r="H104" s="156"/>
      <c r="I104" s="156"/>
      <c r="J104" s="156"/>
      <c r="K104" s="156"/>
      <c r="L104" s="156"/>
      <c r="M104" s="156"/>
      <c r="N104" s="156"/>
      <c r="O104" s="156"/>
      <c r="P104" s="156"/>
      <c r="Q104" s="156"/>
      <c r="R104" s="156"/>
      <c r="S104" s="156"/>
      <c r="T104" s="156"/>
      <c r="U104" s="51"/>
      <c r="V104" s="374"/>
      <c r="W104" s="374"/>
      <c r="X104" s="143"/>
      <c r="Y104" s="360"/>
      <c r="Z104" s="360"/>
      <c r="AA104" s="65"/>
      <c r="AB104" s="65"/>
    </row>
    <row r="105" spans="1:28" ht="18" x14ac:dyDescent="0.25">
      <c r="A105" s="271"/>
      <c r="B105" s="156"/>
      <c r="C105" s="156"/>
      <c r="D105" s="156"/>
      <c r="E105" s="156"/>
      <c r="F105" s="156"/>
      <c r="G105" s="156"/>
      <c r="H105" s="156"/>
      <c r="I105" s="156"/>
      <c r="J105" s="156"/>
      <c r="K105" s="156"/>
      <c r="L105" s="156"/>
      <c r="M105" s="156"/>
      <c r="N105" s="156"/>
      <c r="O105" s="156"/>
      <c r="P105" s="156"/>
      <c r="Q105" s="156"/>
      <c r="R105" s="156"/>
      <c r="S105" s="156"/>
      <c r="T105" s="156"/>
      <c r="U105" s="51"/>
      <c r="V105" s="374"/>
      <c r="W105" s="374"/>
      <c r="X105" s="143"/>
      <c r="Y105" s="360"/>
      <c r="Z105" s="360"/>
      <c r="AA105" s="65"/>
      <c r="AB105" s="65"/>
    </row>
    <row r="106" spans="1:28" ht="18" x14ac:dyDescent="0.25">
      <c r="A106" s="271"/>
      <c r="B106" s="156"/>
      <c r="C106" s="156"/>
      <c r="D106" s="156"/>
      <c r="E106" s="156"/>
      <c r="F106" s="156"/>
      <c r="G106" s="156"/>
      <c r="H106" s="156"/>
      <c r="I106" s="156"/>
      <c r="J106" s="156"/>
      <c r="K106" s="156"/>
      <c r="L106" s="156"/>
      <c r="M106" s="156"/>
      <c r="N106" s="156"/>
      <c r="O106" s="156"/>
      <c r="P106" s="156"/>
      <c r="Q106" s="156"/>
      <c r="R106" s="156"/>
      <c r="S106" s="156"/>
      <c r="T106" s="156"/>
      <c r="U106" s="51"/>
      <c r="V106" s="374"/>
      <c r="W106" s="374"/>
      <c r="X106" s="143"/>
      <c r="Y106" s="360"/>
      <c r="Z106" s="360"/>
      <c r="AA106" s="65"/>
      <c r="AB106" s="65"/>
    </row>
    <row r="107" spans="1:28" ht="18" x14ac:dyDescent="0.25">
      <c r="A107" s="271"/>
      <c r="B107" s="156"/>
      <c r="C107" s="156"/>
      <c r="D107" s="156"/>
      <c r="E107" s="156"/>
      <c r="F107" s="156"/>
      <c r="G107" s="156"/>
      <c r="H107" s="156"/>
      <c r="I107" s="156"/>
      <c r="J107" s="156"/>
      <c r="K107" s="156"/>
      <c r="L107" s="156"/>
      <c r="M107" s="156"/>
      <c r="N107" s="156"/>
      <c r="O107" s="156"/>
      <c r="P107" s="156"/>
      <c r="Q107" s="156"/>
      <c r="R107" s="156"/>
      <c r="S107" s="156"/>
      <c r="T107" s="156"/>
      <c r="U107" s="51"/>
      <c r="V107" s="374"/>
      <c r="W107" s="374"/>
      <c r="X107" s="143"/>
      <c r="Y107" s="360"/>
      <c r="Z107" s="360"/>
      <c r="AA107" s="65"/>
      <c r="AB107" s="65"/>
    </row>
    <row r="108" spans="1:28" ht="18" x14ac:dyDescent="0.25">
      <c r="A108" s="271"/>
      <c r="B108" s="156"/>
      <c r="C108" s="156"/>
      <c r="D108" s="156"/>
      <c r="E108" s="156"/>
      <c r="F108" s="156"/>
      <c r="G108" s="156"/>
      <c r="H108" s="156"/>
      <c r="I108" s="156"/>
      <c r="J108" s="156"/>
      <c r="K108" s="156"/>
      <c r="L108" s="156"/>
      <c r="M108" s="156"/>
      <c r="N108" s="156"/>
      <c r="O108" s="156"/>
      <c r="P108" s="156"/>
      <c r="Q108" s="156"/>
      <c r="R108" s="156"/>
      <c r="S108" s="156"/>
      <c r="T108" s="156"/>
      <c r="U108" s="51"/>
      <c r="V108" s="374"/>
      <c r="W108" s="374"/>
      <c r="X108" s="143"/>
      <c r="Y108" s="360"/>
      <c r="Z108" s="360"/>
      <c r="AA108" s="65"/>
      <c r="AB108" s="65"/>
    </row>
    <row r="109" spans="1:28" ht="18" x14ac:dyDescent="0.25">
      <c r="A109" s="271"/>
      <c r="B109" s="156"/>
      <c r="C109" s="156"/>
      <c r="D109" s="156"/>
      <c r="E109" s="156"/>
      <c r="F109" s="156"/>
      <c r="G109" s="156"/>
      <c r="H109" s="156"/>
      <c r="I109" s="156"/>
      <c r="J109" s="156"/>
      <c r="K109" s="156"/>
      <c r="L109" s="156"/>
      <c r="M109" s="156"/>
      <c r="N109" s="156"/>
      <c r="O109" s="156"/>
      <c r="P109" s="156"/>
      <c r="Q109" s="156"/>
      <c r="R109" s="156"/>
      <c r="S109" s="156"/>
      <c r="T109" s="156"/>
      <c r="U109" s="51"/>
      <c r="V109" s="374"/>
      <c r="W109" s="374"/>
      <c r="X109" s="143"/>
      <c r="Y109" s="360"/>
      <c r="Z109" s="360"/>
      <c r="AA109" s="65"/>
      <c r="AB109" s="65"/>
    </row>
    <row r="110" spans="1:28" ht="18" x14ac:dyDescent="0.25">
      <c r="A110" s="271"/>
      <c r="B110" s="156"/>
      <c r="C110" s="156"/>
      <c r="D110" s="156"/>
      <c r="E110" s="156"/>
      <c r="F110" s="156"/>
      <c r="G110" s="156"/>
      <c r="H110" s="156"/>
      <c r="I110" s="156"/>
      <c r="J110" s="156"/>
      <c r="K110" s="156"/>
      <c r="L110" s="156"/>
      <c r="M110" s="156"/>
      <c r="N110" s="156"/>
      <c r="O110" s="156"/>
      <c r="P110" s="156"/>
      <c r="Q110" s="156"/>
      <c r="R110" s="156"/>
      <c r="S110" s="156"/>
      <c r="T110" s="156"/>
      <c r="U110" s="51"/>
      <c r="V110" s="374"/>
      <c r="W110" s="374"/>
      <c r="X110" s="143"/>
      <c r="Y110" s="360"/>
      <c r="Z110" s="360"/>
      <c r="AA110" s="65"/>
      <c r="AB110" s="65"/>
    </row>
    <row r="111" spans="1:28" ht="18" x14ac:dyDescent="0.25">
      <c r="A111" s="271"/>
      <c r="B111" s="156"/>
      <c r="C111" s="156"/>
      <c r="D111" s="156"/>
      <c r="E111" s="156"/>
      <c r="F111" s="156"/>
      <c r="G111" s="156"/>
      <c r="H111" s="156"/>
      <c r="I111" s="156"/>
      <c r="J111" s="156"/>
      <c r="K111" s="156"/>
      <c r="L111" s="156"/>
      <c r="M111" s="156"/>
      <c r="N111" s="156"/>
      <c r="O111" s="156"/>
      <c r="P111" s="156"/>
      <c r="Q111" s="156"/>
      <c r="R111" s="156"/>
      <c r="S111" s="156"/>
      <c r="T111" s="156"/>
      <c r="U111" s="51"/>
      <c r="V111" s="374"/>
      <c r="W111" s="374"/>
      <c r="X111" s="143"/>
      <c r="Y111" s="360"/>
      <c r="Z111" s="360"/>
      <c r="AA111" s="65"/>
      <c r="AB111" s="65"/>
    </row>
    <row r="112" spans="1:28" ht="18" x14ac:dyDescent="0.25">
      <c r="A112" s="271"/>
      <c r="B112" s="156"/>
      <c r="C112" s="156"/>
      <c r="D112" s="156"/>
      <c r="E112" s="156"/>
      <c r="F112" s="156"/>
      <c r="G112" s="156"/>
      <c r="H112" s="156"/>
      <c r="I112" s="156"/>
      <c r="J112" s="156"/>
      <c r="K112" s="156"/>
      <c r="L112" s="156"/>
      <c r="M112" s="156"/>
      <c r="N112" s="156"/>
      <c r="O112" s="156"/>
      <c r="P112" s="156"/>
      <c r="Q112" s="156"/>
      <c r="R112" s="156"/>
      <c r="S112" s="156"/>
      <c r="T112" s="156"/>
      <c r="U112" s="51"/>
      <c r="V112" s="374"/>
      <c r="W112" s="374"/>
      <c r="X112" s="143"/>
      <c r="Y112" s="360"/>
      <c r="Z112" s="360"/>
      <c r="AA112" s="65"/>
      <c r="AB112" s="65"/>
    </row>
    <row r="113" spans="1:28" ht="18" x14ac:dyDescent="0.25">
      <c r="A113" s="271"/>
      <c r="B113" s="156"/>
      <c r="C113" s="156"/>
      <c r="D113" s="156"/>
      <c r="E113" s="156"/>
      <c r="F113" s="156"/>
      <c r="G113" s="156"/>
      <c r="H113" s="156"/>
      <c r="I113" s="156"/>
      <c r="J113" s="156"/>
      <c r="K113" s="156"/>
      <c r="L113" s="156"/>
      <c r="M113" s="156"/>
      <c r="N113" s="156"/>
      <c r="O113" s="156"/>
      <c r="P113" s="156"/>
      <c r="Q113" s="156"/>
      <c r="R113" s="156"/>
      <c r="S113" s="156"/>
      <c r="T113" s="156"/>
      <c r="U113" s="51"/>
      <c r="V113" s="374"/>
      <c r="W113" s="374"/>
      <c r="X113" s="143"/>
      <c r="Y113" s="360"/>
      <c r="Z113" s="360"/>
      <c r="AA113" s="65"/>
      <c r="AB113" s="65"/>
    </row>
    <row r="114" spans="1:28" ht="18" x14ac:dyDescent="0.25">
      <c r="A114" s="271"/>
      <c r="B114" s="156"/>
      <c r="C114" s="156"/>
      <c r="D114" s="156"/>
      <c r="E114" s="156"/>
      <c r="F114" s="156"/>
      <c r="G114" s="156"/>
      <c r="H114" s="156"/>
      <c r="I114" s="156"/>
      <c r="J114" s="156"/>
      <c r="K114" s="156"/>
      <c r="L114" s="156"/>
      <c r="M114" s="156"/>
      <c r="N114" s="156"/>
      <c r="O114" s="156"/>
      <c r="P114" s="156"/>
      <c r="Q114" s="156"/>
      <c r="R114" s="156"/>
      <c r="S114" s="156"/>
      <c r="T114" s="156"/>
      <c r="U114" s="51"/>
      <c r="V114" s="374"/>
      <c r="W114" s="374"/>
      <c r="X114" s="143"/>
      <c r="Y114" s="360"/>
      <c r="Z114" s="360"/>
      <c r="AA114" s="65"/>
      <c r="AB114" s="65"/>
    </row>
    <row r="115" spans="1:28" ht="18" x14ac:dyDescent="0.25">
      <c r="A115" s="271"/>
      <c r="B115" s="156"/>
      <c r="C115" s="156"/>
      <c r="D115" s="156"/>
      <c r="E115" s="156"/>
      <c r="F115" s="156"/>
      <c r="G115" s="156"/>
      <c r="H115" s="156"/>
      <c r="I115" s="156"/>
      <c r="J115" s="156"/>
      <c r="K115" s="156"/>
      <c r="L115" s="156"/>
      <c r="M115" s="156"/>
      <c r="N115" s="156"/>
      <c r="O115" s="156"/>
      <c r="P115" s="156"/>
      <c r="Q115" s="156"/>
      <c r="R115" s="156"/>
      <c r="S115" s="156"/>
      <c r="T115" s="156"/>
      <c r="U115" s="51"/>
      <c r="V115" s="374"/>
      <c r="W115" s="374"/>
      <c r="X115" s="143"/>
      <c r="Y115" s="360"/>
      <c r="Z115" s="360"/>
      <c r="AA115" s="65"/>
      <c r="AB115" s="65"/>
    </row>
    <row r="116" spans="1:28" ht="18" x14ac:dyDescent="0.25">
      <c r="A116" s="271"/>
      <c r="B116" s="156"/>
      <c r="C116" s="156"/>
      <c r="D116" s="156"/>
      <c r="E116" s="156"/>
      <c r="F116" s="156"/>
      <c r="G116" s="156"/>
      <c r="H116" s="156"/>
      <c r="I116" s="156"/>
      <c r="J116" s="156"/>
      <c r="K116" s="156"/>
      <c r="L116" s="156"/>
      <c r="M116" s="156"/>
      <c r="N116" s="156"/>
      <c r="O116" s="156"/>
      <c r="P116" s="156"/>
      <c r="Q116" s="156"/>
      <c r="R116" s="156"/>
      <c r="S116" s="156"/>
      <c r="T116" s="156"/>
      <c r="U116" s="51"/>
      <c r="V116" s="374"/>
      <c r="W116" s="374"/>
      <c r="X116" s="143"/>
      <c r="Y116" s="360"/>
      <c r="Z116" s="360"/>
      <c r="AA116" s="65"/>
      <c r="AB116" s="65"/>
    </row>
    <row r="117" spans="1:28" ht="18" x14ac:dyDescent="0.25">
      <c r="A117" s="271"/>
      <c r="B117" s="156"/>
      <c r="C117" s="156"/>
      <c r="D117" s="156"/>
      <c r="E117" s="156"/>
      <c r="F117" s="156"/>
      <c r="G117" s="156"/>
      <c r="H117" s="156"/>
      <c r="I117" s="156"/>
      <c r="J117" s="156"/>
      <c r="K117" s="156"/>
      <c r="L117" s="156"/>
      <c r="M117" s="156"/>
      <c r="N117" s="156"/>
      <c r="O117" s="156"/>
      <c r="P117" s="156"/>
      <c r="Q117" s="156"/>
      <c r="R117" s="156"/>
      <c r="S117" s="156"/>
      <c r="T117" s="156"/>
      <c r="U117" s="51"/>
      <c r="V117" s="374"/>
      <c r="W117" s="374"/>
      <c r="X117" s="143"/>
      <c r="Y117" s="360"/>
      <c r="Z117" s="360"/>
      <c r="AA117" s="65"/>
      <c r="AB117" s="65"/>
    </row>
    <row r="118" spans="1:28" ht="18" x14ac:dyDescent="0.25">
      <c r="A118" s="271"/>
      <c r="B118" s="156"/>
      <c r="C118" s="156"/>
      <c r="D118" s="156"/>
      <c r="E118" s="156"/>
      <c r="F118" s="156"/>
      <c r="G118" s="156"/>
      <c r="H118" s="156"/>
      <c r="I118" s="156"/>
      <c r="J118" s="156"/>
      <c r="K118" s="156"/>
      <c r="L118" s="156"/>
      <c r="M118" s="156"/>
      <c r="N118" s="156"/>
      <c r="O118" s="156"/>
      <c r="P118" s="156"/>
      <c r="Q118" s="156"/>
      <c r="R118" s="156"/>
      <c r="S118" s="156"/>
      <c r="T118" s="156"/>
      <c r="U118" s="51"/>
      <c r="V118" s="374"/>
      <c r="W118" s="374"/>
      <c r="X118" s="143"/>
      <c r="Y118" s="360"/>
      <c r="Z118" s="360"/>
      <c r="AA118" s="65"/>
      <c r="AB118" s="65"/>
    </row>
    <row r="119" spans="1:28" ht="18" x14ac:dyDescent="0.25">
      <c r="A119" s="271"/>
      <c r="B119" s="156"/>
      <c r="C119" s="156"/>
      <c r="D119" s="156"/>
      <c r="E119" s="156"/>
      <c r="F119" s="156"/>
      <c r="G119" s="156"/>
      <c r="H119" s="156"/>
      <c r="I119" s="156"/>
      <c r="J119" s="156"/>
      <c r="K119" s="156"/>
      <c r="L119" s="156"/>
      <c r="M119" s="156"/>
      <c r="N119" s="156"/>
      <c r="O119" s="156"/>
      <c r="P119" s="156"/>
      <c r="Q119" s="156"/>
      <c r="R119" s="156"/>
      <c r="S119" s="156"/>
      <c r="T119" s="156"/>
      <c r="U119" s="51"/>
      <c r="V119" s="374"/>
      <c r="W119" s="374"/>
      <c r="X119" s="143"/>
      <c r="Y119" s="360"/>
      <c r="Z119" s="360"/>
      <c r="AA119" s="65"/>
      <c r="AB119" s="65"/>
    </row>
    <row r="120" spans="1:28" ht="18" x14ac:dyDescent="0.25">
      <c r="A120" s="271"/>
      <c r="B120" s="156"/>
      <c r="C120" s="156"/>
      <c r="D120" s="156"/>
      <c r="E120" s="156"/>
      <c r="F120" s="156"/>
      <c r="G120" s="156"/>
      <c r="H120" s="156"/>
      <c r="I120" s="156"/>
      <c r="J120" s="156"/>
      <c r="K120" s="156"/>
      <c r="L120" s="156"/>
      <c r="M120" s="156"/>
      <c r="N120" s="156"/>
      <c r="O120" s="156"/>
      <c r="P120" s="156"/>
      <c r="Q120" s="156"/>
      <c r="R120" s="156"/>
      <c r="S120" s="156"/>
      <c r="T120" s="156"/>
      <c r="U120" s="51"/>
      <c r="V120" s="374"/>
      <c r="W120" s="374"/>
      <c r="X120" s="143"/>
      <c r="Y120" s="360"/>
      <c r="Z120" s="360"/>
      <c r="AA120" s="65"/>
      <c r="AB120" s="65"/>
    </row>
    <row r="121" spans="1:28" ht="18" x14ac:dyDescent="0.25">
      <c r="A121" s="271"/>
      <c r="B121" s="156"/>
      <c r="C121" s="156"/>
      <c r="D121" s="156"/>
      <c r="E121" s="156"/>
      <c r="F121" s="156"/>
      <c r="G121" s="156"/>
      <c r="H121" s="156"/>
      <c r="I121" s="156"/>
      <c r="J121" s="156"/>
      <c r="K121" s="156"/>
      <c r="L121" s="156"/>
      <c r="M121" s="156"/>
      <c r="N121" s="156"/>
      <c r="O121" s="156"/>
      <c r="P121" s="156"/>
      <c r="Q121" s="156"/>
      <c r="R121" s="156"/>
      <c r="S121" s="156"/>
      <c r="T121" s="156"/>
      <c r="U121" s="51"/>
      <c r="V121" s="374"/>
      <c r="W121" s="374"/>
      <c r="X121" s="143"/>
      <c r="Y121" s="360"/>
      <c r="Z121" s="360"/>
      <c r="AA121" s="65"/>
      <c r="AB121" s="65"/>
    </row>
    <row r="122" spans="1:28" ht="18" x14ac:dyDescent="0.25">
      <c r="A122" s="271"/>
      <c r="B122" s="156"/>
      <c r="C122" s="156"/>
      <c r="D122" s="156"/>
      <c r="E122" s="156"/>
      <c r="F122" s="156"/>
      <c r="G122" s="156"/>
      <c r="H122" s="156"/>
      <c r="I122" s="156"/>
      <c r="J122" s="156"/>
      <c r="K122" s="156"/>
      <c r="L122" s="156"/>
      <c r="M122" s="156"/>
      <c r="N122" s="156"/>
      <c r="O122" s="156"/>
      <c r="P122" s="156"/>
      <c r="Q122" s="156"/>
      <c r="R122" s="156"/>
      <c r="S122" s="156"/>
      <c r="T122" s="156"/>
      <c r="U122" s="51"/>
      <c r="V122" s="374"/>
      <c r="W122" s="374"/>
      <c r="X122" s="143"/>
      <c r="Y122" s="360"/>
      <c r="Z122" s="360"/>
      <c r="AA122" s="65"/>
      <c r="AB122" s="65"/>
    </row>
    <row r="123" spans="1:28" ht="18" x14ac:dyDescent="0.25">
      <c r="A123" s="271"/>
      <c r="B123" s="156"/>
      <c r="C123" s="156"/>
      <c r="D123" s="156"/>
      <c r="E123" s="156"/>
      <c r="F123" s="156"/>
      <c r="G123" s="156"/>
      <c r="H123" s="156"/>
      <c r="I123" s="156"/>
      <c r="J123" s="156"/>
      <c r="K123" s="156"/>
      <c r="L123" s="156"/>
      <c r="M123" s="156"/>
      <c r="N123" s="156"/>
      <c r="O123" s="156"/>
      <c r="P123" s="156"/>
      <c r="Q123" s="156"/>
      <c r="R123" s="156"/>
      <c r="S123" s="156"/>
      <c r="T123" s="156"/>
      <c r="U123" s="51"/>
      <c r="V123" s="374"/>
      <c r="W123" s="374"/>
      <c r="X123" s="143"/>
      <c r="Y123" s="360"/>
      <c r="Z123" s="360"/>
      <c r="AA123" s="65"/>
      <c r="AB123" s="65"/>
    </row>
    <row r="124" spans="1:28" ht="18" x14ac:dyDescent="0.25">
      <c r="A124" s="271"/>
      <c r="B124" s="156"/>
      <c r="C124" s="156"/>
      <c r="D124" s="156"/>
      <c r="E124" s="156"/>
      <c r="F124" s="156"/>
      <c r="G124" s="156"/>
      <c r="H124" s="156"/>
      <c r="I124" s="156"/>
      <c r="J124" s="156"/>
      <c r="K124" s="156"/>
      <c r="L124" s="156"/>
      <c r="M124" s="156"/>
      <c r="N124" s="156"/>
      <c r="O124" s="156"/>
      <c r="P124" s="156"/>
      <c r="Q124" s="156"/>
      <c r="R124" s="156"/>
      <c r="S124" s="156"/>
      <c r="T124" s="156"/>
      <c r="U124" s="51"/>
      <c r="V124" s="374"/>
      <c r="W124" s="374"/>
      <c r="X124" s="143"/>
      <c r="Y124" s="360"/>
      <c r="Z124" s="360"/>
      <c r="AA124" s="65"/>
      <c r="AB124" s="65"/>
    </row>
    <row r="125" spans="1:28" ht="18" x14ac:dyDescent="0.25">
      <c r="A125" s="271"/>
      <c r="B125" s="156"/>
      <c r="C125" s="156"/>
      <c r="D125" s="156"/>
      <c r="E125" s="156"/>
      <c r="F125" s="156"/>
      <c r="G125" s="156"/>
      <c r="H125" s="156"/>
      <c r="I125" s="156"/>
      <c r="J125" s="156"/>
      <c r="K125" s="156"/>
      <c r="L125" s="156"/>
      <c r="M125" s="156"/>
      <c r="N125" s="156"/>
      <c r="O125" s="156"/>
      <c r="P125" s="156"/>
      <c r="Q125" s="156"/>
      <c r="R125" s="156"/>
      <c r="S125" s="156"/>
      <c r="T125" s="156"/>
      <c r="U125" s="51"/>
      <c r="V125" s="374"/>
      <c r="W125" s="374"/>
      <c r="X125" s="143"/>
      <c r="Y125" s="360"/>
      <c r="Z125" s="360"/>
      <c r="AA125" s="65"/>
      <c r="AB125" s="65"/>
    </row>
    <row r="126" spans="1:28" ht="18" x14ac:dyDescent="0.25">
      <c r="A126" s="271"/>
      <c r="B126" s="156"/>
      <c r="C126" s="156"/>
      <c r="D126" s="156"/>
      <c r="E126" s="156"/>
      <c r="F126" s="156"/>
      <c r="G126" s="156"/>
      <c r="H126" s="156"/>
      <c r="I126" s="156"/>
      <c r="J126" s="156"/>
      <c r="K126" s="156"/>
      <c r="L126" s="156"/>
      <c r="M126" s="156"/>
      <c r="N126" s="156"/>
      <c r="O126" s="156"/>
      <c r="P126" s="156"/>
      <c r="Q126" s="156"/>
      <c r="R126" s="156"/>
      <c r="S126" s="156"/>
      <c r="T126" s="156"/>
      <c r="U126" s="51"/>
      <c r="V126" s="374"/>
      <c r="W126" s="374"/>
      <c r="X126" s="143"/>
      <c r="Y126" s="360"/>
      <c r="Z126" s="360"/>
      <c r="AA126" s="65"/>
      <c r="AB126" s="65"/>
    </row>
    <row r="127" spans="1:28" ht="18" x14ac:dyDescent="0.25">
      <c r="A127" s="271"/>
      <c r="B127" s="156"/>
      <c r="C127" s="156"/>
      <c r="D127" s="156"/>
      <c r="E127" s="156"/>
      <c r="F127" s="156"/>
      <c r="G127" s="156"/>
      <c r="H127" s="156"/>
      <c r="I127" s="156"/>
      <c r="J127" s="156"/>
      <c r="K127" s="156"/>
      <c r="L127" s="156"/>
      <c r="M127" s="156"/>
      <c r="N127" s="156"/>
      <c r="O127" s="156"/>
      <c r="P127" s="156"/>
      <c r="Q127" s="156"/>
      <c r="R127" s="156"/>
      <c r="S127" s="156"/>
      <c r="T127" s="156"/>
      <c r="U127" s="51"/>
      <c r="V127" s="374"/>
      <c r="W127" s="374"/>
      <c r="X127" s="143"/>
      <c r="Y127" s="360"/>
      <c r="Z127" s="360"/>
      <c r="AA127" s="65"/>
      <c r="AB127" s="65"/>
    </row>
    <row r="128" spans="1:28" ht="18" x14ac:dyDescent="0.25">
      <c r="A128" s="271"/>
      <c r="B128" s="156"/>
      <c r="C128" s="156"/>
      <c r="D128" s="156"/>
      <c r="E128" s="156"/>
      <c r="F128" s="156"/>
      <c r="G128" s="156"/>
      <c r="H128" s="156"/>
      <c r="I128" s="156"/>
      <c r="J128" s="156"/>
      <c r="K128" s="156"/>
      <c r="L128" s="156"/>
      <c r="M128" s="156"/>
      <c r="N128" s="156"/>
      <c r="O128" s="156"/>
      <c r="P128" s="156"/>
      <c r="Q128" s="156"/>
      <c r="R128" s="156"/>
      <c r="S128" s="156"/>
      <c r="T128" s="156"/>
      <c r="U128" s="51"/>
      <c r="V128" s="374"/>
      <c r="W128" s="374"/>
      <c r="X128" s="143"/>
      <c r="Y128" s="360"/>
      <c r="Z128" s="360"/>
      <c r="AA128" s="65"/>
      <c r="AB128" s="65"/>
    </row>
    <row r="129" spans="1:28" ht="18" x14ac:dyDescent="0.25">
      <c r="A129" s="271"/>
      <c r="B129" s="156"/>
      <c r="C129" s="156"/>
      <c r="D129" s="156"/>
      <c r="E129" s="156"/>
      <c r="F129" s="156"/>
      <c r="G129" s="156"/>
      <c r="H129" s="156"/>
      <c r="I129" s="156"/>
      <c r="J129" s="156"/>
      <c r="K129" s="156"/>
      <c r="L129" s="156"/>
      <c r="M129" s="156"/>
      <c r="N129" s="156"/>
      <c r="O129" s="156"/>
      <c r="P129" s="156"/>
      <c r="Q129" s="156"/>
      <c r="R129" s="156"/>
      <c r="S129" s="156"/>
      <c r="T129" s="156"/>
      <c r="U129" s="51"/>
      <c r="V129" s="374"/>
      <c r="W129" s="374"/>
      <c r="X129" s="143"/>
      <c r="Y129" s="360"/>
      <c r="Z129" s="360"/>
      <c r="AA129" s="65"/>
      <c r="AB129" s="65"/>
    </row>
    <row r="130" spans="1:28" ht="18" x14ac:dyDescent="0.25">
      <c r="A130" s="271"/>
      <c r="B130" s="156"/>
      <c r="C130" s="156"/>
      <c r="D130" s="156"/>
      <c r="E130" s="156"/>
      <c r="F130" s="156"/>
      <c r="G130" s="156"/>
      <c r="H130" s="156"/>
      <c r="I130" s="156"/>
      <c r="J130" s="156"/>
      <c r="K130" s="156"/>
      <c r="L130" s="156"/>
      <c r="M130" s="156"/>
      <c r="N130" s="156"/>
      <c r="O130" s="156"/>
      <c r="P130" s="156"/>
      <c r="Q130" s="156"/>
      <c r="R130" s="156"/>
      <c r="S130" s="156"/>
      <c r="T130" s="156"/>
      <c r="U130" s="51"/>
      <c r="V130" s="374"/>
      <c r="W130" s="374"/>
      <c r="X130" s="143"/>
      <c r="Y130" s="360"/>
      <c r="Z130" s="360"/>
      <c r="AA130" s="65"/>
      <c r="AB130" s="65"/>
    </row>
    <row r="131" spans="1:28" ht="18" x14ac:dyDescent="0.25">
      <c r="A131" s="271"/>
      <c r="B131" s="156"/>
      <c r="C131" s="156"/>
      <c r="D131" s="156"/>
      <c r="E131" s="156"/>
      <c r="F131" s="156"/>
      <c r="G131" s="156"/>
      <c r="H131" s="156"/>
      <c r="I131" s="156"/>
      <c r="J131" s="156"/>
      <c r="K131" s="156"/>
      <c r="L131" s="156"/>
      <c r="M131" s="156"/>
      <c r="N131" s="156"/>
      <c r="O131" s="156"/>
      <c r="P131" s="156"/>
      <c r="Q131" s="156"/>
      <c r="R131" s="156"/>
      <c r="S131" s="156"/>
      <c r="T131" s="156"/>
      <c r="U131" s="51"/>
      <c r="V131" s="374"/>
      <c r="W131" s="374"/>
      <c r="X131" s="143"/>
      <c r="Y131" s="360"/>
      <c r="Z131" s="360"/>
      <c r="AA131" s="65"/>
      <c r="AB131" s="65"/>
    </row>
    <row r="132" spans="1:28" ht="18" x14ac:dyDescent="0.25">
      <c r="A132" s="271"/>
      <c r="B132" s="156"/>
      <c r="C132" s="156"/>
      <c r="D132" s="156"/>
      <c r="E132" s="156"/>
      <c r="F132" s="156"/>
      <c r="G132" s="156"/>
      <c r="H132" s="156"/>
      <c r="I132" s="156"/>
      <c r="J132" s="156"/>
      <c r="K132" s="156"/>
      <c r="L132" s="156"/>
      <c r="M132" s="156"/>
      <c r="N132" s="156"/>
      <c r="O132" s="156"/>
      <c r="P132" s="156"/>
      <c r="Q132" s="156"/>
      <c r="R132" s="156"/>
      <c r="S132" s="156"/>
      <c r="T132" s="156"/>
      <c r="U132" s="51"/>
      <c r="V132" s="374"/>
      <c r="W132" s="374"/>
      <c r="X132" s="143"/>
      <c r="Y132" s="360"/>
      <c r="Z132" s="360"/>
      <c r="AA132" s="65"/>
      <c r="AB132" s="65"/>
    </row>
    <row r="133" spans="1:28" ht="18" x14ac:dyDescent="0.25">
      <c r="A133" s="271"/>
      <c r="B133" s="156"/>
      <c r="C133" s="156"/>
      <c r="D133" s="156"/>
      <c r="E133" s="156"/>
      <c r="F133" s="156"/>
      <c r="G133" s="156"/>
      <c r="H133" s="156"/>
      <c r="I133" s="156"/>
      <c r="J133" s="156"/>
      <c r="K133" s="156"/>
      <c r="L133" s="156"/>
      <c r="M133" s="156"/>
      <c r="N133" s="156"/>
      <c r="O133" s="156"/>
      <c r="P133" s="156"/>
      <c r="Q133" s="156"/>
      <c r="R133" s="156"/>
      <c r="S133" s="156"/>
      <c r="T133" s="156"/>
      <c r="U133" s="51"/>
      <c r="V133" s="374"/>
      <c r="W133" s="374"/>
      <c r="X133" s="143"/>
      <c r="Y133" s="360"/>
      <c r="Z133" s="360"/>
      <c r="AA133" s="65"/>
      <c r="AB133" s="65"/>
    </row>
    <row r="134" spans="1:28" ht="18" x14ac:dyDescent="0.25">
      <c r="A134" s="271"/>
      <c r="B134" s="156"/>
      <c r="C134" s="156"/>
      <c r="D134" s="156"/>
      <c r="E134" s="156"/>
      <c r="F134" s="156"/>
      <c r="G134" s="156"/>
      <c r="H134" s="156"/>
      <c r="I134" s="156"/>
      <c r="J134" s="156"/>
      <c r="K134" s="156"/>
      <c r="L134" s="156"/>
      <c r="M134" s="156"/>
      <c r="N134" s="156"/>
      <c r="O134" s="156"/>
      <c r="P134" s="156"/>
      <c r="Q134" s="156"/>
      <c r="R134" s="156"/>
      <c r="S134" s="156"/>
      <c r="T134" s="156"/>
      <c r="U134" s="51"/>
      <c r="V134" s="374"/>
      <c r="W134" s="374"/>
      <c r="X134" s="143"/>
      <c r="Y134" s="360"/>
      <c r="Z134" s="360"/>
      <c r="AA134" s="65"/>
      <c r="AB134" s="65"/>
    </row>
    <row r="135" spans="1:28" ht="18" x14ac:dyDescent="0.25">
      <c r="A135" s="271"/>
      <c r="B135" s="156"/>
      <c r="C135" s="156"/>
      <c r="D135" s="156"/>
      <c r="E135" s="156"/>
      <c r="F135" s="156"/>
      <c r="G135" s="156"/>
      <c r="H135" s="156"/>
      <c r="I135" s="156"/>
      <c r="J135" s="156"/>
      <c r="K135" s="156"/>
      <c r="L135" s="156"/>
      <c r="M135" s="156"/>
      <c r="N135" s="156"/>
      <c r="O135" s="156"/>
      <c r="P135" s="156"/>
      <c r="Q135" s="156"/>
      <c r="R135" s="156"/>
      <c r="S135" s="156"/>
      <c r="T135" s="156"/>
      <c r="U135" s="51"/>
      <c r="V135" s="374"/>
      <c r="W135" s="374"/>
      <c r="X135" s="143"/>
      <c r="Y135" s="360"/>
      <c r="Z135" s="360"/>
      <c r="AA135" s="65"/>
      <c r="AB135" s="65"/>
    </row>
    <row r="136" spans="1:28" ht="18" x14ac:dyDescent="0.25">
      <c r="A136" s="271"/>
      <c r="B136" s="156"/>
      <c r="C136" s="156"/>
      <c r="D136" s="156"/>
      <c r="E136" s="156"/>
      <c r="F136" s="156"/>
      <c r="G136" s="156"/>
      <c r="H136" s="156"/>
      <c r="I136" s="156"/>
      <c r="J136" s="156"/>
      <c r="K136" s="156"/>
      <c r="L136" s="156"/>
      <c r="M136" s="156"/>
      <c r="N136" s="156"/>
      <c r="O136" s="156"/>
      <c r="P136" s="156"/>
      <c r="Q136" s="156"/>
      <c r="R136" s="156"/>
      <c r="S136" s="156"/>
      <c r="T136" s="156"/>
      <c r="U136" s="51"/>
      <c r="V136" s="374"/>
      <c r="W136" s="374"/>
      <c r="X136" s="143"/>
      <c r="Y136" s="360"/>
      <c r="Z136" s="360"/>
      <c r="AA136" s="65"/>
      <c r="AB136" s="65"/>
    </row>
    <row r="137" spans="1:28" ht="18" x14ac:dyDescent="0.25">
      <c r="A137" s="271"/>
      <c r="B137" s="156"/>
      <c r="C137" s="156"/>
      <c r="D137" s="156"/>
      <c r="E137" s="156"/>
      <c r="F137" s="156"/>
      <c r="G137" s="156"/>
      <c r="H137" s="156"/>
      <c r="I137" s="156"/>
      <c r="J137" s="156"/>
      <c r="K137" s="156"/>
      <c r="L137" s="156"/>
      <c r="M137" s="156"/>
      <c r="N137" s="156"/>
      <c r="O137" s="156"/>
      <c r="P137" s="156"/>
      <c r="Q137" s="156"/>
      <c r="R137" s="156"/>
      <c r="S137" s="156"/>
      <c r="T137" s="156"/>
      <c r="U137" s="51"/>
      <c r="V137" s="374"/>
      <c r="W137" s="374"/>
      <c r="X137" s="143"/>
      <c r="Y137" s="360"/>
      <c r="Z137" s="360"/>
      <c r="AA137" s="65"/>
      <c r="AB137" s="65"/>
    </row>
    <row r="138" spans="1:28" ht="18" x14ac:dyDescent="0.25">
      <c r="A138" s="271"/>
      <c r="B138" s="156"/>
      <c r="C138" s="156"/>
      <c r="D138" s="156"/>
      <c r="E138" s="156"/>
      <c r="F138" s="156"/>
      <c r="G138" s="156"/>
      <c r="H138" s="156"/>
      <c r="I138" s="156"/>
      <c r="J138" s="156"/>
      <c r="K138" s="156"/>
      <c r="L138" s="156"/>
      <c r="M138" s="156"/>
      <c r="N138" s="156"/>
      <c r="O138" s="156"/>
      <c r="P138" s="156"/>
      <c r="Q138" s="156"/>
      <c r="R138" s="156"/>
      <c r="S138" s="156"/>
      <c r="T138" s="156"/>
      <c r="U138" s="51"/>
      <c r="V138" s="374"/>
      <c r="W138" s="374"/>
      <c r="X138" s="143"/>
      <c r="Y138" s="360"/>
      <c r="Z138" s="360"/>
      <c r="AA138" s="65"/>
      <c r="AB138" s="65"/>
    </row>
    <row r="139" spans="1:28" ht="18" x14ac:dyDescent="0.25">
      <c r="A139" s="271"/>
      <c r="B139" s="156"/>
      <c r="C139" s="156"/>
      <c r="D139" s="156"/>
      <c r="E139" s="156"/>
      <c r="F139" s="156"/>
      <c r="G139" s="156"/>
      <c r="H139" s="156"/>
      <c r="I139" s="156"/>
      <c r="J139" s="156"/>
      <c r="K139" s="156"/>
      <c r="L139" s="156"/>
      <c r="M139" s="156"/>
      <c r="N139" s="156"/>
      <c r="O139" s="156"/>
      <c r="P139" s="156"/>
      <c r="Q139" s="156"/>
      <c r="R139" s="156"/>
      <c r="S139" s="156"/>
      <c r="T139" s="156"/>
      <c r="U139" s="51"/>
      <c r="V139" s="374"/>
      <c r="W139" s="374"/>
      <c r="X139" s="143"/>
      <c r="Y139" s="360"/>
      <c r="Z139" s="360"/>
      <c r="AA139" s="65"/>
      <c r="AB139" s="65"/>
    </row>
    <row r="140" spans="1:28" ht="18" x14ac:dyDescent="0.25">
      <c r="A140" s="271"/>
      <c r="B140" s="156"/>
      <c r="C140" s="156"/>
      <c r="D140" s="156"/>
      <c r="E140" s="156"/>
      <c r="F140" s="156"/>
      <c r="G140" s="156"/>
      <c r="H140" s="156"/>
      <c r="I140" s="156"/>
      <c r="J140" s="156"/>
      <c r="K140" s="156"/>
      <c r="L140" s="156"/>
      <c r="M140" s="156"/>
      <c r="N140" s="156"/>
      <c r="O140" s="156"/>
      <c r="P140" s="156"/>
      <c r="Q140" s="156"/>
      <c r="R140" s="156"/>
      <c r="S140" s="156"/>
      <c r="T140" s="156"/>
      <c r="U140" s="51"/>
      <c r="V140" s="374"/>
      <c r="W140" s="374"/>
      <c r="X140" s="143"/>
      <c r="Y140" s="360"/>
      <c r="Z140" s="360"/>
      <c r="AA140" s="65"/>
      <c r="AB140" s="65"/>
    </row>
    <row r="141" spans="1:28" ht="18" x14ac:dyDescent="0.25">
      <c r="A141" s="271"/>
      <c r="B141" s="156"/>
      <c r="C141" s="156"/>
      <c r="D141" s="156"/>
      <c r="E141" s="156"/>
      <c r="F141" s="156"/>
      <c r="G141" s="156"/>
      <c r="H141" s="156"/>
      <c r="I141" s="156"/>
      <c r="J141" s="156"/>
      <c r="K141" s="156"/>
      <c r="L141" s="156"/>
      <c r="M141" s="156"/>
      <c r="N141" s="156"/>
      <c r="O141" s="156"/>
      <c r="P141" s="156"/>
      <c r="Q141" s="156"/>
      <c r="R141" s="156"/>
      <c r="S141" s="156"/>
      <c r="T141" s="156"/>
      <c r="U141" s="51"/>
      <c r="V141" s="374"/>
      <c r="W141" s="374"/>
      <c r="X141" s="143"/>
      <c r="Y141" s="360"/>
      <c r="Z141" s="360"/>
      <c r="AA141" s="65"/>
      <c r="AB141" s="65"/>
    </row>
    <row r="142" spans="1:28" ht="18" x14ac:dyDescent="0.25">
      <c r="A142" s="271"/>
      <c r="B142" s="156"/>
      <c r="C142" s="156"/>
      <c r="D142" s="156"/>
      <c r="E142" s="156"/>
      <c r="F142" s="156"/>
      <c r="G142" s="156"/>
      <c r="H142" s="156"/>
      <c r="I142" s="156"/>
      <c r="J142" s="156"/>
      <c r="K142" s="156"/>
      <c r="L142" s="156"/>
      <c r="M142" s="156"/>
      <c r="N142" s="156"/>
      <c r="O142" s="156"/>
      <c r="P142" s="156"/>
      <c r="Q142" s="156"/>
      <c r="R142" s="156"/>
      <c r="S142" s="156"/>
      <c r="T142" s="156"/>
      <c r="U142" s="51"/>
      <c r="V142" s="374"/>
      <c r="W142" s="374"/>
      <c r="X142" s="143"/>
      <c r="Y142" s="360"/>
      <c r="Z142" s="360"/>
      <c r="AA142" s="65"/>
      <c r="AB142" s="65"/>
    </row>
    <row r="143" spans="1:28" ht="18" x14ac:dyDescent="0.25">
      <c r="A143" s="271"/>
      <c r="B143" s="156"/>
      <c r="C143" s="156"/>
      <c r="D143" s="156"/>
      <c r="E143" s="156"/>
      <c r="F143" s="156"/>
      <c r="G143" s="156"/>
      <c r="H143" s="156"/>
      <c r="I143" s="156"/>
      <c r="J143" s="156"/>
      <c r="K143" s="156"/>
      <c r="L143" s="156"/>
      <c r="M143" s="156"/>
      <c r="N143" s="156"/>
      <c r="O143" s="156"/>
      <c r="P143" s="156"/>
      <c r="Q143" s="156"/>
      <c r="R143" s="156"/>
      <c r="S143" s="156"/>
      <c r="T143" s="156"/>
      <c r="U143" s="51"/>
      <c r="V143" s="374"/>
      <c r="W143" s="374"/>
      <c r="X143" s="143"/>
      <c r="Y143" s="360"/>
      <c r="Z143" s="360"/>
      <c r="AA143" s="65"/>
      <c r="AB143" s="65"/>
    </row>
    <row r="144" spans="1:28" ht="18" x14ac:dyDescent="0.25">
      <c r="A144" s="271"/>
      <c r="B144" s="156"/>
      <c r="C144" s="156"/>
      <c r="D144" s="156"/>
      <c r="E144" s="156"/>
      <c r="F144" s="156"/>
      <c r="G144" s="156"/>
      <c r="H144" s="156"/>
      <c r="I144" s="156"/>
      <c r="J144" s="156"/>
      <c r="K144" s="156"/>
      <c r="L144" s="156"/>
      <c r="M144" s="156"/>
      <c r="N144" s="156"/>
      <c r="O144" s="156"/>
      <c r="P144" s="156"/>
      <c r="Q144" s="156"/>
      <c r="R144" s="156"/>
      <c r="S144" s="156"/>
      <c r="T144" s="156"/>
      <c r="U144" s="51"/>
      <c r="V144" s="374"/>
      <c r="W144" s="374"/>
      <c r="X144" s="143"/>
      <c r="Y144" s="360"/>
      <c r="Z144" s="360"/>
      <c r="AA144" s="65"/>
      <c r="AB144" s="65"/>
    </row>
    <row r="145" spans="1:28" ht="18" x14ac:dyDescent="0.25">
      <c r="A145" s="271"/>
      <c r="B145" s="156"/>
      <c r="C145" s="156"/>
      <c r="D145" s="156"/>
      <c r="E145" s="156"/>
      <c r="F145" s="156"/>
      <c r="G145" s="156"/>
      <c r="H145" s="156"/>
      <c r="I145" s="156"/>
      <c r="J145" s="156"/>
      <c r="K145" s="156"/>
      <c r="L145" s="156"/>
      <c r="M145" s="156"/>
      <c r="N145" s="156"/>
      <c r="O145" s="156"/>
      <c r="P145" s="156"/>
      <c r="Q145" s="156"/>
      <c r="R145" s="156"/>
      <c r="S145" s="156"/>
      <c r="T145" s="156"/>
      <c r="U145" s="51"/>
      <c r="V145" s="374"/>
      <c r="W145" s="374"/>
      <c r="X145" s="143"/>
      <c r="Y145" s="360"/>
      <c r="Z145" s="360"/>
      <c r="AA145" s="65"/>
      <c r="AB145" s="65"/>
    </row>
    <row r="146" spans="1:28" ht="18" x14ac:dyDescent="0.25">
      <c r="A146" s="271"/>
      <c r="B146" s="156"/>
      <c r="C146" s="156"/>
      <c r="D146" s="156"/>
      <c r="E146" s="156"/>
      <c r="F146" s="156"/>
      <c r="G146" s="156"/>
      <c r="H146" s="156"/>
      <c r="I146" s="156"/>
      <c r="J146" s="156"/>
      <c r="K146" s="156"/>
      <c r="L146" s="156"/>
      <c r="M146" s="156"/>
      <c r="N146" s="156"/>
      <c r="O146" s="156"/>
      <c r="P146" s="156"/>
      <c r="Q146" s="156"/>
      <c r="R146" s="156"/>
      <c r="S146" s="156"/>
      <c r="T146" s="156"/>
      <c r="U146" s="51"/>
      <c r="V146" s="374"/>
      <c r="W146" s="374"/>
      <c r="X146" s="143"/>
      <c r="Y146" s="360"/>
      <c r="Z146" s="360"/>
      <c r="AA146" s="65"/>
      <c r="AB146" s="65"/>
    </row>
    <row r="147" spans="1:28" ht="18" x14ac:dyDescent="0.25">
      <c r="A147" s="271"/>
      <c r="B147" s="156"/>
      <c r="C147" s="156"/>
      <c r="D147" s="156"/>
      <c r="E147" s="156"/>
      <c r="F147" s="156"/>
      <c r="G147" s="156"/>
      <c r="H147" s="156"/>
      <c r="I147" s="156"/>
      <c r="J147" s="156"/>
      <c r="K147" s="156"/>
      <c r="L147" s="156"/>
      <c r="M147" s="156"/>
      <c r="N147" s="156"/>
      <c r="O147" s="156"/>
      <c r="P147" s="156"/>
      <c r="Q147" s="156"/>
      <c r="R147" s="156"/>
      <c r="S147" s="156"/>
      <c r="T147" s="156"/>
      <c r="U147" s="51"/>
      <c r="V147" s="374"/>
      <c r="W147" s="374"/>
      <c r="X147" s="143"/>
      <c r="Y147" s="360"/>
      <c r="Z147" s="360"/>
      <c r="AA147" s="65"/>
      <c r="AB147" s="65"/>
    </row>
    <row r="148" spans="1:28" ht="18" x14ac:dyDescent="0.25">
      <c r="A148" s="271"/>
      <c r="B148" s="156"/>
      <c r="C148" s="156"/>
      <c r="D148" s="156"/>
      <c r="E148" s="156"/>
      <c r="F148" s="156"/>
      <c r="G148" s="156"/>
      <c r="H148" s="156"/>
      <c r="I148" s="156"/>
      <c r="J148" s="156"/>
      <c r="K148" s="156"/>
      <c r="L148" s="156"/>
      <c r="M148" s="156"/>
      <c r="N148" s="156"/>
      <c r="O148" s="156"/>
      <c r="P148" s="156"/>
      <c r="Q148" s="156"/>
      <c r="R148" s="156"/>
      <c r="S148" s="156"/>
      <c r="T148" s="156"/>
      <c r="U148" s="51"/>
      <c r="V148" s="374"/>
      <c r="W148" s="374"/>
      <c r="X148" s="143"/>
      <c r="Y148" s="360"/>
      <c r="Z148" s="360"/>
      <c r="AA148" s="65"/>
      <c r="AB148" s="65"/>
    </row>
    <row r="149" spans="1:28" ht="18" x14ac:dyDescent="0.25">
      <c r="A149" s="271"/>
      <c r="B149" s="156"/>
      <c r="C149" s="156"/>
      <c r="D149" s="156"/>
      <c r="E149" s="156"/>
      <c r="F149" s="156"/>
      <c r="G149" s="156"/>
      <c r="H149" s="156"/>
      <c r="I149" s="156"/>
      <c r="J149" s="156"/>
      <c r="K149" s="156"/>
      <c r="L149" s="156"/>
      <c r="M149" s="156"/>
      <c r="N149" s="156"/>
      <c r="O149" s="156"/>
      <c r="P149" s="156"/>
      <c r="Q149" s="156"/>
      <c r="R149" s="156"/>
      <c r="S149" s="156"/>
      <c r="T149" s="156"/>
      <c r="U149" s="51"/>
      <c r="V149" s="374"/>
      <c r="W149" s="374"/>
      <c r="X149" s="143"/>
      <c r="Y149" s="360"/>
      <c r="Z149" s="360"/>
      <c r="AA149" s="65"/>
      <c r="AB149" s="65"/>
    </row>
    <row r="150" spans="1:28" ht="18" x14ac:dyDescent="0.25">
      <c r="A150" s="271"/>
      <c r="B150" s="156"/>
      <c r="C150" s="156"/>
      <c r="D150" s="156"/>
      <c r="E150" s="156"/>
      <c r="F150" s="156"/>
      <c r="G150" s="156"/>
      <c r="H150" s="156"/>
      <c r="I150" s="156"/>
      <c r="J150" s="156"/>
      <c r="K150" s="156"/>
      <c r="L150" s="156"/>
      <c r="M150" s="156"/>
      <c r="N150" s="156"/>
      <c r="O150" s="156"/>
      <c r="P150" s="156"/>
      <c r="Q150" s="156"/>
      <c r="R150" s="156"/>
      <c r="S150" s="156"/>
      <c r="T150" s="156"/>
      <c r="U150" s="51"/>
      <c r="V150" s="374"/>
      <c r="W150" s="374"/>
      <c r="X150" s="143"/>
      <c r="Y150" s="360"/>
      <c r="Z150" s="360"/>
      <c r="AA150" s="65"/>
      <c r="AB150" s="65"/>
    </row>
    <row r="151" spans="1:28" ht="18" x14ac:dyDescent="0.25">
      <c r="A151" s="271"/>
      <c r="B151" s="156"/>
      <c r="C151" s="156"/>
      <c r="D151" s="156"/>
      <c r="E151" s="156"/>
      <c r="F151" s="156"/>
      <c r="G151" s="156"/>
      <c r="H151" s="156"/>
      <c r="I151" s="156"/>
      <c r="J151" s="156"/>
      <c r="K151" s="156"/>
      <c r="L151" s="156"/>
      <c r="M151" s="156"/>
      <c r="N151" s="156"/>
      <c r="O151" s="156"/>
      <c r="P151" s="156"/>
      <c r="Q151" s="156"/>
      <c r="R151" s="156"/>
      <c r="S151" s="156"/>
      <c r="T151" s="156"/>
      <c r="U151" s="51"/>
      <c r="V151" s="374"/>
      <c r="W151" s="374"/>
      <c r="X151" s="143"/>
      <c r="Y151" s="360"/>
      <c r="Z151" s="360"/>
      <c r="AA151" s="65"/>
      <c r="AB151" s="65"/>
    </row>
    <row r="152" spans="1:28" ht="18" x14ac:dyDescent="0.25">
      <c r="A152" s="271"/>
      <c r="B152" s="156"/>
      <c r="C152" s="156"/>
      <c r="D152" s="156"/>
      <c r="E152" s="156"/>
      <c r="F152" s="156"/>
      <c r="G152" s="156"/>
      <c r="H152" s="156"/>
      <c r="I152" s="156"/>
      <c r="J152" s="156"/>
      <c r="K152" s="156"/>
      <c r="L152" s="156"/>
      <c r="M152" s="156"/>
      <c r="N152" s="156"/>
      <c r="O152" s="156"/>
      <c r="P152" s="156"/>
      <c r="Q152" s="156"/>
      <c r="R152" s="156"/>
      <c r="S152" s="156"/>
      <c r="T152" s="156"/>
      <c r="U152" s="51"/>
      <c r="V152" s="374"/>
      <c r="W152" s="374"/>
      <c r="X152" s="143"/>
      <c r="Y152" s="360"/>
      <c r="Z152" s="360"/>
      <c r="AA152" s="65"/>
      <c r="AB152" s="65"/>
    </row>
    <row r="153" spans="1:28" ht="18" x14ac:dyDescent="0.25">
      <c r="A153" s="271"/>
      <c r="B153" s="156"/>
      <c r="C153" s="156"/>
      <c r="D153" s="156"/>
      <c r="E153" s="156"/>
      <c r="F153" s="156"/>
      <c r="G153" s="156"/>
      <c r="H153" s="156"/>
      <c r="I153" s="156"/>
      <c r="J153" s="156"/>
      <c r="K153" s="156"/>
      <c r="L153" s="156"/>
      <c r="M153" s="156"/>
      <c r="N153" s="156"/>
      <c r="O153" s="156"/>
      <c r="P153" s="156"/>
      <c r="Q153" s="156"/>
      <c r="R153" s="156"/>
      <c r="S153" s="156"/>
      <c r="T153" s="156"/>
      <c r="U153" s="51"/>
      <c r="V153" s="374"/>
      <c r="W153" s="374"/>
      <c r="X153" s="143"/>
      <c r="Y153" s="360"/>
      <c r="Z153" s="360"/>
      <c r="AA153" s="65"/>
      <c r="AB153" s="65"/>
    </row>
    <row r="154" spans="1:28" ht="18" x14ac:dyDescent="0.25">
      <c r="A154" s="271"/>
      <c r="B154" s="156"/>
      <c r="C154" s="156"/>
      <c r="D154" s="156"/>
      <c r="E154" s="156"/>
      <c r="F154" s="156"/>
      <c r="G154" s="156"/>
      <c r="H154" s="156"/>
      <c r="I154" s="156"/>
      <c r="J154" s="156"/>
      <c r="K154" s="156"/>
      <c r="L154" s="156"/>
      <c r="M154" s="156"/>
      <c r="N154" s="156"/>
      <c r="O154" s="156"/>
      <c r="P154" s="156"/>
      <c r="Q154" s="156"/>
      <c r="R154" s="156"/>
      <c r="S154" s="156"/>
      <c r="T154" s="156"/>
      <c r="U154" s="51"/>
      <c r="V154" s="374"/>
      <c r="W154" s="374"/>
      <c r="X154" s="143"/>
      <c r="Y154" s="360"/>
      <c r="Z154" s="360"/>
      <c r="AA154" s="65"/>
      <c r="AB154" s="65"/>
    </row>
    <row r="155" spans="1:28" ht="18" x14ac:dyDescent="0.25">
      <c r="A155" s="271"/>
      <c r="B155" s="156"/>
      <c r="C155" s="156"/>
      <c r="D155" s="156"/>
      <c r="E155" s="156"/>
      <c r="F155" s="156"/>
      <c r="G155" s="156"/>
      <c r="H155" s="156"/>
      <c r="I155" s="156"/>
      <c r="J155" s="156"/>
      <c r="K155" s="156"/>
      <c r="L155" s="156"/>
      <c r="M155" s="156"/>
      <c r="N155" s="156"/>
      <c r="O155" s="156"/>
      <c r="P155" s="156"/>
      <c r="Q155" s="156"/>
      <c r="R155" s="156"/>
      <c r="S155" s="156"/>
      <c r="T155" s="156"/>
      <c r="U155" s="51"/>
      <c r="V155" s="374"/>
      <c r="W155" s="374"/>
      <c r="X155" s="143"/>
      <c r="Y155" s="360"/>
      <c r="Z155" s="360"/>
      <c r="AA155" s="65"/>
      <c r="AB155" s="65"/>
    </row>
    <row r="156" spans="1:28" ht="18" x14ac:dyDescent="0.25">
      <c r="A156" s="271"/>
      <c r="B156" s="156"/>
      <c r="C156" s="156"/>
      <c r="D156" s="156"/>
      <c r="E156" s="156"/>
      <c r="F156" s="156"/>
      <c r="G156" s="156"/>
      <c r="H156" s="156"/>
      <c r="I156" s="156"/>
      <c r="J156" s="156"/>
      <c r="K156" s="156"/>
      <c r="L156" s="156"/>
      <c r="M156" s="156"/>
      <c r="N156" s="156"/>
      <c r="O156" s="156"/>
      <c r="P156" s="156"/>
      <c r="Q156" s="156"/>
      <c r="R156" s="156"/>
      <c r="S156" s="156"/>
      <c r="T156" s="156"/>
      <c r="U156" s="51"/>
      <c r="V156" s="374"/>
      <c r="W156" s="374"/>
      <c r="X156" s="143"/>
      <c r="Y156" s="360"/>
      <c r="Z156" s="360"/>
      <c r="AA156" s="65"/>
      <c r="AB156" s="65"/>
    </row>
    <row r="157" spans="1:28" ht="18" x14ac:dyDescent="0.25">
      <c r="A157" s="271"/>
      <c r="B157" s="156"/>
      <c r="C157" s="156"/>
      <c r="D157" s="156"/>
      <c r="E157" s="156"/>
      <c r="F157" s="156"/>
      <c r="G157" s="156"/>
      <c r="H157" s="156"/>
      <c r="I157" s="156"/>
      <c r="J157" s="156"/>
      <c r="K157" s="156"/>
      <c r="L157" s="156"/>
      <c r="M157" s="156"/>
      <c r="N157" s="156"/>
      <c r="O157" s="156"/>
      <c r="P157" s="156"/>
      <c r="Q157" s="156"/>
      <c r="R157" s="156"/>
      <c r="S157" s="156"/>
      <c r="T157" s="156"/>
      <c r="U157" s="51"/>
      <c r="V157" s="374"/>
      <c r="W157" s="374"/>
      <c r="X157" s="143"/>
      <c r="Y157" s="360"/>
      <c r="Z157" s="360"/>
      <c r="AA157" s="65"/>
      <c r="AB157" s="65"/>
    </row>
    <row r="158" spans="1:28" ht="18" x14ac:dyDescent="0.25">
      <c r="A158" s="271"/>
      <c r="B158" s="156"/>
      <c r="C158" s="156"/>
      <c r="D158" s="156"/>
      <c r="E158" s="156"/>
      <c r="F158" s="156"/>
      <c r="G158" s="156"/>
      <c r="H158" s="156"/>
      <c r="I158" s="156"/>
      <c r="J158" s="156"/>
      <c r="K158" s="156"/>
      <c r="L158" s="156"/>
      <c r="M158" s="156"/>
      <c r="N158" s="156"/>
      <c r="O158" s="156"/>
      <c r="P158" s="156"/>
      <c r="Q158" s="156"/>
      <c r="R158" s="156"/>
      <c r="S158" s="156"/>
      <c r="T158" s="156"/>
      <c r="U158" s="51"/>
      <c r="V158" s="374"/>
      <c r="W158" s="374"/>
      <c r="X158" s="143"/>
      <c r="Y158" s="360"/>
      <c r="Z158" s="360"/>
      <c r="AA158" s="65"/>
      <c r="AB158" s="65"/>
    </row>
    <row r="159" spans="1:28" ht="18" x14ac:dyDescent="0.25">
      <c r="A159" s="271"/>
      <c r="B159" s="156"/>
      <c r="C159" s="156"/>
      <c r="D159" s="156"/>
      <c r="E159" s="156"/>
      <c r="F159" s="156"/>
      <c r="G159" s="156"/>
      <c r="H159" s="156"/>
      <c r="I159" s="156"/>
      <c r="J159" s="156"/>
      <c r="K159" s="156"/>
      <c r="L159" s="156"/>
      <c r="M159" s="156"/>
      <c r="N159" s="156"/>
      <c r="O159" s="156"/>
      <c r="P159" s="156"/>
      <c r="Q159" s="156"/>
      <c r="R159" s="156"/>
      <c r="S159" s="156"/>
      <c r="T159" s="156"/>
      <c r="U159" s="51"/>
      <c r="V159" s="374"/>
      <c r="W159" s="374"/>
      <c r="X159" s="143"/>
      <c r="Y159" s="360"/>
      <c r="Z159" s="360"/>
      <c r="AA159" s="65"/>
      <c r="AB159" s="65"/>
    </row>
    <row r="160" spans="1:28" ht="18" x14ac:dyDescent="0.25">
      <c r="A160" s="271"/>
      <c r="B160" s="156"/>
      <c r="C160" s="156"/>
      <c r="D160" s="156"/>
      <c r="E160" s="156"/>
      <c r="F160" s="156"/>
      <c r="G160" s="156"/>
      <c r="H160" s="156"/>
      <c r="I160" s="156"/>
      <c r="J160" s="156"/>
      <c r="K160" s="156"/>
      <c r="L160" s="156"/>
      <c r="M160" s="156"/>
      <c r="N160" s="156"/>
      <c r="O160" s="156"/>
      <c r="P160" s="156"/>
      <c r="Q160" s="156"/>
      <c r="R160" s="156"/>
      <c r="S160" s="156"/>
      <c r="T160" s="156"/>
      <c r="U160" s="51"/>
      <c r="V160" s="374"/>
      <c r="W160" s="374"/>
      <c r="X160" s="143"/>
      <c r="Y160" s="360"/>
      <c r="Z160" s="360"/>
      <c r="AA160" s="65"/>
      <c r="AB160" s="65"/>
    </row>
    <row r="161" spans="1:28" ht="18" x14ac:dyDescent="0.25">
      <c r="A161" s="271"/>
      <c r="B161" s="156"/>
      <c r="C161" s="156"/>
      <c r="D161" s="156"/>
      <c r="E161" s="156"/>
      <c r="F161" s="156"/>
      <c r="G161" s="156"/>
      <c r="H161" s="156"/>
      <c r="I161" s="156"/>
      <c r="J161" s="156"/>
      <c r="K161" s="156"/>
      <c r="L161" s="156"/>
      <c r="M161" s="156"/>
      <c r="N161" s="156"/>
      <c r="O161" s="156"/>
      <c r="P161" s="156"/>
      <c r="Q161" s="156"/>
      <c r="R161" s="156"/>
      <c r="S161" s="156"/>
      <c r="T161" s="156"/>
      <c r="U161" s="51"/>
      <c r="V161" s="374"/>
      <c r="W161" s="374"/>
      <c r="X161" s="143"/>
      <c r="Y161" s="360"/>
      <c r="Z161" s="360"/>
      <c r="AA161" s="65"/>
      <c r="AB161" s="65"/>
    </row>
    <row r="162" spans="1:28" ht="18" x14ac:dyDescent="0.25">
      <c r="A162" s="271"/>
      <c r="B162" s="156"/>
      <c r="C162" s="156"/>
      <c r="D162" s="156"/>
      <c r="E162" s="156"/>
      <c r="F162" s="156"/>
      <c r="G162" s="156"/>
      <c r="H162" s="156"/>
      <c r="I162" s="156"/>
      <c r="J162" s="156"/>
      <c r="K162" s="156"/>
      <c r="L162" s="156"/>
      <c r="M162" s="156"/>
      <c r="N162" s="156"/>
      <c r="O162" s="156"/>
      <c r="P162" s="156"/>
      <c r="Q162" s="156"/>
      <c r="R162" s="156"/>
      <c r="S162" s="156"/>
      <c r="T162" s="156"/>
      <c r="U162" s="51"/>
      <c r="V162" s="374"/>
      <c r="W162" s="374"/>
      <c r="X162" s="143"/>
      <c r="Y162" s="360"/>
      <c r="Z162" s="360"/>
      <c r="AA162" s="65"/>
      <c r="AB162" s="65"/>
    </row>
    <row r="163" spans="1:28" ht="18" x14ac:dyDescent="0.25">
      <c r="A163" s="271"/>
      <c r="B163" s="156"/>
      <c r="C163" s="156"/>
      <c r="D163" s="156"/>
      <c r="E163" s="156"/>
      <c r="F163" s="156"/>
      <c r="G163" s="156"/>
      <c r="H163" s="156"/>
      <c r="I163" s="156"/>
      <c r="J163" s="156"/>
      <c r="K163" s="156"/>
      <c r="L163" s="156"/>
      <c r="M163" s="156"/>
      <c r="N163" s="156"/>
      <c r="O163" s="156"/>
      <c r="P163" s="156"/>
      <c r="Q163" s="156"/>
      <c r="R163" s="156"/>
      <c r="S163" s="156"/>
      <c r="T163" s="156"/>
      <c r="U163" s="51"/>
      <c r="V163" s="374"/>
      <c r="W163" s="374"/>
      <c r="X163" s="143"/>
      <c r="Y163" s="360"/>
      <c r="Z163" s="360"/>
      <c r="AA163" s="65"/>
      <c r="AB163" s="65"/>
    </row>
    <row r="164" spans="1:28" ht="18" x14ac:dyDescent="0.25">
      <c r="A164" s="271"/>
      <c r="B164" s="156"/>
      <c r="C164" s="156"/>
      <c r="D164" s="156"/>
      <c r="E164" s="156"/>
      <c r="F164" s="156"/>
      <c r="G164" s="156"/>
      <c r="H164" s="156"/>
      <c r="I164" s="156"/>
      <c r="J164" s="156"/>
      <c r="K164" s="156"/>
      <c r="L164" s="156"/>
      <c r="M164" s="156"/>
      <c r="N164" s="156"/>
      <c r="O164" s="156"/>
      <c r="P164" s="156"/>
      <c r="Q164" s="156"/>
      <c r="R164" s="156"/>
      <c r="S164" s="156"/>
      <c r="T164" s="156"/>
      <c r="U164" s="51"/>
      <c r="V164" s="374"/>
      <c r="W164" s="374"/>
      <c r="X164" s="143"/>
      <c r="Y164" s="360"/>
      <c r="Z164" s="360"/>
      <c r="AA164" s="65"/>
      <c r="AB164" s="65"/>
    </row>
    <row r="165" spans="1:28" ht="18" x14ac:dyDescent="0.25">
      <c r="A165" s="271"/>
      <c r="B165" s="156"/>
      <c r="C165" s="156"/>
      <c r="D165" s="156"/>
      <c r="E165" s="156"/>
      <c r="F165" s="156"/>
      <c r="G165" s="156"/>
      <c r="H165" s="156"/>
      <c r="I165" s="156"/>
      <c r="J165" s="156"/>
      <c r="K165" s="156"/>
      <c r="L165" s="156"/>
      <c r="M165" s="156"/>
      <c r="N165" s="156"/>
      <c r="O165" s="156"/>
      <c r="P165" s="156"/>
      <c r="Q165" s="156"/>
      <c r="R165" s="156"/>
      <c r="S165" s="156"/>
      <c r="T165" s="156"/>
      <c r="U165" s="51"/>
      <c r="V165" s="374"/>
      <c r="W165" s="374"/>
      <c r="X165" s="143"/>
      <c r="Y165" s="360"/>
      <c r="Z165" s="360"/>
      <c r="AA165" s="65"/>
      <c r="AB165" s="65"/>
    </row>
    <row r="166" spans="1:28" ht="18" x14ac:dyDescent="0.25">
      <c r="A166" s="271"/>
      <c r="B166" s="156"/>
      <c r="C166" s="156"/>
      <c r="D166" s="156"/>
      <c r="E166" s="156"/>
      <c r="F166" s="156"/>
      <c r="G166" s="156"/>
      <c r="H166" s="156"/>
      <c r="I166" s="156"/>
      <c r="J166" s="156"/>
      <c r="K166" s="156"/>
      <c r="L166" s="156"/>
      <c r="M166" s="156"/>
      <c r="N166" s="156"/>
      <c r="O166" s="156"/>
      <c r="P166" s="156"/>
      <c r="Q166" s="156"/>
      <c r="R166" s="156"/>
      <c r="S166" s="156"/>
      <c r="T166" s="156"/>
      <c r="U166" s="51"/>
      <c r="V166" s="374"/>
      <c r="W166" s="374"/>
      <c r="X166" s="143"/>
      <c r="Y166" s="360"/>
      <c r="Z166" s="360"/>
      <c r="AA166" s="65"/>
      <c r="AB166" s="65"/>
    </row>
    <row r="167" spans="1:28" ht="18" x14ac:dyDescent="0.25">
      <c r="A167" s="271"/>
      <c r="B167" s="156"/>
      <c r="C167" s="156"/>
      <c r="D167" s="156"/>
      <c r="E167" s="156"/>
      <c r="F167" s="156"/>
      <c r="G167" s="156"/>
      <c r="H167" s="156"/>
      <c r="I167" s="156"/>
      <c r="J167" s="156"/>
      <c r="K167" s="156"/>
      <c r="L167" s="156"/>
      <c r="M167" s="156"/>
      <c r="N167" s="156"/>
      <c r="O167" s="156"/>
      <c r="P167" s="156"/>
      <c r="Q167" s="156"/>
      <c r="R167" s="156"/>
      <c r="S167" s="156"/>
      <c r="T167" s="156"/>
      <c r="U167" s="51"/>
      <c r="V167" s="374"/>
      <c r="W167" s="374"/>
      <c r="X167" s="143"/>
      <c r="Y167" s="360"/>
      <c r="Z167" s="360"/>
      <c r="AA167" s="65"/>
      <c r="AB167" s="65"/>
    </row>
    <row r="168" spans="1:28" ht="18" x14ac:dyDescent="0.25">
      <c r="A168" s="271"/>
      <c r="B168" s="156"/>
      <c r="C168" s="156"/>
      <c r="D168" s="156"/>
      <c r="E168" s="156"/>
      <c r="F168" s="156"/>
      <c r="G168" s="156"/>
      <c r="H168" s="156"/>
      <c r="I168" s="156"/>
      <c r="J168" s="156"/>
      <c r="K168" s="156"/>
      <c r="L168" s="156"/>
      <c r="M168" s="156"/>
      <c r="N168" s="156"/>
      <c r="O168" s="156"/>
      <c r="P168" s="156"/>
      <c r="Q168" s="156"/>
      <c r="R168" s="156"/>
      <c r="S168" s="156"/>
      <c r="T168" s="156"/>
      <c r="U168" s="51"/>
      <c r="V168" s="374"/>
      <c r="W168" s="374"/>
      <c r="X168" s="143"/>
      <c r="Y168" s="360"/>
      <c r="Z168" s="360"/>
      <c r="AA168" s="65"/>
      <c r="AB168" s="65"/>
    </row>
    <row r="169" spans="1:28" ht="18" x14ac:dyDescent="0.25">
      <c r="A169" s="271"/>
      <c r="B169" s="156"/>
      <c r="C169" s="156"/>
      <c r="D169" s="156"/>
      <c r="E169" s="156"/>
      <c r="F169" s="156"/>
      <c r="G169" s="156"/>
      <c r="H169" s="156"/>
      <c r="I169" s="156"/>
      <c r="J169" s="156"/>
      <c r="K169" s="156"/>
      <c r="L169" s="156"/>
      <c r="M169" s="156"/>
      <c r="N169" s="156"/>
      <c r="O169" s="156"/>
      <c r="P169" s="156"/>
      <c r="Q169" s="156"/>
      <c r="R169" s="156"/>
      <c r="S169" s="156"/>
      <c r="T169" s="156"/>
      <c r="U169" s="51"/>
      <c r="V169" s="374"/>
      <c r="W169" s="374"/>
      <c r="X169" s="143"/>
      <c r="Y169" s="360"/>
      <c r="Z169" s="360"/>
      <c r="AA169" s="65"/>
      <c r="AB169" s="65"/>
    </row>
    <row r="170" spans="1:28" ht="18" x14ac:dyDescent="0.25">
      <c r="A170" s="271"/>
      <c r="B170" s="156"/>
      <c r="C170" s="156"/>
      <c r="D170" s="156"/>
      <c r="E170" s="156"/>
      <c r="F170" s="156"/>
      <c r="G170" s="156"/>
      <c r="H170" s="156"/>
      <c r="I170" s="156"/>
      <c r="J170" s="156"/>
      <c r="K170" s="156"/>
      <c r="L170" s="156"/>
      <c r="M170" s="156"/>
      <c r="N170" s="156"/>
      <c r="O170" s="156"/>
      <c r="P170" s="156"/>
      <c r="Q170" s="156"/>
      <c r="R170" s="156"/>
      <c r="S170" s="156"/>
      <c r="T170" s="156"/>
      <c r="U170" s="51"/>
      <c r="V170" s="374"/>
      <c r="W170" s="374"/>
      <c r="X170" s="143"/>
      <c r="Y170" s="360"/>
      <c r="Z170" s="360"/>
      <c r="AA170" s="65"/>
      <c r="AB170" s="65"/>
    </row>
    <row r="171" spans="1:28" ht="18" x14ac:dyDescent="0.25">
      <c r="A171" s="271"/>
      <c r="B171" s="156"/>
      <c r="C171" s="156"/>
      <c r="D171" s="156"/>
      <c r="E171" s="156"/>
      <c r="F171" s="156"/>
      <c r="G171" s="156"/>
      <c r="H171" s="156"/>
      <c r="I171" s="156"/>
      <c r="J171" s="156"/>
      <c r="K171" s="156"/>
      <c r="L171" s="156"/>
      <c r="M171" s="156"/>
      <c r="N171" s="156"/>
      <c r="O171" s="156"/>
      <c r="P171" s="156"/>
      <c r="Q171" s="156"/>
      <c r="R171" s="156"/>
      <c r="S171" s="156"/>
      <c r="T171" s="156"/>
      <c r="U171" s="51"/>
      <c r="V171" s="374"/>
      <c r="W171" s="374"/>
      <c r="X171" s="143"/>
      <c r="Y171" s="360"/>
      <c r="Z171" s="360"/>
      <c r="AA171" s="65"/>
      <c r="AB171" s="65"/>
    </row>
    <row r="172" spans="1:28" ht="18" x14ac:dyDescent="0.25">
      <c r="A172" s="271"/>
      <c r="B172" s="156"/>
      <c r="C172" s="156"/>
      <c r="D172" s="156"/>
      <c r="E172" s="156"/>
      <c r="F172" s="156"/>
      <c r="G172" s="156"/>
      <c r="H172" s="156"/>
      <c r="I172" s="156"/>
      <c r="J172" s="156"/>
      <c r="K172" s="156"/>
      <c r="L172" s="156"/>
      <c r="M172" s="156"/>
      <c r="N172" s="156"/>
      <c r="O172" s="156"/>
      <c r="P172" s="156"/>
      <c r="Q172" s="156"/>
      <c r="R172" s="156"/>
      <c r="S172" s="156"/>
      <c r="T172" s="156"/>
      <c r="U172" s="51"/>
      <c r="V172" s="374"/>
      <c r="W172" s="374"/>
      <c r="X172" s="143"/>
      <c r="Y172" s="360"/>
      <c r="Z172" s="360"/>
      <c r="AA172" s="65"/>
      <c r="AB172" s="65"/>
    </row>
    <row r="173" spans="1:28" ht="18" x14ac:dyDescent="0.25">
      <c r="A173" s="271"/>
      <c r="B173" s="156"/>
      <c r="C173" s="156"/>
      <c r="D173" s="156"/>
      <c r="E173" s="156"/>
      <c r="F173" s="156"/>
      <c r="G173" s="156"/>
      <c r="H173" s="156"/>
      <c r="I173" s="156"/>
      <c r="J173" s="156"/>
      <c r="K173" s="156"/>
      <c r="L173" s="156"/>
      <c r="M173" s="156"/>
      <c r="N173" s="156"/>
      <c r="O173" s="156"/>
      <c r="P173" s="156"/>
      <c r="Q173" s="156"/>
      <c r="R173" s="156"/>
      <c r="S173" s="156"/>
      <c r="T173" s="156"/>
      <c r="U173" s="51"/>
      <c r="V173" s="374"/>
      <c r="W173" s="374"/>
      <c r="X173" s="143"/>
      <c r="Y173" s="360"/>
      <c r="Z173" s="360"/>
      <c r="AA173" s="65"/>
      <c r="AB173" s="65"/>
    </row>
    <row r="174" spans="1:28" ht="18" x14ac:dyDescent="0.25">
      <c r="A174" s="271"/>
      <c r="B174" s="156"/>
      <c r="C174" s="156"/>
      <c r="D174" s="156"/>
      <c r="E174" s="156"/>
      <c r="F174" s="156"/>
      <c r="G174" s="156"/>
      <c r="H174" s="156"/>
      <c r="I174" s="156"/>
      <c r="J174" s="156"/>
      <c r="K174" s="156"/>
      <c r="L174" s="156"/>
      <c r="M174" s="156"/>
      <c r="N174" s="156"/>
      <c r="O174" s="156"/>
      <c r="P174" s="156"/>
      <c r="Q174" s="156"/>
      <c r="R174" s="156"/>
      <c r="S174" s="156"/>
      <c r="T174" s="156"/>
      <c r="U174" s="51"/>
      <c r="V174" s="374"/>
      <c r="W174" s="374"/>
      <c r="X174" s="143"/>
      <c r="Y174" s="360"/>
      <c r="Z174" s="360"/>
      <c r="AA174" s="65"/>
      <c r="AB174" s="65"/>
    </row>
    <row r="175" spans="1:28" ht="18" x14ac:dyDescent="0.25">
      <c r="A175" s="271"/>
      <c r="B175" s="156"/>
      <c r="C175" s="156"/>
      <c r="D175" s="156"/>
      <c r="E175" s="156"/>
      <c r="F175" s="156"/>
      <c r="G175" s="156"/>
      <c r="H175" s="156"/>
      <c r="I175" s="156"/>
      <c r="J175" s="156"/>
      <c r="K175" s="156"/>
      <c r="L175" s="156"/>
      <c r="M175" s="156"/>
      <c r="N175" s="156"/>
      <c r="O175" s="156"/>
      <c r="P175" s="156"/>
      <c r="Q175" s="156"/>
      <c r="R175" s="156"/>
      <c r="S175" s="156"/>
      <c r="T175" s="156"/>
      <c r="U175" s="51"/>
      <c r="V175" s="374"/>
      <c r="W175" s="374"/>
      <c r="X175" s="143"/>
      <c r="Y175" s="360"/>
      <c r="Z175" s="360"/>
      <c r="AA175" s="65"/>
      <c r="AB175" s="65"/>
    </row>
    <row r="176" spans="1:28" ht="18" x14ac:dyDescent="0.25">
      <c r="A176" s="271"/>
      <c r="B176" s="156"/>
      <c r="C176" s="156"/>
      <c r="D176" s="156"/>
      <c r="E176" s="156"/>
      <c r="F176" s="156"/>
      <c r="G176" s="156"/>
      <c r="H176" s="156"/>
      <c r="I176" s="156"/>
      <c r="J176" s="156"/>
      <c r="K176" s="156"/>
      <c r="L176" s="156"/>
      <c r="M176" s="156"/>
      <c r="N176" s="156"/>
      <c r="O176" s="156"/>
      <c r="P176" s="156"/>
      <c r="Q176" s="156"/>
      <c r="R176" s="156"/>
      <c r="S176" s="156"/>
      <c r="T176" s="156"/>
      <c r="U176" s="51"/>
      <c r="V176" s="374"/>
      <c r="W176" s="374"/>
      <c r="X176" s="143"/>
      <c r="Y176" s="360"/>
      <c r="Z176" s="360"/>
      <c r="AA176" s="65"/>
      <c r="AB176" s="65"/>
    </row>
    <row r="177" spans="1:28" ht="18" x14ac:dyDescent="0.25">
      <c r="A177" s="271"/>
      <c r="B177" s="156"/>
      <c r="C177" s="156"/>
      <c r="D177" s="156"/>
      <c r="E177" s="156"/>
      <c r="F177" s="156"/>
      <c r="G177" s="156"/>
      <c r="H177" s="156"/>
      <c r="I177" s="156"/>
      <c r="J177" s="156"/>
      <c r="K177" s="156"/>
      <c r="L177" s="156"/>
      <c r="M177" s="156"/>
      <c r="N177" s="156"/>
      <c r="O177" s="156"/>
      <c r="P177" s="156"/>
      <c r="Q177" s="156"/>
      <c r="R177" s="156"/>
      <c r="S177" s="156"/>
      <c r="T177" s="156"/>
      <c r="U177" s="51"/>
      <c r="V177" s="374"/>
      <c r="W177" s="374"/>
      <c r="X177" s="143"/>
      <c r="Y177" s="360"/>
      <c r="Z177" s="360"/>
      <c r="AA177" s="65"/>
      <c r="AB177" s="65"/>
    </row>
    <row r="178" spans="1:28" ht="18" x14ac:dyDescent="0.25">
      <c r="A178" s="271"/>
      <c r="B178" s="156"/>
      <c r="C178" s="156"/>
      <c r="D178" s="156"/>
      <c r="E178" s="156"/>
      <c r="F178" s="156"/>
      <c r="G178" s="156"/>
      <c r="H178" s="156"/>
      <c r="I178" s="156"/>
      <c r="J178" s="156"/>
      <c r="K178" s="156"/>
      <c r="L178" s="156"/>
      <c r="M178" s="156"/>
      <c r="N178" s="156"/>
      <c r="O178" s="156"/>
      <c r="P178" s="156"/>
      <c r="Q178" s="156"/>
      <c r="R178" s="156"/>
      <c r="S178" s="156"/>
      <c r="T178" s="156"/>
      <c r="U178" s="51"/>
      <c r="V178" s="374"/>
      <c r="W178" s="374"/>
      <c r="X178" s="143"/>
      <c r="Y178" s="360"/>
      <c r="Z178" s="360"/>
      <c r="AA178" s="65"/>
      <c r="AB178" s="65"/>
    </row>
    <row r="179" spans="1:28" ht="18" x14ac:dyDescent="0.25">
      <c r="A179" s="271"/>
      <c r="B179" s="156"/>
      <c r="C179" s="156"/>
      <c r="D179" s="156"/>
      <c r="E179" s="156"/>
      <c r="F179" s="156"/>
      <c r="G179" s="156"/>
      <c r="H179" s="156"/>
      <c r="I179" s="156"/>
      <c r="J179" s="156"/>
      <c r="K179" s="156"/>
      <c r="L179" s="156"/>
      <c r="M179" s="156"/>
      <c r="N179" s="156"/>
      <c r="O179" s="156"/>
      <c r="P179" s="156"/>
      <c r="Q179" s="156"/>
      <c r="R179" s="156"/>
      <c r="S179" s="156"/>
      <c r="T179" s="156"/>
      <c r="U179" s="51"/>
      <c r="V179" s="374"/>
      <c r="W179" s="374"/>
      <c r="X179" s="143"/>
      <c r="Y179" s="360"/>
      <c r="Z179" s="360"/>
      <c r="AA179" s="65"/>
      <c r="AB179" s="65"/>
    </row>
    <row r="180" spans="1:28" ht="18" x14ac:dyDescent="0.25">
      <c r="A180" s="271"/>
      <c r="B180" s="156"/>
      <c r="C180" s="156"/>
      <c r="D180" s="156"/>
      <c r="E180" s="156"/>
      <c r="F180" s="156"/>
      <c r="G180" s="156"/>
      <c r="H180" s="156"/>
      <c r="I180" s="156"/>
      <c r="J180" s="156"/>
      <c r="K180" s="156"/>
      <c r="L180" s="156"/>
      <c r="M180" s="156"/>
      <c r="N180" s="156"/>
      <c r="O180" s="156"/>
      <c r="P180" s="156"/>
      <c r="Q180" s="156"/>
      <c r="R180" s="156"/>
      <c r="S180" s="156"/>
      <c r="T180" s="156"/>
      <c r="U180" s="51"/>
      <c r="V180" s="374"/>
      <c r="W180" s="374"/>
      <c r="X180" s="143"/>
      <c r="Y180" s="360"/>
      <c r="Z180" s="360"/>
      <c r="AA180" s="65"/>
      <c r="AB180" s="65"/>
    </row>
    <row r="181" spans="1:28" ht="18" x14ac:dyDescent="0.25">
      <c r="A181" s="271"/>
      <c r="B181" s="156"/>
      <c r="C181" s="156"/>
      <c r="D181" s="156"/>
      <c r="E181" s="156"/>
      <c r="F181" s="156"/>
      <c r="G181" s="156"/>
      <c r="H181" s="156"/>
      <c r="I181" s="156"/>
      <c r="J181" s="156"/>
      <c r="K181" s="156"/>
      <c r="L181" s="156"/>
      <c r="M181" s="156"/>
      <c r="N181" s="156"/>
      <c r="O181" s="156"/>
      <c r="P181" s="156"/>
      <c r="Q181" s="156"/>
      <c r="R181" s="156"/>
      <c r="S181" s="156"/>
      <c r="T181" s="156"/>
      <c r="U181" s="51"/>
      <c r="V181" s="374"/>
      <c r="W181" s="374"/>
      <c r="X181" s="143"/>
      <c r="Y181" s="360"/>
      <c r="Z181" s="360"/>
      <c r="AA181" s="65"/>
      <c r="AB181" s="65"/>
    </row>
    <row r="182" spans="1:28" ht="18" x14ac:dyDescent="0.25">
      <c r="A182" s="271"/>
      <c r="B182" s="156"/>
      <c r="C182" s="156"/>
      <c r="D182" s="156"/>
      <c r="E182" s="156"/>
      <c r="F182" s="156"/>
      <c r="G182" s="156"/>
      <c r="H182" s="156"/>
      <c r="I182" s="156"/>
      <c r="J182" s="156"/>
      <c r="K182" s="156"/>
      <c r="L182" s="156"/>
      <c r="M182" s="156"/>
      <c r="N182" s="156"/>
      <c r="O182" s="156"/>
      <c r="P182" s="156"/>
      <c r="Q182" s="156"/>
      <c r="R182" s="156"/>
      <c r="S182" s="156"/>
      <c r="T182" s="156"/>
      <c r="U182" s="51"/>
      <c r="V182" s="374"/>
      <c r="W182" s="374"/>
      <c r="X182" s="143"/>
      <c r="Y182" s="360"/>
      <c r="Z182" s="360"/>
      <c r="AA182" s="65"/>
      <c r="AB182" s="65"/>
    </row>
    <row r="183" spans="1:28" ht="18" x14ac:dyDescent="0.25">
      <c r="A183" s="271"/>
      <c r="B183" s="156"/>
      <c r="C183" s="156"/>
      <c r="D183" s="156"/>
      <c r="E183" s="156"/>
      <c r="F183" s="156"/>
      <c r="G183" s="156"/>
      <c r="H183" s="156"/>
      <c r="I183" s="156"/>
      <c r="J183" s="156"/>
      <c r="K183" s="156"/>
      <c r="L183" s="156"/>
      <c r="M183" s="156"/>
      <c r="N183" s="156"/>
      <c r="O183" s="156"/>
      <c r="P183" s="156"/>
      <c r="Q183" s="156"/>
      <c r="R183" s="156"/>
      <c r="S183" s="156"/>
      <c r="T183" s="156"/>
      <c r="U183" s="51"/>
      <c r="V183" s="374"/>
      <c r="W183" s="374"/>
      <c r="X183" s="143"/>
      <c r="Y183" s="360"/>
      <c r="Z183" s="360"/>
      <c r="AA183" s="65"/>
      <c r="AB183" s="65"/>
    </row>
    <row r="184" spans="1:28" ht="18" x14ac:dyDescent="0.25">
      <c r="A184" s="271"/>
      <c r="B184" s="156"/>
      <c r="C184" s="156"/>
      <c r="D184" s="156"/>
      <c r="E184" s="156"/>
      <c r="F184" s="156"/>
      <c r="G184" s="156"/>
      <c r="H184" s="156"/>
      <c r="I184" s="156"/>
      <c r="J184" s="156"/>
      <c r="K184" s="156"/>
      <c r="L184" s="156"/>
      <c r="M184" s="156"/>
      <c r="N184" s="156"/>
      <c r="O184" s="156"/>
      <c r="P184" s="156"/>
      <c r="Q184" s="156"/>
      <c r="R184" s="156"/>
      <c r="S184" s="156"/>
      <c r="T184" s="156"/>
      <c r="U184" s="51"/>
      <c r="V184" s="374"/>
      <c r="W184" s="374"/>
      <c r="X184" s="143"/>
      <c r="Y184" s="360"/>
      <c r="Z184" s="360"/>
      <c r="AA184" s="65"/>
      <c r="AB184" s="65"/>
    </row>
    <row r="185" spans="1:28" ht="18" x14ac:dyDescent="0.25">
      <c r="A185" s="271"/>
      <c r="B185" s="156"/>
      <c r="C185" s="156"/>
      <c r="D185" s="156"/>
      <c r="E185" s="156"/>
      <c r="F185" s="156"/>
      <c r="G185" s="156"/>
      <c r="H185" s="156"/>
      <c r="I185" s="156"/>
      <c r="J185" s="156"/>
      <c r="K185" s="156"/>
      <c r="L185" s="156"/>
      <c r="M185" s="156"/>
      <c r="N185" s="156"/>
      <c r="O185" s="156"/>
      <c r="P185" s="156"/>
      <c r="Q185" s="156"/>
      <c r="R185" s="156"/>
      <c r="S185" s="156"/>
      <c r="T185" s="156"/>
      <c r="U185" s="51"/>
      <c r="V185" s="374"/>
      <c r="W185" s="374"/>
      <c r="X185" s="143"/>
      <c r="Y185" s="360"/>
      <c r="Z185" s="360"/>
      <c r="AA185" s="65"/>
      <c r="AB185" s="65"/>
    </row>
    <row r="186" spans="1:28" ht="18" x14ac:dyDescent="0.25">
      <c r="A186" s="271"/>
      <c r="B186" s="156"/>
      <c r="C186" s="156"/>
      <c r="D186" s="156"/>
      <c r="E186" s="156"/>
      <c r="F186" s="156"/>
      <c r="G186" s="156"/>
      <c r="H186" s="156"/>
      <c r="I186" s="156"/>
      <c r="J186" s="156"/>
      <c r="K186" s="156"/>
      <c r="L186" s="156"/>
      <c r="M186" s="156"/>
      <c r="N186" s="156"/>
      <c r="O186" s="156"/>
      <c r="P186" s="156"/>
      <c r="Q186" s="156"/>
      <c r="R186" s="156"/>
      <c r="S186" s="156"/>
      <c r="T186" s="156"/>
      <c r="U186" s="51"/>
      <c r="V186" s="374"/>
      <c r="W186" s="374"/>
      <c r="X186" s="143"/>
      <c r="Y186" s="360"/>
      <c r="Z186" s="360"/>
      <c r="AA186" s="65"/>
      <c r="AB186" s="65"/>
    </row>
    <row r="187" spans="1:28" ht="18" x14ac:dyDescent="0.25">
      <c r="A187" s="271"/>
      <c r="B187" s="156"/>
      <c r="C187" s="156"/>
      <c r="D187" s="156"/>
      <c r="E187" s="156"/>
      <c r="F187" s="156"/>
      <c r="G187" s="156"/>
      <c r="H187" s="156"/>
      <c r="I187" s="156"/>
      <c r="J187" s="156"/>
      <c r="K187" s="156"/>
      <c r="L187" s="156"/>
      <c r="M187" s="156"/>
      <c r="N187" s="156"/>
      <c r="O187" s="156"/>
      <c r="P187" s="156"/>
      <c r="Q187" s="156"/>
      <c r="R187" s="156"/>
      <c r="S187" s="156"/>
      <c r="T187" s="156"/>
      <c r="U187" s="51"/>
      <c r="V187" s="374"/>
      <c r="W187" s="374"/>
      <c r="X187" s="143"/>
      <c r="Y187" s="360"/>
      <c r="Z187" s="360"/>
      <c r="AA187" s="65"/>
      <c r="AB187" s="65"/>
    </row>
    <row r="188" spans="1:28" ht="18" x14ac:dyDescent="0.25">
      <c r="A188" s="271"/>
      <c r="B188" s="156"/>
      <c r="C188" s="156"/>
      <c r="D188" s="156"/>
      <c r="E188" s="156"/>
      <c r="F188" s="156"/>
      <c r="G188" s="156"/>
      <c r="H188" s="156"/>
      <c r="I188" s="156"/>
      <c r="J188" s="156"/>
      <c r="K188" s="156"/>
      <c r="L188" s="156"/>
      <c r="M188" s="156"/>
      <c r="N188" s="156"/>
      <c r="O188" s="156"/>
      <c r="P188" s="156"/>
      <c r="Q188" s="156"/>
      <c r="R188" s="156"/>
      <c r="S188" s="156"/>
      <c r="T188" s="156"/>
      <c r="U188" s="51"/>
      <c r="V188" s="374"/>
      <c r="W188" s="374"/>
      <c r="X188" s="143"/>
      <c r="Y188" s="360"/>
      <c r="Z188" s="360"/>
      <c r="AA188" s="65"/>
      <c r="AB188" s="65"/>
    </row>
    <row r="189" spans="1:28" ht="18" x14ac:dyDescent="0.25">
      <c r="A189" s="271"/>
      <c r="B189" s="156"/>
      <c r="C189" s="156"/>
      <c r="D189" s="156"/>
      <c r="E189" s="156"/>
      <c r="F189" s="156"/>
      <c r="G189" s="156"/>
      <c r="H189" s="156"/>
      <c r="I189" s="156"/>
      <c r="J189" s="156"/>
      <c r="K189" s="156"/>
      <c r="L189" s="156"/>
      <c r="M189" s="156"/>
      <c r="N189" s="156"/>
      <c r="O189" s="156"/>
      <c r="P189" s="156"/>
      <c r="Q189" s="156"/>
      <c r="R189" s="156"/>
      <c r="S189" s="156"/>
      <c r="T189" s="156"/>
      <c r="U189" s="51"/>
      <c r="V189" s="374"/>
      <c r="W189" s="374"/>
      <c r="X189" s="143"/>
      <c r="Y189" s="360"/>
      <c r="Z189" s="360"/>
      <c r="AA189" s="65"/>
      <c r="AB189" s="65"/>
    </row>
    <row r="190" spans="1:28" ht="18" x14ac:dyDescent="0.25">
      <c r="A190" s="271"/>
      <c r="B190" s="156"/>
      <c r="C190" s="156"/>
      <c r="D190" s="156"/>
      <c r="E190" s="156"/>
      <c r="F190" s="156"/>
      <c r="G190" s="156"/>
      <c r="H190" s="156"/>
      <c r="I190" s="156"/>
      <c r="J190" s="156"/>
      <c r="K190" s="156"/>
      <c r="L190" s="156"/>
      <c r="M190" s="156"/>
      <c r="N190" s="156"/>
      <c r="O190" s="156"/>
      <c r="P190" s="156"/>
      <c r="Q190" s="156"/>
      <c r="R190" s="156"/>
      <c r="S190" s="156"/>
      <c r="T190" s="156"/>
      <c r="U190" s="51"/>
      <c r="V190" s="374"/>
      <c r="W190" s="374"/>
      <c r="X190" s="143"/>
      <c r="Y190" s="360"/>
      <c r="Z190" s="360"/>
      <c r="AA190" s="65"/>
      <c r="AB190" s="65"/>
    </row>
    <row r="191" spans="1:28" ht="18" x14ac:dyDescent="0.25">
      <c r="A191" s="271"/>
      <c r="B191" s="156"/>
      <c r="C191" s="156"/>
      <c r="D191" s="156"/>
      <c r="E191" s="156"/>
      <c r="F191" s="156"/>
      <c r="G191" s="156"/>
      <c r="H191" s="156"/>
      <c r="I191" s="156"/>
      <c r="J191" s="156"/>
      <c r="K191" s="156"/>
      <c r="L191" s="156"/>
      <c r="M191" s="156"/>
      <c r="N191" s="156"/>
      <c r="O191" s="156"/>
      <c r="P191" s="156"/>
      <c r="Q191" s="156"/>
      <c r="R191" s="156"/>
      <c r="S191" s="156"/>
      <c r="T191" s="156"/>
      <c r="U191" s="51"/>
      <c r="V191" s="374"/>
      <c r="W191" s="374"/>
      <c r="X191" s="143"/>
      <c r="Y191" s="360"/>
      <c r="Z191" s="360"/>
      <c r="AA191" s="65"/>
      <c r="AB191" s="65"/>
    </row>
    <row r="192" spans="1:28" ht="18" x14ac:dyDescent="0.25">
      <c r="A192" s="271"/>
      <c r="B192" s="156"/>
      <c r="C192" s="156"/>
      <c r="D192" s="156"/>
      <c r="E192" s="156"/>
      <c r="F192" s="156"/>
      <c r="G192" s="156"/>
      <c r="H192" s="156"/>
      <c r="I192" s="156"/>
      <c r="J192" s="156"/>
      <c r="K192" s="156"/>
      <c r="L192" s="156"/>
      <c r="M192" s="156"/>
      <c r="N192" s="156"/>
      <c r="O192" s="156"/>
      <c r="P192" s="156"/>
      <c r="Q192" s="156"/>
      <c r="R192" s="156"/>
      <c r="S192" s="156"/>
      <c r="T192" s="156"/>
      <c r="U192" s="51"/>
      <c r="V192" s="374"/>
      <c r="W192" s="374"/>
      <c r="X192" s="143"/>
      <c r="Y192" s="360"/>
      <c r="Z192" s="360"/>
      <c r="AA192" s="65"/>
      <c r="AB192" s="65"/>
    </row>
    <row r="193" spans="1:28" ht="18" x14ac:dyDescent="0.25">
      <c r="A193" s="271"/>
      <c r="B193" s="156"/>
      <c r="C193" s="156"/>
      <c r="D193" s="156"/>
      <c r="E193" s="156"/>
      <c r="F193" s="156"/>
      <c r="G193" s="156"/>
      <c r="H193" s="156"/>
      <c r="I193" s="156"/>
      <c r="J193" s="156"/>
      <c r="K193" s="156"/>
      <c r="L193" s="156"/>
      <c r="M193" s="156"/>
      <c r="N193" s="156"/>
      <c r="O193" s="156"/>
      <c r="P193" s="156"/>
      <c r="Q193" s="156"/>
      <c r="R193" s="156"/>
      <c r="S193" s="156"/>
      <c r="T193" s="156"/>
      <c r="U193" s="51"/>
      <c r="V193" s="374"/>
      <c r="W193" s="374"/>
      <c r="X193" s="143"/>
      <c r="Y193" s="360"/>
      <c r="Z193" s="360"/>
      <c r="AA193" s="65"/>
      <c r="AB193" s="65"/>
    </row>
    <row r="194" spans="1:28" ht="18" x14ac:dyDescent="0.25">
      <c r="A194" s="271"/>
      <c r="B194" s="156"/>
      <c r="C194" s="156"/>
      <c r="D194" s="156"/>
      <c r="E194" s="156"/>
      <c r="F194" s="156"/>
      <c r="G194" s="156"/>
      <c r="H194" s="156"/>
      <c r="I194" s="156"/>
      <c r="J194" s="156"/>
      <c r="K194" s="156"/>
      <c r="L194" s="156"/>
      <c r="M194" s="156"/>
      <c r="N194" s="156"/>
      <c r="O194" s="156"/>
      <c r="P194" s="156"/>
      <c r="Q194" s="156"/>
      <c r="R194" s="156"/>
      <c r="S194" s="156"/>
      <c r="T194" s="156"/>
      <c r="U194" s="51"/>
      <c r="V194" s="374"/>
      <c r="W194" s="374"/>
      <c r="X194" s="143"/>
      <c r="Y194" s="360"/>
      <c r="Z194" s="360"/>
      <c r="AA194" s="65"/>
      <c r="AB194" s="65"/>
    </row>
    <row r="195" spans="1:28" ht="18" x14ac:dyDescent="0.25">
      <c r="A195" s="271"/>
      <c r="B195" s="156"/>
      <c r="C195" s="156"/>
      <c r="D195" s="156"/>
      <c r="E195" s="156"/>
      <c r="F195" s="156"/>
      <c r="G195" s="156"/>
      <c r="H195" s="156"/>
      <c r="I195" s="156"/>
      <c r="J195" s="156"/>
      <c r="K195" s="156"/>
      <c r="L195" s="156"/>
      <c r="M195" s="156"/>
      <c r="N195" s="156"/>
      <c r="O195" s="156"/>
      <c r="P195" s="156"/>
      <c r="Q195" s="156"/>
      <c r="R195" s="156"/>
      <c r="S195" s="156"/>
      <c r="T195" s="156"/>
      <c r="U195" s="51"/>
      <c r="V195" s="374"/>
      <c r="W195" s="374"/>
      <c r="X195" s="143"/>
      <c r="Y195" s="360"/>
      <c r="Z195" s="360"/>
      <c r="AA195" s="65"/>
      <c r="AB195" s="65"/>
    </row>
    <row r="196" spans="1:28" ht="18" x14ac:dyDescent="0.25">
      <c r="A196" s="271"/>
      <c r="B196" s="156"/>
      <c r="C196" s="156"/>
      <c r="D196" s="156"/>
      <c r="E196" s="156"/>
      <c r="F196" s="156"/>
      <c r="G196" s="156"/>
      <c r="H196" s="156"/>
      <c r="I196" s="156"/>
      <c r="J196" s="156"/>
      <c r="K196" s="156"/>
      <c r="L196" s="156"/>
      <c r="M196" s="156"/>
      <c r="N196" s="156"/>
      <c r="O196" s="156"/>
      <c r="P196" s="156"/>
      <c r="Q196" s="156"/>
      <c r="R196" s="156"/>
      <c r="S196" s="156"/>
      <c r="T196" s="156"/>
      <c r="U196" s="51"/>
      <c r="V196" s="374"/>
      <c r="W196" s="374"/>
      <c r="X196" s="143"/>
      <c r="Y196" s="360"/>
      <c r="Z196" s="360"/>
      <c r="AA196" s="65"/>
      <c r="AB196" s="65"/>
    </row>
    <row r="197" spans="1:28" ht="18" x14ac:dyDescent="0.25">
      <c r="A197" s="271"/>
      <c r="B197" s="156"/>
      <c r="C197" s="156"/>
      <c r="D197" s="156"/>
      <c r="E197" s="156"/>
      <c r="F197" s="156"/>
      <c r="G197" s="156"/>
      <c r="H197" s="156"/>
      <c r="I197" s="156"/>
      <c r="J197" s="156"/>
      <c r="K197" s="156"/>
      <c r="L197" s="156"/>
      <c r="M197" s="156"/>
      <c r="N197" s="156"/>
      <c r="O197" s="156"/>
      <c r="P197" s="156"/>
      <c r="Q197" s="156"/>
      <c r="R197" s="156"/>
      <c r="S197" s="156"/>
      <c r="T197" s="156"/>
      <c r="U197" s="51"/>
      <c r="V197" s="374"/>
      <c r="W197" s="374"/>
      <c r="X197" s="143"/>
      <c r="Y197" s="360"/>
      <c r="Z197" s="360"/>
      <c r="AA197" s="65"/>
      <c r="AB197" s="65"/>
    </row>
    <row r="198" spans="1:28" ht="18" x14ac:dyDescent="0.25">
      <c r="A198" s="271"/>
      <c r="B198" s="156"/>
      <c r="C198" s="156"/>
      <c r="D198" s="156"/>
      <c r="E198" s="156"/>
      <c r="F198" s="156"/>
      <c r="G198" s="156"/>
      <c r="H198" s="156"/>
      <c r="I198" s="156"/>
      <c r="J198" s="156"/>
      <c r="K198" s="156"/>
      <c r="L198" s="156"/>
      <c r="M198" s="156"/>
      <c r="N198" s="156"/>
      <c r="O198" s="156"/>
      <c r="P198" s="156"/>
      <c r="Q198" s="156"/>
      <c r="R198" s="156"/>
      <c r="S198" s="156"/>
      <c r="T198" s="156"/>
      <c r="U198" s="51"/>
      <c r="V198" s="374"/>
      <c r="W198" s="374"/>
      <c r="X198" s="143"/>
      <c r="Y198" s="360"/>
      <c r="Z198" s="360"/>
      <c r="AA198" s="65"/>
      <c r="AB198" s="65"/>
    </row>
    <row r="199" spans="1:28" ht="18" x14ac:dyDescent="0.25">
      <c r="A199" s="271"/>
      <c r="B199" s="156"/>
      <c r="C199" s="156"/>
      <c r="D199" s="156"/>
      <c r="E199" s="156"/>
      <c r="F199" s="156"/>
      <c r="G199" s="156"/>
      <c r="H199" s="156"/>
      <c r="I199" s="156"/>
      <c r="J199" s="156"/>
      <c r="K199" s="156"/>
      <c r="L199" s="156"/>
      <c r="M199" s="156"/>
      <c r="N199" s="156"/>
      <c r="O199" s="156"/>
      <c r="P199" s="156"/>
      <c r="Q199" s="156"/>
      <c r="R199" s="156"/>
      <c r="S199" s="156"/>
      <c r="T199" s="156"/>
      <c r="U199" s="51"/>
      <c r="V199" s="374"/>
      <c r="W199" s="374"/>
      <c r="X199" s="143"/>
      <c r="Y199" s="360"/>
      <c r="Z199" s="360"/>
      <c r="AA199" s="65"/>
      <c r="AB199" s="65"/>
    </row>
    <row r="200" spans="1:28" ht="18" x14ac:dyDescent="0.25">
      <c r="A200" s="271"/>
      <c r="B200" s="156"/>
      <c r="C200" s="156"/>
      <c r="D200" s="156"/>
      <c r="E200" s="156"/>
      <c r="F200" s="156"/>
      <c r="G200" s="156"/>
      <c r="H200" s="156"/>
      <c r="I200" s="156"/>
      <c r="J200" s="156"/>
      <c r="K200" s="156"/>
      <c r="L200" s="156"/>
      <c r="M200" s="156"/>
      <c r="N200" s="156"/>
      <c r="O200" s="156"/>
      <c r="P200" s="156"/>
      <c r="Q200" s="156"/>
      <c r="R200" s="156"/>
      <c r="S200" s="156"/>
      <c r="T200" s="156"/>
      <c r="U200" s="51"/>
      <c r="V200" s="374"/>
      <c r="W200" s="374"/>
      <c r="X200" s="143"/>
      <c r="Y200" s="360"/>
      <c r="Z200" s="360"/>
      <c r="AA200" s="65"/>
      <c r="AB200" s="65"/>
    </row>
    <row r="201" spans="1:28" ht="18" x14ac:dyDescent="0.25">
      <c r="A201" s="271"/>
      <c r="B201" s="156"/>
      <c r="C201" s="156"/>
      <c r="D201" s="156"/>
      <c r="E201" s="156"/>
      <c r="F201" s="156"/>
      <c r="G201" s="156"/>
      <c r="H201" s="156"/>
      <c r="I201" s="156"/>
      <c r="J201" s="156"/>
      <c r="K201" s="156"/>
      <c r="L201" s="156"/>
      <c r="M201" s="156"/>
      <c r="N201" s="156"/>
      <c r="O201" s="156"/>
      <c r="P201" s="156"/>
      <c r="Q201" s="156"/>
      <c r="R201" s="156"/>
      <c r="S201" s="156"/>
      <c r="T201" s="156"/>
      <c r="U201" s="51"/>
      <c r="V201" s="374"/>
      <c r="W201" s="374"/>
      <c r="X201" s="143"/>
      <c r="Y201" s="360"/>
      <c r="Z201" s="360"/>
      <c r="AA201" s="65"/>
      <c r="AB201" s="65"/>
    </row>
    <row r="202" spans="1:28" ht="18" x14ac:dyDescent="0.25">
      <c r="A202" s="271"/>
      <c r="B202" s="156"/>
      <c r="C202" s="156"/>
      <c r="D202" s="156"/>
      <c r="E202" s="156"/>
      <c r="F202" s="156"/>
      <c r="G202" s="156"/>
      <c r="H202" s="156"/>
      <c r="I202" s="156"/>
      <c r="J202" s="156"/>
      <c r="K202" s="156"/>
      <c r="L202" s="156"/>
      <c r="M202" s="156"/>
      <c r="N202" s="156"/>
      <c r="O202" s="156"/>
      <c r="P202" s="156"/>
      <c r="Q202" s="156"/>
      <c r="R202" s="156"/>
      <c r="S202" s="156"/>
      <c r="T202" s="156"/>
      <c r="U202" s="51"/>
      <c r="V202" s="374"/>
      <c r="W202" s="374"/>
      <c r="X202" s="143"/>
      <c r="Y202" s="360"/>
      <c r="Z202" s="360"/>
      <c r="AA202" s="65"/>
      <c r="AB202" s="65"/>
    </row>
    <row r="203" spans="1:28" ht="18" x14ac:dyDescent="0.25">
      <c r="A203" s="271"/>
      <c r="B203" s="156"/>
      <c r="C203" s="156"/>
      <c r="D203" s="156"/>
      <c r="E203" s="156"/>
      <c r="F203" s="156"/>
      <c r="G203" s="156"/>
      <c r="H203" s="156"/>
      <c r="I203" s="156"/>
      <c r="J203" s="156"/>
      <c r="K203" s="156"/>
      <c r="L203" s="156"/>
      <c r="M203" s="156"/>
      <c r="N203" s="156"/>
      <c r="O203" s="156"/>
      <c r="P203" s="156"/>
      <c r="Q203" s="156"/>
      <c r="R203" s="156"/>
      <c r="S203" s="156"/>
      <c r="T203" s="156"/>
      <c r="U203" s="51"/>
      <c r="V203" s="374"/>
      <c r="W203" s="374"/>
      <c r="X203" s="143"/>
      <c r="Y203" s="360"/>
      <c r="Z203" s="360"/>
      <c r="AA203" s="65"/>
      <c r="AB203" s="65"/>
    </row>
    <row r="204" spans="1:28" ht="18" x14ac:dyDescent="0.25">
      <c r="A204" s="271"/>
      <c r="B204" s="156"/>
      <c r="C204" s="156"/>
      <c r="D204" s="156"/>
      <c r="E204" s="156"/>
      <c r="F204" s="156"/>
      <c r="G204" s="156"/>
      <c r="H204" s="156"/>
      <c r="I204" s="156"/>
      <c r="J204" s="156"/>
      <c r="K204" s="156"/>
      <c r="L204" s="156"/>
      <c r="M204" s="156"/>
      <c r="N204" s="156"/>
      <c r="O204" s="156"/>
      <c r="P204" s="156"/>
      <c r="Q204" s="156"/>
      <c r="R204" s="156"/>
      <c r="S204" s="156"/>
      <c r="T204" s="156"/>
      <c r="U204" s="51"/>
      <c r="V204" s="374"/>
      <c r="W204" s="374"/>
      <c r="X204" s="143"/>
      <c r="Y204" s="360"/>
      <c r="Z204" s="360"/>
      <c r="AA204" s="65"/>
      <c r="AB204" s="65"/>
    </row>
    <row r="205" spans="1:28" ht="18" x14ac:dyDescent="0.25">
      <c r="A205" s="271"/>
      <c r="B205" s="156"/>
      <c r="C205" s="156"/>
      <c r="D205" s="156"/>
      <c r="E205" s="156"/>
      <c r="F205" s="156"/>
      <c r="G205" s="156"/>
      <c r="H205" s="156"/>
      <c r="I205" s="156"/>
      <c r="J205" s="156"/>
      <c r="K205" s="156"/>
      <c r="L205" s="156"/>
      <c r="M205" s="156"/>
      <c r="N205" s="156"/>
      <c r="O205" s="156"/>
      <c r="P205" s="156"/>
      <c r="Q205" s="156"/>
      <c r="R205" s="156"/>
      <c r="S205" s="156"/>
      <c r="T205" s="156"/>
      <c r="U205" s="51"/>
      <c r="V205" s="374"/>
      <c r="W205" s="374"/>
      <c r="X205" s="143"/>
      <c r="Y205" s="360"/>
      <c r="Z205" s="360"/>
      <c r="AA205" s="65"/>
      <c r="AB205" s="65"/>
    </row>
    <row r="206" spans="1:28" ht="18" x14ac:dyDescent="0.25">
      <c r="A206" s="271"/>
      <c r="B206" s="156"/>
      <c r="C206" s="156"/>
      <c r="D206" s="156"/>
      <c r="E206" s="156"/>
      <c r="F206" s="156"/>
      <c r="G206" s="156"/>
      <c r="H206" s="156"/>
      <c r="I206" s="156"/>
      <c r="J206" s="156"/>
      <c r="K206" s="156"/>
      <c r="L206" s="156"/>
      <c r="M206" s="156"/>
      <c r="N206" s="156"/>
      <c r="O206" s="156"/>
      <c r="P206" s="156"/>
      <c r="Q206" s="156"/>
      <c r="R206" s="156"/>
      <c r="S206" s="156"/>
      <c r="T206" s="156"/>
      <c r="U206" s="51"/>
      <c r="V206" s="374"/>
      <c r="W206" s="374"/>
      <c r="X206" s="143"/>
      <c r="Y206" s="360"/>
      <c r="Z206" s="360"/>
      <c r="AA206" s="65"/>
      <c r="AB206" s="65"/>
    </row>
    <row r="207" spans="1:28" ht="18" x14ac:dyDescent="0.25">
      <c r="A207" s="271"/>
      <c r="B207" s="156"/>
      <c r="C207" s="156"/>
      <c r="D207" s="156"/>
      <c r="E207" s="156"/>
      <c r="F207" s="156"/>
      <c r="G207" s="156"/>
      <c r="H207" s="156"/>
      <c r="I207" s="156"/>
      <c r="J207" s="156"/>
      <c r="K207" s="156"/>
      <c r="L207" s="156"/>
      <c r="M207" s="156"/>
      <c r="N207" s="156"/>
      <c r="O207" s="156"/>
      <c r="P207" s="156"/>
      <c r="Q207" s="156"/>
      <c r="R207" s="156"/>
      <c r="S207" s="156"/>
      <c r="T207" s="156"/>
      <c r="U207" s="51"/>
      <c r="V207" s="374"/>
      <c r="W207" s="374"/>
      <c r="X207" s="143"/>
      <c r="Y207" s="360"/>
      <c r="Z207" s="360"/>
      <c r="AA207" s="65"/>
      <c r="AB207" s="65"/>
    </row>
    <row r="208" spans="1:28" ht="18" x14ac:dyDescent="0.25">
      <c r="A208" s="271"/>
      <c r="B208" s="156"/>
      <c r="C208" s="156"/>
      <c r="D208" s="156"/>
      <c r="E208" s="156"/>
      <c r="F208" s="156"/>
      <c r="G208" s="156"/>
      <c r="H208" s="156"/>
      <c r="I208" s="156"/>
      <c r="J208" s="156"/>
      <c r="K208" s="156"/>
      <c r="L208" s="156"/>
      <c r="M208" s="156"/>
      <c r="N208" s="156"/>
      <c r="O208" s="156"/>
      <c r="P208" s="156"/>
      <c r="Q208" s="156"/>
      <c r="R208" s="156"/>
      <c r="S208" s="156"/>
      <c r="T208" s="156"/>
      <c r="U208" s="51"/>
      <c r="V208" s="374"/>
      <c r="W208" s="374"/>
      <c r="X208" s="143"/>
      <c r="Y208" s="360"/>
      <c r="Z208" s="360"/>
      <c r="AA208" s="65"/>
      <c r="AB208" s="65"/>
    </row>
    <row r="209" spans="1:28" ht="18" x14ac:dyDescent="0.25">
      <c r="A209" s="271"/>
      <c r="B209" s="156"/>
      <c r="C209" s="156"/>
      <c r="D209" s="156"/>
      <c r="E209" s="156"/>
      <c r="F209" s="156"/>
      <c r="G209" s="156"/>
      <c r="H209" s="156"/>
      <c r="I209" s="156"/>
      <c r="J209" s="156"/>
      <c r="K209" s="156"/>
      <c r="L209" s="156"/>
      <c r="M209" s="156"/>
      <c r="N209" s="156"/>
      <c r="O209" s="156"/>
      <c r="P209" s="156"/>
      <c r="Q209" s="156"/>
      <c r="R209" s="156"/>
      <c r="S209" s="156"/>
      <c r="T209" s="156"/>
      <c r="U209" s="51"/>
      <c r="V209" s="374"/>
      <c r="W209" s="374"/>
      <c r="X209" s="143"/>
      <c r="Y209" s="360"/>
      <c r="Z209" s="360"/>
      <c r="AA209" s="65"/>
      <c r="AB209" s="65"/>
    </row>
    <row r="210" spans="1:28" ht="18" x14ac:dyDescent="0.25">
      <c r="A210" s="271"/>
      <c r="B210" s="156"/>
      <c r="C210" s="156"/>
      <c r="D210" s="156"/>
      <c r="E210" s="156"/>
      <c r="F210" s="156"/>
      <c r="G210" s="156"/>
      <c r="H210" s="156"/>
      <c r="I210" s="156"/>
      <c r="J210" s="156"/>
      <c r="K210" s="156"/>
      <c r="L210" s="156"/>
      <c r="M210" s="156"/>
      <c r="N210" s="156"/>
      <c r="O210" s="156"/>
      <c r="P210" s="156"/>
      <c r="Q210" s="156"/>
      <c r="R210" s="156"/>
      <c r="S210" s="156"/>
      <c r="T210" s="156"/>
      <c r="U210" s="51"/>
      <c r="V210" s="374"/>
      <c r="W210" s="374"/>
      <c r="X210" s="143"/>
      <c r="Y210" s="360"/>
      <c r="Z210" s="360"/>
      <c r="AA210" s="65"/>
      <c r="AB210" s="65"/>
    </row>
    <row r="211" spans="1:28" ht="18" x14ac:dyDescent="0.25">
      <c r="A211" s="271"/>
      <c r="B211" s="156"/>
      <c r="C211" s="156"/>
      <c r="D211" s="156"/>
      <c r="E211" s="156"/>
      <c r="F211" s="156"/>
      <c r="G211" s="156"/>
      <c r="H211" s="156"/>
      <c r="I211" s="156"/>
      <c r="J211" s="156"/>
      <c r="K211" s="156"/>
      <c r="L211" s="156"/>
      <c r="M211" s="156"/>
      <c r="N211" s="156"/>
      <c r="O211" s="156"/>
      <c r="P211" s="156"/>
      <c r="Q211" s="156"/>
      <c r="R211" s="156"/>
      <c r="S211" s="156"/>
      <c r="T211" s="156"/>
      <c r="U211" s="51"/>
      <c r="V211" s="374"/>
      <c r="W211" s="374"/>
      <c r="X211" s="143"/>
      <c r="Y211" s="360"/>
      <c r="Z211" s="360"/>
      <c r="AA211" s="65"/>
      <c r="AB211" s="65"/>
    </row>
    <row r="212" spans="1:28" ht="18" x14ac:dyDescent="0.25">
      <c r="A212" s="271"/>
      <c r="B212" s="156"/>
      <c r="C212" s="156"/>
      <c r="D212" s="156"/>
      <c r="E212" s="156"/>
      <c r="F212" s="156"/>
      <c r="G212" s="156"/>
      <c r="H212" s="156"/>
      <c r="I212" s="156"/>
      <c r="J212" s="156"/>
      <c r="K212" s="156"/>
      <c r="L212" s="156"/>
      <c r="M212" s="156"/>
      <c r="N212" s="156"/>
      <c r="O212" s="156"/>
      <c r="P212" s="156"/>
      <c r="Q212" s="156"/>
      <c r="R212" s="156"/>
      <c r="S212" s="156"/>
      <c r="T212" s="156"/>
      <c r="U212" s="51"/>
      <c r="V212" s="374"/>
      <c r="W212" s="374"/>
      <c r="X212" s="143"/>
      <c r="Y212" s="360"/>
      <c r="Z212" s="360"/>
      <c r="AA212" s="65"/>
      <c r="AB212" s="65"/>
    </row>
    <row r="213" spans="1:28" ht="18" x14ac:dyDescent="0.25">
      <c r="A213" s="271"/>
      <c r="B213" s="156"/>
      <c r="C213" s="156"/>
      <c r="D213" s="156"/>
      <c r="E213" s="156"/>
      <c r="F213" s="156"/>
      <c r="G213" s="156"/>
      <c r="H213" s="156"/>
      <c r="I213" s="156"/>
      <c r="J213" s="156"/>
      <c r="K213" s="156"/>
      <c r="L213" s="156"/>
      <c r="M213" s="156"/>
      <c r="N213" s="156"/>
      <c r="O213" s="156"/>
      <c r="P213" s="156"/>
      <c r="Q213" s="156"/>
      <c r="R213" s="156"/>
      <c r="S213" s="156"/>
      <c r="T213" s="156"/>
      <c r="U213" s="51"/>
      <c r="V213" s="374"/>
      <c r="W213" s="374"/>
      <c r="X213" s="143"/>
      <c r="Y213" s="360"/>
      <c r="Z213" s="360"/>
      <c r="AA213" s="65"/>
      <c r="AB213" s="65"/>
    </row>
    <row r="214" spans="1:28" ht="18" x14ac:dyDescent="0.25">
      <c r="A214" s="271"/>
      <c r="B214" s="156"/>
      <c r="C214" s="156"/>
      <c r="D214" s="156"/>
      <c r="E214" s="156"/>
      <c r="F214" s="156"/>
      <c r="G214" s="156"/>
      <c r="H214" s="156"/>
      <c r="I214" s="156"/>
      <c r="J214" s="156"/>
      <c r="K214" s="156"/>
      <c r="L214" s="156"/>
      <c r="M214" s="156"/>
      <c r="N214" s="156"/>
      <c r="O214" s="156"/>
      <c r="P214" s="156"/>
      <c r="Q214" s="156"/>
      <c r="R214" s="156"/>
      <c r="S214" s="156"/>
      <c r="T214" s="156"/>
      <c r="U214" s="51"/>
      <c r="V214" s="374"/>
      <c r="W214" s="374"/>
      <c r="X214" s="143"/>
      <c r="Y214" s="360"/>
      <c r="Z214" s="360"/>
      <c r="AA214" s="65"/>
      <c r="AB214" s="65"/>
    </row>
    <row r="215" spans="1:28" ht="18" x14ac:dyDescent="0.25">
      <c r="A215" s="271"/>
      <c r="B215" s="156"/>
      <c r="C215" s="156"/>
      <c r="D215" s="156"/>
      <c r="E215" s="156"/>
      <c r="F215" s="156"/>
      <c r="G215" s="156"/>
      <c r="H215" s="156"/>
      <c r="I215" s="156"/>
      <c r="J215" s="156"/>
      <c r="K215" s="156"/>
      <c r="L215" s="156"/>
      <c r="M215" s="156"/>
      <c r="N215" s="156"/>
      <c r="O215" s="156"/>
      <c r="P215" s="156"/>
      <c r="Q215" s="156"/>
      <c r="R215" s="156"/>
      <c r="S215" s="156"/>
      <c r="T215" s="156"/>
      <c r="U215" s="51"/>
      <c r="V215" s="374"/>
      <c r="W215" s="374"/>
      <c r="X215" s="143"/>
      <c r="Y215" s="360"/>
      <c r="Z215" s="360"/>
      <c r="AA215" s="65"/>
      <c r="AB215" s="65"/>
    </row>
    <row r="216" spans="1:28" ht="18" x14ac:dyDescent="0.25">
      <c r="A216" s="271"/>
      <c r="B216" s="156"/>
      <c r="C216" s="156"/>
      <c r="D216" s="156"/>
      <c r="E216" s="156"/>
      <c r="F216" s="156"/>
      <c r="G216" s="156"/>
      <c r="H216" s="156"/>
      <c r="I216" s="156"/>
      <c r="J216" s="156"/>
      <c r="K216" s="156"/>
      <c r="L216" s="156"/>
      <c r="M216" s="156"/>
      <c r="N216" s="156"/>
      <c r="O216" s="156"/>
      <c r="P216" s="156"/>
      <c r="Q216" s="156"/>
      <c r="R216" s="156"/>
      <c r="S216" s="156"/>
      <c r="T216" s="156"/>
      <c r="U216" s="51"/>
      <c r="V216" s="374"/>
      <c r="W216" s="374"/>
      <c r="X216" s="143"/>
      <c r="Y216" s="360"/>
      <c r="Z216" s="360"/>
      <c r="AA216" s="65"/>
      <c r="AB216" s="65"/>
    </row>
    <row r="217" spans="1:28" ht="18" x14ac:dyDescent="0.25">
      <c r="A217" s="271"/>
      <c r="B217" s="156"/>
      <c r="C217" s="156"/>
      <c r="D217" s="156"/>
      <c r="E217" s="156"/>
      <c r="F217" s="156"/>
      <c r="G217" s="156"/>
      <c r="H217" s="156"/>
      <c r="I217" s="156"/>
      <c r="J217" s="156"/>
      <c r="K217" s="156"/>
      <c r="L217" s="156"/>
      <c r="M217" s="156"/>
      <c r="N217" s="156"/>
      <c r="O217" s="156"/>
      <c r="P217" s="156"/>
      <c r="Q217" s="156"/>
      <c r="R217" s="156"/>
      <c r="S217" s="156"/>
      <c r="T217" s="156"/>
      <c r="U217" s="51"/>
      <c r="V217" s="374"/>
      <c r="W217" s="374"/>
      <c r="X217" s="143"/>
      <c r="Y217" s="360"/>
      <c r="Z217" s="360"/>
      <c r="AA217" s="65"/>
      <c r="AB217" s="65"/>
    </row>
    <row r="218" spans="1:28" ht="18" x14ac:dyDescent="0.25">
      <c r="A218" s="271"/>
      <c r="B218" s="156"/>
      <c r="C218" s="156"/>
      <c r="D218" s="156"/>
      <c r="E218" s="156"/>
      <c r="F218" s="156"/>
      <c r="G218" s="156"/>
      <c r="H218" s="156"/>
      <c r="I218" s="156"/>
      <c r="J218" s="156"/>
      <c r="K218" s="156"/>
      <c r="L218" s="156"/>
      <c r="M218" s="156"/>
      <c r="N218" s="156"/>
      <c r="O218" s="156"/>
      <c r="P218" s="156"/>
      <c r="Q218" s="156"/>
      <c r="R218" s="156"/>
      <c r="S218" s="156"/>
      <c r="T218" s="156"/>
      <c r="U218" s="51"/>
      <c r="V218" s="374"/>
      <c r="W218" s="374"/>
      <c r="X218" s="143"/>
      <c r="Y218" s="360"/>
      <c r="Z218" s="360"/>
      <c r="AA218" s="65"/>
      <c r="AB218" s="65"/>
    </row>
    <row r="219" spans="1:28" ht="18" x14ac:dyDescent="0.25">
      <c r="A219" s="271"/>
      <c r="B219" s="156"/>
      <c r="C219" s="156"/>
      <c r="D219" s="156"/>
      <c r="E219" s="156"/>
      <c r="F219" s="156"/>
      <c r="G219" s="156"/>
      <c r="H219" s="156"/>
      <c r="I219" s="156"/>
      <c r="J219" s="156"/>
      <c r="K219" s="156"/>
      <c r="L219" s="156"/>
      <c r="M219" s="156"/>
      <c r="N219" s="156"/>
      <c r="O219" s="156"/>
      <c r="P219" s="156"/>
      <c r="Q219" s="156"/>
      <c r="R219" s="156"/>
      <c r="S219" s="156"/>
      <c r="T219" s="156"/>
      <c r="U219" s="51"/>
      <c r="V219" s="374"/>
      <c r="W219" s="374"/>
      <c r="X219" s="143"/>
      <c r="Y219" s="360"/>
      <c r="Z219" s="360"/>
      <c r="AA219" s="65"/>
      <c r="AB219" s="65"/>
    </row>
    <row r="220" spans="1:28" ht="18" x14ac:dyDescent="0.25">
      <c r="A220" s="271"/>
      <c r="B220" s="156"/>
      <c r="C220" s="156"/>
      <c r="D220" s="156"/>
      <c r="E220" s="156"/>
      <c r="F220" s="156"/>
      <c r="G220" s="156"/>
      <c r="H220" s="156"/>
      <c r="I220" s="156"/>
      <c r="J220" s="156"/>
      <c r="K220" s="156"/>
      <c r="L220" s="156"/>
      <c r="M220" s="156"/>
      <c r="N220" s="156"/>
      <c r="O220" s="156"/>
      <c r="P220" s="156"/>
      <c r="Q220" s="156"/>
      <c r="R220" s="156"/>
      <c r="S220" s="156"/>
      <c r="T220" s="156"/>
      <c r="U220" s="51"/>
      <c r="V220" s="374"/>
      <c r="W220" s="374"/>
      <c r="X220" s="143"/>
      <c r="Y220" s="360"/>
      <c r="Z220" s="360"/>
      <c r="AA220" s="65"/>
      <c r="AB220" s="65"/>
    </row>
    <row r="221" spans="1:28" ht="18" x14ac:dyDescent="0.25">
      <c r="A221" s="271"/>
      <c r="B221" s="156"/>
      <c r="C221" s="156"/>
      <c r="D221" s="156"/>
      <c r="E221" s="156"/>
      <c r="F221" s="156"/>
      <c r="G221" s="156"/>
      <c r="H221" s="156"/>
      <c r="I221" s="156"/>
      <c r="J221" s="156"/>
      <c r="K221" s="156"/>
      <c r="L221" s="156"/>
      <c r="M221" s="156"/>
      <c r="N221" s="156"/>
      <c r="O221" s="156"/>
      <c r="P221" s="156"/>
      <c r="Q221" s="156"/>
      <c r="R221" s="156"/>
      <c r="S221" s="156"/>
      <c r="T221" s="156"/>
      <c r="U221" s="51"/>
      <c r="V221" s="374"/>
      <c r="W221" s="374"/>
      <c r="X221" s="143"/>
      <c r="Y221" s="360"/>
      <c r="Z221" s="360"/>
      <c r="AA221" s="65"/>
      <c r="AB221" s="65"/>
    </row>
    <row r="222" spans="1:28" ht="18" x14ac:dyDescent="0.25">
      <c r="A222" s="271"/>
      <c r="B222" s="156"/>
      <c r="C222" s="156"/>
      <c r="D222" s="156"/>
      <c r="E222" s="156"/>
      <c r="F222" s="156"/>
      <c r="G222" s="156"/>
      <c r="H222" s="156"/>
      <c r="I222" s="156"/>
      <c r="J222" s="156"/>
      <c r="K222" s="156"/>
      <c r="L222" s="156"/>
      <c r="M222" s="156"/>
      <c r="N222" s="156"/>
      <c r="O222" s="156"/>
      <c r="P222" s="156"/>
      <c r="Q222" s="156"/>
      <c r="R222" s="156"/>
      <c r="S222" s="156"/>
      <c r="T222" s="156"/>
      <c r="U222" s="51"/>
      <c r="V222" s="374"/>
      <c r="W222" s="374"/>
      <c r="X222" s="143"/>
      <c r="Y222" s="360"/>
      <c r="Z222" s="360"/>
      <c r="AA222" s="65"/>
      <c r="AB222" s="65"/>
    </row>
    <row r="223" spans="1:28" ht="18" x14ac:dyDescent="0.25">
      <c r="A223" s="271"/>
      <c r="B223" s="156"/>
      <c r="C223" s="156"/>
      <c r="D223" s="156"/>
      <c r="E223" s="156"/>
      <c r="F223" s="156"/>
      <c r="G223" s="156"/>
      <c r="H223" s="156"/>
      <c r="I223" s="156"/>
      <c r="J223" s="156"/>
      <c r="K223" s="156"/>
      <c r="L223" s="156"/>
      <c r="M223" s="156"/>
      <c r="N223" s="156"/>
      <c r="O223" s="156"/>
      <c r="P223" s="156"/>
      <c r="Q223" s="156"/>
      <c r="R223" s="156"/>
      <c r="S223" s="156"/>
      <c r="T223" s="156"/>
      <c r="U223" s="51"/>
      <c r="V223" s="374"/>
      <c r="W223" s="374"/>
      <c r="X223" s="143"/>
      <c r="Y223" s="360"/>
      <c r="Z223" s="360"/>
      <c r="AA223" s="65"/>
      <c r="AB223" s="65"/>
    </row>
    <row r="224" spans="1:28" ht="18" x14ac:dyDescent="0.25">
      <c r="A224" s="271"/>
      <c r="B224" s="156"/>
      <c r="C224" s="156"/>
      <c r="D224" s="156"/>
      <c r="E224" s="156"/>
      <c r="F224" s="156"/>
      <c r="G224" s="156"/>
      <c r="H224" s="156"/>
      <c r="I224" s="156"/>
      <c r="J224" s="156"/>
      <c r="K224" s="156"/>
      <c r="L224" s="156"/>
      <c r="M224" s="156"/>
      <c r="N224" s="156"/>
      <c r="O224" s="156"/>
      <c r="P224" s="156"/>
      <c r="Q224" s="156"/>
      <c r="R224" s="156"/>
      <c r="S224" s="156"/>
      <c r="T224" s="156"/>
      <c r="U224" s="51"/>
      <c r="V224" s="374"/>
      <c r="W224" s="374"/>
      <c r="X224" s="143"/>
      <c r="Y224" s="360"/>
      <c r="Z224" s="360"/>
      <c r="AA224" s="65"/>
      <c r="AB224" s="65"/>
    </row>
    <row r="225" spans="1:28" ht="18" x14ac:dyDescent="0.25">
      <c r="A225" s="271"/>
      <c r="B225" s="156"/>
      <c r="C225" s="156"/>
      <c r="D225" s="156"/>
      <c r="E225" s="156"/>
      <c r="F225" s="156"/>
      <c r="G225" s="156"/>
      <c r="H225" s="156"/>
      <c r="I225" s="156"/>
      <c r="J225" s="156"/>
      <c r="K225" s="156"/>
      <c r="L225" s="156"/>
      <c r="M225" s="156"/>
      <c r="N225" s="156"/>
      <c r="O225" s="156"/>
      <c r="P225" s="156"/>
      <c r="Q225" s="156"/>
      <c r="R225" s="156"/>
      <c r="S225" s="156"/>
      <c r="T225" s="156"/>
      <c r="U225" s="51"/>
      <c r="V225" s="374"/>
      <c r="W225" s="374"/>
      <c r="X225" s="143"/>
      <c r="Y225" s="360"/>
      <c r="Z225" s="360"/>
      <c r="AA225" s="65"/>
      <c r="AB225" s="65"/>
    </row>
    <row r="226" spans="1:28" ht="18" x14ac:dyDescent="0.25">
      <c r="A226" s="271"/>
      <c r="B226" s="156"/>
      <c r="C226" s="156"/>
      <c r="D226" s="156"/>
      <c r="E226" s="156"/>
      <c r="F226" s="156"/>
      <c r="G226" s="156"/>
      <c r="H226" s="156"/>
      <c r="I226" s="156"/>
      <c r="J226" s="156"/>
      <c r="K226" s="156"/>
      <c r="L226" s="156"/>
      <c r="M226" s="156"/>
      <c r="N226" s="156"/>
      <c r="O226" s="156"/>
      <c r="P226" s="156"/>
      <c r="Q226" s="156"/>
      <c r="R226" s="156"/>
      <c r="S226" s="156"/>
      <c r="T226" s="156"/>
      <c r="U226" s="51"/>
      <c r="V226" s="374"/>
      <c r="W226" s="374"/>
      <c r="X226" s="143"/>
      <c r="Y226" s="360"/>
      <c r="Z226" s="360"/>
      <c r="AA226" s="65"/>
      <c r="AB226" s="65"/>
    </row>
    <row r="227" spans="1:28" ht="18" x14ac:dyDescent="0.25">
      <c r="A227" s="271"/>
      <c r="B227" s="156"/>
      <c r="C227" s="156"/>
      <c r="D227" s="156"/>
      <c r="E227" s="156"/>
      <c r="F227" s="156"/>
      <c r="G227" s="156"/>
      <c r="H227" s="156"/>
      <c r="I227" s="156"/>
      <c r="J227" s="156"/>
      <c r="K227" s="156"/>
      <c r="L227" s="156"/>
      <c r="M227" s="156"/>
      <c r="N227" s="156"/>
      <c r="O227" s="156"/>
      <c r="P227" s="156"/>
      <c r="Q227" s="156"/>
      <c r="R227" s="156"/>
      <c r="S227" s="156"/>
      <c r="T227" s="156"/>
      <c r="U227" s="51"/>
      <c r="V227" s="374"/>
      <c r="W227" s="374"/>
      <c r="X227" s="143"/>
      <c r="Y227" s="360"/>
      <c r="Z227" s="360"/>
      <c r="AA227" s="65"/>
      <c r="AB227" s="65"/>
    </row>
    <row r="228" spans="1:28" ht="18" x14ac:dyDescent="0.25">
      <c r="A228" s="271"/>
      <c r="B228" s="156"/>
      <c r="C228" s="156"/>
      <c r="D228" s="156"/>
      <c r="E228" s="156"/>
      <c r="F228" s="156"/>
      <c r="G228" s="156"/>
      <c r="H228" s="156"/>
      <c r="I228" s="156"/>
      <c r="J228" s="156"/>
      <c r="K228" s="156"/>
      <c r="L228" s="156"/>
      <c r="M228" s="156"/>
      <c r="N228" s="156"/>
      <c r="O228" s="156"/>
      <c r="P228" s="156"/>
      <c r="Q228" s="156"/>
      <c r="R228" s="156"/>
      <c r="S228" s="156"/>
      <c r="T228" s="156"/>
      <c r="U228" s="51"/>
      <c r="V228" s="374"/>
      <c r="W228" s="374"/>
      <c r="X228" s="143"/>
      <c r="Y228" s="360"/>
      <c r="Z228" s="360"/>
      <c r="AA228" s="65"/>
      <c r="AB228" s="65"/>
    </row>
    <row r="229" spans="1:28" ht="18" x14ac:dyDescent="0.25">
      <c r="A229" s="271"/>
      <c r="B229" s="156"/>
      <c r="C229" s="156"/>
      <c r="D229" s="156"/>
      <c r="E229" s="156"/>
      <c r="F229" s="156"/>
      <c r="G229" s="156"/>
      <c r="H229" s="156"/>
      <c r="I229" s="156"/>
      <c r="J229" s="156"/>
      <c r="K229" s="156"/>
      <c r="L229" s="156"/>
      <c r="M229" s="156"/>
      <c r="N229" s="156"/>
      <c r="O229" s="156"/>
      <c r="P229" s="156"/>
      <c r="Q229" s="156"/>
      <c r="R229" s="156"/>
      <c r="S229" s="156"/>
      <c r="T229" s="156"/>
      <c r="U229" s="51"/>
      <c r="V229" s="374"/>
      <c r="W229" s="374"/>
      <c r="X229" s="143"/>
      <c r="Y229" s="360"/>
      <c r="Z229" s="360"/>
      <c r="AA229" s="65"/>
      <c r="AB229" s="65"/>
    </row>
    <row r="230" spans="1:28" ht="18" x14ac:dyDescent="0.25">
      <c r="A230" s="271"/>
      <c r="B230" s="156"/>
      <c r="C230" s="156"/>
      <c r="D230" s="156"/>
      <c r="E230" s="156"/>
      <c r="F230" s="156"/>
      <c r="G230" s="156"/>
      <c r="H230" s="156"/>
      <c r="I230" s="156"/>
      <c r="J230" s="156"/>
      <c r="K230" s="156"/>
      <c r="L230" s="156"/>
      <c r="M230" s="156"/>
      <c r="N230" s="156"/>
      <c r="O230" s="156"/>
      <c r="P230" s="156"/>
      <c r="Q230" s="156"/>
      <c r="R230" s="156"/>
      <c r="S230" s="156"/>
      <c r="T230" s="156"/>
      <c r="U230" s="51"/>
      <c r="V230" s="374"/>
      <c r="W230" s="374"/>
      <c r="X230" s="143"/>
      <c r="Y230" s="360"/>
      <c r="Z230" s="360"/>
      <c r="AA230" s="65"/>
      <c r="AB230" s="65"/>
    </row>
    <row r="231" spans="1:28" ht="18" x14ac:dyDescent="0.25">
      <c r="A231" s="271"/>
      <c r="B231" s="156"/>
      <c r="C231" s="156"/>
      <c r="D231" s="156"/>
      <c r="E231" s="156"/>
      <c r="F231" s="156"/>
      <c r="G231" s="156"/>
      <c r="H231" s="156"/>
      <c r="I231" s="156"/>
      <c r="J231" s="156"/>
      <c r="K231" s="156"/>
      <c r="L231" s="156"/>
      <c r="M231" s="156"/>
      <c r="N231" s="156"/>
      <c r="O231" s="156"/>
      <c r="P231" s="156"/>
      <c r="Q231" s="156"/>
      <c r="R231" s="156"/>
      <c r="S231" s="156"/>
      <c r="T231" s="156"/>
      <c r="U231" s="51"/>
      <c r="V231" s="374"/>
      <c r="W231" s="374"/>
      <c r="X231" s="143"/>
      <c r="Y231" s="360"/>
      <c r="Z231" s="360"/>
      <c r="AA231" s="65"/>
      <c r="AB231" s="65"/>
    </row>
    <row r="232" spans="1:28" ht="18" x14ac:dyDescent="0.25">
      <c r="A232" s="271"/>
      <c r="B232" s="156"/>
      <c r="C232" s="156"/>
      <c r="D232" s="156"/>
      <c r="E232" s="156"/>
      <c r="F232" s="156"/>
      <c r="G232" s="156"/>
      <c r="H232" s="156"/>
      <c r="I232" s="156"/>
      <c r="J232" s="156"/>
      <c r="K232" s="156"/>
      <c r="L232" s="156"/>
      <c r="M232" s="156"/>
      <c r="N232" s="156"/>
      <c r="O232" s="156"/>
      <c r="P232" s="156"/>
      <c r="Q232" s="156"/>
      <c r="R232" s="156"/>
      <c r="S232" s="156"/>
      <c r="T232" s="156"/>
      <c r="U232" s="51"/>
      <c r="V232" s="374"/>
      <c r="W232" s="374"/>
      <c r="X232" s="143"/>
      <c r="Y232" s="360"/>
      <c r="Z232" s="360"/>
      <c r="AA232" s="65"/>
      <c r="AB232" s="65"/>
    </row>
    <row r="233" spans="1:28" ht="18" x14ac:dyDescent="0.25">
      <c r="A233" s="271"/>
      <c r="B233" s="156"/>
      <c r="C233" s="156"/>
      <c r="D233" s="156"/>
      <c r="E233" s="156"/>
      <c r="F233" s="156"/>
      <c r="G233" s="156"/>
      <c r="H233" s="156"/>
      <c r="I233" s="156"/>
      <c r="J233" s="156"/>
      <c r="K233" s="156"/>
      <c r="L233" s="156"/>
      <c r="M233" s="156"/>
      <c r="N233" s="156"/>
      <c r="O233" s="156"/>
      <c r="P233" s="156"/>
      <c r="Q233" s="156"/>
      <c r="R233" s="156"/>
      <c r="S233" s="156"/>
      <c r="T233" s="156"/>
      <c r="U233" s="51"/>
      <c r="V233" s="374"/>
      <c r="W233" s="374"/>
      <c r="X233" s="143"/>
      <c r="Y233" s="360"/>
      <c r="Z233" s="360"/>
      <c r="AA233" s="65"/>
      <c r="AB233" s="65"/>
    </row>
    <row r="234" spans="1:28" ht="18" x14ac:dyDescent="0.25">
      <c r="A234" s="271"/>
      <c r="B234" s="156"/>
      <c r="C234" s="156"/>
      <c r="D234" s="156"/>
      <c r="E234" s="156"/>
      <c r="F234" s="156"/>
      <c r="G234" s="156"/>
      <c r="H234" s="156"/>
      <c r="I234" s="156"/>
      <c r="J234" s="156"/>
      <c r="K234" s="156"/>
      <c r="L234" s="156"/>
      <c r="M234" s="156"/>
      <c r="N234" s="156"/>
      <c r="O234" s="156"/>
      <c r="P234" s="156"/>
      <c r="Q234" s="156"/>
      <c r="R234" s="156"/>
      <c r="S234" s="156"/>
      <c r="T234" s="156"/>
      <c r="U234" s="51"/>
      <c r="V234" s="374"/>
      <c r="W234" s="374"/>
      <c r="X234" s="143"/>
      <c r="Y234" s="360"/>
      <c r="Z234" s="360"/>
      <c r="AA234" s="65"/>
      <c r="AB234" s="65"/>
    </row>
    <row r="235" spans="1:28" ht="18" x14ac:dyDescent="0.25">
      <c r="A235" s="271"/>
      <c r="B235" s="156"/>
      <c r="C235" s="156"/>
      <c r="D235" s="156"/>
      <c r="E235" s="156"/>
      <c r="F235" s="156"/>
      <c r="G235" s="156"/>
      <c r="H235" s="156"/>
      <c r="I235" s="156"/>
      <c r="J235" s="156"/>
      <c r="K235" s="156"/>
      <c r="L235" s="156"/>
      <c r="M235" s="156"/>
      <c r="N235" s="156"/>
      <c r="O235" s="156"/>
      <c r="P235" s="156"/>
      <c r="Q235" s="156"/>
      <c r="R235" s="156"/>
      <c r="S235" s="156"/>
      <c r="T235" s="156"/>
      <c r="U235" s="51"/>
      <c r="V235" s="374"/>
      <c r="W235" s="374"/>
      <c r="X235" s="143"/>
      <c r="Y235" s="360"/>
      <c r="Z235" s="360"/>
      <c r="AA235" s="65"/>
      <c r="AB235" s="65"/>
    </row>
    <row r="236" spans="1:28" ht="18" x14ac:dyDescent="0.25">
      <c r="A236" s="271"/>
      <c r="B236" s="156"/>
      <c r="C236" s="156"/>
      <c r="D236" s="156"/>
      <c r="E236" s="156"/>
      <c r="F236" s="156"/>
      <c r="G236" s="156"/>
      <c r="H236" s="156"/>
      <c r="I236" s="156"/>
      <c r="J236" s="156"/>
      <c r="K236" s="156"/>
      <c r="L236" s="156"/>
      <c r="M236" s="156"/>
      <c r="N236" s="156"/>
      <c r="O236" s="156"/>
      <c r="P236" s="156"/>
      <c r="Q236" s="156"/>
      <c r="R236" s="156"/>
      <c r="S236" s="156"/>
      <c r="T236" s="156"/>
      <c r="U236" s="51"/>
      <c r="V236" s="374"/>
      <c r="W236" s="374"/>
      <c r="X236" s="143"/>
      <c r="Y236" s="360"/>
      <c r="Z236" s="360"/>
      <c r="AA236" s="65"/>
      <c r="AB236" s="65"/>
    </row>
    <row r="237" spans="1:28" ht="18" x14ac:dyDescent="0.25">
      <c r="A237" s="271"/>
      <c r="B237" s="156"/>
      <c r="C237" s="156"/>
      <c r="D237" s="156"/>
      <c r="E237" s="156"/>
      <c r="F237" s="156"/>
      <c r="G237" s="156"/>
      <c r="H237" s="156"/>
      <c r="I237" s="156"/>
      <c r="J237" s="156"/>
      <c r="K237" s="156"/>
      <c r="L237" s="156"/>
      <c r="M237" s="156"/>
      <c r="N237" s="156"/>
      <c r="O237" s="156"/>
      <c r="P237" s="156"/>
      <c r="Q237" s="156"/>
      <c r="R237" s="156"/>
      <c r="S237" s="156"/>
      <c r="T237" s="156"/>
      <c r="U237" s="51"/>
      <c r="V237" s="374"/>
      <c r="W237" s="374"/>
      <c r="X237" s="143"/>
      <c r="Y237" s="360"/>
      <c r="Z237" s="360"/>
      <c r="AA237" s="65"/>
      <c r="AB237" s="65"/>
    </row>
    <row r="238" spans="1:28" ht="18" x14ac:dyDescent="0.25">
      <c r="A238" s="271"/>
      <c r="B238" s="156"/>
      <c r="C238" s="156"/>
      <c r="D238" s="156"/>
      <c r="E238" s="156"/>
      <c r="F238" s="156"/>
      <c r="G238" s="156"/>
      <c r="H238" s="156"/>
      <c r="I238" s="156"/>
      <c r="J238" s="156"/>
      <c r="K238" s="156"/>
      <c r="L238" s="156"/>
      <c r="M238" s="156"/>
      <c r="N238" s="156"/>
      <c r="O238" s="156"/>
      <c r="P238" s="156"/>
      <c r="Q238" s="156"/>
      <c r="R238" s="156"/>
      <c r="S238" s="156"/>
      <c r="T238" s="156"/>
      <c r="U238" s="51"/>
      <c r="V238" s="374"/>
      <c r="W238" s="374"/>
      <c r="X238" s="143"/>
      <c r="Y238" s="360"/>
      <c r="Z238" s="360"/>
      <c r="AA238" s="65"/>
      <c r="AB238" s="65"/>
    </row>
    <row r="239" spans="1:28" ht="18" x14ac:dyDescent="0.25">
      <c r="A239" s="271"/>
      <c r="B239" s="156"/>
      <c r="C239" s="156"/>
      <c r="D239" s="156"/>
      <c r="E239" s="156"/>
      <c r="F239" s="156"/>
      <c r="G239" s="156"/>
      <c r="H239" s="156"/>
      <c r="I239" s="156"/>
      <c r="J239" s="156"/>
      <c r="K239" s="156"/>
      <c r="L239" s="156"/>
      <c r="M239" s="156"/>
      <c r="N239" s="156"/>
      <c r="O239" s="156"/>
      <c r="P239" s="156"/>
      <c r="Q239" s="156"/>
      <c r="R239" s="156"/>
      <c r="S239" s="156"/>
      <c r="T239" s="156"/>
      <c r="U239" s="51"/>
      <c r="V239" s="374"/>
      <c r="W239" s="374"/>
      <c r="X239" s="143"/>
      <c r="Y239" s="360"/>
      <c r="Z239" s="360"/>
      <c r="AA239" s="65"/>
      <c r="AB239" s="65"/>
    </row>
    <row r="240" spans="1:28" ht="18" x14ac:dyDescent="0.25">
      <c r="A240" s="271"/>
      <c r="B240" s="156"/>
      <c r="C240" s="156"/>
      <c r="D240" s="156"/>
      <c r="E240" s="156"/>
      <c r="F240" s="156"/>
      <c r="G240" s="156"/>
      <c r="H240" s="156"/>
      <c r="I240" s="156"/>
      <c r="J240" s="156"/>
      <c r="K240" s="156"/>
      <c r="L240" s="156"/>
      <c r="M240" s="156"/>
      <c r="N240" s="156"/>
      <c r="O240" s="156"/>
      <c r="P240" s="156"/>
      <c r="Q240" s="156"/>
      <c r="R240" s="156"/>
      <c r="S240" s="156"/>
      <c r="T240" s="156"/>
      <c r="U240" s="51"/>
      <c r="V240" s="374"/>
      <c r="W240" s="374"/>
      <c r="X240" s="143"/>
      <c r="Y240" s="360"/>
      <c r="Z240" s="360"/>
      <c r="AA240" s="65"/>
      <c r="AB240" s="65"/>
    </row>
    <row r="241" spans="1:28" ht="18" x14ac:dyDescent="0.25">
      <c r="A241" s="271"/>
      <c r="B241" s="156"/>
      <c r="C241" s="156"/>
      <c r="D241" s="156"/>
      <c r="E241" s="156"/>
      <c r="F241" s="156"/>
      <c r="G241" s="156"/>
      <c r="H241" s="156"/>
      <c r="I241" s="156"/>
      <c r="J241" s="156"/>
      <c r="K241" s="156"/>
      <c r="L241" s="156"/>
      <c r="M241" s="156"/>
      <c r="N241" s="156"/>
      <c r="O241" s="156"/>
      <c r="P241" s="156"/>
      <c r="Q241" s="156"/>
      <c r="R241" s="156"/>
      <c r="S241" s="156"/>
      <c r="T241" s="156"/>
      <c r="U241" s="51"/>
      <c r="V241" s="374"/>
      <c r="W241" s="374"/>
      <c r="X241" s="143"/>
      <c r="Y241" s="360"/>
      <c r="Z241" s="360"/>
      <c r="AA241" s="65"/>
      <c r="AB241" s="65"/>
    </row>
    <row r="242" spans="1:28" ht="18" x14ac:dyDescent="0.25">
      <c r="A242" s="271"/>
      <c r="B242" s="156"/>
      <c r="C242" s="156"/>
      <c r="D242" s="156"/>
      <c r="E242" s="156"/>
      <c r="F242" s="156"/>
      <c r="G242" s="156"/>
      <c r="H242" s="156"/>
      <c r="I242" s="156"/>
      <c r="J242" s="156"/>
      <c r="K242" s="156"/>
      <c r="L242" s="156"/>
      <c r="M242" s="156"/>
      <c r="N242" s="156"/>
      <c r="O242" s="156"/>
      <c r="P242" s="156"/>
      <c r="Q242" s="156"/>
      <c r="R242" s="156"/>
      <c r="S242" s="156"/>
      <c r="T242" s="156"/>
      <c r="U242" s="51"/>
      <c r="V242" s="374"/>
      <c r="W242" s="374"/>
      <c r="X242" s="143"/>
      <c r="Y242" s="360"/>
      <c r="Z242" s="360"/>
      <c r="AA242" s="65"/>
      <c r="AB242" s="65"/>
    </row>
    <row r="243" spans="1:28" ht="18" x14ac:dyDescent="0.25">
      <c r="A243" s="271"/>
      <c r="B243" s="156"/>
      <c r="C243" s="156"/>
      <c r="D243" s="156"/>
      <c r="E243" s="156"/>
      <c r="F243" s="156"/>
      <c r="G243" s="156"/>
      <c r="H243" s="156"/>
      <c r="I243" s="156"/>
      <c r="J243" s="156"/>
      <c r="K243" s="156"/>
      <c r="L243" s="156"/>
      <c r="M243" s="156"/>
      <c r="N243" s="156"/>
      <c r="O243" s="156"/>
      <c r="P243" s="156"/>
      <c r="Q243" s="156"/>
      <c r="R243" s="156"/>
      <c r="S243" s="156"/>
      <c r="T243" s="156"/>
      <c r="U243" s="51"/>
      <c r="V243" s="374"/>
      <c r="W243" s="374"/>
      <c r="X243" s="143"/>
      <c r="Y243" s="360"/>
      <c r="Z243" s="360"/>
      <c r="AA243" s="65"/>
      <c r="AB243" s="65"/>
    </row>
    <row r="244" spans="1:28" ht="18" x14ac:dyDescent="0.25">
      <c r="A244" s="271"/>
      <c r="B244" s="156"/>
      <c r="C244" s="156"/>
      <c r="D244" s="156"/>
      <c r="E244" s="156"/>
      <c r="F244" s="156"/>
      <c r="G244" s="156"/>
      <c r="H244" s="156"/>
      <c r="I244" s="156"/>
      <c r="J244" s="156"/>
      <c r="K244" s="156"/>
      <c r="L244" s="156"/>
      <c r="M244" s="156"/>
      <c r="N244" s="156"/>
      <c r="O244" s="156"/>
      <c r="P244" s="156"/>
      <c r="Q244" s="156"/>
      <c r="R244" s="156"/>
      <c r="S244" s="156"/>
      <c r="T244" s="156"/>
      <c r="U244" s="51"/>
      <c r="V244" s="374"/>
      <c r="W244" s="374"/>
      <c r="X244" s="143"/>
      <c r="Y244" s="360"/>
      <c r="Z244" s="360"/>
      <c r="AA244" s="65"/>
      <c r="AB244" s="65"/>
    </row>
    <row r="245" spans="1:28" ht="18" x14ac:dyDescent="0.25">
      <c r="A245" s="271"/>
      <c r="B245" s="156"/>
      <c r="C245" s="156"/>
      <c r="D245" s="156"/>
      <c r="E245" s="156"/>
      <c r="F245" s="156"/>
      <c r="G245" s="156"/>
      <c r="H245" s="156"/>
      <c r="I245" s="156"/>
      <c r="J245" s="156"/>
      <c r="K245" s="156"/>
      <c r="L245" s="156"/>
      <c r="M245" s="156"/>
      <c r="N245" s="156"/>
      <c r="O245" s="156"/>
      <c r="P245" s="156"/>
      <c r="Q245" s="156"/>
      <c r="R245" s="156"/>
      <c r="S245" s="156"/>
      <c r="T245" s="156"/>
      <c r="U245" s="51"/>
      <c r="V245" s="374"/>
      <c r="W245" s="374"/>
      <c r="X245" s="143"/>
      <c r="Y245" s="360"/>
      <c r="Z245" s="360"/>
      <c r="AA245" s="65"/>
      <c r="AB245" s="65"/>
    </row>
    <row r="246" spans="1:28" ht="18" x14ac:dyDescent="0.25">
      <c r="A246" s="271"/>
      <c r="B246" s="156"/>
      <c r="C246" s="156"/>
      <c r="D246" s="156"/>
      <c r="E246" s="156"/>
      <c r="F246" s="156"/>
      <c r="G246" s="156"/>
      <c r="H246" s="156"/>
      <c r="I246" s="156"/>
      <c r="J246" s="156"/>
      <c r="K246" s="156"/>
      <c r="L246" s="156"/>
      <c r="M246" s="156"/>
      <c r="N246" s="156"/>
      <c r="O246" s="156"/>
      <c r="P246" s="156"/>
      <c r="Q246" s="156"/>
      <c r="R246" s="156"/>
      <c r="S246" s="156"/>
      <c r="T246" s="156"/>
      <c r="U246" s="51"/>
      <c r="V246" s="374"/>
      <c r="W246" s="374"/>
      <c r="X246" s="143"/>
      <c r="Y246" s="360"/>
      <c r="Z246" s="360"/>
      <c r="AA246" s="65"/>
      <c r="AB246" s="65"/>
    </row>
    <row r="247" spans="1:28" ht="18" x14ac:dyDescent="0.25">
      <c r="A247" s="271"/>
      <c r="B247" s="156"/>
      <c r="C247" s="156"/>
      <c r="D247" s="156"/>
      <c r="E247" s="156"/>
      <c r="F247" s="156"/>
      <c r="G247" s="156"/>
      <c r="H247" s="156"/>
      <c r="I247" s="156"/>
      <c r="J247" s="156"/>
      <c r="K247" s="156"/>
      <c r="L247" s="156"/>
      <c r="M247" s="156"/>
      <c r="N247" s="156"/>
      <c r="O247" s="156"/>
      <c r="P247" s="156"/>
      <c r="Q247" s="156"/>
      <c r="R247" s="156"/>
      <c r="S247" s="156"/>
      <c r="T247" s="156"/>
      <c r="U247" s="51"/>
      <c r="V247" s="374"/>
      <c r="W247" s="374"/>
      <c r="X247" s="143"/>
      <c r="Y247" s="360"/>
      <c r="Z247" s="360"/>
      <c r="AA247" s="65"/>
      <c r="AB247" s="65"/>
    </row>
    <row r="248" spans="1:28" ht="18" x14ac:dyDescent="0.25">
      <c r="A248" s="271"/>
      <c r="B248" s="156"/>
      <c r="C248" s="156"/>
      <c r="D248" s="156"/>
      <c r="E248" s="156"/>
      <c r="F248" s="156"/>
      <c r="G248" s="156"/>
      <c r="H248" s="156"/>
      <c r="I248" s="156"/>
      <c r="J248" s="156"/>
      <c r="K248" s="156"/>
      <c r="L248" s="156"/>
      <c r="M248" s="156"/>
      <c r="N248" s="156"/>
      <c r="O248" s="156"/>
      <c r="P248" s="156"/>
      <c r="Q248" s="156"/>
      <c r="R248" s="156"/>
      <c r="S248" s="156"/>
      <c r="T248" s="156"/>
      <c r="U248" s="51"/>
      <c r="V248" s="374"/>
      <c r="W248" s="374"/>
      <c r="X248" s="143"/>
      <c r="Y248" s="360"/>
      <c r="Z248" s="360"/>
      <c r="AA248" s="65"/>
      <c r="AB248" s="65"/>
    </row>
    <row r="249" spans="1:28" ht="18" x14ac:dyDescent="0.25">
      <c r="A249" s="271"/>
      <c r="B249" s="156"/>
      <c r="C249" s="156"/>
      <c r="D249" s="156"/>
      <c r="E249" s="156"/>
      <c r="F249" s="156"/>
      <c r="G249" s="156"/>
      <c r="H249" s="156"/>
      <c r="I249" s="156"/>
      <c r="J249" s="156"/>
      <c r="K249" s="156"/>
      <c r="L249" s="156"/>
      <c r="M249" s="156"/>
      <c r="N249" s="156"/>
      <c r="O249" s="156"/>
      <c r="P249" s="156"/>
      <c r="Q249" s="156"/>
      <c r="R249" s="156"/>
      <c r="S249" s="156"/>
      <c r="T249" s="156"/>
      <c r="U249" s="51"/>
      <c r="V249" s="374"/>
      <c r="W249" s="374"/>
      <c r="X249" s="143"/>
      <c r="Y249" s="360"/>
      <c r="Z249" s="360"/>
      <c r="AA249" s="65"/>
      <c r="AB249" s="65"/>
    </row>
    <row r="250" spans="1:28" ht="18" x14ac:dyDescent="0.25">
      <c r="A250" s="271"/>
      <c r="B250" s="156"/>
      <c r="C250" s="156"/>
      <c r="D250" s="156"/>
      <c r="E250" s="156"/>
      <c r="F250" s="156"/>
      <c r="G250" s="156"/>
      <c r="H250" s="156"/>
      <c r="I250" s="156"/>
      <c r="J250" s="156"/>
      <c r="K250" s="156"/>
      <c r="L250" s="156"/>
      <c r="M250" s="156"/>
      <c r="N250" s="156"/>
      <c r="O250" s="156"/>
      <c r="P250" s="156"/>
      <c r="Q250" s="156"/>
      <c r="R250" s="156"/>
      <c r="S250" s="156"/>
      <c r="T250" s="156"/>
      <c r="U250" s="51"/>
      <c r="V250" s="374"/>
      <c r="W250" s="374"/>
      <c r="X250" s="143"/>
      <c r="Y250" s="360"/>
      <c r="Z250" s="360"/>
      <c r="AA250" s="65"/>
      <c r="AB250" s="65"/>
    </row>
    <row r="251" spans="1:28" ht="18" x14ac:dyDescent="0.25">
      <c r="A251" s="271"/>
      <c r="B251" s="156"/>
      <c r="C251" s="156"/>
      <c r="D251" s="156"/>
      <c r="E251" s="156"/>
      <c r="F251" s="156"/>
      <c r="G251" s="156"/>
      <c r="H251" s="156"/>
      <c r="I251" s="156"/>
      <c r="J251" s="156"/>
      <c r="K251" s="156"/>
      <c r="L251" s="156"/>
      <c r="M251" s="156"/>
      <c r="N251" s="156"/>
      <c r="O251" s="156"/>
      <c r="P251" s="156"/>
      <c r="Q251" s="156"/>
      <c r="R251" s="156"/>
      <c r="S251" s="156"/>
      <c r="T251" s="156"/>
      <c r="U251" s="51"/>
      <c r="V251" s="374"/>
      <c r="W251" s="374"/>
      <c r="X251" s="143"/>
      <c r="Y251" s="360"/>
      <c r="Z251" s="360"/>
      <c r="AA251" s="65"/>
      <c r="AB251" s="65"/>
    </row>
    <row r="252" spans="1:28" ht="18" x14ac:dyDescent="0.25">
      <c r="A252" s="271"/>
      <c r="B252" s="156"/>
      <c r="C252" s="156"/>
      <c r="D252" s="156"/>
      <c r="E252" s="156"/>
      <c r="F252" s="156"/>
      <c r="G252" s="156"/>
      <c r="H252" s="156"/>
      <c r="I252" s="156"/>
      <c r="J252" s="156"/>
      <c r="K252" s="156"/>
      <c r="L252" s="156"/>
      <c r="M252" s="156"/>
      <c r="N252" s="156"/>
      <c r="O252" s="156"/>
      <c r="P252" s="156"/>
      <c r="Q252" s="156"/>
      <c r="R252" s="156"/>
      <c r="S252" s="156"/>
      <c r="T252" s="156"/>
      <c r="U252" s="51"/>
      <c r="V252" s="374"/>
      <c r="W252" s="374"/>
      <c r="X252" s="143"/>
      <c r="Y252" s="360"/>
      <c r="Z252" s="360"/>
      <c r="AA252" s="65"/>
      <c r="AB252" s="65"/>
    </row>
    <row r="253" spans="1:28" ht="18" x14ac:dyDescent="0.25">
      <c r="A253" s="271"/>
      <c r="B253" s="156"/>
      <c r="C253" s="156"/>
      <c r="D253" s="156"/>
      <c r="E253" s="156"/>
      <c r="F253" s="156"/>
      <c r="G253" s="156"/>
      <c r="H253" s="156"/>
      <c r="I253" s="156"/>
      <c r="J253" s="156"/>
      <c r="K253" s="156"/>
      <c r="L253" s="156"/>
      <c r="M253" s="156"/>
      <c r="N253" s="156"/>
      <c r="O253" s="156"/>
      <c r="P253" s="156"/>
      <c r="Q253" s="156"/>
      <c r="R253" s="156"/>
      <c r="S253" s="156"/>
      <c r="T253" s="156"/>
      <c r="U253" s="51"/>
      <c r="V253" s="374"/>
      <c r="W253" s="374"/>
      <c r="X253" s="143"/>
      <c r="Y253" s="360"/>
      <c r="Z253" s="360"/>
      <c r="AA253" s="65"/>
      <c r="AB253" s="65"/>
    </row>
    <row r="254" spans="1:28" ht="18" x14ac:dyDescent="0.25">
      <c r="A254" s="271"/>
      <c r="B254" s="156"/>
      <c r="C254" s="156"/>
      <c r="D254" s="156"/>
      <c r="E254" s="156"/>
      <c r="F254" s="156"/>
      <c r="G254" s="156"/>
      <c r="H254" s="156"/>
      <c r="I254" s="156"/>
      <c r="J254" s="156"/>
      <c r="K254" s="156"/>
      <c r="L254" s="156"/>
      <c r="M254" s="156"/>
      <c r="N254" s="156"/>
      <c r="O254" s="156"/>
      <c r="P254" s="156"/>
      <c r="Q254" s="156"/>
      <c r="R254" s="156"/>
      <c r="S254" s="156"/>
      <c r="T254" s="156"/>
      <c r="U254" s="51"/>
      <c r="V254" s="374"/>
      <c r="W254" s="374"/>
      <c r="X254" s="143"/>
      <c r="Y254" s="360"/>
      <c r="Z254" s="360"/>
      <c r="AA254" s="65"/>
      <c r="AB254" s="65"/>
    </row>
    <row r="255" spans="1:28" ht="18" x14ac:dyDescent="0.25">
      <c r="A255" s="271"/>
      <c r="B255" s="156"/>
      <c r="C255" s="156"/>
      <c r="D255" s="156"/>
      <c r="E255" s="156"/>
      <c r="F255" s="156"/>
      <c r="G255" s="156"/>
      <c r="H255" s="156"/>
      <c r="I255" s="156"/>
      <c r="J255" s="156"/>
      <c r="K255" s="156"/>
      <c r="L255" s="156"/>
      <c r="M255" s="156"/>
      <c r="N255" s="156"/>
      <c r="O255" s="156"/>
      <c r="P255" s="156"/>
      <c r="Q255" s="156"/>
      <c r="R255" s="156"/>
      <c r="S255" s="156"/>
      <c r="T255" s="156"/>
      <c r="U255" s="51"/>
      <c r="V255" s="374"/>
      <c r="W255" s="374"/>
      <c r="X255" s="143"/>
      <c r="Y255" s="360"/>
      <c r="Z255" s="360"/>
      <c r="AA255" s="65"/>
      <c r="AB255" s="65"/>
    </row>
    <row r="256" spans="1:28" ht="18" x14ac:dyDescent="0.25">
      <c r="A256" s="271"/>
      <c r="B256" s="156"/>
      <c r="C256" s="156"/>
      <c r="D256" s="156"/>
      <c r="E256" s="156"/>
      <c r="F256" s="156"/>
      <c r="G256" s="156"/>
      <c r="H256" s="156"/>
      <c r="I256" s="156"/>
      <c r="J256" s="156"/>
      <c r="K256" s="156"/>
      <c r="L256" s="156"/>
      <c r="M256" s="156"/>
      <c r="N256" s="156"/>
      <c r="O256" s="156"/>
      <c r="P256" s="156"/>
      <c r="Q256" s="156"/>
      <c r="R256" s="156"/>
      <c r="S256" s="156"/>
      <c r="T256" s="156"/>
      <c r="U256" s="51"/>
      <c r="V256" s="374"/>
      <c r="W256" s="374"/>
      <c r="X256" s="143"/>
      <c r="Y256" s="360"/>
      <c r="Z256" s="360"/>
      <c r="AA256" s="65"/>
      <c r="AB256" s="65"/>
    </row>
    <row r="257" spans="1:28" ht="18" x14ac:dyDescent="0.25">
      <c r="A257" s="271"/>
      <c r="B257" s="156"/>
      <c r="C257" s="156"/>
      <c r="D257" s="156"/>
      <c r="E257" s="156"/>
      <c r="F257" s="156"/>
      <c r="G257" s="156"/>
      <c r="H257" s="156"/>
      <c r="I257" s="156"/>
      <c r="J257" s="156"/>
      <c r="K257" s="156"/>
      <c r="L257" s="156"/>
      <c r="M257" s="156"/>
      <c r="N257" s="156"/>
      <c r="O257" s="156"/>
      <c r="P257" s="156"/>
      <c r="Q257" s="156"/>
      <c r="R257" s="156"/>
      <c r="S257" s="156"/>
      <c r="T257" s="156"/>
      <c r="U257" s="51"/>
      <c r="V257" s="374"/>
      <c r="W257" s="374"/>
      <c r="X257" s="143"/>
      <c r="Y257" s="360"/>
      <c r="Z257" s="360"/>
      <c r="AA257" s="65"/>
      <c r="AB257" s="65"/>
    </row>
    <row r="258" spans="1:28" ht="18" x14ac:dyDescent="0.25">
      <c r="A258" s="271"/>
      <c r="B258" s="156"/>
      <c r="C258" s="156"/>
      <c r="D258" s="156"/>
      <c r="E258" s="156"/>
      <c r="F258" s="156"/>
      <c r="G258" s="156"/>
      <c r="H258" s="156"/>
      <c r="I258" s="156"/>
      <c r="J258" s="156"/>
      <c r="K258" s="156"/>
      <c r="L258" s="156"/>
      <c r="M258" s="156"/>
      <c r="N258" s="156"/>
      <c r="O258" s="156"/>
      <c r="P258" s="156"/>
      <c r="Q258" s="156"/>
      <c r="R258" s="156"/>
      <c r="S258" s="156"/>
      <c r="T258" s="156"/>
      <c r="U258" s="51"/>
      <c r="V258" s="374"/>
      <c r="W258" s="374"/>
      <c r="X258" s="143"/>
      <c r="Y258" s="360"/>
      <c r="Z258" s="360"/>
      <c r="AA258" s="65"/>
      <c r="AB258" s="65"/>
    </row>
    <row r="259" spans="1:28" ht="18" x14ac:dyDescent="0.25">
      <c r="A259" s="271"/>
      <c r="B259" s="156"/>
      <c r="C259" s="156"/>
      <c r="D259" s="156"/>
      <c r="E259" s="156"/>
      <c r="F259" s="156"/>
      <c r="G259" s="156"/>
      <c r="H259" s="156"/>
      <c r="I259" s="156"/>
      <c r="J259" s="156"/>
      <c r="K259" s="156"/>
      <c r="L259" s="156"/>
      <c r="M259" s="156"/>
      <c r="N259" s="156"/>
      <c r="O259" s="156"/>
      <c r="P259" s="156"/>
      <c r="Q259" s="156"/>
      <c r="R259" s="156"/>
      <c r="S259" s="156"/>
      <c r="T259" s="156"/>
      <c r="U259" s="51"/>
      <c r="V259" s="374"/>
      <c r="W259" s="374"/>
      <c r="X259" s="143"/>
      <c r="Y259" s="360"/>
      <c r="Z259" s="360"/>
      <c r="AA259" s="65"/>
      <c r="AB259" s="65"/>
    </row>
    <row r="260" spans="1:28" ht="18" x14ac:dyDescent="0.25">
      <c r="A260" s="271"/>
      <c r="B260" s="156"/>
      <c r="C260" s="156"/>
      <c r="D260" s="156"/>
      <c r="E260" s="156"/>
      <c r="F260" s="156"/>
      <c r="G260" s="156"/>
      <c r="H260" s="156"/>
      <c r="I260" s="156"/>
      <c r="J260" s="156"/>
      <c r="K260" s="156"/>
      <c r="L260" s="156"/>
      <c r="M260" s="156"/>
      <c r="N260" s="156"/>
      <c r="O260" s="156"/>
      <c r="P260" s="156"/>
      <c r="Q260" s="156"/>
      <c r="R260" s="156"/>
      <c r="S260" s="156"/>
      <c r="T260" s="156"/>
      <c r="U260" s="51"/>
      <c r="V260" s="374"/>
      <c r="W260" s="374"/>
      <c r="X260" s="143"/>
      <c r="Y260" s="360"/>
      <c r="Z260" s="360"/>
      <c r="AA260" s="65"/>
      <c r="AB260" s="65"/>
    </row>
    <row r="261" spans="1:28" ht="18" x14ac:dyDescent="0.25">
      <c r="A261" s="271"/>
      <c r="B261" s="156"/>
      <c r="C261" s="156"/>
      <c r="D261" s="156"/>
      <c r="E261" s="156"/>
      <c r="F261" s="156"/>
      <c r="G261" s="156"/>
      <c r="H261" s="156"/>
      <c r="I261" s="156"/>
      <c r="J261" s="156"/>
      <c r="K261" s="156"/>
      <c r="L261" s="156"/>
      <c r="M261" s="156"/>
      <c r="N261" s="156"/>
      <c r="O261" s="156"/>
      <c r="P261" s="156"/>
      <c r="Q261" s="156"/>
      <c r="R261" s="156"/>
      <c r="S261" s="156"/>
      <c r="T261" s="156"/>
      <c r="U261" s="51"/>
      <c r="V261" s="374"/>
      <c r="W261" s="374"/>
      <c r="X261" s="143"/>
      <c r="Y261" s="360"/>
      <c r="Z261" s="360"/>
      <c r="AA261" s="65"/>
      <c r="AB261" s="65"/>
    </row>
    <row r="262" spans="1:28" ht="18" x14ac:dyDescent="0.25">
      <c r="A262" s="271"/>
      <c r="B262" s="156"/>
      <c r="C262" s="156"/>
      <c r="D262" s="156"/>
      <c r="E262" s="156"/>
      <c r="F262" s="156"/>
      <c r="G262" s="156"/>
      <c r="H262" s="156"/>
      <c r="I262" s="156"/>
      <c r="J262" s="156"/>
      <c r="K262" s="156"/>
      <c r="L262" s="156"/>
      <c r="M262" s="156"/>
      <c r="N262" s="156"/>
      <c r="O262" s="156"/>
      <c r="P262" s="156"/>
      <c r="Q262" s="156"/>
      <c r="R262" s="156"/>
      <c r="S262" s="156"/>
      <c r="T262" s="156"/>
      <c r="U262" s="51"/>
      <c r="V262" s="374"/>
      <c r="W262" s="374"/>
      <c r="X262" s="143"/>
      <c r="Y262" s="360"/>
      <c r="Z262" s="360"/>
      <c r="AA262" s="65"/>
      <c r="AB262" s="65"/>
    </row>
    <row r="263" spans="1:28" ht="18" x14ac:dyDescent="0.25">
      <c r="A263" s="271"/>
      <c r="B263" s="156"/>
      <c r="C263" s="156"/>
      <c r="D263" s="156"/>
      <c r="E263" s="156"/>
      <c r="F263" s="156"/>
      <c r="G263" s="156"/>
      <c r="H263" s="156"/>
      <c r="I263" s="156"/>
      <c r="J263" s="156"/>
      <c r="K263" s="156"/>
      <c r="L263" s="156"/>
      <c r="M263" s="156"/>
      <c r="N263" s="156"/>
      <c r="O263" s="156"/>
      <c r="P263" s="156"/>
      <c r="Q263" s="156"/>
      <c r="R263" s="156"/>
      <c r="S263" s="156"/>
      <c r="T263" s="156"/>
      <c r="U263" s="51"/>
      <c r="V263" s="374"/>
      <c r="W263" s="374"/>
      <c r="X263" s="143"/>
      <c r="Y263" s="360"/>
      <c r="Z263" s="360"/>
      <c r="AA263" s="65"/>
      <c r="AB263" s="65"/>
    </row>
    <row r="264" spans="1:28" ht="18" x14ac:dyDescent="0.25">
      <c r="A264" s="271"/>
      <c r="B264" s="156"/>
      <c r="C264" s="156"/>
      <c r="D264" s="156"/>
      <c r="E264" s="156"/>
      <c r="F264" s="156"/>
      <c r="G264" s="156"/>
      <c r="H264" s="156"/>
      <c r="I264" s="156"/>
      <c r="J264" s="156"/>
      <c r="K264" s="156"/>
      <c r="L264" s="156"/>
      <c r="M264" s="156"/>
      <c r="N264" s="156"/>
      <c r="O264" s="156"/>
      <c r="P264" s="156"/>
      <c r="Q264" s="156"/>
      <c r="R264" s="156"/>
      <c r="S264" s="156"/>
      <c r="T264" s="156"/>
      <c r="U264" s="51"/>
      <c r="V264" s="374"/>
      <c r="W264" s="374"/>
      <c r="X264" s="143"/>
      <c r="Y264" s="360"/>
      <c r="Z264" s="360"/>
      <c r="AA264" s="65"/>
      <c r="AB264" s="65"/>
    </row>
    <row r="265" spans="1:28" ht="18" x14ac:dyDescent="0.25">
      <c r="A265" s="271"/>
      <c r="B265" s="156"/>
      <c r="C265" s="156"/>
      <c r="D265" s="156"/>
      <c r="E265" s="156"/>
      <c r="F265" s="156"/>
      <c r="G265" s="156"/>
      <c r="H265" s="156"/>
      <c r="I265" s="156"/>
      <c r="J265" s="156"/>
      <c r="K265" s="156"/>
      <c r="L265" s="156"/>
      <c r="M265" s="156"/>
      <c r="N265" s="156"/>
      <c r="O265" s="156"/>
      <c r="P265" s="156"/>
      <c r="Q265" s="156"/>
      <c r="R265" s="156"/>
      <c r="S265" s="156"/>
      <c r="T265" s="156"/>
      <c r="U265" s="51"/>
      <c r="V265" s="374"/>
      <c r="W265" s="374"/>
      <c r="X265" s="143"/>
      <c r="Y265" s="360"/>
      <c r="Z265" s="360"/>
      <c r="AA265" s="65"/>
      <c r="AB265" s="65"/>
    </row>
    <row r="266" spans="1:28" ht="18" x14ac:dyDescent="0.25">
      <c r="A266" s="271"/>
      <c r="B266" s="156"/>
      <c r="C266" s="156"/>
      <c r="D266" s="156"/>
      <c r="E266" s="156"/>
      <c r="F266" s="156"/>
      <c r="G266" s="156"/>
      <c r="H266" s="156"/>
      <c r="I266" s="156"/>
      <c r="J266" s="156"/>
      <c r="K266" s="156"/>
      <c r="L266" s="156"/>
      <c r="M266" s="156"/>
      <c r="N266" s="156"/>
      <c r="O266" s="156"/>
      <c r="P266" s="156"/>
      <c r="Q266" s="156"/>
      <c r="R266" s="156"/>
      <c r="S266" s="156"/>
      <c r="T266" s="156"/>
      <c r="U266" s="51"/>
      <c r="V266" s="374"/>
      <c r="W266" s="374"/>
      <c r="X266" s="143"/>
      <c r="Y266" s="360"/>
      <c r="Z266" s="360"/>
      <c r="AA266" s="65"/>
      <c r="AB266" s="65"/>
    </row>
    <row r="267" spans="1:28" ht="18" x14ac:dyDescent="0.25">
      <c r="A267" s="271"/>
      <c r="B267" s="156"/>
      <c r="C267" s="156"/>
      <c r="D267" s="156"/>
      <c r="E267" s="156"/>
      <c r="F267" s="156"/>
      <c r="G267" s="156"/>
      <c r="H267" s="156"/>
      <c r="I267" s="156"/>
      <c r="J267" s="156"/>
      <c r="K267" s="156"/>
      <c r="L267" s="156"/>
      <c r="M267" s="156"/>
      <c r="N267" s="156"/>
      <c r="O267" s="156"/>
      <c r="P267" s="156"/>
      <c r="Q267" s="156"/>
      <c r="R267" s="156"/>
      <c r="S267" s="156"/>
      <c r="T267" s="156"/>
      <c r="U267" s="51"/>
      <c r="V267" s="374"/>
      <c r="W267" s="374"/>
      <c r="X267" s="143"/>
      <c r="Y267" s="360"/>
      <c r="Z267" s="360"/>
      <c r="AA267" s="65"/>
      <c r="AB267" s="65"/>
    </row>
    <row r="268" spans="1:28" ht="18" x14ac:dyDescent="0.25">
      <c r="A268" s="271"/>
      <c r="B268" s="156"/>
      <c r="C268" s="156"/>
      <c r="D268" s="156"/>
      <c r="E268" s="156"/>
      <c r="F268" s="156"/>
      <c r="G268" s="156"/>
      <c r="H268" s="156"/>
      <c r="I268" s="156"/>
      <c r="J268" s="156"/>
      <c r="K268" s="156"/>
      <c r="L268" s="156"/>
      <c r="M268" s="156"/>
      <c r="N268" s="156"/>
      <c r="O268" s="156"/>
      <c r="P268" s="156"/>
      <c r="Q268" s="156"/>
      <c r="R268" s="156"/>
      <c r="S268" s="156"/>
      <c r="T268" s="156"/>
      <c r="U268" s="51"/>
      <c r="V268" s="374"/>
      <c r="W268" s="374"/>
      <c r="X268" s="143"/>
      <c r="Y268" s="360"/>
      <c r="Z268" s="360"/>
      <c r="AA268" s="65"/>
      <c r="AB268" s="65"/>
    </row>
    <row r="269" spans="1:28" ht="18" x14ac:dyDescent="0.25">
      <c r="A269" s="271"/>
      <c r="B269" s="156"/>
      <c r="C269" s="156"/>
      <c r="D269" s="156"/>
      <c r="E269" s="156"/>
      <c r="F269" s="156"/>
      <c r="G269" s="156"/>
      <c r="H269" s="156"/>
      <c r="I269" s="156"/>
      <c r="J269" s="156"/>
      <c r="K269" s="156"/>
      <c r="L269" s="156"/>
      <c r="M269" s="156"/>
      <c r="N269" s="156"/>
      <c r="O269" s="156"/>
      <c r="P269" s="156"/>
      <c r="Q269" s="156"/>
      <c r="R269" s="156"/>
      <c r="S269" s="156"/>
      <c r="T269" s="156"/>
      <c r="U269" s="51"/>
      <c r="V269" s="374"/>
      <c r="W269" s="374"/>
      <c r="X269" s="143"/>
      <c r="Y269" s="360"/>
      <c r="Z269" s="360"/>
      <c r="AA269" s="65"/>
      <c r="AB269" s="65"/>
    </row>
    <row r="270" spans="1:28" ht="18" x14ac:dyDescent="0.25">
      <c r="A270" s="271"/>
      <c r="B270" s="156"/>
      <c r="C270" s="156"/>
      <c r="D270" s="156"/>
      <c r="E270" s="156"/>
      <c r="F270" s="156"/>
      <c r="G270" s="156"/>
      <c r="H270" s="156"/>
      <c r="I270" s="156"/>
      <c r="J270" s="156"/>
      <c r="K270" s="156"/>
      <c r="L270" s="156"/>
      <c r="M270" s="156"/>
      <c r="N270" s="156"/>
      <c r="O270" s="156"/>
      <c r="P270" s="156"/>
      <c r="Q270" s="156"/>
      <c r="R270" s="156"/>
      <c r="S270" s="156"/>
      <c r="T270" s="156"/>
      <c r="U270" s="51"/>
      <c r="V270" s="374"/>
      <c r="W270" s="374"/>
      <c r="X270" s="143"/>
      <c r="Y270" s="360"/>
      <c r="Z270" s="360"/>
      <c r="AA270" s="65"/>
      <c r="AB270" s="65"/>
    </row>
    <row r="271" spans="1:28" ht="18" x14ac:dyDescent="0.25">
      <c r="A271" s="271"/>
      <c r="B271" s="156"/>
      <c r="C271" s="156"/>
      <c r="D271" s="156"/>
      <c r="E271" s="156"/>
      <c r="F271" s="156"/>
      <c r="G271" s="156"/>
      <c r="H271" s="156"/>
      <c r="I271" s="156"/>
      <c r="J271" s="156"/>
      <c r="K271" s="156"/>
      <c r="L271" s="156"/>
      <c r="M271" s="156"/>
      <c r="N271" s="156"/>
      <c r="O271" s="156"/>
      <c r="P271" s="156"/>
      <c r="Q271" s="156"/>
      <c r="R271" s="156"/>
      <c r="S271" s="156"/>
      <c r="T271" s="156"/>
      <c r="U271" s="51"/>
      <c r="V271" s="374"/>
      <c r="W271" s="374"/>
      <c r="X271" s="143"/>
      <c r="Y271" s="360"/>
      <c r="Z271" s="360"/>
      <c r="AA271" s="65"/>
      <c r="AB271" s="65"/>
    </row>
    <row r="272" spans="1:28" ht="18" x14ac:dyDescent="0.25">
      <c r="A272" s="271"/>
      <c r="B272" s="156"/>
      <c r="C272" s="156"/>
      <c r="D272" s="156"/>
      <c r="E272" s="156"/>
      <c r="F272" s="156"/>
      <c r="G272" s="156"/>
      <c r="H272" s="156"/>
      <c r="I272" s="156"/>
      <c r="J272" s="156"/>
      <c r="K272" s="156"/>
      <c r="L272" s="156"/>
      <c r="M272" s="156"/>
      <c r="N272" s="156"/>
      <c r="O272" s="156"/>
      <c r="P272" s="156"/>
      <c r="Q272" s="156"/>
      <c r="R272" s="156"/>
      <c r="S272" s="156"/>
      <c r="T272" s="156"/>
      <c r="U272" s="51"/>
      <c r="V272" s="374"/>
      <c r="W272" s="374"/>
      <c r="X272" s="143"/>
      <c r="Y272" s="360"/>
      <c r="Z272" s="360"/>
      <c r="AA272" s="65"/>
      <c r="AB272" s="65"/>
    </row>
    <row r="273" spans="1:28" ht="18" x14ac:dyDescent="0.25">
      <c r="A273" s="271"/>
      <c r="B273" s="156"/>
      <c r="C273" s="156"/>
      <c r="D273" s="156"/>
      <c r="E273" s="156"/>
      <c r="F273" s="156"/>
      <c r="G273" s="156"/>
      <c r="H273" s="156"/>
      <c r="I273" s="156"/>
      <c r="J273" s="156"/>
      <c r="K273" s="156"/>
      <c r="L273" s="156"/>
      <c r="M273" s="156"/>
      <c r="N273" s="156"/>
      <c r="O273" s="156"/>
      <c r="P273" s="156"/>
      <c r="Q273" s="156"/>
      <c r="R273" s="156"/>
      <c r="S273" s="156"/>
      <c r="T273" s="156"/>
      <c r="U273" s="51"/>
      <c r="V273" s="374"/>
      <c r="W273" s="374"/>
      <c r="X273" s="143"/>
      <c r="Y273" s="360"/>
      <c r="Z273" s="360"/>
      <c r="AA273" s="65"/>
      <c r="AB273" s="65"/>
    </row>
    <row r="274" spans="1:28" ht="18" x14ac:dyDescent="0.25">
      <c r="A274" s="271"/>
      <c r="B274" s="156"/>
      <c r="C274" s="156"/>
      <c r="D274" s="156"/>
      <c r="E274" s="156"/>
      <c r="F274" s="156"/>
      <c r="G274" s="156"/>
      <c r="H274" s="156"/>
      <c r="I274" s="156"/>
      <c r="J274" s="156"/>
      <c r="K274" s="156"/>
      <c r="L274" s="156"/>
      <c r="M274" s="156"/>
      <c r="N274" s="156"/>
      <c r="O274" s="156"/>
      <c r="P274" s="156"/>
      <c r="Q274" s="156"/>
      <c r="R274" s="156"/>
      <c r="S274" s="156"/>
      <c r="T274" s="156"/>
      <c r="U274" s="51"/>
      <c r="V274" s="374"/>
      <c r="W274" s="374"/>
      <c r="X274" s="143"/>
      <c r="Y274" s="360"/>
      <c r="Z274" s="360"/>
      <c r="AA274" s="65"/>
      <c r="AB274" s="65"/>
    </row>
    <row r="275" spans="1:28" ht="18" x14ac:dyDescent="0.25">
      <c r="A275" s="271"/>
      <c r="B275" s="156"/>
      <c r="C275" s="156"/>
      <c r="D275" s="156"/>
      <c r="E275" s="156"/>
      <c r="F275" s="156"/>
      <c r="G275" s="156"/>
      <c r="H275" s="156"/>
      <c r="I275" s="156"/>
      <c r="J275" s="156"/>
      <c r="K275" s="156"/>
      <c r="L275" s="156"/>
      <c r="M275" s="156"/>
      <c r="N275" s="156"/>
      <c r="O275" s="156"/>
      <c r="P275" s="156"/>
      <c r="Q275" s="156"/>
      <c r="R275" s="156"/>
      <c r="S275" s="156"/>
      <c r="T275" s="156"/>
      <c r="U275" s="51"/>
      <c r="V275" s="374"/>
      <c r="W275" s="374"/>
      <c r="X275" s="143"/>
      <c r="Y275" s="360"/>
      <c r="Z275" s="360"/>
      <c r="AA275" s="65"/>
      <c r="AB275" s="65"/>
    </row>
    <row r="276" spans="1:28" ht="18" x14ac:dyDescent="0.25">
      <c r="A276" s="271"/>
      <c r="B276" s="156"/>
      <c r="C276" s="156"/>
      <c r="D276" s="156"/>
      <c r="E276" s="156"/>
      <c r="F276" s="156"/>
      <c r="G276" s="156"/>
      <c r="H276" s="156"/>
      <c r="I276" s="156"/>
      <c r="J276" s="156"/>
      <c r="K276" s="156"/>
      <c r="L276" s="156"/>
      <c r="M276" s="156"/>
      <c r="N276" s="156"/>
      <c r="O276" s="156"/>
      <c r="P276" s="156"/>
      <c r="Q276" s="156"/>
      <c r="R276" s="156"/>
      <c r="S276" s="156"/>
      <c r="T276" s="156"/>
      <c r="U276" s="51"/>
      <c r="V276" s="374"/>
      <c r="W276" s="374"/>
      <c r="X276" s="143"/>
      <c r="Y276" s="360"/>
      <c r="Z276" s="360"/>
      <c r="AA276" s="65"/>
      <c r="AB276" s="65"/>
    </row>
    <row r="277" spans="1:28" ht="18" x14ac:dyDescent="0.25">
      <c r="A277" s="271"/>
      <c r="B277" s="156"/>
      <c r="C277" s="156"/>
      <c r="D277" s="156"/>
      <c r="E277" s="156"/>
      <c r="F277" s="156"/>
      <c r="G277" s="156"/>
      <c r="H277" s="156"/>
      <c r="I277" s="156"/>
      <c r="J277" s="156"/>
      <c r="K277" s="156"/>
      <c r="L277" s="156"/>
      <c r="M277" s="156"/>
      <c r="N277" s="156"/>
      <c r="O277" s="156"/>
      <c r="P277" s="156"/>
      <c r="Q277" s="156"/>
      <c r="R277" s="156"/>
      <c r="S277" s="156"/>
      <c r="T277" s="156"/>
      <c r="U277" s="51"/>
      <c r="V277" s="374"/>
      <c r="W277" s="374"/>
      <c r="X277" s="143"/>
      <c r="Y277" s="360"/>
      <c r="Z277" s="360"/>
      <c r="AA277" s="65"/>
      <c r="AB277" s="65"/>
    </row>
    <row r="278" spans="1:28" ht="18" x14ac:dyDescent="0.25">
      <c r="A278" s="271"/>
      <c r="B278" s="156"/>
      <c r="C278" s="156"/>
      <c r="D278" s="156"/>
      <c r="E278" s="156"/>
      <c r="F278" s="156"/>
      <c r="G278" s="156"/>
      <c r="H278" s="156"/>
      <c r="I278" s="156"/>
      <c r="J278" s="156"/>
      <c r="K278" s="156"/>
      <c r="L278" s="156"/>
      <c r="M278" s="156"/>
      <c r="N278" s="156"/>
      <c r="O278" s="156"/>
      <c r="P278" s="156"/>
      <c r="Q278" s="156"/>
      <c r="R278" s="156"/>
      <c r="S278" s="156"/>
      <c r="T278" s="156"/>
      <c r="U278" s="51"/>
      <c r="V278" s="374"/>
      <c r="W278" s="374"/>
      <c r="X278" s="143"/>
      <c r="Y278" s="360"/>
      <c r="Z278" s="360"/>
      <c r="AA278" s="65"/>
      <c r="AB278" s="65"/>
    </row>
    <row r="279" spans="1:28" ht="18" x14ac:dyDescent="0.25">
      <c r="A279" s="271"/>
      <c r="B279" s="156"/>
      <c r="C279" s="156"/>
      <c r="D279" s="156"/>
      <c r="E279" s="156"/>
      <c r="F279" s="156"/>
      <c r="G279" s="156"/>
      <c r="H279" s="156"/>
      <c r="I279" s="156"/>
      <c r="J279" s="156"/>
      <c r="K279" s="156"/>
      <c r="L279" s="156"/>
      <c r="M279" s="156"/>
      <c r="N279" s="156"/>
      <c r="O279" s="156"/>
      <c r="P279" s="156"/>
      <c r="Q279" s="156"/>
      <c r="R279" s="156"/>
      <c r="S279" s="156"/>
      <c r="T279" s="156"/>
      <c r="U279" s="51"/>
      <c r="V279" s="374"/>
      <c r="W279" s="374"/>
      <c r="X279" s="143"/>
      <c r="Y279" s="360"/>
      <c r="Z279" s="360"/>
      <c r="AA279" s="65"/>
      <c r="AB279" s="65"/>
    </row>
    <row r="280" spans="1:28" ht="18" x14ac:dyDescent="0.25">
      <c r="A280" s="271"/>
      <c r="B280" s="156"/>
      <c r="C280" s="156"/>
      <c r="D280" s="156"/>
      <c r="E280" s="156"/>
      <c r="F280" s="156"/>
      <c r="G280" s="156"/>
      <c r="H280" s="156"/>
      <c r="I280" s="156"/>
      <c r="J280" s="156"/>
      <c r="K280" s="156"/>
      <c r="L280" s="156"/>
      <c r="M280" s="156"/>
      <c r="N280" s="156"/>
      <c r="O280" s="156"/>
      <c r="P280" s="156"/>
      <c r="Q280" s="156"/>
      <c r="R280" s="156"/>
      <c r="S280" s="156"/>
      <c r="T280" s="156"/>
      <c r="U280" s="51"/>
      <c r="V280" s="374"/>
      <c r="W280" s="374"/>
      <c r="X280" s="143"/>
      <c r="Y280" s="360"/>
      <c r="Z280" s="360"/>
      <c r="AA280" s="65"/>
      <c r="AB280" s="65"/>
    </row>
    <row r="281" spans="1:28" ht="18" x14ac:dyDescent="0.25">
      <c r="A281" s="271"/>
      <c r="B281" s="156"/>
      <c r="C281" s="156"/>
      <c r="D281" s="156"/>
      <c r="E281" s="156"/>
      <c r="F281" s="156"/>
      <c r="G281" s="156"/>
      <c r="H281" s="156"/>
      <c r="I281" s="156"/>
      <c r="J281" s="156"/>
      <c r="K281" s="156"/>
      <c r="L281" s="156"/>
      <c r="M281" s="156"/>
      <c r="N281" s="156"/>
      <c r="O281" s="156"/>
      <c r="P281" s="156"/>
      <c r="Q281" s="156"/>
      <c r="R281" s="156"/>
      <c r="S281" s="156"/>
      <c r="T281" s="156"/>
      <c r="U281" s="51"/>
      <c r="V281" s="374"/>
      <c r="W281" s="374"/>
      <c r="X281" s="143"/>
      <c r="Y281" s="360"/>
      <c r="Z281" s="360"/>
      <c r="AA281" s="65"/>
      <c r="AB281" s="65"/>
    </row>
    <row r="282" spans="1:28" ht="18" x14ac:dyDescent="0.25">
      <c r="A282" s="271"/>
      <c r="B282" s="156"/>
      <c r="C282" s="156"/>
      <c r="D282" s="156"/>
      <c r="E282" s="156"/>
      <c r="F282" s="156"/>
      <c r="G282" s="156"/>
      <c r="H282" s="156"/>
      <c r="I282" s="156"/>
      <c r="J282" s="156"/>
      <c r="K282" s="156"/>
      <c r="L282" s="156"/>
      <c r="M282" s="156"/>
      <c r="N282" s="156"/>
      <c r="O282" s="156"/>
      <c r="P282" s="156"/>
      <c r="Q282" s="156"/>
      <c r="R282" s="156"/>
      <c r="S282" s="156"/>
      <c r="T282" s="156"/>
      <c r="U282" s="51"/>
      <c r="V282" s="374"/>
      <c r="W282" s="374"/>
      <c r="X282" s="143"/>
      <c r="Y282" s="360"/>
      <c r="Z282" s="360"/>
      <c r="AA282" s="65"/>
      <c r="AB282" s="65"/>
    </row>
    <row r="283" spans="1:28" ht="18" x14ac:dyDescent="0.25">
      <c r="A283" s="271"/>
      <c r="B283" s="156"/>
      <c r="C283" s="156"/>
      <c r="D283" s="156"/>
      <c r="E283" s="156"/>
      <c r="F283" s="156"/>
      <c r="G283" s="156"/>
      <c r="H283" s="156"/>
      <c r="I283" s="156"/>
      <c r="J283" s="156"/>
      <c r="K283" s="156"/>
      <c r="L283" s="156"/>
      <c r="M283" s="156"/>
      <c r="N283" s="156"/>
      <c r="O283" s="156"/>
      <c r="P283" s="156"/>
      <c r="Q283" s="156"/>
      <c r="R283" s="156"/>
      <c r="S283" s="156"/>
      <c r="T283" s="156"/>
      <c r="U283" s="51"/>
      <c r="V283" s="374"/>
      <c r="W283" s="374"/>
      <c r="X283" s="143"/>
      <c r="Y283" s="360"/>
      <c r="Z283" s="360"/>
      <c r="AA283" s="65"/>
      <c r="AB283" s="65"/>
    </row>
    <row r="284" spans="1:28" ht="18" x14ac:dyDescent="0.25">
      <c r="A284" s="271"/>
      <c r="B284" s="156"/>
      <c r="C284" s="156"/>
      <c r="D284" s="156"/>
      <c r="E284" s="156"/>
      <c r="F284" s="156"/>
      <c r="G284" s="156"/>
      <c r="H284" s="156"/>
      <c r="I284" s="156"/>
      <c r="J284" s="156"/>
      <c r="K284" s="156"/>
      <c r="L284" s="156"/>
      <c r="M284" s="156"/>
      <c r="N284" s="156"/>
      <c r="O284" s="156"/>
      <c r="P284" s="156"/>
      <c r="Q284" s="156"/>
      <c r="R284" s="156"/>
      <c r="S284" s="156"/>
      <c r="T284" s="156"/>
      <c r="U284" s="51"/>
      <c r="V284" s="374"/>
      <c r="W284" s="374"/>
      <c r="X284" s="143"/>
      <c r="Y284" s="360"/>
      <c r="Z284" s="360"/>
      <c r="AA284" s="65"/>
      <c r="AB284" s="65"/>
    </row>
    <row r="285" spans="1:28" ht="18" x14ac:dyDescent="0.25">
      <c r="A285" s="271"/>
      <c r="B285" s="156"/>
      <c r="C285" s="156"/>
      <c r="D285" s="156"/>
      <c r="E285" s="156"/>
      <c r="F285" s="156"/>
      <c r="G285" s="156"/>
      <c r="H285" s="156"/>
      <c r="I285" s="156"/>
      <c r="J285" s="156"/>
      <c r="K285" s="156"/>
      <c r="L285" s="156"/>
      <c r="M285" s="156"/>
      <c r="N285" s="156"/>
      <c r="O285" s="156"/>
      <c r="P285" s="156"/>
      <c r="Q285" s="156"/>
      <c r="R285" s="156"/>
      <c r="S285" s="156"/>
      <c r="T285" s="156"/>
      <c r="U285" s="51"/>
      <c r="V285" s="374"/>
      <c r="W285" s="374"/>
      <c r="X285" s="143"/>
      <c r="Y285" s="360"/>
      <c r="Z285" s="360"/>
      <c r="AA285" s="65"/>
      <c r="AB285" s="65"/>
    </row>
    <row r="286" spans="1:28" ht="18" x14ac:dyDescent="0.25">
      <c r="A286" s="271"/>
      <c r="B286" s="156"/>
      <c r="C286" s="156"/>
      <c r="D286" s="156"/>
      <c r="E286" s="156"/>
      <c r="F286" s="156"/>
      <c r="G286" s="156"/>
      <c r="H286" s="156"/>
      <c r="I286" s="156"/>
      <c r="J286" s="156"/>
      <c r="K286" s="156"/>
      <c r="L286" s="156"/>
      <c r="M286" s="156"/>
      <c r="N286" s="156"/>
      <c r="O286" s="156"/>
      <c r="P286" s="156"/>
      <c r="Q286" s="156"/>
      <c r="R286" s="156"/>
      <c r="S286" s="156"/>
      <c r="T286" s="156"/>
      <c r="U286" s="51"/>
      <c r="V286" s="374"/>
      <c r="W286" s="374"/>
      <c r="X286" s="143"/>
      <c r="Y286" s="360"/>
      <c r="Z286" s="360"/>
      <c r="AA286" s="65"/>
      <c r="AB286" s="65"/>
    </row>
    <row r="287" spans="1:28" ht="18" x14ac:dyDescent="0.25">
      <c r="A287" s="271"/>
      <c r="B287" s="156"/>
      <c r="C287" s="156"/>
      <c r="D287" s="156"/>
      <c r="E287" s="156"/>
      <c r="F287" s="156"/>
      <c r="G287" s="156"/>
      <c r="H287" s="156"/>
      <c r="I287" s="156"/>
      <c r="J287" s="156"/>
      <c r="K287" s="156"/>
      <c r="L287" s="156"/>
      <c r="M287" s="156"/>
      <c r="N287" s="156"/>
      <c r="O287" s="156"/>
      <c r="P287" s="156"/>
      <c r="Q287" s="156"/>
      <c r="R287" s="156"/>
      <c r="S287" s="156"/>
      <c r="T287" s="156"/>
      <c r="U287" s="51"/>
      <c r="V287" s="374"/>
      <c r="W287" s="374"/>
      <c r="X287" s="143"/>
      <c r="Y287" s="360"/>
      <c r="Z287" s="360"/>
      <c r="AA287" s="65"/>
      <c r="AB287" s="65"/>
    </row>
    <row r="288" spans="1:28" ht="18" x14ac:dyDescent="0.25">
      <c r="A288" s="271"/>
      <c r="B288" s="156"/>
      <c r="C288" s="156"/>
      <c r="D288" s="156"/>
      <c r="E288" s="156"/>
      <c r="F288" s="156"/>
      <c r="G288" s="156"/>
      <c r="H288" s="156"/>
      <c r="I288" s="156"/>
      <c r="J288" s="156"/>
      <c r="K288" s="156"/>
      <c r="L288" s="156"/>
      <c r="M288" s="156"/>
      <c r="N288" s="156"/>
      <c r="O288" s="156"/>
      <c r="P288" s="156"/>
      <c r="Q288" s="156"/>
      <c r="R288" s="156"/>
      <c r="S288" s="156"/>
      <c r="T288" s="156"/>
      <c r="U288" s="51"/>
      <c r="V288" s="374"/>
      <c r="W288" s="374"/>
      <c r="X288" s="143"/>
      <c r="Y288" s="360"/>
      <c r="Z288" s="360"/>
      <c r="AA288" s="65"/>
      <c r="AB288" s="65"/>
    </row>
    <row r="289" spans="1:28" ht="18" x14ac:dyDescent="0.25">
      <c r="A289" s="271"/>
      <c r="B289" s="156"/>
      <c r="C289" s="156"/>
      <c r="D289" s="156"/>
      <c r="E289" s="156"/>
      <c r="F289" s="156"/>
      <c r="G289" s="156"/>
      <c r="H289" s="156"/>
      <c r="I289" s="156"/>
      <c r="J289" s="156"/>
      <c r="K289" s="156"/>
      <c r="L289" s="156"/>
      <c r="M289" s="156"/>
      <c r="N289" s="156"/>
      <c r="O289" s="156"/>
      <c r="P289" s="156"/>
      <c r="Q289" s="156"/>
      <c r="R289" s="156"/>
      <c r="S289" s="156"/>
      <c r="T289" s="156"/>
      <c r="U289" s="51"/>
      <c r="V289" s="374"/>
      <c r="W289" s="374"/>
      <c r="X289" s="143"/>
      <c r="Y289" s="360"/>
      <c r="Z289" s="360"/>
      <c r="AA289" s="65"/>
      <c r="AB289" s="65"/>
    </row>
    <row r="290" spans="1:28" ht="18" x14ac:dyDescent="0.25">
      <c r="A290" s="271"/>
      <c r="B290" s="156"/>
      <c r="C290" s="156"/>
      <c r="D290" s="156"/>
      <c r="E290" s="156"/>
      <c r="F290" s="156"/>
      <c r="G290" s="156"/>
      <c r="H290" s="156"/>
      <c r="I290" s="156"/>
      <c r="J290" s="156"/>
      <c r="K290" s="156"/>
      <c r="L290" s="156"/>
      <c r="M290" s="156"/>
      <c r="N290" s="156"/>
      <c r="O290" s="156"/>
      <c r="P290" s="156"/>
      <c r="Q290" s="156"/>
      <c r="R290" s="156"/>
      <c r="S290" s="156"/>
      <c r="T290" s="156"/>
      <c r="U290" s="51"/>
      <c r="V290" s="374"/>
      <c r="W290" s="374"/>
      <c r="X290" s="143"/>
      <c r="Y290" s="360"/>
      <c r="Z290" s="360"/>
      <c r="AA290" s="65"/>
      <c r="AB290" s="65"/>
    </row>
    <row r="291" spans="1:28" ht="18" x14ac:dyDescent="0.25">
      <c r="A291" s="271"/>
      <c r="B291" s="156"/>
      <c r="C291" s="156"/>
      <c r="D291" s="156"/>
      <c r="E291" s="156"/>
      <c r="F291" s="156"/>
      <c r="G291" s="156"/>
      <c r="H291" s="156"/>
      <c r="I291" s="156"/>
      <c r="J291" s="156"/>
      <c r="K291" s="156"/>
      <c r="L291" s="156"/>
      <c r="M291" s="156"/>
      <c r="N291" s="156"/>
      <c r="O291" s="156"/>
      <c r="P291" s="156"/>
      <c r="Q291" s="156"/>
      <c r="R291" s="156"/>
      <c r="S291" s="156"/>
      <c r="T291" s="156"/>
      <c r="U291" s="51"/>
      <c r="V291" s="374"/>
      <c r="W291" s="374"/>
      <c r="X291" s="143"/>
      <c r="Y291" s="360"/>
      <c r="Z291" s="360"/>
      <c r="AA291" s="65"/>
      <c r="AB291" s="65"/>
    </row>
    <row r="292" spans="1:28" ht="18" x14ac:dyDescent="0.25">
      <c r="A292" s="271"/>
      <c r="B292" s="156"/>
      <c r="C292" s="156"/>
      <c r="D292" s="156"/>
      <c r="E292" s="156"/>
      <c r="F292" s="156"/>
      <c r="G292" s="156"/>
      <c r="H292" s="156"/>
      <c r="I292" s="156"/>
      <c r="J292" s="156"/>
      <c r="K292" s="156"/>
      <c r="L292" s="156"/>
      <c r="M292" s="156"/>
      <c r="N292" s="156"/>
      <c r="O292" s="156"/>
      <c r="P292" s="156"/>
      <c r="Q292" s="156"/>
      <c r="R292" s="156"/>
      <c r="S292" s="156"/>
      <c r="T292" s="156"/>
      <c r="U292" s="51"/>
      <c r="V292" s="374"/>
      <c r="W292" s="374"/>
      <c r="X292" s="143"/>
      <c r="Y292" s="360"/>
      <c r="Z292" s="360"/>
      <c r="AA292" s="65"/>
      <c r="AB292" s="65"/>
    </row>
    <row r="293" spans="1:28" ht="18" x14ac:dyDescent="0.25">
      <c r="A293" s="271"/>
      <c r="B293" s="156"/>
      <c r="C293" s="156"/>
      <c r="D293" s="156"/>
      <c r="E293" s="156"/>
      <c r="F293" s="156"/>
      <c r="G293" s="156"/>
      <c r="H293" s="156"/>
      <c r="I293" s="156"/>
      <c r="J293" s="156"/>
      <c r="K293" s="156"/>
      <c r="L293" s="156"/>
      <c r="M293" s="156"/>
      <c r="N293" s="156"/>
      <c r="O293" s="156"/>
      <c r="P293" s="156"/>
      <c r="Q293" s="156"/>
      <c r="R293" s="156"/>
      <c r="S293" s="156"/>
      <c r="T293" s="156"/>
      <c r="U293" s="51"/>
      <c r="V293" s="374"/>
      <c r="W293" s="374"/>
      <c r="X293" s="143"/>
      <c r="Y293" s="360"/>
      <c r="Z293" s="360"/>
      <c r="AA293" s="65"/>
      <c r="AB293" s="65"/>
    </row>
    <row r="294" spans="1:28" ht="18" x14ac:dyDescent="0.25">
      <c r="A294" s="271"/>
      <c r="B294" s="156"/>
      <c r="C294" s="156"/>
      <c r="D294" s="156"/>
      <c r="E294" s="156"/>
      <c r="F294" s="156"/>
      <c r="G294" s="156"/>
      <c r="H294" s="156"/>
      <c r="I294" s="156"/>
      <c r="J294" s="156"/>
      <c r="K294" s="156"/>
      <c r="L294" s="156"/>
      <c r="M294" s="156"/>
      <c r="N294" s="156"/>
      <c r="O294" s="156"/>
      <c r="P294" s="156"/>
      <c r="Q294" s="156"/>
      <c r="R294" s="156"/>
      <c r="S294" s="156"/>
      <c r="T294" s="156"/>
      <c r="U294" s="51"/>
      <c r="V294" s="374"/>
      <c r="W294" s="374"/>
      <c r="X294" s="143"/>
      <c r="Y294" s="360"/>
      <c r="Z294" s="360"/>
      <c r="AA294" s="65"/>
      <c r="AB294" s="65"/>
    </row>
    <row r="295" spans="1:28" ht="18" x14ac:dyDescent="0.25">
      <c r="A295" s="271"/>
      <c r="B295" s="156"/>
      <c r="C295" s="156"/>
      <c r="D295" s="156"/>
      <c r="E295" s="156"/>
      <c r="F295" s="156"/>
      <c r="G295" s="156"/>
      <c r="H295" s="156"/>
      <c r="I295" s="156"/>
      <c r="J295" s="156"/>
      <c r="K295" s="156"/>
      <c r="L295" s="156"/>
      <c r="M295" s="156"/>
      <c r="N295" s="156"/>
      <c r="O295" s="156"/>
      <c r="P295" s="156"/>
      <c r="Q295" s="156"/>
      <c r="R295" s="156"/>
      <c r="S295" s="156"/>
      <c r="T295" s="156"/>
      <c r="U295" s="51"/>
      <c r="V295" s="374"/>
      <c r="W295" s="374"/>
      <c r="X295" s="143"/>
      <c r="Y295" s="360"/>
      <c r="Z295" s="360"/>
      <c r="AA295" s="65"/>
      <c r="AB295" s="65"/>
    </row>
    <row r="296" spans="1:28" ht="18" x14ac:dyDescent="0.25">
      <c r="A296" s="271"/>
      <c r="B296" s="156"/>
      <c r="C296" s="156"/>
      <c r="D296" s="156"/>
      <c r="E296" s="156"/>
      <c r="F296" s="156"/>
      <c r="G296" s="156"/>
      <c r="H296" s="156"/>
      <c r="I296" s="156"/>
      <c r="J296" s="156"/>
      <c r="K296" s="156"/>
      <c r="L296" s="156"/>
      <c r="M296" s="156"/>
      <c r="N296" s="156"/>
      <c r="O296" s="156"/>
      <c r="P296" s="156"/>
      <c r="Q296" s="156"/>
      <c r="R296" s="156"/>
      <c r="S296" s="156"/>
      <c r="T296" s="156"/>
      <c r="U296" s="51"/>
      <c r="V296" s="374"/>
      <c r="W296" s="374"/>
      <c r="X296" s="143"/>
      <c r="Y296" s="360"/>
      <c r="Z296" s="360"/>
      <c r="AA296" s="65"/>
      <c r="AB296" s="65"/>
    </row>
    <row r="297" spans="1:28" ht="18" x14ac:dyDescent="0.25">
      <c r="A297" s="271"/>
      <c r="B297" s="156"/>
      <c r="C297" s="156"/>
      <c r="D297" s="156"/>
      <c r="E297" s="156"/>
      <c r="F297" s="156"/>
      <c r="G297" s="156"/>
      <c r="H297" s="156"/>
      <c r="I297" s="156"/>
      <c r="J297" s="156"/>
      <c r="K297" s="156"/>
      <c r="L297" s="156"/>
      <c r="M297" s="156"/>
      <c r="N297" s="156"/>
      <c r="O297" s="156"/>
      <c r="P297" s="156"/>
      <c r="Q297" s="156"/>
      <c r="R297" s="156"/>
      <c r="S297" s="156"/>
      <c r="T297" s="156"/>
      <c r="U297" s="51"/>
      <c r="V297" s="374"/>
      <c r="W297" s="374"/>
      <c r="X297" s="143"/>
      <c r="Y297" s="360"/>
      <c r="Z297" s="360"/>
      <c r="AA297" s="65"/>
      <c r="AB297" s="65"/>
    </row>
    <row r="298" spans="1:28" ht="18" x14ac:dyDescent="0.25">
      <c r="A298" s="271"/>
      <c r="B298" s="156"/>
      <c r="C298" s="156"/>
      <c r="D298" s="156"/>
      <c r="E298" s="156"/>
      <c r="F298" s="156"/>
      <c r="G298" s="156"/>
      <c r="H298" s="156"/>
      <c r="I298" s="156"/>
      <c r="J298" s="156"/>
      <c r="K298" s="156"/>
      <c r="L298" s="156"/>
      <c r="M298" s="156"/>
      <c r="N298" s="156"/>
      <c r="O298" s="156"/>
      <c r="P298" s="156"/>
      <c r="Q298" s="156"/>
      <c r="R298" s="156"/>
      <c r="S298" s="156"/>
      <c r="T298" s="156"/>
      <c r="U298" s="51"/>
      <c r="V298" s="374"/>
      <c r="W298" s="374"/>
      <c r="X298" s="143"/>
      <c r="Y298" s="360"/>
      <c r="Z298" s="360"/>
      <c r="AA298" s="65"/>
      <c r="AB298" s="65"/>
    </row>
    <row r="299" spans="1:28" ht="18" x14ac:dyDescent="0.25">
      <c r="A299" s="271"/>
      <c r="B299" s="156"/>
      <c r="C299" s="156"/>
      <c r="D299" s="156"/>
      <c r="E299" s="156"/>
      <c r="F299" s="156"/>
      <c r="G299" s="156"/>
      <c r="H299" s="156"/>
      <c r="I299" s="156"/>
      <c r="J299" s="156"/>
      <c r="K299" s="156"/>
      <c r="L299" s="156"/>
      <c r="M299" s="156"/>
      <c r="N299" s="156"/>
      <c r="O299" s="156"/>
      <c r="P299" s="156"/>
      <c r="Q299" s="156"/>
      <c r="R299" s="156"/>
      <c r="S299" s="156"/>
      <c r="T299" s="156"/>
      <c r="U299" s="51"/>
      <c r="V299" s="374"/>
      <c r="W299" s="374"/>
      <c r="X299" s="143"/>
      <c r="Y299" s="360"/>
      <c r="Z299" s="360"/>
      <c r="AA299" s="65"/>
      <c r="AB299" s="65"/>
    </row>
    <row r="300" spans="1:28" ht="18" x14ac:dyDescent="0.25">
      <c r="A300" s="271"/>
      <c r="B300" s="156"/>
      <c r="C300" s="156"/>
      <c r="D300" s="156"/>
      <c r="E300" s="156"/>
      <c r="F300" s="156"/>
      <c r="G300" s="156"/>
      <c r="H300" s="156"/>
      <c r="I300" s="156"/>
      <c r="J300" s="156"/>
      <c r="K300" s="156"/>
      <c r="L300" s="156"/>
      <c r="M300" s="156"/>
      <c r="N300" s="156"/>
      <c r="O300" s="156"/>
      <c r="P300" s="156"/>
      <c r="Q300" s="156"/>
      <c r="R300" s="156"/>
      <c r="S300" s="156"/>
      <c r="T300" s="156"/>
      <c r="U300" s="51"/>
      <c r="V300" s="374"/>
      <c r="W300" s="374"/>
      <c r="X300" s="143"/>
      <c r="Y300" s="360"/>
      <c r="Z300" s="360"/>
      <c r="AA300" s="65"/>
      <c r="AB300" s="65"/>
    </row>
    <row r="301" spans="1:28" ht="18" x14ac:dyDescent="0.25">
      <c r="A301" s="271"/>
      <c r="B301" s="156"/>
      <c r="C301" s="156"/>
      <c r="D301" s="156"/>
      <c r="E301" s="156"/>
      <c r="F301" s="156"/>
      <c r="G301" s="156"/>
      <c r="H301" s="156"/>
      <c r="I301" s="156"/>
      <c r="J301" s="156"/>
      <c r="K301" s="156"/>
      <c r="L301" s="156"/>
      <c r="M301" s="156"/>
      <c r="N301" s="156"/>
      <c r="O301" s="156"/>
      <c r="P301" s="156"/>
      <c r="Q301" s="156"/>
      <c r="R301" s="156"/>
      <c r="S301" s="156"/>
      <c r="T301" s="156"/>
      <c r="U301" s="51"/>
      <c r="V301" s="374"/>
      <c r="W301" s="374"/>
      <c r="X301" s="143"/>
      <c r="Y301" s="360"/>
      <c r="Z301" s="360"/>
      <c r="AA301" s="65"/>
      <c r="AB301" s="65"/>
    </row>
    <row r="302" spans="1:28" ht="18" x14ac:dyDescent="0.25">
      <c r="A302" s="271"/>
      <c r="B302" s="156"/>
      <c r="C302" s="156"/>
      <c r="D302" s="156"/>
      <c r="E302" s="156"/>
      <c r="F302" s="156"/>
      <c r="G302" s="156"/>
      <c r="H302" s="156"/>
      <c r="I302" s="156"/>
      <c r="J302" s="156"/>
      <c r="K302" s="156"/>
      <c r="L302" s="156"/>
      <c r="M302" s="156"/>
      <c r="N302" s="156"/>
      <c r="O302" s="156"/>
      <c r="P302" s="156"/>
      <c r="Q302" s="156"/>
      <c r="R302" s="156"/>
      <c r="S302" s="156"/>
      <c r="T302" s="156"/>
      <c r="U302" s="51"/>
      <c r="V302" s="374"/>
      <c r="W302" s="374"/>
      <c r="X302" s="143"/>
      <c r="Y302" s="360"/>
      <c r="Z302" s="360"/>
      <c r="AA302" s="65"/>
      <c r="AB302" s="65"/>
    </row>
    <row r="303" spans="1:28" ht="18" x14ac:dyDescent="0.25">
      <c r="A303" s="271"/>
      <c r="B303" s="156"/>
      <c r="C303" s="156"/>
      <c r="D303" s="156"/>
      <c r="E303" s="156"/>
      <c r="F303" s="156"/>
      <c r="G303" s="156"/>
      <c r="H303" s="156"/>
      <c r="I303" s="156"/>
      <c r="J303" s="156"/>
      <c r="K303" s="156"/>
      <c r="L303" s="156"/>
      <c r="M303" s="156"/>
      <c r="N303" s="156"/>
      <c r="O303" s="156"/>
      <c r="P303" s="156"/>
      <c r="Q303" s="156"/>
      <c r="R303" s="156"/>
      <c r="S303" s="156"/>
      <c r="T303" s="156"/>
      <c r="U303" s="51"/>
      <c r="V303" s="374"/>
      <c r="W303" s="374"/>
      <c r="X303" s="143"/>
      <c r="Y303" s="360"/>
      <c r="Z303" s="360"/>
      <c r="AA303" s="65"/>
      <c r="AB303" s="65"/>
    </row>
    <row r="304" spans="1:28" ht="18" x14ac:dyDescent="0.25">
      <c r="A304" s="271"/>
      <c r="B304" s="156"/>
      <c r="C304" s="156"/>
      <c r="D304" s="156"/>
      <c r="E304" s="156"/>
      <c r="F304" s="156"/>
      <c r="G304" s="156"/>
      <c r="H304" s="156"/>
      <c r="I304" s="156"/>
      <c r="J304" s="156"/>
      <c r="K304" s="156"/>
      <c r="L304" s="156"/>
      <c r="M304" s="156"/>
      <c r="N304" s="156"/>
      <c r="O304" s="156"/>
      <c r="P304" s="156"/>
      <c r="Q304" s="156"/>
      <c r="R304" s="156"/>
      <c r="S304" s="156"/>
      <c r="T304" s="156"/>
      <c r="U304" s="51"/>
      <c r="V304" s="374"/>
      <c r="W304" s="374"/>
      <c r="X304" s="143"/>
      <c r="Y304" s="360"/>
      <c r="Z304" s="360"/>
      <c r="AA304" s="65"/>
      <c r="AB304" s="65"/>
    </row>
    <row r="305" spans="1:28" ht="18" x14ac:dyDescent="0.25">
      <c r="A305" s="271"/>
      <c r="B305" s="156"/>
      <c r="C305" s="156"/>
      <c r="D305" s="156"/>
      <c r="E305" s="156"/>
      <c r="F305" s="156"/>
      <c r="G305" s="156"/>
      <c r="H305" s="156"/>
      <c r="I305" s="156"/>
      <c r="J305" s="156"/>
      <c r="K305" s="156"/>
      <c r="L305" s="156"/>
      <c r="M305" s="156"/>
      <c r="N305" s="156"/>
      <c r="O305" s="156"/>
      <c r="P305" s="156"/>
      <c r="Q305" s="156"/>
      <c r="R305" s="156"/>
      <c r="S305" s="156"/>
      <c r="T305" s="156"/>
      <c r="U305" s="51"/>
      <c r="V305" s="374"/>
      <c r="W305" s="374"/>
      <c r="X305" s="143"/>
      <c r="Y305" s="360"/>
      <c r="Z305" s="360"/>
      <c r="AA305" s="65"/>
      <c r="AB305" s="65"/>
    </row>
    <row r="306" spans="1:28" ht="18" x14ac:dyDescent="0.25">
      <c r="A306" s="271"/>
      <c r="B306" s="156"/>
      <c r="C306" s="156"/>
      <c r="D306" s="156"/>
      <c r="E306" s="156"/>
      <c r="F306" s="156"/>
      <c r="G306" s="156"/>
      <c r="H306" s="156"/>
      <c r="I306" s="156"/>
      <c r="J306" s="156"/>
      <c r="K306" s="156"/>
      <c r="L306" s="156"/>
      <c r="M306" s="156"/>
      <c r="N306" s="156"/>
      <c r="O306" s="156"/>
      <c r="P306" s="156"/>
      <c r="Q306" s="156"/>
      <c r="R306" s="156"/>
      <c r="S306" s="156"/>
      <c r="T306" s="156"/>
      <c r="U306" s="51"/>
      <c r="V306" s="374"/>
      <c r="W306" s="374"/>
      <c r="X306" s="143"/>
      <c r="Y306" s="360"/>
      <c r="Z306" s="360"/>
      <c r="AA306" s="65"/>
      <c r="AB306" s="65"/>
    </row>
    <row r="307" spans="1:28" ht="18" x14ac:dyDescent="0.25">
      <c r="A307" s="271"/>
      <c r="B307" s="156"/>
      <c r="C307" s="156"/>
      <c r="D307" s="156"/>
      <c r="E307" s="156"/>
      <c r="F307" s="156"/>
      <c r="G307" s="156"/>
      <c r="H307" s="156"/>
      <c r="I307" s="156"/>
      <c r="J307" s="156"/>
      <c r="K307" s="156"/>
      <c r="L307" s="156"/>
      <c r="M307" s="156"/>
      <c r="N307" s="156"/>
      <c r="O307" s="156"/>
      <c r="P307" s="156"/>
      <c r="Q307" s="156"/>
      <c r="R307" s="156"/>
      <c r="S307" s="156"/>
      <c r="T307" s="156"/>
      <c r="U307" s="51"/>
      <c r="V307" s="374"/>
      <c r="W307" s="374"/>
      <c r="X307" s="143"/>
      <c r="Y307" s="360"/>
      <c r="Z307" s="360"/>
      <c r="AA307" s="65"/>
      <c r="AB307" s="65"/>
    </row>
    <row r="308" spans="1:28" ht="18" x14ac:dyDescent="0.25">
      <c r="A308" s="271"/>
      <c r="B308" s="156"/>
      <c r="C308" s="156"/>
      <c r="D308" s="156"/>
      <c r="E308" s="156"/>
      <c r="F308" s="156"/>
      <c r="G308" s="156"/>
      <c r="H308" s="156"/>
      <c r="I308" s="156"/>
      <c r="J308" s="156"/>
      <c r="K308" s="156"/>
      <c r="L308" s="156"/>
      <c r="M308" s="156"/>
      <c r="N308" s="156"/>
      <c r="O308" s="156"/>
      <c r="P308" s="156"/>
      <c r="Q308" s="156"/>
      <c r="R308" s="156"/>
      <c r="S308" s="156"/>
      <c r="T308" s="156"/>
      <c r="U308" s="51"/>
      <c r="V308" s="374"/>
      <c r="W308" s="374"/>
      <c r="X308" s="143"/>
      <c r="Y308" s="360"/>
      <c r="Z308" s="360"/>
      <c r="AA308" s="65"/>
      <c r="AB308" s="65"/>
    </row>
    <row r="309" spans="1:28" ht="18" x14ac:dyDescent="0.25">
      <c r="A309" s="271"/>
      <c r="B309" s="156"/>
      <c r="C309" s="156"/>
      <c r="D309" s="156"/>
      <c r="E309" s="156"/>
      <c r="F309" s="156"/>
      <c r="G309" s="156"/>
      <c r="H309" s="156"/>
      <c r="I309" s="156"/>
      <c r="J309" s="156"/>
      <c r="K309" s="156"/>
      <c r="L309" s="156"/>
      <c r="M309" s="156"/>
      <c r="N309" s="156"/>
      <c r="O309" s="156"/>
      <c r="P309" s="156"/>
      <c r="Q309" s="156"/>
      <c r="R309" s="156"/>
      <c r="S309" s="156"/>
      <c r="T309" s="156"/>
      <c r="U309" s="51"/>
      <c r="V309" s="374"/>
      <c r="W309" s="374"/>
      <c r="X309" s="143"/>
      <c r="Y309" s="360"/>
      <c r="Z309" s="360"/>
      <c r="AA309" s="65"/>
      <c r="AB309" s="65"/>
    </row>
    <row r="310" spans="1:28" ht="18" x14ac:dyDescent="0.25">
      <c r="A310" s="271"/>
      <c r="B310" s="156"/>
      <c r="C310" s="156"/>
      <c r="D310" s="156"/>
      <c r="E310" s="156"/>
      <c r="F310" s="156"/>
      <c r="G310" s="156"/>
      <c r="H310" s="156"/>
      <c r="I310" s="156"/>
      <c r="J310" s="156"/>
      <c r="K310" s="156"/>
      <c r="L310" s="156"/>
      <c r="M310" s="156"/>
      <c r="N310" s="156"/>
      <c r="O310" s="156"/>
      <c r="P310" s="156"/>
      <c r="Q310" s="156"/>
      <c r="R310" s="156"/>
      <c r="S310" s="156"/>
      <c r="T310" s="156"/>
      <c r="U310" s="51"/>
      <c r="V310" s="374"/>
      <c r="W310" s="374"/>
      <c r="X310" s="143"/>
      <c r="Y310" s="360"/>
      <c r="Z310" s="360"/>
      <c r="AA310" s="65"/>
      <c r="AB310" s="65"/>
    </row>
    <row r="311" spans="1:28" ht="18" x14ac:dyDescent="0.25">
      <c r="A311" s="271"/>
      <c r="B311" s="156"/>
      <c r="C311" s="156"/>
      <c r="D311" s="156"/>
      <c r="E311" s="156"/>
      <c r="F311" s="156"/>
      <c r="G311" s="156"/>
      <c r="H311" s="156"/>
      <c r="I311" s="156"/>
      <c r="J311" s="156"/>
      <c r="K311" s="156"/>
      <c r="L311" s="156"/>
      <c r="M311" s="156"/>
      <c r="N311" s="156"/>
      <c r="O311" s="156"/>
      <c r="P311" s="156"/>
      <c r="Q311" s="156"/>
      <c r="R311" s="156"/>
      <c r="S311" s="156"/>
      <c r="T311" s="156"/>
      <c r="U311" s="51"/>
      <c r="V311" s="374"/>
      <c r="W311" s="374"/>
      <c r="X311" s="143"/>
      <c r="Y311" s="360"/>
      <c r="Z311" s="360"/>
      <c r="AA311" s="65"/>
      <c r="AB311" s="65"/>
    </row>
    <row r="312" spans="1:28" ht="18" x14ac:dyDescent="0.25">
      <c r="A312" s="271"/>
      <c r="B312" s="156"/>
      <c r="C312" s="156"/>
      <c r="D312" s="156"/>
      <c r="E312" s="156"/>
      <c r="F312" s="156"/>
      <c r="G312" s="156"/>
      <c r="H312" s="156"/>
      <c r="I312" s="156"/>
      <c r="J312" s="156"/>
      <c r="K312" s="156"/>
      <c r="L312" s="156"/>
      <c r="M312" s="156"/>
      <c r="N312" s="156"/>
      <c r="O312" s="156"/>
      <c r="P312" s="156"/>
      <c r="Q312" s="156"/>
      <c r="R312" s="156"/>
      <c r="S312" s="156"/>
      <c r="T312" s="156"/>
      <c r="U312" s="51"/>
      <c r="V312" s="374"/>
      <c r="W312" s="374"/>
      <c r="X312" s="143"/>
      <c r="Y312" s="360"/>
      <c r="Z312" s="360"/>
      <c r="AA312" s="65"/>
      <c r="AB312" s="65"/>
    </row>
    <row r="313" spans="1:28" ht="18" x14ac:dyDescent="0.25">
      <c r="A313" s="271"/>
      <c r="B313" s="156"/>
      <c r="C313" s="156"/>
      <c r="D313" s="156"/>
      <c r="E313" s="156"/>
      <c r="F313" s="156"/>
      <c r="G313" s="156"/>
      <c r="H313" s="156"/>
      <c r="I313" s="156"/>
      <c r="J313" s="156"/>
      <c r="K313" s="156"/>
      <c r="L313" s="156"/>
      <c r="M313" s="156"/>
      <c r="N313" s="156"/>
      <c r="O313" s="156"/>
      <c r="P313" s="156"/>
      <c r="Q313" s="156"/>
      <c r="R313" s="156"/>
      <c r="S313" s="156"/>
      <c r="T313" s="156"/>
      <c r="U313" s="51"/>
      <c r="V313" s="374"/>
      <c r="W313" s="374"/>
      <c r="X313" s="143"/>
      <c r="Y313" s="360"/>
      <c r="Z313" s="360"/>
      <c r="AA313" s="65"/>
      <c r="AB313" s="65"/>
    </row>
    <row r="314" spans="1:28" ht="18" x14ac:dyDescent="0.25">
      <c r="A314" s="271"/>
      <c r="B314" s="156"/>
      <c r="C314" s="156"/>
      <c r="D314" s="156"/>
      <c r="E314" s="156"/>
      <c r="F314" s="156"/>
      <c r="G314" s="156"/>
      <c r="H314" s="156"/>
      <c r="I314" s="156"/>
      <c r="J314" s="156"/>
      <c r="K314" s="156"/>
      <c r="L314" s="156"/>
      <c r="M314" s="156"/>
      <c r="N314" s="156"/>
      <c r="O314" s="156"/>
      <c r="P314" s="156"/>
      <c r="Q314" s="156"/>
      <c r="R314" s="156"/>
      <c r="S314" s="156"/>
      <c r="T314" s="156"/>
      <c r="U314" s="51"/>
      <c r="V314" s="374"/>
      <c r="W314" s="374"/>
      <c r="X314" s="143"/>
      <c r="Y314" s="360"/>
      <c r="Z314" s="360"/>
      <c r="AA314" s="65"/>
      <c r="AB314" s="65"/>
    </row>
    <row r="315" spans="1:28" ht="18" x14ac:dyDescent="0.25">
      <c r="A315" s="271"/>
      <c r="B315" s="156"/>
      <c r="C315" s="156"/>
      <c r="D315" s="156"/>
      <c r="E315" s="156"/>
      <c r="F315" s="156"/>
      <c r="G315" s="156"/>
      <c r="H315" s="156"/>
      <c r="I315" s="156"/>
      <c r="J315" s="156"/>
      <c r="K315" s="156"/>
      <c r="L315" s="156"/>
      <c r="M315" s="156"/>
      <c r="N315" s="156"/>
      <c r="O315" s="156"/>
      <c r="P315" s="156"/>
      <c r="Q315" s="156"/>
      <c r="R315" s="156"/>
      <c r="S315" s="156"/>
      <c r="T315" s="156"/>
      <c r="U315" s="51"/>
      <c r="V315" s="374"/>
      <c r="W315" s="374"/>
      <c r="X315" s="143"/>
      <c r="Y315" s="360"/>
      <c r="Z315" s="360"/>
      <c r="AA315" s="65"/>
      <c r="AB315" s="65"/>
    </row>
    <row r="316" spans="1:28" ht="18" x14ac:dyDescent="0.25">
      <c r="A316" s="271"/>
      <c r="B316" s="156"/>
      <c r="C316" s="156"/>
      <c r="D316" s="156"/>
      <c r="E316" s="156"/>
      <c r="F316" s="156"/>
      <c r="G316" s="156"/>
      <c r="H316" s="156"/>
      <c r="I316" s="156"/>
      <c r="J316" s="156"/>
      <c r="K316" s="156"/>
      <c r="L316" s="156"/>
      <c r="M316" s="156"/>
      <c r="N316" s="156"/>
      <c r="O316" s="156"/>
      <c r="P316" s="156"/>
      <c r="Q316" s="156"/>
      <c r="R316" s="156"/>
      <c r="S316" s="156"/>
      <c r="T316" s="156"/>
      <c r="U316" s="51"/>
      <c r="V316" s="374"/>
      <c r="W316" s="374"/>
      <c r="X316" s="143"/>
      <c r="Y316" s="360"/>
      <c r="Z316" s="360"/>
      <c r="AA316" s="65"/>
      <c r="AB316" s="65"/>
    </row>
    <row r="317" spans="1:28" ht="18" x14ac:dyDescent="0.25">
      <c r="A317" s="271"/>
      <c r="B317" s="156"/>
      <c r="C317" s="156"/>
      <c r="D317" s="156"/>
      <c r="E317" s="156"/>
      <c r="F317" s="156"/>
      <c r="G317" s="156"/>
      <c r="H317" s="156"/>
      <c r="I317" s="156"/>
      <c r="J317" s="156"/>
      <c r="K317" s="156"/>
      <c r="L317" s="156"/>
      <c r="M317" s="156"/>
      <c r="N317" s="156"/>
      <c r="O317" s="156"/>
      <c r="P317" s="156"/>
      <c r="Q317" s="156"/>
      <c r="R317" s="156"/>
      <c r="S317" s="156"/>
      <c r="T317" s="156"/>
      <c r="U317" s="51"/>
      <c r="V317" s="374"/>
      <c r="W317" s="374"/>
      <c r="X317" s="143"/>
      <c r="Y317" s="360"/>
      <c r="Z317" s="360"/>
      <c r="AA317" s="65"/>
      <c r="AB317" s="65"/>
    </row>
    <row r="318" spans="1:28" ht="18" x14ac:dyDescent="0.25">
      <c r="A318" s="271"/>
      <c r="B318" s="156"/>
      <c r="C318" s="156"/>
      <c r="D318" s="156"/>
      <c r="E318" s="156"/>
      <c r="F318" s="156"/>
      <c r="G318" s="156"/>
      <c r="H318" s="156"/>
      <c r="I318" s="156"/>
      <c r="J318" s="156"/>
      <c r="K318" s="156"/>
      <c r="L318" s="156"/>
      <c r="M318" s="156"/>
      <c r="N318" s="156"/>
      <c r="O318" s="156"/>
      <c r="P318" s="156"/>
      <c r="Q318" s="156"/>
      <c r="R318" s="156"/>
      <c r="S318" s="156"/>
      <c r="T318" s="156"/>
      <c r="U318" s="51"/>
      <c r="V318" s="374"/>
      <c r="W318" s="374"/>
      <c r="X318" s="143"/>
      <c r="Y318" s="360"/>
      <c r="Z318" s="360"/>
      <c r="AA318" s="65"/>
      <c r="AB318" s="65"/>
    </row>
    <row r="319" spans="1:28" ht="18" x14ac:dyDescent="0.25">
      <c r="A319" s="271"/>
      <c r="B319" s="156"/>
      <c r="C319" s="156"/>
      <c r="D319" s="156"/>
      <c r="E319" s="156"/>
      <c r="F319" s="156"/>
      <c r="G319" s="156"/>
      <c r="H319" s="156"/>
      <c r="I319" s="156"/>
      <c r="J319" s="156"/>
      <c r="K319" s="156"/>
      <c r="L319" s="156"/>
      <c r="M319" s="156"/>
      <c r="N319" s="156"/>
      <c r="O319" s="156"/>
      <c r="P319" s="156"/>
      <c r="Q319" s="156"/>
      <c r="R319" s="156"/>
      <c r="S319" s="156"/>
      <c r="T319" s="156"/>
      <c r="U319" s="51"/>
      <c r="V319" s="374"/>
      <c r="W319" s="374"/>
      <c r="X319" s="143"/>
      <c r="Y319" s="360"/>
      <c r="Z319" s="360"/>
      <c r="AA319" s="65"/>
      <c r="AB319" s="65"/>
    </row>
    <row r="320" spans="1:28" ht="18" x14ac:dyDescent="0.25">
      <c r="A320" s="271"/>
      <c r="B320" s="156"/>
      <c r="C320" s="156"/>
      <c r="D320" s="156"/>
      <c r="E320" s="156"/>
      <c r="F320" s="156"/>
      <c r="G320" s="156"/>
      <c r="H320" s="156"/>
      <c r="I320" s="156"/>
      <c r="J320" s="156"/>
      <c r="K320" s="156"/>
      <c r="L320" s="156"/>
      <c r="M320" s="156"/>
      <c r="N320" s="156"/>
      <c r="O320" s="156"/>
      <c r="P320" s="156"/>
      <c r="Q320" s="156"/>
      <c r="R320" s="156"/>
      <c r="S320" s="156"/>
      <c r="T320" s="156"/>
      <c r="U320" s="51"/>
      <c r="V320" s="374"/>
      <c r="W320" s="374"/>
      <c r="X320" s="143"/>
      <c r="Y320" s="360"/>
      <c r="Z320" s="360"/>
      <c r="AA320" s="65"/>
      <c r="AB320" s="65"/>
    </row>
    <row r="321" spans="1:28" ht="18" x14ac:dyDescent="0.25">
      <c r="A321" s="271"/>
      <c r="B321" s="156"/>
      <c r="C321" s="156"/>
      <c r="D321" s="156"/>
      <c r="E321" s="156"/>
      <c r="F321" s="156"/>
      <c r="G321" s="156"/>
      <c r="H321" s="156"/>
      <c r="I321" s="156"/>
      <c r="J321" s="156"/>
      <c r="K321" s="156"/>
      <c r="L321" s="156"/>
      <c r="M321" s="156"/>
      <c r="N321" s="156"/>
      <c r="O321" s="156"/>
      <c r="P321" s="156"/>
      <c r="Q321" s="156"/>
      <c r="R321" s="156"/>
      <c r="S321" s="156"/>
      <c r="T321" s="156"/>
      <c r="U321" s="51"/>
      <c r="V321" s="374"/>
      <c r="W321" s="374"/>
      <c r="X321" s="143"/>
      <c r="Y321" s="360"/>
      <c r="Z321" s="360"/>
      <c r="AA321" s="65"/>
      <c r="AB321" s="65"/>
    </row>
    <row r="322" spans="1:28" ht="18" x14ac:dyDescent="0.25">
      <c r="A322" s="271"/>
      <c r="B322" s="156"/>
      <c r="C322" s="156"/>
      <c r="D322" s="156"/>
      <c r="E322" s="156"/>
      <c r="F322" s="156"/>
      <c r="G322" s="156"/>
      <c r="H322" s="156"/>
      <c r="I322" s="156"/>
      <c r="J322" s="156"/>
      <c r="K322" s="156"/>
      <c r="L322" s="156"/>
      <c r="M322" s="156"/>
      <c r="N322" s="156"/>
      <c r="O322" s="156"/>
      <c r="P322" s="156"/>
      <c r="Q322" s="156"/>
      <c r="R322" s="156"/>
      <c r="S322" s="156"/>
      <c r="T322" s="156"/>
      <c r="U322" s="51"/>
      <c r="V322" s="374"/>
      <c r="W322" s="374"/>
      <c r="X322" s="143"/>
      <c r="Y322" s="360"/>
      <c r="Z322" s="360"/>
      <c r="AA322" s="65"/>
      <c r="AB322" s="65"/>
    </row>
    <row r="323" spans="1:28" ht="18" x14ac:dyDescent="0.25">
      <c r="A323" s="271"/>
      <c r="B323" s="156"/>
      <c r="C323" s="156"/>
      <c r="D323" s="156"/>
      <c r="E323" s="156"/>
      <c r="F323" s="156"/>
      <c r="G323" s="156"/>
      <c r="H323" s="156"/>
      <c r="I323" s="156"/>
      <c r="J323" s="156"/>
      <c r="K323" s="156"/>
      <c r="L323" s="156"/>
      <c r="M323" s="156"/>
      <c r="N323" s="156"/>
      <c r="O323" s="156"/>
      <c r="P323" s="156"/>
      <c r="Q323" s="156"/>
      <c r="R323" s="156"/>
      <c r="S323" s="156"/>
      <c r="T323" s="156"/>
      <c r="U323" s="51"/>
      <c r="V323" s="374"/>
      <c r="W323" s="374"/>
      <c r="X323" s="143"/>
      <c r="Y323" s="360"/>
      <c r="Z323" s="360"/>
      <c r="AA323" s="65"/>
      <c r="AB323" s="65"/>
    </row>
  </sheetData>
  <mergeCells count="2">
    <mergeCell ref="C7:C8"/>
    <mergeCell ref="O7:O8"/>
  </mergeCells>
  <phoneticPr fontId="0" type="noConversion"/>
  <printOptions horizontalCentered="1" verticalCentered="1"/>
  <pageMargins left="0.25" right="0.25" top="0.5" bottom="0.5" header="0" footer="0"/>
  <pageSetup scale="62"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BFA5C-1368-4128-B725-042CC0E6A735}">
  <sheetPr>
    <tabColor theme="5" tint="0.59999389629810485"/>
    <pageSetUpPr fitToPage="1"/>
  </sheetPr>
  <dimension ref="A1:AN439"/>
  <sheetViews>
    <sheetView view="pageBreakPreview" topLeftCell="A46" zoomScale="85" zoomScaleNormal="95" zoomScaleSheetLayoutView="85" workbookViewId="0">
      <selection sqref="A1:XFD1048576"/>
    </sheetView>
  </sheetViews>
  <sheetFormatPr baseColWidth="10" defaultColWidth="8.77734375" defaultRowHeight="12.75" x14ac:dyDescent="0.2"/>
  <cols>
    <col min="1" max="1" width="3" style="1" customWidth="1"/>
    <col min="2" max="2" width="15.77734375" style="1" customWidth="1"/>
    <col min="3" max="3" width="7.77734375" style="1" customWidth="1"/>
    <col min="4" max="4" width="8.109375" style="1" customWidth="1"/>
    <col min="5" max="5" width="8.77734375" style="1" customWidth="1"/>
    <col min="6" max="6" width="8.44140625" style="1" customWidth="1"/>
    <col min="7" max="7" width="13.109375" style="199" customWidth="1"/>
    <col min="8" max="9" width="11.77734375" style="199" customWidth="1"/>
    <col min="10" max="10" width="10.44140625" style="199" customWidth="1"/>
    <col min="11" max="11" width="10.44140625" style="199" hidden="1" customWidth="1"/>
    <col min="12" max="13" width="10.44140625" style="1" hidden="1" customWidth="1"/>
    <col min="14" max="14" width="15.109375" style="1" customWidth="1"/>
    <col min="15" max="15" width="14.77734375" style="1" customWidth="1"/>
    <col min="16" max="16" width="14.109375" style="1" customWidth="1"/>
    <col min="17" max="17" width="12.44140625" style="1" customWidth="1"/>
    <col min="18" max="18" width="7" style="1" customWidth="1"/>
    <col min="19" max="19" width="11.5546875" style="1" customWidth="1"/>
    <col min="20" max="20" width="5.77734375" style="1" customWidth="1"/>
    <col min="21" max="21" width="11.109375" style="1" hidden="1" customWidth="1"/>
    <col min="22" max="23" width="10.77734375" style="1" hidden="1" customWidth="1"/>
    <col min="24" max="24" width="10.5546875" style="1" hidden="1" customWidth="1"/>
    <col min="25" max="25" width="8.77734375" style="1" hidden="1" customWidth="1"/>
    <col min="26" max="26" width="9.5546875" style="1" hidden="1" customWidth="1"/>
    <col min="27" max="34" width="8.77734375" style="1" hidden="1" customWidth="1"/>
    <col min="35" max="35" width="10.109375" style="1" hidden="1" customWidth="1"/>
    <col min="36" max="36" width="10.77734375" style="1" customWidth="1"/>
    <col min="37" max="37" width="11.109375" style="1" customWidth="1"/>
    <col min="38" max="38" width="10.77734375" style="1" customWidth="1"/>
    <col min="39" max="39" width="10.109375" style="1" customWidth="1"/>
    <col min="40" max="40" width="11.109375" style="1" bestFit="1" customWidth="1"/>
    <col min="41" max="16384" width="8.77734375" style="1"/>
  </cols>
  <sheetData>
    <row r="1" spans="1:37" ht="12.75" customHeight="1" x14ac:dyDescent="0.2">
      <c r="A1" s="1" t="s">
        <v>332</v>
      </c>
      <c r="C1" s="3"/>
      <c r="D1" s="3"/>
      <c r="E1" s="6">
        <v>45992</v>
      </c>
      <c r="F1" s="462"/>
      <c r="S1" s="1" t="s">
        <v>179</v>
      </c>
      <c r="U1" s="51" t="s">
        <v>60</v>
      </c>
      <c r="V1" s="51"/>
      <c r="W1" s="67">
        <f>DATE(YEAR(E1),MONTH(E1)+1,1)-DATE(YEAR(E1),MONTH(E1),1)</f>
        <v>31</v>
      </c>
    </row>
    <row r="2" spans="1:37" x14ac:dyDescent="0.2">
      <c r="A2" s="3" t="s">
        <v>0</v>
      </c>
      <c r="I2" s="882"/>
      <c r="N2" s="365"/>
      <c r="O2" s="179"/>
    </row>
    <row r="3" spans="1:37" x14ac:dyDescent="0.2">
      <c r="A3" s="133" t="s">
        <v>109</v>
      </c>
      <c r="B3" s="133"/>
      <c r="C3" s="133"/>
      <c r="D3" s="133"/>
      <c r="E3" s="133"/>
      <c r="F3" s="133"/>
      <c r="G3" s="133"/>
      <c r="H3" s="133"/>
      <c r="I3" s="133"/>
      <c r="J3" s="133"/>
      <c r="K3" s="133"/>
      <c r="L3" s="133"/>
      <c r="M3" s="133"/>
      <c r="N3" s="133"/>
      <c r="O3" s="133"/>
      <c r="P3" s="133"/>
      <c r="Q3" s="133"/>
      <c r="R3" s="133"/>
      <c r="S3" s="133"/>
      <c r="T3" s="133"/>
    </row>
    <row r="4" spans="1:37" x14ac:dyDescent="0.2">
      <c r="A4" s="132" t="str">
        <f>"Correspondiente a  "&amp;TEXT(E1,"MMMMMMM YYYY")</f>
        <v>Correspondiente a  Diciembre 2025</v>
      </c>
      <c r="B4" s="132"/>
      <c r="C4" s="132"/>
      <c r="D4" s="132"/>
      <c r="E4" s="132"/>
      <c r="F4" s="132"/>
      <c r="G4" s="132"/>
      <c r="H4" s="132"/>
      <c r="I4" s="132"/>
      <c r="J4" s="132"/>
      <c r="K4" s="132"/>
      <c r="L4" s="132"/>
      <c r="M4" s="132"/>
      <c r="N4" s="132"/>
      <c r="O4" s="881"/>
      <c r="P4" s="132"/>
      <c r="Q4" s="132"/>
      <c r="R4" s="132"/>
      <c r="S4" s="132"/>
      <c r="T4" s="132"/>
    </row>
    <row r="5" spans="1:37"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c r="U5" s="65"/>
      <c r="V5" s="65"/>
    </row>
    <row r="6" spans="1:37" x14ac:dyDescent="0.2">
      <c r="E6" s="65"/>
      <c r="F6" s="65"/>
      <c r="G6" s="264"/>
      <c r="H6" s="200"/>
      <c r="O6" s="257"/>
      <c r="Q6" s="385"/>
      <c r="U6" s="65"/>
      <c r="W6" s="65"/>
    </row>
    <row r="7" spans="1:37"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7"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7"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7" x14ac:dyDescent="0.2">
      <c r="A10" s="23" t="s">
        <v>28</v>
      </c>
      <c r="B10" s="24" t="s">
        <v>13</v>
      </c>
      <c r="C10" s="57" t="s">
        <v>29</v>
      </c>
      <c r="D10" s="25" t="s">
        <v>21</v>
      </c>
      <c r="E10" s="57" t="s">
        <v>98</v>
      </c>
      <c r="F10" s="236" t="s">
        <v>37</v>
      </c>
      <c r="G10" s="215">
        <v>5569</v>
      </c>
      <c r="H10" s="215">
        <v>6085</v>
      </c>
      <c r="I10" s="217">
        <v>62.748600000000003</v>
      </c>
      <c r="J10" s="217">
        <v>61.100700000000003</v>
      </c>
      <c r="K10" s="222"/>
      <c r="L10" s="222"/>
      <c r="M10" s="222"/>
      <c r="N10" s="386">
        <v>99.1</v>
      </c>
      <c r="O10" s="215">
        <f t="shared" ref="O10:O26" si="0">ROUND(G10*I10,2)+ROUND(H10*J10,2)-K10-L10-M10-N10</f>
        <v>721145.61</v>
      </c>
      <c r="P10" s="222">
        <f t="shared" ref="P10:P26" si="1">ROUND(18.75%*O10,2)</f>
        <v>135214.79999999999</v>
      </c>
      <c r="Q10" s="222">
        <f t="shared" ref="Q10:Q26" si="2">ROUND($O10*R10,2)</f>
        <v>108171.84</v>
      </c>
      <c r="R10" s="223">
        <v>0.15</v>
      </c>
      <c r="S10" s="222">
        <f t="shared" ref="S10:S32" si="3">ROUND($O10*T10,2)</f>
        <v>27042.959999999999</v>
      </c>
      <c r="T10" s="258">
        <v>3.7499999999999999E-2</v>
      </c>
      <c r="U10" s="66">
        <f t="shared" ref="U10:U28" si="4">IF($F10&amp;"/Día"=W$9,SUM($G10:$H10),"")</f>
        <v>11654</v>
      </c>
      <c r="V10" s="66">
        <f t="shared" ref="V10:V28" si="5">IF(U10&lt;&gt;"",$O10,"")</f>
        <v>721145.61</v>
      </c>
      <c r="W10" s="73">
        <f t="shared" ref="W10:W28" si="6">IF($F10&amp;"/Día"=W$9,ROUND(U10/$W$1,1),"")</f>
        <v>375.9</v>
      </c>
      <c r="X10" s="74">
        <f t="shared" ref="X10:X28" si="7">IF(U10=0,0,IF($F10&amp;"/Día"=W$9,ROUND(V10/U10,4),""))</f>
        <v>61.8797</v>
      </c>
      <c r="Y10" s="74">
        <f t="shared" ref="Y10:Y28" si="8">IF(U10=0,0,IF($F10&amp;"/Día"=W$9,ROUND(Z10/U10,4),""))</f>
        <v>11.602399999999999</v>
      </c>
      <c r="Z10" s="66">
        <f t="shared" ref="Z10:Z28" si="9">IF(U10&lt;&gt;"",$P10,"")</f>
        <v>135214.79999999999</v>
      </c>
      <c r="AA10" s="66" t="str">
        <f t="shared" ref="AA10:AA28" si="10">IF($F10&amp;"/Día"=AC$9,SUM($G10:$H10),"")</f>
        <v/>
      </c>
      <c r="AB10" s="66" t="str">
        <f t="shared" ref="AB10:AB28" si="11">IF(AA10&lt;&gt;"",$O10,"")</f>
        <v/>
      </c>
      <c r="AC10" s="73" t="str">
        <f t="shared" ref="AC10:AC28" si="12">IF($F10&amp;"/Día"=AC$9,ROUND(AA10/$W$1,1),"")</f>
        <v/>
      </c>
      <c r="AD10" s="74" t="str">
        <f t="shared" ref="AD10:AD28" si="13">IF(AA10=0,0,IF($F10&amp;"/Día"=AC$9,ROUND(AB10/AA10,4),""))</f>
        <v/>
      </c>
      <c r="AE10" s="74" t="str">
        <f t="shared" ref="AE10:AE28" si="14">IF(AA10=0,0,IF($F10&amp;"/Día"=AC$9,ROUND(AF10/AA10,4),""))</f>
        <v/>
      </c>
      <c r="AF10" s="66" t="str">
        <f t="shared" ref="AF10:AF28" si="15">IF(AA10&lt;&gt;"",$P10,"")</f>
        <v/>
      </c>
      <c r="AG10" s="49"/>
      <c r="AJ10" s="257"/>
      <c r="AK10" s="257"/>
    </row>
    <row r="11" spans="1:37" ht="12.75" customHeight="1" x14ac:dyDescent="0.2">
      <c r="A11" s="23" t="s">
        <v>28</v>
      </c>
      <c r="B11" s="24" t="s">
        <v>14</v>
      </c>
      <c r="C11" s="57" t="s">
        <v>29</v>
      </c>
      <c r="D11" s="25" t="s">
        <v>21</v>
      </c>
      <c r="E11" s="57" t="s">
        <v>98</v>
      </c>
      <c r="F11" s="236" t="s">
        <v>56</v>
      </c>
      <c r="G11" s="215">
        <v>42027.125399999997</v>
      </c>
      <c r="H11" s="215">
        <v>40978.427600000003</v>
      </c>
      <c r="I11" s="217">
        <v>3</v>
      </c>
      <c r="J11" s="217">
        <v>3</v>
      </c>
      <c r="K11" s="222"/>
      <c r="L11" s="222"/>
      <c r="M11" s="222"/>
      <c r="N11" s="386">
        <v>2513.23</v>
      </c>
      <c r="O11" s="215">
        <f t="shared" si="0"/>
        <v>246503.43</v>
      </c>
      <c r="P11" s="222">
        <f t="shared" si="1"/>
        <v>46219.39</v>
      </c>
      <c r="Q11" s="222">
        <f t="shared" si="2"/>
        <v>36975.51</v>
      </c>
      <c r="R11" s="223">
        <v>0.15</v>
      </c>
      <c r="S11" s="222">
        <f t="shared" si="3"/>
        <v>9243.8799999999992</v>
      </c>
      <c r="T11" s="258">
        <v>3.7499999999999999E-2</v>
      </c>
      <c r="U11" s="40" t="str">
        <f t="shared" si="4"/>
        <v/>
      </c>
      <c r="V11" s="40" t="str">
        <f t="shared" si="5"/>
        <v/>
      </c>
      <c r="W11" s="75" t="str">
        <f t="shared" si="6"/>
        <v/>
      </c>
      <c r="X11" s="76" t="str">
        <f t="shared" si="7"/>
        <v/>
      </c>
      <c r="Y11" s="76" t="str">
        <f t="shared" si="8"/>
        <v/>
      </c>
      <c r="Z11" s="40" t="str">
        <f t="shared" si="9"/>
        <v/>
      </c>
      <c r="AA11" s="40">
        <f t="shared" si="10"/>
        <v>83005.553</v>
      </c>
      <c r="AB11" s="40">
        <f t="shared" si="11"/>
        <v>246503.43</v>
      </c>
      <c r="AC11" s="75">
        <f t="shared" si="12"/>
        <v>2677.6</v>
      </c>
      <c r="AD11" s="76">
        <f t="shared" si="13"/>
        <v>2.9697</v>
      </c>
      <c r="AE11" s="76">
        <f t="shared" si="14"/>
        <v>0.55679999999999996</v>
      </c>
      <c r="AF11" s="40">
        <f t="shared" si="15"/>
        <v>46219.39</v>
      </c>
      <c r="AG11" s="50"/>
      <c r="AJ11" s="257"/>
      <c r="AK11" s="257"/>
    </row>
    <row r="12" spans="1:37" x14ac:dyDescent="0.2">
      <c r="A12" s="23" t="s">
        <v>28</v>
      </c>
      <c r="B12" s="1131" t="s">
        <v>3</v>
      </c>
      <c r="C12" s="57" t="s">
        <v>31</v>
      </c>
      <c r="D12" s="25" t="s">
        <v>30</v>
      </c>
      <c r="E12" s="57" t="s">
        <v>101</v>
      </c>
      <c r="F12" s="236" t="s">
        <v>37</v>
      </c>
      <c r="G12" s="215"/>
      <c r="H12" s="215"/>
      <c r="I12" s="217"/>
      <c r="J12" s="217"/>
      <c r="K12" s="222"/>
      <c r="L12" s="222"/>
      <c r="M12" s="222"/>
      <c r="N12" s="386"/>
      <c r="O12" s="215">
        <f t="shared" si="0"/>
        <v>0</v>
      </c>
      <c r="P12" s="222">
        <f t="shared" si="1"/>
        <v>0</v>
      </c>
      <c r="Q12" s="222">
        <f t="shared" si="2"/>
        <v>0</v>
      </c>
      <c r="R12" s="223">
        <v>0.15</v>
      </c>
      <c r="S12" s="222">
        <f t="shared" si="3"/>
        <v>0</v>
      </c>
      <c r="T12" s="258">
        <v>3.7499999999999999E-2</v>
      </c>
      <c r="U12" s="40">
        <f t="shared" si="4"/>
        <v>0</v>
      </c>
      <c r="V12" s="40">
        <f t="shared" si="5"/>
        <v>0</v>
      </c>
      <c r="W12" s="75">
        <f t="shared" si="6"/>
        <v>0</v>
      </c>
      <c r="X12" s="76">
        <f t="shared" si="7"/>
        <v>0</v>
      </c>
      <c r="Y12" s="76">
        <f t="shared" si="8"/>
        <v>0</v>
      </c>
      <c r="Z12" s="40">
        <f t="shared" si="9"/>
        <v>0</v>
      </c>
      <c r="AA12" s="40" t="str">
        <f t="shared" si="10"/>
        <v/>
      </c>
      <c r="AB12" s="40" t="str">
        <f t="shared" si="11"/>
        <v/>
      </c>
      <c r="AC12" s="75" t="str">
        <f t="shared" si="12"/>
        <v/>
      </c>
      <c r="AD12" s="76" t="str">
        <f t="shared" si="13"/>
        <v/>
      </c>
      <c r="AE12" s="76" t="str">
        <f t="shared" si="14"/>
        <v/>
      </c>
      <c r="AF12" s="40" t="str">
        <f t="shared" si="15"/>
        <v/>
      </c>
      <c r="AG12" s="50"/>
      <c r="AJ12" s="257"/>
      <c r="AK12" s="257"/>
    </row>
    <row r="13" spans="1:37" x14ac:dyDescent="0.2">
      <c r="A13" s="242" t="s">
        <v>28</v>
      </c>
      <c r="B13" s="1132" t="s">
        <v>369</v>
      </c>
      <c r="C13" s="236" t="s">
        <v>29</v>
      </c>
      <c r="D13" s="243" t="s">
        <v>21</v>
      </c>
      <c r="E13" s="236" t="s">
        <v>98</v>
      </c>
      <c r="F13" s="236" t="s">
        <v>56</v>
      </c>
      <c r="G13" s="215"/>
      <c r="H13" s="215"/>
      <c r="I13" s="217"/>
      <c r="J13" s="217"/>
      <c r="K13" s="222"/>
      <c r="L13" s="222"/>
      <c r="M13" s="222"/>
      <c r="N13" s="386"/>
      <c r="O13" s="215">
        <f t="shared" si="0"/>
        <v>0</v>
      </c>
      <c r="P13" s="222">
        <f t="shared" si="1"/>
        <v>0</v>
      </c>
      <c r="Q13" s="222">
        <f t="shared" si="2"/>
        <v>0</v>
      </c>
      <c r="R13" s="223">
        <v>0.15</v>
      </c>
      <c r="S13" s="222">
        <f t="shared" si="3"/>
        <v>0</v>
      </c>
      <c r="T13" s="258">
        <v>3.7499999999999999E-2</v>
      </c>
      <c r="U13" s="40" t="str">
        <f t="shared" si="4"/>
        <v/>
      </c>
      <c r="V13" s="40" t="str">
        <f t="shared" si="5"/>
        <v/>
      </c>
      <c r="W13" s="75" t="str">
        <f t="shared" si="6"/>
        <v/>
      </c>
      <c r="X13" s="76" t="str">
        <f t="shared" si="7"/>
        <v/>
      </c>
      <c r="Y13" s="76" t="str">
        <f t="shared" si="8"/>
        <v/>
      </c>
      <c r="Z13" s="40" t="str">
        <f t="shared" si="9"/>
        <v/>
      </c>
      <c r="AA13" s="40">
        <f t="shared" si="10"/>
        <v>0</v>
      </c>
      <c r="AB13" s="40">
        <f t="shared" si="11"/>
        <v>0</v>
      </c>
      <c r="AC13" s="75">
        <f t="shared" si="12"/>
        <v>0</v>
      </c>
      <c r="AD13" s="76">
        <f t="shared" si="13"/>
        <v>0</v>
      </c>
      <c r="AE13" s="76">
        <f t="shared" si="14"/>
        <v>0</v>
      </c>
      <c r="AF13" s="40">
        <f t="shared" si="15"/>
        <v>0</v>
      </c>
      <c r="AG13" s="50"/>
      <c r="AJ13" s="257"/>
      <c r="AK13" s="257"/>
    </row>
    <row r="14" spans="1:37" x14ac:dyDescent="0.2">
      <c r="A14" s="23" t="s">
        <v>28</v>
      </c>
      <c r="B14" s="24" t="s">
        <v>4</v>
      </c>
      <c r="C14" s="57" t="s">
        <v>31</v>
      </c>
      <c r="D14" s="25" t="s">
        <v>30</v>
      </c>
      <c r="E14" s="57" t="s">
        <v>101</v>
      </c>
      <c r="F14" s="236" t="s">
        <v>37</v>
      </c>
      <c r="G14" s="215">
        <v>37051</v>
      </c>
      <c r="H14" s="215">
        <v>36701</v>
      </c>
      <c r="I14" s="217">
        <v>62.748600000000003</v>
      </c>
      <c r="J14" s="217">
        <v>61.100700000000003</v>
      </c>
      <c r="K14" s="222"/>
      <c r="L14" s="222"/>
      <c r="M14" s="222"/>
      <c r="N14" s="386">
        <v>1174.74</v>
      </c>
      <c r="O14" s="215">
        <f t="shared" si="0"/>
        <v>4566180.43</v>
      </c>
      <c r="P14" s="222">
        <f t="shared" si="1"/>
        <v>856158.83</v>
      </c>
      <c r="Q14" s="222">
        <f t="shared" si="2"/>
        <v>684927.06</v>
      </c>
      <c r="R14" s="223">
        <v>0.15</v>
      </c>
      <c r="S14" s="222">
        <f t="shared" si="3"/>
        <v>171231.77</v>
      </c>
      <c r="T14" s="258">
        <v>3.7499999999999999E-2</v>
      </c>
      <c r="U14" s="40">
        <f t="shared" si="4"/>
        <v>73752</v>
      </c>
      <c r="V14" s="40">
        <f t="shared" si="5"/>
        <v>4566180.43</v>
      </c>
      <c r="W14" s="75">
        <f t="shared" si="6"/>
        <v>2379.1</v>
      </c>
      <c r="X14" s="76">
        <f t="shared" si="7"/>
        <v>61.912599999999998</v>
      </c>
      <c r="Y14" s="76">
        <f t="shared" si="8"/>
        <v>11.608599999999999</v>
      </c>
      <c r="Z14" s="40">
        <f t="shared" si="9"/>
        <v>856158.83</v>
      </c>
      <c r="AA14" s="40" t="str">
        <f t="shared" si="10"/>
        <v/>
      </c>
      <c r="AB14" s="40" t="str">
        <f t="shared" si="11"/>
        <v/>
      </c>
      <c r="AC14" s="75" t="str">
        <f t="shared" si="12"/>
        <v/>
      </c>
      <c r="AD14" s="76" t="str">
        <f t="shared" si="13"/>
        <v/>
      </c>
      <c r="AE14" s="76" t="str">
        <f t="shared" si="14"/>
        <v/>
      </c>
      <c r="AF14" s="40" t="str">
        <f t="shared" si="15"/>
        <v/>
      </c>
      <c r="AG14" s="50"/>
      <c r="AJ14" s="257"/>
      <c r="AK14" s="257"/>
    </row>
    <row r="15" spans="1:37" x14ac:dyDescent="0.2">
      <c r="A15" s="23" t="s">
        <v>28</v>
      </c>
      <c r="B15" s="24" t="s">
        <v>370</v>
      </c>
      <c r="C15" s="236" t="s">
        <v>29</v>
      </c>
      <c r="D15" s="243" t="s">
        <v>21</v>
      </c>
      <c r="E15" s="236" t="s">
        <v>98</v>
      </c>
      <c r="F15" s="236" t="s">
        <v>56</v>
      </c>
      <c r="G15" s="215">
        <v>96949.656199999998</v>
      </c>
      <c r="H15" s="215">
        <v>94901.525599999994</v>
      </c>
      <c r="I15" s="217">
        <v>2.9276</v>
      </c>
      <c r="J15" s="217">
        <v>2.9276</v>
      </c>
      <c r="K15" s="222"/>
      <c r="L15" s="222"/>
      <c r="M15" s="222"/>
      <c r="N15" s="222">
        <v>564.42999999999995</v>
      </c>
      <c r="O15" s="224">
        <f t="shared" si="0"/>
        <v>561099.09</v>
      </c>
      <c r="P15" s="222">
        <f t="shared" si="1"/>
        <v>105206.08</v>
      </c>
      <c r="Q15" s="222">
        <f t="shared" si="2"/>
        <v>84164.86</v>
      </c>
      <c r="R15" s="223">
        <v>0.15</v>
      </c>
      <c r="S15" s="222">
        <f t="shared" si="3"/>
        <v>21041.22</v>
      </c>
      <c r="T15" s="258">
        <v>3.7499999999999999E-2</v>
      </c>
      <c r="U15" s="40" t="str">
        <f t="shared" si="4"/>
        <v/>
      </c>
      <c r="V15" s="40" t="str">
        <f t="shared" si="5"/>
        <v/>
      </c>
      <c r="W15" s="75" t="str">
        <f t="shared" si="6"/>
        <v/>
      </c>
      <c r="X15" s="76" t="str">
        <f t="shared" si="7"/>
        <v/>
      </c>
      <c r="Y15" s="76" t="str">
        <f t="shared" si="8"/>
        <v/>
      </c>
      <c r="Z15" s="40" t="str">
        <f t="shared" si="9"/>
        <v/>
      </c>
      <c r="AA15" s="40">
        <f t="shared" si="10"/>
        <v>191851.18179999999</v>
      </c>
      <c r="AB15" s="40">
        <f t="shared" si="11"/>
        <v>561099.09</v>
      </c>
      <c r="AC15" s="75">
        <f t="shared" si="12"/>
        <v>6188.7</v>
      </c>
      <c r="AD15" s="76">
        <f t="shared" si="13"/>
        <v>2.9247000000000001</v>
      </c>
      <c r="AE15" s="76">
        <f t="shared" si="14"/>
        <v>0.5484</v>
      </c>
      <c r="AF15" s="40">
        <f t="shared" si="15"/>
        <v>105206.08</v>
      </c>
      <c r="AG15" s="50"/>
      <c r="AJ15" s="257"/>
      <c r="AK15" s="257"/>
    </row>
    <row r="16" spans="1:37" x14ac:dyDescent="0.2">
      <c r="A16" s="23" t="s">
        <v>28</v>
      </c>
      <c r="B16" s="24" t="s">
        <v>5</v>
      </c>
      <c r="C16" s="57" t="s">
        <v>31</v>
      </c>
      <c r="D16" s="25" t="s">
        <v>30</v>
      </c>
      <c r="E16" s="57" t="s">
        <v>101</v>
      </c>
      <c r="F16" s="236" t="s">
        <v>37</v>
      </c>
      <c r="G16" s="215"/>
      <c r="H16" s="215">
        <v>49513</v>
      </c>
      <c r="I16" s="217"/>
      <c r="J16" s="217">
        <v>61.100700000000003</v>
      </c>
      <c r="K16" s="222"/>
      <c r="L16" s="222"/>
      <c r="M16" s="222"/>
      <c r="N16" s="222">
        <v>2083.87</v>
      </c>
      <c r="O16" s="215">
        <f t="shared" si="0"/>
        <v>3023195.09</v>
      </c>
      <c r="P16" s="222">
        <f t="shared" si="1"/>
        <v>566849.07999999996</v>
      </c>
      <c r="Q16" s="222">
        <f t="shared" si="2"/>
        <v>453479.26</v>
      </c>
      <c r="R16" s="223">
        <v>0.15</v>
      </c>
      <c r="S16" s="222">
        <f t="shared" si="3"/>
        <v>113369.82</v>
      </c>
      <c r="T16" s="258">
        <v>3.7499999999999999E-2</v>
      </c>
      <c r="U16" s="40">
        <f t="shared" si="4"/>
        <v>49513</v>
      </c>
      <c r="V16" s="40">
        <f t="shared" si="5"/>
        <v>3023195.09</v>
      </c>
      <c r="W16" s="75">
        <f t="shared" si="6"/>
        <v>1597.2</v>
      </c>
      <c r="X16" s="76">
        <f t="shared" si="7"/>
        <v>61.058599999999998</v>
      </c>
      <c r="Y16" s="76">
        <f t="shared" si="8"/>
        <v>11.448499999999999</v>
      </c>
      <c r="Z16" s="40">
        <f t="shared" si="9"/>
        <v>566849.07999999996</v>
      </c>
      <c r="AA16" s="40" t="str">
        <f t="shared" si="10"/>
        <v/>
      </c>
      <c r="AB16" s="40" t="str">
        <f t="shared" si="11"/>
        <v/>
      </c>
      <c r="AC16" s="75" t="str">
        <f t="shared" si="12"/>
        <v/>
      </c>
      <c r="AD16" s="76" t="str">
        <f t="shared" si="13"/>
        <v/>
      </c>
      <c r="AE16" s="76" t="str">
        <f t="shared" si="14"/>
        <v/>
      </c>
      <c r="AF16" s="40" t="str">
        <f t="shared" si="15"/>
        <v/>
      </c>
      <c r="AG16" s="50"/>
      <c r="AJ16" s="257"/>
      <c r="AK16" s="257"/>
    </row>
    <row r="17" spans="1:37" x14ac:dyDescent="0.2">
      <c r="A17" s="23" t="s">
        <v>28</v>
      </c>
      <c r="B17" s="24" t="s">
        <v>371</v>
      </c>
      <c r="C17" s="57" t="s">
        <v>31</v>
      </c>
      <c r="D17" s="25" t="s">
        <v>30</v>
      </c>
      <c r="E17" s="57" t="s">
        <v>101</v>
      </c>
      <c r="F17" s="236" t="s">
        <v>37</v>
      </c>
      <c r="G17" s="215"/>
      <c r="H17" s="215">
        <v>31114.392599999999</v>
      </c>
      <c r="I17" s="217"/>
      <c r="J17" s="217">
        <v>2.8389000000000002</v>
      </c>
      <c r="K17" s="222"/>
      <c r="L17" s="222"/>
      <c r="M17" s="222"/>
      <c r="N17" s="222">
        <v>881.75</v>
      </c>
      <c r="O17" s="215">
        <f t="shared" si="0"/>
        <v>87448.9</v>
      </c>
      <c r="P17" s="222">
        <f t="shared" si="1"/>
        <v>16396.669999999998</v>
      </c>
      <c r="Q17" s="222">
        <f t="shared" si="2"/>
        <v>13117.34</v>
      </c>
      <c r="R17" s="223">
        <v>0.15</v>
      </c>
      <c r="S17" s="222">
        <f t="shared" si="3"/>
        <v>3279.33</v>
      </c>
      <c r="T17" s="258">
        <v>3.7499999999999999E-2</v>
      </c>
      <c r="U17" s="40">
        <f t="shared" si="4"/>
        <v>31114.392599999999</v>
      </c>
      <c r="V17" s="40">
        <f t="shared" si="5"/>
        <v>87448.9</v>
      </c>
      <c r="W17" s="75">
        <f t="shared" si="6"/>
        <v>1003.7</v>
      </c>
      <c r="X17" s="76">
        <f t="shared" si="7"/>
        <v>2.8106</v>
      </c>
      <c r="Y17" s="76">
        <f t="shared" si="8"/>
        <v>0.52700000000000002</v>
      </c>
      <c r="Z17" s="40">
        <f t="shared" si="9"/>
        <v>16396.669999999998</v>
      </c>
      <c r="AA17" s="40" t="str">
        <f t="shared" si="10"/>
        <v/>
      </c>
      <c r="AB17" s="40" t="str">
        <f t="shared" si="11"/>
        <v/>
      </c>
      <c r="AC17" s="75" t="str">
        <f t="shared" si="12"/>
        <v/>
      </c>
      <c r="AD17" s="76" t="str">
        <f t="shared" si="13"/>
        <v/>
      </c>
      <c r="AE17" s="76" t="str">
        <f t="shared" si="14"/>
        <v/>
      </c>
      <c r="AF17" s="40" t="str">
        <f t="shared" si="15"/>
        <v/>
      </c>
      <c r="AG17" s="50"/>
      <c r="AJ17" s="257"/>
      <c r="AK17" s="257"/>
    </row>
    <row r="18" spans="1:37" x14ac:dyDescent="0.2">
      <c r="A18" s="23" t="s">
        <v>28</v>
      </c>
      <c r="B18" s="24" t="s">
        <v>17</v>
      </c>
      <c r="C18" s="57" t="s">
        <v>29</v>
      </c>
      <c r="D18" s="25" t="s">
        <v>21</v>
      </c>
      <c r="E18" s="57" t="s">
        <v>98</v>
      </c>
      <c r="F18" s="236" t="s">
        <v>37</v>
      </c>
      <c r="G18" s="215">
        <v>1647</v>
      </c>
      <c r="H18" s="215">
        <v>1702</v>
      </c>
      <c r="I18" s="217">
        <v>61.656399999999998</v>
      </c>
      <c r="J18" s="217">
        <v>60.458300000000001</v>
      </c>
      <c r="K18" s="222"/>
      <c r="L18" s="222"/>
      <c r="M18" s="222"/>
      <c r="N18" s="386">
        <v>525.65</v>
      </c>
      <c r="O18" s="224">
        <f t="shared" si="0"/>
        <v>203922.47</v>
      </c>
      <c r="P18" s="222">
        <f t="shared" si="1"/>
        <v>38235.46</v>
      </c>
      <c r="Q18" s="222">
        <f t="shared" si="2"/>
        <v>30588.37</v>
      </c>
      <c r="R18" s="223">
        <v>0.15</v>
      </c>
      <c r="S18" s="222">
        <f t="shared" si="3"/>
        <v>7647.09</v>
      </c>
      <c r="T18" s="258">
        <v>3.7499999999999999E-2</v>
      </c>
      <c r="U18" s="40">
        <f t="shared" si="4"/>
        <v>3349</v>
      </c>
      <c r="V18" s="40">
        <f t="shared" si="5"/>
        <v>203922.47</v>
      </c>
      <c r="W18" s="75">
        <f t="shared" si="6"/>
        <v>108</v>
      </c>
      <c r="X18" s="76">
        <f t="shared" si="7"/>
        <v>60.890599999999999</v>
      </c>
      <c r="Y18" s="76">
        <f t="shared" si="8"/>
        <v>11.417</v>
      </c>
      <c r="Z18" s="40">
        <f t="shared" si="9"/>
        <v>38235.46</v>
      </c>
      <c r="AA18" s="40" t="str">
        <f t="shared" si="10"/>
        <v/>
      </c>
      <c r="AB18" s="40" t="str">
        <f t="shared" si="11"/>
        <v/>
      </c>
      <c r="AC18" s="75" t="str">
        <f t="shared" si="12"/>
        <v/>
      </c>
      <c r="AD18" s="76" t="str">
        <f t="shared" si="13"/>
        <v/>
      </c>
      <c r="AE18" s="76" t="str">
        <f t="shared" si="14"/>
        <v/>
      </c>
      <c r="AF18" s="40" t="str">
        <f t="shared" si="15"/>
        <v/>
      </c>
      <c r="AG18" s="50"/>
      <c r="AJ18" s="257"/>
      <c r="AK18" s="257"/>
    </row>
    <row r="19" spans="1:37" x14ac:dyDescent="0.2">
      <c r="A19" s="376" t="s">
        <v>28</v>
      </c>
      <c r="B19" s="377" t="s">
        <v>237</v>
      </c>
      <c r="C19" s="378" t="s">
        <v>31</v>
      </c>
      <c r="D19" s="379" t="s">
        <v>30</v>
      </c>
      <c r="E19" s="378" t="s">
        <v>98</v>
      </c>
      <c r="F19" s="236" t="s">
        <v>37</v>
      </c>
      <c r="G19" s="215"/>
      <c r="H19" s="215"/>
      <c r="I19" s="216"/>
      <c r="J19" s="217"/>
      <c r="K19" s="222"/>
      <c r="L19" s="222"/>
      <c r="M19" s="222"/>
      <c r="N19" s="386"/>
      <c r="O19" s="224">
        <f t="shared" si="0"/>
        <v>0</v>
      </c>
      <c r="P19" s="222">
        <f t="shared" si="1"/>
        <v>0</v>
      </c>
      <c r="Q19" s="222">
        <f t="shared" si="2"/>
        <v>0</v>
      </c>
      <c r="R19" s="223">
        <v>0.15</v>
      </c>
      <c r="S19" s="222">
        <f t="shared" si="3"/>
        <v>0</v>
      </c>
      <c r="T19" s="258">
        <v>3.7499999999999999E-2</v>
      </c>
      <c r="U19" s="40">
        <f t="shared" si="4"/>
        <v>0</v>
      </c>
      <c r="V19" s="40">
        <f t="shared" si="5"/>
        <v>0</v>
      </c>
      <c r="W19" s="75">
        <f t="shared" si="6"/>
        <v>0</v>
      </c>
      <c r="X19" s="76">
        <f t="shared" si="7"/>
        <v>0</v>
      </c>
      <c r="Y19" s="76">
        <f t="shared" si="8"/>
        <v>0</v>
      </c>
      <c r="Z19" s="40">
        <f t="shared" si="9"/>
        <v>0</v>
      </c>
      <c r="AA19" s="40" t="str">
        <f t="shared" si="10"/>
        <v/>
      </c>
      <c r="AB19" s="40" t="str">
        <f t="shared" si="11"/>
        <v/>
      </c>
      <c r="AC19" s="75" t="str">
        <f t="shared" si="12"/>
        <v/>
      </c>
      <c r="AD19" s="76" t="str">
        <f t="shared" si="13"/>
        <v/>
      </c>
      <c r="AE19" s="76" t="str">
        <f t="shared" si="14"/>
        <v/>
      </c>
      <c r="AF19" s="40" t="str">
        <f t="shared" si="15"/>
        <v/>
      </c>
      <c r="AG19" s="50"/>
      <c r="AJ19" s="257"/>
      <c r="AK19" s="257"/>
    </row>
    <row r="20" spans="1:37" x14ac:dyDescent="0.2">
      <c r="A20" s="376" t="s">
        <v>28</v>
      </c>
      <c r="B20" s="377" t="s">
        <v>239</v>
      </c>
      <c r="C20" s="378" t="s">
        <v>31</v>
      </c>
      <c r="D20" s="379" t="s">
        <v>30</v>
      </c>
      <c r="E20" s="378" t="s">
        <v>98</v>
      </c>
      <c r="F20" s="236" t="s">
        <v>56</v>
      </c>
      <c r="G20" s="215"/>
      <c r="H20" s="215"/>
      <c r="I20" s="216"/>
      <c r="J20" s="217"/>
      <c r="K20" s="222"/>
      <c r="L20" s="222"/>
      <c r="M20" s="222"/>
      <c r="N20" s="386"/>
      <c r="O20" s="224">
        <f t="shared" si="0"/>
        <v>0</v>
      </c>
      <c r="P20" s="222">
        <f t="shared" si="1"/>
        <v>0</v>
      </c>
      <c r="Q20" s="222">
        <f t="shared" si="2"/>
        <v>0</v>
      </c>
      <c r="R20" s="223">
        <v>0.15</v>
      </c>
      <c r="S20" s="222">
        <f t="shared" si="3"/>
        <v>0</v>
      </c>
      <c r="T20" s="258">
        <v>3.7499999999999999E-2</v>
      </c>
      <c r="U20" s="40" t="str">
        <f t="shared" si="4"/>
        <v/>
      </c>
      <c r="V20" s="40" t="str">
        <f t="shared" si="5"/>
        <v/>
      </c>
      <c r="W20" s="75" t="str">
        <f t="shared" si="6"/>
        <v/>
      </c>
      <c r="X20" s="76" t="str">
        <f t="shared" si="7"/>
        <v/>
      </c>
      <c r="Y20" s="76" t="str">
        <f t="shared" si="8"/>
        <v/>
      </c>
      <c r="Z20" s="40" t="str">
        <f t="shared" si="9"/>
        <v/>
      </c>
      <c r="AA20" s="40">
        <f t="shared" si="10"/>
        <v>0</v>
      </c>
      <c r="AB20" s="40">
        <f t="shared" si="11"/>
        <v>0</v>
      </c>
      <c r="AC20" s="75">
        <f t="shared" si="12"/>
        <v>0</v>
      </c>
      <c r="AD20" s="76">
        <f t="shared" si="13"/>
        <v>0</v>
      </c>
      <c r="AE20" s="76">
        <f t="shared" si="14"/>
        <v>0</v>
      </c>
      <c r="AF20" s="40">
        <f t="shared" si="15"/>
        <v>0</v>
      </c>
      <c r="AG20" s="50"/>
      <c r="AJ20" s="257"/>
      <c r="AK20" s="257"/>
    </row>
    <row r="21" spans="1:37" x14ac:dyDescent="0.2">
      <c r="A21" s="23" t="s">
        <v>28</v>
      </c>
      <c r="B21" s="24" t="s">
        <v>238</v>
      </c>
      <c r="C21" s="57" t="s">
        <v>31</v>
      </c>
      <c r="D21" s="25" t="s">
        <v>30</v>
      </c>
      <c r="E21" s="57" t="s">
        <v>98</v>
      </c>
      <c r="F21" s="236" t="s">
        <v>37</v>
      </c>
      <c r="G21" s="215">
        <v>15418</v>
      </c>
      <c r="H21" s="215">
        <v>17099</v>
      </c>
      <c r="I21" s="216">
        <v>61.656399999999998</v>
      </c>
      <c r="J21" s="217">
        <v>60.458300000000001</v>
      </c>
      <c r="K21" s="222"/>
      <c r="L21" s="222"/>
      <c r="M21" s="222"/>
      <c r="N21" s="386">
        <v>314.52999999999997</v>
      </c>
      <c r="O21" s="224">
        <f t="shared" si="0"/>
        <v>1984080.32</v>
      </c>
      <c r="P21" s="222">
        <f t="shared" si="1"/>
        <v>372015.06</v>
      </c>
      <c r="Q21" s="222">
        <f t="shared" si="2"/>
        <v>297612.05</v>
      </c>
      <c r="R21" s="223">
        <v>0.15</v>
      </c>
      <c r="S21" s="222">
        <f t="shared" si="3"/>
        <v>74403.009999999995</v>
      </c>
      <c r="T21" s="258">
        <v>3.7499999999999999E-2</v>
      </c>
      <c r="U21" s="40">
        <f t="shared" si="4"/>
        <v>32517</v>
      </c>
      <c r="V21" s="40">
        <f t="shared" si="5"/>
        <v>1984080.32</v>
      </c>
      <c r="W21" s="75">
        <f t="shared" si="6"/>
        <v>1048.9000000000001</v>
      </c>
      <c r="X21" s="76">
        <f t="shared" si="7"/>
        <v>61.0167</v>
      </c>
      <c r="Y21" s="76">
        <f t="shared" si="8"/>
        <v>11.4406</v>
      </c>
      <c r="Z21" s="40">
        <f t="shared" si="9"/>
        <v>372015.06</v>
      </c>
      <c r="AA21" s="40" t="str">
        <f t="shared" si="10"/>
        <v/>
      </c>
      <c r="AB21" s="40" t="str">
        <f t="shared" si="11"/>
        <v/>
      </c>
      <c r="AC21" s="75" t="str">
        <f t="shared" si="12"/>
        <v/>
      </c>
      <c r="AD21" s="76" t="str">
        <f t="shared" si="13"/>
        <v/>
      </c>
      <c r="AE21" s="76" t="str">
        <f t="shared" si="14"/>
        <v/>
      </c>
      <c r="AF21" s="40" t="str">
        <f t="shared" si="15"/>
        <v/>
      </c>
      <c r="AG21" s="50"/>
      <c r="AJ21" s="257"/>
      <c r="AK21" s="257"/>
    </row>
    <row r="22" spans="1:37" x14ac:dyDescent="0.2">
      <c r="A22" s="23" t="s">
        <v>28</v>
      </c>
      <c r="B22" s="24" t="s">
        <v>18</v>
      </c>
      <c r="C22" s="57" t="s">
        <v>31</v>
      </c>
      <c r="D22" s="25" t="s">
        <v>30</v>
      </c>
      <c r="E22" s="57" t="s">
        <v>101</v>
      </c>
      <c r="F22" s="236" t="s">
        <v>37</v>
      </c>
      <c r="G22" s="215">
        <v>2545</v>
      </c>
      <c r="H22" s="215">
        <v>4545</v>
      </c>
      <c r="I22" s="217">
        <v>62.748600000000003</v>
      </c>
      <c r="J22" s="217">
        <v>61.100700000000003</v>
      </c>
      <c r="K22" s="222"/>
      <c r="L22" s="222"/>
      <c r="M22" s="222"/>
      <c r="N22" s="386">
        <v>336.08</v>
      </c>
      <c r="O22" s="224">
        <f t="shared" si="0"/>
        <v>437061.79</v>
      </c>
      <c r="P22" s="222">
        <f t="shared" si="1"/>
        <v>81949.09</v>
      </c>
      <c r="Q22" s="222">
        <f t="shared" si="2"/>
        <v>65559.27</v>
      </c>
      <c r="R22" s="223">
        <v>0.15</v>
      </c>
      <c r="S22" s="222">
        <f t="shared" si="3"/>
        <v>16389.82</v>
      </c>
      <c r="T22" s="258">
        <v>3.7499999999999999E-2</v>
      </c>
      <c r="U22" s="40">
        <f t="shared" si="4"/>
        <v>7090</v>
      </c>
      <c r="V22" s="40">
        <f t="shared" si="5"/>
        <v>437061.79</v>
      </c>
      <c r="W22" s="75">
        <f t="shared" si="6"/>
        <v>228.7</v>
      </c>
      <c r="X22" s="76">
        <f t="shared" si="7"/>
        <v>61.644799999999996</v>
      </c>
      <c r="Y22" s="76">
        <f t="shared" si="8"/>
        <v>11.558400000000001</v>
      </c>
      <c r="Z22" s="40">
        <f t="shared" si="9"/>
        <v>81949.09</v>
      </c>
      <c r="AA22" s="40" t="str">
        <f t="shared" si="10"/>
        <v/>
      </c>
      <c r="AB22" s="40" t="str">
        <f t="shared" si="11"/>
        <v/>
      </c>
      <c r="AC22" s="75" t="str">
        <f t="shared" si="12"/>
        <v/>
      </c>
      <c r="AD22" s="76" t="str">
        <f t="shared" si="13"/>
        <v/>
      </c>
      <c r="AE22" s="76" t="str">
        <f t="shared" si="14"/>
        <v/>
      </c>
      <c r="AF22" s="40" t="str">
        <f t="shared" si="15"/>
        <v/>
      </c>
      <c r="AG22" s="50"/>
      <c r="AJ22" s="257"/>
      <c r="AK22" s="257"/>
    </row>
    <row r="23" spans="1:37" x14ac:dyDescent="0.2">
      <c r="A23" s="23" t="s">
        <v>28</v>
      </c>
      <c r="B23" s="24" t="s">
        <v>20</v>
      </c>
      <c r="C23" s="57" t="s">
        <v>31</v>
      </c>
      <c r="D23" s="25" t="s">
        <v>30</v>
      </c>
      <c r="E23" s="57" t="s">
        <v>101</v>
      </c>
      <c r="F23" s="236" t="s">
        <v>37</v>
      </c>
      <c r="G23" s="215">
        <v>124174</v>
      </c>
      <c r="H23" s="215">
        <f>131569*0.4</f>
        <v>52627.600000000006</v>
      </c>
      <c r="I23" s="217">
        <v>63.902000000000001</v>
      </c>
      <c r="J23" s="217">
        <v>62.482500000000002</v>
      </c>
      <c r="K23" s="222"/>
      <c r="L23" s="222"/>
      <c r="M23" s="222"/>
      <c r="N23" s="386">
        <v>2583.67</v>
      </c>
      <c r="O23" s="224">
        <f t="shared" si="0"/>
        <v>11220687.300000001</v>
      </c>
      <c r="P23" s="222">
        <f t="shared" si="1"/>
        <v>2103878.87</v>
      </c>
      <c r="Q23" s="222">
        <f t="shared" si="2"/>
        <v>1683103.1</v>
      </c>
      <c r="R23" s="223">
        <v>0.15</v>
      </c>
      <c r="S23" s="222">
        <f t="shared" si="3"/>
        <v>420775.77</v>
      </c>
      <c r="T23" s="258">
        <v>3.7499999999999999E-2</v>
      </c>
      <c r="U23" s="40">
        <f t="shared" si="4"/>
        <v>176801.6</v>
      </c>
      <c r="V23" s="40">
        <f t="shared" si="5"/>
        <v>11220687.300000001</v>
      </c>
      <c r="W23" s="75">
        <f t="shared" si="6"/>
        <v>5703.3</v>
      </c>
      <c r="X23" s="76">
        <f t="shared" si="7"/>
        <v>63.4649</v>
      </c>
      <c r="Y23" s="76">
        <f t="shared" si="8"/>
        <v>11.899699999999999</v>
      </c>
      <c r="Z23" s="40">
        <f t="shared" si="9"/>
        <v>2103878.87</v>
      </c>
      <c r="AA23" s="40" t="str">
        <f t="shared" si="10"/>
        <v/>
      </c>
      <c r="AB23" s="40" t="str">
        <f t="shared" si="11"/>
        <v/>
      </c>
      <c r="AC23" s="75" t="str">
        <f t="shared" si="12"/>
        <v/>
      </c>
      <c r="AD23" s="76" t="str">
        <f t="shared" si="13"/>
        <v/>
      </c>
      <c r="AE23" s="76" t="str">
        <f t="shared" si="14"/>
        <v/>
      </c>
      <c r="AF23" s="40" t="str">
        <f t="shared" si="15"/>
        <v/>
      </c>
      <c r="AG23" s="50"/>
      <c r="AJ23" s="257"/>
      <c r="AK23" s="257"/>
    </row>
    <row r="24" spans="1:37" x14ac:dyDescent="0.2">
      <c r="A24" s="23" t="s">
        <v>28</v>
      </c>
      <c r="B24" s="24" t="s">
        <v>372</v>
      </c>
      <c r="C24" s="57" t="s">
        <v>31</v>
      </c>
      <c r="D24" s="25" t="s">
        <v>21</v>
      </c>
      <c r="E24" s="57" t="s">
        <v>101</v>
      </c>
      <c r="F24" s="236" t="s">
        <v>56</v>
      </c>
      <c r="G24" s="215">
        <v>194595.08</v>
      </c>
      <c r="H24" s="215">
        <f>201879.25*0.4</f>
        <v>80751.700000000012</v>
      </c>
      <c r="I24" s="217">
        <v>2.9</v>
      </c>
      <c r="J24" s="217">
        <v>2.9</v>
      </c>
      <c r="K24" s="222"/>
      <c r="L24" s="222"/>
      <c r="M24" s="222"/>
      <c r="N24" s="386">
        <v>1622.84</v>
      </c>
      <c r="O24" s="224">
        <f t="shared" si="0"/>
        <v>796882.82</v>
      </c>
      <c r="P24" s="222">
        <f t="shared" si="1"/>
        <v>149415.53</v>
      </c>
      <c r="Q24" s="222">
        <f t="shared" si="2"/>
        <v>119532.42</v>
      </c>
      <c r="R24" s="223">
        <v>0.15</v>
      </c>
      <c r="S24" s="222">
        <f t="shared" si="3"/>
        <v>29883.11</v>
      </c>
      <c r="T24" s="258">
        <v>3.7499999999999999E-2</v>
      </c>
      <c r="U24" s="40" t="str">
        <f t="shared" si="4"/>
        <v/>
      </c>
      <c r="V24" s="40" t="str">
        <f t="shared" si="5"/>
        <v/>
      </c>
      <c r="W24" s="75" t="str">
        <f t="shared" si="6"/>
        <v/>
      </c>
      <c r="X24" s="76" t="str">
        <f t="shared" si="7"/>
        <v/>
      </c>
      <c r="Y24" s="76" t="str">
        <f t="shared" si="8"/>
        <v/>
      </c>
      <c r="Z24" s="40" t="str">
        <f t="shared" si="9"/>
        <v/>
      </c>
      <c r="AA24" s="40">
        <f t="shared" si="10"/>
        <v>275346.78000000003</v>
      </c>
      <c r="AB24" s="40">
        <f t="shared" si="11"/>
        <v>796882.82</v>
      </c>
      <c r="AC24" s="75">
        <f t="shared" si="12"/>
        <v>8882.2000000000007</v>
      </c>
      <c r="AD24" s="76">
        <f t="shared" si="13"/>
        <v>2.8940999999999999</v>
      </c>
      <c r="AE24" s="76">
        <f t="shared" si="14"/>
        <v>0.54259999999999997</v>
      </c>
      <c r="AF24" s="40">
        <f t="shared" si="15"/>
        <v>149415.53</v>
      </c>
      <c r="AG24" s="50"/>
      <c r="AJ24" s="257"/>
      <c r="AK24" s="257"/>
    </row>
    <row r="25" spans="1:37" ht="13.5" customHeight="1" x14ac:dyDescent="0.2">
      <c r="A25" s="23" t="s">
        <v>28</v>
      </c>
      <c r="B25" s="24" t="s">
        <v>9</v>
      </c>
      <c r="C25" s="57" t="s">
        <v>31</v>
      </c>
      <c r="D25" s="25" t="s">
        <v>30</v>
      </c>
      <c r="E25" s="57" t="s">
        <v>101</v>
      </c>
      <c r="F25" s="236" t="s">
        <v>37</v>
      </c>
      <c r="G25" s="215"/>
      <c r="H25" s="215"/>
      <c r="I25" s="217"/>
      <c r="J25" s="217"/>
      <c r="K25" s="222"/>
      <c r="L25" s="222"/>
      <c r="M25" s="222"/>
      <c r="N25" s="386"/>
      <c r="O25" s="224">
        <f t="shared" si="0"/>
        <v>0</v>
      </c>
      <c r="P25" s="222">
        <f t="shared" si="1"/>
        <v>0</v>
      </c>
      <c r="Q25" s="222">
        <f t="shared" si="2"/>
        <v>0</v>
      </c>
      <c r="R25" s="223">
        <v>0.15</v>
      </c>
      <c r="S25" s="222">
        <f t="shared" si="3"/>
        <v>0</v>
      </c>
      <c r="T25" s="258">
        <v>3.7499999999999999E-2</v>
      </c>
      <c r="U25" s="40">
        <f t="shared" si="4"/>
        <v>0</v>
      </c>
      <c r="V25" s="40">
        <f t="shared" si="5"/>
        <v>0</v>
      </c>
      <c r="W25" s="75">
        <f t="shared" si="6"/>
        <v>0</v>
      </c>
      <c r="X25" s="76">
        <f t="shared" si="7"/>
        <v>0</v>
      </c>
      <c r="Y25" s="76">
        <f t="shared" si="8"/>
        <v>0</v>
      </c>
      <c r="Z25" s="40">
        <f t="shared" si="9"/>
        <v>0</v>
      </c>
      <c r="AA25" s="40" t="str">
        <f t="shared" si="10"/>
        <v/>
      </c>
      <c r="AB25" s="40" t="str">
        <f t="shared" si="11"/>
        <v/>
      </c>
      <c r="AC25" s="75" t="str">
        <f t="shared" si="12"/>
        <v/>
      </c>
      <c r="AD25" s="76" t="str">
        <f t="shared" si="13"/>
        <v/>
      </c>
      <c r="AE25" s="76" t="str">
        <f t="shared" si="14"/>
        <v/>
      </c>
      <c r="AF25" s="40" t="str">
        <f t="shared" si="15"/>
        <v/>
      </c>
      <c r="AG25" s="50"/>
      <c r="AJ25" s="257"/>
      <c r="AK25" s="257"/>
    </row>
    <row r="26" spans="1:37" x14ac:dyDescent="0.2">
      <c r="A26" s="23" t="s">
        <v>28</v>
      </c>
      <c r="B26" s="24" t="s">
        <v>165</v>
      </c>
      <c r="C26" s="57" t="s">
        <v>31</v>
      </c>
      <c r="D26" s="25" t="s">
        <v>30</v>
      </c>
      <c r="E26" s="57" t="s">
        <v>101</v>
      </c>
      <c r="F26" s="236" t="s">
        <v>37</v>
      </c>
      <c r="G26" s="215">
        <v>11580</v>
      </c>
      <c r="H26" s="215">
        <v>11475</v>
      </c>
      <c r="I26" s="217">
        <v>59.718600000000002</v>
      </c>
      <c r="J26" s="217">
        <v>59.710700000000003</v>
      </c>
      <c r="K26" s="222"/>
      <c r="L26" s="222"/>
      <c r="M26" s="222"/>
      <c r="N26" s="386">
        <v>3477.09</v>
      </c>
      <c r="O26" s="224">
        <f t="shared" si="0"/>
        <v>1373244.5799999998</v>
      </c>
      <c r="P26" s="222">
        <f t="shared" si="1"/>
        <v>257483.36</v>
      </c>
      <c r="Q26" s="222">
        <f t="shared" si="2"/>
        <v>205986.69</v>
      </c>
      <c r="R26" s="223">
        <v>0.15</v>
      </c>
      <c r="S26" s="222">
        <f t="shared" si="3"/>
        <v>51496.67</v>
      </c>
      <c r="T26" s="258">
        <v>3.7499999999999999E-2</v>
      </c>
      <c r="U26" s="40">
        <f t="shared" si="4"/>
        <v>23055</v>
      </c>
      <c r="V26" s="40">
        <f t="shared" si="5"/>
        <v>1373244.5799999998</v>
      </c>
      <c r="W26" s="75">
        <f t="shared" si="6"/>
        <v>743.7</v>
      </c>
      <c r="X26" s="76">
        <f t="shared" si="7"/>
        <v>59.563899999999997</v>
      </c>
      <c r="Y26" s="76">
        <f t="shared" si="8"/>
        <v>11.168200000000001</v>
      </c>
      <c r="Z26" s="40">
        <f t="shared" si="9"/>
        <v>257483.36</v>
      </c>
      <c r="AA26" s="40" t="str">
        <f t="shared" si="10"/>
        <v/>
      </c>
      <c r="AB26" s="40" t="str">
        <f t="shared" si="11"/>
        <v/>
      </c>
      <c r="AC26" s="75" t="str">
        <f t="shared" si="12"/>
        <v/>
      </c>
      <c r="AD26" s="76" t="str">
        <f t="shared" si="13"/>
        <v/>
      </c>
      <c r="AE26" s="76" t="str">
        <f t="shared" si="14"/>
        <v/>
      </c>
      <c r="AF26" s="40" t="str">
        <f t="shared" si="15"/>
        <v/>
      </c>
      <c r="AG26" s="50"/>
      <c r="AJ26" s="257"/>
      <c r="AK26" s="257"/>
    </row>
    <row r="27" spans="1:37" x14ac:dyDescent="0.2">
      <c r="A27" s="23" t="s">
        <v>28</v>
      </c>
      <c r="B27" s="24" t="s">
        <v>157</v>
      </c>
      <c r="C27" s="57" t="s">
        <v>31</v>
      </c>
      <c r="D27" s="25" t="s">
        <v>30</v>
      </c>
      <c r="E27" s="57" t="s">
        <v>101</v>
      </c>
      <c r="F27" s="236" t="s">
        <v>56</v>
      </c>
      <c r="G27" s="386">
        <f>+G399</f>
        <v>408636.93949999998</v>
      </c>
      <c r="H27" s="386">
        <f>+H411</f>
        <v>442903.60240000003</v>
      </c>
      <c r="I27" s="386">
        <f>+I399</f>
        <v>2.9392976109052915</v>
      </c>
      <c r="J27" s="386">
        <f>+J411</f>
        <v>2.8878037186179366</v>
      </c>
      <c r="K27" s="222"/>
      <c r="L27" s="222"/>
      <c r="M27" s="222"/>
      <c r="N27" s="224">
        <f>+N388</f>
        <v>3500.93</v>
      </c>
      <c r="O27" s="224">
        <f>+O388</f>
        <v>2480124.25</v>
      </c>
      <c r="P27" s="224">
        <f>+P388</f>
        <v>465023.29</v>
      </c>
      <c r="Q27" s="224">
        <f>+Q388</f>
        <v>372018.63</v>
      </c>
      <c r="R27" s="223">
        <v>0.15</v>
      </c>
      <c r="S27" s="222">
        <f t="shared" si="3"/>
        <v>93004.66</v>
      </c>
      <c r="T27" s="258">
        <v>3.7499999999999999E-2</v>
      </c>
      <c r="U27" s="40" t="str">
        <f t="shared" si="4"/>
        <v/>
      </c>
      <c r="V27" s="40" t="str">
        <f t="shared" si="5"/>
        <v/>
      </c>
      <c r="W27" s="75" t="str">
        <f t="shared" si="6"/>
        <v/>
      </c>
      <c r="X27" s="76" t="str">
        <f t="shared" si="7"/>
        <v/>
      </c>
      <c r="Y27" s="76" t="str">
        <f t="shared" si="8"/>
        <v/>
      </c>
      <c r="Z27" s="40" t="str">
        <f t="shared" si="9"/>
        <v/>
      </c>
      <c r="AA27" s="40">
        <f t="shared" si="10"/>
        <v>851540.54190000007</v>
      </c>
      <c r="AB27" s="40">
        <f t="shared" si="11"/>
        <v>2480124.25</v>
      </c>
      <c r="AC27" s="75">
        <f t="shared" si="12"/>
        <v>27469</v>
      </c>
      <c r="AD27" s="76">
        <f t="shared" si="13"/>
        <v>2.9125000000000001</v>
      </c>
      <c r="AE27" s="76">
        <f t="shared" si="14"/>
        <v>0.54610000000000003</v>
      </c>
      <c r="AF27" s="40">
        <f t="shared" si="15"/>
        <v>465023.29</v>
      </c>
      <c r="AG27" s="50"/>
      <c r="AJ27" s="257"/>
      <c r="AK27" s="257"/>
    </row>
    <row r="28" spans="1:37" x14ac:dyDescent="0.2">
      <c r="A28" s="23" t="s">
        <v>28</v>
      </c>
      <c r="B28" s="24" t="s">
        <v>170</v>
      </c>
      <c r="C28" s="57" t="s">
        <v>31</v>
      </c>
      <c r="D28" s="25" t="s">
        <v>30</v>
      </c>
      <c r="E28" s="57" t="s">
        <v>101</v>
      </c>
      <c r="F28" s="236" t="s">
        <v>37</v>
      </c>
      <c r="G28" s="215">
        <v>140</v>
      </c>
      <c r="H28" s="215">
        <v>129</v>
      </c>
      <c r="I28" s="217">
        <v>62.748600000000003</v>
      </c>
      <c r="J28" s="217">
        <v>61.100700000000003</v>
      </c>
      <c r="K28" s="222"/>
      <c r="L28" s="222"/>
      <c r="M28" s="222"/>
      <c r="N28" s="386">
        <v>215.43</v>
      </c>
      <c r="O28" s="224">
        <f>ROUND(G28*I28,2)+ROUND(H28*J28,2)-K28-L28-M28-N28</f>
        <v>16451.36</v>
      </c>
      <c r="P28" s="222">
        <f>ROUND(18.75%*O28,2)</f>
        <v>3084.63</v>
      </c>
      <c r="Q28" s="222">
        <f>ROUND($O28*R28,2)</f>
        <v>616.92999999999995</v>
      </c>
      <c r="R28" s="258">
        <v>3.7499999999999999E-2</v>
      </c>
      <c r="S28" s="222">
        <f t="shared" si="3"/>
        <v>2467.6999999999998</v>
      </c>
      <c r="T28" s="223">
        <v>0.15</v>
      </c>
      <c r="U28" s="40">
        <f t="shared" si="4"/>
        <v>269</v>
      </c>
      <c r="V28" s="40">
        <f t="shared" si="5"/>
        <v>16451.36</v>
      </c>
      <c r="W28" s="75">
        <f t="shared" si="6"/>
        <v>8.6999999999999993</v>
      </c>
      <c r="X28" s="76">
        <f t="shared" si="7"/>
        <v>61.157499999999999</v>
      </c>
      <c r="Y28" s="76">
        <f t="shared" si="8"/>
        <v>11.467000000000001</v>
      </c>
      <c r="Z28" s="40">
        <f t="shared" si="9"/>
        <v>3084.63</v>
      </c>
      <c r="AA28" s="40" t="str">
        <f t="shared" si="10"/>
        <v/>
      </c>
      <c r="AB28" s="40" t="str">
        <f t="shared" si="11"/>
        <v/>
      </c>
      <c r="AC28" s="75" t="str">
        <f t="shared" si="12"/>
        <v/>
      </c>
      <c r="AD28" s="76" t="str">
        <f t="shared" si="13"/>
        <v/>
      </c>
      <c r="AE28" s="76" t="str">
        <f t="shared" si="14"/>
        <v/>
      </c>
      <c r="AF28" s="40" t="str">
        <f t="shared" si="15"/>
        <v/>
      </c>
      <c r="AG28" s="50"/>
      <c r="AJ28" s="257"/>
      <c r="AK28" s="257"/>
    </row>
    <row r="29" spans="1:37" x14ac:dyDescent="0.2">
      <c r="A29" s="23" t="s">
        <v>28</v>
      </c>
      <c r="B29" s="24" t="s">
        <v>368</v>
      </c>
      <c r="C29" s="57" t="s">
        <v>31</v>
      </c>
      <c r="D29" s="25" t="s">
        <v>30</v>
      </c>
      <c r="E29" s="57" t="s">
        <v>101</v>
      </c>
      <c r="F29" s="236" t="s">
        <v>37</v>
      </c>
      <c r="G29" s="215"/>
      <c r="H29" s="215"/>
      <c r="I29" s="217"/>
      <c r="J29" s="217"/>
      <c r="K29" s="222"/>
      <c r="L29" s="222"/>
      <c r="M29" s="222"/>
      <c r="N29" s="409">
        <v>1094.4000000000001</v>
      </c>
      <c r="O29" s="224">
        <f>ROUND(G29*I29,2)+ROUND(H29*J29,2)-K29-L29-M29-N29</f>
        <v>-1094.4000000000001</v>
      </c>
      <c r="P29" s="222">
        <f>ROUND(18.75%*O29,2)</f>
        <v>-205.2</v>
      </c>
      <c r="Q29" s="222">
        <f>ROUND($O29*R29,2)</f>
        <v>-41.04</v>
      </c>
      <c r="R29" s="258">
        <v>3.7499999999999999E-2</v>
      </c>
      <c r="S29" s="222">
        <f t="shared" si="3"/>
        <v>-164.16</v>
      </c>
      <c r="T29" s="223">
        <v>0.15</v>
      </c>
      <c r="U29" s="40"/>
      <c r="V29" s="40"/>
      <c r="W29" s="75"/>
      <c r="X29" s="76"/>
      <c r="Y29" s="76"/>
      <c r="Z29" s="40"/>
      <c r="AA29" s="40"/>
      <c r="AB29" s="40"/>
      <c r="AC29" s="75"/>
      <c r="AD29" s="76"/>
      <c r="AE29" s="76"/>
      <c r="AF29" s="40"/>
      <c r="AG29" s="50"/>
      <c r="AI29" s="257"/>
      <c r="AJ29" s="257"/>
      <c r="AK29" s="257"/>
    </row>
    <row r="30" spans="1:37" x14ac:dyDescent="0.2">
      <c r="A30" s="26" t="s">
        <v>28</v>
      </c>
      <c r="B30" s="29" t="s">
        <v>302</v>
      </c>
      <c r="C30" s="57" t="s">
        <v>31</v>
      </c>
      <c r="D30" s="25" t="s">
        <v>30</v>
      </c>
      <c r="E30" s="57" t="s">
        <v>101</v>
      </c>
      <c r="F30" s="236" t="s">
        <v>37</v>
      </c>
      <c r="G30" s="386"/>
      <c r="H30" s="386">
        <v>59809</v>
      </c>
      <c r="I30" s="217"/>
      <c r="J30" s="217">
        <v>60.993600000000001</v>
      </c>
      <c r="K30" s="215"/>
      <c r="L30" s="222"/>
      <c r="M30" s="222"/>
      <c r="N30" s="386">
        <v>3333.41</v>
      </c>
      <c r="O30" s="224">
        <f>ROUND(G30*I30,2)+ROUND(H30*J30,2)-K30-L30-M30-N30</f>
        <v>3644632.81</v>
      </c>
      <c r="P30" s="222">
        <f>ROUND(18.75%*O30,2)</f>
        <v>683368.65</v>
      </c>
      <c r="Q30" s="222">
        <f>ROUND($O30*R30,2)</f>
        <v>546694.92000000004</v>
      </c>
      <c r="R30" s="248">
        <v>0.15</v>
      </c>
      <c r="S30" s="222">
        <f t="shared" si="3"/>
        <v>136673.73000000001</v>
      </c>
      <c r="T30" s="258">
        <v>3.7499999999999999E-2</v>
      </c>
      <c r="U30" s="40"/>
      <c r="V30" s="40"/>
      <c r="W30" s="75"/>
      <c r="X30" s="76"/>
      <c r="Y30" s="76"/>
      <c r="Z30" s="40"/>
      <c r="AA30" s="40"/>
      <c r="AB30" s="40"/>
      <c r="AC30" s="75"/>
      <c r="AD30" s="76"/>
      <c r="AE30" s="76"/>
      <c r="AF30" s="40"/>
      <c r="AG30" s="50"/>
      <c r="AJ30" s="257"/>
      <c r="AK30" s="257"/>
    </row>
    <row r="31" spans="1:37" x14ac:dyDescent="0.2">
      <c r="A31" s="26" t="s">
        <v>28</v>
      </c>
      <c r="B31" s="29" t="s">
        <v>303</v>
      </c>
      <c r="C31" s="57" t="s">
        <v>31</v>
      </c>
      <c r="D31" s="25" t="s">
        <v>30</v>
      </c>
      <c r="E31" s="57" t="s">
        <v>101</v>
      </c>
      <c r="F31" s="236" t="s">
        <v>56</v>
      </c>
      <c r="G31" s="386"/>
      <c r="H31" s="386">
        <f>+H437</f>
        <v>140673.59850000002</v>
      </c>
      <c r="I31" s="217"/>
      <c r="J31" s="386">
        <f>+J437</f>
        <v>2.7190978554515328</v>
      </c>
      <c r="K31" s="215"/>
      <c r="L31" s="222"/>
      <c r="M31" s="222"/>
      <c r="N31" s="386">
        <f>+N420</f>
        <v>1072.8599999999999</v>
      </c>
      <c r="O31" s="386">
        <f>+O420</f>
        <v>381432.42</v>
      </c>
      <c r="P31" s="386">
        <f>+P420</f>
        <v>71518.58</v>
      </c>
      <c r="Q31" s="222">
        <f>ROUND($O31*R31,2)</f>
        <v>57214.86</v>
      </c>
      <c r="R31" s="248">
        <v>0.15</v>
      </c>
      <c r="S31" s="222">
        <f t="shared" si="3"/>
        <v>14303.72</v>
      </c>
      <c r="T31" s="258">
        <v>3.7499999999999999E-2</v>
      </c>
      <c r="U31" s="40"/>
      <c r="V31" s="40"/>
      <c r="W31" s="75"/>
      <c r="X31" s="76"/>
      <c r="Y31" s="76"/>
      <c r="Z31" s="40"/>
      <c r="AA31" s="40"/>
      <c r="AB31" s="40"/>
      <c r="AC31" s="75"/>
      <c r="AD31" s="76"/>
      <c r="AE31" s="76"/>
      <c r="AF31" s="40"/>
      <c r="AG31" s="50"/>
      <c r="AJ31" s="257"/>
      <c r="AK31" s="257"/>
    </row>
    <row r="32" spans="1:37" x14ac:dyDescent="0.2">
      <c r="A32" s="26" t="s">
        <v>28</v>
      </c>
      <c r="B32" s="29" t="s">
        <v>304</v>
      </c>
      <c r="C32" s="57" t="s">
        <v>31</v>
      </c>
      <c r="D32" s="25" t="s">
        <v>30</v>
      </c>
      <c r="E32" s="57" t="s">
        <v>101</v>
      </c>
      <c r="F32" s="236" t="s">
        <v>37</v>
      </c>
      <c r="G32" s="386"/>
      <c r="H32" s="386">
        <v>10891</v>
      </c>
      <c r="I32" s="217"/>
      <c r="J32" s="217">
        <v>34.145600000000002</v>
      </c>
      <c r="K32" s="215"/>
      <c r="L32" s="222"/>
      <c r="M32" s="222"/>
      <c r="N32" s="386">
        <v>986.68</v>
      </c>
      <c r="O32" s="224">
        <f>ROUND(G32*I32,2)+ROUND(H32*J32,2)-K32-L32-M32-N32</f>
        <v>370893.05</v>
      </c>
      <c r="P32" s="222">
        <f>ROUND(18.75%*O32,2)</f>
        <v>69542.45</v>
      </c>
      <c r="Q32" s="222">
        <f>ROUND($O32*R32,2)</f>
        <v>55633.96</v>
      </c>
      <c r="R32" s="248">
        <v>0.15</v>
      </c>
      <c r="S32" s="222">
        <f t="shared" si="3"/>
        <v>13908.49</v>
      </c>
      <c r="T32" s="258">
        <v>3.7499999999999999E-2</v>
      </c>
      <c r="U32" s="40"/>
      <c r="V32" s="40"/>
      <c r="W32" s="75"/>
      <c r="X32" s="76"/>
      <c r="Y32" s="76"/>
      <c r="Z32" s="40"/>
      <c r="AA32" s="40"/>
      <c r="AB32" s="40"/>
      <c r="AC32" s="75"/>
      <c r="AD32" s="76"/>
      <c r="AE32" s="76"/>
      <c r="AF32" s="40"/>
      <c r="AG32" s="50"/>
      <c r="AJ32" s="257"/>
      <c r="AK32" s="257"/>
    </row>
    <row r="33" spans="1:37" x14ac:dyDescent="0.2">
      <c r="A33" s="26" t="s">
        <v>28</v>
      </c>
      <c r="B33" s="29" t="s">
        <v>52</v>
      </c>
      <c r="C33" s="56"/>
      <c r="D33" s="56"/>
      <c r="E33" s="27"/>
      <c r="F33" s="236"/>
      <c r="G33" s="222"/>
      <c r="H33" s="222"/>
      <c r="I33" s="216"/>
      <c r="J33" s="216"/>
      <c r="K33" s="222"/>
      <c r="L33" s="222"/>
      <c r="M33" s="577"/>
      <c r="N33" s="222"/>
      <c r="O33" s="582">
        <f>+O199+O327</f>
        <v>-522423.83000000054</v>
      </c>
      <c r="P33" s="582">
        <f>+P199+P327</f>
        <v>-97954.449999999881</v>
      </c>
      <c r="Q33" s="582">
        <f>+Q199+Q327</f>
        <v>-78363.569999999949</v>
      </c>
      <c r="R33" s="248">
        <v>0.15</v>
      </c>
      <c r="S33" s="582">
        <f>+S199+S327</f>
        <v>-19590.900000000009</v>
      </c>
      <c r="T33" s="258">
        <v>3.7499999999999999E-2</v>
      </c>
      <c r="U33" s="40" t="str">
        <f>IF($F33&amp;"/Día"=W$9,SUM($G33:$H33),"")</f>
        <v/>
      </c>
      <c r="V33" s="40" t="str">
        <f>IF(U33&lt;&gt;"",$O33,"")</f>
        <v/>
      </c>
      <c r="W33" s="75" t="str">
        <f>IF($F33&amp;"/Día"=W$9,ROUND(U33/$W$1,1),"")</f>
        <v/>
      </c>
      <c r="X33" s="76" t="str">
        <f>IF(U33=0,0,IF($F33&amp;"/Día"=W$9,ROUND(V33/U33,4),""))</f>
        <v/>
      </c>
      <c r="Y33" s="76" t="str">
        <f>IF(U33=0,0,IF($F33&amp;"/Día"=W$9,ROUND(Z33/U33,4),""))</f>
        <v/>
      </c>
      <c r="Z33" s="40" t="str">
        <f>IF(U33&lt;&gt;"",$P33,"")</f>
        <v/>
      </c>
      <c r="AA33" s="40" t="str">
        <f>IF($F33&amp;"/Día"=AC$9,SUM($G33:$H33),"")</f>
        <v/>
      </c>
      <c r="AB33" s="40" t="str">
        <f>IF(AA33&lt;&gt;"",$O33,"")</f>
        <v/>
      </c>
      <c r="AC33" s="75" t="str">
        <f>IF($F33&amp;"/Día"=AC$9,ROUND(AA33/$W$1,1),"")</f>
        <v/>
      </c>
      <c r="AD33" s="76" t="str">
        <f>IF(AA33=0,0,IF($F33&amp;"/Día"=AC$9,ROUND(AB33/AA33,4),""))</f>
        <v/>
      </c>
      <c r="AE33" s="76" t="str">
        <f>IF(AA33=0,0,IF($F33&amp;"/Día"=AC$9,ROUND(AF33/AA33,4),""))</f>
        <v/>
      </c>
      <c r="AF33" s="40" t="str">
        <f>IF(AA33&lt;&gt;"",$P33,"")</f>
        <v/>
      </c>
      <c r="AG33" s="50"/>
      <c r="AI33" s="179"/>
      <c r="AJ33" s="257"/>
      <c r="AK33" s="257"/>
    </row>
    <row r="34" spans="1:37" x14ac:dyDescent="0.2">
      <c r="A34" s="30"/>
      <c r="B34" s="153" t="s">
        <v>108</v>
      </c>
      <c r="C34" s="31" t="str">
        <f>TEXT(A$9,)&amp;" US$"</f>
        <v>Piura / Tumbes US$</v>
      </c>
      <c r="D34" s="38"/>
      <c r="E34" s="39"/>
      <c r="F34" s="244"/>
      <c r="G34" s="218"/>
      <c r="H34" s="218"/>
      <c r="I34" s="219"/>
      <c r="J34" s="219"/>
      <c r="K34" s="218"/>
      <c r="L34" s="218"/>
      <c r="M34" s="218"/>
      <c r="N34" s="218"/>
      <c r="O34" s="227">
        <f>SUM(O10:O33)</f>
        <v>31591467.489999998</v>
      </c>
      <c r="P34" s="227">
        <f>SUM(P10:P33)</f>
        <v>5923400.1700000009</v>
      </c>
      <c r="Q34" s="227">
        <f>SUM(Q10:Q33)</f>
        <v>4736992.46</v>
      </c>
      <c r="R34" s="229"/>
      <c r="S34" s="227">
        <f>SUM(S10:S33)</f>
        <v>1186407.6900000002</v>
      </c>
      <c r="T34" s="511"/>
      <c r="U34" s="77">
        <f>SUM(U10:U33)</f>
        <v>409114.9926</v>
      </c>
      <c r="V34" s="77">
        <f>SUM(V10:V33)</f>
        <v>23633417.849999998</v>
      </c>
      <c r="W34" s="78">
        <f>SUM(W10:W33)</f>
        <v>13197.2</v>
      </c>
      <c r="X34" s="79">
        <f>ROUND(V34/U34,4)</f>
        <v>57.767200000000003</v>
      </c>
      <c r="Y34" s="79">
        <f>ROUND(Z34/U34,4)</f>
        <v>10.831300000000001</v>
      </c>
      <c r="Z34" s="77">
        <f>SUM(Z10:Z33)</f>
        <v>4431265.8500000006</v>
      </c>
      <c r="AA34" s="77">
        <f>SUM(AA10:AA33)</f>
        <v>1401744.0567000001</v>
      </c>
      <c r="AB34" s="77">
        <f>SUM(AB10:AB33)</f>
        <v>4084609.59</v>
      </c>
      <c r="AC34" s="78">
        <f>SUM(AC10:AC33)</f>
        <v>45217.5</v>
      </c>
      <c r="AD34" s="79">
        <f>ROUND(AB34/AA34,4)</f>
        <v>2.9138999999999999</v>
      </c>
      <c r="AE34" s="79">
        <f>ROUND(AF34/AA34,4)</f>
        <v>0.5464</v>
      </c>
      <c r="AF34" s="77">
        <f>SUM(AF10:AF33)</f>
        <v>765864.29</v>
      </c>
      <c r="AG34" s="43">
        <f>P34-Z34-AF34</f>
        <v>726270.03000000026</v>
      </c>
      <c r="AI34" s="472"/>
      <c r="AJ34" s="257"/>
      <c r="AK34" s="257"/>
    </row>
    <row r="35" spans="1:37" x14ac:dyDescent="0.2">
      <c r="A35" s="125"/>
      <c r="B35" s="126"/>
      <c r="C35" s="31" t="str">
        <f>TEXT(A$9,)&amp;" S/."</f>
        <v>Piura / Tumbes S/.</v>
      </c>
      <c r="D35" s="56"/>
      <c r="E35" s="56"/>
      <c r="F35" s="137"/>
      <c r="G35" s="177"/>
      <c r="H35" s="177"/>
      <c r="I35" s="202"/>
      <c r="J35" s="202"/>
      <c r="K35" s="177"/>
      <c r="L35" s="177"/>
      <c r="M35" s="177"/>
      <c r="N35" s="177"/>
      <c r="O35" s="209"/>
      <c r="P35" s="210">
        <f>ROUND($F$1*P34,2)</f>
        <v>0</v>
      </c>
      <c r="Q35" s="210">
        <f>ROUND($F$1*Q34,2)</f>
        <v>0</v>
      </c>
      <c r="R35" s="139"/>
      <c r="S35" s="363">
        <f>ROUND($F$1*S34,2)</f>
        <v>0</v>
      </c>
      <c r="T35" s="160"/>
      <c r="U35" s="140"/>
      <c r="V35" s="140"/>
      <c r="W35" s="141"/>
      <c r="X35" s="142"/>
      <c r="Y35" s="142"/>
      <c r="Z35" s="140"/>
      <c r="AA35" s="140"/>
      <c r="AB35" s="140"/>
      <c r="AC35" s="141"/>
      <c r="AD35" s="142"/>
      <c r="AE35" s="142"/>
      <c r="AF35" s="140"/>
      <c r="AG35" s="140"/>
      <c r="AI35" s="472"/>
      <c r="AJ35" s="257"/>
    </row>
    <row r="36" spans="1:37" x14ac:dyDescent="0.2">
      <c r="A36" s="15" t="s">
        <v>22</v>
      </c>
      <c r="B36" s="16"/>
      <c r="C36" s="58"/>
      <c r="D36" s="58"/>
      <c r="E36" s="17"/>
      <c r="F36" s="34"/>
      <c r="G36" s="220"/>
      <c r="H36" s="220"/>
      <c r="I36" s="221"/>
      <c r="J36" s="221"/>
      <c r="K36" s="220"/>
      <c r="L36" s="220"/>
      <c r="M36" s="220"/>
      <c r="N36" s="220"/>
      <c r="O36" s="231"/>
      <c r="P36" s="220"/>
      <c r="Q36" s="232" t="s">
        <v>49</v>
      </c>
      <c r="R36" s="214"/>
      <c r="S36" s="275"/>
      <c r="T36" s="276"/>
      <c r="U36" s="49"/>
      <c r="V36" s="49"/>
      <c r="W36" s="80"/>
      <c r="X36" s="81"/>
      <c r="Y36" s="81"/>
      <c r="Z36" s="81"/>
      <c r="AA36" s="49"/>
      <c r="AB36" s="49"/>
      <c r="AC36" s="80"/>
      <c r="AD36" s="81"/>
      <c r="AE36" s="81"/>
      <c r="AF36" s="81"/>
      <c r="AG36" s="46"/>
    </row>
    <row r="37" spans="1:37" x14ac:dyDescent="0.2">
      <c r="A37" s="26" t="s">
        <v>28</v>
      </c>
      <c r="B37" s="28">
        <v>131</v>
      </c>
      <c r="C37" s="57" t="s">
        <v>31</v>
      </c>
      <c r="D37" s="25" t="s">
        <v>30</v>
      </c>
      <c r="E37" s="57" t="s">
        <v>101</v>
      </c>
      <c r="F37" s="33" t="s">
        <v>37</v>
      </c>
      <c r="G37" s="215"/>
      <c r="H37" s="215">
        <v>12677</v>
      </c>
      <c r="I37" s="217"/>
      <c r="J37" s="217">
        <v>49.193300000000001</v>
      </c>
      <c r="K37" s="222"/>
      <c r="L37" s="222"/>
      <c r="M37" s="222"/>
      <c r="N37" s="386">
        <v>4317.28</v>
      </c>
      <c r="O37" s="224">
        <f>ROUND(G37*I37,2)+ROUND(H37*J37,2)-K37-L37-M37-N37</f>
        <v>619306.17999999993</v>
      </c>
      <c r="P37" s="222">
        <f>ROUND(15%*O37,2)</f>
        <v>92895.93</v>
      </c>
      <c r="Q37" s="222">
        <f>ROUND($O37*R37,2)</f>
        <v>92895.93</v>
      </c>
      <c r="R37" s="223">
        <v>0.15</v>
      </c>
      <c r="S37" s="226"/>
      <c r="T37" s="225"/>
      <c r="U37" s="40">
        <f>IF($F37&amp;"/Día"=W$9,SUM($G37:$H37),"")</f>
        <v>12677</v>
      </c>
      <c r="V37" s="40">
        <f>IF(U37&lt;&gt;"",$O37,"")</f>
        <v>619306.17999999993</v>
      </c>
      <c r="W37" s="75">
        <f>IF($F37&amp;"/Día"=W$9,ROUND(U37/$W$1,1),"")</f>
        <v>408.9</v>
      </c>
      <c r="X37" s="76">
        <f>IF(U37=0,0,IF($F37&amp;"/Día"=W$9,ROUND(V37/U37,4),""))</f>
        <v>48.852699999999999</v>
      </c>
      <c r="Y37" s="76">
        <f>IF(U37=0,0,IF($F37&amp;"/Día"=W$9,ROUND(Z37/U37,4),""))</f>
        <v>7.3278999999999996</v>
      </c>
      <c r="Z37" s="40">
        <f>IF(U37&lt;&gt;"",$P37,"")</f>
        <v>92895.93</v>
      </c>
      <c r="AA37" s="40" t="str">
        <f>IF($F37&amp;"/Día"=AC$9,SUM($G37:$H37),"")</f>
        <v/>
      </c>
      <c r="AB37" s="40" t="str">
        <f>IF(AA37&lt;&gt;"",$O37,"")</f>
        <v/>
      </c>
      <c r="AC37" s="75" t="str">
        <f>IF($F37&amp;"/Día"=AC$9,ROUND(AA37/$W$1,1),"")</f>
        <v/>
      </c>
      <c r="AD37" s="76" t="str">
        <f>IF(AA37=0,0,IF($F37&amp;"/Día"=AC$9,ROUND(AB37/AA37,4),""))</f>
        <v/>
      </c>
      <c r="AE37" s="76" t="str">
        <f>IF(AA37=0,0,IF($F37&amp;"/Día"=AC$9,ROUND(AF37/AA37,4),""))</f>
        <v/>
      </c>
      <c r="AF37" s="40" t="str">
        <f>IF(AA37&lt;&gt;"",$P37,"")</f>
        <v/>
      </c>
      <c r="AG37" s="50"/>
    </row>
    <row r="38" spans="1:37" x14ac:dyDescent="0.2">
      <c r="A38" s="26" t="s">
        <v>28</v>
      </c>
      <c r="B38" s="29" t="s">
        <v>53</v>
      </c>
      <c r="C38" s="56"/>
      <c r="D38" s="56"/>
      <c r="E38" s="5"/>
      <c r="F38" s="33"/>
      <c r="G38" s="222"/>
      <c r="H38" s="222"/>
      <c r="I38" s="216"/>
      <c r="J38" s="216"/>
      <c r="K38" s="222"/>
      <c r="L38" s="222"/>
      <c r="M38" s="222"/>
      <c r="N38" s="222"/>
      <c r="O38" s="224"/>
      <c r="P38" s="224"/>
      <c r="Q38" s="224"/>
      <c r="R38" s="225"/>
      <c r="S38" s="224"/>
      <c r="T38" s="225"/>
      <c r="U38" s="40" t="str">
        <f>IF($F38&amp;"/Día"=W$9,SUM($G38:$H38),"")</f>
        <v/>
      </c>
      <c r="V38" s="40" t="str">
        <f>IF(U38&lt;&gt;"",$O38,"")</f>
        <v/>
      </c>
      <c r="W38" s="75" t="str">
        <f>IF($F38&amp;"/Día"=W$9,ROUND(U38/$W$1,1),"")</f>
        <v/>
      </c>
      <c r="X38" s="76" t="str">
        <f>IF(U38=0,0,IF($F38&amp;"/Día"=W$9,ROUND(V38/U38,4),""))</f>
        <v/>
      </c>
      <c r="Y38" s="76" t="str">
        <f>IF(U38=0,0,IF($F38&amp;"/Día"=W$9,ROUND(Z38/U38,4),""))</f>
        <v/>
      </c>
      <c r="Z38" s="40" t="str">
        <f>IF(U38&lt;&gt;"",$P38,"")</f>
        <v/>
      </c>
      <c r="AA38" s="40" t="str">
        <f>IF($F38&amp;"/Día"=AC$9,SUM($G38:$H38),"")</f>
        <v/>
      </c>
      <c r="AB38" s="40" t="str">
        <f>IF(AA38&lt;&gt;"",$O38,"")</f>
        <v/>
      </c>
      <c r="AC38" s="75" t="str">
        <f>IF($F38&amp;"/Día"=AC$9,ROUND(AA38/$W$1,1),"")</f>
        <v/>
      </c>
      <c r="AD38" s="76" t="str">
        <f>IF(AA38=0,0,IF($F38&amp;"/Día"=AC$9,ROUND(AB38/AA38,4),""))</f>
        <v/>
      </c>
      <c r="AE38" s="76" t="str">
        <f>IF(AA38=0,0,IF($F38&amp;"/Día"=AC$9,ROUND(AF38/AA38,4),""))</f>
        <v/>
      </c>
      <c r="AF38" s="40" t="str">
        <f>IF(AA38&lt;&gt;"",$P38,"")</f>
        <v/>
      </c>
      <c r="AG38" s="50"/>
      <c r="AI38" s="257"/>
      <c r="AJ38" s="257"/>
    </row>
    <row r="39" spans="1:37" x14ac:dyDescent="0.2">
      <c r="A39" s="30"/>
      <c r="B39" s="153" t="s">
        <v>108</v>
      </c>
      <c r="C39" s="31" t="str">
        <f>TEXT(A$36,)&amp;" US$"</f>
        <v>Provincia Puerto Inca Huanuco US$</v>
      </c>
      <c r="D39" s="38"/>
      <c r="E39" s="39"/>
      <c r="F39" s="38"/>
      <c r="G39" s="218"/>
      <c r="H39" s="218"/>
      <c r="I39" s="219"/>
      <c r="J39" s="219"/>
      <c r="K39" s="218"/>
      <c r="L39" s="218"/>
      <c r="M39" s="218"/>
      <c r="N39" s="218"/>
      <c r="O39" s="227">
        <f>SUM(O37:O38)</f>
        <v>619306.17999999993</v>
      </c>
      <c r="P39" s="227">
        <f>SUM(P37:P38)</f>
        <v>92895.93</v>
      </c>
      <c r="Q39" s="227">
        <f>SUM(Q37:Q38)</f>
        <v>92895.93</v>
      </c>
      <c r="R39" s="229"/>
      <c r="S39" s="227">
        <f>SUM(S37:S38)</f>
        <v>0</v>
      </c>
      <c r="T39" s="229"/>
      <c r="U39" s="43">
        <f>SUM(U37:U38)</f>
        <v>12677</v>
      </c>
      <c r="V39" s="43">
        <f>SUM(V37:V38)</f>
        <v>619306.17999999993</v>
      </c>
      <c r="W39" s="82">
        <f>SUM(W37:W38)</f>
        <v>408.9</v>
      </c>
      <c r="X39" s="83">
        <f>ROUND(V39/U39,4)</f>
        <v>48.852699999999999</v>
      </c>
      <c r="Y39" s="83">
        <f>ROUND(Z39/U39,4)</f>
        <v>7.3278999999999996</v>
      </c>
      <c r="Z39" s="43">
        <f>SUM(Z37:Z38)</f>
        <v>92895.93</v>
      </c>
      <c r="AA39" s="43">
        <f>SUM(AA37:AA38)</f>
        <v>0</v>
      </c>
      <c r="AB39" s="43">
        <f>SUM(AB37:AB38)</f>
        <v>0</v>
      </c>
      <c r="AC39" s="82">
        <f>SUM(AC37:AC38)</f>
        <v>0</v>
      </c>
      <c r="AD39" s="83">
        <f>IF(AA39=0,0,ROUND(AB39/AA39,4))</f>
        <v>0</v>
      </c>
      <c r="AE39" s="83">
        <f>IF(AA39=0,0,ROUND(AF39/AA39,4))</f>
        <v>0</v>
      </c>
      <c r="AF39" s="43">
        <f>SUM(AF37:AF38)</f>
        <v>0</v>
      </c>
      <c r="AG39" s="77">
        <f>P39-Z39-AF39</f>
        <v>0</v>
      </c>
      <c r="AJ39" s="257"/>
    </row>
    <row r="40" spans="1:37"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210">
        <f>ROUND($F$1*Q39,2)</f>
        <v>0</v>
      </c>
      <c r="R40" s="139"/>
      <c r="S40" s="210">
        <f>ROUND($F$1*S39,2)</f>
        <v>0</v>
      </c>
      <c r="T40" s="139"/>
      <c r="U40" s="140"/>
      <c r="V40" s="140"/>
      <c r="W40" s="141"/>
      <c r="X40" s="142"/>
      <c r="Y40" s="142"/>
      <c r="Z40" s="140"/>
      <c r="AA40" s="140"/>
      <c r="AB40" s="140"/>
      <c r="AC40" s="141"/>
      <c r="AD40" s="142"/>
      <c r="AE40" s="142"/>
      <c r="AF40" s="140"/>
      <c r="AG40" s="140"/>
      <c r="AI40" s="257"/>
    </row>
    <row r="41" spans="1:37"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c r="U41" s="46"/>
      <c r="V41" s="46"/>
      <c r="W41" s="73"/>
      <c r="X41" s="74"/>
      <c r="Y41" s="74"/>
      <c r="Z41" s="74"/>
      <c r="AA41" s="46"/>
      <c r="AB41" s="46"/>
      <c r="AC41" s="73"/>
      <c r="AD41" s="74"/>
      <c r="AE41" s="74"/>
      <c r="AF41" s="74"/>
      <c r="AG41" s="46"/>
      <c r="AI41" s="257"/>
    </row>
    <row r="42" spans="1:37" x14ac:dyDescent="0.2">
      <c r="A42" s="23" t="s">
        <v>28</v>
      </c>
      <c r="B42" s="28">
        <v>8</v>
      </c>
      <c r="C42" s="57" t="s">
        <v>31</v>
      </c>
      <c r="D42" s="57" t="s">
        <v>30</v>
      </c>
      <c r="E42" s="57" t="s">
        <v>101</v>
      </c>
      <c r="F42" s="238" t="s">
        <v>37</v>
      </c>
      <c r="G42" s="222">
        <f>+G342</f>
        <v>42079</v>
      </c>
      <c r="H42" s="215">
        <f>+H348</f>
        <v>39164</v>
      </c>
      <c r="I42" s="222">
        <f>+I342</f>
        <v>55.940447253974668</v>
      </c>
      <c r="J42" s="215">
        <f>+J348</f>
        <v>57.452000051067301</v>
      </c>
      <c r="K42" s="222"/>
      <c r="L42" s="222"/>
      <c r="M42" s="222"/>
      <c r="N42" s="222">
        <v>5786.5300000000007</v>
      </c>
      <c r="O42" s="224">
        <f>ROUND(G42*I42,2)+ROUND(H42*J42,2)-K42-L42-M42-N42</f>
        <v>4598181.68</v>
      </c>
      <c r="P42" s="222">
        <f>ROUND(18.75%*O42,2)</f>
        <v>862159.07</v>
      </c>
      <c r="Q42" s="222">
        <f>ROUND($O42*R42,2)</f>
        <v>689727.25</v>
      </c>
      <c r="R42" s="223">
        <v>0.15</v>
      </c>
      <c r="S42" s="222">
        <f>ROUND($O42*T42,2)</f>
        <v>172431.81</v>
      </c>
      <c r="T42" s="258">
        <v>3.7499999999999999E-2</v>
      </c>
      <c r="U42" s="40">
        <f t="shared" ref="U42:U47" si="16">IF($F42&amp;"/Día"=W$9,SUM($G42:$H42),"")</f>
        <v>81243</v>
      </c>
      <c r="V42" s="40">
        <f t="shared" ref="V42:V47" si="17">IF(U42&lt;&gt;"",$O42,"")</f>
        <v>4598181.68</v>
      </c>
      <c r="W42" s="75">
        <f t="shared" ref="W42:W47" si="18">IF($F42&amp;"/Día"=W$9,ROUND(U42/$W$1,1),"")</f>
        <v>2620.6999999999998</v>
      </c>
      <c r="X42" s="76">
        <f t="shared" ref="X42:X47" si="19">IF(U42=0,0,IF($F42&amp;"/Día"=W$9,ROUND(V42/U42,4),""))</f>
        <v>56.597900000000003</v>
      </c>
      <c r="Y42" s="76">
        <f t="shared" ref="Y42:Y47" si="20">IF(U42=0,0,IF($F42&amp;"/Día"=W$9,ROUND(Z42/U42,4),""))</f>
        <v>10.6121</v>
      </c>
      <c r="Z42" s="40">
        <f t="shared" ref="Z42:Z47" si="21">IF(U42&lt;&gt;"",$P42,"")</f>
        <v>862159.07</v>
      </c>
      <c r="AA42" s="40" t="str">
        <f t="shared" ref="AA42:AA47" si="22">IF($F42&amp;"/Día"=AC$9,SUM($G42:$H42),"")</f>
        <v/>
      </c>
      <c r="AB42" s="40" t="str">
        <f t="shared" ref="AB42:AB47" si="23">IF(AA42&lt;&gt;"",$O42,"")</f>
        <v/>
      </c>
      <c r="AC42" s="75" t="str">
        <f t="shared" ref="AC42:AC47" si="24">IF($F42&amp;"/Día"=AC$9,ROUND(AA42/$W$1,1),"")</f>
        <v/>
      </c>
      <c r="AD42" s="76" t="str">
        <f t="shared" ref="AD42:AD47" si="25">IF(AA42=0,0,IF($F42&amp;"/Día"=AC$9,ROUND(AB42/AA42,4),""))</f>
        <v/>
      </c>
      <c r="AE42" s="76" t="str">
        <f t="shared" ref="AE42:AE47" si="26">IF(AA42=0,0,IF($F42&amp;"/Día"=AC$9,ROUND(AF42/AA42,4),""))</f>
        <v/>
      </c>
      <c r="AF42" s="40" t="str">
        <f t="shared" ref="AF42:AF47" si="27">IF(AA42&lt;&gt;"",$P42,"")</f>
        <v/>
      </c>
      <c r="AG42" s="50"/>
    </row>
    <row r="43" spans="1:37" x14ac:dyDescent="0.2">
      <c r="A43" s="23" t="s">
        <v>28</v>
      </c>
      <c r="B43" s="24" t="s">
        <v>12</v>
      </c>
      <c r="C43" s="57" t="s">
        <v>31</v>
      </c>
      <c r="D43" s="57" t="s">
        <v>30</v>
      </c>
      <c r="E43" s="57" t="s">
        <v>101</v>
      </c>
      <c r="F43" s="238" t="s">
        <v>56</v>
      </c>
      <c r="G43" s="215">
        <v>75609.3753</v>
      </c>
      <c r="H43" s="215">
        <v>117232.98940000001</v>
      </c>
      <c r="I43" s="217">
        <v>3.6036000000000001</v>
      </c>
      <c r="J43" s="217">
        <v>3.6036999999999999</v>
      </c>
      <c r="K43" s="222"/>
      <c r="L43" s="222"/>
      <c r="M43" s="222"/>
      <c r="N43" s="386">
        <v>1746.28</v>
      </c>
      <c r="O43" s="224">
        <f>ROUND(G43*I43,2)+ROUND(H43*J43,2)-K43-L43-M43-N43</f>
        <v>693192.17999999993</v>
      </c>
      <c r="P43" s="222">
        <f>ROUND(18.75%*O43,2)</f>
        <v>129973.53</v>
      </c>
      <c r="Q43" s="222">
        <f>ROUND($O43*R43,2)</f>
        <v>25994.71</v>
      </c>
      <c r="R43" s="258">
        <v>3.7499999999999999E-2</v>
      </c>
      <c r="S43" s="222">
        <f>ROUND($O43*T43,2)</f>
        <v>103978.83</v>
      </c>
      <c r="T43" s="223">
        <v>0.15</v>
      </c>
      <c r="U43" s="40" t="str">
        <f t="shared" si="16"/>
        <v/>
      </c>
      <c r="V43" s="40" t="str">
        <f t="shared" si="17"/>
        <v/>
      </c>
      <c r="W43" s="75" t="str">
        <f t="shared" si="18"/>
        <v/>
      </c>
      <c r="X43" s="76" t="str">
        <f t="shared" si="19"/>
        <v/>
      </c>
      <c r="Y43" s="76" t="str">
        <f t="shared" si="20"/>
        <v/>
      </c>
      <c r="Z43" s="40" t="str">
        <f t="shared" si="21"/>
        <v/>
      </c>
      <c r="AA43" s="40">
        <f t="shared" si="22"/>
        <v>192842.36470000001</v>
      </c>
      <c r="AB43" s="40">
        <f t="shared" si="23"/>
        <v>693192.17999999993</v>
      </c>
      <c r="AC43" s="75">
        <f t="shared" si="24"/>
        <v>6220.7</v>
      </c>
      <c r="AD43" s="76">
        <f t="shared" si="25"/>
        <v>3.5945999999999998</v>
      </c>
      <c r="AE43" s="76">
        <f t="shared" si="26"/>
        <v>0.67400000000000004</v>
      </c>
      <c r="AF43" s="40">
        <f t="shared" si="27"/>
        <v>129973.53</v>
      </c>
      <c r="AG43" s="50"/>
      <c r="AI43" s="257"/>
    </row>
    <row r="44" spans="1:37" x14ac:dyDescent="0.2">
      <c r="A44" s="23" t="s">
        <v>28</v>
      </c>
      <c r="B44" s="24" t="s">
        <v>75</v>
      </c>
      <c r="C44" s="57" t="s">
        <v>31</v>
      </c>
      <c r="D44" s="57" t="s">
        <v>30</v>
      </c>
      <c r="E44" s="57" t="s">
        <v>103</v>
      </c>
      <c r="F44" s="238" t="s">
        <v>37</v>
      </c>
      <c r="G44" s="215"/>
      <c r="H44" s="215"/>
      <c r="I44" s="217"/>
      <c r="J44" s="217"/>
      <c r="K44" s="222"/>
      <c r="L44" s="222"/>
      <c r="M44" s="222"/>
      <c r="N44" s="386">
        <v>3650.71</v>
      </c>
      <c r="O44" s="224">
        <f>ROUND(G44*I44,2)+ROUND(H44*J44,2)-K44-L44-M44-N44</f>
        <v>-3650.71</v>
      </c>
      <c r="P44" s="222">
        <f>ROUND(18.75%*O44,2)</f>
        <v>-684.51</v>
      </c>
      <c r="Q44" s="222">
        <f>ROUND($O44*R44,2)</f>
        <v>-136.9</v>
      </c>
      <c r="R44" s="258">
        <v>3.7499999999999999E-2</v>
      </c>
      <c r="S44" s="222">
        <f>ROUND($O44*T44,2)</f>
        <v>-547.61</v>
      </c>
      <c r="T44" s="223">
        <v>0.15</v>
      </c>
      <c r="U44" s="40">
        <f t="shared" si="16"/>
        <v>0</v>
      </c>
      <c r="V44" s="40">
        <f t="shared" si="17"/>
        <v>-3650.71</v>
      </c>
      <c r="W44" s="75">
        <f t="shared" si="18"/>
        <v>0</v>
      </c>
      <c r="X44" s="76">
        <f t="shared" si="19"/>
        <v>0</v>
      </c>
      <c r="Y44" s="76">
        <f t="shared" si="20"/>
        <v>0</v>
      </c>
      <c r="Z44" s="40">
        <f t="shared" si="21"/>
        <v>-684.51</v>
      </c>
      <c r="AA44" s="40" t="str">
        <f t="shared" si="22"/>
        <v/>
      </c>
      <c r="AB44" s="40" t="str">
        <f t="shared" si="23"/>
        <v/>
      </c>
      <c r="AC44" s="75" t="str">
        <f t="shared" si="24"/>
        <v/>
      </c>
      <c r="AD44" s="76" t="str">
        <f t="shared" si="25"/>
        <v/>
      </c>
      <c r="AE44" s="76" t="str">
        <f t="shared" si="26"/>
        <v/>
      </c>
      <c r="AF44" s="40" t="str">
        <f t="shared" si="27"/>
        <v/>
      </c>
      <c r="AG44" s="50"/>
    </row>
    <row r="45" spans="1:37" x14ac:dyDescent="0.2">
      <c r="A45" s="23" t="s">
        <v>28</v>
      </c>
      <c r="B45" s="28">
        <v>95</v>
      </c>
      <c r="C45" s="57" t="s">
        <v>31</v>
      </c>
      <c r="D45" s="57" t="s">
        <v>30</v>
      </c>
      <c r="E45" s="57" t="s">
        <v>101</v>
      </c>
      <c r="F45" s="238" t="s">
        <v>37</v>
      </c>
      <c r="G45" s="215">
        <v>221349</v>
      </c>
      <c r="H45" s="215">
        <v>234026</v>
      </c>
      <c r="I45" s="217">
        <v>42.335299999999997</v>
      </c>
      <c r="J45" s="217">
        <v>40.9559</v>
      </c>
      <c r="K45" s="215"/>
      <c r="L45" s="222"/>
      <c r="M45" s="222"/>
      <c r="N45" s="386">
        <v>5786.54</v>
      </c>
      <c r="O45" s="224">
        <f>ROUND(G45*I45,2)+ROUND(H45*J45,2)-K45-L45-M45-N45</f>
        <v>18949835.23</v>
      </c>
      <c r="P45" s="222">
        <f>ROUND(18.75%*O45,2)</f>
        <v>3553094.11</v>
      </c>
      <c r="Q45" s="222">
        <f>P45-S45</f>
        <v>2842475.29</v>
      </c>
      <c r="R45" s="223">
        <v>0.15</v>
      </c>
      <c r="S45" s="222">
        <f>ROUND($O45*T45,2)</f>
        <v>710618.82</v>
      </c>
      <c r="T45" s="258">
        <v>3.7499999999999999E-2</v>
      </c>
      <c r="U45" s="40">
        <f t="shared" si="16"/>
        <v>455375</v>
      </c>
      <c r="V45" s="40">
        <f t="shared" si="17"/>
        <v>18949835.23</v>
      </c>
      <c r="W45" s="75">
        <f t="shared" si="18"/>
        <v>14689.5</v>
      </c>
      <c r="X45" s="76">
        <f t="shared" si="19"/>
        <v>41.613700000000001</v>
      </c>
      <c r="Y45" s="76">
        <f t="shared" si="20"/>
        <v>7.8026</v>
      </c>
      <c r="Z45" s="40">
        <f t="shared" si="21"/>
        <v>3553094.11</v>
      </c>
      <c r="AA45" s="40" t="str">
        <f t="shared" si="22"/>
        <v/>
      </c>
      <c r="AB45" s="40" t="str">
        <f t="shared" si="23"/>
        <v/>
      </c>
      <c r="AC45" s="75" t="str">
        <f t="shared" si="24"/>
        <v/>
      </c>
      <c r="AD45" s="76" t="str">
        <f t="shared" si="25"/>
        <v/>
      </c>
      <c r="AE45" s="76" t="str">
        <f t="shared" si="26"/>
        <v/>
      </c>
      <c r="AF45" s="40" t="str">
        <f t="shared" si="27"/>
        <v/>
      </c>
      <c r="AG45" s="50"/>
    </row>
    <row r="46" spans="1:37"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c r="U46" s="40">
        <f t="shared" si="16"/>
        <v>0</v>
      </c>
      <c r="V46" s="40">
        <f t="shared" si="17"/>
        <v>0</v>
      </c>
      <c r="W46" s="75">
        <f t="shared" si="18"/>
        <v>0</v>
      </c>
      <c r="X46" s="76">
        <f t="shared" si="19"/>
        <v>0</v>
      </c>
      <c r="Y46" s="76">
        <f t="shared" si="20"/>
        <v>0</v>
      </c>
      <c r="Z46" s="40">
        <f t="shared" si="21"/>
        <v>0</v>
      </c>
      <c r="AA46" s="40" t="str">
        <f t="shared" si="22"/>
        <v/>
      </c>
      <c r="AB46" s="40" t="str">
        <f t="shared" si="23"/>
        <v/>
      </c>
      <c r="AC46" s="75" t="str">
        <f t="shared" si="24"/>
        <v/>
      </c>
      <c r="AD46" s="76" t="str">
        <f t="shared" si="25"/>
        <v/>
      </c>
      <c r="AE46" s="76" t="str">
        <f t="shared" si="26"/>
        <v/>
      </c>
      <c r="AF46" s="40" t="str">
        <f t="shared" si="27"/>
        <v/>
      </c>
      <c r="AG46" s="50"/>
    </row>
    <row r="47" spans="1:37" x14ac:dyDescent="0.2">
      <c r="A47" s="18" t="s">
        <v>28</v>
      </c>
      <c r="B47" s="29" t="s">
        <v>54</v>
      </c>
      <c r="C47" s="56"/>
      <c r="D47" s="27"/>
      <c r="E47" s="27"/>
      <c r="F47" s="238"/>
      <c r="G47" s="222"/>
      <c r="H47" s="222"/>
      <c r="I47" s="216"/>
      <c r="J47" s="216"/>
      <c r="K47" s="222"/>
      <c r="L47" s="222"/>
      <c r="M47" s="222"/>
      <c r="N47" s="222"/>
      <c r="O47" s="222"/>
      <c r="P47" s="222"/>
      <c r="Q47" s="222"/>
      <c r="R47" s="222"/>
      <c r="S47" s="222"/>
      <c r="T47" s="223"/>
      <c r="U47" s="40" t="str">
        <f t="shared" si="16"/>
        <v/>
      </c>
      <c r="V47" s="40" t="str">
        <f t="shared" si="17"/>
        <v/>
      </c>
      <c r="W47" s="75" t="str">
        <f t="shared" si="18"/>
        <v/>
      </c>
      <c r="X47" s="76" t="str">
        <f t="shared" si="19"/>
        <v/>
      </c>
      <c r="Y47" s="76" t="str">
        <f t="shared" si="20"/>
        <v/>
      </c>
      <c r="Z47" s="40" t="str">
        <f t="shared" si="21"/>
        <v/>
      </c>
      <c r="AA47" s="40" t="str">
        <f t="shared" si="22"/>
        <v/>
      </c>
      <c r="AB47" s="40" t="str">
        <f t="shared" si="23"/>
        <v/>
      </c>
      <c r="AC47" s="75" t="str">
        <f t="shared" si="24"/>
        <v/>
      </c>
      <c r="AD47" s="76" t="str">
        <f t="shared" si="25"/>
        <v/>
      </c>
      <c r="AE47" s="76" t="str">
        <f t="shared" si="26"/>
        <v/>
      </c>
      <c r="AF47" s="40" t="str">
        <f t="shared" si="27"/>
        <v/>
      </c>
      <c r="AG47" s="50"/>
    </row>
    <row r="48" spans="1:37" x14ac:dyDescent="0.2">
      <c r="A48" s="30"/>
      <c r="B48" s="153" t="s">
        <v>108</v>
      </c>
      <c r="C48" s="31" t="str">
        <f>TEXT(A$41,)&amp;" US$"</f>
        <v>Loreto / Ucayali US$</v>
      </c>
      <c r="D48" s="19"/>
      <c r="E48" s="19"/>
      <c r="F48" s="251"/>
      <c r="G48" s="249"/>
      <c r="H48" s="249"/>
      <c r="I48" s="250"/>
      <c r="J48" s="240"/>
      <c r="K48" s="239"/>
      <c r="L48" s="239"/>
      <c r="M48" s="239"/>
      <c r="N48" s="227"/>
      <c r="O48" s="227">
        <f>SUM(O42:O47)</f>
        <v>24237558.379999999</v>
      </c>
      <c r="P48" s="227">
        <f>SUM(P42:P47)</f>
        <v>4544542.2</v>
      </c>
      <c r="Q48" s="227">
        <f>SUM(Q42:Q47)</f>
        <v>3558060.35</v>
      </c>
      <c r="R48" s="241"/>
      <c r="S48" s="227">
        <f>SUM(S42:S47)</f>
        <v>986481.85</v>
      </c>
      <c r="T48" s="229"/>
      <c r="U48" s="77">
        <f>SUM(U42:U47)</f>
        <v>536618</v>
      </c>
      <c r="V48" s="77">
        <f>SUM(V42:V47)</f>
        <v>23544366.199999999</v>
      </c>
      <c r="W48" s="78">
        <f>SUM(W42:W47)</f>
        <v>17310.2</v>
      </c>
      <c r="X48" s="79">
        <f>ROUND(V48/U48,4)</f>
        <v>43.875500000000002</v>
      </c>
      <c r="Y48" s="79">
        <f>ROUND(Z48/U48,4)</f>
        <v>8.2266999999999992</v>
      </c>
      <c r="Z48" s="77">
        <f>SUM(Z42:Z47)</f>
        <v>4414568.67</v>
      </c>
      <c r="AA48" s="77">
        <f>SUM(AA42:AA47)</f>
        <v>192842.36470000001</v>
      </c>
      <c r="AB48" s="77">
        <f>SUM(AB42:AB47)</f>
        <v>693192.17999999993</v>
      </c>
      <c r="AC48" s="78">
        <f>SUM(AC42:AC47)</f>
        <v>6220.7</v>
      </c>
      <c r="AD48" s="79">
        <f>ROUND(AB48/AA48,4)</f>
        <v>3.5945999999999998</v>
      </c>
      <c r="AE48" s="79">
        <f>ROUND(AF48/AA48,4)</f>
        <v>0.67400000000000004</v>
      </c>
      <c r="AF48" s="77">
        <f>SUM(AF42:AF47)</f>
        <v>129973.53</v>
      </c>
      <c r="AG48" s="77">
        <f>P48-Z48-AF48</f>
        <v>2.6193447411060333E-10</v>
      </c>
    </row>
    <row r="49" spans="1:40" x14ac:dyDescent="0.2">
      <c r="A49" s="145"/>
      <c r="B49" s="146"/>
      <c r="C49" s="31" t="str">
        <f>TEXT(A$41,)&amp;" S/."</f>
        <v>Loreto / Ucayali S/.</v>
      </c>
      <c r="D49" s="103"/>
      <c r="E49" s="103"/>
      <c r="F49" s="145"/>
      <c r="G49" s="208"/>
      <c r="H49" s="208"/>
      <c r="I49" s="205"/>
      <c r="J49" s="205"/>
      <c r="K49" s="208"/>
      <c r="L49" s="208"/>
      <c r="M49" s="208"/>
      <c r="N49" s="208"/>
      <c r="O49" s="211"/>
      <c r="P49" s="211">
        <f>ROUND($F$1*P48,2)</f>
        <v>0</v>
      </c>
      <c r="Q49" s="211">
        <f>ROUND($F$1*Q48,2)</f>
        <v>0</v>
      </c>
      <c r="R49" s="160"/>
      <c r="S49" s="363">
        <f>ROUND($F$1*S48,2)</f>
        <v>0</v>
      </c>
      <c r="T49" s="148"/>
      <c r="U49" s="149"/>
      <c r="V49" s="149"/>
      <c r="W49" s="150"/>
      <c r="X49" s="151"/>
      <c r="Y49" s="151"/>
      <c r="Z49" s="149"/>
      <c r="AA49" s="149"/>
      <c r="AB49" s="149"/>
      <c r="AC49" s="150"/>
      <c r="AD49" s="151"/>
      <c r="AE49" s="151"/>
      <c r="AF49" s="149"/>
      <c r="AG49" s="149"/>
    </row>
    <row r="50" spans="1:4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c r="U50" s="149"/>
      <c r="V50" s="149"/>
      <c r="W50" s="150"/>
      <c r="X50" s="151"/>
      <c r="Y50" s="151"/>
      <c r="Z50" s="149"/>
      <c r="AA50" s="149"/>
      <c r="AB50" s="149"/>
      <c r="AC50" s="150"/>
      <c r="AD50" s="151"/>
      <c r="AE50" s="151"/>
      <c r="AF50" s="149"/>
      <c r="AG50" s="149"/>
    </row>
    <row r="51" spans="1:40" x14ac:dyDescent="0.2">
      <c r="A51" s="23" t="s">
        <v>28</v>
      </c>
      <c r="B51" s="24" t="s">
        <v>160</v>
      </c>
      <c r="C51" s="57" t="s">
        <v>31</v>
      </c>
      <c r="D51" s="57" t="s">
        <v>30</v>
      </c>
      <c r="E51" s="57" t="s">
        <v>158</v>
      </c>
      <c r="F51" s="238" t="s">
        <v>37</v>
      </c>
      <c r="G51" s="222">
        <v>709557</v>
      </c>
      <c r="H51" s="222">
        <v>745558</v>
      </c>
      <c r="I51" s="216">
        <v>34.775300000000001</v>
      </c>
      <c r="J51" s="216">
        <v>32.156799999999997</v>
      </c>
      <c r="K51" s="222"/>
      <c r="L51" s="222"/>
      <c r="M51" s="222"/>
      <c r="N51" s="409"/>
      <c r="O51" s="224">
        <f>G51*I51+H51*J51</f>
        <v>48649817.036499999</v>
      </c>
      <c r="P51" s="253">
        <f>ROUND(37.24%*(G51*I51+H51*J51),2)</f>
        <v>18117191.859999999</v>
      </c>
      <c r="Q51" s="253">
        <f>ROUND(R51*P51,2)</f>
        <v>9058595.9299999997</v>
      </c>
      <c r="R51" s="223">
        <v>0.5</v>
      </c>
      <c r="S51" s="222"/>
      <c r="T51" s="258"/>
      <c r="U51" s="40">
        <f t="shared" ref="U51:U57" si="28">IF($F51&amp;"/Día"=W$9,SUM($G51:$H51),"")</f>
        <v>1455115</v>
      </c>
      <c r="V51" s="40">
        <f t="shared" ref="V51:V57" si="29">IF(U51&lt;&gt;"",$O51,"")</f>
        <v>48649817.036499999</v>
      </c>
      <c r="W51" s="75">
        <f t="shared" ref="W51:W57" si="30">IF($F51&amp;"/Día"=W$9,ROUND(U51/$W$1,1),"")</f>
        <v>46939.199999999997</v>
      </c>
      <c r="X51" s="76">
        <f t="shared" ref="X51:X57" si="31">IF(U51=0,0,IF($F51&amp;"/Día"=W$9,ROUND(V51/U51,4),""))</f>
        <v>33.433700000000002</v>
      </c>
      <c r="Y51" s="76">
        <f t="shared" ref="Y51:Y57" si="32">IF(U51=0,0,IF($F51&amp;"/Día"=W$9,ROUND(Z51/U51,4),""))</f>
        <v>6.2252999999999998</v>
      </c>
      <c r="Z51" s="40">
        <f t="shared" ref="Z51:Z57" si="33">IF(U51&lt;&gt;"",$Q51,"")</f>
        <v>9058595.9299999997</v>
      </c>
      <c r="AA51" s="40" t="str">
        <f t="shared" ref="AA51:AA57" si="34">IF($F51&amp;"/Día"=AC$9,SUM($G51:$H51),"")</f>
        <v/>
      </c>
      <c r="AB51" s="40" t="str">
        <f t="shared" ref="AB51:AB57" si="35">IF(AA51&lt;&gt;"",$O51,"")</f>
        <v/>
      </c>
      <c r="AC51" s="75" t="str">
        <f t="shared" ref="AC51:AC57" si="36">IF($F51&amp;"/Día"=AC$9,ROUND(AA51/$W$1,1),"")</f>
        <v/>
      </c>
      <c r="AD51" s="76" t="str">
        <f t="shared" ref="AD51:AD57" si="37">IF(AA51=0,0,IF($F51&amp;"/Día"=AC$9,ROUND(AB51/AA51,4),""))</f>
        <v/>
      </c>
      <c r="AE51" s="76" t="str">
        <f t="shared" ref="AE51:AE57" si="38">IF(AA51=0,0,IF($F51&amp;"/Día"=AC$9,ROUND(AF51/AA51,4),""))</f>
        <v/>
      </c>
      <c r="AF51" s="40" t="str">
        <f t="shared" ref="AF51:AF57" si="39">IF(AA51&lt;&gt;"",$Q51,"")</f>
        <v/>
      </c>
      <c r="AG51" s="149"/>
      <c r="AK51" s="179"/>
    </row>
    <row r="52" spans="1:40" x14ac:dyDescent="0.2">
      <c r="A52" s="23" t="s">
        <v>28</v>
      </c>
      <c r="B52" s="24" t="s">
        <v>159</v>
      </c>
      <c r="C52" s="57" t="s">
        <v>31</v>
      </c>
      <c r="D52" s="57" t="s">
        <v>30</v>
      </c>
      <c r="E52" s="57" t="s">
        <v>158</v>
      </c>
      <c r="F52" s="238" t="s">
        <v>56</v>
      </c>
      <c r="G52" s="222">
        <f>+G364</f>
        <v>14817870.717800001</v>
      </c>
      <c r="H52" s="222">
        <f>+H372</f>
        <v>15392432.487600001</v>
      </c>
      <c r="I52" s="222">
        <f>+I364</f>
        <v>2.8003</v>
      </c>
      <c r="J52" s="222">
        <f>+J372</f>
        <v>2.7850000000000001</v>
      </c>
      <c r="K52" s="222"/>
      <c r="L52" s="222"/>
      <c r="M52" s="222"/>
      <c r="N52" s="409"/>
      <c r="O52" s="222">
        <f>+O356</f>
        <v>84361337.900000006</v>
      </c>
      <c r="P52" s="222">
        <f>+P356</f>
        <v>31461727.470000003</v>
      </c>
      <c r="Q52" s="222">
        <f>+Q356</f>
        <v>15730863.75</v>
      </c>
      <c r="R52" s="223">
        <v>0.5</v>
      </c>
      <c r="S52" s="222"/>
      <c r="T52" s="223"/>
      <c r="U52" s="40" t="str">
        <f t="shared" si="28"/>
        <v/>
      </c>
      <c r="V52" s="40" t="str">
        <f t="shared" si="29"/>
        <v/>
      </c>
      <c r="W52" s="75" t="str">
        <f t="shared" si="30"/>
        <v/>
      </c>
      <c r="X52" s="76" t="str">
        <f t="shared" si="31"/>
        <v/>
      </c>
      <c r="Y52" s="76" t="str">
        <f t="shared" si="32"/>
        <v/>
      </c>
      <c r="Z52" s="40" t="str">
        <f t="shared" si="33"/>
        <v/>
      </c>
      <c r="AA52" s="40">
        <f t="shared" si="34"/>
        <v>30210303.205400001</v>
      </c>
      <c r="AB52" s="40">
        <f t="shared" si="35"/>
        <v>84361337.900000006</v>
      </c>
      <c r="AC52" s="75">
        <f t="shared" si="36"/>
        <v>974525.9</v>
      </c>
      <c r="AD52" s="76">
        <f t="shared" si="37"/>
        <v>2.7925</v>
      </c>
      <c r="AE52" s="76">
        <f t="shared" si="38"/>
        <v>0.52070000000000005</v>
      </c>
      <c r="AF52" s="40">
        <f t="shared" si="39"/>
        <v>15730863.75</v>
      </c>
      <c r="AG52" s="149"/>
      <c r="AK52" s="179"/>
    </row>
    <row r="53" spans="1:40" x14ac:dyDescent="0.2">
      <c r="A53" s="23" t="s">
        <v>28</v>
      </c>
      <c r="B53" s="24" t="s">
        <v>168</v>
      </c>
      <c r="C53" s="57" t="s">
        <v>31</v>
      </c>
      <c r="D53" s="57" t="s">
        <v>30</v>
      </c>
      <c r="E53" s="57" t="s">
        <v>158</v>
      </c>
      <c r="F53" s="238" t="s">
        <v>37</v>
      </c>
      <c r="G53" s="222">
        <v>164620</v>
      </c>
      <c r="H53" s="222">
        <v>177774</v>
      </c>
      <c r="I53" s="216">
        <v>34.778500000000001</v>
      </c>
      <c r="J53" s="216">
        <v>32.157400000000003</v>
      </c>
      <c r="K53" s="222"/>
      <c r="L53" s="222"/>
      <c r="M53" s="222"/>
      <c r="N53" s="222"/>
      <c r="O53" s="224">
        <f>G53*I53+H53*J53</f>
        <v>11441986.297600001</v>
      </c>
      <c r="P53" s="253">
        <f>ROUND(40%*G53*I53,2)+ROUND(40%*H53*J53,2)</f>
        <v>4576794.5199999996</v>
      </c>
      <c r="Q53" s="253">
        <f>ROUND(R53*P53,2)</f>
        <v>2288397.2599999998</v>
      </c>
      <c r="R53" s="223">
        <v>0.5</v>
      </c>
      <c r="S53" s="222"/>
      <c r="T53" s="223"/>
      <c r="U53" s="40">
        <f t="shared" si="28"/>
        <v>342394</v>
      </c>
      <c r="V53" s="40">
        <f t="shared" si="29"/>
        <v>11441986.297600001</v>
      </c>
      <c r="W53" s="75">
        <f t="shared" si="30"/>
        <v>11045</v>
      </c>
      <c r="X53" s="76">
        <f t="shared" si="31"/>
        <v>33.4176</v>
      </c>
      <c r="Y53" s="76">
        <f t="shared" si="32"/>
        <v>6.6835000000000004</v>
      </c>
      <c r="Z53" s="40">
        <f t="shared" si="33"/>
        <v>2288397.2599999998</v>
      </c>
      <c r="AA53" s="40" t="str">
        <f t="shared" si="34"/>
        <v/>
      </c>
      <c r="AB53" s="40" t="str">
        <f t="shared" si="35"/>
        <v/>
      </c>
      <c r="AC53" s="75" t="str">
        <f t="shared" si="36"/>
        <v/>
      </c>
      <c r="AD53" s="76" t="str">
        <f t="shared" si="37"/>
        <v/>
      </c>
      <c r="AE53" s="76" t="str">
        <f t="shared" si="38"/>
        <v/>
      </c>
      <c r="AF53" s="40" t="str">
        <f t="shared" si="39"/>
        <v/>
      </c>
      <c r="AG53" s="149"/>
      <c r="AK53" s="179"/>
    </row>
    <row r="54" spans="1:40" x14ac:dyDescent="0.2">
      <c r="A54" s="23" t="s">
        <v>28</v>
      </c>
      <c r="B54" s="24" t="s">
        <v>169</v>
      </c>
      <c r="C54" s="57" t="s">
        <v>31</v>
      </c>
      <c r="D54" s="57" t="s">
        <v>30</v>
      </c>
      <c r="E54" s="57" t="s">
        <v>158</v>
      </c>
      <c r="F54" s="238" t="s">
        <v>56</v>
      </c>
      <c r="G54" s="222">
        <v>3894760.2694000001</v>
      </c>
      <c r="H54" s="222">
        <v>4141178.9972000001</v>
      </c>
      <c r="I54" s="558">
        <v>3.677</v>
      </c>
      <c r="J54" s="216">
        <v>3.359</v>
      </c>
      <c r="K54" s="222"/>
      <c r="L54" s="222"/>
      <c r="M54" s="222"/>
      <c r="N54" s="222"/>
      <c r="O54" s="589">
        <f>G54*I54+H54*J54</f>
        <v>28231253.7621786</v>
      </c>
      <c r="P54" s="253">
        <f>ROUND(38%*G54*I54,2)+ROUND(38%*H54*J54,2)</f>
        <v>10727876.43</v>
      </c>
      <c r="Q54" s="253">
        <f>ROUND(R54*P54,2)</f>
        <v>5363938.22</v>
      </c>
      <c r="R54" s="223">
        <v>0.5</v>
      </c>
      <c r="S54" s="222"/>
      <c r="T54" s="223"/>
      <c r="U54" s="40" t="str">
        <f t="shared" si="28"/>
        <v/>
      </c>
      <c r="V54" s="40" t="str">
        <f t="shared" si="29"/>
        <v/>
      </c>
      <c r="W54" s="75" t="str">
        <f t="shared" si="30"/>
        <v/>
      </c>
      <c r="X54" s="76" t="str">
        <f t="shared" si="31"/>
        <v/>
      </c>
      <c r="Y54" s="76" t="str">
        <f t="shared" si="32"/>
        <v/>
      </c>
      <c r="Z54" s="40" t="str">
        <f t="shared" si="33"/>
        <v/>
      </c>
      <c r="AA54" s="40">
        <f t="shared" si="34"/>
        <v>8035939.2665999997</v>
      </c>
      <c r="AB54" s="40">
        <f t="shared" si="35"/>
        <v>28231253.7621786</v>
      </c>
      <c r="AC54" s="75">
        <f t="shared" si="36"/>
        <v>259223.8</v>
      </c>
      <c r="AD54" s="76">
        <f t="shared" si="37"/>
        <v>3.5131000000000001</v>
      </c>
      <c r="AE54" s="76">
        <f t="shared" si="38"/>
        <v>0.66749999999999998</v>
      </c>
      <c r="AF54" s="40">
        <f t="shared" si="39"/>
        <v>5363938.22</v>
      </c>
      <c r="AG54" s="149"/>
      <c r="AK54" s="179"/>
    </row>
    <row r="55" spans="1:40" ht="13.5" customHeight="1" x14ac:dyDescent="0.2">
      <c r="A55" s="23" t="s">
        <v>28</v>
      </c>
      <c r="B55" s="28" t="s">
        <v>175</v>
      </c>
      <c r="C55" s="57" t="s">
        <v>31</v>
      </c>
      <c r="D55" s="57" t="s">
        <v>30</v>
      </c>
      <c r="E55" s="57" t="s">
        <v>158</v>
      </c>
      <c r="F55" s="238" t="s">
        <v>37</v>
      </c>
      <c r="G55" s="222">
        <v>234998</v>
      </c>
      <c r="H55" s="222">
        <v>256230</v>
      </c>
      <c r="I55" s="216">
        <v>32.857599999999998</v>
      </c>
      <c r="J55" s="216">
        <v>30.338799999999999</v>
      </c>
      <c r="K55" s="215"/>
      <c r="L55" s="222"/>
      <c r="M55" s="222"/>
      <c r="N55" s="215"/>
      <c r="O55" s="224">
        <f>G55*I55+H55*J55</f>
        <v>15495181.0088</v>
      </c>
      <c r="P55" s="583">
        <f>ROUND(G55*I55,2)*6.68%+ROUND(H55*J55,2)*6.74%</f>
        <v>1039742.3172319999</v>
      </c>
      <c r="Q55" s="253">
        <f>ROUND(R55*P55,2)</f>
        <v>519871.16</v>
      </c>
      <c r="R55" s="223">
        <v>0.5</v>
      </c>
      <c r="S55" s="222"/>
      <c r="T55" s="258"/>
      <c r="U55" s="40">
        <f t="shared" si="28"/>
        <v>491228</v>
      </c>
      <c r="V55" s="40">
        <f t="shared" si="29"/>
        <v>15495181.0088</v>
      </c>
      <c r="W55" s="75">
        <f t="shared" si="30"/>
        <v>15846.1</v>
      </c>
      <c r="X55" s="76">
        <f t="shared" si="31"/>
        <v>31.543800000000001</v>
      </c>
      <c r="Y55" s="76">
        <f t="shared" si="32"/>
        <v>1.0583</v>
      </c>
      <c r="Z55" s="40">
        <f t="shared" si="33"/>
        <v>519871.16</v>
      </c>
      <c r="AA55" s="40" t="str">
        <f t="shared" si="34"/>
        <v/>
      </c>
      <c r="AB55" s="40" t="str">
        <f t="shared" si="35"/>
        <v/>
      </c>
      <c r="AC55" s="75" t="str">
        <f t="shared" si="36"/>
        <v/>
      </c>
      <c r="AD55" s="76" t="str">
        <f t="shared" si="37"/>
        <v/>
      </c>
      <c r="AE55" s="76" t="str">
        <f t="shared" si="38"/>
        <v/>
      </c>
      <c r="AF55" s="40" t="str">
        <f t="shared" si="39"/>
        <v/>
      </c>
      <c r="AG55" s="149"/>
      <c r="AK55" s="179"/>
    </row>
    <row r="56" spans="1:40" x14ac:dyDescent="0.2">
      <c r="A56" s="23" t="s">
        <v>28</v>
      </c>
      <c r="B56" s="272" t="s">
        <v>176</v>
      </c>
      <c r="C56" s="57" t="s">
        <v>31</v>
      </c>
      <c r="D56" s="57" t="s">
        <v>30</v>
      </c>
      <c r="E56" s="57" t="s">
        <v>158</v>
      </c>
      <c r="F56" s="238" t="s">
        <v>56</v>
      </c>
      <c r="G56" s="222">
        <v>3928962.9506999999</v>
      </c>
      <c r="H56" s="222">
        <v>4238432.2852999996</v>
      </c>
      <c r="I56" s="216">
        <v>2.7829999999999999</v>
      </c>
      <c r="J56" s="216">
        <v>2.7829999999999999</v>
      </c>
      <c r="K56" s="559"/>
      <c r="L56" s="222"/>
      <c r="M56" s="222"/>
      <c r="N56" s="215"/>
      <c r="O56" s="224">
        <f>G56*I56+H56*J56</f>
        <v>22729860.941787995</v>
      </c>
      <c r="P56" s="583">
        <f>ROUND(G56*I56,2)*11.1%+ROUND(H56*J56,2)*11.17%</f>
        <v>2531271.4542749999</v>
      </c>
      <c r="Q56" s="253">
        <f>ROUND(R56*P56,2)</f>
        <v>1265635.73</v>
      </c>
      <c r="R56" s="223">
        <v>0.5</v>
      </c>
      <c r="S56" s="222"/>
      <c r="T56" s="258"/>
      <c r="U56" s="40" t="str">
        <f t="shared" si="28"/>
        <v/>
      </c>
      <c r="V56" s="40" t="str">
        <f t="shared" si="29"/>
        <v/>
      </c>
      <c r="W56" s="75" t="str">
        <f t="shared" si="30"/>
        <v/>
      </c>
      <c r="X56" s="76" t="str">
        <f t="shared" si="31"/>
        <v/>
      </c>
      <c r="Y56" s="76" t="str">
        <f t="shared" si="32"/>
        <v/>
      </c>
      <c r="Z56" s="40" t="str">
        <f t="shared" si="33"/>
        <v/>
      </c>
      <c r="AA56" s="40">
        <f t="shared" si="34"/>
        <v>8167395.2359999996</v>
      </c>
      <c r="AB56" s="40">
        <f t="shared" si="35"/>
        <v>22729860.941787995</v>
      </c>
      <c r="AC56" s="75">
        <f t="shared" si="36"/>
        <v>263464.40000000002</v>
      </c>
      <c r="AD56" s="76">
        <f t="shared" si="37"/>
        <v>2.7829999999999999</v>
      </c>
      <c r="AE56" s="76">
        <f t="shared" si="38"/>
        <v>0.155</v>
      </c>
      <c r="AF56" s="40">
        <f t="shared" si="39"/>
        <v>1265635.73</v>
      </c>
      <c r="AG56" s="149"/>
      <c r="AK56" s="1160"/>
    </row>
    <row r="57" spans="1:40" x14ac:dyDescent="0.2">
      <c r="A57" s="181" t="s">
        <v>28</v>
      </c>
      <c r="B57" s="182" t="s">
        <v>162</v>
      </c>
      <c r="C57" s="183"/>
      <c r="D57" s="183"/>
      <c r="E57" s="184"/>
      <c r="F57" s="33"/>
      <c r="G57" s="261"/>
      <c r="H57" s="262"/>
      <c r="I57" s="262"/>
      <c r="J57" s="263"/>
      <c r="K57" s="263"/>
      <c r="L57" s="263"/>
      <c r="M57" s="187"/>
      <c r="N57" s="187"/>
      <c r="O57" s="815">
        <f>+O193+O209</f>
        <v>-10936086.836658739</v>
      </c>
      <c r="P57" s="815">
        <f>+P193+P209</f>
        <v>-1444445.4731170002</v>
      </c>
      <c r="Q57" s="815">
        <f>+Q193+Q209</f>
        <v>-722222.73999999941</v>
      </c>
      <c r="R57" s="148"/>
      <c r="S57" s="188"/>
      <c r="T57" s="148"/>
      <c r="U57" s="40" t="str">
        <f t="shared" si="28"/>
        <v/>
      </c>
      <c r="V57" s="40" t="str">
        <f t="shared" si="29"/>
        <v/>
      </c>
      <c r="W57" s="75" t="str">
        <f t="shared" si="30"/>
        <v/>
      </c>
      <c r="X57" s="76" t="str">
        <f t="shared" si="31"/>
        <v/>
      </c>
      <c r="Y57" s="76" t="str">
        <f t="shared" si="32"/>
        <v/>
      </c>
      <c r="Z57" s="40" t="str">
        <f t="shared" si="33"/>
        <v/>
      </c>
      <c r="AA57" s="40" t="str">
        <f t="shared" si="34"/>
        <v/>
      </c>
      <c r="AB57" s="40" t="str">
        <f t="shared" si="35"/>
        <v/>
      </c>
      <c r="AC57" s="75" t="str">
        <f t="shared" si="36"/>
        <v/>
      </c>
      <c r="AD57" s="76" t="str">
        <f t="shared" si="37"/>
        <v/>
      </c>
      <c r="AE57" s="76" t="str">
        <f t="shared" si="38"/>
        <v/>
      </c>
      <c r="AF57" s="40" t="str">
        <f t="shared" si="39"/>
        <v/>
      </c>
      <c r="AG57" s="149"/>
      <c r="AK57" s="179"/>
    </row>
    <row r="58" spans="1:40" x14ac:dyDescent="0.2">
      <c r="A58" s="30"/>
      <c r="B58" s="153" t="s">
        <v>108</v>
      </c>
      <c r="C58" s="31" t="str">
        <f>TEXT(A$50,)&amp;" US$"</f>
        <v>Cusco US$</v>
      </c>
      <c r="D58" s="19"/>
      <c r="E58" s="19"/>
      <c r="F58" s="268"/>
      <c r="G58" s="254">
        <f>SUM(G54:G54)</f>
        <v>3894760.2694000001</v>
      </c>
      <c r="H58" s="254">
        <f>SUM(H54:H54)</f>
        <v>4141178.9972000001</v>
      </c>
      <c r="I58" s="304"/>
      <c r="J58" s="254"/>
      <c r="K58" s="265"/>
      <c r="L58" s="259"/>
      <c r="M58" s="303"/>
      <c r="N58" s="201"/>
      <c r="O58" s="201">
        <f>SUM(O51:O57)</f>
        <v>199973350.11020786</v>
      </c>
      <c r="P58" s="201">
        <f>SUM(P51:P57)</f>
        <v>67010158.578389995</v>
      </c>
      <c r="Q58" s="201">
        <f>SUM(Q51:Q57)</f>
        <v>33505079.309999999</v>
      </c>
      <c r="R58" s="560"/>
      <c r="S58" s="192"/>
      <c r="T58" s="148"/>
      <c r="U58" s="77">
        <f>SUM(U51:U57)</f>
        <v>2288737</v>
      </c>
      <c r="V58" s="77">
        <f>SUM(V51:V57)</f>
        <v>75586984.342900008</v>
      </c>
      <c r="W58" s="78">
        <f>SUM(W51:W57)</f>
        <v>73830.3</v>
      </c>
      <c r="X58" s="79">
        <f>ROUND(V58/U58,4)</f>
        <v>33.025599999999997</v>
      </c>
      <c r="Y58" s="79">
        <f>ROUND(Z58/U58,4)</f>
        <v>5.1848999999999998</v>
      </c>
      <c r="Z58" s="77">
        <f>SUM(Z51:Z57)</f>
        <v>11866864.35</v>
      </c>
      <c r="AA58" s="77">
        <f>SUM(AA51:AA57)</f>
        <v>46413637.708000004</v>
      </c>
      <c r="AB58" s="77">
        <f>SUM(AB51:AB57)</f>
        <v>135322452.60396659</v>
      </c>
      <c r="AC58" s="78">
        <f>SUM(AC51:AC57)</f>
        <v>1497214.1</v>
      </c>
      <c r="AD58" s="79">
        <f>ROUND(AB58/AA58,4)</f>
        <v>2.9156</v>
      </c>
      <c r="AE58" s="79">
        <f>ROUND(AF58/AA58,4)</f>
        <v>0.48180000000000001</v>
      </c>
      <c r="AF58" s="77">
        <f>SUM(AF51:AF57)</f>
        <v>22360437.699999999</v>
      </c>
      <c r="AG58" s="77">
        <f>Q58-Z58-AF58</f>
        <v>-722222.73999999836</v>
      </c>
    </row>
    <row r="59" spans="1:40" x14ac:dyDescent="0.2">
      <c r="A59" s="145"/>
      <c r="B59" s="146"/>
      <c r="C59" s="31" t="str">
        <f>TEXT(A$50,)&amp;" S/."</f>
        <v>Cusco S/.</v>
      </c>
      <c r="D59" s="103"/>
      <c r="E59" s="103"/>
      <c r="F59" s="268"/>
      <c r="G59" s="255">
        <f>SUMPRODUCT(I54:I54,G54:G54)/SUM(G54:G54)</f>
        <v>3.677</v>
      </c>
      <c r="H59" s="255">
        <f>SUMPRODUCT(J54:J54,H54:H54)/SUM(H54:H54)</f>
        <v>3.359</v>
      </c>
      <c r="I59" s="305"/>
      <c r="J59" s="254"/>
      <c r="K59" s="266"/>
      <c r="L59" s="260"/>
      <c r="M59" s="357"/>
      <c r="N59" s="358"/>
      <c r="O59" s="358"/>
      <c r="P59" s="194"/>
      <c r="Q59" s="194">
        <f>Q58*F1</f>
        <v>0</v>
      </c>
      <c r="R59" s="185"/>
      <c r="S59" s="192"/>
      <c r="T59" s="148"/>
      <c r="U59" s="149"/>
      <c r="V59" s="149"/>
      <c r="W59" s="150"/>
      <c r="X59" s="151"/>
      <c r="Y59" s="151"/>
      <c r="Z59" s="149"/>
      <c r="AA59" s="149"/>
      <c r="AB59" s="149"/>
      <c r="AC59" s="150"/>
      <c r="AD59" s="151"/>
      <c r="AE59" s="151"/>
      <c r="AF59" s="149"/>
      <c r="AG59" s="149"/>
      <c r="AJ59" s="51" t="s">
        <v>189</v>
      </c>
      <c r="AK59" s="143">
        <v>5000542.7799999993</v>
      </c>
      <c r="AL59" s="143">
        <f>P34</f>
        <v>5923400.1700000009</v>
      </c>
      <c r="AM59" s="143" t="s">
        <v>23</v>
      </c>
    </row>
    <row r="60" spans="1:40" x14ac:dyDescent="0.2">
      <c r="A60" s="7" t="s">
        <v>55</v>
      </c>
      <c r="B60" s="8"/>
      <c r="C60" s="8"/>
      <c r="D60" s="8"/>
      <c r="E60" s="8"/>
      <c r="F60" s="269"/>
      <c r="G60" s="256">
        <f>G58*G59</f>
        <v>14321033.510583801</v>
      </c>
      <c r="H60" s="256">
        <f>H58*H59</f>
        <v>13910220.251594801</v>
      </c>
      <c r="I60" s="254">
        <f>H60+G60</f>
        <v>28231253.7621786</v>
      </c>
      <c r="J60" s="254" t="e">
        <f>O54+#REF!</f>
        <v>#REF!</v>
      </c>
      <c r="K60" s="306" t="e">
        <f>I60-J60</f>
        <v>#REF!</v>
      </c>
      <c r="L60" s="307"/>
      <c r="M60" s="211">
        <f>SUM(M10:M56)</f>
        <v>0</v>
      </c>
      <c r="N60" s="211">
        <f>SUM(N10:N56)</f>
        <v>47668.03</v>
      </c>
      <c r="O60" s="211">
        <f>O34+O39+O48+O58</f>
        <v>256421682.16020787</v>
      </c>
      <c r="P60" s="363">
        <f>Q58+P48+P39+P34</f>
        <v>44065917.609999999</v>
      </c>
      <c r="Q60" s="196">
        <f>Q35+S35+Q40+Q49+S49+Q59</f>
        <v>0</v>
      </c>
      <c r="R60" s="55"/>
      <c r="S60" s="196"/>
      <c r="T60" s="55"/>
      <c r="U60" s="84">
        <f>U34+U39+U48+U58</f>
        <v>3247146.9926</v>
      </c>
      <c r="V60" s="84">
        <f>V34+V39+V48+V58</f>
        <v>123384074.5729</v>
      </c>
      <c r="W60" s="85">
        <f>W34+W39+W48+W58</f>
        <v>104746.6</v>
      </c>
      <c r="X60" s="86">
        <f>ROUND(V60/U60,4)</f>
        <v>37.997700000000002</v>
      </c>
      <c r="Y60" s="86">
        <f>ROUND(Z60/U60,4)</f>
        <v>6.4073000000000002</v>
      </c>
      <c r="Z60" s="84">
        <f>Z34+Z39+Z48+Z58</f>
        <v>20805594.799999997</v>
      </c>
      <c r="AA60" s="84">
        <f>AA34+AA39+AA48+AA58</f>
        <v>48008224.129400007</v>
      </c>
      <c r="AB60" s="84">
        <f>AB34+AB39+AB48+AB58</f>
        <v>140100254.3739666</v>
      </c>
      <c r="AC60" s="84">
        <f>AC34+AC39+AC48+AC58</f>
        <v>1548652.3</v>
      </c>
      <c r="AD60" s="86">
        <f>ROUND(AB60/AA60,4)</f>
        <v>2.9182999999999999</v>
      </c>
      <c r="AE60" s="86">
        <f>ROUND(AF60/AA60,4)</f>
        <v>0.4844</v>
      </c>
      <c r="AF60" s="84">
        <f>AF34+AF39+AF48+AF58</f>
        <v>23256275.52</v>
      </c>
      <c r="AG60" s="84">
        <f>P60-Z60-AF60</f>
        <v>4047.2900000028312</v>
      </c>
      <c r="AI60" s="1">
        <v>57</v>
      </c>
      <c r="AJ60" s="51" t="s">
        <v>190</v>
      </c>
      <c r="AK60" s="143">
        <v>5560295.5299999993</v>
      </c>
      <c r="AL60" s="143">
        <f>P48</f>
        <v>4544542.2</v>
      </c>
      <c r="AM60" s="143" t="s">
        <v>24</v>
      </c>
    </row>
    <row r="61" spans="1:40" x14ac:dyDescent="0.2">
      <c r="G61" s="1"/>
      <c r="H61" s="1"/>
      <c r="I61" s="1"/>
      <c r="J61" s="1"/>
      <c r="K61" s="1"/>
      <c r="N61" s="1140"/>
      <c r="O61" s="1141"/>
      <c r="P61" s="1141"/>
      <c r="Q61" s="1141"/>
      <c r="R61" s="1141"/>
      <c r="S61" s="1142"/>
      <c r="Z61" s="51"/>
      <c r="AA61" s="51"/>
      <c r="AB61" s="51"/>
      <c r="AC61" s="51"/>
      <c r="AD61" s="51"/>
      <c r="AE61" s="51"/>
      <c r="AI61" s="1">
        <v>56</v>
      </c>
      <c r="AJ61" s="51"/>
      <c r="AK61" s="143"/>
      <c r="AL61" s="143">
        <f>P39</f>
        <v>92895.93</v>
      </c>
      <c r="AM61" s="143" t="s">
        <v>191</v>
      </c>
    </row>
    <row r="62" spans="1:40" x14ac:dyDescent="0.2">
      <c r="A62" s="4" t="s">
        <v>93</v>
      </c>
      <c r="B62" s="1" t="s">
        <v>76</v>
      </c>
      <c r="G62" s="1"/>
      <c r="H62" s="4" t="s">
        <v>77</v>
      </c>
      <c r="I62" s="1"/>
      <c r="J62" s="65"/>
      <c r="K62" s="65"/>
      <c r="N62" s="1139"/>
      <c r="O62" s="1139">
        <f>622680.05/O55</f>
        <v>4.0185400199350269E-2</v>
      </c>
      <c r="P62" s="1121"/>
      <c r="Q62" s="1133"/>
      <c r="R62" s="252"/>
      <c r="S62" s="1133"/>
      <c r="U62" s="51"/>
      <c r="V62" s="143"/>
      <c r="W62" s="143"/>
      <c r="X62" s="143"/>
      <c r="AI62" s="1">
        <v>88</v>
      </c>
      <c r="AJ62" s="51"/>
      <c r="AK62" s="138">
        <f>SUM(AK59:AK61)</f>
        <v>10560838.309999999</v>
      </c>
      <c r="AL62" s="138">
        <f>SUM(AL59:AL61)</f>
        <v>10560838.300000001</v>
      </c>
      <c r="AM62" s="143">
        <f>+AK62-AL62</f>
        <v>9.9999979138374329E-3</v>
      </c>
      <c r="AN62" s="883"/>
    </row>
    <row r="63" spans="1:40" x14ac:dyDescent="0.2">
      <c r="B63" s="115" t="s">
        <v>78</v>
      </c>
      <c r="C63" s="116" t="s">
        <v>79</v>
      </c>
      <c r="D63" s="117"/>
      <c r="E63" s="118" t="s">
        <v>35</v>
      </c>
      <c r="F63" s="118" t="s">
        <v>80</v>
      </c>
      <c r="G63" s="1"/>
      <c r="H63" s="89" t="s">
        <v>35</v>
      </c>
      <c r="I63" s="8"/>
      <c r="J63" s="8"/>
      <c r="K63" s="8"/>
      <c r="L63" s="90"/>
      <c r="N63" s="1159"/>
      <c r="O63" s="1158">
        <f>515794.21/7721470.28</f>
        <v>6.6799999390789594E-2</v>
      </c>
      <c r="P63" s="1121" t="s">
        <v>426</v>
      </c>
      <c r="Q63" s="1133"/>
      <c r="R63" s="252"/>
      <c r="S63" s="1133"/>
      <c r="U63" s="51"/>
      <c r="V63" s="143"/>
      <c r="W63" s="143"/>
      <c r="X63" s="143"/>
      <c r="AJ63" s="51"/>
      <c r="AN63" s="65"/>
    </row>
    <row r="64" spans="1:4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599"/>
      <c r="O64" s="1157">
        <f>1250777.5/11268265.7426076</f>
        <v>0.11100000022812352</v>
      </c>
      <c r="P64" s="1122" t="s">
        <v>427</v>
      </c>
      <c r="Q64" s="1122"/>
      <c r="R64" s="252"/>
      <c r="S64" s="1122"/>
      <c r="U64" s="51"/>
      <c r="V64" s="143"/>
      <c r="W64" s="143"/>
      <c r="X64" s="143"/>
      <c r="AJ64" s="51" t="s">
        <v>194</v>
      </c>
      <c r="AK64" s="143">
        <v>360430.32</v>
      </c>
      <c r="AL64" s="143"/>
      <c r="AM64" s="143"/>
    </row>
    <row r="65" spans="1:39" x14ac:dyDescent="0.2">
      <c r="B65" s="97" t="s">
        <v>83</v>
      </c>
      <c r="C65" s="98" t="s">
        <v>84</v>
      </c>
      <c r="D65" s="99"/>
      <c r="E65" s="100"/>
      <c r="F65" s="101"/>
      <c r="G65" s="1"/>
      <c r="H65" s="102">
        <f>((85.98%*E64+4.4221)*E67+(E65-E66-E69)*(1-E67))</f>
        <v>0</v>
      </c>
      <c r="I65" s="103"/>
      <c r="J65" s="103"/>
      <c r="K65" s="103"/>
      <c r="L65" s="104"/>
      <c r="M65" s="561">
        <f>698277.28/7412709.99</f>
        <v>9.4199999857272176E-2</v>
      </c>
      <c r="N65" s="599"/>
      <c r="O65" s="1133"/>
      <c r="P65" s="1122"/>
      <c r="Q65" s="1122"/>
      <c r="R65" s="252"/>
      <c r="S65" s="1122"/>
      <c r="U65" s="51"/>
      <c r="V65" s="138"/>
      <c r="W65" s="138"/>
      <c r="X65" s="143"/>
      <c r="Y65" s="65"/>
      <c r="Z65" s="65"/>
      <c r="AA65" s="65"/>
      <c r="AB65" s="65"/>
      <c r="AC65" s="65"/>
      <c r="AJ65" s="51" t="s">
        <v>192</v>
      </c>
      <c r="AK65" s="143">
        <v>3866043.71</v>
      </c>
      <c r="AL65" s="143"/>
      <c r="AM65" s="143"/>
    </row>
    <row r="66" spans="1:39" x14ac:dyDescent="0.2">
      <c r="B66" s="97" t="s">
        <v>85</v>
      </c>
      <c r="C66" s="98" t="s">
        <v>86</v>
      </c>
      <c r="D66" s="99"/>
      <c r="E66" s="100"/>
      <c r="F66" s="100"/>
      <c r="G66" s="1"/>
      <c r="H66" s="1"/>
      <c r="I66" s="105"/>
      <c r="J66" s="1"/>
      <c r="K66" s="1"/>
      <c r="M66" s="561">
        <f>5254120.1/13135300.26</f>
        <v>0.39999999969547706</v>
      </c>
      <c r="N66" s="599"/>
      <c r="O66" s="1139">
        <f>523948.1/7773710.72</f>
        <v>6.7399999674801384E-2</v>
      </c>
      <c r="P66" s="1121" t="s">
        <v>426</v>
      </c>
      <c r="Q66" s="1121"/>
      <c r="R66" s="252"/>
      <c r="S66" s="252"/>
      <c r="U66" s="51"/>
      <c r="V66" s="143"/>
      <c r="W66" s="143"/>
      <c r="X66" s="143"/>
      <c r="Y66" s="65"/>
      <c r="Z66" s="65"/>
      <c r="AA66" s="65"/>
      <c r="AB66" s="65"/>
      <c r="AJ66" s="51" t="s">
        <v>193</v>
      </c>
      <c r="AK66" s="143">
        <v>12170258.51</v>
      </c>
      <c r="AL66" s="143"/>
      <c r="AM66" s="143"/>
    </row>
    <row r="67" spans="1:39" x14ac:dyDescent="0.2">
      <c r="B67" s="97" t="s">
        <v>87</v>
      </c>
      <c r="C67" s="98" t="s">
        <v>88</v>
      </c>
      <c r="D67" s="99"/>
      <c r="E67" s="106"/>
      <c r="F67" s="106"/>
      <c r="G67" s="1"/>
      <c r="H67" s="89" t="s">
        <v>80</v>
      </c>
      <c r="I67" s="107"/>
      <c r="J67" s="8"/>
      <c r="K67" s="8"/>
      <c r="L67" s="90"/>
      <c r="M67" s="561">
        <f>503101.38/1323950.99</f>
        <v>0.38000000287019686</v>
      </c>
      <c r="N67" s="599"/>
      <c r="O67" s="1157">
        <f>1317563.72/11795557.05</f>
        <v>0.11169999978932744</v>
      </c>
      <c r="P67" s="1122" t="s">
        <v>427</v>
      </c>
      <c r="Q67" s="252"/>
      <c r="R67" s="252"/>
      <c r="S67" s="252"/>
      <c r="U67" s="51"/>
      <c r="V67" s="143"/>
      <c r="W67" s="143"/>
      <c r="X67" s="143"/>
      <c r="Y67" s="65"/>
      <c r="Z67" s="65"/>
      <c r="AA67" s="65"/>
      <c r="AB67" s="65"/>
      <c r="AC67" s="65"/>
      <c r="AJ67" s="51" t="s">
        <v>197</v>
      </c>
      <c r="AK67" s="143">
        <v>864613.25</v>
      </c>
      <c r="AL67" s="143"/>
      <c r="AM67" s="143"/>
    </row>
    <row r="68" spans="1:39"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N68" s="599"/>
      <c r="O68" s="252"/>
      <c r="P68" s="252"/>
      <c r="Q68" s="252"/>
      <c r="R68" s="252"/>
      <c r="S68" s="252"/>
      <c r="U68" s="51"/>
      <c r="V68" s="143"/>
      <c r="W68" s="143"/>
      <c r="X68" s="143"/>
      <c r="Y68" s="65"/>
      <c r="Z68" s="65"/>
      <c r="AA68" s="65"/>
      <c r="AB68" s="65"/>
      <c r="AC68" s="65"/>
      <c r="AJ68" s="51" t="s">
        <v>195</v>
      </c>
      <c r="AK68" s="143">
        <v>3786291.7800000003</v>
      </c>
      <c r="AL68" s="143"/>
      <c r="AM68" s="143"/>
    </row>
    <row r="69" spans="1:39" x14ac:dyDescent="0.2">
      <c r="B69" s="109" t="s">
        <v>91</v>
      </c>
      <c r="C69" s="110" t="s">
        <v>92</v>
      </c>
      <c r="D69" s="111"/>
      <c r="E69" s="112"/>
      <c r="F69" s="112"/>
      <c r="G69" s="1"/>
      <c r="H69" s="102">
        <f>((85.98%*F64+4.4221)*F67+(F65-F66-F69)*(1-F67))</f>
        <v>0</v>
      </c>
      <c r="I69" s="113"/>
      <c r="J69" s="103"/>
      <c r="K69" s="103"/>
      <c r="L69" s="104"/>
      <c r="M69" s="325"/>
      <c r="N69" s="252"/>
      <c r="O69" s="252"/>
      <c r="P69" s="252"/>
      <c r="Q69" s="252"/>
      <c r="R69" s="252"/>
      <c r="S69" s="252"/>
      <c r="U69" s="51"/>
      <c r="V69" s="143"/>
      <c r="W69" s="143"/>
      <c r="X69" s="143"/>
      <c r="Y69" s="65"/>
      <c r="Z69" s="65"/>
      <c r="AA69" s="65"/>
      <c r="AB69" s="65"/>
      <c r="AC69" s="65"/>
      <c r="AJ69" s="51" t="s">
        <v>196</v>
      </c>
      <c r="AK69" s="143">
        <v>12457441.75</v>
      </c>
      <c r="AL69" s="143"/>
      <c r="AM69" s="143"/>
    </row>
    <row r="70" spans="1:39" x14ac:dyDescent="0.2">
      <c r="A70" s="4"/>
      <c r="G70" s="1"/>
      <c r="H70" s="177"/>
      <c r="I70" s="1"/>
      <c r="J70" s="1"/>
      <c r="K70" s="1"/>
      <c r="M70" s="325"/>
      <c r="U70" s="51"/>
      <c r="V70" s="143"/>
      <c r="W70" s="143"/>
      <c r="X70" s="143"/>
      <c r="Y70" s="65"/>
      <c r="Z70" s="65"/>
      <c r="AA70" s="65"/>
      <c r="AB70" s="65"/>
      <c r="AC70" s="65"/>
      <c r="AJ70" s="51"/>
      <c r="AK70" s="138">
        <f>SUM(AK64:AK69)</f>
        <v>33505079.32</v>
      </c>
      <c r="AL70" s="138">
        <f>Q58</f>
        <v>33505079.309999999</v>
      </c>
      <c r="AM70" s="143">
        <f>AK70-AL70</f>
        <v>1.0000001639127731E-2</v>
      </c>
    </row>
    <row r="71" spans="1:39" x14ac:dyDescent="0.2">
      <c r="A71" s="406"/>
      <c r="G71" s="1"/>
      <c r="H71" s="1"/>
      <c r="I71" s="1"/>
      <c r="J71" s="1"/>
      <c r="K71" s="1"/>
      <c r="U71" s="51"/>
      <c r="V71" s="143"/>
      <c r="W71" s="143"/>
      <c r="X71" s="143"/>
      <c r="Y71" s="65"/>
      <c r="Z71" s="65"/>
      <c r="AA71" s="65"/>
      <c r="AB71" s="65"/>
      <c r="AC71" s="65"/>
      <c r="AK71" s="143">
        <f>+AK59+AK64+AK65+AK66</f>
        <v>21397275.32</v>
      </c>
    </row>
    <row r="72" spans="1:39" x14ac:dyDescent="0.2">
      <c r="G72" s="1"/>
      <c r="H72" s="1"/>
      <c r="I72" s="1"/>
      <c r="J72" s="1"/>
      <c r="K72" s="1"/>
      <c r="O72" s="65"/>
      <c r="P72" s="65"/>
      <c r="Q72" s="65"/>
      <c r="U72" s="51"/>
      <c r="V72" s="138"/>
      <c r="W72" s="138"/>
      <c r="X72" s="143"/>
      <c r="Y72" s="65"/>
      <c r="Z72" s="65"/>
      <c r="AA72" s="65"/>
      <c r="AB72" s="65"/>
      <c r="AC72" s="65"/>
      <c r="AJ72" s="51"/>
      <c r="AK72" s="143">
        <f>+AK60+AK67+AK68+AK69</f>
        <v>22668642.309999999</v>
      </c>
      <c r="AL72" s="143"/>
      <c r="AM72" s="143"/>
    </row>
    <row r="73" spans="1:39" ht="18" x14ac:dyDescent="0.25">
      <c r="A73" s="271" t="str">
        <f>"AJUSTES PARA "&amp;UPPER(TEXT(E1,"MMMMMMM YYYY"))</f>
        <v>AJUSTES PARA DICIEMBRE 2025</v>
      </c>
      <c r="B73" s="156"/>
      <c r="C73" s="156"/>
      <c r="D73" s="156"/>
      <c r="E73" s="156"/>
      <c r="F73" s="156"/>
      <c r="G73" s="156"/>
      <c r="H73" s="156"/>
      <c r="I73" s="156"/>
      <c r="J73" s="156"/>
      <c r="K73" s="156"/>
      <c r="L73" s="156"/>
      <c r="M73" s="156"/>
      <c r="N73" s="156"/>
      <c r="O73" s="156"/>
      <c r="P73" s="563"/>
      <c r="Q73" s="563"/>
      <c r="R73" s="156"/>
      <c r="S73" s="564"/>
      <c r="T73" s="156"/>
      <c r="U73" s="51"/>
      <c r="V73" s="374"/>
      <c r="W73" s="374"/>
      <c r="X73" s="143"/>
      <c r="Y73" s="360"/>
      <c r="Z73" s="360"/>
      <c r="AA73" s="65"/>
      <c r="AB73" s="65"/>
      <c r="AJ73" s="65"/>
      <c r="AK73" s="407">
        <f>SUM(AK71:AK72)</f>
        <v>44065917.629999995</v>
      </c>
      <c r="AL73" s="65"/>
      <c r="AM73" s="65"/>
    </row>
    <row r="74" spans="1:39" ht="18" x14ac:dyDescent="0.25">
      <c r="A74" s="271"/>
      <c r="B74" s="156"/>
      <c r="C74" s="156"/>
      <c r="D74" s="156"/>
      <c r="E74" s="156"/>
      <c r="F74" s="156"/>
      <c r="G74" s="156"/>
      <c r="H74" s="156"/>
      <c r="I74" s="156"/>
      <c r="J74" s="156"/>
      <c r="K74" s="156"/>
      <c r="L74" s="156"/>
      <c r="M74" s="156"/>
      <c r="N74" s="156"/>
      <c r="O74" s="156"/>
      <c r="P74" s="156"/>
      <c r="Q74" s="156"/>
      <c r="R74" s="156"/>
      <c r="S74" s="156"/>
      <c r="T74" s="156"/>
      <c r="U74" s="51"/>
      <c r="V74" s="374"/>
      <c r="W74" s="374"/>
      <c r="X74" s="143"/>
      <c r="Y74" s="360"/>
      <c r="Z74" s="360"/>
      <c r="AA74" s="65"/>
      <c r="AB74" s="65"/>
    </row>
    <row r="75" spans="1:39" ht="15.75" x14ac:dyDescent="0.25">
      <c r="A75" s="951"/>
      <c r="B75" s="879" t="s">
        <v>429</v>
      </c>
      <c r="C75" s="683"/>
      <c r="D75" s="683"/>
      <c r="E75" s="683"/>
      <c r="F75" s="683"/>
      <c r="G75" s="683"/>
      <c r="H75" s="683"/>
      <c r="I75" s="683"/>
      <c r="J75" s="952"/>
      <c r="K75" s="683"/>
      <c r="L75" s="683"/>
      <c r="M75" s="683"/>
      <c r="N75" s="950"/>
      <c r="O75" s="683"/>
      <c r="P75" s="953"/>
      <c r="Q75" s="683"/>
      <c r="R75" s="911"/>
      <c r="S75"/>
      <c r="T75"/>
      <c r="U75"/>
      <c r="V75"/>
      <c r="W75"/>
      <c r="X75"/>
      <c r="Y75"/>
      <c r="Z75"/>
      <c r="AA75"/>
      <c r="AB75"/>
      <c r="AC75"/>
      <c r="AD75"/>
      <c r="AE75"/>
      <c r="AF75"/>
      <c r="AG75"/>
      <c r="AH75"/>
      <c r="AI75"/>
      <c r="AJ75"/>
      <c r="AK75"/>
    </row>
    <row r="76" spans="1:39" s="65" customFormat="1" ht="15" customHeight="1" x14ac:dyDescent="0.25">
      <c r="A76" s="954" t="s">
        <v>161</v>
      </c>
      <c r="B76" s="955"/>
      <c r="C76" s="956"/>
      <c r="D76" s="957" t="s">
        <v>19</v>
      </c>
      <c r="E76" s="958" t="s">
        <v>59</v>
      </c>
      <c r="F76" s="957" t="s">
        <v>27</v>
      </c>
      <c r="G76" s="959" t="s">
        <v>35</v>
      </c>
      <c r="H76" s="960" t="s">
        <v>36</v>
      </c>
      <c r="I76" s="960" t="s">
        <v>35</v>
      </c>
      <c r="J76" s="959" t="s">
        <v>36</v>
      </c>
      <c r="K76" s="959" t="s">
        <v>39</v>
      </c>
      <c r="L76" s="959" t="s">
        <v>40</v>
      </c>
      <c r="M76" s="959" t="s">
        <v>42</v>
      </c>
      <c r="N76" s="1056" t="s">
        <v>2</v>
      </c>
      <c r="O76" s="959" t="s">
        <v>180</v>
      </c>
      <c r="P76" s="961" t="s">
        <v>163</v>
      </c>
      <c r="Q76" s="961" t="s">
        <v>184</v>
      </c>
      <c r="R76" s="962"/>
      <c r="S76"/>
      <c r="T76"/>
      <c r="U76"/>
      <c r="V76"/>
      <c r="W76"/>
      <c r="X76"/>
      <c r="Y76"/>
      <c r="Z76"/>
      <c r="AA76"/>
      <c r="AB76"/>
      <c r="AC76"/>
      <c r="AD76"/>
      <c r="AE76"/>
      <c r="AF76"/>
      <c r="AG76"/>
      <c r="AH76"/>
      <c r="AI76"/>
      <c r="AJ76"/>
      <c r="AK76"/>
    </row>
    <row r="77" spans="1:39" s="65" customFormat="1" ht="14.85" customHeight="1" x14ac:dyDescent="0.25">
      <c r="A77" s="1017" t="s">
        <v>28</v>
      </c>
      <c r="B77" s="964" t="s">
        <v>379</v>
      </c>
      <c r="C77" s="965" t="s">
        <v>31</v>
      </c>
      <c r="D77" s="965" t="s">
        <v>30</v>
      </c>
      <c r="E77" s="965" t="s">
        <v>158</v>
      </c>
      <c r="F77" s="966" t="s">
        <v>56</v>
      </c>
      <c r="G77" s="222">
        <v>3947721.7</v>
      </c>
      <c r="H77" s="222"/>
      <c r="I77" s="216">
        <v>2.8860000000000001</v>
      </c>
      <c r="J77" s="216"/>
      <c r="K77" s="559"/>
      <c r="L77" s="222"/>
      <c r="M77" s="222"/>
      <c r="N77" s="215"/>
      <c r="O77" s="224">
        <f>G77*I77+H77*J77</f>
        <v>11393124.826200001</v>
      </c>
      <c r="P77" s="585">
        <f>ROUND(38%*(G77*I77+H77*J77),2)</f>
        <v>4329387.43</v>
      </c>
      <c r="Q77" s="253">
        <f>ROUND(R77*P77,2)</f>
        <v>2164693.7200000002</v>
      </c>
      <c r="R77" s="223">
        <v>0.5</v>
      </c>
      <c r="S77"/>
      <c r="T77"/>
      <c r="U77"/>
      <c r="V77"/>
      <c r="W77"/>
      <c r="X77"/>
      <c r="Y77"/>
      <c r="Z77"/>
      <c r="AA77"/>
      <c r="AB77"/>
      <c r="AC77"/>
      <c r="AD77"/>
      <c r="AE77"/>
      <c r="AF77"/>
      <c r="AG77"/>
      <c r="AH77"/>
      <c r="AI77"/>
      <c r="AJ77"/>
      <c r="AK77"/>
    </row>
    <row r="78" spans="1:39" s="65" customFormat="1" ht="15.75" x14ac:dyDescent="0.25">
      <c r="A78" s="1018" t="s">
        <v>28</v>
      </c>
      <c r="B78" s="968" t="str">
        <f>B77</f>
        <v xml:space="preserve">56 Gas    </v>
      </c>
      <c r="C78" s="969" t="s">
        <v>31</v>
      </c>
      <c r="D78" s="970" t="s">
        <v>186</v>
      </c>
      <c r="E78" s="970"/>
      <c r="F78" s="969" t="str">
        <f>F77</f>
        <v xml:space="preserve"> MM BTU</v>
      </c>
      <c r="G78" s="424">
        <f>G77</f>
        <v>3947721.7</v>
      </c>
      <c r="H78" s="424">
        <f>H77</f>
        <v>0</v>
      </c>
      <c r="I78" s="741">
        <v>2.7160000000000002</v>
      </c>
      <c r="J78" s="741"/>
      <c r="K78" s="1020"/>
      <c r="L78" s="424"/>
      <c r="M78" s="424"/>
      <c r="N78" s="936"/>
      <c r="O78" s="340">
        <f>G78*I78+H78*J78</f>
        <v>10722012.137200002</v>
      </c>
      <c r="P78" s="1045">
        <f>ROUND(38%*(G78*I78+H78*J78),2)</f>
        <v>4074364.61</v>
      </c>
      <c r="Q78" s="341">
        <f>ROUND(R78*P78,2)</f>
        <v>2037182.31</v>
      </c>
      <c r="R78" s="229">
        <v>0.5</v>
      </c>
      <c r="S78"/>
      <c r="T78"/>
      <c r="U78"/>
      <c r="V78"/>
      <c r="W78"/>
      <c r="X78"/>
      <c r="Y78"/>
      <c r="Z78"/>
      <c r="AA78"/>
      <c r="AB78"/>
      <c r="AC78"/>
      <c r="AD78"/>
      <c r="AE78"/>
      <c r="AF78"/>
      <c r="AG78"/>
      <c r="AH78"/>
      <c r="AI78"/>
      <c r="AJ78"/>
      <c r="AK78"/>
    </row>
    <row r="79" spans="1:39" s="65" customFormat="1" ht="15.75" x14ac:dyDescent="0.25">
      <c r="A79" s="1019"/>
      <c r="B79" s="972" t="s">
        <v>181</v>
      </c>
      <c r="C79" s="973"/>
      <c r="D79" s="974"/>
      <c r="E79" s="974"/>
      <c r="F79" s="971"/>
      <c r="G79" s="975">
        <f t="shared" ref="G79:Q79" si="40">G78-G77</f>
        <v>0</v>
      </c>
      <c r="H79" s="975">
        <f t="shared" si="40"/>
        <v>0</v>
      </c>
      <c r="I79" s="975">
        <f t="shared" si="40"/>
        <v>-0.16999999999999993</v>
      </c>
      <c r="J79" s="975">
        <f t="shared" si="40"/>
        <v>0</v>
      </c>
      <c r="K79" s="975">
        <f t="shared" si="40"/>
        <v>0</v>
      </c>
      <c r="L79" s="975">
        <f t="shared" si="40"/>
        <v>0</v>
      </c>
      <c r="M79" s="975">
        <f t="shared" si="40"/>
        <v>0</v>
      </c>
      <c r="N79" s="975">
        <f t="shared" si="40"/>
        <v>0</v>
      </c>
      <c r="O79" s="830">
        <f t="shared" si="40"/>
        <v>-671112.68899999931</v>
      </c>
      <c r="P79" s="1044">
        <f t="shared" si="40"/>
        <v>-255022.81999999983</v>
      </c>
      <c r="Q79" s="1044">
        <f t="shared" si="40"/>
        <v>-127511.41000000015</v>
      </c>
      <c r="R79" s="1021"/>
      <c r="S79"/>
      <c r="T79"/>
      <c r="U79"/>
      <c r="V79"/>
      <c r="W79"/>
      <c r="X79"/>
      <c r="Y79"/>
      <c r="Z79"/>
      <c r="AA79"/>
      <c r="AB79"/>
      <c r="AC79"/>
      <c r="AD79"/>
      <c r="AE79"/>
      <c r="AF79"/>
      <c r="AG79"/>
      <c r="AH79"/>
      <c r="AI79"/>
      <c r="AJ79"/>
      <c r="AK79"/>
    </row>
    <row r="80" spans="1:39" s="65" customFormat="1" ht="15.75" x14ac:dyDescent="0.25">
      <c r="A80"/>
      <c r="B80"/>
      <c r="C80"/>
      <c r="D80"/>
      <c r="E80"/>
      <c r="F80"/>
      <c r="G80"/>
      <c r="H80"/>
      <c r="I80"/>
      <c r="J80"/>
      <c r="K80"/>
      <c r="L80"/>
      <c r="M80"/>
      <c r="N80"/>
      <c r="O80"/>
      <c r="P80" s="1156"/>
      <c r="Q80"/>
      <c r="R80"/>
      <c r="S80"/>
      <c r="T80"/>
      <c r="U80"/>
      <c r="V80"/>
      <c r="W80"/>
      <c r="X80"/>
      <c r="Y80"/>
      <c r="Z80"/>
      <c r="AA80"/>
      <c r="AB80"/>
      <c r="AC80"/>
      <c r="AD80"/>
      <c r="AE80"/>
      <c r="AF80"/>
      <c r="AG80"/>
      <c r="AH80"/>
      <c r="AI80"/>
      <c r="AJ80"/>
      <c r="AK80"/>
    </row>
    <row r="81" spans="1:37" ht="15.75" x14ac:dyDescent="0.25">
      <c r="A81" s="951"/>
      <c r="B81" s="879" t="s">
        <v>428</v>
      </c>
      <c r="C81" s="683"/>
      <c r="D81" s="683"/>
      <c r="E81" s="683"/>
      <c r="F81" s="683"/>
      <c r="G81" s="683"/>
      <c r="H81" s="683"/>
      <c r="I81" s="683"/>
      <c r="J81" s="1153"/>
      <c r="K81" s="683"/>
      <c r="L81" s="683"/>
      <c r="M81" s="683"/>
      <c r="N81" s="950"/>
      <c r="O81" s="683"/>
      <c r="P81" s="1152"/>
      <c r="Q81" s="683"/>
      <c r="R81" s="911"/>
      <c r="S81"/>
      <c r="T81"/>
      <c r="U81"/>
      <c r="V81"/>
      <c r="W81"/>
      <c r="X81"/>
      <c r="Y81"/>
      <c r="Z81"/>
      <c r="AA81"/>
      <c r="AB81"/>
      <c r="AC81"/>
      <c r="AD81"/>
      <c r="AE81"/>
      <c r="AF81"/>
      <c r="AG81"/>
      <c r="AH81"/>
      <c r="AI81"/>
      <c r="AJ81"/>
      <c r="AK81"/>
    </row>
    <row r="82" spans="1:37" s="65" customFormat="1" ht="15" customHeight="1" x14ac:dyDescent="0.25">
      <c r="A82" s="954" t="s">
        <v>161</v>
      </c>
      <c r="B82" s="955"/>
      <c r="C82" s="956"/>
      <c r="D82" s="957" t="s">
        <v>19</v>
      </c>
      <c r="E82" s="958" t="s">
        <v>59</v>
      </c>
      <c r="F82" s="957" t="s">
        <v>27</v>
      </c>
      <c r="G82" s="959" t="s">
        <v>35</v>
      </c>
      <c r="H82" s="960" t="s">
        <v>36</v>
      </c>
      <c r="I82" s="960" t="s">
        <v>35</v>
      </c>
      <c r="J82" s="959" t="s">
        <v>36</v>
      </c>
      <c r="K82" s="959" t="s">
        <v>39</v>
      </c>
      <c r="L82" s="959" t="s">
        <v>40</v>
      </c>
      <c r="M82" s="959" t="s">
        <v>42</v>
      </c>
      <c r="N82" s="1056" t="s">
        <v>2</v>
      </c>
      <c r="O82" s="959" t="s">
        <v>180</v>
      </c>
      <c r="P82" s="961" t="s">
        <v>163</v>
      </c>
      <c r="Q82" s="961" t="s">
        <v>184</v>
      </c>
      <c r="R82" s="962"/>
      <c r="S82"/>
      <c r="T82"/>
      <c r="U82"/>
      <c r="V82"/>
      <c r="W82"/>
      <c r="X82"/>
      <c r="Y82"/>
      <c r="Z82"/>
      <c r="AA82"/>
      <c r="AB82"/>
      <c r="AC82"/>
      <c r="AD82"/>
      <c r="AE82"/>
      <c r="AF82"/>
      <c r="AG82"/>
      <c r="AH82"/>
      <c r="AI82"/>
      <c r="AJ82"/>
      <c r="AK82"/>
    </row>
    <row r="83" spans="1:37" s="65" customFormat="1" ht="14.85" customHeight="1" x14ac:dyDescent="0.25">
      <c r="A83" s="1017" t="s">
        <v>28</v>
      </c>
      <c r="B83" s="964" t="s">
        <v>325</v>
      </c>
      <c r="C83" s="965" t="s">
        <v>31</v>
      </c>
      <c r="D83" s="965" t="s">
        <v>30</v>
      </c>
      <c r="E83" s="965" t="s">
        <v>158</v>
      </c>
      <c r="F83" s="966" t="s">
        <v>56</v>
      </c>
      <c r="G83" s="222">
        <v>3925967.318</v>
      </c>
      <c r="H83" s="222">
        <v>4002660.2300841101</v>
      </c>
      <c r="I83" s="216">
        <v>4.0419999999999998</v>
      </c>
      <c r="J83" s="216">
        <v>4.0419999999999998</v>
      </c>
      <c r="K83" s="559"/>
      <c r="L83" s="222"/>
      <c r="M83" s="222"/>
      <c r="N83" s="215"/>
      <c r="O83" s="224">
        <f>G83*I83+H83*J83</f>
        <v>32047512.549355969</v>
      </c>
      <c r="P83" s="583">
        <f>ROUND(G83*I83,2)*11.09%+ROUND(H83*J83,2)*11.23%</f>
        <v>3576719.3955049999</v>
      </c>
      <c r="Q83" s="253">
        <f>ROUND(R83*P83,2)</f>
        <v>1788359.7</v>
      </c>
      <c r="R83" s="223">
        <v>0.5</v>
      </c>
      <c r="S83" s="1151"/>
      <c r="T83"/>
      <c r="U83"/>
      <c r="V83"/>
      <c r="W83"/>
      <c r="X83"/>
      <c r="Y83"/>
      <c r="Z83"/>
      <c r="AA83"/>
      <c r="AB83"/>
      <c r="AC83"/>
      <c r="AD83"/>
      <c r="AE83"/>
      <c r="AF83"/>
      <c r="AG83"/>
      <c r="AH83"/>
      <c r="AI83"/>
      <c r="AJ83" s="1150"/>
      <c r="AK83"/>
    </row>
    <row r="84" spans="1:37" s="65" customFormat="1" ht="15.75" x14ac:dyDescent="0.25">
      <c r="A84" s="1018" t="s">
        <v>28</v>
      </c>
      <c r="B84" s="968" t="str">
        <f>B83</f>
        <v xml:space="preserve">57 Gas    </v>
      </c>
      <c r="C84" s="969" t="s">
        <v>31</v>
      </c>
      <c r="D84" s="970" t="s">
        <v>186</v>
      </c>
      <c r="E84" s="970"/>
      <c r="F84" s="969" t="str">
        <f>F83</f>
        <v xml:space="preserve"> MM BTU</v>
      </c>
      <c r="G84" s="424">
        <f>G83</f>
        <v>3925967.318</v>
      </c>
      <c r="H84" s="424">
        <f>H83</f>
        <v>4002660.2300841101</v>
      </c>
      <c r="I84" s="219">
        <v>2.8679999999999999</v>
      </c>
      <c r="J84" s="741">
        <v>2.8679999999999999</v>
      </c>
      <c r="K84" s="1020"/>
      <c r="L84" s="424"/>
      <c r="M84" s="424"/>
      <c r="N84" s="936"/>
      <c r="O84" s="224">
        <f>G84*I84+H84*J84</f>
        <v>22739303.807905227</v>
      </c>
      <c r="P84" s="583">
        <f>ROUND(G84*I84,2)*11.09%+ROUND(H84*J84,2)*11.23%</f>
        <v>2537860.2738849996</v>
      </c>
      <c r="Q84" s="253">
        <f>ROUND(R84*P84,2)</f>
        <v>1268930.1399999999</v>
      </c>
      <c r="R84" s="229">
        <v>0.5</v>
      </c>
      <c r="S84"/>
      <c r="T84"/>
      <c r="U84"/>
      <c r="V84"/>
      <c r="W84"/>
      <c r="X84"/>
      <c r="Y84"/>
      <c r="Z84"/>
      <c r="AA84"/>
      <c r="AB84"/>
      <c r="AC84"/>
      <c r="AD84"/>
      <c r="AE84"/>
      <c r="AF84"/>
      <c r="AG84"/>
      <c r="AH84"/>
      <c r="AI84"/>
      <c r="AJ84"/>
      <c r="AK84"/>
    </row>
    <row r="85" spans="1:37" s="65" customFormat="1" ht="15.75" x14ac:dyDescent="0.25">
      <c r="A85" s="1019"/>
      <c r="B85" s="972" t="s">
        <v>181</v>
      </c>
      <c r="C85" s="973"/>
      <c r="D85" s="974"/>
      <c r="E85" s="974"/>
      <c r="F85" s="971"/>
      <c r="G85" s="975">
        <f t="shared" ref="G85:Q85" si="41">G84-G83</f>
        <v>0</v>
      </c>
      <c r="H85" s="975">
        <f t="shared" si="41"/>
        <v>0</v>
      </c>
      <c r="I85" s="975">
        <f t="shared" si="41"/>
        <v>-1.1739999999999999</v>
      </c>
      <c r="J85" s="975">
        <f t="shared" si="41"/>
        <v>-1.1739999999999999</v>
      </c>
      <c r="K85" s="975">
        <f t="shared" si="41"/>
        <v>0</v>
      </c>
      <c r="L85" s="975">
        <f t="shared" si="41"/>
        <v>0</v>
      </c>
      <c r="M85" s="975">
        <f t="shared" si="41"/>
        <v>0</v>
      </c>
      <c r="N85" s="975">
        <f t="shared" si="41"/>
        <v>0</v>
      </c>
      <c r="O85" s="830">
        <f t="shared" si="41"/>
        <v>-9308208.7414507419</v>
      </c>
      <c r="P85" s="1044">
        <f t="shared" si="41"/>
        <v>-1038859.1216200003</v>
      </c>
      <c r="Q85" s="1044">
        <f t="shared" si="41"/>
        <v>-519429.56000000006</v>
      </c>
      <c r="R85" s="1021"/>
      <c r="S85"/>
      <c r="T85"/>
      <c r="U85"/>
      <c r="V85"/>
      <c r="W85"/>
      <c r="X85"/>
      <c r="Y85"/>
      <c r="Z85"/>
      <c r="AA85"/>
      <c r="AB85"/>
      <c r="AC85"/>
      <c r="AD85"/>
      <c r="AE85"/>
      <c r="AF85"/>
      <c r="AG85"/>
      <c r="AH85"/>
      <c r="AI85"/>
      <c r="AJ85"/>
      <c r="AK85"/>
    </row>
    <row r="86" spans="1:37" s="65" customFormat="1" ht="15.75" x14ac:dyDescent="0.25">
      <c r="A86" s="1064"/>
      <c r="B86" s="683"/>
      <c r="C86" s="950"/>
      <c r="D86" s="950"/>
      <c r="E86" s="950"/>
      <c r="F86" s="950"/>
      <c r="G86" s="985"/>
      <c r="H86" s="985"/>
      <c r="I86" s="985"/>
      <c r="J86" s="1155"/>
      <c r="K86" s="985"/>
      <c r="L86" s="985"/>
      <c r="M86" s="985"/>
      <c r="N86" s="985"/>
      <c r="O86" s="985"/>
      <c r="P86" s="985"/>
      <c r="Q86" s="985"/>
      <c r="R86" s="1065"/>
      <c r="S86"/>
      <c r="T86"/>
      <c r="U86"/>
      <c r="V86"/>
      <c r="W86"/>
      <c r="X86"/>
      <c r="Y86"/>
      <c r="Z86"/>
      <c r="AA86"/>
      <c r="AB86"/>
      <c r="AC86"/>
      <c r="AD86"/>
      <c r="AE86"/>
      <c r="AF86"/>
      <c r="AG86"/>
      <c r="AH86"/>
      <c r="AI86"/>
      <c r="AJ86"/>
      <c r="AK86"/>
    </row>
    <row r="87" spans="1:37" s="65" customFormat="1" ht="15.75" x14ac:dyDescent="0.25">
      <c r="A87" s="951"/>
      <c r="B87" s="879" t="s">
        <v>400</v>
      </c>
      <c r="C87" s="683"/>
      <c r="D87" s="683"/>
      <c r="E87" s="683"/>
      <c r="F87" s="683"/>
      <c r="G87" s="683"/>
      <c r="H87" s="683"/>
      <c r="I87" s="683"/>
      <c r="J87" s="1153"/>
      <c r="K87" s="683"/>
      <c r="L87" s="683"/>
      <c r="M87" s="683"/>
      <c r="N87" s="950"/>
      <c r="O87" s="683"/>
      <c r="P87" s="1154"/>
      <c r="Q87" s="683"/>
      <c r="R87" s="911"/>
      <c r="S87"/>
      <c r="T87"/>
      <c r="U87"/>
      <c r="V87"/>
      <c r="W87"/>
      <c r="X87"/>
      <c r="Y87"/>
      <c r="Z87"/>
      <c r="AA87"/>
      <c r="AB87"/>
      <c r="AC87"/>
      <c r="AD87"/>
      <c r="AE87"/>
      <c r="AF87"/>
      <c r="AG87"/>
      <c r="AH87"/>
      <c r="AI87"/>
      <c r="AJ87"/>
      <c r="AK87"/>
    </row>
    <row r="88" spans="1:37" s="65" customFormat="1" ht="15.75" x14ac:dyDescent="0.25">
      <c r="A88" s="954" t="s">
        <v>161</v>
      </c>
      <c r="B88" s="955"/>
      <c r="C88" s="956"/>
      <c r="D88" s="957" t="s">
        <v>19</v>
      </c>
      <c r="E88" s="958" t="s">
        <v>59</v>
      </c>
      <c r="F88" s="957" t="s">
        <v>27</v>
      </c>
      <c r="G88" s="959" t="s">
        <v>35</v>
      </c>
      <c r="H88" s="960" t="s">
        <v>36</v>
      </c>
      <c r="I88" s="960" t="s">
        <v>35</v>
      </c>
      <c r="J88" s="959" t="s">
        <v>36</v>
      </c>
      <c r="K88" s="959" t="s">
        <v>39</v>
      </c>
      <c r="L88" s="959" t="s">
        <v>40</v>
      </c>
      <c r="M88" s="959" t="s">
        <v>42</v>
      </c>
      <c r="N88" s="1056" t="s">
        <v>2</v>
      </c>
      <c r="O88" s="959" t="s">
        <v>180</v>
      </c>
      <c r="P88" s="961" t="s">
        <v>163</v>
      </c>
      <c r="Q88" s="961" t="s">
        <v>184</v>
      </c>
      <c r="R88" s="962"/>
      <c r="S88"/>
      <c r="T88"/>
      <c r="U88"/>
      <c r="V88"/>
      <c r="W88"/>
      <c r="X88"/>
      <c r="Y88"/>
      <c r="Z88"/>
      <c r="AA88"/>
      <c r="AB88"/>
      <c r="AC88"/>
      <c r="AD88"/>
      <c r="AE88"/>
      <c r="AF88"/>
      <c r="AG88"/>
      <c r="AH88"/>
      <c r="AI88"/>
      <c r="AJ88"/>
      <c r="AK88"/>
    </row>
    <row r="89" spans="1:37" s="65" customFormat="1" ht="15.75" x14ac:dyDescent="0.25">
      <c r="A89" s="1017" t="s">
        <v>28</v>
      </c>
      <c r="B89" s="964" t="s">
        <v>390</v>
      </c>
      <c r="C89" s="965" t="s">
        <v>31</v>
      </c>
      <c r="D89" s="965" t="s">
        <v>30</v>
      </c>
      <c r="E89" s="965" t="s">
        <v>158</v>
      </c>
      <c r="F89" s="966" t="s">
        <v>56</v>
      </c>
      <c r="G89" s="222">
        <v>238905</v>
      </c>
      <c r="H89" s="222">
        <v>239856</v>
      </c>
      <c r="I89" s="216">
        <v>32.001899999999999</v>
      </c>
      <c r="J89" s="216">
        <v>32.302999999999997</v>
      </c>
      <c r="K89" s="559"/>
      <c r="L89" s="222"/>
      <c r="M89" s="222"/>
      <c r="N89" s="215"/>
      <c r="O89" s="224">
        <f>G89*I89+H89*J89</f>
        <v>15393482.2875</v>
      </c>
      <c r="P89" s="253">
        <f>ROUND(G89*I89,2)*6.73%+ROUND(H89*J89,2)*6.74%</f>
        <v>1036756.164954</v>
      </c>
      <c r="Q89" s="253">
        <f>ROUND(R89*P89,2)</f>
        <v>518378.08</v>
      </c>
      <c r="R89" s="223">
        <v>0.5</v>
      </c>
      <c r="S89"/>
      <c r="T89"/>
      <c r="U89"/>
      <c r="V89"/>
      <c r="W89"/>
      <c r="X89"/>
      <c r="Y89"/>
      <c r="Z89"/>
      <c r="AA89"/>
      <c r="AB89"/>
      <c r="AC89"/>
      <c r="AD89"/>
      <c r="AE89"/>
      <c r="AF89"/>
      <c r="AG89"/>
      <c r="AH89"/>
      <c r="AI89"/>
      <c r="AJ89"/>
      <c r="AK89"/>
    </row>
    <row r="90" spans="1:37" s="65" customFormat="1" ht="15.75" x14ac:dyDescent="0.25">
      <c r="A90" s="1018" t="s">
        <v>28</v>
      </c>
      <c r="B90" s="968" t="str">
        <f>B89</f>
        <v xml:space="preserve">57 Lgn    </v>
      </c>
      <c r="C90" s="969" t="s">
        <v>31</v>
      </c>
      <c r="D90" s="970" t="s">
        <v>186</v>
      </c>
      <c r="E90" s="970"/>
      <c r="F90" s="969" t="str">
        <f>F89</f>
        <v xml:space="preserve"> MM BTU</v>
      </c>
      <c r="G90" s="424">
        <f>G89</f>
        <v>238905</v>
      </c>
      <c r="H90" s="424">
        <f>H89</f>
        <v>239856</v>
      </c>
      <c r="I90" s="741">
        <v>31.789400000000001</v>
      </c>
      <c r="J90" s="741">
        <v>32.090499999999999</v>
      </c>
      <c r="K90" s="1020"/>
      <c r="L90" s="424"/>
      <c r="M90" s="424"/>
      <c r="N90" s="936"/>
      <c r="O90" s="224">
        <f>G90*I90+H90*J90</f>
        <v>15291745.574999999</v>
      </c>
      <c r="P90" s="253">
        <f>ROUND(G90*I90,2)*6.73%+ROUND(H90*J90,2)*6.74%</f>
        <v>1029904.1874309999</v>
      </c>
      <c r="Q90" s="253">
        <f>ROUND(R90*P90,2)</f>
        <v>514952.09</v>
      </c>
      <c r="R90" s="229">
        <v>0.5</v>
      </c>
      <c r="S90"/>
      <c r="T90"/>
      <c r="U90"/>
      <c r="V90"/>
      <c r="W90"/>
      <c r="X90"/>
      <c r="Y90"/>
      <c r="Z90"/>
      <c r="AA90"/>
      <c r="AB90"/>
      <c r="AC90"/>
      <c r="AD90"/>
      <c r="AE90"/>
      <c r="AF90"/>
      <c r="AG90"/>
      <c r="AH90"/>
      <c r="AI90"/>
      <c r="AJ90"/>
      <c r="AK90"/>
    </row>
    <row r="91" spans="1:37" s="65" customFormat="1" ht="15.75" x14ac:dyDescent="0.25">
      <c r="A91" s="1019"/>
      <c r="B91" s="972" t="s">
        <v>181</v>
      </c>
      <c r="C91" s="973"/>
      <c r="D91" s="974"/>
      <c r="E91" s="974"/>
      <c r="F91" s="971"/>
      <c r="G91" s="975">
        <f t="shared" ref="G91:Q91" si="42">G90-G89</f>
        <v>0</v>
      </c>
      <c r="H91" s="975">
        <f t="shared" si="42"/>
        <v>0</v>
      </c>
      <c r="I91" s="975">
        <f t="shared" si="42"/>
        <v>-0.21249999999999858</v>
      </c>
      <c r="J91" s="975">
        <f t="shared" si="42"/>
        <v>-0.21249999999999858</v>
      </c>
      <c r="K91" s="975">
        <f t="shared" si="42"/>
        <v>0</v>
      </c>
      <c r="L91" s="975">
        <f t="shared" si="42"/>
        <v>0</v>
      </c>
      <c r="M91" s="975">
        <f t="shared" si="42"/>
        <v>0</v>
      </c>
      <c r="N91" s="975">
        <f t="shared" si="42"/>
        <v>0</v>
      </c>
      <c r="O91" s="830">
        <f t="shared" si="42"/>
        <v>-101736.71250000037</v>
      </c>
      <c r="P91" s="1097">
        <f t="shared" si="42"/>
        <v>-6851.977523000096</v>
      </c>
      <c r="Q91" s="1044">
        <f t="shared" si="42"/>
        <v>-3425.9899999999907</v>
      </c>
      <c r="R91" s="1021"/>
      <c r="S91" s="1026" t="s">
        <v>182</v>
      </c>
      <c r="T91"/>
      <c r="U91"/>
      <c r="V91"/>
      <c r="W91"/>
      <c r="X91"/>
      <c r="Y91"/>
      <c r="Z91"/>
      <c r="AA91"/>
      <c r="AB91"/>
      <c r="AC91"/>
      <c r="AD91"/>
      <c r="AE91"/>
      <c r="AF91"/>
      <c r="AG91"/>
      <c r="AH91"/>
      <c r="AI91"/>
      <c r="AJ91"/>
      <c r="AK91"/>
    </row>
    <row r="92" spans="1:37" s="65" customFormat="1" ht="15.75" x14ac:dyDescent="0.25">
      <c r="A92" s="1064"/>
      <c r="B92" s="683"/>
      <c r="C92" s="950"/>
      <c r="D92" s="950"/>
      <c r="E92" s="950"/>
      <c r="F92" s="950"/>
      <c r="G92" s="985"/>
      <c r="H92" s="985"/>
      <c r="I92" s="985"/>
      <c r="J92" s="985"/>
      <c r="K92" s="985"/>
      <c r="L92" s="985"/>
      <c r="M92" s="985"/>
      <c r="N92" s="985"/>
      <c r="O92" s="1134"/>
      <c r="P92" s="1130"/>
      <c r="Q92" s="985"/>
      <c r="R92" s="1065"/>
      <c r="S92" s="1026"/>
      <c r="T92"/>
      <c r="U92"/>
      <c r="V92"/>
      <c r="W92"/>
      <c r="X92"/>
      <c r="Y92"/>
      <c r="Z92"/>
      <c r="AA92"/>
      <c r="AB92"/>
      <c r="AC92"/>
      <c r="AD92"/>
      <c r="AE92"/>
      <c r="AF92"/>
      <c r="AG92"/>
      <c r="AH92"/>
      <c r="AI92"/>
      <c r="AJ92"/>
      <c r="AK92"/>
    </row>
    <row r="93" spans="1:37" ht="15.75" x14ac:dyDescent="0.25">
      <c r="A93" s="951"/>
      <c r="B93" s="879" t="s">
        <v>430</v>
      </c>
      <c r="C93" s="683"/>
      <c r="D93" s="683"/>
      <c r="E93" s="683"/>
      <c r="F93" s="683"/>
      <c r="G93" s="683"/>
      <c r="H93" s="683"/>
      <c r="I93" s="683"/>
      <c r="J93" s="952"/>
      <c r="K93" s="683"/>
      <c r="L93" s="683"/>
      <c r="M93" s="683"/>
      <c r="N93" s="950"/>
      <c r="O93" s="683"/>
      <c r="P93" s="683"/>
      <c r="Q93" s="683"/>
      <c r="R93" s="911"/>
      <c r="S93"/>
      <c r="T93"/>
      <c r="U93"/>
      <c r="V93"/>
      <c r="W93"/>
      <c r="X93"/>
      <c r="Y93"/>
      <c r="Z93"/>
      <c r="AA93"/>
      <c r="AB93"/>
      <c r="AC93"/>
      <c r="AD93"/>
      <c r="AE93"/>
      <c r="AF93"/>
      <c r="AG93"/>
      <c r="AH93"/>
      <c r="AI93"/>
      <c r="AJ93"/>
      <c r="AK93"/>
    </row>
    <row r="94" spans="1:37" s="65" customFormat="1" ht="15" customHeight="1" x14ac:dyDescent="0.25">
      <c r="A94" s="954" t="s">
        <v>161</v>
      </c>
      <c r="B94" s="955"/>
      <c r="C94" s="956"/>
      <c r="D94" s="957" t="s">
        <v>19</v>
      </c>
      <c r="E94" s="958" t="s">
        <v>59</v>
      </c>
      <c r="F94" s="957" t="s">
        <v>27</v>
      </c>
      <c r="G94" s="959" t="s">
        <v>35</v>
      </c>
      <c r="H94" s="960" t="s">
        <v>36</v>
      </c>
      <c r="I94" s="960" t="s">
        <v>35</v>
      </c>
      <c r="J94" s="959" t="s">
        <v>36</v>
      </c>
      <c r="K94" s="959" t="s">
        <v>39</v>
      </c>
      <c r="L94" s="959" t="s">
        <v>40</v>
      </c>
      <c r="M94" s="959" t="s">
        <v>42</v>
      </c>
      <c r="N94" s="1056" t="s">
        <v>2</v>
      </c>
      <c r="O94" s="959" t="s">
        <v>180</v>
      </c>
      <c r="P94" s="961" t="s">
        <v>163</v>
      </c>
      <c r="Q94" s="961" t="s">
        <v>184</v>
      </c>
      <c r="R94" s="962"/>
      <c r="S94"/>
      <c r="T94"/>
      <c r="U94"/>
      <c r="V94"/>
      <c r="W94"/>
      <c r="X94"/>
      <c r="Y94"/>
      <c r="Z94"/>
      <c r="AA94"/>
      <c r="AB94"/>
      <c r="AC94"/>
      <c r="AD94"/>
      <c r="AE94"/>
      <c r="AF94"/>
      <c r="AG94"/>
      <c r="AH94"/>
      <c r="AI94"/>
      <c r="AJ94"/>
      <c r="AK94"/>
    </row>
    <row r="95" spans="1:37" s="65" customFormat="1" ht="14.85" customHeight="1" x14ac:dyDescent="0.25">
      <c r="A95" s="1017" t="s">
        <v>28</v>
      </c>
      <c r="B95" s="964" t="s">
        <v>363</v>
      </c>
      <c r="C95" s="965" t="s">
        <v>31</v>
      </c>
      <c r="D95" s="965" t="s">
        <v>30</v>
      </c>
      <c r="E95" s="965" t="s">
        <v>158</v>
      </c>
      <c r="F95" s="966" t="s">
        <v>56</v>
      </c>
      <c r="G95" s="253">
        <v>11956428.901230499</v>
      </c>
      <c r="H95" s="987">
        <v>12217017.3109731</v>
      </c>
      <c r="I95" s="806">
        <v>2.7549000000000001</v>
      </c>
      <c r="J95" s="728">
        <v>2.7549000000000001</v>
      </c>
      <c r="K95" s="253"/>
      <c r="L95" s="253"/>
      <c r="M95" s="253"/>
      <c r="N95" s="557"/>
      <c r="O95" s="224">
        <f>ROUND(G95*I95+H95*J95,2)</f>
        <v>66595426.969999999</v>
      </c>
      <c r="P95" s="991">
        <f>ROUND(37.24%*O95,2)</f>
        <v>24800137</v>
      </c>
      <c r="Q95" s="253">
        <f>ROUND(R95*P95,2)</f>
        <v>12400068.5</v>
      </c>
      <c r="R95" s="590">
        <v>0.5</v>
      </c>
      <c r="S95"/>
      <c r="T95"/>
      <c r="U95"/>
      <c r="V95"/>
      <c r="W95"/>
      <c r="X95"/>
      <c r="Y95"/>
      <c r="Z95"/>
      <c r="AA95"/>
      <c r="AB95"/>
      <c r="AC95"/>
      <c r="AD95"/>
      <c r="AE95"/>
      <c r="AF95"/>
      <c r="AG95"/>
      <c r="AH95"/>
      <c r="AI95"/>
      <c r="AJ95"/>
      <c r="AK95"/>
    </row>
    <row r="96" spans="1:37" s="65" customFormat="1" ht="15.75" x14ac:dyDescent="0.25">
      <c r="A96" s="1018" t="s">
        <v>28</v>
      </c>
      <c r="B96" s="968" t="str">
        <f>B95</f>
        <v xml:space="preserve">88 Gas    </v>
      </c>
      <c r="C96" s="969" t="s">
        <v>31</v>
      </c>
      <c r="D96" s="970" t="s">
        <v>186</v>
      </c>
      <c r="E96" s="970"/>
      <c r="F96" s="969" t="str">
        <f>F95</f>
        <v xml:space="preserve"> MM BTU</v>
      </c>
      <c r="G96" s="424">
        <f>G95</f>
        <v>11956428.901230499</v>
      </c>
      <c r="H96" s="424">
        <f>H95</f>
        <v>12217017.3109731</v>
      </c>
      <c r="I96" s="1069">
        <v>2.7618999999999998</v>
      </c>
      <c r="J96" s="741">
        <v>2.7618999999999998</v>
      </c>
      <c r="K96" s="1020"/>
      <c r="L96" s="424"/>
      <c r="M96" s="424"/>
      <c r="N96" s="936"/>
      <c r="O96" s="340">
        <f>ROUND(G96*I96+H96*J96,2)</f>
        <v>66764641.090000004</v>
      </c>
      <c r="P96" s="1070">
        <f>ROUND(37.24%*O96,2)</f>
        <v>24863152.34</v>
      </c>
      <c r="Q96" s="341">
        <f>ROUND(R96*P96,2)</f>
        <v>12431576.17</v>
      </c>
      <c r="R96" s="742">
        <v>0.5</v>
      </c>
      <c r="S96"/>
      <c r="T96"/>
      <c r="U96"/>
      <c r="V96"/>
      <c r="W96"/>
      <c r="X96"/>
      <c r="Y96"/>
      <c r="Z96"/>
      <c r="AA96"/>
      <c r="AB96"/>
      <c r="AC96"/>
      <c r="AD96"/>
      <c r="AE96"/>
      <c r="AF96"/>
      <c r="AG96"/>
      <c r="AH96"/>
      <c r="AI96"/>
      <c r="AJ96"/>
      <c r="AK96"/>
    </row>
    <row r="97" spans="1:37" s="65" customFormat="1" ht="15.75" x14ac:dyDescent="0.25">
      <c r="A97" s="1019"/>
      <c r="B97" s="972" t="s">
        <v>181</v>
      </c>
      <c r="C97" s="973"/>
      <c r="D97" s="974"/>
      <c r="E97" s="974"/>
      <c r="F97" s="971"/>
      <c r="G97" s="975">
        <f t="shared" ref="G97:Q97" si="43">G96-G95</f>
        <v>0</v>
      </c>
      <c r="H97" s="975">
        <f t="shared" si="43"/>
        <v>0</v>
      </c>
      <c r="I97" s="975">
        <f t="shared" si="43"/>
        <v>6.9999999999996732E-3</v>
      </c>
      <c r="J97" s="975">
        <f t="shared" si="43"/>
        <v>6.9999999999996732E-3</v>
      </c>
      <c r="K97" s="975">
        <f t="shared" si="43"/>
        <v>0</v>
      </c>
      <c r="L97" s="975">
        <f t="shared" si="43"/>
        <v>0</v>
      </c>
      <c r="M97" s="975">
        <f t="shared" si="43"/>
        <v>0</v>
      </c>
      <c r="N97" s="975">
        <f t="shared" si="43"/>
        <v>0</v>
      </c>
      <c r="O97" s="830">
        <f t="shared" si="43"/>
        <v>169214.12000000477</v>
      </c>
      <c r="P97" s="830">
        <f t="shared" si="43"/>
        <v>63015.339999999851</v>
      </c>
      <c r="Q97" s="830">
        <f t="shared" si="43"/>
        <v>31507.669999999925</v>
      </c>
      <c r="R97" s="1021"/>
      <c r="S97"/>
      <c r="T97"/>
      <c r="U97"/>
      <c r="V97"/>
      <c r="W97"/>
      <c r="X97"/>
      <c r="Y97"/>
      <c r="Z97"/>
      <c r="AA97"/>
      <c r="AB97"/>
      <c r="AC97"/>
      <c r="AD97"/>
      <c r="AE97"/>
      <c r="AF97"/>
      <c r="AG97"/>
      <c r="AH97"/>
      <c r="AI97"/>
      <c r="AJ97"/>
      <c r="AK97"/>
    </row>
    <row r="98" spans="1:37" s="65" customFormat="1" ht="15.75" x14ac:dyDescent="0.25">
      <c r="A98"/>
      <c r="B98"/>
      <c r="C98"/>
      <c r="D98"/>
      <c r="E98"/>
      <c r="F98"/>
      <c r="G98"/>
      <c r="H98"/>
      <c r="I98"/>
      <c r="J98"/>
      <c r="K98"/>
      <c r="L98"/>
      <c r="M98"/>
      <c r="N98"/>
      <c r="O98"/>
      <c r="P98"/>
      <c r="Q98"/>
      <c r="R98"/>
      <c r="S98"/>
      <c r="T98"/>
      <c r="U98"/>
      <c r="V98"/>
      <c r="W98"/>
      <c r="X98"/>
      <c r="Y98"/>
      <c r="Z98"/>
      <c r="AA98"/>
      <c r="AB98"/>
      <c r="AC98"/>
      <c r="AD98"/>
      <c r="AE98"/>
      <c r="AF98"/>
      <c r="AG98"/>
      <c r="AH98"/>
      <c r="AI98"/>
      <c r="AJ98"/>
      <c r="AK98"/>
    </row>
    <row r="99" spans="1:37" ht="15.75" x14ac:dyDescent="0.25">
      <c r="A99" s="951"/>
      <c r="B99" s="879" t="s">
        <v>428</v>
      </c>
      <c r="C99" s="683"/>
      <c r="D99" s="683"/>
      <c r="E99" s="683"/>
      <c r="F99" s="683"/>
      <c r="G99" s="683"/>
      <c r="H99" s="683"/>
      <c r="I99" s="683"/>
      <c r="J99" s="952"/>
      <c r="K99" s="683"/>
      <c r="L99" s="683"/>
      <c r="M99" s="683"/>
      <c r="N99" s="950"/>
      <c r="O99" s="683"/>
      <c r="P99" s="683"/>
      <c r="Q99" s="683"/>
      <c r="R99" s="911"/>
      <c r="S99"/>
      <c r="T99"/>
      <c r="U99"/>
      <c r="V99"/>
      <c r="W99"/>
      <c r="X99"/>
      <c r="Y99"/>
      <c r="Z99"/>
      <c r="AA99"/>
      <c r="AB99"/>
      <c r="AC99"/>
      <c r="AD99"/>
      <c r="AE99"/>
      <c r="AF99"/>
      <c r="AG99"/>
      <c r="AH99"/>
      <c r="AI99"/>
      <c r="AJ99"/>
      <c r="AK99"/>
    </row>
    <row r="100" spans="1:37" s="65" customFormat="1" ht="15" customHeight="1" x14ac:dyDescent="0.25">
      <c r="A100" s="954" t="s">
        <v>161</v>
      </c>
      <c r="B100" s="955"/>
      <c r="C100" s="956"/>
      <c r="D100" s="957" t="s">
        <v>19</v>
      </c>
      <c r="E100" s="958" t="s">
        <v>59</v>
      </c>
      <c r="F100" s="957" t="s">
        <v>27</v>
      </c>
      <c r="G100" s="959" t="s">
        <v>35</v>
      </c>
      <c r="H100" s="960" t="s">
        <v>36</v>
      </c>
      <c r="I100" s="960" t="s">
        <v>35</v>
      </c>
      <c r="J100" s="959" t="s">
        <v>36</v>
      </c>
      <c r="K100" s="959" t="s">
        <v>39</v>
      </c>
      <c r="L100" s="959" t="s">
        <v>40</v>
      </c>
      <c r="M100" s="959" t="s">
        <v>42</v>
      </c>
      <c r="N100" s="1056" t="s">
        <v>2</v>
      </c>
      <c r="O100" s="959" t="s">
        <v>180</v>
      </c>
      <c r="P100" s="961" t="s">
        <v>163</v>
      </c>
      <c r="Q100" s="961" t="s">
        <v>184</v>
      </c>
      <c r="R100" s="962"/>
      <c r="S100"/>
      <c r="T100"/>
      <c r="U100"/>
      <c r="V100"/>
      <c r="W100"/>
      <c r="X100"/>
      <c r="Y100"/>
      <c r="Z100"/>
      <c r="AA100"/>
      <c r="AB100"/>
      <c r="AC100"/>
      <c r="AD100"/>
      <c r="AE100"/>
      <c r="AF100"/>
      <c r="AG100"/>
      <c r="AH100"/>
      <c r="AI100"/>
      <c r="AJ100"/>
      <c r="AK100"/>
    </row>
    <row r="101" spans="1:37" s="65" customFormat="1" ht="14.85" customHeight="1" x14ac:dyDescent="0.25">
      <c r="A101" s="1017" t="s">
        <v>28</v>
      </c>
      <c r="B101" s="964" t="s">
        <v>363</v>
      </c>
      <c r="C101" s="965" t="s">
        <v>31</v>
      </c>
      <c r="D101" s="965" t="s">
        <v>30</v>
      </c>
      <c r="E101" s="965" t="s">
        <v>158</v>
      </c>
      <c r="F101" s="966"/>
      <c r="G101" s="253">
        <v>11711074.826672399</v>
      </c>
      <c r="H101" s="420">
        <v>12295972.060000001</v>
      </c>
      <c r="I101" s="1069">
        <v>2.7549000000000001</v>
      </c>
      <c r="J101" s="741">
        <v>2.7549000000000001</v>
      </c>
      <c r="K101" s="253"/>
      <c r="L101" s="253"/>
      <c r="M101" s="253"/>
      <c r="N101" s="557"/>
      <c r="O101" s="224">
        <f>ROUND(G101*I101+H101*J101,2)</f>
        <v>66137013.469999999</v>
      </c>
      <c r="P101" s="991">
        <f>ROUND(37.24%*O101,2)</f>
        <v>24629423.82</v>
      </c>
      <c r="Q101" s="253">
        <f>ROUND(R101*P101,2)</f>
        <v>12314711.91</v>
      </c>
      <c r="R101" s="590">
        <v>0.5</v>
      </c>
      <c r="S101"/>
      <c r="T101"/>
      <c r="U101"/>
      <c r="V101"/>
      <c r="W101"/>
      <c r="X101"/>
      <c r="Y101"/>
      <c r="Z101"/>
      <c r="AA101"/>
      <c r="AB101"/>
      <c r="AC101"/>
      <c r="AD101"/>
      <c r="AE101"/>
      <c r="AF101"/>
      <c r="AG101"/>
      <c r="AH101"/>
      <c r="AI101"/>
      <c r="AJ101"/>
      <c r="AK101"/>
    </row>
    <row r="102" spans="1:37" s="65" customFormat="1" ht="15.75" x14ac:dyDescent="0.25">
      <c r="A102" s="1018" t="s">
        <v>28</v>
      </c>
      <c r="B102" s="968" t="str">
        <f>B101</f>
        <v xml:space="preserve">88 Gas    </v>
      </c>
      <c r="C102" s="969" t="s">
        <v>31</v>
      </c>
      <c r="D102" s="970" t="s">
        <v>186</v>
      </c>
      <c r="E102" s="970"/>
      <c r="F102" s="969">
        <f>F101</f>
        <v>0</v>
      </c>
      <c r="G102" s="424">
        <f>G101</f>
        <v>11711074.826672399</v>
      </c>
      <c r="H102" s="424">
        <f>H101</f>
        <v>12295972.060000001</v>
      </c>
      <c r="I102" s="1069">
        <v>2.7464</v>
      </c>
      <c r="J102" s="741">
        <v>2.7464</v>
      </c>
      <c r="K102" s="1020"/>
      <c r="L102" s="424"/>
      <c r="M102" s="424"/>
      <c r="N102" s="936"/>
      <c r="O102" s="340">
        <f>ROUND(G102*I102+H102*J102,2)</f>
        <v>65932953.57</v>
      </c>
      <c r="P102" s="1070">
        <f>ROUND(37.24%*O102,2)</f>
        <v>24553431.91</v>
      </c>
      <c r="Q102" s="341">
        <f>ROUND(R102*P102,2)</f>
        <v>12276715.960000001</v>
      </c>
      <c r="R102" s="742">
        <v>0.5</v>
      </c>
      <c r="S102"/>
      <c r="T102"/>
      <c r="U102"/>
      <c r="V102"/>
      <c r="W102"/>
      <c r="X102"/>
      <c r="Y102"/>
      <c r="Z102"/>
      <c r="AA102"/>
      <c r="AB102"/>
      <c r="AC102"/>
      <c r="AD102"/>
      <c r="AE102"/>
      <c r="AF102"/>
      <c r="AG102"/>
      <c r="AH102"/>
      <c r="AI102"/>
      <c r="AJ102"/>
      <c r="AK102"/>
    </row>
    <row r="103" spans="1:37" s="65" customFormat="1" ht="15.75" x14ac:dyDescent="0.25">
      <c r="A103" s="1019"/>
      <c r="B103" s="972" t="s">
        <v>181</v>
      </c>
      <c r="C103" s="973"/>
      <c r="D103" s="974"/>
      <c r="E103" s="974"/>
      <c r="F103" s="971"/>
      <c r="G103" s="975">
        <f t="shared" ref="G103:Q103" si="44">G102-G101</f>
        <v>0</v>
      </c>
      <c r="H103" s="975">
        <f t="shared" si="44"/>
        <v>0</v>
      </c>
      <c r="I103" s="975">
        <f t="shared" si="44"/>
        <v>-8.5000000000001741E-3</v>
      </c>
      <c r="J103" s="975">
        <f t="shared" si="44"/>
        <v>-8.5000000000001741E-3</v>
      </c>
      <c r="K103" s="975">
        <f t="shared" si="44"/>
        <v>0</v>
      </c>
      <c r="L103" s="975">
        <f t="shared" si="44"/>
        <v>0</v>
      </c>
      <c r="M103" s="975">
        <f t="shared" si="44"/>
        <v>0</v>
      </c>
      <c r="N103" s="975">
        <f t="shared" si="44"/>
        <v>0</v>
      </c>
      <c r="O103" s="830">
        <f t="shared" si="44"/>
        <v>-204059.89999999851</v>
      </c>
      <c r="P103" s="830">
        <f t="shared" si="44"/>
        <v>-75991.910000000149</v>
      </c>
      <c r="Q103" s="830">
        <f t="shared" si="44"/>
        <v>-37995.949999999255</v>
      </c>
      <c r="R103" s="1021"/>
      <c r="S103" t="s">
        <v>182</v>
      </c>
      <c r="T103"/>
      <c r="U103"/>
      <c r="V103"/>
      <c r="W103"/>
      <c r="X103"/>
      <c r="Y103"/>
      <c r="Z103"/>
      <c r="AA103"/>
      <c r="AB103"/>
      <c r="AC103"/>
      <c r="AD103"/>
      <c r="AE103"/>
      <c r="AF103"/>
      <c r="AG103"/>
      <c r="AH103"/>
      <c r="AI103"/>
      <c r="AJ103"/>
      <c r="AK103"/>
    </row>
    <row r="104" spans="1:37" s="65" customFormat="1" ht="15.75" x14ac:dyDescent="0.25">
      <c r="A104" s="1064"/>
      <c r="B104" s="683"/>
      <c r="C104" s="950"/>
      <c r="D104" s="950"/>
      <c r="E104" s="950"/>
      <c r="F104" s="950"/>
      <c r="G104" s="985"/>
      <c r="H104" s="985"/>
      <c r="I104" s="985"/>
      <c r="J104" s="985"/>
      <c r="K104" s="985"/>
      <c r="L104" s="985"/>
      <c r="M104" s="985"/>
      <c r="N104" s="985"/>
      <c r="O104" s="985"/>
      <c r="P104" s="985"/>
      <c r="Q104" s="985"/>
      <c r="R104" s="1065"/>
      <c r="S104"/>
      <c r="T104"/>
      <c r="U104"/>
      <c r="V104"/>
      <c r="W104"/>
      <c r="X104"/>
      <c r="Y104"/>
      <c r="Z104"/>
      <c r="AA104"/>
      <c r="AB104"/>
      <c r="AC104"/>
      <c r="AD104"/>
      <c r="AE104"/>
      <c r="AF104"/>
      <c r="AG104"/>
      <c r="AH104"/>
      <c r="AI104"/>
      <c r="AJ104"/>
      <c r="AK104"/>
    </row>
    <row r="105" spans="1:37" ht="15.75" x14ac:dyDescent="0.25">
      <c r="A105" s="951"/>
      <c r="B105" s="879" t="s">
        <v>432</v>
      </c>
      <c r="C105" s="683"/>
      <c r="D105" s="683"/>
      <c r="E105" s="683"/>
      <c r="F105" s="683"/>
      <c r="G105" s="683"/>
      <c r="H105" s="683"/>
      <c r="I105" s="683"/>
      <c r="J105" s="1153"/>
      <c r="K105" s="683"/>
      <c r="L105" s="683"/>
      <c r="M105" s="683"/>
      <c r="N105" s="950"/>
      <c r="O105" s="683"/>
      <c r="P105" s="683"/>
      <c r="Q105" s="683"/>
      <c r="R105" s="911"/>
      <c r="S105"/>
      <c r="T105"/>
      <c r="U105"/>
      <c r="V105"/>
      <c r="W105"/>
      <c r="X105"/>
      <c r="Y105"/>
      <c r="Z105"/>
      <c r="AA105"/>
      <c r="AB105"/>
      <c r="AC105"/>
      <c r="AD105"/>
      <c r="AE105"/>
      <c r="AF105"/>
      <c r="AG105"/>
      <c r="AH105"/>
      <c r="AI105"/>
      <c r="AJ105"/>
      <c r="AK105"/>
    </row>
    <row r="106" spans="1:37" s="65" customFormat="1" ht="15" customHeight="1" x14ac:dyDescent="0.25">
      <c r="A106" s="954" t="s">
        <v>161</v>
      </c>
      <c r="B106" s="955"/>
      <c r="C106" s="956"/>
      <c r="D106" s="957" t="s">
        <v>19</v>
      </c>
      <c r="E106" s="958" t="s">
        <v>59</v>
      </c>
      <c r="F106" s="957" t="s">
        <v>27</v>
      </c>
      <c r="G106" s="959" t="s">
        <v>35</v>
      </c>
      <c r="H106" s="960" t="s">
        <v>36</v>
      </c>
      <c r="I106" s="960" t="s">
        <v>35</v>
      </c>
      <c r="J106" s="959" t="s">
        <v>36</v>
      </c>
      <c r="K106" s="959" t="s">
        <v>39</v>
      </c>
      <c r="L106" s="959" t="s">
        <v>40</v>
      </c>
      <c r="M106" s="959" t="s">
        <v>42</v>
      </c>
      <c r="N106" s="1056" t="s">
        <v>2</v>
      </c>
      <c r="O106" s="959" t="s">
        <v>180</v>
      </c>
      <c r="P106" s="961" t="s">
        <v>163</v>
      </c>
      <c r="Q106" s="961" t="s">
        <v>184</v>
      </c>
      <c r="R106" s="962"/>
      <c r="S106"/>
      <c r="T106"/>
      <c r="U106"/>
      <c r="V106"/>
      <c r="W106"/>
      <c r="X106"/>
      <c r="Y106"/>
      <c r="Z106"/>
      <c r="AA106"/>
      <c r="AB106"/>
      <c r="AC106"/>
      <c r="AD106"/>
      <c r="AE106"/>
      <c r="AF106"/>
      <c r="AG106"/>
      <c r="AH106"/>
      <c r="AI106"/>
      <c r="AJ106"/>
      <c r="AK106"/>
    </row>
    <row r="107" spans="1:37" s="65" customFormat="1" ht="14.85" customHeight="1" x14ac:dyDescent="0.25">
      <c r="A107" s="1017" t="s">
        <v>28</v>
      </c>
      <c r="B107" s="964" t="s">
        <v>433</v>
      </c>
      <c r="C107" s="965" t="s">
        <v>31</v>
      </c>
      <c r="D107" s="965" t="s">
        <v>30</v>
      </c>
      <c r="E107" s="965" t="s">
        <v>158</v>
      </c>
      <c r="F107" s="966"/>
      <c r="G107" s="253">
        <v>817438.59</v>
      </c>
      <c r="H107" s="420"/>
      <c r="I107" s="1069">
        <v>2.8860000000000001</v>
      </c>
      <c r="J107" s="1069"/>
      <c r="K107" s="253"/>
      <c r="L107" s="253"/>
      <c r="M107" s="253"/>
      <c r="N107" s="557"/>
      <c r="O107" s="224">
        <f>ROUND(G107*I107+H107*J107,2)</f>
        <v>2359127.77</v>
      </c>
      <c r="P107" s="991">
        <f>ROUND(38%*O107,2)</f>
        <v>896468.55</v>
      </c>
      <c r="Q107" s="253">
        <f>ROUND(R107*P107,2)</f>
        <v>448234.28</v>
      </c>
      <c r="R107" s="590">
        <v>0.5</v>
      </c>
      <c r="S107"/>
      <c r="T107"/>
      <c r="U107"/>
      <c r="V107"/>
      <c r="W107"/>
      <c r="X107"/>
      <c r="Y107"/>
      <c r="Z107"/>
      <c r="AA107"/>
      <c r="AB107"/>
      <c r="AC107"/>
      <c r="AD107"/>
      <c r="AE107"/>
      <c r="AF107"/>
      <c r="AG107"/>
      <c r="AH107"/>
      <c r="AI107"/>
      <c r="AJ107"/>
      <c r="AK107"/>
    </row>
    <row r="108" spans="1:37" s="65" customFormat="1" ht="15.75" x14ac:dyDescent="0.25">
      <c r="A108" s="1018" t="s">
        <v>28</v>
      </c>
      <c r="B108" s="968" t="str">
        <f>B107</f>
        <v>88 Gas   Melchorita</v>
      </c>
      <c r="C108" s="969" t="s">
        <v>31</v>
      </c>
      <c r="D108" s="970" t="s">
        <v>186</v>
      </c>
      <c r="E108" s="970"/>
      <c r="F108" s="969">
        <f>F107</f>
        <v>0</v>
      </c>
      <c r="G108" s="424">
        <f>G107</f>
        <v>817438.59</v>
      </c>
      <c r="H108" s="424">
        <f>H107</f>
        <v>0</v>
      </c>
      <c r="I108" s="1069">
        <v>2.7160000000000002</v>
      </c>
      <c r="J108" s="741"/>
      <c r="K108" s="1020"/>
      <c r="L108" s="424"/>
      <c r="M108" s="424"/>
      <c r="N108" s="936"/>
      <c r="O108" s="340">
        <f>ROUND(G108*I108+H108*J108,2)</f>
        <v>2220163.21</v>
      </c>
      <c r="P108" s="1070">
        <f>ROUND(38%*O108,2)</f>
        <v>843662.02</v>
      </c>
      <c r="Q108" s="341">
        <f>ROUND(R108*P108,2)</f>
        <v>421831.01</v>
      </c>
      <c r="R108" s="742">
        <v>0.5</v>
      </c>
      <c r="S108"/>
      <c r="T108"/>
      <c r="U108"/>
      <c r="V108"/>
      <c r="W108"/>
      <c r="X108"/>
      <c r="Y108"/>
      <c r="Z108"/>
      <c r="AA108"/>
      <c r="AB108"/>
      <c r="AC108"/>
      <c r="AD108"/>
      <c r="AE108"/>
      <c r="AF108"/>
      <c r="AG108"/>
      <c r="AH108"/>
      <c r="AI108"/>
      <c r="AJ108"/>
      <c r="AK108"/>
    </row>
    <row r="109" spans="1:37" s="65" customFormat="1" ht="15.75" x14ac:dyDescent="0.25">
      <c r="A109" s="1019"/>
      <c r="B109" s="972" t="s">
        <v>181</v>
      </c>
      <c r="C109" s="973"/>
      <c r="D109" s="974"/>
      <c r="E109" s="974"/>
      <c r="F109" s="971"/>
      <c r="G109" s="975">
        <f t="shared" ref="G109:Q109" si="45">G108-G107</f>
        <v>0</v>
      </c>
      <c r="H109" s="975">
        <f t="shared" si="45"/>
        <v>0</v>
      </c>
      <c r="I109" s="975">
        <f t="shared" si="45"/>
        <v>-0.16999999999999993</v>
      </c>
      <c r="J109" s="975">
        <f t="shared" si="45"/>
        <v>0</v>
      </c>
      <c r="K109" s="975">
        <f t="shared" si="45"/>
        <v>0</v>
      </c>
      <c r="L109" s="975">
        <f t="shared" si="45"/>
        <v>0</v>
      </c>
      <c r="M109" s="975">
        <f t="shared" si="45"/>
        <v>0</v>
      </c>
      <c r="N109" s="975">
        <f t="shared" si="45"/>
        <v>0</v>
      </c>
      <c r="O109" s="830">
        <f t="shared" si="45"/>
        <v>-138964.56000000006</v>
      </c>
      <c r="P109" s="830">
        <f t="shared" si="45"/>
        <v>-52806.530000000028</v>
      </c>
      <c r="Q109" s="830">
        <f t="shared" si="45"/>
        <v>-26403.270000000019</v>
      </c>
      <c r="R109" s="1021"/>
      <c r="S109" t="s">
        <v>182</v>
      </c>
      <c r="T109"/>
      <c r="U109"/>
      <c r="V109"/>
      <c r="W109"/>
      <c r="X109"/>
      <c r="Y109"/>
      <c r="Z109"/>
      <c r="AA109"/>
      <c r="AB109"/>
      <c r="AC109"/>
      <c r="AD109"/>
      <c r="AE109"/>
      <c r="AF109"/>
      <c r="AG109"/>
      <c r="AH109"/>
      <c r="AI109"/>
      <c r="AJ109"/>
      <c r="AK109"/>
    </row>
    <row r="110" spans="1:37" s="65" customFormat="1" ht="15.75" x14ac:dyDescent="0.25">
      <c r="A110" s="1064"/>
      <c r="B110" s="683"/>
      <c r="C110" s="950"/>
      <c r="D110" s="950"/>
      <c r="E110" s="950"/>
      <c r="F110" s="950"/>
      <c r="G110" s="985"/>
      <c r="H110" s="985"/>
      <c r="I110" s="985"/>
      <c r="J110" s="985"/>
      <c r="K110" s="985"/>
      <c r="L110" s="985"/>
      <c r="M110" s="985"/>
      <c r="N110" s="985"/>
      <c r="O110" s="985"/>
      <c r="P110" s="985"/>
      <c r="Q110" s="985"/>
      <c r="R110" s="1065"/>
      <c r="S110"/>
      <c r="T110"/>
      <c r="U110"/>
      <c r="V110"/>
      <c r="W110"/>
      <c r="X110"/>
      <c r="Y110"/>
      <c r="Z110"/>
      <c r="AA110"/>
      <c r="AB110"/>
      <c r="AC110"/>
      <c r="AD110"/>
      <c r="AE110"/>
      <c r="AF110"/>
      <c r="AG110"/>
      <c r="AH110"/>
      <c r="AI110"/>
      <c r="AJ110"/>
      <c r="AK110"/>
    </row>
    <row r="111" spans="1:37" s="65" customFormat="1" ht="15" customHeight="1" x14ac:dyDescent="0.25">
      <c r="A111" s="951"/>
      <c r="B111" s="879" t="s">
        <v>430</v>
      </c>
      <c r="C111" s="683"/>
      <c r="D111" s="683"/>
      <c r="E111" s="683"/>
      <c r="F111" s="683"/>
      <c r="G111" s="683"/>
      <c r="H111" s="683"/>
      <c r="I111" s="683"/>
      <c r="J111" s="952"/>
      <c r="K111" s="683"/>
      <c r="L111" s="683"/>
      <c r="M111" s="683"/>
      <c r="N111" s="950"/>
      <c r="O111" s="683"/>
      <c r="P111" s="683"/>
      <c r="Q111" s="683"/>
      <c r="R111" s="911"/>
      <c r="S111"/>
      <c r="T111"/>
      <c r="U111"/>
      <c r="V111"/>
      <c r="W111"/>
      <c r="X111"/>
      <c r="Y111"/>
      <c r="Z111"/>
      <c r="AA111"/>
      <c r="AB111"/>
      <c r="AC111"/>
      <c r="AD111"/>
      <c r="AE111"/>
      <c r="AF111"/>
      <c r="AG111"/>
      <c r="AH111"/>
      <c r="AI111"/>
      <c r="AJ111"/>
      <c r="AK111"/>
    </row>
    <row r="112" spans="1:37" s="65" customFormat="1" ht="15.75" x14ac:dyDescent="0.25">
      <c r="A112" s="954" t="s">
        <v>161</v>
      </c>
      <c r="B112" s="955"/>
      <c r="C112" s="956"/>
      <c r="D112" s="957" t="s">
        <v>19</v>
      </c>
      <c r="E112" s="958" t="s">
        <v>59</v>
      </c>
      <c r="F112" s="957" t="s">
        <v>27</v>
      </c>
      <c r="G112" s="959" t="s">
        <v>35</v>
      </c>
      <c r="H112" s="960" t="s">
        <v>36</v>
      </c>
      <c r="I112" s="960" t="s">
        <v>35</v>
      </c>
      <c r="J112" s="959" t="s">
        <v>36</v>
      </c>
      <c r="K112" s="959" t="s">
        <v>39</v>
      </c>
      <c r="L112" s="959" t="s">
        <v>40</v>
      </c>
      <c r="M112" s="959" t="s">
        <v>42</v>
      </c>
      <c r="N112" s="1056" t="s">
        <v>2</v>
      </c>
      <c r="O112" s="959" t="s">
        <v>180</v>
      </c>
      <c r="P112" s="961" t="s">
        <v>163</v>
      </c>
      <c r="Q112" s="961" t="s">
        <v>184</v>
      </c>
      <c r="R112" s="962"/>
      <c r="S112"/>
      <c r="T112"/>
      <c r="U112"/>
      <c r="V112"/>
      <c r="W112"/>
      <c r="X112"/>
      <c r="Y112"/>
      <c r="Z112"/>
      <c r="AA112"/>
      <c r="AB112"/>
      <c r="AC112"/>
      <c r="AD112"/>
      <c r="AE112"/>
      <c r="AF112"/>
      <c r="AG112"/>
      <c r="AH112"/>
      <c r="AI112"/>
      <c r="AJ112"/>
      <c r="AK112"/>
    </row>
    <row r="113" spans="1:37" s="65" customFormat="1" ht="15.75" x14ac:dyDescent="0.25">
      <c r="A113" s="1017" t="s">
        <v>28</v>
      </c>
      <c r="B113" s="964" t="s">
        <v>321</v>
      </c>
      <c r="C113" s="965" t="s">
        <v>31</v>
      </c>
      <c r="D113" s="965" t="s">
        <v>30</v>
      </c>
      <c r="E113" s="965" t="s">
        <v>158</v>
      </c>
      <c r="F113" s="966" t="s">
        <v>56</v>
      </c>
      <c r="G113" s="253">
        <v>30692.98</v>
      </c>
      <c r="H113" s="420">
        <v>33187.324800000002</v>
      </c>
      <c r="I113" s="1071">
        <v>3.6046999999999998</v>
      </c>
      <c r="J113" s="1071">
        <v>3.6046999999999998</v>
      </c>
      <c r="K113" s="253"/>
      <c r="L113" s="253"/>
      <c r="M113" s="253"/>
      <c r="N113" s="557"/>
      <c r="O113" s="224">
        <f>ROUND(G113*I113+H113*J113,2)</f>
        <v>230269.33</v>
      </c>
      <c r="P113" s="991">
        <f>ROUND(37.24%*O113,2)</f>
        <v>85752.3</v>
      </c>
      <c r="Q113" s="253">
        <f>ROUND(R113*P113,2)</f>
        <v>42876.15</v>
      </c>
      <c r="R113" s="590">
        <v>0.5</v>
      </c>
      <c r="S113"/>
      <c r="T113"/>
      <c r="U113"/>
      <c r="V113"/>
      <c r="W113"/>
      <c r="X113"/>
      <c r="Y113"/>
      <c r="Z113"/>
      <c r="AA113"/>
      <c r="AB113"/>
      <c r="AC113"/>
      <c r="AD113"/>
      <c r="AE113"/>
      <c r="AF113"/>
      <c r="AG113"/>
      <c r="AH113"/>
      <c r="AI113"/>
      <c r="AJ113"/>
      <c r="AK113"/>
    </row>
    <row r="114" spans="1:37" s="65" customFormat="1" ht="15.75" x14ac:dyDescent="0.25">
      <c r="A114" s="1018" t="s">
        <v>28</v>
      </c>
      <c r="B114" s="964" t="str">
        <f>B113</f>
        <v>88 Gas Planta Pisco</v>
      </c>
      <c r="C114" s="969" t="s">
        <v>31</v>
      </c>
      <c r="D114" s="970" t="s">
        <v>186</v>
      </c>
      <c r="E114" s="970"/>
      <c r="F114" s="969" t="str">
        <f>F113</f>
        <v xml:space="preserve"> MM BTU</v>
      </c>
      <c r="G114" s="424">
        <f>G113</f>
        <v>30692.98</v>
      </c>
      <c r="H114" s="424">
        <f>H113</f>
        <v>33187.324800000002</v>
      </c>
      <c r="I114" s="1071">
        <v>3.6025</v>
      </c>
      <c r="J114" s="1071">
        <v>3.6025</v>
      </c>
      <c r="K114" s="1020"/>
      <c r="L114" s="424"/>
      <c r="M114" s="424"/>
      <c r="N114" s="936"/>
      <c r="O114" s="298">
        <f>G114*I114+H114*J114</f>
        <v>230128.79804200001</v>
      </c>
      <c r="P114" s="1022">
        <f>ROUND(37.24%*(G114*I114+H114*J114),2)</f>
        <v>85699.96</v>
      </c>
      <c r="Q114" s="424">
        <f>ROUND(R114*P114,2)</f>
        <v>42849.98</v>
      </c>
      <c r="R114" s="742">
        <v>0.5</v>
      </c>
      <c r="S114"/>
      <c r="T114"/>
      <c r="U114"/>
      <c r="V114"/>
      <c r="W114"/>
      <c r="X114"/>
      <c r="Y114"/>
      <c r="Z114"/>
      <c r="AA114"/>
      <c r="AB114"/>
      <c r="AC114"/>
      <c r="AD114"/>
      <c r="AE114"/>
      <c r="AF114"/>
      <c r="AG114"/>
      <c r="AH114"/>
      <c r="AI114"/>
      <c r="AJ114"/>
      <c r="AK114"/>
    </row>
    <row r="115" spans="1:37" s="65" customFormat="1" ht="15.75" x14ac:dyDescent="0.25">
      <c r="A115" s="1019"/>
      <c r="B115" s="972" t="s">
        <v>181</v>
      </c>
      <c r="C115" s="973"/>
      <c r="D115" s="974"/>
      <c r="E115" s="974"/>
      <c r="F115" s="971"/>
      <c r="G115" s="975">
        <f t="shared" ref="G115:Q115" si="46">G114-G113</f>
        <v>0</v>
      </c>
      <c r="H115" s="975">
        <f t="shared" si="46"/>
        <v>0</v>
      </c>
      <c r="I115" s="830">
        <f t="shared" si="46"/>
        <v>-2.1999999999997577E-3</v>
      </c>
      <c r="J115" s="830">
        <f t="shared" si="46"/>
        <v>-2.1999999999997577E-3</v>
      </c>
      <c r="K115" s="975">
        <f t="shared" si="46"/>
        <v>0</v>
      </c>
      <c r="L115" s="975">
        <f t="shared" si="46"/>
        <v>0</v>
      </c>
      <c r="M115" s="975">
        <f t="shared" si="46"/>
        <v>0</v>
      </c>
      <c r="N115" s="975">
        <f t="shared" si="46"/>
        <v>0</v>
      </c>
      <c r="O115" s="975">
        <f t="shared" si="46"/>
        <v>-140.53195799997775</v>
      </c>
      <c r="P115" s="975">
        <f t="shared" si="46"/>
        <v>-52.339999999996508</v>
      </c>
      <c r="Q115" s="975">
        <f t="shared" si="46"/>
        <v>-26.169999999998254</v>
      </c>
      <c r="R115" s="1021"/>
      <c r="S115" t="s">
        <v>182</v>
      </c>
      <c r="T115"/>
      <c r="U115"/>
      <c r="V115"/>
      <c r="W115"/>
      <c r="X115"/>
      <c r="Y115"/>
      <c r="Z115"/>
      <c r="AA115"/>
      <c r="AB115"/>
      <c r="AC115"/>
      <c r="AD115"/>
      <c r="AE115"/>
      <c r="AF115"/>
      <c r="AG115"/>
      <c r="AH115"/>
      <c r="AI115"/>
      <c r="AJ115"/>
      <c r="AK115"/>
    </row>
    <row r="116" spans="1:37" s="65" customFormat="1" ht="15.75" x14ac:dyDescent="0.25">
      <c r="A116" s="1064"/>
      <c r="B116" s="683"/>
      <c r="C116" s="950"/>
      <c r="D116" s="950"/>
      <c r="E116" s="950"/>
      <c r="F116" s="950"/>
      <c r="G116" s="985"/>
      <c r="H116" s="985"/>
      <c r="I116" s="985"/>
      <c r="J116" s="985"/>
      <c r="K116" s="985"/>
      <c r="L116" s="985"/>
      <c r="M116" s="985"/>
      <c r="N116" s="985"/>
      <c r="O116" s="985"/>
      <c r="P116" s="985"/>
      <c r="Q116" s="985"/>
      <c r="R116" s="1065"/>
      <c r="S116"/>
      <c r="T116"/>
      <c r="U116"/>
      <c r="V116"/>
      <c r="W116"/>
      <c r="X116"/>
      <c r="Y116"/>
      <c r="Z116"/>
      <c r="AA116"/>
      <c r="AB116"/>
      <c r="AC116"/>
      <c r="AD116"/>
      <c r="AE116"/>
      <c r="AF116"/>
      <c r="AG116"/>
      <c r="AH116"/>
      <c r="AI116"/>
      <c r="AJ116"/>
      <c r="AK116"/>
    </row>
    <row r="117" spans="1:37" s="65" customFormat="1" ht="15.75" x14ac:dyDescent="0.25">
      <c r="A117" s="951"/>
      <c r="B117" s="879" t="s">
        <v>428</v>
      </c>
      <c r="C117" s="683"/>
      <c r="D117" s="683"/>
      <c r="E117" s="683"/>
      <c r="F117" s="683"/>
      <c r="G117" s="683"/>
      <c r="H117" s="683"/>
      <c r="I117" s="683"/>
      <c r="J117" s="952"/>
      <c r="K117" s="683"/>
      <c r="L117" s="683"/>
      <c r="M117" s="683"/>
      <c r="N117" s="950"/>
      <c r="O117" s="683"/>
      <c r="P117" s="683"/>
      <c r="Q117" s="683"/>
      <c r="R117" s="911"/>
      <c r="S117"/>
      <c r="T117"/>
      <c r="U117"/>
      <c r="V117"/>
      <c r="W117"/>
      <c r="X117"/>
      <c r="Y117"/>
      <c r="Z117"/>
      <c r="AA117"/>
      <c r="AB117"/>
      <c r="AC117"/>
      <c r="AD117"/>
      <c r="AE117"/>
      <c r="AF117"/>
      <c r="AG117"/>
      <c r="AH117"/>
      <c r="AI117"/>
      <c r="AJ117"/>
      <c r="AK117"/>
    </row>
    <row r="118" spans="1:37" s="65" customFormat="1" ht="15.75" x14ac:dyDescent="0.25">
      <c r="A118" s="954" t="s">
        <v>161</v>
      </c>
      <c r="B118" s="955"/>
      <c r="C118" s="956"/>
      <c r="D118" s="957" t="s">
        <v>19</v>
      </c>
      <c r="E118" s="958" t="s">
        <v>59</v>
      </c>
      <c r="F118" s="957" t="s">
        <v>27</v>
      </c>
      <c r="G118" s="959" t="s">
        <v>35</v>
      </c>
      <c r="H118" s="960" t="s">
        <v>36</v>
      </c>
      <c r="I118" s="960" t="s">
        <v>35</v>
      </c>
      <c r="J118" s="959" t="s">
        <v>36</v>
      </c>
      <c r="K118" s="959" t="s">
        <v>39</v>
      </c>
      <c r="L118" s="959" t="s">
        <v>40</v>
      </c>
      <c r="M118" s="959" t="s">
        <v>42</v>
      </c>
      <c r="N118" s="1056" t="s">
        <v>2</v>
      </c>
      <c r="O118" s="959" t="s">
        <v>180</v>
      </c>
      <c r="P118" s="961" t="s">
        <v>163</v>
      </c>
      <c r="Q118" s="961" t="s">
        <v>184</v>
      </c>
      <c r="R118" s="962"/>
      <c r="S118"/>
      <c r="T118"/>
      <c r="U118"/>
      <c r="V118"/>
      <c r="W118"/>
      <c r="X118"/>
      <c r="Y118"/>
      <c r="Z118"/>
      <c r="AA118"/>
      <c r="AB118"/>
      <c r="AC118"/>
      <c r="AD118"/>
      <c r="AE118"/>
      <c r="AF118"/>
      <c r="AG118"/>
      <c r="AH118"/>
      <c r="AI118"/>
      <c r="AJ118"/>
      <c r="AK118"/>
    </row>
    <row r="119" spans="1:37" s="65" customFormat="1" ht="15.75" x14ac:dyDescent="0.25">
      <c r="A119" s="1017" t="s">
        <v>28</v>
      </c>
      <c r="B119" s="964" t="s">
        <v>321</v>
      </c>
      <c r="C119" s="965" t="s">
        <v>31</v>
      </c>
      <c r="D119" s="965" t="s">
        <v>30</v>
      </c>
      <c r="E119" s="965" t="s">
        <v>158</v>
      </c>
      <c r="F119" s="966" t="s">
        <v>56</v>
      </c>
      <c r="G119" s="253">
        <v>30092.287</v>
      </c>
      <c r="H119" s="341">
        <v>30655.4581518573</v>
      </c>
      <c r="I119" s="806">
        <v>3.6046999999999998</v>
      </c>
      <c r="J119" s="728">
        <v>3.6046999999999998</v>
      </c>
      <c r="K119" s="253"/>
      <c r="L119" s="253"/>
      <c r="M119" s="253"/>
      <c r="N119" s="557"/>
      <c r="O119" s="557">
        <f>ROUND(G119*I119+H119*J119,2)</f>
        <v>218977.4</v>
      </c>
      <c r="P119" s="557">
        <f>ROUND(37.24%*O119,2)</f>
        <v>81547.179999999993</v>
      </c>
      <c r="Q119" s="557">
        <f>ROUND(R119*P119,2)</f>
        <v>40773.589999999997</v>
      </c>
      <c r="R119" s="775">
        <v>0.5</v>
      </c>
      <c r="S119"/>
      <c r="T119"/>
      <c r="U119"/>
      <c r="V119"/>
      <c r="W119"/>
      <c r="X119"/>
      <c r="Y119"/>
      <c r="Z119"/>
      <c r="AA119"/>
      <c r="AB119"/>
      <c r="AC119"/>
      <c r="AD119"/>
      <c r="AE119"/>
      <c r="AF119"/>
      <c r="AG119"/>
      <c r="AH119"/>
      <c r="AI119"/>
      <c r="AJ119"/>
      <c r="AK119"/>
    </row>
    <row r="120" spans="1:37" s="65" customFormat="1" ht="15.75" x14ac:dyDescent="0.25">
      <c r="A120" s="1018" t="s">
        <v>28</v>
      </c>
      <c r="B120" s="964" t="str">
        <f>B119</f>
        <v>88 Gas Planta Pisco</v>
      </c>
      <c r="C120" s="969" t="s">
        <v>31</v>
      </c>
      <c r="D120" s="970" t="s">
        <v>186</v>
      </c>
      <c r="E120" s="970"/>
      <c r="F120" s="969" t="str">
        <f>F119</f>
        <v xml:space="preserve"> MM BTU</v>
      </c>
      <c r="G120" s="424">
        <f>G119</f>
        <v>30092.287</v>
      </c>
      <c r="H120" s="424">
        <f>H119</f>
        <v>30655.4581518573</v>
      </c>
      <c r="I120" s="1071">
        <v>3.5371999999999999</v>
      </c>
      <c r="J120" s="1071">
        <v>3.5371999999999999</v>
      </c>
      <c r="K120" s="1020"/>
      <c r="L120" s="424"/>
      <c r="M120" s="424"/>
      <c r="N120" s="936"/>
      <c r="O120" s="897">
        <f>ROUND(G120*I120+H120*J120,2)</f>
        <v>214876.92</v>
      </c>
      <c r="P120" s="897">
        <f>ROUND(37.24%*O120,2)</f>
        <v>80020.17</v>
      </c>
      <c r="Q120" s="897">
        <f>ROUND(R120*P120,2)</f>
        <v>40010.089999999997</v>
      </c>
      <c r="R120" s="906">
        <v>0.5</v>
      </c>
      <c r="S120"/>
      <c r="T120"/>
      <c r="U120"/>
      <c r="V120"/>
      <c r="W120"/>
      <c r="X120"/>
      <c r="Y120"/>
      <c r="Z120"/>
      <c r="AA120"/>
      <c r="AB120"/>
      <c r="AC120"/>
      <c r="AD120"/>
      <c r="AE120"/>
      <c r="AF120"/>
      <c r="AG120"/>
      <c r="AH120"/>
      <c r="AI120"/>
      <c r="AJ120"/>
      <c r="AK120"/>
    </row>
    <row r="121" spans="1:37" s="65" customFormat="1" ht="15.75" x14ac:dyDescent="0.25">
      <c r="A121" s="1019"/>
      <c r="B121" s="972" t="s">
        <v>181</v>
      </c>
      <c r="C121" s="973"/>
      <c r="D121" s="974"/>
      <c r="E121" s="974"/>
      <c r="F121" s="971"/>
      <c r="G121" s="975">
        <f t="shared" ref="G121:Q121" si="47">G120-G119</f>
        <v>0</v>
      </c>
      <c r="H121" s="975">
        <f t="shared" si="47"/>
        <v>0</v>
      </c>
      <c r="I121" s="830">
        <f t="shared" si="47"/>
        <v>-6.7499999999999893E-2</v>
      </c>
      <c r="J121" s="830">
        <f t="shared" si="47"/>
        <v>-6.7499999999999893E-2</v>
      </c>
      <c r="K121" s="975">
        <f t="shared" si="47"/>
        <v>0</v>
      </c>
      <c r="L121" s="975">
        <f t="shared" si="47"/>
        <v>0</v>
      </c>
      <c r="M121" s="975">
        <f t="shared" si="47"/>
        <v>0</v>
      </c>
      <c r="N121" s="975">
        <f t="shared" si="47"/>
        <v>0</v>
      </c>
      <c r="O121" s="830">
        <f t="shared" si="47"/>
        <v>-4100.4799999999814</v>
      </c>
      <c r="P121" s="1044">
        <f t="shared" si="47"/>
        <v>-1527.0099999999948</v>
      </c>
      <c r="Q121" s="1044">
        <f t="shared" si="47"/>
        <v>-763.5</v>
      </c>
      <c r="R121" s="976"/>
      <c r="S121" t="s">
        <v>182</v>
      </c>
      <c r="T121"/>
      <c r="U121"/>
      <c r="V121"/>
      <c r="W121"/>
      <c r="X121"/>
      <c r="Y121"/>
      <c r="Z121"/>
      <c r="AA121"/>
      <c r="AB121"/>
      <c r="AC121"/>
      <c r="AD121"/>
      <c r="AE121"/>
      <c r="AF121"/>
      <c r="AG121"/>
      <c r="AH121"/>
      <c r="AI121"/>
      <c r="AJ121"/>
      <c r="AK121"/>
    </row>
    <row r="122" spans="1:37" s="65" customFormat="1" ht="15.75" x14ac:dyDescent="0.25">
      <c r="A122" s="1064"/>
      <c r="B122" s="683"/>
      <c r="C122" s="950"/>
      <c r="D122" s="950"/>
      <c r="E122" s="950"/>
      <c r="F122" s="950"/>
      <c r="G122" s="985"/>
      <c r="H122" s="985"/>
      <c r="I122" s="985"/>
      <c r="J122" s="985"/>
      <c r="K122" s="985"/>
      <c r="L122" s="985"/>
      <c r="M122" s="985"/>
      <c r="N122" s="985"/>
      <c r="O122" s="985"/>
      <c r="P122" s="985"/>
      <c r="Q122" s="985"/>
      <c r="R122" s="1065"/>
      <c r="S122"/>
      <c r="T122"/>
      <c r="U122"/>
      <c r="V122"/>
      <c r="W122"/>
      <c r="X122"/>
      <c r="Y122"/>
      <c r="Z122"/>
      <c r="AA122"/>
      <c r="AB122"/>
      <c r="AC122"/>
      <c r="AD122"/>
      <c r="AE122"/>
      <c r="AF122"/>
      <c r="AG122"/>
      <c r="AH122"/>
      <c r="AI122"/>
      <c r="AJ122"/>
      <c r="AK122"/>
    </row>
    <row r="123" spans="1:37" s="65" customFormat="1" ht="15.75" x14ac:dyDescent="0.25">
      <c r="A123" s="951"/>
      <c r="B123" s="879" t="s">
        <v>430</v>
      </c>
      <c r="C123" s="683"/>
      <c r="D123" s="683"/>
      <c r="E123" s="683"/>
      <c r="F123" s="683"/>
      <c r="G123" s="683"/>
      <c r="H123" s="683"/>
      <c r="I123" s="683"/>
      <c r="J123" s="952"/>
      <c r="K123" s="683"/>
      <c r="L123" s="683"/>
      <c r="M123" s="683"/>
      <c r="N123" s="950"/>
      <c r="O123" s="683"/>
      <c r="P123" s="683"/>
      <c r="Q123" s="683"/>
      <c r="R123" s="911"/>
      <c r="S123"/>
      <c r="T123"/>
      <c r="U123"/>
      <c r="V123"/>
      <c r="W123"/>
      <c r="X123"/>
      <c r="Y123"/>
      <c r="Z123"/>
      <c r="AA123"/>
      <c r="AB123"/>
      <c r="AC123"/>
      <c r="AD123"/>
      <c r="AE123"/>
      <c r="AF123"/>
      <c r="AG123"/>
      <c r="AH123"/>
      <c r="AI123"/>
      <c r="AJ123"/>
      <c r="AK123"/>
    </row>
    <row r="124" spans="1:37" s="65" customFormat="1" ht="15.75" x14ac:dyDescent="0.25">
      <c r="A124" s="954" t="s">
        <v>161</v>
      </c>
      <c r="B124" s="955"/>
      <c r="C124" s="956"/>
      <c r="D124" s="957" t="s">
        <v>19</v>
      </c>
      <c r="E124" s="958" t="s">
        <v>59</v>
      </c>
      <c r="F124" s="957" t="s">
        <v>27</v>
      </c>
      <c r="G124" s="959" t="s">
        <v>35</v>
      </c>
      <c r="H124" s="960" t="s">
        <v>36</v>
      </c>
      <c r="I124" s="960" t="s">
        <v>35</v>
      </c>
      <c r="J124" s="959" t="s">
        <v>36</v>
      </c>
      <c r="K124" s="959" t="s">
        <v>39</v>
      </c>
      <c r="L124" s="959" t="s">
        <v>40</v>
      </c>
      <c r="M124" s="959" t="s">
        <v>42</v>
      </c>
      <c r="N124" s="1056" t="s">
        <v>2</v>
      </c>
      <c r="O124" s="959" t="s">
        <v>180</v>
      </c>
      <c r="P124" s="961" t="s">
        <v>163</v>
      </c>
      <c r="Q124" s="961" t="s">
        <v>184</v>
      </c>
      <c r="R124" s="962"/>
      <c r="S124"/>
      <c r="T124"/>
      <c r="U124"/>
      <c r="V124"/>
      <c r="W124"/>
      <c r="X124"/>
      <c r="Y124"/>
      <c r="Z124"/>
      <c r="AA124"/>
      <c r="AB124"/>
      <c r="AC124"/>
      <c r="AD124"/>
      <c r="AE124"/>
      <c r="AF124"/>
      <c r="AG124"/>
      <c r="AH124"/>
      <c r="AI124"/>
      <c r="AJ124"/>
      <c r="AK124"/>
    </row>
    <row r="125" spans="1:37" s="65" customFormat="1" ht="15.75" x14ac:dyDescent="0.25">
      <c r="A125" s="1017" t="s">
        <v>28</v>
      </c>
      <c r="B125" s="964" t="s">
        <v>322</v>
      </c>
      <c r="C125" s="965" t="s">
        <v>31</v>
      </c>
      <c r="D125" s="965" t="s">
        <v>30</v>
      </c>
      <c r="E125" s="965" t="s">
        <v>158</v>
      </c>
      <c r="F125" s="966" t="s">
        <v>56</v>
      </c>
      <c r="G125" s="253">
        <v>23700.38</v>
      </c>
      <c r="H125" s="341">
        <v>24075.255000000001</v>
      </c>
      <c r="I125" s="806">
        <v>3.6046999999999998</v>
      </c>
      <c r="J125" s="929">
        <v>3.6046999999999998</v>
      </c>
      <c r="K125" s="923"/>
      <c r="L125" s="1024"/>
      <c r="M125" s="441"/>
      <c r="N125" s="441"/>
      <c r="O125" s="557">
        <f>ROUND(G125*I125+H125*J125,2)</f>
        <v>172216.83</v>
      </c>
      <c r="P125" s="557">
        <f>ROUND(37.24%*O125,2)</f>
        <v>64133.55</v>
      </c>
      <c r="Q125" s="557">
        <f>ROUND(R125*P125,2)</f>
        <v>32066.78</v>
      </c>
      <c r="R125" s="1025">
        <v>0.5</v>
      </c>
      <c r="S125"/>
      <c r="T125"/>
      <c r="U125"/>
      <c r="V125"/>
      <c r="W125"/>
      <c r="X125"/>
      <c r="Y125"/>
      <c r="Z125"/>
      <c r="AA125"/>
      <c r="AB125"/>
      <c r="AC125"/>
      <c r="AD125"/>
      <c r="AE125"/>
      <c r="AF125"/>
      <c r="AG125"/>
      <c r="AH125"/>
      <c r="AI125"/>
      <c r="AJ125"/>
      <c r="AK125"/>
    </row>
    <row r="126" spans="1:37" s="65" customFormat="1" ht="15.75" x14ac:dyDescent="0.25">
      <c r="A126" s="1018" t="s">
        <v>28</v>
      </c>
      <c r="B126" s="964" t="str">
        <f>B125</f>
        <v>88 Gas P.Pisco Lt 56</v>
      </c>
      <c r="C126" s="969" t="s">
        <v>31</v>
      </c>
      <c r="D126" s="970" t="s">
        <v>186</v>
      </c>
      <c r="E126" s="970"/>
      <c r="F126" s="969" t="str">
        <f>F125</f>
        <v xml:space="preserve"> MM BTU</v>
      </c>
      <c r="G126" s="424">
        <f>G125</f>
        <v>23700.38</v>
      </c>
      <c r="H126" s="986">
        <f>H125</f>
        <v>24075.255000000001</v>
      </c>
      <c r="I126" s="929">
        <v>3.6025</v>
      </c>
      <c r="J126" s="929">
        <v>3.6025</v>
      </c>
      <c r="K126" s="1020"/>
      <c r="L126" s="424"/>
      <c r="M126" s="424"/>
      <c r="N126" s="936"/>
      <c r="O126" s="897">
        <f>ROUND(G126*I126+H126*J126,2)</f>
        <v>172111.73</v>
      </c>
      <c r="P126" s="897">
        <f>ROUND(37.24%*O126,2)</f>
        <v>64094.41</v>
      </c>
      <c r="Q126" s="897">
        <f>ROUND(R126*P126,2)</f>
        <v>32047.21</v>
      </c>
      <c r="R126" s="1040">
        <v>0.5</v>
      </c>
      <c r="S126"/>
      <c r="T126"/>
      <c r="U126"/>
      <c r="V126"/>
      <c r="W126"/>
      <c r="X126"/>
      <c r="Y126"/>
      <c r="Z126"/>
      <c r="AA126"/>
      <c r="AB126"/>
      <c r="AC126"/>
      <c r="AD126"/>
      <c r="AE126"/>
      <c r="AF126"/>
      <c r="AG126"/>
      <c r="AH126"/>
      <c r="AI126"/>
      <c r="AJ126"/>
      <c r="AK126"/>
    </row>
    <row r="127" spans="1:37" s="65" customFormat="1" ht="15.75" x14ac:dyDescent="0.25">
      <c r="A127" s="1019"/>
      <c r="B127" s="972" t="s">
        <v>181</v>
      </c>
      <c r="C127" s="973"/>
      <c r="D127" s="974"/>
      <c r="E127" s="974"/>
      <c r="F127" s="971"/>
      <c r="G127" s="975">
        <f t="shared" ref="G127:Q127" si="48">G126-G125</f>
        <v>0</v>
      </c>
      <c r="H127" s="975">
        <f t="shared" si="48"/>
        <v>0</v>
      </c>
      <c r="I127" s="975">
        <f t="shared" si="48"/>
        <v>-2.1999999999997577E-3</v>
      </c>
      <c r="J127" s="975">
        <f t="shared" si="48"/>
        <v>-2.1999999999997577E-3</v>
      </c>
      <c r="K127" s="975">
        <f t="shared" si="48"/>
        <v>0</v>
      </c>
      <c r="L127" s="975">
        <f t="shared" si="48"/>
        <v>0</v>
      </c>
      <c r="M127" s="975">
        <f t="shared" si="48"/>
        <v>0</v>
      </c>
      <c r="N127" s="975">
        <f t="shared" si="48"/>
        <v>0</v>
      </c>
      <c r="O127" s="830">
        <f t="shared" si="48"/>
        <v>-105.09999999997672</v>
      </c>
      <c r="P127" s="830">
        <f t="shared" si="48"/>
        <v>-39.139999999999418</v>
      </c>
      <c r="Q127" s="830">
        <f t="shared" si="48"/>
        <v>-19.569999999999709</v>
      </c>
      <c r="R127" s="1021"/>
      <c r="S127" t="s">
        <v>182</v>
      </c>
      <c r="T127"/>
      <c r="U127"/>
      <c r="V127"/>
      <c r="W127"/>
      <c r="X127"/>
      <c r="Y127"/>
      <c r="Z127"/>
      <c r="AA127"/>
      <c r="AB127"/>
      <c r="AC127"/>
      <c r="AD127"/>
      <c r="AE127"/>
      <c r="AF127"/>
      <c r="AG127"/>
      <c r="AH127"/>
      <c r="AI127"/>
      <c r="AJ127"/>
      <c r="AK127"/>
    </row>
    <row r="128" spans="1:37" s="65" customFormat="1" ht="15.75" x14ac:dyDescent="0.25">
      <c r="A128" s="1064"/>
      <c r="B128" s="683"/>
      <c r="C128" s="950"/>
      <c r="D128" s="950"/>
      <c r="E128" s="950"/>
      <c r="F128" s="950"/>
      <c r="G128" s="985"/>
      <c r="H128" s="985"/>
      <c r="I128" s="985"/>
      <c r="J128" s="985"/>
      <c r="K128" s="985"/>
      <c r="L128" s="985"/>
      <c r="M128" s="985"/>
      <c r="N128" s="985"/>
      <c r="O128" s="985"/>
      <c r="P128" s="985"/>
      <c r="Q128" s="985"/>
      <c r="R128" s="1065"/>
      <c r="S128"/>
      <c r="T128"/>
      <c r="U128"/>
      <c r="V128"/>
      <c r="W128"/>
      <c r="X128"/>
      <c r="Y128"/>
      <c r="Z128"/>
      <c r="AA128"/>
      <c r="AB128"/>
      <c r="AC128"/>
      <c r="AD128"/>
      <c r="AE128"/>
      <c r="AF128"/>
      <c r="AG128"/>
      <c r="AH128"/>
      <c r="AI128"/>
      <c r="AJ128"/>
      <c r="AK128"/>
    </row>
    <row r="129" spans="1:37" s="65" customFormat="1" ht="15.75" x14ac:dyDescent="0.25">
      <c r="A129" s="951"/>
      <c r="B129" s="879" t="s">
        <v>403</v>
      </c>
      <c r="C129" s="683"/>
      <c r="D129" s="683"/>
      <c r="E129" s="683"/>
      <c r="F129" s="683"/>
      <c r="G129" s="683"/>
      <c r="H129" s="683"/>
      <c r="I129" s="683"/>
      <c r="J129" s="952"/>
      <c r="K129" s="683"/>
      <c r="L129" s="683"/>
      <c r="M129" s="683"/>
      <c r="N129" s="950"/>
      <c r="O129" s="683"/>
      <c r="P129" s="683"/>
      <c r="Q129" s="683"/>
      <c r="R129" s="911"/>
      <c r="S129"/>
      <c r="T129"/>
      <c r="U129"/>
      <c r="V129"/>
      <c r="W129"/>
      <c r="X129"/>
      <c r="Y129"/>
      <c r="Z129"/>
      <c r="AA129"/>
      <c r="AB129"/>
      <c r="AC129"/>
      <c r="AD129"/>
      <c r="AE129"/>
      <c r="AF129"/>
      <c r="AG129"/>
      <c r="AH129"/>
      <c r="AI129"/>
      <c r="AJ129"/>
      <c r="AK129"/>
    </row>
    <row r="130" spans="1:37" s="65" customFormat="1" ht="15.75" x14ac:dyDescent="0.25">
      <c r="A130" s="954" t="s">
        <v>161</v>
      </c>
      <c r="B130" s="955"/>
      <c r="C130" s="956"/>
      <c r="D130" s="957" t="s">
        <v>19</v>
      </c>
      <c r="E130" s="958" t="s">
        <v>59</v>
      </c>
      <c r="F130" s="957" t="s">
        <v>27</v>
      </c>
      <c r="G130" s="959" t="s">
        <v>35</v>
      </c>
      <c r="H130" s="960" t="s">
        <v>36</v>
      </c>
      <c r="I130" s="960" t="s">
        <v>35</v>
      </c>
      <c r="J130" s="959" t="s">
        <v>36</v>
      </c>
      <c r="K130" s="959" t="s">
        <v>39</v>
      </c>
      <c r="L130" s="959" t="s">
        <v>40</v>
      </c>
      <c r="M130" s="959" t="s">
        <v>42</v>
      </c>
      <c r="N130" s="1056" t="s">
        <v>2</v>
      </c>
      <c r="O130" s="959" t="s">
        <v>180</v>
      </c>
      <c r="P130" s="961" t="s">
        <v>163</v>
      </c>
      <c r="Q130" s="961" t="s">
        <v>184</v>
      </c>
      <c r="R130" s="962"/>
      <c r="S130"/>
      <c r="T130"/>
      <c r="U130"/>
      <c r="V130"/>
      <c r="W130"/>
      <c r="X130"/>
      <c r="Y130"/>
      <c r="Z130"/>
      <c r="AA130"/>
      <c r="AB130"/>
      <c r="AC130"/>
      <c r="AD130"/>
      <c r="AE130"/>
      <c r="AF130"/>
      <c r="AG130"/>
      <c r="AH130"/>
      <c r="AI130"/>
      <c r="AJ130"/>
      <c r="AK130"/>
    </row>
    <row r="131" spans="1:37" s="65" customFormat="1" ht="15.75" x14ac:dyDescent="0.25">
      <c r="A131" s="1017" t="s">
        <v>28</v>
      </c>
      <c r="B131" s="964" t="s">
        <v>322</v>
      </c>
      <c r="C131" s="965" t="s">
        <v>31</v>
      </c>
      <c r="D131" s="965" t="s">
        <v>30</v>
      </c>
      <c r="E131" s="965" t="s">
        <v>158</v>
      </c>
      <c r="F131" s="966" t="s">
        <v>56</v>
      </c>
      <c r="G131" s="253">
        <v>21627.41</v>
      </c>
      <c r="H131" s="341">
        <v>21911.89</v>
      </c>
      <c r="I131" s="806">
        <v>3.6046999999999998</v>
      </c>
      <c r="J131" s="728">
        <v>3.6046999999999998</v>
      </c>
      <c r="K131" s="923"/>
      <c r="L131" s="1024"/>
      <c r="M131" s="441"/>
      <c r="N131" s="441"/>
      <c r="O131" s="557">
        <f>ROUND(G131*I131+H131*J131,2)</f>
        <v>156946.10999999999</v>
      </c>
      <c r="P131" s="557">
        <f>ROUND(37.24%*O131,2)</f>
        <v>58446.73</v>
      </c>
      <c r="Q131" s="557">
        <f>ROUND(R131*P131,2)</f>
        <v>29223.37</v>
      </c>
      <c r="R131" s="1025">
        <v>0.5</v>
      </c>
      <c r="S131"/>
      <c r="T131"/>
      <c r="U131"/>
      <c r="V131"/>
      <c r="W131"/>
      <c r="X131"/>
      <c r="Y131"/>
      <c r="Z131"/>
      <c r="AA131"/>
      <c r="AB131"/>
      <c r="AC131"/>
      <c r="AD131"/>
      <c r="AE131"/>
      <c r="AF131"/>
      <c r="AG131"/>
      <c r="AH131"/>
      <c r="AI131"/>
      <c r="AJ131"/>
      <c r="AK131"/>
    </row>
    <row r="132" spans="1:37" s="65" customFormat="1" ht="15.75" x14ac:dyDescent="0.25">
      <c r="A132" s="1018" t="s">
        <v>28</v>
      </c>
      <c r="B132" s="964" t="str">
        <f>B131</f>
        <v>88 Gas P.Pisco Lt 56</v>
      </c>
      <c r="C132" s="969" t="s">
        <v>31</v>
      </c>
      <c r="D132" s="970" t="s">
        <v>186</v>
      </c>
      <c r="E132" s="970"/>
      <c r="F132" s="969" t="str">
        <f>F131</f>
        <v xml:space="preserve"> MM BTU</v>
      </c>
      <c r="G132" s="424">
        <f>G131</f>
        <v>21627.41</v>
      </c>
      <c r="H132" s="986">
        <f>H131</f>
        <v>21911.89</v>
      </c>
      <c r="I132" s="728">
        <v>3.5371999999999999</v>
      </c>
      <c r="J132" s="929">
        <v>3.5371999999999999</v>
      </c>
      <c r="K132" s="1020"/>
      <c r="L132" s="424"/>
      <c r="M132" s="424"/>
      <c r="N132" s="936"/>
      <c r="O132" s="897">
        <f>ROUND(G132*I132+H132*J132,2)</f>
        <v>154007.21</v>
      </c>
      <c r="P132" s="897">
        <f>ROUND(37.24%*O132,2)</f>
        <v>57352.29</v>
      </c>
      <c r="Q132" s="897">
        <f>ROUND(R132*P132,2)</f>
        <v>28676.15</v>
      </c>
      <c r="R132" s="1040">
        <v>0.5</v>
      </c>
      <c r="S132"/>
      <c r="T132"/>
      <c r="U132"/>
      <c r="V132"/>
      <c r="W132"/>
      <c r="X132"/>
      <c r="Y132"/>
      <c r="Z132"/>
      <c r="AA132"/>
      <c r="AB132"/>
      <c r="AC132"/>
      <c r="AD132"/>
      <c r="AE132"/>
      <c r="AF132"/>
      <c r="AG132"/>
      <c r="AH132"/>
      <c r="AI132"/>
      <c r="AJ132"/>
      <c r="AK132"/>
    </row>
    <row r="133" spans="1:37" s="65" customFormat="1" ht="15.75" x14ac:dyDescent="0.25">
      <c r="A133" s="1019"/>
      <c r="B133" s="972" t="s">
        <v>181</v>
      </c>
      <c r="C133" s="973"/>
      <c r="D133" s="974"/>
      <c r="E133" s="974"/>
      <c r="F133" s="971"/>
      <c r="G133" s="975">
        <f t="shared" ref="G133:Q133" si="49">G132-G131</f>
        <v>0</v>
      </c>
      <c r="H133" s="975">
        <f t="shared" si="49"/>
        <v>0</v>
      </c>
      <c r="I133" s="975">
        <f t="shared" si="49"/>
        <v>-6.7499999999999893E-2</v>
      </c>
      <c r="J133" s="975">
        <f t="shared" si="49"/>
        <v>-6.7499999999999893E-2</v>
      </c>
      <c r="K133" s="975">
        <f t="shared" si="49"/>
        <v>0</v>
      </c>
      <c r="L133" s="975">
        <f t="shared" si="49"/>
        <v>0</v>
      </c>
      <c r="M133" s="975">
        <f t="shared" si="49"/>
        <v>0</v>
      </c>
      <c r="N133" s="975">
        <f t="shared" si="49"/>
        <v>0</v>
      </c>
      <c r="O133" s="830">
        <f t="shared" si="49"/>
        <v>-2938.8999999999942</v>
      </c>
      <c r="P133" s="830">
        <f t="shared" si="49"/>
        <v>-1094.4400000000023</v>
      </c>
      <c r="Q133" s="830">
        <f t="shared" si="49"/>
        <v>-547.21999999999753</v>
      </c>
      <c r="R133" s="1021"/>
      <c r="S133" t="s">
        <v>182</v>
      </c>
      <c r="T133"/>
      <c r="U133"/>
      <c r="V133"/>
      <c r="W133"/>
      <c r="X133"/>
      <c r="Y133"/>
      <c r="Z133"/>
      <c r="AA133"/>
      <c r="AB133"/>
      <c r="AC133"/>
      <c r="AD133"/>
      <c r="AE133"/>
      <c r="AF133"/>
      <c r="AG133"/>
      <c r="AH133"/>
      <c r="AI133"/>
      <c r="AJ133"/>
      <c r="AK133"/>
    </row>
    <row r="134" spans="1:37" s="65" customFormat="1" ht="15.75" x14ac:dyDescent="0.25">
      <c r="A134" s="1064"/>
      <c r="B134" s="683"/>
      <c r="C134" s="950"/>
      <c r="D134" s="950"/>
      <c r="E134" s="950"/>
      <c r="F134" s="950"/>
      <c r="G134" s="985"/>
      <c r="H134" s="985"/>
      <c r="I134" s="985"/>
      <c r="J134" s="985"/>
      <c r="K134" s="985"/>
      <c r="L134" s="985"/>
      <c r="M134" s="985"/>
      <c r="N134" s="985"/>
      <c r="O134" s="985"/>
      <c r="P134" s="985"/>
      <c r="Q134" s="985"/>
      <c r="R134" s="1065"/>
      <c r="S134"/>
      <c r="T134"/>
      <c r="U134"/>
      <c r="V134"/>
      <c r="W134"/>
      <c r="X134"/>
      <c r="Y134"/>
      <c r="Z134"/>
      <c r="AA134"/>
      <c r="AB134"/>
      <c r="AC134"/>
      <c r="AD134"/>
      <c r="AE134"/>
      <c r="AF134"/>
      <c r="AG134"/>
      <c r="AH134"/>
      <c r="AI134"/>
      <c r="AJ134"/>
      <c r="AK134"/>
    </row>
    <row r="135" spans="1:37" s="65" customFormat="1" ht="15.75" x14ac:dyDescent="0.25">
      <c r="A135" s="951"/>
      <c r="B135" s="879" t="s">
        <v>428</v>
      </c>
      <c r="C135" s="683"/>
      <c r="D135" s="683"/>
      <c r="E135" s="683"/>
      <c r="F135" s="683"/>
      <c r="G135" s="683"/>
      <c r="H135" s="683"/>
      <c r="I135" s="683"/>
      <c r="J135" s="952"/>
      <c r="K135" s="683"/>
      <c r="L135" s="683"/>
      <c r="M135" s="683"/>
      <c r="N135" s="950"/>
      <c r="O135" s="683"/>
      <c r="P135" s="683"/>
      <c r="Q135" s="683"/>
      <c r="R135" s="911"/>
      <c r="S135" s="683"/>
      <c r="T135" s="912"/>
      <c r="U135"/>
      <c r="V135"/>
      <c r="W135"/>
      <c r="X135"/>
      <c r="Y135"/>
      <c r="Z135"/>
      <c r="AA135"/>
      <c r="AB135"/>
      <c r="AC135"/>
      <c r="AD135"/>
      <c r="AE135"/>
      <c r="AF135"/>
      <c r="AG135"/>
      <c r="AH135"/>
      <c r="AI135"/>
      <c r="AJ135"/>
      <c r="AK135"/>
    </row>
    <row r="136" spans="1:37" s="65" customFormat="1" ht="15.75" x14ac:dyDescent="0.25">
      <c r="A136" s="977" t="s">
        <v>312</v>
      </c>
      <c r="B136" s="955"/>
      <c r="C136" s="956"/>
      <c r="D136" s="957" t="s">
        <v>19</v>
      </c>
      <c r="E136" s="958" t="s">
        <v>59</v>
      </c>
      <c r="F136" s="957" t="s">
        <v>27</v>
      </c>
      <c r="G136" s="959" t="s">
        <v>35</v>
      </c>
      <c r="H136" s="960" t="s">
        <v>36</v>
      </c>
      <c r="I136" s="960" t="s">
        <v>35</v>
      </c>
      <c r="J136" s="959" t="s">
        <v>36</v>
      </c>
      <c r="K136" s="959" t="s">
        <v>39</v>
      </c>
      <c r="L136" s="959" t="s">
        <v>40</v>
      </c>
      <c r="M136" s="959" t="s">
        <v>42</v>
      </c>
      <c r="N136" s="1056" t="s">
        <v>2</v>
      </c>
      <c r="O136" s="959" t="s">
        <v>180</v>
      </c>
      <c r="P136" s="961" t="s">
        <v>313</v>
      </c>
      <c r="Q136" s="961" t="s">
        <v>43</v>
      </c>
      <c r="R136" s="962"/>
      <c r="S136" s="1196" t="s">
        <v>44</v>
      </c>
      <c r="T136" s="1197"/>
      <c r="U136"/>
      <c r="V136"/>
      <c r="W136"/>
      <c r="X136"/>
      <c r="Y136"/>
      <c r="Z136"/>
      <c r="AA136"/>
      <c r="AB136"/>
      <c r="AC136"/>
      <c r="AD136"/>
      <c r="AE136"/>
      <c r="AF136"/>
      <c r="AG136"/>
      <c r="AH136"/>
      <c r="AI136"/>
      <c r="AJ136"/>
      <c r="AK136"/>
    </row>
    <row r="137" spans="1:37" ht="15.75" x14ac:dyDescent="0.25">
      <c r="A137" s="963" t="s">
        <v>28</v>
      </c>
      <c r="B137" s="445" t="s">
        <v>380</v>
      </c>
      <c r="C137" s="979" t="s">
        <v>31</v>
      </c>
      <c r="D137" s="980" t="s">
        <v>30</v>
      </c>
      <c r="E137" s="980" t="s">
        <v>101</v>
      </c>
      <c r="F137" s="979" t="s">
        <v>56</v>
      </c>
      <c r="G137" s="215">
        <v>96341.181287746906</v>
      </c>
      <c r="H137" s="215">
        <v>97526.11</v>
      </c>
      <c r="I137" s="217">
        <v>2.9306999999999999</v>
      </c>
      <c r="J137" s="217">
        <v>2.9306999999999999</v>
      </c>
      <c r="K137" s="253"/>
      <c r="L137" s="253"/>
      <c r="M137" s="253"/>
      <c r="N137" s="557"/>
      <c r="O137" s="589">
        <f>ROUND(G137*I137,2)+ROUND(H137*J137,2)-K137-L137-M137-N137</f>
        <v>568166.87</v>
      </c>
      <c r="P137" s="253">
        <f>ROUND(18.75%*O137,2)</f>
        <v>106531.29</v>
      </c>
      <c r="Q137" s="253">
        <f>ROUND($O137*R137,2)</f>
        <v>85225.03</v>
      </c>
      <c r="R137" s="590">
        <v>0.15</v>
      </c>
      <c r="S137" s="253">
        <f>ROUND($O137*T137,2)</f>
        <v>21306.26</v>
      </c>
      <c r="T137" s="591">
        <v>3.7499999999999999E-2</v>
      </c>
      <c r="U137"/>
      <c r="V137"/>
      <c r="W137"/>
      <c r="X137"/>
      <c r="Y137"/>
      <c r="Z137"/>
      <c r="AA137"/>
      <c r="AB137"/>
      <c r="AC137"/>
      <c r="AD137"/>
      <c r="AE137"/>
      <c r="AF137"/>
      <c r="AG137"/>
      <c r="AH137"/>
      <c r="AI137"/>
      <c r="AJ137"/>
      <c r="AK137"/>
    </row>
    <row r="138" spans="1:37" s="65" customFormat="1" ht="15" customHeight="1" x14ac:dyDescent="0.25">
      <c r="A138" s="967" t="s">
        <v>28</v>
      </c>
      <c r="B138" s="981" t="str">
        <f>B137</f>
        <v>III Gas</v>
      </c>
      <c r="C138" s="965" t="s">
        <v>31</v>
      </c>
      <c r="D138" s="970" t="s">
        <v>186</v>
      </c>
      <c r="E138" s="970"/>
      <c r="F138" s="969" t="str">
        <f>F137</f>
        <v xml:space="preserve"> MM BTU</v>
      </c>
      <c r="G138" s="936">
        <f>G137</f>
        <v>96341.181287746906</v>
      </c>
      <c r="H138" s="936">
        <f>H137</f>
        <v>97526.11</v>
      </c>
      <c r="I138" s="588">
        <v>2.9276</v>
      </c>
      <c r="J138" s="588">
        <v>2.9276</v>
      </c>
      <c r="K138" s="557"/>
      <c r="L138" s="557"/>
      <c r="M138" s="934"/>
      <c r="N138" s="934"/>
      <c r="O138" s="589">
        <f>ROUND(G138*I138,2)+ROUND(H138*J138,2)-K138-L138-M138-N138</f>
        <v>567565.88</v>
      </c>
      <c r="P138" s="253">
        <f>ROUND(18.75%*O138,2)</f>
        <v>106418.6</v>
      </c>
      <c r="Q138" s="253">
        <f>ROUND($O138*R138,2)</f>
        <v>85134.88</v>
      </c>
      <c r="R138" s="982">
        <v>0.15</v>
      </c>
      <c r="S138" s="557">
        <f>ROUND($O138*T138,2)</f>
        <v>21283.72</v>
      </c>
      <c r="T138" s="983">
        <v>3.7499999999999999E-2</v>
      </c>
      <c r="U138"/>
      <c r="V138"/>
      <c r="W138"/>
      <c r="X138"/>
      <c r="Y138"/>
      <c r="Z138"/>
      <c r="AA138"/>
      <c r="AB138"/>
      <c r="AC138"/>
      <c r="AD138"/>
      <c r="AE138"/>
      <c r="AF138"/>
      <c r="AG138"/>
      <c r="AH138"/>
      <c r="AI138"/>
      <c r="AJ138"/>
      <c r="AK138"/>
    </row>
    <row r="139" spans="1:37" s="65" customFormat="1" ht="14.85" customHeight="1" x14ac:dyDescent="0.25">
      <c r="A139" s="971"/>
      <c r="B139" s="972" t="s">
        <v>181</v>
      </c>
      <c r="C139" s="973"/>
      <c r="D139" s="974"/>
      <c r="E139" s="974"/>
      <c r="F139" s="971"/>
      <c r="G139" s="975">
        <f t="shared" ref="G139:Q139" si="50">G138-G137</f>
        <v>0</v>
      </c>
      <c r="H139" s="975">
        <f t="shared" si="50"/>
        <v>0</v>
      </c>
      <c r="I139" s="830">
        <f t="shared" si="50"/>
        <v>-3.0999999999998806E-3</v>
      </c>
      <c r="J139" s="830">
        <f t="shared" si="50"/>
        <v>-3.0999999999998806E-3</v>
      </c>
      <c r="K139" s="900">
        <f t="shared" si="50"/>
        <v>0</v>
      </c>
      <c r="L139" s="900">
        <f t="shared" si="50"/>
        <v>0</v>
      </c>
      <c r="M139" s="900">
        <f t="shared" si="50"/>
        <v>0</v>
      </c>
      <c r="N139" s="900">
        <f t="shared" si="50"/>
        <v>0</v>
      </c>
      <c r="O139" s="830">
        <f t="shared" si="50"/>
        <v>-600.98999999999069</v>
      </c>
      <c r="P139" s="830">
        <f t="shared" si="50"/>
        <v>-112.68999999998778</v>
      </c>
      <c r="Q139" s="830">
        <f t="shared" si="50"/>
        <v>-90.149999999994179</v>
      </c>
      <c r="R139" s="830"/>
      <c r="S139" s="830">
        <f>S138-S137</f>
        <v>-22.539999999997235</v>
      </c>
      <c r="T139" s="830"/>
      <c r="U139"/>
      <c r="V139"/>
      <c r="W139"/>
      <c r="X139"/>
      <c r="Y139"/>
      <c r="Z139"/>
      <c r="AA139"/>
      <c r="AB139"/>
      <c r="AC139"/>
      <c r="AD139"/>
      <c r="AE139"/>
      <c r="AF139"/>
      <c r="AG139"/>
      <c r="AH139"/>
      <c r="AI139" t="s">
        <v>182</v>
      </c>
      <c r="AJ139"/>
      <c r="AK139"/>
    </row>
    <row r="140" spans="1:37" s="65" customFormat="1" ht="14.85" customHeight="1" x14ac:dyDescent="0.25">
      <c r="A140" s="950"/>
      <c r="B140" s="683"/>
      <c r="C140" s="950"/>
      <c r="D140" s="950"/>
      <c r="E140" s="950"/>
      <c r="F140" s="950"/>
      <c r="G140" s="985"/>
      <c r="H140" s="985"/>
      <c r="I140" s="985"/>
      <c r="J140" s="985"/>
      <c r="K140" s="950"/>
      <c r="L140" s="950"/>
      <c r="M140" s="950"/>
      <c r="N140" s="950"/>
      <c r="O140" s="985"/>
      <c r="P140" s="985"/>
      <c r="Q140" s="985"/>
      <c r="R140" s="985"/>
      <c r="S140" s="985"/>
      <c r="T140" s="985"/>
      <c r="U140"/>
      <c r="V140"/>
      <c r="W140"/>
      <c r="X140"/>
      <c r="Y140"/>
      <c r="Z140"/>
      <c r="AA140"/>
      <c r="AB140"/>
      <c r="AC140"/>
      <c r="AD140"/>
      <c r="AE140"/>
      <c r="AF140"/>
      <c r="AG140"/>
      <c r="AH140"/>
      <c r="AI140"/>
      <c r="AJ140"/>
      <c r="AK140"/>
    </row>
    <row r="141" spans="1:37" s="65" customFormat="1" ht="15.75" x14ac:dyDescent="0.25">
      <c r="A141" s="951"/>
      <c r="B141" s="879" t="s">
        <v>428</v>
      </c>
      <c r="C141" s="683"/>
      <c r="D141" s="683"/>
      <c r="E141" s="683"/>
      <c r="F141" s="683"/>
      <c r="G141" s="683"/>
      <c r="H141" s="683"/>
      <c r="I141" s="683"/>
      <c r="J141" s="952"/>
      <c r="K141" s="683"/>
      <c r="L141" s="683"/>
      <c r="M141" s="683"/>
      <c r="N141" s="950"/>
      <c r="O141" s="683"/>
      <c r="P141" s="683"/>
      <c r="Q141" s="683"/>
      <c r="R141" s="911"/>
      <c r="S141" s="683"/>
      <c r="T141" s="912"/>
      <c r="U141"/>
      <c r="V141"/>
      <c r="W141"/>
      <c r="X141"/>
      <c r="Y141"/>
      <c r="Z141"/>
      <c r="AA141"/>
      <c r="AB141"/>
      <c r="AC141"/>
      <c r="AD141"/>
      <c r="AE141"/>
      <c r="AF141"/>
      <c r="AG141"/>
      <c r="AH141"/>
      <c r="AI141"/>
      <c r="AJ141"/>
      <c r="AK141"/>
    </row>
    <row r="142" spans="1:37" s="65" customFormat="1" ht="15.75" x14ac:dyDescent="0.25">
      <c r="A142" s="977" t="s">
        <v>312</v>
      </c>
      <c r="B142" s="955"/>
      <c r="C142" s="956"/>
      <c r="D142" s="957" t="s">
        <v>19</v>
      </c>
      <c r="E142" s="958" t="s">
        <v>59</v>
      </c>
      <c r="F142" s="957" t="s">
        <v>27</v>
      </c>
      <c r="G142" s="959" t="s">
        <v>35</v>
      </c>
      <c r="H142" s="960" t="s">
        <v>36</v>
      </c>
      <c r="I142" s="960" t="s">
        <v>35</v>
      </c>
      <c r="J142" s="959" t="s">
        <v>36</v>
      </c>
      <c r="K142" s="959" t="s">
        <v>39</v>
      </c>
      <c r="L142" s="959" t="s">
        <v>40</v>
      </c>
      <c r="M142" s="959" t="s">
        <v>42</v>
      </c>
      <c r="N142" s="1056" t="s">
        <v>2</v>
      </c>
      <c r="O142" s="959" t="s">
        <v>180</v>
      </c>
      <c r="P142" s="961" t="s">
        <v>313</v>
      </c>
      <c r="Q142" s="961" t="s">
        <v>43</v>
      </c>
      <c r="R142" s="962"/>
      <c r="S142" s="1196" t="s">
        <v>44</v>
      </c>
      <c r="T142" s="1197"/>
      <c r="U142"/>
      <c r="V142"/>
      <c r="W142"/>
      <c r="X142"/>
      <c r="Y142"/>
      <c r="Z142"/>
      <c r="AA142"/>
      <c r="AB142"/>
      <c r="AC142"/>
      <c r="AD142"/>
      <c r="AE142"/>
      <c r="AF142"/>
      <c r="AG142"/>
      <c r="AH142"/>
      <c r="AI142"/>
      <c r="AJ142"/>
      <c r="AK142"/>
    </row>
    <row r="143" spans="1:37" ht="15.75" x14ac:dyDescent="0.25">
      <c r="A143" s="963" t="s">
        <v>28</v>
      </c>
      <c r="B143" s="445" t="s">
        <v>365</v>
      </c>
      <c r="C143" s="979" t="s">
        <v>31</v>
      </c>
      <c r="D143" s="980" t="s">
        <v>30</v>
      </c>
      <c r="E143" s="980" t="s">
        <v>101</v>
      </c>
      <c r="F143" s="979" t="s">
        <v>56</v>
      </c>
      <c r="G143" s="215">
        <v>68601.658298564405</v>
      </c>
      <c r="H143" s="215">
        <v>64608.4011031751</v>
      </c>
      <c r="I143" s="217">
        <v>2.8281999999999998</v>
      </c>
      <c r="J143" s="217">
        <v>2.8281999999999998</v>
      </c>
      <c r="K143" s="253"/>
      <c r="L143" s="253"/>
      <c r="M143" s="253"/>
      <c r="N143" s="557"/>
      <c r="O143" s="589">
        <f>ROUND(G143*I143,2)+ROUND(H143*J143,2)-K143-L143-M143-N143</f>
        <v>376744.69</v>
      </c>
      <c r="P143" s="253">
        <f>ROUND(18.75%*O143,2)</f>
        <v>70639.63</v>
      </c>
      <c r="Q143" s="253">
        <f>ROUND($O143*R143,2)</f>
        <v>56511.7</v>
      </c>
      <c r="R143" s="590">
        <v>0.15</v>
      </c>
      <c r="S143" s="253">
        <f>ROUND($O143*T143,2)</f>
        <v>14127.93</v>
      </c>
      <c r="T143" s="591">
        <v>3.7499999999999999E-2</v>
      </c>
      <c r="U143"/>
      <c r="V143"/>
      <c r="W143"/>
      <c r="X143"/>
      <c r="Y143"/>
      <c r="Z143"/>
      <c r="AA143"/>
      <c r="AB143"/>
      <c r="AC143"/>
      <c r="AD143"/>
      <c r="AE143"/>
      <c r="AF143"/>
      <c r="AG143"/>
      <c r="AH143"/>
      <c r="AI143"/>
      <c r="AJ143"/>
      <c r="AK143"/>
    </row>
    <row r="144" spans="1:37" s="65" customFormat="1" ht="15" customHeight="1" x14ac:dyDescent="0.25">
      <c r="A144" s="967" t="s">
        <v>28</v>
      </c>
      <c r="B144" s="981" t="str">
        <f>B143</f>
        <v>IV Gas</v>
      </c>
      <c r="C144" s="965" t="s">
        <v>31</v>
      </c>
      <c r="D144" s="970" t="s">
        <v>186</v>
      </c>
      <c r="E144" s="970"/>
      <c r="F144" s="969" t="str">
        <f>F143</f>
        <v xml:space="preserve"> MM BTU</v>
      </c>
      <c r="G144" s="936">
        <f>G143</f>
        <v>68601.658298564405</v>
      </c>
      <c r="H144" s="936">
        <f>H143</f>
        <v>64608.4011031751</v>
      </c>
      <c r="I144" s="588">
        <v>2.8389000000000002</v>
      </c>
      <c r="J144" s="588">
        <v>2.8389000000000002</v>
      </c>
      <c r="K144" s="557"/>
      <c r="L144" s="557"/>
      <c r="M144" s="934"/>
      <c r="N144" s="934"/>
      <c r="O144" s="934">
        <f>ROUND(G144*I144,2)+ROUND(H144*J144,2)-K144-L144-M144-N144</f>
        <v>378170.04000000004</v>
      </c>
      <c r="P144" s="557">
        <f>ROUND(18.75%*O144,2)</f>
        <v>70906.880000000005</v>
      </c>
      <c r="Q144" s="557">
        <f>ROUND($O144*R144,2)</f>
        <v>56725.51</v>
      </c>
      <c r="R144" s="982">
        <v>0.15</v>
      </c>
      <c r="S144" s="557">
        <f>ROUND($O144*T144,2)</f>
        <v>14181.38</v>
      </c>
      <c r="T144" s="983">
        <v>3.7499999999999999E-2</v>
      </c>
      <c r="U144"/>
      <c r="V144"/>
      <c r="W144"/>
      <c r="X144"/>
      <c r="Y144"/>
      <c r="Z144"/>
      <c r="AA144"/>
      <c r="AB144"/>
      <c r="AC144"/>
      <c r="AD144"/>
      <c r="AE144"/>
      <c r="AF144"/>
      <c r="AG144"/>
      <c r="AH144"/>
      <c r="AI144"/>
      <c r="AJ144"/>
      <c r="AK144"/>
    </row>
    <row r="145" spans="1:37" s="65" customFormat="1" ht="14.85" customHeight="1" x14ac:dyDescent="0.25">
      <c r="A145" s="971"/>
      <c r="B145" s="972" t="s">
        <v>181</v>
      </c>
      <c r="C145" s="973"/>
      <c r="D145" s="974"/>
      <c r="E145" s="974"/>
      <c r="F145" s="971"/>
      <c r="G145" s="975">
        <f t="shared" ref="G145:Q145" si="51">G144-G143</f>
        <v>0</v>
      </c>
      <c r="H145" s="975">
        <f t="shared" si="51"/>
        <v>0</v>
      </c>
      <c r="I145" s="830">
        <f t="shared" si="51"/>
        <v>1.0700000000000376E-2</v>
      </c>
      <c r="J145" s="830">
        <f t="shared" si="51"/>
        <v>1.0700000000000376E-2</v>
      </c>
      <c r="K145" s="900">
        <f t="shared" si="51"/>
        <v>0</v>
      </c>
      <c r="L145" s="900">
        <f t="shared" si="51"/>
        <v>0</v>
      </c>
      <c r="M145" s="900">
        <f t="shared" si="51"/>
        <v>0</v>
      </c>
      <c r="N145" s="900">
        <f t="shared" si="51"/>
        <v>0</v>
      </c>
      <c r="O145" s="830">
        <f t="shared" si="51"/>
        <v>1425.3500000000349</v>
      </c>
      <c r="P145" s="830">
        <f t="shared" si="51"/>
        <v>267.25</v>
      </c>
      <c r="Q145" s="830">
        <f t="shared" si="51"/>
        <v>213.81000000000495</v>
      </c>
      <c r="R145" s="830"/>
      <c r="S145" s="830">
        <f>S144-S143</f>
        <v>53.449999999998909</v>
      </c>
      <c r="T145" s="830"/>
      <c r="U145"/>
      <c r="V145"/>
      <c r="W145"/>
      <c r="X145"/>
      <c r="Y145"/>
      <c r="Z145"/>
      <c r="AA145"/>
      <c r="AB145"/>
      <c r="AC145"/>
      <c r="AD145"/>
      <c r="AE145"/>
      <c r="AF145"/>
      <c r="AG145"/>
      <c r="AH145"/>
      <c r="AI145"/>
      <c r="AJ145"/>
      <c r="AK145"/>
    </row>
    <row r="146" spans="1:37" s="596" customFormat="1" ht="15.75"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row>
    <row r="147" spans="1:37" ht="15.75"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row>
    <row r="148" spans="1:37" s="65" customFormat="1" ht="15.75" x14ac:dyDescent="0.25">
      <c r="A148" s="951"/>
      <c r="B148" s="879" t="s">
        <v>428</v>
      </c>
      <c r="C148" s="683"/>
      <c r="D148" s="683"/>
      <c r="E148" s="683"/>
      <c r="F148" s="683"/>
      <c r="G148" s="683"/>
      <c r="H148" s="683"/>
      <c r="I148" s="683"/>
      <c r="J148" s="952"/>
      <c r="K148" s="683"/>
      <c r="L148" s="683"/>
      <c r="M148" s="683"/>
      <c r="N148" s="950"/>
      <c r="O148" s="683"/>
      <c r="P148" s="683"/>
      <c r="Q148" s="683"/>
      <c r="R148" s="911"/>
      <c r="S148" s="683"/>
      <c r="T148" s="912"/>
      <c r="U148"/>
      <c r="V148"/>
      <c r="W148"/>
      <c r="X148"/>
      <c r="Y148"/>
      <c r="Z148"/>
      <c r="AA148"/>
      <c r="AB148"/>
      <c r="AC148"/>
      <c r="AD148"/>
      <c r="AE148"/>
      <c r="AF148"/>
      <c r="AG148"/>
      <c r="AH148"/>
      <c r="AI148"/>
      <c r="AJ148"/>
      <c r="AK148"/>
    </row>
    <row r="149" spans="1:37" s="65" customFormat="1" ht="15.75" x14ac:dyDescent="0.25">
      <c r="A149" s="977" t="s">
        <v>312</v>
      </c>
      <c r="B149" s="955"/>
      <c r="C149" s="956"/>
      <c r="D149" s="957" t="s">
        <v>19</v>
      </c>
      <c r="E149" s="958" t="s">
        <v>59</v>
      </c>
      <c r="F149" s="957" t="s">
        <v>27</v>
      </c>
      <c r="G149" s="959" t="s">
        <v>35</v>
      </c>
      <c r="H149" s="960" t="s">
        <v>36</v>
      </c>
      <c r="I149" s="960" t="s">
        <v>35</v>
      </c>
      <c r="J149" s="959" t="s">
        <v>36</v>
      </c>
      <c r="K149" s="959" t="s">
        <v>39</v>
      </c>
      <c r="L149" s="959" t="s">
        <v>40</v>
      </c>
      <c r="M149" s="959" t="s">
        <v>42</v>
      </c>
      <c r="N149" s="1056" t="s">
        <v>2</v>
      </c>
      <c r="O149" s="959" t="s">
        <v>180</v>
      </c>
      <c r="P149" s="961" t="s">
        <v>313</v>
      </c>
      <c r="Q149" s="961" t="s">
        <v>43</v>
      </c>
      <c r="R149" s="962"/>
      <c r="S149" s="1196" t="s">
        <v>44</v>
      </c>
      <c r="T149" s="1197"/>
      <c r="U149"/>
      <c r="V149"/>
      <c r="W149"/>
      <c r="X149"/>
      <c r="Y149"/>
      <c r="Z149"/>
      <c r="AA149"/>
      <c r="AB149"/>
      <c r="AC149"/>
      <c r="AD149"/>
      <c r="AE149"/>
      <c r="AF149"/>
      <c r="AG149"/>
      <c r="AH149"/>
      <c r="AI149"/>
      <c r="AJ149"/>
      <c r="AK149"/>
    </row>
    <row r="150" spans="1:37" s="65" customFormat="1" ht="15.75" x14ac:dyDescent="0.25">
      <c r="A150" s="963" t="s">
        <v>28</v>
      </c>
      <c r="B150" s="978" t="s">
        <v>335</v>
      </c>
      <c r="C150" s="979" t="s">
        <v>31</v>
      </c>
      <c r="D150" s="980" t="s">
        <v>30</v>
      </c>
      <c r="E150" s="980" t="s">
        <v>101</v>
      </c>
      <c r="F150" s="979" t="s">
        <v>56</v>
      </c>
      <c r="G150" s="215">
        <v>12037</v>
      </c>
      <c r="H150" s="215">
        <v>11987</v>
      </c>
      <c r="I150" s="217">
        <v>61.480800000000002</v>
      </c>
      <c r="J150" s="217">
        <v>63.402700000000003</v>
      </c>
      <c r="K150" s="253"/>
      <c r="L150" s="253"/>
      <c r="M150" s="253"/>
      <c r="N150" s="557"/>
      <c r="O150" s="589">
        <f>ROUND(G150*I150,2)+ROUND(H150*J150,2)-K150-L150-M150-N150</f>
        <v>1500052.55</v>
      </c>
      <c r="P150" s="253">
        <f>ROUND(18.75%*O150,2)</f>
        <v>281259.84999999998</v>
      </c>
      <c r="Q150" s="253">
        <f>ROUND($O150*R150,2)</f>
        <v>225007.88</v>
      </c>
      <c r="R150" s="590">
        <v>0.15</v>
      </c>
      <c r="S150" s="253">
        <f>ROUND($O150*T150,2)</f>
        <v>56251.97</v>
      </c>
      <c r="T150" s="591">
        <v>3.7499999999999999E-2</v>
      </c>
      <c r="U150"/>
      <c r="V150"/>
      <c r="W150"/>
      <c r="X150"/>
      <c r="Y150"/>
      <c r="Z150"/>
      <c r="AA150"/>
      <c r="AB150"/>
      <c r="AC150"/>
      <c r="AD150"/>
      <c r="AE150"/>
      <c r="AF150"/>
      <c r="AG150"/>
      <c r="AH150"/>
      <c r="AI150"/>
      <c r="AJ150"/>
      <c r="AK150"/>
    </row>
    <row r="151" spans="1:37" s="65" customFormat="1" ht="15.75" x14ac:dyDescent="0.25">
      <c r="A151" s="967" t="s">
        <v>28</v>
      </c>
      <c r="B151" s="981" t="str">
        <f>B150</f>
        <v>XIII Petroleo</v>
      </c>
      <c r="C151" s="965" t="s">
        <v>31</v>
      </c>
      <c r="D151" s="970" t="s">
        <v>186</v>
      </c>
      <c r="E151" s="970"/>
      <c r="F151" s="969" t="str">
        <f>F150</f>
        <v xml:space="preserve"> MM BTU</v>
      </c>
      <c r="G151" s="936">
        <f>G150</f>
        <v>12037</v>
      </c>
      <c r="H151" s="936">
        <f>H150</f>
        <v>11987</v>
      </c>
      <c r="I151" s="588">
        <v>61.4208</v>
      </c>
      <c r="J151" s="588">
        <v>60.4527</v>
      </c>
      <c r="K151" s="557"/>
      <c r="L151" s="557"/>
      <c r="M151" s="934"/>
      <c r="N151" s="934"/>
      <c r="O151" s="934">
        <f>ROUND(G151*I151,2)+ROUND(H151*J151,2)-K151-L151-M151-N151</f>
        <v>1463968.6800000002</v>
      </c>
      <c r="P151" s="557">
        <f>ROUND(18.75%*O151,2)</f>
        <v>274494.13</v>
      </c>
      <c r="Q151" s="557">
        <f>ROUND($O151*R151,2)</f>
        <v>219595.3</v>
      </c>
      <c r="R151" s="982">
        <v>0.15</v>
      </c>
      <c r="S151" s="557">
        <f>ROUND($O151*T151,2)</f>
        <v>54898.83</v>
      </c>
      <c r="T151" s="983">
        <v>3.7499999999999999E-2</v>
      </c>
      <c r="U151"/>
      <c r="V151"/>
      <c r="W151"/>
      <c r="X151"/>
      <c r="Y151"/>
      <c r="Z151"/>
      <c r="AA151"/>
      <c r="AB151"/>
      <c r="AC151"/>
      <c r="AD151"/>
      <c r="AE151"/>
      <c r="AF151"/>
      <c r="AG151"/>
      <c r="AH151"/>
      <c r="AI151"/>
      <c r="AJ151"/>
      <c r="AK151"/>
    </row>
    <row r="152" spans="1:37" s="65" customFormat="1" ht="15.75" x14ac:dyDescent="0.25">
      <c r="A152" s="971"/>
      <c r="B152" s="972" t="s">
        <v>181</v>
      </c>
      <c r="C152" s="973"/>
      <c r="D152" s="974"/>
      <c r="E152" s="974"/>
      <c r="F152" s="971"/>
      <c r="G152" s="975">
        <f t="shared" ref="G152:Q152" si="52">G151-G150</f>
        <v>0</v>
      </c>
      <c r="H152" s="975">
        <f t="shared" si="52"/>
        <v>0</v>
      </c>
      <c r="I152" s="830">
        <f t="shared" si="52"/>
        <v>-6.0000000000002274E-2</v>
      </c>
      <c r="J152" s="830">
        <f t="shared" si="52"/>
        <v>-2.9500000000000028</v>
      </c>
      <c r="K152" s="900">
        <f t="shared" si="52"/>
        <v>0</v>
      </c>
      <c r="L152" s="900">
        <f t="shared" si="52"/>
        <v>0</v>
      </c>
      <c r="M152" s="900">
        <f t="shared" si="52"/>
        <v>0</v>
      </c>
      <c r="N152" s="900">
        <f t="shared" si="52"/>
        <v>0</v>
      </c>
      <c r="O152" s="830">
        <f t="shared" si="52"/>
        <v>-36083.869999999879</v>
      </c>
      <c r="P152" s="830">
        <f t="shared" si="52"/>
        <v>-6765.7199999999721</v>
      </c>
      <c r="Q152" s="830">
        <f t="shared" si="52"/>
        <v>-5412.5800000000163</v>
      </c>
      <c r="R152" s="830"/>
      <c r="S152" s="830">
        <f>S151-S150</f>
        <v>-1353.1399999999994</v>
      </c>
      <c r="T152" s="830"/>
      <c r="U152"/>
      <c r="V152"/>
      <c r="W152"/>
      <c r="X152"/>
      <c r="Y152"/>
      <c r="Z152"/>
      <c r="AA152"/>
      <c r="AB152"/>
      <c r="AC152"/>
      <c r="AD152"/>
      <c r="AE152"/>
      <c r="AF152"/>
      <c r="AG152"/>
      <c r="AH152"/>
      <c r="AI152"/>
      <c r="AJ152"/>
      <c r="AK152"/>
    </row>
    <row r="153" spans="1:37" s="65" customFormat="1" ht="15.75" x14ac:dyDescent="0.25">
      <c r="A153" s="950"/>
      <c r="B153" s="683"/>
      <c r="C153" s="950"/>
      <c r="D153" s="950"/>
      <c r="E153" s="950"/>
      <c r="F153" s="950"/>
      <c r="G153" s="985"/>
      <c r="H153" s="985"/>
      <c r="I153" s="985"/>
      <c r="J153" s="985"/>
      <c r="K153" s="950"/>
      <c r="L153" s="950"/>
      <c r="M153" s="950"/>
      <c r="N153" s="950"/>
      <c r="O153" s="985"/>
      <c r="P153" s="985"/>
      <c r="Q153" s="985"/>
      <c r="R153" s="985"/>
      <c r="S153" s="985"/>
      <c r="T153" s="985"/>
      <c r="U153"/>
      <c r="V153"/>
      <c r="W153"/>
      <c r="X153"/>
      <c r="Y153"/>
      <c r="Z153"/>
      <c r="AA153"/>
      <c r="AB153"/>
      <c r="AC153"/>
      <c r="AD153"/>
      <c r="AE153"/>
      <c r="AF153"/>
      <c r="AG153"/>
      <c r="AH153"/>
      <c r="AI153"/>
      <c r="AJ153"/>
      <c r="AK153"/>
    </row>
    <row r="154" spans="1:37" s="65" customFormat="1" ht="15.75" x14ac:dyDescent="0.25">
      <c r="A154" s="951"/>
      <c r="B154" s="879" t="s">
        <v>450</v>
      </c>
      <c r="C154" s="683"/>
      <c r="D154" s="683"/>
      <c r="E154" s="683"/>
      <c r="F154" s="683"/>
      <c r="G154" s="683"/>
      <c r="H154" s="683"/>
      <c r="I154" s="683"/>
      <c r="J154" s="952"/>
      <c r="K154" s="683"/>
      <c r="L154" s="683"/>
      <c r="M154" s="683"/>
      <c r="N154" s="950"/>
      <c r="O154" s="683"/>
      <c r="P154" s="683"/>
      <c r="Q154" s="683"/>
      <c r="R154" s="911"/>
      <c r="S154" s="683"/>
      <c r="T154" s="912"/>
      <c r="U154"/>
      <c r="V154"/>
      <c r="W154"/>
      <c r="X154"/>
      <c r="Y154"/>
      <c r="Z154"/>
      <c r="AA154"/>
      <c r="AB154"/>
      <c r="AC154"/>
      <c r="AD154"/>
      <c r="AE154"/>
      <c r="AF154"/>
      <c r="AG154"/>
      <c r="AH154"/>
      <c r="AI154"/>
      <c r="AJ154"/>
      <c r="AK154"/>
    </row>
    <row r="155" spans="1:37" s="65" customFormat="1" ht="15.75" x14ac:dyDescent="0.25">
      <c r="A155" s="977" t="s">
        <v>312</v>
      </c>
      <c r="B155" s="955"/>
      <c r="C155" s="956"/>
      <c r="D155" s="957" t="s">
        <v>19</v>
      </c>
      <c r="E155" s="958" t="s">
        <v>59</v>
      </c>
      <c r="F155" s="957" t="s">
        <v>27</v>
      </c>
      <c r="G155" s="959" t="s">
        <v>35</v>
      </c>
      <c r="H155" s="960" t="s">
        <v>36</v>
      </c>
      <c r="I155" s="960" t="s">
        <v>35</v>
      </c>
      <c r="J155" s="959" t="s">
        <v>36</v>
      </c>
      <c r="K155" s="959" t="s">
        <v>39</v>
      </c>
      <c r="L155" s="959" t="s">
        <v>40</v>
      </c>
      <c r="M155" s="959" t="s">
        <v>42</v>
      </c>
      <c r="N155" s="1056" t="s">
        <v>2</v>
      </c>
      <c r="O155" s="959" t="s">
        <v>180</v>
      </c>
      <c r="P155" s="961" t="s">
        <v>313</v>
      </c>
      <c r="Q155" s="961" t="s">
        <v>43</v>
      </c>
      <c r="R155" s="962"/>
      <c r="S155" s="1196" t="s">
        <v>44</v>
      </c>
      <c r="T155" s="1197"/>
      <c r="U155"/>
      <c r="V155"/>
      <c r="W155"/>
      <c r="X155"/>
      <c r="Y155"/>
      <c r="Z155"/>
      <c r="AA155"/>
      <c r="AB155"/>
      <c r="AC155"/>
      <c r="AD155"/>
      <c r="AE155"/>
      <c r="AF155"/>
      <c r="AG155"/>
      <c r="AH155"/>
      <c r="AI155"/>
      <c r="AJ155"/>
      <c r="AK155"/>
    </row>
    <row r="156" spans="1:37" s="65" customFormat="1" ht="15.75" x14ac:dyDescent="0.25">
      <c r="A156" s="963" t="s">
        <v>28</v>
      </c>
      <c r="B156" s="978" t="s">
        <v>451</v>
      </c>
      <c r="C156" s="979" t="s">
        <v>31</v>
      </c>
      <c r="D156" s="980" t="s">
        <v>30</v>
      </c>
      <c r="E156" s="980" t="s">
        <v>101</v>
      </c>
      <c r="F156" s="979" t="s">
        <v>37</v>
      </c>
      <c r="G156" s="1138">
        <v>50330.89</v>
      </c>
      <c r="H156" s="386">
        <v>81351.14</v>
      </c>
      <c r="I156" s="217">
        <v>2.6541000000000001</v>
      </c>
      <c r="J156" s="217">
        <v>0</v>
      </c>
      <c r="K156" s="367"/>
      <c r="L156" s="367"/>
      <c r="M156" s="367"/>
      <c r="N156" s="512"/>
      <c r="O156" s="589">
        <f>ROUND(G156*I156,2)+ROUND(H156*J156,2)-K156-L156-M156-N156</f>
        <v>133583.22</v>
      </c>
      <c r="P156" s="253">
        <f>ROUND(18.75%*O156,2)</f>
        <v>25046.85</v>
      </c>
      <c r="Q156" s="253">
        <f>ROUND($O156*R156,2)</f>
        <v>20037.48</v>
      </c>
      <c r="R156" s="590">
        <v>0.15</v>
      </c>
      <c r="S156" s="253">
        <f>ROUND($O156*T156,2)</f>
        <v>5009.37</v>
      </c>
      <c r="T156" s="591">
        <v>3.7499999999999999E-2</v>
      </c>
      <c r="U156"/>
      <c r="V156"/>
      <c r="W156"/>
      <c r="X156"/>
      <c r="Y156"/>
      <c r="Z156"/>
      <c r="AA156"/>
      <c r="AB156"/>
      <c r="AC156"/>
      <c r="AD156"/>
      <c r="AE156"/>
      <c r="AF156"/>
      <c r="AG156"/>
      <c r="AH156"/>
      <c r="AI156"/>
      <c r="AJ156"/>
      <c r="AK156"/>
    </row>
    <row r="157" spans="1:37" s="65" customFormat="1" ht="15.75" x14ac:dyDescent="0.25">
      <c r="A157" s="967" t="s">
        <v>28</v>
      </c>
      <c r="B157" s="981" t="str">
        <f>B156</f>
        <v>Z-69 -  Gas NORP</v>
      </c>
      <c r="C157" s="965" t="s">
        <v>31</v>
      </c>
      <c r="D157" s="970" t="s">
        <v>186</v>
      </c>
      <c r="E157" s="970"/>
      <c r="F157" s="969" t="str">
        <f>F156</f>
        <v>Bls</v>
      </c>
      <c r="G157" s="1138">
        <f>+G156</f>
        <v>50330.89</v>
      </c>
      <c r="H157" s="936">
        <f>+H156</f>
        <v>81351.14</v>
      </c>
      <c r="I157" s="1138">
        <v>2.7056</v>
      </c>
      <c r="J157" s="588">
        <v>0</v>
      </c>
      <c r="K157" s="557"/>
      <c r="L157" s="557"/>
      <c r="M157" s="934"/>
      <c r="N157" s="934"/>
      <c r="O157" s="934">
        <f>ROUND(G157*I157,2)+ROUND(H157*J157,2)-K157-L157-M157-N157</f>
        <v>136175.26</v>
      </c>
      <c r="P157" s="557">
        <f>ROUND(18.75%*O157,2)</f>
        <v>25532.86</v>
      </c>
      <c r="Q157" s="557">
        <f>ROUND($O157*R157,2)</f>
        <v>20426.29</v>
      </c>
      <c r="R157" s="982">
        <v>0.15</v>
      </c>
      <c r="S157" s="557">
        <f>ROUND($O157*T157,2)</f>
        <v>5106.57</v>
      </c>
      <c r="T157" s="983">
        <v>3.7499999999999999E-2</v>
      </c>
      <c r="U157"/>
      <c r="V157"/>
      <c r="W157"/>
      <c r="X157"/>
      <c r="Y157"/>
      <c r="Z157"/>
      <c r="AA157"/>
      <c r="AB157"/>
      <c r="AC157"/>
      <c r="AD157"/>
      <c r="AE157"/>
      <c r="AF157"/>
      <c r="AG157"/>
      <c r="AH157"/>
      <c r="AI157"/>
      <c r="AJ157"/>
      <c r="AK157"/>
    </row>
    <row r="158" spans="1:37" s="65" customFormat="1" ht="15.75" x14ac:dyDescent="0.25">
      <c r="A158" s="971"/>
      <c r="B158" s="972" t="s">
        <v>181</v>
      </c>
      <c r="C158" s="973"/>
      <c r="D158" s="974"/>
      <c r="E158" s="974"/>
      <c r="F158" s="971"/>
      <c r="G158" s="975">
        <f t="shared" ref="G158:Q158" si="53">G157-G156</f>
        <v>0</v>
      </c>
      <c r="H158" s="975">
        <f t="shared" si="53"/>
        <v>0</v>
      </c>
      <c r="I158" s="830">
        <f t="shared" si="53"/>
        <v>5.1499999999999879E-2</v>
      </c>
      <c r="J158" s="830">
        <f t="shared" si="53"/>
        <v>0</v>
      </c>
      <c r="K158" s="900">
        <f t="shared" si="53"/>
        <v>0</v>
      </c>
      <c r="L158" s="900">
        <f t="shared" si="53"/>
        <v>0</v>
      </c>
      <c r="M158" s="900">
        <f t="shared" si="53"/>
        <v>0</v>
      </c>
      <c r="N158" s="900">
        <f t="shared" si="53"/>
        <v>0</v>
      </c>
      <c r="O158" s="830">
        <f t="shared" si="53"/>
        <v>2592.0400000000081</v>
      </c>
      <c r="P158" s="830">
        <f t="shared" si="53"/>
        <v>486.01000000000204</v>
      </c>
      <c r="Q158" s="830">
        <f t="shared" si="53"/>
        <v>388.81000000000131</v>
      </c>
      <c r="R158" s="830"/>
      <c r="S158" s="830">
        <f>S157-S156</f>
        <v>97.199999999999818</v>
      </c>
      <c r="T158" s="830"/>
      <c r="U158"/>
      <c r="V158"/>
      <c r="W158"/>
      <c r="X158"/>
      <c r="Y158"/>
      <c r="Z158"/>
      <c r="AA158"/>
      <c r="AB158"/>
      <c r="AC158"/>
      <c r="AD158"/>
      <c r="AE158"/>
      <c r="AF158"/>
      <c r="AG158"/>
      <c r="AH158"/>
      <c r="AI158"/>
      <c r="AJ158"/>
      <c r="AK158"/>
    </row>
    <row r="159" spans="1:37" s="65" customFormat="1" ht="15.75" x14ac:dyDescent="0.25">
      <c r="A159" s="950"/>
      <c r="B159" s="683"/>
      <c r="C159" s="950"/>
      <c r="D159" s="950"/>
      <c r="E159" s="950"/>
      <c r="F159" s="950"/>
      <c r="G159" s="985"/>
      <c r="H159" s="985"/>
      <c r="I159" s="985"/>
      <c r="J159" s="985"/>
      <c r="K159" s="950"/>
      <c r="L159" s="950"/>
      <c r="M159" s="950"/>
      <c r="N159" s="950"/>
      <c r="O159" s="985"/>
      <c r="P159" s="985"/>
      <c r="Q159" s="985"/>
      <c r="R159" s="985"/>
      <c r="S159" s="985"/>
      <c r="T159" s="985"/>
      <c r="U159"/>
      <c r="V159"/>
      <c r="W159"/>
      <c r="X159"/>
      <c r="Y159"/>
      <c r="Z159"/>
      <c r="AA159"/>
      <c r="AB159"/>
      <c r="AC159"/>
      <c r="AD159"/>
      <c r="AE159"/>
      <c r="AF159"/>
      <c r="AG159"/>
      <c r="AH159"/>
      <c r="AI159"/>
      <c r="AJ159"/>
      <c r="AK159"/>
    </row>
    <row r="160" spans="1:37" s="65" customFormat="1" ht="15.75" x14ac:dyDescent="0.25">
      <c r="A160" s="951"/>
      <c r="B160" s="879" t="s">
        <v>450</v>
      </c>
      <c r="C160" s="683"/>
      <c r="D160" s="683"/>
      <c r="E160" s="683"/>
      <c r="F160" s="683"/>
      <c r="G160" s="683"/>
      <c r="H160" s="683"/>
      <c r="I160" s="683"/>
      <c r="J160" s="952"/>
      <c r="K160" s="683"/>
      <c r="L160" s="683"/>
      <c r="M160" s="683"/>
      <c r="N160" s="950"/>
      <c r="O160" s="683"/>
      <c r="P160" s="683"/>
      <c r="Q160" s="683"/>
      <c r="R160" s="911"/>
      <c r="S160" s="683"/>
      <c r="T160" s="912"/>
      <c r="U160"/>
      <c r="V160"/>
      <c r="W160"/>
      <c r="X160"/>
      <c r="Y160"/>
      <c r="Z160"/>
      <c r="AA160"/>
      <c r="AB160"/>
      <c r="AC160"/>
      <c r="AD160"/>
      <c r="AE160"/>
      <c r="AF160"/>
      <c r="AG160"/>
      <c r="AH160"/>
      <c r="AI160"/>
      <c r="AJ160"/>
      <c r="AK160"/>
    </row>
    <row r="161" spans="1:37" s="65" customFormat="1" ht="15.75" x14ac:dyDescent="0.25">
      <c r="A161" s="977" t="s">
        <v>312</v>
      </c>
      <c r="B161" s="955"/>
      <c r="C161" s="956"/>
      <c r="D161" s="957" t="s">
        <v>19</v>
      </c>
      <c r="E161" s="958" t="s">
        <v>59</v>
      </c>
      <c r="F161" s="957" t="s">
        <v>27</v>
      </c>
      <c r="G161" s="959" t="s">
        <v>35</v>
      </c>
      <c r="H161" s="960" t="s">
        <v>36</v>
      </c>
      <c r="I161" s="960" t="s">
        <v>35</v>
      </c>
      <c r="J161" s="959" t="s">
        <v>36</v>
      </c>
      <c r="K161" s="959" t="s">
        <v>39</v>
      </c>
      <c r="L161" s="959" t="s">
        <v>40</v>
      </c>
      <c r="M161" s="959" t="s">
        <v>42</v>
      </c>
      <c r="N161" s="1056" t="s">
        <v>2</v>
      </c>
      <c r="O161" s="959" t="s">
        <v>180</v>
      </c>
      <c r="P161" s="961" t="s">
        <v>313</v>
      </c>
      <c r="Q161" s="961" t="s">
        <v>43</v>
      </c>
      <c r="R161" s="962"/>
      <c r="S161" s="1196" t="s">
        <v>44</v>
      </c>
      <c r="T161" s="1197"/>
      <c r="U161"/>
      <c r="V161"/>
      <c r="W161"/>
      <c r="X161"/>
      <c r="Y161"/>
      <c r="Z161"/>
      <c r="AA161"/>
      <c r="AB161"/>
      <c r="AC161"/>
      <c r="AD161"/>
      <c r="AE161"/>
      <c r="AF161"/>
      <c r="AG161"/>
      <c r="AH161"/>
      <c r="AI161"/>
      <c r="AJ161"/>
      <c r="AK161"/>
    </row>
    <row r="162" spans="1:37" s="65" customFormat="1" ht="15.75" x14ac:dyDescent="0.25">
      <c r="A162" s="963" t="s">
        <v>28</v>
      </c>
      <c r="B162" s="978" t="s">
        <v>452</v>
      </c>
      <c r="C162" s="979" t="s">
        <v>31</v>
      </c>
      <c r="D162" s="980" t="s">
        <v>30</v>
      </c>
      <c r="E162" s="980" t="s">
        <v>101</v>
      </c>
      <c r="F162" s="979" t="s">
        <v>37</v>
      </c>
      <c r="G162" s="1138">
        <v>8167</v>
      </c>
      <c r="H162" s="386">
        <v>10248</v>
      </c>
      <c r="I162" s="217">
        <v>34.682899999999997</v>
      </c>
      <c r="J162" s="217">
        <v>0</v>
      </c>
      <c r="K162" s="367"/>
      <c r="L162" s="367"/>
      <c r="M162" s="367"/>
      <c r="N162" s="512"/>
      <c r="O162" s="589">
        <f>ROUND(G162*I162,2)+ROUND(H162*J162,2)-K162-L162-M162-N162</f>
        <v>283255.24</v>
      </c>
      <c r="P162" s="253">
        <f>ROUND(18.75%*O162,2)</f>
        <v>53110.36</v>
      </c>
      <c r="Q162" s="253">
        <f>ROUND($O162*R162,2)</f>
        <v>42488.29</v>
      </c>
      <c r="R162" s="590">
        <v>0.15</v>
      </c>
      <c r="S162" s="253">
        <f>ROUND($O162*T162,2)</f>
        <v>10622.07</v>
      </c>
      <c r="T162" s="591">
        <v>3.7499999999999999E-2</v>
      </c>
      <c r="U162"/>
      <c r="V162"/>
      <c r="W162"/>
      <c r="X162"/>
      <c r="Y162"/>
      <c r="Z162"/>
      <c r="AA162"/>
      <c r="AB162"/>
      <c r="AC162"/>
      <c r="AD162"/>
      <c r="AE162"/>
      <c r="AF162"/>
      <c r="AG162"/>
      <c r="AH162"/>
      <c r="AI162"/>
      <c r="AJ162"/>
      <c r="AK162"/>
    </row>
    <row r="163" spans="1:37" s="65" customFormat="1" ht="15.75" x14ac:dyDescent="0.25">
      <c r="A163" s="967" t="s">
        <v>28</v>
      </c>
      <c r="B163" s="981" t="str">
        <f>B162</f>
        <v>Z-69 -  LGN</v>
      </c>
      <c r="C163" s="965" t="s">
        <v>31</v>
      </c>
      <c r="D163" s="970" t="s">
        <v>186</v>
      </c>
      <c r="E163" s="970"/>
      <c r="F163" s="969" t="str">
        <f>F162</f>
        <v>Bls</v>
      </c>
      <c r="G163" s="1138">
        <f>+G162</f>
        <v>8167</v>
      </c>
      <c r="H163" s="936">
        <f>+H162</f>
        <v>10248</v>
      </c>
      <c r="I163" s="1138">
        <v>34.697899999999997</v>
      </c>
      <c r="J163" s="588">
        <v>0</v>
      </c>
      <c r="K163" s="557"/>
      <c r="L163" s="557"/>
      <c r="M163" s="934"/>
      <c r="N163" s="934"/>
      <c r="O163" s="934">
        <f>ROUND(G163*I163,2)+ROUND(H163*J163,2)-K163-L163-M163-N163</f>
        <v>283377.75</v>
      </c>
      <c r="P163" s="557">
        <f>ROUND(18.75%*O163,2)</f>
        <v>53133.33</v>
      </c>
      <c r="Q163" s="557">
        <f>ROUND($O163*R163,2)</f>
        <v>42506.66</v>
      </c>
      <c r="R163" s="982">
        <v>0.15</v>
      </c>
      <c r="S163" s="557">
        <f>ROUND($O163*T163,2)</f>
        <v>10626.67</v>
      </c>
      <c r="T163" s="983">
        <v>3.7499999999999999E-2</v>
      </c>
      <c r="U163"/>
      <c r="V163"/>
      <c r="W163"/>
      <c r="X163"/>
      <c r="Y163"/>
      <c r="Z163"/>
      <c r="AA163"/>
      <c r="AB163"/>
      <c r="AC163"/>
      <c r="AD163"/>
      <c r="AE163"/>
      <c r="AF163"/>
      <c r="AG163"/>
      <c r="AH163"/>
      <c r="AI163"/>
      <c r="AJ163"/>
      <c r="AK163"/>
    </row>
    <row r="164" spans="1:37" s="65" customFormat="1" ht="15.75" x14ac:dyDescent="0.25">
      <c r="A164" s="971"/>
      <c r="B164" s="972" t="s">
        <v>181</v>
      </c>
      <c r="C164" s="973"/>
      <c r="D164" s="974"/>
      <c r="E164" s="974"/>
      <c r="F164" s="971"/>
      <c r="G164" s="975">
        <f t="shared" ref="G164:Q164" si="54">G163-G162</f>
        <v>0</v>
      </c>
      <c r="H164" s="975">
        <f t="shared" si="54"/>
        <v>0</v>
      </c>
      <c r="I164" s="830">
        <f t="shared" si="54"/>
        <v>1.5000000000000568E-2</v>
      </c>
      <c r="J164" s="830">
        <f t="shared" si="54"/>
        <v>0</v>
      </c>
      <c r="K164" s="900">
        <f t="shared" si="54"/>
        <v>0</v>
      </c>
      <c r="L164" s="900">
        <f t="shared" si="54"/>
        <v>0</v>
      </c>
      <c r="M164" s="900">
        <f t="shared" si="54"/>
        <v>0</v>
      </c>
      <c r="N164" s="900">
        <f t="shared" si="54"/>
        <v>0</v>
      </c>
      <c r="O164" s="830">
        <f t="shared" si="54"/>
        <v>122.51000000000931</v>
      </c>
      <c r="P164" s="830">
        <f t="shared" si="54"/>
        <v>22.970000000001164</v>
      </c>
      <c r="Q164" s="830">
        <f t="shared" si="54"/>
        <v>18.370000000002619</v>
      </c>
      <c r="R164" s="830"/>
      <c r="S164" s="830">
        <f>S163-S162</f>
        <v>4.6000000000003638</v>
      </c>
      <c r="T164" s="830"/>
      <c r="U164"/>
      <c r="V164"/>
      <c r="W164"/>
      <c r="X164"/>
      <c r="Y164"/>
      <c r="Z164"/>
      <c r="AA164"/>
      <c r="AB164"/>
      <c r="AC164"/>
      <c r="AD164"/>
      <c r="AE164"/>
      <c r="AF164"/>
      <c r="AG164"/>
      <c r="AH164"/>
      <c r="AI164"/>
      <c r="AJ164"/>
      <c r="AK164"/>
    </row>
    <row r="165" spans="1:37" s="65" customFormat="1" ht="15.75" x14ac:dyDescent="0.25">
      <c r="A165" s="950"/>
      <c r="B165" s="683"/>
      <c r="C165" s="950"/>
      <c r="D165" s="950"/>
      <c r="E165" s="950"/>
      <c r="F165" s="950"/>
      <c r="G165" s="985"/>
      <c r="H165" s="985"/>
      <c r="I165" s="985"/>
      <c r="J165" s="985"/>
      <c r="K165" s="950"/>
      <c r="L165" s="950"/>
      <c r="M165" s="950"/>
      <c r="N165" s="950"/>
      <c r="O165" s="985"/>
      <c r="P165" s="985"/>
      <c r="Q165" s="985"/>
      <c r="R165" s="985"/>
      <c r="S165" s="985"/>
      <c r="T165" s="985"/>
      <c r="U165"/>
      <c r="V165"/>
      <c r="W165"/>
      <c r="X165"/>
      <c r="Y165"/>
      <c r="Z165"/>
      <c r="AA165"/>
      <c r="AB165"/>
      <c r="AC165"/>
      <c r="AD165"/>
      <c r="AE165"/>
      <c r="AF165"/>
      <c r="AG165"/>
      <c r="AH165"/>
      <c r="AI165"/>
      <c r="AJ165"/>
      <c r="AK165"/>
    </row>
    <row r="166" spans="1:37" s="65" customFormat="1" ht="15.75" x14ac:dyDescent="0.25">
      <c r="A166" s="951"/>
      <c r="B166" s="879" t="s">
        <v>450</v>
      </c>
      <c r="C166" s="683"/>
      <c r="D166" s="683"/>
      <c r="E166" s="683"/>
      <c r="F166" s="683"/>
      <c r="G166" s="683"/>
      <c r="H166" s="683"/>
      <c r="I166" s="683"/>
      <c r="J166" s="952"/>
      <c r="K166" s="683"/>
      <c r="L166" s="683"/>
      <c r="M166" s="683"/>
      <c r="N166" s="950"/>
      <c r="O166" s="683"/>
      <c r="P166" s="683"/>
      <c r="Q166" s="683"/>
      <c r="R166" s="911"/>
      <c r="S166" s="683"/>
      <c r="T166" s="912"/>
      <c r="U166"/>
      <c r="V166"/>
      <c r="W166"/>
      <c r="X166"/>
      <c r="Y166"/>
      <c r="Z166"/>
      <c r="AA166"/>
      <c r="AB166"/>
      <c r="AC166"/>
      <c r="AD166"/>
      <c r="AE166"/>
      <c r="AF166"/>
      <c r="AG166"/>
      <c r="AH166"/>
      <c r="AI166"/>
      <c r="AJ166"/>
      <c r="AK166"/>
    </row>
    <row r="167" spans="1:37" s="65" customFormat="1" ht="15.75" x14ac:dyDescent="0.25">
      <c r="A167" s="977" t="s">
        <v>312</v>
      </c>
      <c r="B167" s="955"/>
      <c r="C167" s="956"/>
      <c r="D167" s="957" t="s">
        <v>19</v>
      </c>
      <c r="E167" s="958" t="s">
        <v>59</v>
      </c>
      <c r="F167" s="957" t="s">
        <v>27</v>
      </c>
      <c r="G167" s="959" t="s">
        <v>35</v>
      </c>
      <c r="H167" s="960" t="s">
        <v>36</v>
      </c>
      <c r="I167" s="960" t="s">
        <v>35</v>
      </c>
      <c r="J167" s="959" t="s">
        <v>36</v>
      </c>
      <c r="K167" s="959" t="s">
        <v>39</v>
      </c>
      <c r="L167" s="959" t="s">
        <v>40</v>
      </c>
      <c r="M167" s="959" t="s">
        <v>42</v>
      </c>
      <c r="N167" s="1056" t="s">
        <v>2</v>
      </c>
      <c r="O167" s="959" t="s">
        <v>180</v>
      </c>
      <c r="P167" s="961" t="s">
        <v>313</v>
      </c>
      <c r="Q167" s="961" t="s">
        <v>43</v>
      </c>
      <c r="R167" s="962"/>
      <c r="S167" s="1196" t="s">
        <v>44</v>
      </c>
      <c r="T167" s="1197"/>
      <c r="U167"/>
      <c r="V167"/>
      <c r="W167"/>
      <c r="X167"/>
      <c r="Y167"/>
      <c r="Z167"/>
      <c r="AA167"/>
      <c r="AB167"/>
      <c r="AC167"/>
      <c r="AD167"/>
      <c r="AE167"/>
      <c r="AF167"/>
      <c r="AG167"/>
      <c r="AH167"/>
      <c r="AI167"/>
      <c r="AJ167"/>
      <c r="AK167"/>
    </row>
    <row r="168" spans="1:37" s="65" customFormat="1" ht="15.75" x14ac:dyDescent="0.25">
      <c r="A168" s="963" t="s">
        <v>28</v>
      </c>
      <c r="B168" s="978" t="s">
        <v>447</v>
      </c>
      <c r="C168" s="979" t="s">
        <v>31</v>
      </c>
      <c r="D168" s="980" t="s">
        <v>30</v>
      </c>
      <c r="E168" s="980" t="s">
        <v>101</v>
      </c>
      <c r="F168" s="979" t="s">
        <v>37</v>
      </c>
      <c r="G168" s="1138">
        <v>46644.67</v>
      </c>
      <c r="H168" s="386">
        <v>2741.51</v>
      </c>
      <c r="I168" s="217">
        <v>2.3727</v>
      </c>
      <c r="J168" s="217">
        <v>0</v>
      </c>
      <c r="K168" s="367"/>
      <c r="L168" s="367"/>
      <c r="M168" s="367"/>
      <c r="N168" s="512"/>
      <c r="O168" s="589">
        <f>ROUND(G168*I168,2)+ROUND(H168*J168,2)-K168-L168-M168-N168</f>
        <v>110673.81</v>
      </c>
      <c r="P168" s="253">
        <f>ROUND(18.75%*O168,2)</f>
        <v>20751.34</v>
      </c>
      <c r="Q168" s="253">
        <f>ROUND($O168*R168,2)</f>
        <v>16601.07</v>
      </c>
      <c r="R168" s="590">
        <v>0.15</v>
      </c>
      <c r="S168" s="253">
        <f>ROUND($O168*T168,2)</f>
        <v>4150.2700000000004</v>
      </c>
      <c r="T168" s="591">
        <v>3.7499999999999999E-2</v>
      </c>
      <c r="U168"/>
      <c r="V168"/>
      <c r="W168"/>
      <c r="X168"/>
      <c r="Y168"/>
      <c r="Z168"/>
      <c r="AA168"/>
      <c r="AB168"/>
      <c r="AC168"/>
      <c r="AD168"/>
      <c r="AE168"/>
      <c r="AF168"/>
      <c r="AG168"/>
      <c r="AH168"/>
      <c r="AI168"/>
      <c r="AJ168"/>
      <c r="AK168"/>
    </row>
    <row r="169" spans="1:37" s="65" customFormat="1" ht="15.75" x14ac:dyDescent="0.25">
      <c r="A169" s="967" t="s">
        <v>28</v>
      </c>
      <c r="B169" s="981" t="str">
        <f>B168</f>
        <v>Z-69 -  Gas PARIÑAS</v>
      </c>
      <c r="C169" s="965" t="s">
        <v>31</v>
      </c>
      <c r="D169" s="970" t="s">
        <v>186</v>
      </c>
      <c r="E169" s="970"/>
      <c r="F169" s="969" t="str">
        <f>F168</f>
        <v>Bls</v>
      </c>
      <c r="G169" s="1138">
        <f>+G168</f>
        <v>46644.67</v>
      </c>
      <c r="H169" s="936">
        <f>+H168</f>
        <v>2741.51</v>
      </c>
      <c r="I169" s="1138">
        <v>2.5173999999999999</v>
      </c>
      <c r="J169" s="1138">
        <v>0</v>
      </c>
      <c r="K169" s="557"/>
      <c r="L169" s="557"/>
      <c r="M169" s="934"/>
      <c r="N169" s="934"/>
      <c r="O169" s="934">
        <f>ROUND(G169*I169,2)+ROUND(H169*J169,2)-K169-L169-M169-N169</f>
        <v>117423.29</v>
      </c>
      <c r="P169" s="557">
        <f>ROUND(18.75%*O169,2)</f>
        <v>22016.87</v>
      </c>
      <c r="Q169" s="557">
        <f>ROUND($O169*R169,2)</f>
        <v>17613.490000000002</v>
      </c>
      <c r="R169" s="982">
        <v>0.15</v>
      </c>
      <c r="S169" s="557">
        <f>ROUND($O169*T169,2)</f>
        <v>4403.37</v>
      </c>
      <c r="T169" s="983">
        <v>3.7499999999999999E-2</v>
      </c>
      <c r="U169"/>
      <c r="V169"/>
      <c r="W169"/>
      <c r="X169"/>
      <c r="Y169"/>
      <c r="Z169"/>
      <c r="AA169"/>
      <c r="AB169"/>
      <c r="AC169"/>
      <c r="AD169"/>
      <c r="AE169"/>
      <c r="AF169"/>
      <c r="AG169"/>
      <c r="AH169"/>
      <c r="AI169"/>
      <c r="AJ169"/>
      <c r="AK169"/>
    </row>
    <row r="170" spans="1:37" s="65" customFormat="1" ht="15.75" x14ac:dyDescent="0.25">
      <c r="A170" s="971"/>
      <c r="B170" s="972" t="s">
        <v>181</v>
      </c>
      <c r="C170" s="973"/>
      <c r="D170" s="974"/>
      <c r="E170" s="974"/>
      <c r="F170" s="971"/>
      <c r="G170" s="975">
        <f t="shared" ref="G170:Q170" si="55">G169-G168</f>
        <v>0</v>
      </c>
      <c r="H170" s="975">
        <f t="shared" si="55"/>
        <v>0</v>
      </c>
      <c r="I170" s="830">
        <f t="shared" si="55"/>
        <v>0.14469999999999983</v>
      </c>
      <c r="J170" s="830">
        <f t="shared" si="55"/>
        <v>0</v>
      </c>
      <c r="K170" s="900">
        <f t="shared" si="55"/>
        <v>0</v>
      </c>
      <c r="L170" s="900">
        <f t="shared" si="55"/>
        <v>0</v>
      </c>
      <c r="M170" s="900">
        <f t="shared" si="55"/>
        <v>0</v>
      </c>
      <c r="N170" s="900">
        <f t="shared" si="55"/>
        <v>0</v>
      </c>
      <c r="O170" s="830">
        <f t="shared" si="55"/>
        <v>6749.4799999999959</v>
      </c>
      <c r="P170" s="830">
        <f t="shared" si="55"/>
        <v>1265.5299999999988</v>
      </c>
      <c r="Q170" s="830">
        <f t="shared" si="55"/>
        <v>1012.4200000000019</v>
      </c>
      <c r="R170" s="830"/>
      <c r="S170" s="830">
        <f>S169-S168</f>
        <v>253.09999999999945</v>
      </c>
      <c r="T170" s="830"/>
      <c r="U170"/>
      <c r="V170"/>
      <c r="W170"/>
      <c r="X170"/>
      <c r="Y170"/>
      <c r="Z170"/>
      <c r="AA170"/>
      <c r="AB170"/>
      <c r="AC170"/>
      <c r="AD170"/>
      <c r="AE170"/>
      <c r="AF170"/>
      <c r="AG170"/>
      <c r="AH170"/>
      <c r="AI170"/>
      <c r="AJ170"/>
      <c r="AK170"/>
    </row>
    <row r="171" spans="1:37" s="65" customFormat="1" ht="15.75" x14ac:dyDescent="0.25">
      <c r="A171" s="950"/>
      <c r="B171" s="683"/>
      <c r="C171" s="950"/>
      <c r="D171" s="950"/>
      <c r="E171" s="950"/>
      <c r="F171" s="950"/>
      <c r="G171" s="985"/>
      <c r="H171" s="985"/>
      <c r="I171" s="985"/>
      <c r="J171" s="985"/>
      <c r="K171" s="950"/>
      <c r="L171" s="950"/>
      <c r="M171" s="950"/>
      <c r="N171" s="950"/>
      <c r="O171" s="985"/>
      <c r="P171" s="985"/>
      <c r="Q171" s="985"/>
      <c r="R171" s="985"/>
      <c r="S171" s="985"/>
      <c r="T171" s="985"/>
      <c r="U171"/>
      <c r="V171"/>
      <c r="W171"/>
      <c r="X171"/>
      <c r="Y171"/>
      <c r="Z171"/>
      <c r="AA171"/>
      <c r="AB171"/>
      <c r="AC171"/>
      <c r="AD171"/>
      <c r="AE171"/>
      <c r="AF171"/>
      <c r="AG171"/>
      <c r="AH171"/>
      <c r="AI171"/>
      <c r="AJ171"/>
      <c r="AK171"/>
    </row>
    <row r="172" spans="1:37" s="65" customFormat="1" ht="15.75" x14ac:dyDescent="0.25">
      <c r="A172" s="951"/>
      <c r="B172" s="879" t="s">
        <v>450</v>
      </c>
      <c r="C172" s="683"/>
      <c r="D172" s="683"/>
      <c r="E172" s="683"/>
      <c r="F172" s="683"/>
      <c r="G172" s="683"/>
      <c r="H172" s="683"/>
      <c r="I172" s="683"/>
      <c r="J172" s="952"/>
      <c r="K172" s="683"/>
      <c r="L172" s="683"/>
      <c r="M172" s="683"/>
      <c r="N172" s="950"/>
      <c r="O172" s="683"/>
      <c r="P172" s="683"/>
      <c r="Q172" s="683"/>
      <c r="R172" s="911"/>
      <c r="S172" s="683"/>
      <c r="T172" s="912"/>
      <c r="U172"/>
      <c r="V172"/>
      <c r="W172"/>
      <c r="X172"/>
      <c r="Y172"/>
      <c r="Z172"/>
      <c r="AA172"/>
      <c r="AB172"/>
      <c r="AC172"/>
      <c r="AD172"/>
      <c r="AE172"/>
      <c r="AF172"/>
      <c r="AG172"/>
      <c r="AH172"/>
      <c r="AI172"/>
      <c r="AJ172"/>
      <c r="AK172"/>
    </row>
    <row r="173" spans="1:37" s="65" customFormat="1" ht="15.75" x14ac:dyDescent="0.25">
      <c r="A173" s="977" t="s">
        <v>312</v>
      </c>
      <c r="B173" s="955"/>
      <c r="C173" s="956"/>
      <c r="D173" s="957" t="s">
        <v>19</v>
      </c>
      <c r="E173" s="958" t="s">
        <v>59</v>
      </c>
      <c r="F173" s="957" t="s">
        <v>27</v>
      </c>
      <c r="G173" s="959" t="s">
        <v>35</v>
      </c>
      <c r="H173" s="960" t="s">
        <v>36</v>
      </c>
      <c r="I173" s="960" t="s">
        <v>35</v>
      </c>
      <c r="J173" s="959" t="s">
        <v>36</v>
      </c>
      <c r="K173" s="959" t="s">
        <v>39</v>
      </c>
      <c r="L173" s="959" t="s">
        <v>40</v>
      </c>
      <c r="M173" s="959" t="s">
        <v>42</v>
      </c>
      <c r="N173" s="1056" t="s">
        <v>2</v>
      </c>
      <c r="O173" s="959" t="s">
        <v>180</v>
      </c>
      <c r="P173" s="961" t="s">
        <v>313</v>
      </c>
      <c r="Q173" s="961" t="s">
        <v>43</v>
      </c>
      <c r="R173" s="962"/>
      <c r="S173" s="1196" t="s">
        <v>44</v>
      </c>
      <c r="T173" s="1197"/>
      <c r="U173"/>
      <c r="V173"/>
      <c r="W173"/>
      <c r="X173"/>
      <c r="Y173"/>
      <c r="Z173"/>
      <c r="AA173"/>
      <c r="AB173"/>
      <c r="AC173"/>
      <c r="AD173"/>
      <c r="AE173"/>
      <c r="AF173"/>
      <c r="AG173"/>
      <c r="AH173"/>
      <c r="AI173"/>
      <c r="AJ173"/>
      <c r="AK173"/>
    </row>
    <row r="174" spans="1:37" s="65" customFormat="1" ht="15.75" x14ac:dyDescent="0.25">
      <c r="A174" s="963" t="s">
        <v>28</v>
      </c>
      <c r="B174" s="978" t="s">
        <v>452</v>
      </c>
      <c r="C174" s="979" t="s">
        <v>31</v>
      </c>
      <c r="D174" s="980" t="s">
        <v>30</v>
      </c>
      <c r="E174" s="980" t="s">
        <v>101</v>
      </c>
      <c r="F174" s="979" t="s">
        <v>37</v>
      </c>
      <c r="G174" s="1138">
        <v>0</v>
      </c>
      <c r="H174" s="386">
        <v>10248</v>
      </c>
      <c r="I174" s="217">
        <v>0</v>
      </c>
      <c r="J174" s="217">
        <v>35.275100000000002</v>
      </c>
      <c r="K174" s="367"/>
      <c r="L174" s="367"/>
      <c r="M174" s="367"/>
      <c r="N174" s="512"/>
      <c r="O174" s="589">
        <f>ROUND(G174*I174,2)+ROUND(H174*J174,2)-K174-L174-M174-N174</f>
        <v>361499.22</v>
      </c>
      <c r="P174" s="253">
        <f>ROUND(18.75%*O174,2)</f>
        <v>67781.100000000006</v>
      </c>
      <c r="Q174" s="253">
        <f>ROUND($O174*R174,2)</f>
        <v>54224.88</v>
      </c>
      <c r="R174" s="590">
        <v>0.15</v>
      </c>
      <c r="S174" s="253">
        <f>ROUND($O174*T174,2)</f>
        <v>13556.22</v>
      </c>
      <c r="T174" s="591">
        <v>3.7499999999999999E-2</v>
      </c>
      <c r="U174"/>
      <c r="V174"/>
      <c r="W174"/>
      <c r="X174"/>
      <c r="Y174"/>
      <c r="Z174"/>
      <c r="AA174"/>
      <c r="AB174"/>
      <c r="AC174"/>
      <c r="AD174"/>
      <c r="AE174"/>
      <c r="AF174"/>
      <c r="AG174"/>
      <c r="AH174"/>
      <c r="AI174"/>
      <c r="AJ174"/>
      <c r="AK174"/>
    </row>
    <row r="175" spans="1:37" s="65" customFormat="1" ht="15.75" x14ac:dyDescent="0.25">
      <c r="A175" s="967" t="s">
        <v>28</v>
      </c>
      <c r="B175" s="981" t="str">
        <f>B174</f>
        <v>Z-69 -  LGN</v>
      </c>
      <c r="C175" s="965" t="s">
        <v>31</v>
      </c>
      <c r="D175" s="970" t="s">
        <v>186</v>
      </c>
      <c r="E175" s="970"/>
      <c r="F175" s="969" t="str">
        <f>F174</f>
        <v>Bls</v>
      </c>
      <c r="G175" s="1138">
        <f>+G174</f>
        <v>0</v>
      </c>
      <c r="H175" s="936">
        <f>+H174</f>
        <v>10248</v>
      </c>
      <c r="I175" s="1138">
        <v>0</v>
      </c>
      <c r="J175" s="1138">
        <v>35.290100000000002</v>
      </c>
      <c r="K175" s="557"/>
      <c r="L175" s="557"/>
      <c r="M175" s="934"/>
      <c r="N175" s="934"/>
      <c r="O175" s="934">
        <f>ROUND(G175*I175,2)+ROUND(H175*J175,2)-K175-L175-M175-N175</f>
        <v>361652.94</v>
      </c>
      <c r="P175" s="557">
        <f>ROUND(18.75%*O175,2)</f>
        <v>67809.929999999993</v>
      </c>
      <c r="Q175" s="557">
        <f>ROUND($O175*R175,2)</f>
        <v>54247.94</v>
      </c>
      <c r="R175" s="982">
        <v>0.15</v>
      </c>
      <c r="S175" s="557">
        <f>ROUND($O175*T175,2)</f>
        <v>13561.99</v>
      </c>
      <c r="T175" s="983">
        <v>3.7499999999999999E-2</v>
      </c>
      <c r="U175"/>
      <c r="V175"/>
      <c r="W175"/>
      <c r="X175"/>
      <c r="Y175"/>
      <c r="Z175"/>
      <c r="AA175"/>
      <c r="AB175"/>
      <c r="AC175"/>
      <c r="AD175"/>
      <c r="AE175"/>
      <c r="AF175"/>
      <c r="AG175"/>
      <c r="AH175"/>
      <c r="AI175"/>
      <c r="AJ175"/>
      <c r="AK175"/>
    </row>
    <row r="176" spans="1:37" s="65" customFormat="1" ht="15.75" x14ac:dyDescent="0.25">
      <c r="A176" s="971"/>
      <c r="B176" s="972" t="s">
        <v>181</v>
      </c>
      <c r="C176" s="973"/>
      <c r="D176" s="974"/>
      <c r="E176" s="974"/>
      <c r="F176" s="971"/>
      <c r="G176" s="975">
        <f t="shared" ref="G176:T176" si="56">+G175-G174</f>
        <v>0</v>
      </c>
      <c r="H176" s="975">
        <f t="shared" si="56"/>
        <v>0</v>
      </c>
      <c r="I176" s="975">
        <f t="shared" si="56"/>
        <v>0</v>
      </c>
      <c r="J176" s="975">
        <f t="shared" si="56"/>
        <v>1.5000000000000568E-2</v>
      </c>
      <c r="K176" s="975">
        <f t="shared" si="56"/>
        <v>0</v>
      </c>
      <c r="L176" s="975">
        <f t="shared" si="56"/>
        <v>0</v>
      </c>
      <c r="M176" s="975">
        <f t="shared" si="56"/>
        <v>0</v>
      </c>
      <c r="N176" s="975">
        <f t="shared" si="56"/>
        <v>0</v>
      </c>
      <c r="O176" s="975">
        <f t="shared" si="56"/>
        <v>153.72000000003027</v>
      </c>
      <c r="P176" s="975">
        <f t="shared" si="56"/>
        <v>28.829999999987194</v>
      </c>
      <c r="Q176" s="975">
        <f t="shared" si="56"/>
        <v>23.060000000004948</v>
      </c>
      <c r="R176" s="975">
        <f t="shared" si="56"/>
        <v>0</v>
      </c>
      <c r="S176" s="975">
        <f t="shared" si="56"/>
        <v>5.7700000000004366</v>
      </c>
      <c r="T176" s="975">
        <f t="shared" si="56"/>
        <v>0</v>
      </c>
      <c r="U176"/>
      <c r="V176"/>
      <c r="W176"/>
      <c r="X176"/>
      <c r="Y176"/>
      <c r="Z176"/>
      <c r="AA176"/>
      <c r="AB176"/>
      <c r="AC176"/>
      <c r="AD176"/>
      <c r="AE176"/>
      <c r="AF176"/>
      <c r="AG176"/>
      <c r="AH176"/>
      <c r="AI176"/>
      <c r="AJ176" t="s">
        <v>392</v>
      </c>
      <c r="AK176"/>
    </row>
    <row r="177" spans="1:37" s="65" customFormat="1" ht="15.75" x14ac:dyDescent="0.25">
      <c r="A177" s="950"/>
      <c r="B177" s="683"/>
      <c r="C177" s="950"/>
      <c r="D177" s="950"/>
      <c r="E177" s="950"/>
      <c r="F177" s="950"/>
      <c r="G177" s="985"/>
      <c r="H177" s="985"/>
      <c r="I177" s="985"/>
      <c r="J177" s="985"/>
      <c r="K177" s="950"/>
      <c r="L177" s="950"/>
      <c r="M177" s="950"/>
      <c r="N177" s="950"/>
      <c r="O177" s="985"/>
      <c r="P177" s="985"/>
      <c r="Q177" s="985"/>
      <c r="R177" s="985"/>
      <c r="S177" s="985"/>
      <c r="T177" s="985"/>
      <c r="U177"/>
      <c r="V177"/>
      <c r="W177"/>
      <c r="X177"/>
      <c r="Y177"/>
      <c r="Z177"/>
      <c r="AA177"/>
      <c r="AB177"/>
      <c r="AC177"/>
      <c r="AD177"/>
      <c r="AE177"/>
      <c r="AF177"/>
      <c r="AG177"/>
      <c r="AH177"/>
      <c r="AI177"/>
      <c r="AJ177"/>
      <c r="AK177"/>
    </row>
    <row r="178" spans="1:37" s="65" customFormat="1" ht="15.75" x14ac:dyDescent="0.25">
      <c r="A178"/>
      <c r="B178" s="879" t="s">
        <v>431</v>
      </c>
      <c r="C178"/>
      <c r="D178"/>
      <c r="E178"/>
      <c r="F178"/>
      <c r="G178"/>
      <c r="H178"/>
      <c r="I178"/>
      <c r="J178"/>
      <c r="K178"/>
      <c r="L178"/>
      <c r="M178"/>
      <c r="N178" s="1028"/>
      <c r="O178" s="498"/>
      <c r="P178" s="498"/>
      <c r="Q178" s="498"/>
      <c r="R178" s="1055"/>
      <c r="S178"/>
      <c r="T178"/>
      <c r="U178"/>
      <c r="V178"/>
      <c r="W178"/>
      <c r="X178"/>
      <c r="Y178"/>
      <c r="Z178"/>
      <c r="AA178"/>
      <c r="AB178"/>
      <c r="AC178"/>
      <c r="AD178"/>
      <c r="AE178"/>
      <c r="AF178"/>
      <c r="AG178"/>
      <c r="AH178"/>
      <c r="AI178"/>
      <c r="AJ178"/>
      <c r="AK178"/>
    </row>
    <row r="179" spans="1:37" s="65" customFormat="1" ht="15.75" x14ac:dyDescent="0.25">
      <c r="A179" s="977" t="s">
        <v>312</v>
      </c>
      <c r="B179" s="955"/>
      <c r="C179" s="956"/>
      <c r="D179" s="957" t="s">
        <v>19</v>
      </c>
      <c r="E179" s="958" t="s">
        <v>59</v>
      </c>
      <c r="F179" s="957" t="s">
        <v>27</v>
      </c>
      <c r="G179" s="959" t="s">
        <v>35</v>
      </c>
      <c r="H179" s="960" t="s">
        <v>36</v>
      </c>
      <c r="I179" s="960" t="s">
        <v>35</v>
      </c>
      <c r="J179" s="959" t="s">
        <v>36</v>
      </c>
      <c r="K179" s="959" t="s">
        <v>39</v>
      </c>
      <c r="L179" s="959" t="s">
        <v>40</v>
      </c>
      <c r="M179" s="959" t="s">
        <v>42</v>
      </c>
      <c r="N179" s="1056" t="s">
        <v>2</v>
      </c>
      <c r="O179" s="959" t="s">
        <v>180</v>
      </c>
      <c r="P179" s="961" t="s">
        <v>313</v>
      </c>
      <c r="Q179" s="961" t="s">
        <v>43</v>
      </c>
      <c r="R179" s="962"/>
      <c r="S179" s="1196" t="s">
        <v>44</v>
      </c>
      <c r="T179" s="1197"/>
      <c r="U179"/>
      <c r="V179"/>
      <c r="W179"/>
      <c r="X179"/>
      <c r="Y179"/>
      <c r="Z179"/>
      <c r="AA179"/>
      <c r="AB179"/>
      <c r="AC179"/>
      <c r="AD179"/>
      <c r="AE179"/>
      <c r="AF179"/>
      <c r="AG179"/>
      <c r="AH179"/>
      <c r="AI179"/>
      <c r="AJ179"/>
      <c r="AK179"/>
    </row>
    <row r="180" spans="1:37" ht="15.75" x14ac:dyDescent="0.25">
      <c r="A180" s="963" t="s">
        <v>28</v>
      </c>
      <c r="B180" s="978" t="s">
        <v>316</v>
      </c>
      <c r="C180" s="979" t="s">
        <v>31</v>
      </c>
      <c r="D180" s="980" t="s">
        <v>30</v>
      </c>
      <c r="E180" s="980" t="s">
        <v>101</v>
      </c>
      <c r="F180" s="979" t="s">
        <v>56</v>
      </c>
      <c r="G180" s="587"/>
      <c r="H180" s="587">
        <v>45238.104986876599</v>
      </c>
      <c r="I180" s="588"/>
      <c r="J180" s="920">
        <v>3.81</v>
      </c>
      <c r="K180" s="253"/>
      <c r="L180" s="253"/>
      <c r="M180" s="253"/>
      <c r="N180" s="557"/>
      <c r="O180" s="589">
        <f>ROUND(G180*I180,2)+ROUND(H180*J180,2)-K180-L180-M180-N180</f>
        <v>172357.18</v>
      </c>
      <c r="P180" s="253">
        <f>ROUND(18.75%*O180,2)</f>
        <v>32316.97</v>
      </c>
      <c r="Q180" s="253">
        <f>ROUND($O180*R180,2)</f>
        <v>25853.58</v>
      </c>
      <c r="R180" s="590">
        <v>0.15</v>
      </c>
      <c r="S180" s="253">
        <f>ROUND($O180*T180,2)</f>
        <v>6463.39</v>
      </c>
      <c r="T180" s="591">
        <v>3.7499999999999999E-2</v>
      </c>
      <c r="U180"/>
      <c r="V180"/>
      <c r="W180"/>
      <c r="X180"/>
      <c r="Y180"/>
      <c r="Z180"/>
      <c r="AA180"/>
      <c r="AB180"/>
      <c r="AC180"/>
      <c r="AD180"/>
      <c r="AE180"/>
      <c r="AF180"/>
      <c r="AG180"/>
      <c r="AH180"/>
      <c r="AI180"/>
      <c r="AJ180"/>
      <c r="AK180"/>
    </row>
    <row r="181" spans="1:37" s="65" customFormat="1" ht="16.350000000000001" customHeight="1" x14ac:dyDescent="0.25">
      <c r="A181" s="967" t="s">
        <v>28</v>
      </c>
      <c r="B181" s="981" t="str">
        <f>B180</f>
        <v>XIII Gas - Paita 2</v>
      </c>
      <c r="C181" s="965" t="s">
        <v>31</v>
      </c>
      <c r="D181" s="970" t="s">
        <v>186</v>
      </c>
      <c r="E181" s="970"/>
      <c r="F181" s="969" t="str">
        <f>F180</f>
        <v xml:space="preserve"> MM BTU</v>
      </c>
      <c r="G181" s="936">
        <f>G180</f>
        <v>0</v>
      </c>
      <c r="H181" s="936">
        <f>H180</f>
        <v>45238.104986876599</v>
      </c>
      <c r="I181" s="588"/>
      <c r="J181" s="588">
        <v>4.1365999999999996</v>
      </c>
      <c r="K181" s="557"/>
      <c r="L181" s="557"/>
      <c r="M181" s="934"/>
      <c r="N181" s="934"/>
      <c r="O181" s="934">
        <f>ROUND(G181*I181,2)+ROUND(H181*J181,2)-K181-L181-M181-N181</f>
        <v>187131.95</v>
      </c>
      <c r="P181" s="557">
        <f>ROUND(18.75%*O181,2)</f>
        <v>35087.24</v>
      </c>
      <c r="Q181" s="557">
        <f>ROUND($O181*R181,2)</f>
        <v>28069.79</v>
      </c>
      <c r="R181" s="982">
        <v>0.15</v>
      </c>
      <c r="S181" s="557">
        <f>ROUND($O181*T181,2)</f>
        <v>7017.45</v>
      </c>
      <c r="T181" s="983">
        <v>3.7499999999999999E-2</v>
      </c>
      <c r="U181"/>
      <c r="V181"/>
      <c r="W181"/>
      <c r="X181"/>
      <c r="Y181"/>
      <c r="Z181"/>
      <c r="AA181"/>
      <c r="AB181"/>
      <c r="AC181"/>
      <c r="AD181"/>
      <c r="AE181"/>
      <c r="AF181"/>
      <c r="AG181"/>
      <c r="AH181"/>
      <c r="AI181"/>
      <c r="AJ181"/>
      <c r="AK181"/>
    </row>
    <row r="182" spans="1:37" s="65" customFormat="1" ht="15.75" x14ac:dyDescent="0.25">
      <c r="A182" s="971"/>
      <c r="B182" s="972" t="s">
        <v>181</v>
      </c>
      <c r="C182" s="973"/>
      <c r="D182" s="974"/>
      <c r="E182" s="974"/>
      <c r="F182" s="971"/>
      <c r="G182" s="975">
        <f t="shared" ref="G182:Q182" si="57">G181-G180</f>
        <v>0</v>
      </c>
      <c r="H182" s="975">
        <f t="shared" si="57"/>
        <v>0</v>
      </c>
      <c r="I182" s="830">
        <f t="shared" si="57"/>
        <v>0</v>
      </c>
      <c r="J182" s="830">
        <f t="shared" si="57"/>
        <v>0.32659999999999956</v>
      </c>
      <c r="K182" s="900">
        <f t="shared" si="57"/>
        <v>0</v>
      </c>
      <c r="L182" s="900">
        <f t="shared" si="57"/>
        <v>0</v>
      </c>
      <c r="M182" s="900">
        <f t="shared" si="57"/>
        <v>0</v>
      </c>
      <c r="N182" s="900">
        <f t="shared" si="57"/>
        <v>0</v>
      </c>
      <c r="O182" s="830">
        <f t="shared" si="57"/>
        <v>14774.770000000019</v>
      </c>
      <c r="P182" s="830">
        <f t="shared" si="57"/>
        <v>2770.2699999999968</v>
      </c>
      <c r="Q182" s="830">
        <f t="shared" si="57"/>
        <v>2216.2099999999991</v>
      </c>
      <c r="R182" s="830"/>
      <c r="S182" s="830">
        <f>S181-S180</f>
        <v>554.05999999999949</v>
      </c>
      <c r="T182" s="830"/>
      <c r="U182"/>
      <c r="V182"/>
      <c r="W182"/>
      <c r="X182"/>
      <c r="Y182"/>
      <c r="Z182"/>
      <c r="AA182"/>
      <c r="AB182"/>
      <c r="AC182"/>
      <c r="AD182"/>
      <c r="AE182"/>
      <c r="AF182"/>
      <c r="AG182"/>
      <c r="AH182"/>
      <c r="AI182"/>
      <c r="AJ182" t="s">
        <v>392</v>
      </c>
      <c r="AK182"/>
    </row>
    <row r="184" spans="1:37" x14ac:dyDescent="0.2">
      <c r="N184" s="418" t="s">
        <v>235</v>
      </c>
      <c r="O184" s="65">
        <f>+O79+O85+O91+O97+O103+O109+O115+O121+O127+O133+O139+O145+O152+O158+O164+O170+O176+O182</f>
        <v>-10273020.484908737</v>
      </c>
      <c r="P184" s="65">
        <f>+P79+P85+P91+P97+P103+P109+P115+P121+P127+P133+P139+P145+P152+P158+P164+P170+P176+P182</f>
        <v>-1371267.4991430002</v>
      </c>
      <c r="Q184" s="65">
        <f>+Q79+Q85+Q91+Q97+Q103+Q109+Q115+Q121+Q127+Q133+Q139+Q145+Q152+Q158+Q164+Q170+Q176+Q182</f>
        <v>-686245.01999999932</v>
      </c>
      <c r="R184" s="65"/>
      <c r="S184" s="65">
        <f>+S139+S145+S152+S158+S164+S170+S176+S182</f>
        <v>-407.49999999999818</v>
      </c>
    </row>
    <row r="185" spans="1:37" x14ac:dyDescent="0.2">
      <c r="I185" s="1201" t="s">
        <v>457</v>
      </c>
    </row>
    <row r="186" spans="1:37" x14ac:dyDescent="0.2">
      <c r="I186" s="1201"/>
      <c r="N186" s="264" t="str">
        <f>+B77</f>
        <v xml:space="preserve">56 Gas    </v>
      </c>
      <c r="O186" s="65">
        <f>+O79</f>
        <v>-671112.68899999931</v>
      </c>
      <c r="P186" s="65">
        <f>+P79</f>
        <v>-255022.81999999983</v>
      </c>
      <c r="Q186" s="65">
        <f>+Q79</f>
        <v>-127511.41000000015</v>
      </c>
      <c r="R186" s="65"/>
      <c r="S186" s="65">
        <v>0</v>
      </c>
    </row>
    <row r="187" spans="1:37" x14ac:dyDescent="0.2">
      <c r="I187" s="1201"/>
      <c r="N187" s="1080" t="s">
        <v>325</v>
      </c>
      <c r="O187" s="65">
        <f>+O85</f>
        <v>-9308208.7414507419</v>
      </c>
      <c r="P187" s="65">
        <f>+P85</f>
        <v>-1038859.1216200003</v>
      </c>
      <c r="Q187" s="65">
        <f>+Q85</f>
        <v>-519429.56000000006</v>
      </c>
      <c r="R187" s="65"/>
      <c r="S187" s="65">
        <f>+S85</f>
        <v>0</v>
      </c>
    </row>
    <row r="188" spans="1:37" x14ac:dyDescent="0.2">
      <c r="I188" s="1201"/>
      <c r="N188" s="1080" t="s">
        <v>390</v>
      </c>
      <c r="O188" s="65">
        <f>+O91</f>
        <v>-101736.71250000037</v>
      </c>
      <c r="P188" s="65">
        <f>+P91</f>
        <v>-6851.977523000096</v>
      </c>
      <c r="Q188" s="65">
        <f>+Q91</f>
        <v>-3425.9899999999907</v>
      </c>
      <c r="R188" s="65"/>
      <c r="S188" s="65">
        <v>0</v>
      </c>
    </row>
    <row r="189" spans="1:37" x14ac:dyDescent="0.2">
      <c r="I189" s="1201"/>
      <c r="N189" s="1080" t="s">
        <v>363</v>
      </c>
      <c r="O189" s="65">
        <f>+O97+O103</f>
        <v>-34845.779999993742</v>
      </c>
      <c r="P189" s="65">
        <f>+P97+P103</f>
        <v>-12976.570000000298</v>
      </c>
      <c r="Q189" s="65">
        <f>+Q97+Q103</f>
        <v>-6488.2799999993294</v>
      </c>
      <c r="R189" s="65"/>
      <c r="S189" s="65">
        <v>0</v>
      </c>
    </row>
    <row r="190" spans="1:37" x14ac:dyDescent="0.2">
      <c r="I190" s="1201"/>
      <c r="N190" s="1080" t="s">
        <v>434</v>
      </c>
      <c r="O190" s="65">
        <f>+O109</f>
        <v>-138964.56000000006</v>
      </c>
      <c r="P190" s="65">
        <f>+P109</f>
        <v>-52806.530000000028</v>
      </c>
      <c r="Q190" s="65">
        <f>+Q109</f>
        <v>-26403.270000000019</v>
      </c>
      <c r="R190" s="65"/>
      <c r="S190" s="65">
        <v>0</v>
      </c>
    </row>
    <row r="191" spans="1:37" x14ac:dyDescent="0.2">
      <c r="I191" s="1201"/>
      <c r="N191" s="1080" t="s">
        <v>321</v>
      </c>
      <c r="O191" s="65">
        <f>+O115+O121</f>
        <v>-4241.0119579999591</v>
      </c>
      <c r="P191" s="65">
        <f>+P115+P121</f>
        <v>-1579.3499999999913</v>
      </c>
      <c r="Q191" s="65">
        <f>+Q115+Q121</f>
        <v>-789.66999999999825</v>
      </c>
      <c r="R191" s="65"/>
      <c r="S191" s="65">
        <v>0</v>
      </c>
    </row>
    <row r="192" spans="1:37" x14ac:dyDescent="0.2">
      <c r="I192" s="1201"/>
      <c r="N192" s="1081" t="s">
        <v>322</v>
      </c>
      <c r="O192" s="390">
        <f>+O127+O133</f>
        <v>-3043.9999999999709</v>
      </c>
      <c r="P192" s="390">
        <f>+P127+P133</f>
        <v>-1133.5800000000017</v>
      </c>
      <c r="Q192" s="390">
        <f>+Q127+Q133</f>
        <v>-566.78999999999724</v>
      </c>
      <c r="R192" s="390"/>
      <c r="S192" s="390">
        <v>0</v>
      </c>
      <c r="T192" s="103"/>
    </row>
    <row r="193" spans="1:37" x14ac:dyDescent="0.2">
      <c r="I193" s="1201"/>
      <c r="O193" s="65">
        <f>+SUM(O186:O192)</f>
        <v>-10262153.494908735</v>
      </c>
      <c r="P193" s="65">
        <f>+SUM(P186:P192)</f>
        <v>-1369229.9491430006</v>
      </c>
      <c r="Q193" s="65">
        <f>+SUM(Q186:Q192)</f>
        <v>-684614.96999999962</v>
      </c>
      <c r="S193" s="65">
        <f>+SUM(S186:S192)</f>
        <v>0</v>
      </c>
    </row>
    <row r="194" spans="1:37" x14ac:dyDescent="0.2">
      <c r="I194" s="1201"/>
      <c r="O194" s="65"/>
      <c r="P194" s="65"/>
      <c r="Q194" s="65"/>
      <c r="S194" s="65"/>
    </row>
    <row r="195" spans="1:37" x14ac:dyDescent="0.2">
      <c r="I195" s="1201"/>
      <c r="N195" s="65" t="str">
        <f>+B156</f>
        <v>Z-69 -  Gas NORP</v>
      </c>
      <c r="O195" s="65">
        <f t="shared" ref="O195:T195" si="58">+O170+O164+O158+O176</f>
        <v>9617.7500000000437</v>
      </c>
      <c r="P195" s="407">
        <f t="shared" si="58"/>
        <v>1803.3399999999892</v>
      </c>
      <c r="Q195" s="65">
        <f t="shared" si="58"/>
        <v>1442.6600000000108</v>
      </c>
      <c r="R195" s="65">
        <f t="shared" si="58"/>
        <v>0</v>
      </c>
      <c r="S195" s="65">
        <f t="shared" si="58"/>
        <v>360.67000000000007</v>
      </c>
      <c r="T195" s="65">
        <f t="shared" si="58"/>
        <v>0</v>
      </c>
    </row>
    <row r="196" spans="1:37" x14ac:dyDescent="0.2">
      <c r="I196" s="1201"/>
      <c r="N196" s="1" t="str">
        <f>+B137</f>
        <v>III Gas</v>
      </c>
      <c r="O196" s="65">
        <f>+O139</f>
        <v>-600.98999999999069</v>
      </c>
      <c r="P196" s="65">
        <f>+P139</f>
        <v>-112.68999999998778</v>
      </c>
      <c r="Q196" s="65">
        <f>+Q139</f>
        <v>-90.149999999994179</v>
      </c>
      <c r="R196" s="65"/>
      <c r="S196" s="65">
        <f>+S139</f>
        <v>-22.539999999997235</v>
      </c>
    </row>
    <row r="197" spans="1:37" x14ac:dyDescent="0.2">
      <c r="I197" s="1201"/>
      <c r="N197" s="1" t="str">
        <f>+B143</f>
        <v>IV Gas</v>
      </c>
      <c r="O197" s="65">
        <f>+O145</f>
        <v>1425.3500000000349</v>
      </c>
      <c r="P197" s="65">
        <f>+P145</f>
        <v>267.25</v>
      </c>
      <c r="Q197" s="65">
        <f>+Q145</f>
        <v>213.81000000000495</v>
      </c>
      <c r="R197" s="65"/>
      <c r="S197" s="65">
        <f>+S145</f>
        <v>53.449999999998909</v>
      </c>
    </row>
    <row r="198" spans="1:37" x14ac:dyDescent="0.2">
      <c r="I198" s="1201"/>
      <c r="N198" s="65" t="str">
        <f>+B150</f>
        <v>XIII Petroleo</v>
      </c>
      <c r="O198" s="65">
        <f>+O152+O182</f>
        <v>-21309.09999999986</v>
      </c>
      <c r="P198" s="65">
        <f>+P152+P182</f>
        <v>-3995.4499999999753</v>
      </c>
      <c r="Q198" s="65">
        <f>+Q152+Q182</f>
        <v>-3196.3700000000172</v>
      </c>
      <c r="R198" s="65">
        <f>+R152+R182</f>
        <v>0</v>
      </c>
      <c r="S198" s="65">
        <f>+S152+S182</f>
        <v>-799.07999999999993</v>
      </c>
    </row>
    <row r="199" spans="1:37" x14ac:dyDescent="0.2">
      <c r="I199" s="1201"/>
      <c r="O199" s="369">
        <f>+SUM(O195:O198)</f>
        <v>-10866.989999999772</v>
      </c>
      <c r="P199" s="369">
        <f>+SUM(P195:P198)</f>
        <v>-2037.5499999999738</v>
      </c>
      <c r="Q199" s="369">
        <f>+SUM(Q195:Q198)</f>
        <v>-1630.0499999999956</v>
      </c>
      <c r="R199" s="369">
        <f>+SUM(R195:R198)</f>
        <v>0</v>
      </c>
      <c r="S199" s="369">
        <f>+SUM(S195:S198)</f>
        <v>-407.49999999999818</v>
      </c>
    </row>
    <row r="200" spans="1:37" x14ac:dyDescent="0.2">
      <c r="I200" s="1201"/>
    </row>
    <row r="201" spans="1:37" x14ac:dyDescent="0.2">
      <c r="I201" s="1201"/>
      <c r="O201" s="65">
        <f>+O199+O193</f>
        <v>-10273020.484908735</v>
      </c>
      <c r="P201" s="65">
        <f>+P199+P193</f>
        <v>-1371267.4991430007</v>
      </c>
      <c r="Q201" s="65">
        <f>+Q199+Q193</f>
        <v>-686245.01999999967</v>
      </c>
      <c r="R201" s="65"/>
      <c r="S201" s="65">
        <f>+S199+S193</f>
        <v>-407.49999999999818</v>
      </c>
    </row>
    <row r="203" spans="1:37" x14ac:dyDescent="0.2">
      <c r="O203" s="65">
        <f>+O201-O184</f>
        <v>0</v>
      </c>
      <c r="P203" s="65">
        <f>+P201-P184</f>
        <v>0</v>
      </c>
      <c r="Q203" s="65">
        <f>+Q201-Q184</f>
        <v>0</v>
      </c>
      <c r="R203" s="65"/>
      <c r="S203" s="65">
        <f>+S201-S184</f>
        <v>0</v>
      </c>
    </row>
    <row r="204" spans="1:37" x14ac:dyDescent="0.2">
      <c r="O204" s="65"/>
      <c r="P204" s="65"/>
      <c r="Q204" s="65"/>
      <c r="R204" s="65"/>
      <c r="S204" s="65"/>
    </row>
    <row r="205" spans="1:37" ht="15.75" x14ac:dyDescent="0.25">
      <c r="A205" s="951"/>
      <c r="B205" s="879" t="s">
        <v>435</v>
      </c>
      <c r="C205" s="683"/>
      <c r="D205" s="683"/>
      <c r="E205" s="683"/>
      <c r="F205" s="683"/>
      <c r="G205" s="683"/>
      <c r="H205" s="683"/>
      <c r="I205" s="683"/>
      <c r="J205" s="1153"/>
      <c r="K205" s="683"/>
      <c r="L205" s="683"/>
      <c r="M205" s="683"/>
      <c r="N205" s="950"/>
      <c r="O205" s="683"/>
      <c r="P205" s="1152"/>
      <c r="Q205" s="683"/>
      <c r="R205" s="911"/>
      <c r="S205"/>
      <c r="T205"/>
      <c r="U205"/>
      <c r="V205"/>
      <c r="W205"/>
      <c r="X205"/>
      <c r="Y205"/>
      <c r="Z205"/>
      <c r="AA205"/>
      <c r="AB205"/>
      <c r="AC205"/>
      <c r="AD205"/>
      <c r="AE205"/>
      <c r="AF205"/>
      <c r="AG205"/>
      <c r="AH205"/>
      <c r="AI205"/>
      <c r="AJ205"/>
      <c r="AK205"/>
    </row>
    <row r="206" spans="1:37" s="65" customFormat="1" ht="15" customHeight="1" x14ac:dyDescent="0.25">
      <c r="A206" s="954" t="s">
        <v>161</v>
      </c>
      <c r="B206" s="955"/>
      <c r="C206" s="956"/>
      <c r="D206" s="957" t="s">
        <v>19</v>
      </c>
      <c r="E206" s="958" t="s">
        <v>59</v>
      </c>
      <c r="F206" s="957" t="s">
        <v>27</v>
      </c>
      <c r="G206" s="959" t="s">
        <v>35</v>
      </c>
      <c r="H206" s="960" t="s">
        <v>36</v>
      </c>
      <c r="I206" s="960" t="s">
        <v>35</v>
      </c>
      <c r="J206" s="959" t="s">
        <v>36</v>
      </c>
      <c r="K206" s="959" t="s">
        <v>39</v>
      </c>
      <c r="L206" s="959" t="s">
        <v>40</v>
      </c>
      <c r="M206" s="959" t="s">
        <v>42</v>
      </c>
      <c r="N206" s="1056" t="s">
        <v>2</v>
      </c>
      <c r="O206" s="959" t="s">
        <v>180</v>
      </c>
      <c r="P206" s="961" t="s">
        <v>163</v>
      </c>
      <c r="Q206" s="961" t="s">
        <v>184</v>
      </c>
      <c r="R206" s="962"/>
      <c r="S206"/>
      <c r="T206"/>
      <c r="U206"/>
      <c r="V206"/>
      <c r="W206"/>
      <c r="X206"/>
      <c r="Y206"/>
      <c r="Z206"/>
      <c r="AA206"/>
      <c r="AB206"/>
      <c r="AC206"/>
      <c r="AD206"/>
      <c r="AE206"/>
      <c r="AF206"/>
      <c r="AG206"/>
      <c r="AH206"/>
      <c r="AI206"/>
      <c r="AJ206"/>
      <c r="AK206"/>
    </row>
    <row r="207" spans="1:37" s="65" customFormat="1" ht="14.85" customHeight="1" x14ac:dyDescent="0.25">
      <c r="A207" s="1017" t="s">
        <v>28</v>
      </c>
      <c r="B207" s="964" t="s">
        <v>325</v>
      </c>
      <c r="C207" s="965" t="s">
        <v>31</v>
      </c>
      <c r="D207" s="965" t="s">
        <v>30</v>
      </c>
      <c r="E207" s="965" t="s">
        <v>158</v>
      </c>
      <c r="F207" s="966" t="s">
        <v>56</v>
      </c>
      <c r="G207" s="222">
        <v>3925967.32</v>
      </c>
      <c r="H207" s="222">
        <v>4002660.23</v>
      </c>
      <c r="I207">
        <v>2.8679999999999999</v>
      </c>
      <c r="J207" s="216">
        <v>2.8679999999999999</v>
      </c>
      <c r="K207" s="559"/>
      <c r="L207" s="222"/>
      <c r="M207" s="222"/>
      <c r="N207" s="215"/>
      <c r="O207" s="224">
        <f>G207*I207+H207*J207</f>
        <v>22739303.8134</v>
      </c>
      <c r="P207" s="583">
        <f>ROUND(G207*I207,2)*11.09%+ROUND(H207*J207,2)*11.23%</f>
        <v>2537860.2738849996</v>
      </c>
      <c r="Q207" s="253">
        <f>ROUND(R207*P207,2)</f>
        <v>1268930.1399999999</v>
      </c>
      <c r="R207" s="223">
        <v>0.5</v>
      </c>
      <c r="S207" s="1151"/>
      <c r="T207"/>
      <c r="U207"/>
      <c r="V207"/>
      <c r="W207"/>
      <c r="X207"/>
      <c r="Y207"/>
      <c r="Z207"/>
      <c r="AA207"/>
      <c r="AB207"/>
      <c r="AC207"/>
      <c r="AD207"/>
      <c r="AE207"/>
      <c r="AF207"/>
      <c r="AG207"/>
      <c r="AH207"/>
      <c r="AI207"/>
      <c r="AJ207" s="1150"/>
      <c r="AK207"/>
    </row>
    <row r="208" spans="1:37" s="65" customFormat="1" ht="15.75" x14ac:dyDescent="0.25">
      <c r="A208" s="1018" t="s">
        <v>28</v>
      </c>
      <c r="B208" s="968" t="str">
        <f>B207</f>
        <v xml:space="preserve">57 Gas    </v>
      </c>
      <c r="C208" s="969" t="s">
        <v>31</v>
      </c>
      <c r="D208" s="970" t="s">
        <v>186</v>
      </c>
      <c r="E208" s="970"/>
      <c r="F208" s="969" t="str">
        <f>F207</f>
        <v xml:space="preserve"> MM BTU</v>
      </c>
      <c r="G208" s="424">
        <f>G207</f>
        <v>3925967.32</v>
      </c>
      <c r="H208" s="424">
        <f>H207</f>
        <v>4002660.23</v>
      </c>
      <c r="I208" s="219">
        <v>2.7829999999999999</v>
      </c>
      <c r="J208" s="741">
        <v>2.7829999999999999</v>
      </c>
      <c r="K208" s="1020"/>
      <c r="L208" s="424"/>
      <c r="M208" s="424"/>
      <c r="N208" s="936"/>
      <c r="O208" s="224">
        <f>G208*I208+H208*J208</f>
        <v>22065370.471649997</v>
      </c>
      <c r="P208" s="583">
        <f>ROUND(G208*I208,2)*11.09%+ROUND(H208*J208,2)*11.23%</f>
        <v>2462644.749911</v>
      </c>
      <c r="Q208" s="253">
        <f>ROUND(R208*P208,2)</f>
        <v>1231322.3700000001</v>
      </c>
      <c r="R208" s="229">
        <v>0.5</v>
      </c>
      <c r="S208"/>
      <c r="T208"/>
      <c r="U208"/>
      <c r="V208"/>
      <c r="W208"/>
      <c r="X208"/>
      <c r="Y208"/>
      <c r="Z208"/>
      <c r="AA208"/>
      <c r="AB208"/>
      <c r="AC208"/>
      <c r="AD208"/>
      <c r="AE208"/>
      <c r="AF208"/>
      <c r="AG208"/>
      <c r="AH208"/>
      <c r="AI208"/>
      <c r="AJ208"/>
      <c r="AK208"/>
    </row>
    <row r="209" spans="1:37" s="65" customFormat="1" ht="15.75" x14ac:dyDescent="0.25">
      <c r="A209" s="1019"/>
      <c r="B209" s="972" t="s">
        <v>181</v>
      </c>
      <c r="C209" s="973"/>
      <c r="D209" s="974"/>
      <c r="E209" s="974"/>
      <c r="F209" s="971"/>
      <c r="G209" s="975">
        <f t="shared" ref="G209:Q209" si="59">G208-G207</f>
        <v>0</v>
      </c>
      <c r="H209" s="975">
        <f t="shared" si="59"/>
        <v>0</v>
      </c>
      <c r="I209" s="975">
        <f t="shared" si="59"/>
        <v>-8.4999999999999964E-2</v>
      </c>
      <c r="J209" s="975">
        <f t="shared" si="59"/>
        <v>-8.4999999999999964E-2</v>
      </c>
      <c r="K209" s="975">
        <f t="shared" si="59"/>
        <v>0</v>
      </c>
      <c r="L209" s="975">
        <f t="shared" si="59"/>
        <v>0</v>
      </c>
      <c r="M209" s="975">
        <f t="shared" si="59"/>
        <v>0</v>
      </c>
      <c r="N209" s="975">
        <f t="shared" si="59"/>
        <v>0</v>
      </c>
      <c r="O209" s="830">
        <f t="shared" si="59"/>
        <v>-673933.3417500034</v>
      </c>
      <c r="P209" s="1044">
        <f t="shared" si="59"/>
        <v>-75215.523973999545</v>
      </c>
      <c r="Q209" s="1044">
        <f t="shared" si="59"/>
        <v>-37607.769999999786</v>
      </c>
      <c r="R209" s="1021"/>
      <c r="S209" t="s">
        <v>182</v>
      </c>
      <c r="T209"/>
      <c r="U209"/>
      <c r="V209"/>
      <c r="W209"/>
      <c r="X209"/>
      <c r="Y209"/>
      <c r="Z209"/>
      <c r="AA209"/>
      <c r="AB209"/>
      <c r="AC209"/>
      <c r="AD209"/>
      <c r="AE209"/>
      <c r="AF209"/>
      <c r="AG209"/>
      <c r="AH209"/>
      <c r="AI209"/>
      <c r="AJ209"/>
      <c r="AK209"/>
    </row>
    <row r="210" spans="1:37" x14ac:dyDescent="0.2">
      <c r="O210" s="65"/>
      <c r="P210" s="65"/>
      <c r="Q210" s="65"/>
      <c r="R210" s="65"/>
      <c r="S210" s="65"/>
    </row>
    <row r="211" spans="1:37" s="65" customFormat="1" ht="15.75" x14ac:dyDescent="0.25">
      <c r="A211" s="951"/>
      <c r="B211" s="879" t="s">
        <v>436</v>
      </c>
      <c r="C211" s="683"/>
      <c r="D211" s="683"/>
      <c r="E211" s="683"/>
      <c r="F211" s="683"/>
      <c r="G211" s="683"/>
      <c r="H211" s="683"/>
      <c r="I211" s="683"/>
      <c r="J211" s="952"/>
      <c r="K211" s="683"/>
      <c r="L211" s="683"/>
      <c r="M211" s="683"/>
      <c r="N211" s="683"/>
      <c r="O211" s="683"/>
      <c r="P211" s="683"/>
      <c r="Q211" s="683"/>
      <c r="R211" s="911"/>
      <c r="S211" s="683"/>
      <c r="T211" s="912"/>
      <c r="U211"/>
      <c r="V211"/>
      <c r="W211"/>
      <c r="X211"/>
      <c r="Y211"/>
      <c r="Z211"/>
      <c r="AA211"/>
      <c r="AB211"/>
      <c r="AC211"/>
      <c r="AD211"/>
      <c r="AE211"/>
      <c r="AF211"/>
      <c r="AG211"/>
      <c r="AH211"/>
      <c r="AI211"/>
      <c r="AJ211"/>
      <c r="AK211"/>
    </row>
    <row r="212" spans="1:37" s="65" customFormat="1" ht="15.75" x14ac:dyDescent="0.25">
      <c r="A212" s="977" t="s">
        <v>312</v>
      </c>
      <c r="B212" s="955"/>
      <c r="C212" s="956"/>
      <c r="D212" s="957" t="s">
        <v>19</v>
      </c>
      <c r="E212" s="958" t="s">
        <v>59</v>
      </c>
      <c r="F212" s="957" t="s">
        <v>27</v>
      </c>
      <c r="G212" s="959" t="s">
        <v>35</v>
      </c>
      <c r="H212" s="960" t="s">
        <v>36</v>
      </c>
      <c r="I212" s="960" t="s">
        <v>35</v>
      </c>
      <c r="J212" s="959" t="s">
        <v>36</v>
      </c>
      <c r="K212" s="959" t="s">
        <v>39</v>
      </c>
      <c r="L212" s="959" t="s">
        <v>40</v>
      </c>
      <c r="M212" s="959" t="s">
        <v>42</v>
      </c>
      <c r="N212" s="959" t="s">
        <v>2</v>
      </c>
      <c r="O212" s="959" t="s">
        <v>180</v>
      </c>
      <c r="P212" s="961" t="s">
        <v>313</v>
      </c>
      <c r="Q212" s="961" t="s">
        <v>43</v>
      </c>
      <c r="R212" s="962"/>
      <c r="S212" s="1196" t="s">
        <v>44</v>
      </c>
      <c r="T212" s="1197"/>
      <c r="U212"/>
      <c r="V212"/>
      <c r="W212"/>
      <c r="X212"/>
      <c r="Y212"/>
      <c r="Z212"/>
      <c r="AA212"/>
      <c r="AB212"/>
      <c r="AC212"/>
      <c r="AD212"/>
      <c r="AE212"/>
      <c r="AF212"/>
      <c r="AG212"/>
      <c r="AH212"/>
      <c r="AI212"/>
      <c r="AJ212"/>
      <c r="AK212"/>
    </row>
    <row r="213" spans="1:37" ht="15.75" x14ac:dyDescent="0.25">
      <c r="A213" s="963" t="s">
        <v>28</v>
      </c>
      <c r="B213" s="988" t="s">
        <v>394</v>
      </c>
      <c r="C213" s="979" t="s">
        <v>31</v>
      </c>
      <c r="D213" s="980" t="s">
        <v>30</v>
      </c>
      <c r="E213" s="980" t="s">
        <v>101</v>
      </c>
      <c r="F213" s="979" t="s">
        <v>56</v>
      </c>
      <c r="G213" s="222"/>
      <c r="H213" s="215"/>
      <c r="I213" s="217"/>
      <c r="J213" s="217"/>
      <c r="K213" s="253"/>
      <c r="L213" s="253"/>
      <c r="M213" s="253"/>
      <c r="N213" s="557"/>
      <c r="O213" s="224">
        <f>ROUND(G213*I213,2)+ROUND(H213*J213,2)-K213-L213-M213-N213</f>
        <v>0</v>
      </c>
      <c r="P213" s="222">
        <f>ROUND(18.75%*O213,2)</f>
        <v>0</v>
      </c>
      <c r="Q213" s="222">
        <f>ROUND($O213*R213,2)</f>
        <v>0</v>
      </c>
      <c r="R213" s="590">
        <v>0.15</v>
      </c>
      <c r="S213" s="253">
        <f>ROUND($O213*T213,2)</f>
        <v>0</v>
      </c>
      <c r="T213" s="591">
        <v>3.7499999999999999E-2</v>
      </c>
      <c r="U213"/>
      <c r="V213"/>
      <c r="W213"/>
      <c r="X213"/>
      <c r="Y213"/>
      <c r="Z213"/>
      <c r="AA213"/>
      <c r="AB213"/>
      <c r="AC213"/>
      <c r="AD213"/>
      <c r="AE213"/>
      <c r="AF213"/>
      <c r="AG213"/>
      <c r="AH213"/>
      <c r="AI213"/>
      <c r="AJ213"/>
      <c r="AK213"/>
    </row>
    <row r="214" spans="1:37" ht="15.75" x14ac:dyDescent="0.25">
      <c r="A214" s="967" t="s">
        <v>28</v>
      </c>
      <c r="B214" s="989" t="str">
        <f>B213</f>
        <v>VI - Perdida Crudo</v>
      </c>
      <c r="C214" s="965" t="s">
        <v>31</v>
      </c>
      <c r="D214" s="970" t="s">
        <v>186</v>
      </c>
      <c r="E214" s="970"/>
      <c r="F214" s="969" t="str">
        <f>F213</f>
        <v xml:space="preserve"> MM BTU</v>
      </c>
      <c r="G214" s="936">
        <v>0.05</v>
      </c>
      <c r="H214" s="311">
        <v>0</v>
      </c>
      <c r="I214" s="217">
        <v>80.83</v>
      </c>
      <c r="J214" s="217">
        <v>0</v>
      </c>
      <c r="K214" s="557"/>
      <c r="L214" s="557"/>
      <c r="M214" s="934"/>
      <c r="N214" s="934"/>
      <c r="O214" s="224">
        <f>ROUND(G214*I214,2)+ROUND(H214*J214,2)-K214-L214-M214-N214</f>
        <v>4.04</v>
      </c>
      <c r="P214" s="222">
        <f>ROUND(18.75%*O214,2)</f>
        <v>0.76</v>
      </c>
      <c r="Q214" s="222">
        <f>ROUND($O214*R214,2)</f>
        <v>0.61</v>
      </c>
      <c r="R214" s="982">
        <v>0.15</v>
      </c>
      <c r="S214" s="557">
        <f>ROUND($O214*T214,2)</f>
        <v>0.15</v>
      </c>
      <c r="T214" s="983">
        <v>3.7499999999999999E-2</v>
      </c>
      <c r="U214"/>
      <c r="V214"/>
      <c r="W214"/>
      <c r="X214"/>
      <c r="Y214"/>
      <c r="Z214"/>
      <c r="AA214"/>
      <c r="AB214"/>
      <c r="AC214"/>
      <c r="AD214"/>
      <c r="AE214"/>
      <c r="AF214"/>
      <c r="AG214"/>
      <c r="AH214"/>
      <c r="AI214"/>
      <c r="AJ214"/>
      <c r="AK214"/>
    </row>
    <row r="215" spans="1:37" s="65" customFormat="1" ht="15" customHeight="1" x14ac:dyDescent="0.25">
      <c r="A215" s="971"/>
      <c r="B215" s="972" t="s">
        <v>181</v>
      </c>
      <c r="C215" s="973"/>
      <c r="D215" s="974"/>
      <c r="E215" s="974"/>
      <c r="F215" s="971"/>
      <c r="G215" s="975">
        <f t="shared" ref="G215:Q215" si="60">G214-G213</f>
        <v>0.05</v>
      </c>
      <c r="H215" s="975">
        <f t="shared" si="60"/>
        <v>0</v>
      </c>
      <c r="I215" s="830">
        <f t="shared" si="60"/>
        <v>80.83</v>
      </c>
      <c r="J215" s="830">
        <f t="shared" si="60"/>
        <v>0</v>
      </c>
      <c r="K215" s="900">
        <f t="shared" si="60"/>
        <v>0</v>
      </c>
      <c r="L215" s="900">
        <f t="shared" si="60"/>
        <v>0</v>
      </c>
      <c r="M215" s="900">
        <f t="shared" si="60"/>
        <v>0</v>
      </c>
      <c r="N215" s="900">
        <f t="shared" si="60"/>
        <v>0</v>
      </c>
      <c r="O215" s="830">
        <f t="shared" si="60"/>
        <v>4.04</v>
      </c>
      <c r="P215" s="830">
        <f t="shared" si="60"/>
        <v>0.76</v>
      </c>
      <c r="Q215" s="830">
        <f t="shared" si="60"/>
        <v>0.61</v>
      </c>
      <c r="R215" s="830"/>
      <c r="S215" s="830">
        <f>S214-S213</f>
        <v>0.15</v>
      </c>
      <c r="T215" s="830"/>
      <c r="U215"/>
      <c r="V215"/>
      <c r="W215"/>
      <c r="X215"/>
      <c r="Y215"/>
      <c r="Z215"/>
      <c r="AA215"/>
      <c r="AB215"/>
      <c r="AC215"/>
      <c r="AD215"/>
      <c r="AE215"/>
      <c r="AF215"/>
      <c r="AG215"/>
      <c r="AH215"/>
      <c r="AI215"/>
      <c r="AJ215" t="s">
        <v>392</v>
      </c>
      <c r="AK215"/>
    </row>
    <row r="216" spans="1:37" s="65" customFormat="1" ht="15.75" x14ac:dyDescent="0.25">
      <c r="A216"/>
      <c r="B216"/>
      <c r="C216"/>
      <c r="D216"/>
      <c r="E216"/>
      <c r="F216"/>
      <c r="G216"/>
      <c r="H216"/>
      <c r="I216"/>
      <c r="J216"/>
      <c r="K216"/>
      <c r="L216"/>
      <c r="M216"/>
      <c r="N216"/>
      <c r="O216"/>
      <c r="P216" s="498"/>
      <c r="Q216"/>
      <c r="R216"/>
      <c r="S216"/>
      <c r="T216"/>
      <c r="U216"/>
      <c r="V216"/>
      <c r="W216"/>
      <c r="X216"/>
      <c r="Y216"/>
      <c r="Z216"/>
      <c r="AA216"/>
      <c r="AB216"/>
      <c r="AC216"/>
      <c r="AD216"/>
      <c r="AE216"/>
      <c r="AF216"/>
      <c r="AG216"/>
      <c r="AH216"/>
      <c r="AI216"/>
      <c r="AJ216"/>
      <c r="AK216"/>
    </row>
    <row r="217" spans="1:37" s="65" customFormat="1" ht="15.75" x14ac:dyDescent="0.25">
      <c r="A217" s="951"/>
      <c r="B217" s="879" t="s">
        <v>437</v>
      </c>
      <c r="C217" s="683"/>
      <c r="D217" s="683"/>
      <c r="E217" s="683"/>
      <c r="F217" s="683"/>
      <c r="G217" s="683"/>
      <c r="H217" s="683"/>
      <c r="I217" s="683"/>
      <c r="J217" s="952"/>
      <c r="K217" s="683"/>
      <c r="L217" s="683"/>
      <c r="M217" s="683"/>
      <c r="N217" s="683"/>
      <c r="O217" s="683"/>
      <c r="P217" s="683"/>
      <c r="Q217" s="683"/>
      <c r="R217" s="911"/>
      <c r="S217" s="683"/>
      <c r="T217" s="912"/>
      <c r="U217"/>
      <c r="V217"/>
      <c r="W217"/>
      <c r="X217"/>
      <c r="Y217"/>
      <c r="Z217"/>
      <c r="AA217"/>
      <c r="AB217"/>
      <c r="AC217"/>
      <c r="AD217"/>
      <c r="AE217"/>
      <c r="AF217"/>
      <c r="AG217"/>
      <c r="AH217"/>
      <c r="AI217"/>
      <c r="AJ217"/>
      <c r="AK217"/>
    </row>
    <row r="218" spans="1:37" s="65" customFormat="1" ht="15.75" x14ac:dyDescent="0.25">
      <c r="A218" s="977" t="s">
        <v>312</v>
      </c>
      <c r="B218" s="955"/>
      <c r="C218" s="956"/>
      <c r="D218" s="957" t="s">
        <v>19</v>
      </c>
      <c r="E218" s="958" t="s">
        <v>59</v>
      </c>
      <c r="F218" s="957" t="s">
        <v>27</v>
      </c>
      <c r="G218" s="959" t="s">
        <v>35</v>
      </c>
      <c r="H218" s="960" t="s">
        <v>36</v>
      </c>
      <c r="I218" s="960" t="s">
        <v>35</v>
      </c>
      <c r="J218" s="959" t="s">
        <v>36</v>
      </c>
      <c r="K218" s="959" t="s">
        <v>39</v>
      </c>
      <c r="L218" s="959" t="s">
        <v>40</v>
      </c>
      <c r="M218" s="959" t="s">
        <v>42</v>
      </c>
      <c r="N218" s="959" t="s">
        <v>2</v>
      </c>
      <c r="O218" s="959" t="s">
        <v>180</v>
      </c>
      <c r="P218" s="961" t="s">
        <v>313</v>
      </c>
      <c r="Q218" s="961" t="s">
        <v>43</v>
      </c>
      <c r="R218" s="962"/>
      <c r="S218" s="1196" t="s">
        <v>44</v>
      </c>
      <c r="T218" s="1197"/>
      <c r="U218"/>
      <c r="V218"/>
      <c r="W218"/>
      <c r="X218"/>
      <c r="Y218"/>
      <c r="Z218"/>
      <c r="AA218"/>
      <c r="AB218"/>
      <c r="AC218"/>
      <c r="AD218"/>
      <c r="AE218"/>
      <c r="AF218"/>
      <c r="AG218"/>
      <c r="AH218"/>
      <c r="AI218"/>
      <c r="AJ218"/>
      <c r="AK218"/>
    </row>
    <row r="219" spans="1:37" s="65" customFormat="1" ht="15.75" x14ac:dyDescent="0.25">
      <c r="A219" s="963" t="s">
        <v>28</v>
      </c>
      <c r="B219" s="988" t="s">
        <v>394</v>
      </c>
      <c r="C219" s="979" t="s">
        <v>31</v>
      </c>
      <c r="D219" s="980" t="s">
        <v>30</v>
      </c>
      <c r="E219" s="980" t="s">
        <v>101</v>
      </c>
      <c r="F219" s="979" t="s">
        <v>56</v>
      </c>
      <c r="G219" s="222"/>
      <c r="H219" s="215"/>
      <c r="I219" s="217"/>
      <c r="J219" s="217"/>
      <c r="K219" s="253"/>
      <c r="L219" s="253"/>
      <c r="M219" s="253"/>
      <c r="N219" s="557"/>
      <c r="O219" s="224">
        <f>ROUND(G219*I219,2)+ROUND(H219*J219,2)-K219-L219-M219-N219</f>
        <v>0</v>
      </c>
      <c r="P219" s="222">
        <f>ROUND(18.75%*O219,2)</f>
        <v>0</v>
      </c>
      <c r="Q219" s="222">
        <f>ROUND($O219*R219,2)</f>
        <v>0</v>
      </c>
      <c r="R219" s="590">
        <v>0.15</v>
      </c>
      <c r="S219" s="253">
        <f>ROUND($O219*T219,2)</f>
        <v>0</v>
      </c>
      <c r="T219" s="591">
        <v>3.7499999999999999E-2</v>
      </c>
      <c r="U219"/>
      <c r="V219"/>
      <c r="W219"/>
      <c r="X219"/>
      <c r="Y219"/>
      <c r="Z219"/>
      <c r="AA219"/>
      <c r="AB219"/>
      <c r="AC219"/>
      <c r="AD219"/>
      <c r="AE219"/>
      <c r="AF219"/>
      <c r="AG219"/>
      <c r="AH219"/>
      <c r="AI219"/>
      <c r="AJ219"/>
      <c r="AK219"/>
    </row>
    <row r="220" spans="1:37" ht="15.75" x14ac:dyDescent="0.25">
      <c r="A220" s="967" t="s">
        <v>28</v>
      </c>
      <c r="B220" s="989" t="str">
        <f>B219</f>
        <v>VI - Perdida Crudo</v>
      </c>
      <c r="C220" s="965" t="s">
        <v>31</v>
      </c>
      <c r="D220" s="970" t="s">
        <v>186</v>
      </c>
      <c r="E220" s="970"/>
      <c r="F220" s="969" t="str">
        <f>F219</f>
        <v xml:space="preserve"> MM BTU</v>
      </c>
      <c r="G220" s="936">
        <f>G219</f>
        <v>0</v>
      </c>
      <c r="H220" s="311">
        <v>0.17</v>
      </c>
      <c r="I220" s="217"/>
      <c r="J220" s="217">
        <v>66.72</v>
      </c>
      <c r="K220" s="557"/>
      <c r="L220" s="557"/>
      <c r="M220" s="934"/>
      <c r="N220" s="934"/>
      <c r="O220" s="224">
        <f>ROUND(G220*I220,2)+ROUND(H220*J220,2)-K220-L220-M220-N220</f>
        <v>11.34</v>
      </c>
      <c r="P220" s="222">
        <f>ROUND(18.75%*O220,2)</f>
        <v>2.13</v>
      </c>
      <c r="Q220" s="222">
        <f>ROUND($O220*R220,2)</f>
        <v>1.7</v>
      </c>
      <c r="R220" s="982">
        <v>0.15</v>
      </c>
      <c r="S220" s="557">
        <f>ROUND($O220*T220,2)</f>
        <v>0.43</v>
      </c>
      <c r="T220" s="983">
        <v>3.7499999999999999E-2</v>
      </c>
      <c r="U220"/>
      <c r="V220"/>
      <c r="W220"/>
      <c r="X220"/>
      <c r="Y220"/>
      <c r="Z220"/>
      <c r="AA220"/>
      <c r="AB220"/>
      <c r="AC220"/>
      <c r="AD220"/>
      <c r="AE220"/>
      <c r="AF220"/>
      <c r="AG220"/>
      <c r="AH220"/>
      <c r="AI220"/>
      <c r="AJ220"/>
      <c r="AK220"/>
    </row>
    <row r="221" spans="1:37" s="65" customFormat="1" ht="16.350000000000001" customHeight="1" x14ac:dyDescent="0.25">
      <c r="A221" s="971"/>
      <c r="B221" s="972" t="s">
        <v>181</v>
      </c>
      <c r="C221" s="973"/>
      <c r="D221" s="974"/>
      <c r="E221" s="974"/>
      <c r="F221" s="971"/>
      <c r="G221" s="975">
        <f t="shared" ref="G221:Q221" si="61">G220-G219</f>
        <v>0</v>
      </c>
      <c r="H221" s="975">
        <f t="shared" si="61"/>
        <v>0.17</v>
      </c>
      <c r="I221" s="830">
        <f t="shared" si="61"/>
        <v>0</v>
      </c>
      <c r="J221" s="830">
        <f t="shared" si="61"/>
        <v>66.72</v>
      </c>
      <c r="K221" s="900">
        <f t="shared" si="61"/>
        <v>0</v>
      </c>
      <c r="L221" s="900">
        <f t="shared" si="61"/>
        <v>0</v>
      </c>
      <c r="M221" s="900">
        <f t="shared" si="61"/>
        <v>0</v>
      </c>
      <c r="N221" s="900">
        <f t="shared" si="61"/>
        <v>0</v>
      </c>
      <c r="O221" s="830">
        <f t="shared" si="61"/>
        <v>11.34</v>
      </c>
      <c r="P221" s="830">
        <f t="shared" si="61"/>
        <v>2.13</v>
      </c>
      <c r="Q221" s="830">
        <f t="shared" si="61"/>
        <v>1.7</v>
      </c>
      <c r="R221" s="830"/>
      <c r="S221" s="830">
        <f>S220-S219</f>
        <v>0.43</v>
      </c>
      <c r="T221" s="830"/>
      <c r="U221"/>
      <c r="V221"/>
      <c r="W221"/>
      <c r="X221"/>
      <c r="Y221"/>
      <c r="Z221"/>
      <c r="AA221"/>
      <c r="AB221"/>
      <c r="AC221"/>
      <c r="AD221"/>
      <c r="AE221"/>
      <c r="AF221"/>
      <c r="AG221"/>
      <c r="AH221"/>
      <c r="AI221"/>
      <c r="AJ221" t="s">
        <v>392</v>
      </c>
      <c r="AK221"/>
    </row>
    <row r="222" spans="1:37" s="65" customFormat="1" ht="15.75" x14ac:dyDescent="0.25">
      <c r="A222" s="950"/>
      <c r="B222" s="683"/>
      <c r="C222" s="950"/>
      <c r="D222" s="950"/>
      <c r="E222" s="950"/>
      <c r="F222" s="950"/>
      <c r="G222" s="985"/>
      <c r="H222" s="985"/>
      <c r="I222" s="985"/>
      <c r="J222" s="985"/>
      <c r="K222" s="950"/>
      <c r="L222" s="950"/>
      <c r="M222" s="950"/>
      <c r="N222" s="950"/>
      <c r="O222" s="985"/>
      <c r="P222" s="985"/>
      <c r="Q222" s="985"/>
      <c r="R222" s="985"/>
      <c r="S222" s="985"/>
      <c r="T222" s="985"/>
      <c r="U222"/>
      <c r="V222"/>
      <c r="W222"/>
      <c r="X222"/>
      <c r="Y222"/>
      <c r="Z222"/>
      <c r="AA222"/>
      <c r="AB222"/>
      <c r="AC222"/>
      <c r="AD222"/>
      <c r="AE222"/>
      <c r="AF222"/>
      <c r="AG222"/>
      <c r="AH222"/>
      <c r="AI222"/>
      <c r="AJ222"/>
      <c r="AK222"/>
    </row>
    <row r="223" spans="1:37" s="65" customFormat="1" ht="15.75" x14ac:dyDescent="0.25">
      <c r="A223" s="951"/>
      <c r="B223" s="879" t="s">
        <v>438</v>
      </c>
      <c r="C223" s="683"/>
      <c r="D223" s="683"/>
      <c r="E223" s="683"/>
      <c r="F223" s="683"/>
      <c r="G223" s="683"/>
      <c r="H223" s="683"/>
      <c r="I223" s="683"/>
      <c r="J223" s="952"/>
      <c r="K223" s="683"/>
      <c r="L223" s="683"/>
      <c r="M223" s="683"/>
      <c r="N223" s="683"/>
      <c r="O223" s="683"/>
      <c r="P223" s="683"/>
      <c r="Q223" s="683"/>
      <c r="R223" s="911"/>
      <c r="S223" s="683"/>
      <c r="T223" s="912"/>
      <c r="U223"/>
      <c r="V223"/>
      <c r="W223"/>
      <c r="X223"/>
      <c r="Y223"/>
      <c r="Z223"/>
      <c r="AA223"/>
      <c r="AB223"/>
      <c r="AC223"/>
      <c r="AD223"/>
      <c r="AE223"/>
      <c r="AF223"/>
      <c r="AG223"/>
      <c r="AH223"/>
      <c r="AI223"/>
      <c r="AJ223"/>
      <c r="AK223"/>
    </row>
    <row r="224" spans="1:37" s="65" customFormat="1" ht="15.75" x14ac:dyDescent="0.25">
      <c r="A224" s="977" t="s">
        <v>312</v>
      </c>
      <c r="B224" s="955"/>
      <c r="C224" s="956"/>
      <c r="D224" s="957" t="s">
        <v>19</v>
      </c>
      <c r="E224" s="958" t="s">
        <v>59</v>
      </c>
      <c r="F224" s="957" t="s">
        <v>27</v>
      </c>
      <c r="G224" s="959" t="s">
        <v>35</v>
      </c>
      <c r="H224" s="960" t="s">
        <v>36</v>
      </c>
      <c r="I224" s="960" t="s">
        <v>35</v>
      </c>
      <c r="J224" s="959" t="s">
        <v>36</v>
      </c>
      <c r="K224" s="959" t="s">
        <v>39</v>
      </c>
      <c r="L224" s="959" t="s">
        <v>40</v>
      </c>
      <c r="M224" s="959" t="s">
        <v>42</v>
      </c>
      <c r="N224" s="959" t="s">
        <v>2</v>
      </c>
      <c r="O224" s="959" t="s">
        <v>180</v>
      </c>
      <c r="P224" s="961" t="s">
        <v>313</v>
      </c>
      <c r="Q224" s="961" t="s">
        <v>43</v>
      </c>
      <c r="R224" s="962"/>
      <c r="S224" s="1196" t="s">
        <v>44</v>
      </c>
      <c r="T224" s="1197"/>
      <c r="U224"/>
      <c r="V224"/>
      <c r="W224"/>
      <c r="X224"/>
      <c r="Y224"/>
      <c r="Z224"/>
      <c r="AA224"/>
      <c r="AB224"/>
      <c r="AC224"/>
      <c r="AD224"/>
      <c r="AE224"/>
      <c r="AF224"/>
      <c r="AG224"/>
      <c r="AH224"/>
      <c r="AI224"/>
      <c r="AJ224"/>
      <c r="AK224"/>
    </row>
    <row r="225" spans="1:37" ht="15.75" x14ac:dyDescent="0.25">
      <c r="A225" s="963" t="s">
        <v>28</v>
      </c>
      <c r="B225" s="988" t="s">
        <v>394</v>
      </c>
      <c r="C225" s="979" t="s">
        <v>31</v>
      </c>
      <c r="D225" s="980" t="s">
        <v>30</v>
      </c>
      <c r="E225" s="980" t="s">
        <v>101</v>
      </c>
      <c r="F225" s="979" t="s">
        <v>56</v>
      </c>
      <c r="G225" s="222"/>
      <c r="H225" s="215"/>
      <c r="I225" s="217"/>
      <c r="J225" s="217"/>
      <c r="K225" s="253"/>
      <c r="L225" s="253"/>
      <c r="M225" s="253"/>
      <c r="N225" s="557"/>
      <c r="O225" s="224">
        <f>ROUND(G225*I225,2)+ROUND(H225*J225,2)-K225-L225-M225-N225</f>
        <v>0</v>
      </c>
      <c r="P225" s="222">
        <f>ROUND(18.75%*O225,2)</f>
        <v>0</v>
      </c>
      <c r="Q225" s="222">
        <f>ROUND($O225*R225,2)</f>
        <v>0</v>
      </c>
      <c r="R225" s="590">
        <v>0.15</v>
      </c>
      <c r="S225" s="253">
        <f>ROUND($O225*T225,2)</f>
        <v>0</v>
      </c>
      <c r="T225" s="591">
        <v>3.7499999999999999E-2</v>
      </c>
      <c r="U225"/>
      <c r="V225"/>
      <c r="W225"/>
      <c r="X225"/>
      <c r="Y225"/>
      <c r="Z225"/>
      <c r="AA225"/>
      <c r="AB225"/>
      <c r="AC225"/>
      <c r="AD225"/>
      <c r="AE225"/>
      <c r="AF225"/>
      <c r="AG225"/>
      <c r="AH225"/>
      <c r="AI225"/>
      <c r="AJ225"/>
      <c r="AK225"/>
    </row>
    <row r="226" spans="1:37" ht="15.75" x14ac:dyDescent="0.25">
      <c r="A226" s="967" t="s">
        <v>28</v>
      </c>
      <c r="B226" s="989" t="str">
        <f>B225</f>
        <v>VI - Perdida Crudo</v>
      </c>
      <c r="C226" s="965" t="s">
        <v>31</v>
      </c>
      <c r="D226" s="970" t="s">
        <v>186</v>
      </c>
      <c r="E226" s="970"/>
      <c r="F226" s="969" t="str">
        <f>F225</f>
        <v xml:space="preserve"> MM BTU</v>
      </c>
      <c r="G226" s="936">
        <v>6.9</v>
      </c>
      <c r="H226" s="311">
        <v>0</v>
      </c>
      <c r="I226" s="217">
        <v>71.12</v>
      </c>
      <c r="J226" s="217">
        <v>0</v>
      </c>
      <c r="K226" s="557"/>
      <c r="L226" s="557"/>
      <c r="M226" s="934"/>
      <c r="N226" s="934"/>
      <c r="O226" s="224">
        <f>ROUND(G226*I226,2)+ROUND(H226*J226,2)-K226-L226-M226-N226</f>
        <v>490.73</v>
      </c>
      <c r="P226" s="222">
        <f>ROUND(18.75%*O226,2)</f>
        <v>92.01</v>
      </c>
      <c r="Q226" s="222">
        <f>ROUND($O226*R226,2)</f>
        <v>73.61</v>
      </c>
      <c r="R226" s="982">
        <v>0.15</v>
      </c>
      <c r="S226" s="557">
        <f>ROUND($O226*T226,2)</f>
        <v>18.399999999999999</v>
      </c>
      <c r="T226" s="983">
        <v>3.7499999999999999E-2</v>
      </c>
      <c r="U226"/>
      <c r="V226"/>
      <c r="W226"/>
      <c r="X226"/>
      <c r="Y226"/>
      <c r="Z226"/>
      <c r="AA226"/>
      <c r="AB226"/>
      <c r="AC226"/>
      <c r="AD226"/>
      <c r="AE226"/>
      <c r="AF226"/>
      <c r="AG226"/>
      <c r="AH226"/>
      <c r="AI226"/>
      <c r="AJ226"/>
      <c r="AK226"/>
    </row>
    <row r="227" spans="1:37" s="65" customFormat="1" ht="15" customHeight="1" x14ac:dyDescent="0.25">
      <c r="A227" s="971"/>
      <c r="B227" s="972" t="s">
        <v>181</v>
      </c>
      <c r="C227" s="973"/>
      <c r="D227" s="974"/>
      <c r="E227" s="974"/>
      <c r="F227" s="971"/>
      <c r="G227" s="975">
        <f t="shared" ref="G227:Q227" si="62">G226-G225</f>
        <v>6.9</v>
      </c>
      <c r="H227" s="975">
        <f t="shared" si="62"/>
        <v>0</v>
      </c>
      <c r="I227" s="830">
        <f t="shared" si="62"/>
        <v>71.12</v>
      </c>
      <c r="J227" s="830">
        <f t="shared" si="62"/>
        <v>0</v>
      </c>
      <c r="K227" s="900">
        <f t="shared" si="62"/>
        <v>0</v>
      </c>
      <c r="L227" s="900">
        <f t="shared" si="62"/>
        <v>0</v>
      </c>
      <c r="M227" s="900">
        <f t="shared" si="62"/>
        <v>0</v>
      </c>
      <c r="N227" s="900">
        <f t="shared" si="62"/>
        <v>0</v>
      </c>
      <c r="O227" s="830">
        <f t="shared" si="62"/>
        <v>490.73</v>
      </c>
      <c r="P227" s="830">
        <f t="shared" si="62"/>
        <v>92.01</v>
      </c>
      <c r="Q227" s="830">
        <f t="shared" si="62"/>
        <v>73.61</v>
      </c>
      <c r="R227" s="830"/>
      <c r="S227" s="830">
        <f>S226-S225</f>
        <v>18.399999999999999</v>
      </c>
      <c r="T227" s="830"/>
      <c r="U227"/>
      <c r="V227"/>
      <c r="W227"/>
      <c r="X227"/>
      <c r="Y227"/>
      <c r="Z227"/>
      <c r="AA227"/>
      <c r="AB227"/>
      <c r="AC227"/>
      <c r="AD227"/>
      <c r="AE227"/>
      <c r="AF227"/>
      <c r="AG227"/>
      <c r="AH227"/>
      <c r="AI227"/>
      <c r="AJ227" t="s">
        <v>392</v>
      </c>
      <c r="AK227"/>
    </row>
    <row r="228" spans="1:37" s="65" customFormat="1" ht="15.75" x14ac:dyDescent="0.25">
      <c r="A228"/>
      <c r="B228"/>
      <c r="C228"/>
      <c r="D228"/>
      <c r="E228"/>
      <c r="F228"/>
      <c r="G228"/>
      <c r="H228"/>
      <c r="I228"/>
      <c r="J228"/>
      <c r="K228"/>
      <c r="L228"/>
      <c r="M228"/>
      <c r="N228"/>
      <c r="O228"/>
      <c r="P228" s="498"/>
      <c r="Q228"/>
      <c r="R228"/>
      <c r="S228"/>
      <c r="T228"/>
      <c r="U228"/>
      <c r="V228"/>
      <c r="W228"/>
      <c r="X228"/>
      <c r="Y228"/>
      <c r="Z228"/>
      <c r="AA228"/>
      <c r="AB228"/>
      <c r="AC228"/>
      <c r="AD228"/>
      <c r="AE228"/>
      <c r="AF228"/>
      <c r="AG228"/>
      <c r="AH228"/>
      <c r="AI228"/>
      <c r="AJ228"/>
      <c r="AK228"/>
    </row>
    <row r="229" spans="1:37" s="65" customFormat="1" ht="15.75" x14ac:dyDescent="0.25">
      <c r="A229" s="951"/>
      <c r="B229" s="879" t="s">
        <v>439</v>
      </c>
      <c r="C229" s="683"/>
      <c r="D229" s="683"/>
      <c r="E229" s="683"/>
      <c r="F229" s="683"/>
      <c r="G229" s="683"/>
      <c r="H229" s="683"/>
      <c r="I229" s="683"/>
      <c r="J229" s="952"/>
      <c r="K229" s="683"/>
      <c r="L229" s="683"/>
      <c r="M229" s="683"/>
      <c r="N229" s="683"/>
      <c r="O229" s="683"/>
      <c r="P229" s="683"/>
      <c r="Q229" s="683"/>
      <c r="R229" s="911"/>
      <c r="S229" s="683"/>
      <c r="T229" s="912"/>
      <c r="U229"/>
      <c r="V229"/>
      <c r="W229"/>
      <c r="X229"/>
      <c r="Y229"/>
      <c r="Z229"/>
      <c r="AA229"/>
      <c r="AB229"/>
      <c r="AC229"/>
      <c r="AD229"/>
      <c r="AE229"/>
      <c r="AF229"/>
      <c r="AG229"/>
      <c r="AH229"/>
      <c r="AI229"/>
      <c r="AJ229"/>
      <c r="AK229"/>
    </row>
    <row r="230" spans="1:37" s="65" customFormat="1" ht="15.75" x14ac:dyDescent="0.25">
      <c r="A230" s="977" t="s">
        <v>312</v>
      </c>
      <c r="B230" s="955"/>
      <c r="C230" s="956"/>
      <c r="D230" s="957" t="s">
        <v>19</v>
      </c>
      <c r="E230" s="958" t="s">
        <v>59</v>
      </c>
      <c r="F230" s="957" t="s">
        <v>27</v>
      </c>
      <c r="G230" s="959" t="s">
        <v>35</v>
      </c>
      <c r="H230" s="960" t="s">
        <v>36</v>
      </c>
      <c r="I230" s="960" t="s">
        <v>35</v>
      </c>
      <c r="J230" s="959" t="s">
        <v>36</v>
      </c>
      <c r="K230" s="959" t="s">
        <v>39</v>
      </c>
      <c r="L230" s="959" t="s">
        <v>40</v>
      </c>
      <c r="M230" s="959" t="s">
        <v>42</v>
      </c>
      <c r="N230" s="959" t="s">
        <v>2</v>
      </c>
      <c r="O230" s="959" t="s">
        <v>180</v>
      </c>
      <c r="P230" s="961" t="s">
        <v>313</v>
      </c>
      <c r="Q230" s="961" t="s">
        <v>43</v>
      </c>
      <c r="R230" s="962"/>
      <c r="S230" s="1196" t="s">
        <v>44</v>
      </c>
      <c r="T230" s="1197"/>
      <c r="U230"/>
      <c r="V230"/>
      <c r="W230"/>
      <c r="X230"/>
      <c r="Y230"/>
      <c r="Z230"/>
      <c r="AA230"/>
      <c r="AB230"/>
      <c r="AC230"/>
      <c r="AD230"/>
      <c r="AE230"/>
      <c r="AF230"/>
      <c r="AG230"/>
      <c r="AH230"/>
      <c r="AI230"/>
      <c r="AJ230"/>
      <c r="AK230"/>
    </row>
    <row r="231" spans="1:37" s="65" customFormat="1" ht="15.75" x14ac:dyDescent="0.25">
      <c r="A231" s="963" t="s">
        <v>28</v>
      </c>
      <c r="B231" s="988" t="s">
        <v>394</v>
      </c>
      <c r="C231" s="979" t="s">
        <v>31</v>
      </c>
      <c r="D231" s="980" t="s">
        <v>30</v>
      </c>
      <c r="E231" s="980" t="s">
        <v>101</v>
      </c>
      <c r="F231" s="979" t="s">
        <v>56</v>
      </c>
      <c r="G231" s="222"/>
      <c r="H231" s="215"/>
      <c r="I231" s="217"/>
      <c r="J231" s="217"/>
      <c r="K231" s="253"/>
      <c r="L231" s="253"/>
      <c r="M231" s="253"/>
      <c r="N231" s="557"/>
      <c r="O231" s="224">
        <f>ROUND(G231*I231,2)+ROUND(H231*J231,2)-K231-L231-M231-N231</f>
        <v>0</v>
      </c>
      <c r="P231" s="222">
        <f>ROUND(18.75%*O231,2)</f>
        <v>0</v>
      </c>
      <c r="Q231" s="222">
        <f>ROUND($O231*R231,2)</f>
        <v>0</v>
      </c>
      <c r="R231" s="590">
        <v>0.15</v>
      </c>
      <c r="S231" s="253">
        <f>ROUND($O231*T231,2)</f>
        <v>0</v>
      </c>
      <c r="T231" s="591">
        <v>3.7499999999999999E-2</v>
      </c>
      <c r="U231"/>
      <c r="V231"/>
      <c r="W231"/>
      <c r="X231"/>
      <c r="Y231"/>
      <c r="Z231"/>
      <c r="AA231"/>
      <c r="AB231"/>
      <c r="AC231"/>
      <c r="AD231"/>
      <c r="AE231"/>
      <c r="AF231"/>
      <c r="AG231"/>
      <c r="AH231"/>
      <c r="AI231"/>
      <c r="AJ231"/>
      <c r="AK231"/>
    </row>
    <row r="232" spans="1:37" ht="15.75" x14ac:dyDescent="0.25">
      <c r="A232" s="967" t="s">
        <v>28</v>
      </c>
      <c r="B232" s="989" t="str">
        <f>B231</f>
        <v>VI - Perdida Crudo</v>
      </c>
      <c r="C232" s="965" t="s">
        <v>31</v>
      </c>
      <c r="D232" s="970" t="s">
        <v>186</v>
      </c>
      <c r="E232" s="970"/>
      <c r="F232" s="969" t="str">
        <f>F231</f>
        <v xml:space="preserve"> MM BTU</v>
      </c>
      <c r="G232" s="936">
        <v>2.2000000000000002</v>
      </c>
      <c r="H232" s="311">
        <v>0</v>
      </c>
      <c r="I232" s="217">
        <v>69.12</v>
      </c>
      <c r="J232" s="217">
        <v>0</v>
      </c>
      <c r="K232" s="557"/>
      <c r="L232" s="557"/>
      <c r="M232" s="934"/>
      <c r="N232" s="934"/>
      <c r="O232" s="224">
        <f>ROUND(G232*I232,2)+ROUND(H232*J232,2)-K232-L232-M232-N232</f>
        <v>152.06</v>
      </c>
      <c r="P232" s="222">
        <f>ROUND(18.75%*O232,2)</f>
        <v>28.51</v>
      </c>
      <c r="Q232" s="222">
        <f>ROUND($O232*R232,2)</f>
        <v>22.81</v>
      </c>
      <c r="R232" s="982">
        <v>0.15</v>
      </c>
      <c r="S232" s="557">
        <f>ROUND($O232*T232,2)</f>
        <v>5.7</v>
      </c>
      <c r="T232" s="983">
        <v>3.7499999999999999E-2</v>
      </c>
      <c r="U232"/>
      <c r="V232"/>
      <c r="W232"/>
      <c r="X232"/>
      <c r="Y232"/>
      <c r="Z232"/>
      <c r="AA232"/>
      <c r="AB232"/>
      <c r="AC232"/>
      <c r="AD232"/>
      <c r="AE232"/>
      <c r="AF232"/>
      <c r="AG232"/>
      <c r="AH232"/>
      <c r="AI232"/>
      <c r="AJ232"/>
      <c r="AK232"/>
    </row>
    <row r="233" spans="1:37" s="65" customFormat="1" ht="16.350000000000001" customHeight="1" x14ac:dyDescent="0.25">
      <c r="A233" s="971"/>
      <c r="B233" s="972" t="s">
        <v>181</v>
      </c>
      <c r="C233" s="973"/>
      <c r="D233" s="974"/>
      <c r="E233" s="974"/>
      <c r="F233" s="971"/>
      <c r="G233" s="975">
        <f t="shared" ref="G233:Q233" si="63">G232-G231</f>
        <v>2.2000000000000002</v>
      </c>
      <c r="H233" s="975">
        <f t="shared" si="63"/>
        <v>0</v>
      </c>
      <c r="I233" s="830">
        <f t="shared" si="63"/>
        <v>69.12</v>
      </c>
      <c r="J233" s="830">
        <f t="shared" si="63"/>
        <v>0</v>
      </c>
      <c r="K233" s="900">
        <f t="shared" si="63"/>
        <v>0</v>
      </c>
      <c r="L233" s="900">
        <f t="shared" si="63"/>
        <v>0</v>
      </c>
      <c r="M233" s="900">
        <f t="shared" si="63"/>
        <v>0</v>
      </c>
      <c r="N233" s="900">
        <f t="shared" si="63"/>
        <v>0</v>
      </c>
      <c r="O233" s="830">
        <f t="shared" si="63"/>
        <v>152.06</v>
      </c>
      <c r="P233" s="830">
        <f t="shared" si="63"/>
        <v>28.51</v>
      </c>
      <c r="Q233" s="830">
        <f t="shared" si="63"/>
        <v>22.81</v>
      </c>
      <c r="R233" s="830"/>
      <c r="S233" s="830">
        <f>S232-S231</f>
        <v>5.7</v>
      </c>
      <c r="T233" s="830"/>
      <c r="U233"/>
      <c r="V233"/>
      <c r="W233"/>
      <c r="X233"/>
      <c r="Y233"/>
      <c r="Z233"/>
      <c r="AA233"/>
      <c r="AB233"/>
      <c r="AC233"/>
      <c r="AD233"/>
      <c r="AE233"/>
      <c r="AF233"/>
      <c r="AG233"/>
      <c r="AH233"/>
      <c r="AI233"/>
      <c r="AJ233" t="s">
        <v>392</v>
      </c>
      <c r="AK233"/>
    </row>
    <row r="234" spans="1:37" s="65" customFormat="1" ht="15.75" x14ac:dyDescent="0.25">
      <c r="A234" s="950"/>
      <c r="B234" s="683"/>
      <c r="C234" s="950"/>
      <c r="D234" s="950"/>
      <c r="E234" s="950"/>
      <c r="F234" s="950"/>
      <c r="G234" s="985"/>
      <c r="H234" s="985"/>
      <c r="I234" s="985"/>
      <c r="J234" s="985"/>
      <c r="K234" s="950"/>
      <c r="L234" s="950"/>
      <c r="M234" s="950"/>
      <c r="N234" s="950"/>
      <c r="O234" s="985"/>
      <c r="P234" s="985"/>
      <c r="Q234" s="985"/>
      <c r="R234" s="985"/>
      <c r="S234" s="985"/>
      <c r="T234" s="985"/>
      <c r="U234"/>
      <c r="V234"/>
      <c r="W234"/>
      <c r="X234"/>
      <c r="Y234"/>
      <c r="Z234"/>
      <c r="AA234"/>
      <c r="AB234"/>
      <c r="AC234"/>
      <c r="AD234"/>
      <c r="AE234"/>
      <c r="AF234"/>
      <c r="AG234"/>
      <c r="AH234"/>
      <c r="AI234"/>
      <c r="AJ234"/>
      <c r="AK234"/>
    </row>
    <row r="235" spans="1:37" s="65" customFormat="1" ht="15.75" x14ac:dyDescent="0.25">
      <c r="A235" s="951"/>
      <c r="B235" s="879" t="s">
        <v>440</v>
      </c>
      <c r="C235" s="683"/>
      <c r="D235" s="683"/>
      <c r="E235" s="683"/>
      <c r="F235" s="683"/>
      <c r="G235" s="683"/>
      <c r="H235" s="683"/>
      <c r="I235" s="683"/>
      <c r="J235" s="952"/>
      <c r="K235" s="683"/>
      <c r="L235" s="683"/>
      <c r="M235" s="683"/>
      <c r="N235" s="683"/>
      <c r="O235" s="683"/>
      <c r="P235" s="683"/>
      <c r="Q235" s="683"/>
      <c r="R235" s="911"/>
      <c r="S235" s="683"/>
      <c r="T235" s="912"/>
      <c r="U235"/>
      <c r="V235"/>
      <c r="W235"/>
      <c r="X235"/>
      <c r="Y235"/>
      <c r="Z235"/>
      <c r="AA235"/>
      <c r="AB235"/>
      <c r="AC235"/>
      <c r="AD235"/>
      <c r="AE235"/>
      <c r="AF235"/>
      <c r="AG235"/>
      <c r="AH235"/>
      <c r="AI235"/>
      <c r="AJ235"/>
      <c r="AK235"/>
    </row>
    <row r="236" spans="1:37" s="65" customFormat="1" ht="15.75" x14ac:dyDescent="0.25">
      <c r="A236" s="977" t="s">
        <v>312</v>
      </c>
      <c r="B236" s="955"/>
      <c r="C236" s="956"/>
      <c r="D236" s="957" t="s">
        <v>19</v>
      </c>
      <c r="E236" s="958" t="s">
        <v>59</v>
      </c>
      <c r="F236" s="957" t="s">
        <v>27</v>
      </c>
      <c r="G236" s="959" t="s">
        <v>35</v>
      </c>
      <c r="H236" s="960" t="s">
        <v>36</v>
      </c>
      <c r="I236" s="960" t="s">
        <v>35</v>
      </c>
      <c r="J236" s="959" t="s">
        <v>36</v>
      </c>
      <c r="K236" s="959" t="s">
        <v>39</v>
      </c>
      <c r="L236" s="959" t="s">
        <v>40</v>
      </c>
      <c r="M236" s="959" t="s">
        <v>42</v>
      </c>
      <c r="N236" s="959" t="s">
        <v>2</v>
      </c>
      <c r="O236" s="959" t="s">
        <v>180</v>
      </c>
      <c r="P236" s="961" t="s">
        <v>313</v>
      </c>
      <c r="Q236" s="961" t="s">
        <v>43</v>
      </c>
      <c r="R236" s="962"/>
      <c r="S236" s="1196" t="s">
        <v>44</v>
      </c>
      <c r="T236" s="1197"/>
      <c r="U236"/>
      <c r="V236"/>
      <c r="W236"/>
      <c r="X236"/>
      <c r="Y236"/>
      <c r="Z236"/>
      <c r="AA236"/>
      <c r="AB236"/>
      <c r="AC236"/>
      <c r="AD236"/>
      <c r="AE236"/>
      <c r="AF236"/>
      <c r="AG236"/>
      <c r="AH236"/>
      <c r="AI236"/>
      <c r="AJ236"/>
      <c r="AK236"/>
    </row>
    <row r="237" spans="1:37" ht="15.75" x14ac:dyDescent="0.25">
      <c r="A237" s="963" t="s">
        <v>28</v>
      </c>
      <c r="B237" s="988" t="s">
        <v>394</v>
      </c>
      <c r="C237" s="979" t="s">
        <v>31</v>
      </c>
      <c r="D237" s="980" t="s">
        <v>30</v>
      </c>
      <c r="E237" s="980" t="s">
        <v>101</v>
      </c>
      <c r="F237" s="979" t="s">
        <v>56</v>
      </c>
      <c r="G237" s="222"/>
      <c r="H237" s="215"/>
      <c r="I237" s="217"/>
      <c r="J237" s="217"/>
      <c r="K237" s="253"/>
      <c r="L237" s="253"/>
      <c r="M237" s="253"/>
      <c r="N237" s="557"/>
      <c r="O237" s="224">
        <f>ROUND(G237*I237,2)+ROUND(H237*J237,2)-K237-L237-M237-N237</f>
        <v>0</v>
      </c>
      <c r="P237" s="222">
        <f>ROUND(18.75%*O237,2)</f>
        <v>0</v>
      </c>
      <c r="Q237" s="222">
        <f>ROUND($O237*R237,2)</f>
        <v>0</v>
      </c>
      <c r="R237" s="590">
        <v>0.15</v>
      </c>
      <c r="S237" s="253">
        <f>ROUND($O237*T237,2)</f>
        <v>0</v>
      </c>
      <c r="T237" s="591">
        <v>3.7499999999999999E-2</v>
      </c>
      <c r="U237"/>
      <c r="V237"/>
      <c r="W237"/>
      <c r="X237"/>
      <c r="Y237"/>
      <c r="Z237"/>
      <c r="AA237"/>
      <c r="AB237"/>
      <c r="AC237"/>
      <c r="AD237"/>
      <c r="AE237"/>
      <c r="AF237"/>
      <c r="AG237"/>
      <c r="AH237"/>
      <c r="AI237"/>
      <c r="AJ237"/>
      <c r="AK237"/>
    </row>
    <row r="238" spans="1:37" ht="15.75" x14ac:dyDescent="0.25">
      <c r="A238" s="967" t="s">
        <v>28</v>
      </c>
      <c r="B238" s="989" t="str">
        <f>B237</f>
        <v>VI - Perdida Crudo</v>
      </c>
      <c r="C238" s="965" t="s">
        <v>31</v>
      </c>
      <c r="D238" s="970" t="s">
        <v>186</v>
      </c>
      <c r="E238" s="970"/>
      <c r="F238" s="969" t="str">
        <f>F237</f>
        <v xml:space="preserve"> MM BTU</v>
      </c>
      <c r="G238" s="936">
        <v>0.1</v>
      </c>
      <c r="H238" s="311">
        <v>0</v>
      </c>
      <c r="I238" s="217">
        <v>68.59</v>
      </c>
      <c r="J238" s="217">
        <v>0</v>
      </c>
      <c r="K238" s="557"/>
      <c r="L238" s="557"/>
      <c r="M238" s="934"/>
      <c r="N238" s="934"/>
      <c r="O238" s="224">
        <f>ROUND(G238*I238,2)+ROUND(H238*J238,2)-K238-L238-M238-N238</f>
        <v>6.86</v>
      </c>
      <c r="P238" s="222">
        <f>ROUND(18.75%*O238,2)</f>
        <v>1.29</v>
      </c>
      <c r="Q238" s="222">
        <f>ROUND($O238*R238,2)</f>
        <v>1.03</v>
      </c>
      <c r="R238" s="982">
        <v>0.15</v>
      </c>
      <c r="S238" s="557">
        <f>ROUND($O238*T238,2)</f>
        <v>0.26</v>
      </c>
      <c r="T238" s="983">
        <v>3.7499999999999999E-2</v>
      </c>
      <c r="U238"/>
      <c r="V238"/>
      <c r="W238"/>
      <c r="X238"/>
      <c r="Y238"/>
      <c r="Z238"/>
      <c r="AA238"/>
      <c r="AB238"/>
      <c r="AC238"/>
      <c r="AD238"/>
      <c r="AE238"/>
      <c r="AF238"/>
      <c r="AG238"/>
      <c r="AH238"/>
      <c r="AI238"/>
      <c r="AJ238"/>
      <c r="AK238"/>
    </row>
    <row r="239" spans="1:37" s="65" customFormat="1" ht="15" customHeight="1" x14ac:dyDescent="0.25">
      <c r="A239" s="971"/>
      <c r="B239" s="972" t="s">
        <v>181</v>
      </c>
      <c r="C239" s="973"/>
      <c r="D239" s="974"/>
      <c r="E239" s="974"/>
      <c r="F239" s="971"/>
      <c r="G239" s="975">
        <f t="shared" ref="G239:Q239" si="64">G238-G237</f>
        <v>0.1</v>
      </c>
      <c r="H239" s="975">
        <f t="shared" si="64"/>
        <v>0</v>
      </c>
      <c r="I239" s="830">
        <f t="shared" si="64"/>
        <v>68.59</v>
      </c>
      <c r="J239" s="830">
        <f t="shared" si="64"/>
        <v>0</v>
      </c>
      <c r="K239" s="900">
        <f t="shared" si="64"/>
        <v>0</v>
      </c>
      <c r="L239" s="900">
        <f t="shared" si="64"/>
        <v>0</v>
      </c>
      <c r="M239" s="900">
        <f t="shared" si="64"/>
        <v>0</v>
      </c>
      <c r="N239" s="900">
        <f t="shared" si="64"/>
        <v>0</v>
      </c>
      <c r="O239" s="830">
        <f t="shared" si="64"/>
        <v>6.86</v>
      </c>
      <c r="P239" s="830">
        <f t="shared" si="64"/>
        <v>1.29</v>
      </c>
      <c r="Q239" s="830">
        <f t="shared" si="64"/>
        <v>1.03</v>
      </c>
      <c r="R239" s="830"/>
      <c r="S239" s="830">
        <f>S238-S237</f>
        <v>0.26</v>
      </c>
      <c r="T239" s="830"/>
      <c r="U239"/>
      <c r="V239"/>
      <c r="W239"/>
      <c r="X239"/>
      <c r="Y239"/>
      <c r="Z239"/>
      <c r="AA239"/>
      <c r="AB239"/>
      <c r="AC239"/>
      <c r="AD239"/>
      <c r="AE239"/>
      <c r="AF239"/>
      <c r="AG239"/>
      <c r="AH239"/>
      <c r="AI239"/>
      <c r="AJ239" t="s">
        <v>392</v>
      </c>
      <c r="AK239"/>
    </row>
    <row r="240" spans="1:37" s="65" customFormat="1" ht="15.75" x14ac:dyDescent="0.25">
      <c r="A240"/>
      <c r="B240"/>
      <c r="C240"/>
      <c r="D240"/>
      <c r="E240"/>
      <c r="F240"/>
      <c r="G240"/>
      <c r="H240"/>
      <c r="I240"/>
      <c r="J240"/>
      <c r="K240"/>
      <c r="L240"/>
      <c r="M240"/>
      <c r="N240"/>
      <c r="O240"/>
      <c r="P240" s="498"/>
      <c r="Q240"/>
      <c r="R240"/>
      <c r="S240"/>
      <c r="T240"/>
      <c r="U240"/>
      <c r="V240"/>
      <c r="W240"/>
      <c r="X240"/>
      <c r="Y240"/>
      <c r="Z240"/>
      <c r="AA240"/>
      <c r="AB240"/>
      <c r="AC240"/>
      <c r="AD240"/>
      <c r="AE240"/>
      <c r="AF240"/>
      <c r="AG240"/>
      <c r="AH240"/>
      <c r="AI240"/>
      <c r="AJ240"/>
      <c r="AK240"/>
    </row>
    <row r="241" spans="1:37" s="65" customFormat="1" ht="15.75" x14ac:dyDescent="0.25">
      <c r="A241" s="951"/>
      <c r="B241" s="879" t="s">
        <v>441</v>
      </c>
      <c r="C241" s="683"/>
      <c r="D241" s="683"/>
      <c r="E241" s="683"/>
      <c r="F241" s="683"/>
      <c r="G241" s="683"/>
      <c r="H241" s="683"/>
      <c r="I241" s="683"/>
      <c r="J241" s="952"/>
      <c r="K241" s="683"/>
      <c r="L241" s="683"/>
      <c r="M241" s="683"/>
      <c r="N241" s="683"/>
      <c r="O241" s="683"/>
      <c r="P241" s="683"/>
      <c r="Q241" s="683"/>
      <c r="R241" s="911"/>
      <c r="S241" s="683"/>
      <c r="T241" s="912"/>
      <c r="U241"/>
      <c r="V241"/>
      <c r="W241"/>
      <c r="X241"/>
      <c r="Y241"/>
      <c r="Z241"/>
      <c r="AA241"/>
      <c r="AB241"/>
      <c r="AC241"/>
      <c r="AD241"/>
      <c r="AE241"/>
      <c r="AF241"/>
      <c r="AG241"/>
      <c r="AH241"/>
      <c r="AI241"/>
      <c r="AJ241"/>
      <c r="AK241"/>
    </row>
    <row r="242" spans="1:37" s="65" customFormat="1" ht="15.75" x14ac:dyDescent="0.25">
      <c r="A242" s="977" t="s">
        <v>312</v>
      </c>
      <c r="B242" s="955"/>
      <c r="C242" s="956"/>
      <c r="D242" s="957" t="s">
        <v>19</v>
      </c>
      <c r="E242" s="958" t="s">
        <v>59</v>
      </c>
      <c r="F242" s="957" t="s">
        <v>27</v>
      </c>
      <c r="G242" s="959" t="s">
        <v>35</v>
      </c>
      <c r="H242" s="960" t="s">
        <v>36</v>
      </c>
      <c r="I242" s="960" t="s">
        <v>35</v>
      </c>
      <c r="J242" s="959" t="s">
        <v>36</v>
      </c>
      <c r="K242" s="959" t="s">
        <v>39</v>
      </c>
      <c r="L242" s="959" t="s">
        <v>40</v>
      </c>
      <c r="M242" s="959" t="s">
        <v>42</v>
      </c>
      <c r="N242" s="959" t="s">
        <v>2</v>
      </c>
      <c r="O242" s="959" t="s">
        <v>180</v>
      </c>
      <c r="P242" s="961" t="s">
        <v>313</v>
      </c>
      <c r="Q242" s="961" t="s">
        <v>43</v>
      </c>
      <c r="R242" s="962"/>
      <c r="S242" s="1196" t="s">
        <v>44</v>
      </c>
      <c r="T242" s="1197"/>
      <c r="U242"/>
      <c r="V242"/>
      <c r="W242"/>
      <c r="X242"/>
      <c r="Y242"/>
      <c r="Z242"/>
      <c r="AA242"/>
      <c r="AB242"/>
      <c r="AC242"/>
      <c r="AD242"/>
      <c r="AE242"/>
      <c r="AF242"/>
      <c r="AG242"/>
      <c r="AH242"/>
      <c r="AI242"/>
      <c r="AJ242"/>
      <c r="AK242"/>
    </row>
    <row r="243" spans="1:37" s="65" customFormat="1" ht="15.75" x14ac:dyDescent="0.25">
      <c r="A243" s="963" t="s">
        <v>28</v>
      </c>
      <c r="B243" s="988" t="s">
        <v>394</v>
      </c>
      <c r="C243" s="979" t="s">
        <v>31</v>
      </c>
      <c r="D243" s="980" t="s">
        <v>30</v>
      </c>
      <c r="E243" s="980" t="s">
        <v>101</v>
      </c>
      <c r="F243" s="979" t="s">
        <v>56</v>
      </c>
      <c r="G243" s="222"/>
      <c r="H243" s="215"/>
      <c r="I243" s="217"/>
      <c r="J243" s="217"/>
      <c r="K243" s="253"/>
      <c r="L243" s="253"/>
      <c r="M243" s="253"/>
      <c r="N243" s="557"/>
      <c r="O243" s="224">
        <f>ROUND(G243*I243,2)+ROUND(H243*J243,2)-K243-L243-M243-N243</f>
        <v>0</v>
      </c>
      <c r="P243" s="222">
        <f>ROUND(18.75%*O243,2)</f>
        <v>0</v>
      </c>
      <c r="Q243" s="222">
        <f>ROUND($O243*R243,2)</f>
        <v>0</v>
      </c>
      <c r="R243" s="590">
        <v>0.15</v>
      </c>
      <c r="S243" s="253">
        <f>ROUND($O243*T243,2)</f>
        <v>0</v>
      </c>
      <c r="T243" s="591">
        <v>3.7499999999999999E-2</v>
      </c>
      <c r="U243"/>
      <c r="V243"/>
      <c r="W243"/>
      <c r="X243"/>
      <c r="Y243"/>
      <c r="Z243"/>
      <c r="AA243"/>
      <c r="AB243"/>
      <c r="AC243"/>
      <c r="AD243"/>
      <c r="AE243"/>
      <c r="AF243"/>
      <c r="AG243"/>
      <c r="AH243"/>
      <c r="AI243"/>
      <c r="AJ243"/>
      <c r="AK243"/>
    </row>
    <row r="244" spans="1:37" ht="15.75" x14ac:dyDescent="0.25">
      <c r="A244" s="967" t="s">
        <v>28</v>
      </c>
      <c r="B244" s="989" t="str">
        <f>B243</f>
        <v>VI - Perdida Crudo</v>
      </c>
      <c r="C244" s="965" t="s">
        <v>31</v>
      </c>
      <c r="D244" s="970" t="s">
        <v>186</v>
      </c>
      <c r="E244" s="970"/>
      <c r="F244" s="969" t="str">
        <f>F243</f>
        <v xml:space="preserve"> MM BTU</v>
      </c>
      <c r="G244" s="936">
        <v>0</v>
      </c>
      <c r="H244" s="311">
        <v>0.85</v>
      </c>
      <c r="I244" s="217">
        <v>0</v>
      </c>
      <c r="J244" s="217">
        <v>69.06</v>
      </c>
      <c r="K244" s="557"/>
      <c r="L244" s="557"/>
      <c r="M244" s="934"/>
      <c r="N244" s="934"/>
      <c r="O244" s="224">
        <f>ROUND(G244*I244,2)+ROUND(H244*J244,2)-K244-L244-M244-N244</f>
        <v>58.7</v>
      </c>
      <c r="P244" s="222">
        <f>ROUND(18.75%*O244,2)</f>
        <v>11.01</v>
      </c>
      <c r="Q244" s="222">
        <f>ROUND($O244*R244,2)</f>
        <v>8.81</v>
      </c>
      <c r="R244" s="982">
        <v>0.15</v>
      </c>
      <c r="S244" s="557">
        <f>ROUND($O244*T244,2)</f>
        <v>2.2000000000000002</v>
      </c>
      <c r="T244" s="983">
        <v>3.7499999999999999E-2</v>
      </c>
      <c r="U244"/>
      <c r="V244"/>
      <c r="W244"/>
      <c r="X244"/>
      <c r="Y244"/>
      <c r="Z244"/>
      <c r="AA244"/>
      <c r="AB244"/>
      <c r="AC244"/>
      <c r="AD244"/>
      <c r="AE244"/>
      <c r="AF244"/>
      <c r="AG244"/>
      <c r="AH244"/>
      <c r="AI244"/>
      <c r="AJ244"/>
      <c r="AK244"/>
    </row>
    <row r="245" spans="1:37" s="65" customFormat="1" ht="16.350000000000001" customHeight="1" x14ac:dyDescent="0.25">
      <c r="A245" s="971"/>
      <c r="B245" s="972" t="s">
        <v>181</v>
      </c>
      <c r="C245" s="973"/>
      <c r="D245" s="974"/>
      <c r="E245" s="974"/>
      <c r="F245" s="971"/>
      <c r="G245" s="975">
        <f t="shared" ref="G245:Q245" si="65">G244-G243</f>
        <v>0</v>
      </c>
      <c r="H245" s="975">
        <f t="shared" si="65"/>
        <v>0.85</v>
      </c>
      <c r="I245" s="830">
        <f t="shared" si="65"/>
        <v>0</v>
      </c>
      <c r="J245" s="830">
        <f t="shared" si="65"/>
        <v>69.06</v>
      </c>
      <c r="K245" s="900">
        <f t="shared" si="65"/>
        <v>0</v>
      </c>
      <c r="L245" s="900">
        <f t="shared" si="65"/>
        <v>0</v>
      </c>
      <c r="M245" s="900">
        <f t="shared" si="65"/>
        <v>0</v>
      </c>
      <c r="N245" s="900">
        <f t="shared" si="65"/>
        <v>0</v>
      </c>
      <c r="O245" s="830">
        <f t="shared" si="65"/>
        <v>58.7</v>
      </c>
      <c r="P245" s="830">
        <f t="shared" si="65"/>
        <v>11.01</v>
      </c>
      <c r="Q245" s="830">
        <f t="shared" si="65"/>
        <v>8.81</v>
      </c>
      <c r="R245" s="830"/>
      <c r="S245" s="830">
        <f>S244-S243</f>
        <v>2.2000000000000002</v>
      </c>
      <c r="T245" s="830"/>
      <c r="U245"/>
      <c r="V245"/>
      <c r="W245"/>
      <c r="X245"/>
      <c r="Y245"/>
      <c r="Z245"/>
      <c r="AA245"/>
      <c r="AB245"/>
      <c r="AC245"/>
      <c r="AD245"/>
      <c r="AE245"/>
      <c r="AF245"/>
      <c r="AG245"/>
      <c r="AH245"/>
      <c r="AI245"/>
      <c r="AJ245" t="s">
        <v>392</v>
      </c>
      <c r="AK245"/>
    </row>
    <row r="246" spans="1:37" s="65" customFormat="1" ht="15.75" x14ac:dyDescent="0.25">
      <c r="A246" s="950"/>
      <c r="B246" s="683"/>
      <c r="C246" s="950"/>
      <c r="D246" s="950"/>
      <c r="E246" s="950"/>
      <c r="F246" s="950"/>
      <c r="G246" s="985"/>
      <c r="H246" s="985"/>
      <c r="I246" s="985"/>
      <c r="J246" s="985"/>
      <c r="K246" s="950"/>
      <c r="L246" s="950"/>
      <c r="M246" s="950"/>
      <c r="N246" s="950"/>
      <c r="O246" s="985"/>
      <c r="P246" s="985"/>
      <c r="Q246" s="985"/>
      <c r="R246" s="985"/>
      <c r="S246" s="985"/>
      <c r="T246" s="985"/>
      <c r="U246"/>
      <c r="V246"/>
      <c r="W246"/>
      <c r="X246"/>
      <c r="Y246"/>
      <c r="Z246"/>
      <c r="AA246"/>
      <c r="AB246"/>
      <c r="AC246"/>
      <c r="AD246"/>
      <c r="AE246"/>
      <c r="AF246"/>
      <c r="AG246"/>
      <c r="AH246"/>
      <c r="AI246"/>
      <c r="AJ246"/>
      <c r="AK246"/>
    </row>
    <row r="247" spans="1:37" s="65" customFormat="1" ht="15.75" x14ac:dyDescent="0.25">
      <c r="A247" s="951"/>
      <c r="B247" s="879" t="s">
        <v>442</v>
      </c>
      <c r="C247" s="683"/>
      <c r="D247" s="683"/>
      <c r="E247" s="683"/>
      <c r="F247" s="683"/>
      <c r="G247" s="683"/>
      <c r="H247" s="683"/>
      <c r="I247" s="683"/>
      <c r="J247" s="952"/>
      <c r="K247" s="683"/>
      <c r="L247" s="683"/>
      <c r="M247" s="683"/>
      <c r="N247" s="683"/>
      <c r="O247" s="683"/>
      <c r="P247" s="683"/>
      <c r="Q247" s="683"/>
      <c r="R247" s="911"/>
      <c r="S247" s="683"/>
      <c r="T247" s="912"/>
      <c r="U247"/>
      <c r="V247"/>
      <c r="W247"/>
      <c r="X247"/>
      <c r="Y247"/>
      <c r="Z247"/>
      <c r="AA247"/>
      <c r="AB247"/>
      <c r="AC247"/>
      <c r="AD247"/>
      <c r="AE247"/>
      <c r="AF247"/>
      <c r="AG247"/>
      <c r="AH247"/>
      <c r="AI247"/>
      <c r="AJ247"/>
      <c r="AK247"/>
    </row>
    <row r="248" spans="1:37" s="65" customFormat="1" ht="15.75" x14ac:dyDescent="0.25">
      <c r="A248" s="977" t="s">
        <v>312</v>
      </c>
      <c r="B248" s="955"/>
      <c r="C248" s="956"/>
      <c r="D248" s="957" t="s">
        <v>19</v>
      </c>
      <c r="E248" s="958" t="s">
        <v>59</v>
      </c>
      <c r="F248" s="957" t="s">
        <v>27</v>
      </c>
      <c r="G248" s="959" t="s">
        <v>35</v>
      </c>
      <c r="H248" s="960" t="s">
        <v>36</v>
      </c>
      <c r="I248" s="960" t="s">
        <v>35</v>
      </c>
      <c r="J248" s="959" t="s">
        <v>36</v>
      </c>
      <c r="K248" s="959" t="s">
        <v>39</v>
      </c>
      <c r="L248" s="959" t="s">
        <v>40</v>
      </c>
      <c r="M248" s="959" t="s">
        <v>42</v>
      </c>
      <c r="N248" s="959" t="s">
        <v>2</v>
      </c>
      <c r="O248" s="959" t="s">
        <v>180</v>
      </c>
      <c r="P248" s="961" t="s">
        <v>313</v>
      </c>
      <c r="Q248" s="961" t="s">
        <v>43</v>
      </c>
      <c r="R248" s="962"/>
      <c r="S248" s="1196" t="s">
        <v>44</v>
      </c>
      <c r="T248" s="1197"/>
      <c r="U248"/>
      <c r="V248"/>
      <c r="W248"/>
      <c r="X248"/>
      <c r="Y248"/>
      <c r="Z248"/>
      <c r="AA248"/>
      <c r="AB248"/>
      <c r="AC248"/>
      <c r="AD248"/>
      <c r="AE248"/>
      <c r="AF248"/>
      <c r="AG248"/>
      <c r="AH248"/>
      <c r="AI248"/>
      <c r="AJ248"/>
      <c r="AK248"/>
    </row>
    <row r="249" spans="1:37" s="65" customFormat="1" ht="15.75" x14ac:dyDescent="0.25">
      <c r="A249" s="963" t="s">
        <v>28</v>
      </c>
      <c r="B249" s="988" t="s">
        <v>394</v>
      </c>
      <c r="C249" s="979" t="s">
        <v>31</v>
      </c>
      <c r="D249" s="980" t="s">
        <v>30</v>
      </c>
      <c r="E249" s="980" t="s">
        <v>101</v>
      </c>
      <c r="F249" s="979" t="s">
        <v>56</v>
      </c>
      <c r="G249" s="222"/>
      <c r="H249" s="215"/>
      <c r="I249" s="217"/>
      <c r="J249" s="217"/>
      <c r="K249" s="253"/>
      <c r="L249" s="253"/>
      <c r="M249" s="253"/>
      <c r="N249" s="557"/>
      <c r="O249" s="224">
        <f>ROUND(G249*I249,2)+ROUND(H249*J249,2)-K249-L249-M249-N249</f>
        <v>0</v>
      </c>
      <c r="P249" s="222">
        <f>ROUND(18.75%*O249,2)</f>
        <v>0</v>
      </c>
      <c r="Q249" s="222">
        <f>ROUND($O249*R249,2)</f>
        <v>0</v>
      </c>
      <c r="R249" s="590">
        <v>0.15</v>
      </c>
      <c r="S249" s="253">
        <f>ROUND($O249*T249,2)</f>
        <v>0</v>
      </c>
      <c r="T249" s="591">
        <v>3.7499999999999999E-2</v>
      </c>
      <c r="U249"/>
      <c r="V249"/>
      <c r="W249"/>
      <c r="X249"/>
      <c r="Y249"/>
      <c r="Z249"/>
      <c r="AA249"/>
      <c r="AB249"/>
      <c r="AC249"/>
      <c r="AD249"/>
      <c r="AE249"/>
      <c r="AF249"/>
      <c r="AG249"/>
      <c r="AH249"/>
      <c r="AI249"/>
      <c r="AJ249"/>
      <c r="AK249"/>
    </row>
    <row r="250" spans="1:37" ht="15.75" x14ac:dyDescent="0.25">
      <c r="A250" s="967" t="s">
        <v>28</v>
      </c>
      <c r="B250" s="989" t="str">
        <f>B249</f>
        <v>VI - Perdida Crudo</v>
      </c>
      <c r="C250" s="965" t="s">
        <v>31</v>
      </c>
      <c r="D250" s="970" t="s">
        <v>186</v>
      </c>
      <c r="E250" s="970"/>
      <c r="F250" s="969" t="str">
        <f>F249</f>
        <v xml:space="preserve"> MM BTU</v>
      </c>
      <c r="G250" s="936">
        <v>0</v>
      </c>
      <c r="H250" s="311">
        <v>5.6670984455958551E-3</v>
      </c>
      <c r="I250" s="217">
        <v>0</v>
      </c>
      <c r="J250" s="217">
        <v>61.76</v>
      </c>
      <c r="K250" s="557"/>
      <c r="L250" s="557"/>
      <c r="M250" s="934"/>
      <c r="N250" s="934"/>
      <c r="O250" s="224">
        <f>ROUND(G250*I250,2)+ROUND(H250*J250,2)-K250-L250-M250-N250</f>
        <v>0.35</v>
      </c>
      <c r="P250" s="222">
        <f>ROUND(18.75%*O250,2)</f>
        <v>7.0000000000000007E-2</v>
      </c>
      <c r="Q250" s="222">
        <f>ROUND($O250*R250,2)</f>
        <v>0.05</v>
      </c>
      <c r="R250" s="982">
        <v>0.15</v>
      </c>
      <c r="S250" s="557">
        <f>ROUND($O250*T250,2)</f>
        <v>0.01</v>
      </c>
      <c r="T250" s="983">
        <v>3.7499999999999999E-2</v>
      </c>
      <c r="U250"/>
      <c r="V250"/>
      <c r="W250"/>
      <c r="X250"/>
      <c r="Y250"/>
      <c r="Z250"/>
      <c r="AA250"/>
      <c r="AB250"/>
      <c r="AC250"/>
      <c r="AD250"/>
      <c r="AE250"/>
      <c r="AF250"/>
      <c r="AG250"/>
      <c r="AH250"/>
      <c r="AI250"/>
      <c r="AJ250"/>
      <c r="AK250"/>
    </row>
    <row r="251" spans="1:37" s="65" customFormat="1" ht="16.350000000000001" customHeight="1" x14ac:dyDescent="0.25">
      <c r="A251" s="971"/>
      <c r="B251" s="972" t="s">
        <v>181</v>
      </c>
      <c r="C251" s="973"/>
      <c r="D251" s="974"/>
      <c r="E251" s="974"/>
      <c r="F251" s="971"/>
      <c r="G251" s="975">
        <f t="shared" ref="G251:Q251" si="66">G250-G249</f>
        <v>0</v>
      </c>
      <c r="H251" s="975">
        <f t="shared" si="66"/>
        <v>5.6670984455958551E-3</v>
      </c>
      <c r="I251" s="830">
        <f t="shared" si="66"/>
        <v>0</v>
      </c>
      <c r="J251" s="830">
        <f t="shared" si="66"/>
        <v>61.76</v>
      </c>
      <c r="K251" s="900">
        <f t="shared" si="66"/>
        <v>0</v>
      </c>
      <c r="L251" s="900">
        <f t="shared" si="66"/>
        <v>0</v>
      </c>
      <c r="M251" s="900">
        <f t="shared" si="66"/>
        <v>0</v>
      </c>
      <c r="N251" s="900">
        <f t="shared" si="66"/>
        <v>0</v>
      </c>
      <c r="O251" s="830">
        <f t="shared" si="66"/>
        <v>0.35</v>
      </c>
      <c r="P251" s="830">
        <f t="shared" si="66"/>
        <v>7.0000000000000007E-2</v>
      </c>
      <c r="Q251" s="830">
        <f t="shared" si="66"/>
        <v>0.05</v>
      </c>
      <c r="R251" s="830"/>
      <c r="S251" s="830">
        <f>S250-S249</f>
        <v>0.01</v>
      </c>
      <c r="T251" s="830"/>
      <c r="U251"/>
      <c r="V251"/>
      <c r="W251"/>
      <c r="X251"/>
      <c r="Y251"/>
      <c r="Z251"/>
      <c r="AA251"/>
      <c r="AB251"/>
      <c r="AC251"/>
      <c r="AD251"/>
      <c r="AE251"/>
      <c r="AF251"/>
      <c r="AG251"/>
      <c r="AH251"/>
      <c r="AI251"/>
      <c r="AJ251" t="s">
        <v>392</v>
      </c>
      <c r="AK251"/>
    </row>
    <row r="252" spans="1:37" x14ac:dyDescent="0.2">
      <c r="O252" s="65"/>
      <c r="P252" s="65"/>
      <c r="Q252" s="65"/>
      <c r="R252" s="65"/>
      <c r="S252" s="65"/>
    </row>
    <row r="253" spans="1:37" s="65" customFormat="1" ht="15.75" x14ac:dyDescent="0.25">
      <c r="A253" s="951"/>
      <c r="B253" s="879" t="s">
        <v>456</v>
      </c>
      <c r="C253" s="683"/>
      <c r="D253" s="683"/>
      <c r="E253" s="683"/>
      <c r="F253" s="683"/>
      <c r="G253" s="683"/>
      <c r="H253" s="683"/>
      <c r="I253" s="683"/>
      <c r="J253" s="952"/>
      <c r="K253" s="683"/>
      <c r="L253" s="683"/>
      <c r="M253" s="683"/>
      <c r="N253" s="950"/>
      <c r="O253" s="683"/>
      <c r="P253" s="683"/>
      <c r="Q253" s="683"/>
      <c r="R253" s="911"/>
      <c r="S253" s="683"/>
      <c r="T253" s="912"/>
      <c r="U253"/>
      <c r="V253"/>
      <c r="W253"/>
      <c r="X253"/>
      <c r="Y253"/>
      <c r="Z253"/>
      <c r="AA253"/>
      <c r="AB253"/>
      <c r="AC253"/>
      <c r="AD253"/>
      <c r="AE253"/>
      <c r="AF253"/>
      <c r="AG253"/>
      <c r="AH253"/>
      <c r="AI253"/>
      <c r="AJ253"/>
      <c r="AK253"/>
    </row>
    <row r="254" spans="1:37" s="65" customFormat="1" ht="15.75" x14ac:dyDescent="0.25">
      <c r="A254" s="977" t="s">
        <v>312</v>
      </c>
      <c r="B254" s="955"/>
      <c r="C254" s="956"/>
      <c r="D254" s="957" t="s">
        <v>19</v>
      </c>
      <c r="E254" s="958" t="s">
        <v>59</v>
      </c>
      <c r="F254" s="957" t="s">
        <v>27</v>
      </c>
      <c r="G254" s="959" t="s">
        <v>35</v>
      </c>
      <c r="H254" s="960" t="s">
        <v>36</v>
      </c>
      <c r="I254" s="960" t="s">
        <v>35</v>
      </c>
      <c r="J254" s="959" t="s">
        <v>36</v>
      </c>
      <c r="K254" s="959" t="s">
        <v>39</v>
      </c>
      <c r="L254" s="959" t="s">
        <v>40</v>
      </c>
      <c r="M254" s="959" t="s">
        <v>42</v>
      </c>
      <c r="N254" s="1056" t="s">
        <v>2</v>
      </c>
      <c r="O254" s="959" t="s">
        <v>180</v>
      </c>
      <c r="P254" s="961" t="s">
        <v>313</v>
      </c>
      <c r="Q254" s="961" t="s">
        <v>43</v>
      </c>
      <c r="R254" s="962"/>
      <c r="S254" s="1196" t="s">
        <v>44</v>
      </c>
      <c r="T254" s="1197"/>
      <c r="U254"/>
      <c r="V254"/>
      <c r="W254"/>
      <c r="X254"/>
      <c r="Y254"/>
      <c r="Z254"/>
      <c r="AA254"/>
      <c r="AB254"/>
      <c r="AC254"/>
      <c r="AD254"/>
      <c r="AE254"/>
      <c r="AF254"/>
      <c r="AG254"/>
      <c r="AH254"/>
      <c r="AI254"/>
      <c r="AJ254"/>
      <c r="AK254"/>
    </row>
    <row r="255" spans="1:37" ht="15.75" x14ac:dyDescent="0.25">
      <c r="A255" s="963" t="s">
        <v>28</v>
      </c>
      <c r="B255" s="445" t="s">
        <v>365</v>
      </c>
      <c r="C255" s="979" t="s">
        <v>31</v>
      </c>
      <c r="D255" s="980" t="s">
        <v>30</v>
      </c>
      <c r="E255" s="980" t="s">
        <v>101</v>
      </c>
      <c r="F255" s="979" t="s">
        <v>56</v>
      </c>
      <c r="G255" s="215">
        <v>68601.658298564405</v>
      </c>
      <c r="H255" s="215">
        <v>64608.4011031751</v>
      </c>
      <c r="I255" s="217">
        <v>2.8281999999999998</v>
      </c>
      <c r="J255" s="217">
        <v>2.8281999999999998</v>
      </c>
      <c r="K255" s="253"/>
      <c r="L255" s="253"/>
      <c r="M255" s="253"/>
      <c r="N255" s="557"/>
      <c r="O255" s="589">
        <f>ROUND(G255*I255,2)+ROUND(H255*J255,2)-K255-L255-M255-N255</f>
        <v>376744.69</v>
      </c>
      <c r="P255" s="253">
        <f>ROUND(18.75%*O255,2)</f>
        <v>70639.63</v>
      </c>
      <c r="Q255" s="253">
        <f>ROUND($O255*R255,2)</f>
        <v>56511.7</v>
      </c>
      <c r="R255" s="590">
        <v>0.15</v>
      </c>
      <c r="S255" s="253">
        <f>ROUND($O255*T255,2)</f>
        <v>14127.93</v>
      </c>
      <c r="T255" s="591">
        <v>3.7499999999999999E-2</v>
      </c>
      <c r="U255"/>
      <c r="V255"/>
      <c r="W255"/>
      <c r="X255"/>
      <c r="Y255"/>
      <c r="Z255"/>
      <c r="AA255"/>
      <c r="AB255"/>
      <c r="AC255"/>
      <c r="AD255"/>
      <c r="AE255"/>
      <c r="AF255"/>
      <c r="AG255"/>
      <c r="AH255"/>
      <c r="AI255"/>
      <c r="AJ255"/>
      <c r="AK255"/>
    </row>
    <row r="256" spans="1:37" s="65" customFormat="1" ht="15" customHeight="1" x14ac:dyDescent="0.25">
      <c r="A256" s="967" t="s">
        <v>28</v>
      </c>
      <c r="B256" s="981" t="str">
        <f>B255</f>
        <v>IV Gas</v>
      </c>
      <c r="C256" s="965" t="s">
        <v>31</v>
      </c>
      <c r="D256" s="970" t="s">
        <v>186</v>
      </c>
      <c r="E256" s="970"/>
      <c r="F256" s="969" t="str">
        <f>F255</f>
        <v xml:space="preserve"> MM BTU</v>
      </c>
      <c r="G256" s="348">
        <f>+G255</f>
        <v>68601.658298564405</v>
      </c>
      <c r="H256" s="348">
        <v>64608.4011031751</v>
      </c>
      <c r="I256" s="1149">
        <v>2.8389000000000002</v>
      </c>
      <c r="J256" s="1149">
        <v>2.8389000000000002</v>
      </c>
      <c r="K256" s="897"/>
      <c r="L256" s="897"/>
      <c r="M256" s="1148"/>
      <c r="N256" s="1148"/>
      <c r="O256" s="1148">
        <f>ROUND(G256*I256,2)+ROUND(H256*J256,2)-K256-L256-M256-N256</f>
        <v>378170.04000000004</v>
      </c>
      <c r="P256" s="897">
        <f>ROUND(18.75%*O256,2)</f>
        <v>70906.880000000005</v>
      </c>
      <c r="Q256" s="897">
        <f>ROUND($O256*R256,2)</f>
        <v>56725.51</v>
      </c>
      <c r="R256" s="1147">
        <v>0.15</v>
      </c>
      <c r="S256" s="897">
        <f>ROUND($O256*T256,2)</f>
        <v>14181.38</v>
      </c>
      <c r="T256" s="1146">
        <v>3.7499999999999999E-2</v>
      </c>
      <c r="U256"/>
      <c r="V256"/>
      <c r="W256"/>
      <c r="X256"/>
      <c r="Y256"/>
      <c r="Z256"/>
      <c r="AA256"/>
      <c r="AB256"/>
      <c r="AC256"/>
      <c r="AD256"/>
      <c r="AE256"/>
      <c r="AF256"/>
      <c r="AG256"/>
      <c r="AH256"/>
      <c r="AI256"/>
      <c r="AJ256"/>
      <c r="AK256"/>
    </row>
    <row r="257" spans="1:37" s="65" customFormat="1" ht="14.85" customHeight="1" x14ac:dyDescent="0.25">
      <c r="A257" s="971"/>
      <c r="B257" s="972" t="s">
        <v>181</v>
      </c>
      <c r="C257" s="973"/>
      <c r="D257" s="974"/>
      <c r="E257" s="974"/>
      <c r="F257" s="971"/>
      <c r="G257" s="1145">
        <f t="shared" ref="G257:T257" si="67">+G255-G256</f>
        <v>0</v>
      </c>
      <c r="H257" s="1145">
        <f t="shared" si="67"/>
        <v>0</v>
      </c>
      <c r="I257" s="1145">
        <f t="shared" si="67"/>
        <v>-1.0700000000000376E-2</v>
      </c>
      <c r="J257" s="1145">
        <f t="shared" si="67"/>
        <v>-1.0700000000000376E-2</v>
      </c>
      <c r="K257" s="1145">
        <f t="shared" si="67"/>
        <v>0</v>
      </c>
      <c r="L257" s="1145">
        <f t="shared" si="67"/>
        <v>0</v>
      </c>
      <c r="M257" s="1145">
        <f t="shared" si="67"/>
        <v>0</v>
      </c>
      <c r="N257" s="1145">
        <f t="shared" si="67"/>
        <v>0</v>
      </c>
      <c r="O257" s="1145">
        <f t="shared" si="67"/>
        <v>-1425.3500000000349</v>
      </c>
      <c r="P257" s="1145">
        <f t="shared" si="67"/>
        <v>-267.25</v>
      </c>
      <c r="Q257" s="1145">
        <f t="shared" si="67"/>
        <v>-213.81000000000495</v>
      </c>
      <c r="R257" s="1145">
        <f t="shared" si="67"/>
        <v>0</v>
      </c>
      <c r="S257" s="1145">
        <f t="shared" si="67"/>
        <v>-53.449999999998909</v>
      </c>
      <c r="T257" s="1145">
        <f t="shared" si="67"/>
        <v>0</v>
      </c>
      <c r="U257"/>
      <c r="V257"/>
      <c r="W257"/>
      <c r="X257"/>
      <c r="Y257"/>
      <c r="Z257"/>
      <c r="AA257"/>
      <c r="AB257"/>
      <c r="AC257"/>
      <c r="AD257"/>
      <c r="AE257"/>
      <c r="AF257"/>
      <c r="AG257"/>
      <c r="AH257"/>
      <c r="AI257"/>
      <c r="AJ257" t="s">
        <v>392</v>
      </c>
      <c r="AK257"/>
    </row>
    <row r="258" spans="1:37" x14ac:dyDescent="0.2">
      <c r="O258" s="65"/>
      <c r="P258" s="65"/>
      <c r="Q258" s="65"/>
      <c r="R258" s="65"/>
      <c r="S258" s="65"/>
    </row>
    <row r="259" spans="1:37" s="65" customFormat="1" ht="15.75" x14ac:dyDescent="0.25">
      <c r="A259" s="951"/>
      <c r="B259" s="879" t="s">
        <v>455</v>
      </c>
      <c r="C259" s="683"/>
      <c r="D259" s="683"/>
      <c r="E259" s="683"/>
      <c r="F259" s="683"/>
      <c r="G259" s="683"/>
      <c r="H259" s="683"/>
      <c r="I259" s="683"/>
      <c r="J259" s="952"/>
      <c r="K259" s="683"/>
      <c r="L259" s="683"/>
      <c r="M259" s="683"/>
      <c r="N259" s="950"/>
      <c r="O259" s="683"/>
      <c r="P259" s="683"/>
      <c r="Q259" s="683"/>
      <c r="R259" s="911"/>
      <c r="S259" s="683"/>
      <c r="T259" s="912"/>
      <c r="U259"/>
      <c r="V259"/>
      <c r="W259"/>
      <c r="X259"/>
      <c r="Y259"/>
      <c r="Z259"/>
      <c r="AA259"/>
      <c r="AB259"/>
      <c r="AC259"/>
      <c r="AD259"/>
      <c r="AE259"/>
      <c r="AF259"/>
      <c r="AG259"/>
      <c r="AH259"/>
      <c r="AI259"/>
      <c r="AJ259"/>
      <c r="AK259"/>
    </row>
    <row r="260" spans="1:37" s="65" customFormat="1" ht="15.75" x14ac:dyDescent="0.25">
      <c r="A260" s="977" t="s">
        <v>312</v>
      </c>
      <c r="B260" s="955"/>
      <c r="C260" s="956"/>
      <c r="D260" s="957" t="s">
        <v>19</v>
      </c>
      <c r="E260" s="958" t="s">
        <v>59</v>
      </c>
      <c r="F260" s="957" t="s">
        <v>27</v>
      </c>
      <c r="G260" s="959" t="s">
        <v>35</v>
      </c>
      <c r="H260" s="960" t="s">
        <v>36</v>
      </c>
      <c r="I260" s="960" t="s">
        <v>35</v>
      </c>
      <c r="J260" s="959" t="s">
        <v>36</v>
      </c>
      <c r="K260" s="959" t="s">
        <v>39</v>
      </c>
      <c r="L260" s="959" t="s">
        <v>40</v>
      </c>
      <c r="M260" s="959" t="s">
        <v>42</v>
      </c>
      <c r="N260" s="1056" t="s">
        <v>2</v>
      </c>
      <c r="O260" s="959" t="s">
        <v>180</v>
      </c>
      <c r="P260" s="961" t="s">
        <v>313</v>
      </c>
      <c r="Q260" s="961" t="s">
        <v>43</v>
      </c>
      <c r="R260" s="962"/>
      <c r="S260" s="1196" t="s">
        <v>44</v>
      </c>
      <c r="T260" s="1197"/>
      <c r="U260"/>
      <c r="V260"/>
      <c r="W260"/>
      <c r="X260"/>
      <c r="Y260"/>
      <c r="Z260"/>
      <c r="AA260"/>
      <c r="AB260"/>
      <c r="AC260"/>
      <c r="AD260"/>
      <c r="AE260"/>
      <c r="AF260"/>
      <c r="AG260"/>
      <c r="AH260"/>
      <c r="AI260"/>
      <c r="AJ260"/>
      <c r="AK260"/>
    </row>
    <row r="261" spans="1:37" s="65" customFormat="1" ht="15.75" x14ac:dyDescent="0.25">
      <c r="A261" s="963" t="s">
        <v>28</v>
      </c>
      <c r="B261" s="978" t="s">
        <v>443</v>
      </c>
      <c r="C261" s="979" t="s">
        <v>31</v>
      </c>
      <c r="D261" s="980" t="s">
        <v>30</v>
      </c>
      <c r="E261" s="980" t="s">
        <v>101</v>
      </c>
      <c r="F261" s="979" t="s">
        <v>56</v>
      </c>
      <c r="G261" s="215"/>
      <c r="H261" s="215">
        <v>172319.03039999999</v>
      </c>
      <c r="I261" s="217"/>
      <c r="J261" s="217">
        <v>3.7048000000000001</v>
      </c>
      <c r="K261" s="253"/>
      <c r="L261" s="253"/>
      <c r="M261" s="253"/>
      <c r="N261" s="557"/>
      <c r="O261" s="589">
        <f>ROUND(G261*I261,2)+ROUND(H261*J261,2)-K261-L261-M261-N261</f>
        <v>638407.54</v>
      </c>
      <c r="P261" s="253">
        <f>ROUND(18.75%*O261,2)</f>
        <v>119701.41</v>
      </c>
      <c r="Q261" s="253">
        <f>ROUND($O261*R261,2)</f>
        <v>95761.13</v>
      </c>
      <c r="R261" s="590">
        <v>0.15</v>
      </c>
      <c r="S261" s="253">
        <f>ROUND($O261*T261,2)</f>
        <v>23940.28</v>
      </c>
      <c r="T261" s="591">
        <v>3.7499999999999999E-2</v>
      </c>
      <c r="U261"/>
      <c r="V261"/>
      <c r="W261"/>
      <c r="X261"/>
      <c r="Y261"/>
      <c r="Z261"/>
      <c r="AA261"/>
      <c r="AB261"/>
      <c r="AC261"/>
      <c r="AD261"/>
      <c r="AE261"/>
      <c r="AF261"/>
      <c r="AG261"/>
      <c r="AH261"/>
      <c r="AI261"/>
      <c r="AJ261"/>
      <c r="AK261"/>
    </row>
    <row r="262" spans="1:37" s="65" customFormat="1" ht="15.75" x14ac:dyDescent="0.25">
      <c r="A262" s="967" t="s">
        <v>28</v>
      </c>
      <c r="B262" s="981" t="str">
        <f>B261</f>
        <v>XIII Gas EFT-03</v>
      </c>
      <c r="C262" s="965" t="s">
        <v>31</v>
      </c>
      <c r="D262" s="970" t="s">
        <v>186</v>
      </c>
      <c r="E262" s="970"/>
      <c r="F262" s="969" t="str">
        <f>F261</f>
        <v xml:space="preserve"> MM BTU</v>
      </c>
      <c r="G262" s="936">
        <f>G261</f>
        <v>0</v>
      </c>
      <c r="H262" s="936">
        <v>31882.16</v>
      </c>
      <c r="I262" s="217"/>
      <c r="J262" s="217">
        <v>2.82</v>
      </c>
      <c r="K262" s="557"/>
      <c r="L262" s="557"/>
      <c r="M262" s="934"/>
      <c r="N262" s="934"/>
      <c r="O262" s="934">
        <f>ROUND(G262*I262,2)+ROUND(H262*J262,2)-K262-L262-M262-N262</f>
        <v>89907.69</v>
      </c>
      <c r="P262" s="557">
        <f>ROUND(18.75%*O262,2)</f>
        <v>16857.689999999999</v>
      </c>
      <c r="Q262" s="557">
        <f>ROUND($O262*R262,2)</f>
        <v>13486.15</v>
      </c>
      <c r="R262" s="982">
        <v>0.15</v>
      </c>
      <c r="S262" s="557">
        <f>ROUND($O262*T262,2)</f>
        <v>3371.54</v>
      </c>
      <c r="T262" s="983">
        <v>3.7499999999999999E-2</v>
      </c>
      <c r="U262"/>
      <c r="V262"/>
      <c r="W262"/>
      <c r="X262"/>
      <c r="Y262"/>
      <c r="Z262"/>
      <c r="AA262"/>
      <c r="AB262"/>
      <c r="AC262"/>
      <c r="AD262"/>
      <c r="AE262"/>
      <c r="AF262"/>
      <c r="AG262"/>
      <c r="AH262"/>
      <c r="AI262"/>
      <c r="AJ262"/>
      <c r="AK262"/>
    </row>
    <row r="263" spans="1:37" s="65" customFormat="1" ht="15.75" x14ac:dyDescent="0.25">
      <c r="A263" s="971"/>
      <c r="B263" s="972" t="s">
        <v>181</v>
      </c>
      <c r="C263" s="973"/>
      <c r="D263" s="974"/>
      <c r="E263" s="974"/>
      <c r="F263" s="971"/>
      <c r="G263" s="975">
        <f t="shared" ref="G263:Q263" si="68">G262-G261</f>
        <v>0</v>
      </c>
      <c r="H263" s="975">
        <f t="shared" si="68"/>
        <v>-140436.87039999999</v>
      </c>
      <c r="I263" s="830">
        <f t="shared" si="68"/>
        <v>0</v>
      </c>
      <c r="J263" s="830">
        <f t="shared" si="68"/>
        <v>-0.88480000000000025</v>
      </c>
      <c r="K263" s="900">
        <f t="shared" si="68"/>
        <v>0</v>
      </c>
      <c r="L263" s="900">
        <f t="shared" si="68"/>
        <v>0</v>
      </c>
      <c r="M263" s="900">
        <f t="shared" si="68"/>
        <v>0</v>
      </c>
      <c r="N263" s="900">
        <f t="shared" si="68"/>
        <v>0</v>
      </c>
      <c r="O263" s="830">
        <f t="shared" si="68"/>
        <v>-548499.85000000009</v>
      </c>
      <c r="P263" s="830">
        <f t="shared" si="68"/>
        <v>-102843.72</v>
      </c>
      <c r="Q263" s="830">
        <f t="shared" si="68"/>
        <v>-82274.98000000001</v>
      </c>
      <c r="R263" s="830"/>
      <c r="S263" s="830">
        <f>S262-S261</f>
        <v>-20568.739999999998</v>
      </c>
      <c r="T263" s="830"/>
      <c r="U263"/>
      <c r="V263"/>
      <c r="W263"/>
      <c r="X263"/>
      <c r="Y263"/>
      <c r="Z263"/>
      <c r="AA263"/>
      <c r="AB263"/>
      <c r="AC263"/>
      <c r="AD263"/>
      <c r="AE263"/>
      <c r="AF263"/>
      <c r="AG263"/>
      <c r="AH263"/>
      <c r="AI263"/>
      <c r="AJ263" t="s">
        <v>392</v>
      </c>
      <c r="AK263"/>
    </row>
    <row r="264" spans="1:37" x14ac:dyDescent="0.2">
      <c r="O264" s="65"/>
      <c r="P264" s="65"/>
      <c r="Q264" s="65"/>
      <c r="R264" s="65"/>
      <c r="S264" s="65"/>
    </row>
    <row r="265" spans="1:37" s="65" customFormat="1" ht="15.75" x14ac:dyDescent="0.25">
      <c r="A265" s="951"/>
      <c r="B265" s="1144" t="s">
        <v>454</v>
      </c>
      <c r="C265" s="683"/>
      <c r="D265" s="683"/>
      <c r="E265" s="683"/>
      <c r="F265" s="683"/>
      <c r="G265" s="683"/>
      <c r="H265" s="683"/>
      <c r="I265" s="683"/>
      <c r="J265" s="952"/>
      <c r="K265" s="683"/>
      <c r="L265" s="683"/>
      <c r="M265" s="683"/>
      <c r="N265" s="950"/>
      <c r="O265" s="683"/>
      <c r="P265" s="683"/>
      <c r="Q265" s="683"/>
      <c r="R265" s="911"/>
      <c r="S265" s="683"/>
      <c r="T265" s="912"/>
      <c r="U265"/>
      <c r="V265"/>
      <c r="W265"/>
      <c r="X265"/>
      <c r="Y265"/>
      <c r="Z265"/>
      <c r="AA265"/>
      <c r="AB265"/>
      <c r="AC265"/>
      <c r="AD265"/>
      <c r="AE265"/>
      <c r="AF265"/>
      <c r="AG265"/>
      <c r="AH265"/>
      <c r="AI265"/>
      <c r="AJ265"/>
      <c r="AK265"/>
    </row>
    <row r="266" spans="1:37" s="65" customFormat="1" ht="15.75" x14ac:dyDescent="0.25">
      <c r="A266" s="977" t="s">
        <v>312</v>
      </c>
      <c r="B266" s="955"/>
      <c r="C266" s="956"/>
      <c r="D266" s="957" t="s">
        <v>19</v>
      </c>
      <c r="E266" s="958" t="s">
        <v>59</v>
      </c>
      <c r="F266" s="957" t="s">
        <v>27</v>
      </c>
      <c r="G266" s="959" t="s">
        <v>35</v>
      </c>
      <c r="H266" s="960" t="s">
        <v>36</v>
      </c>
      <c r="I266" s="960" t="s">
        <v>35</v>
      </c>
      <c r="J266" s="959" t="s">
        <v>36</v>
      </c>
      <c r="K266" s="959" t="s">
        <v>39</v>
      </c>
      <c r="L266" s="959" t="s">
        <v>40</v>
      </c>
      <c r="M266" s="959" t="s">
        <v>42</v>
      </c>
      <c r="N266" s="1056" t="s">
        <v>2</v>
      </c>
      <c r="O266" s="959" t="s">
        <v>180</v>
      </c>
      <c r="P266" s="961" t="s">
        <v>313</v>
      </c>
      <c r="Q266" s="961" t="s">
        <v>43</v>
      </c>
      <c r="R266" s="962"/>
      <c r="S266" s="1196" t="s">
        <v>44</v>
      </c>
      <c r="T266" s="1197"/>
      <c r="U266"/>
      <c r="V266"/>
      <c r="W266"/>
      <c r="X266"/>
      <c r="Y266"/>
      <c r="Z266"/>
      <c r="AA266"/>
      <c r="AB266"/>
      <c r="AC266"/>
      <c r="AD266"/>
      <c r="AE266"/>
      <c r="AF266"/>
      <c r="AG266"/>
      <c r="AH266"/>
      <c r="AI266"/>
      <c r="AJ266"/>
      <c r="AK266"/>
    </row>
    <row r="267" spans="1:37" ht="15.75" x14ac:dyDescent="0.25">
      <c r="A267" s="963" t="s">
        <v>28</v>
      </c>
      <c r="B267" s="445" t="s">
        <v>444</v>
      </c>
      <c r="C267" s="979" t="s">
        <v>31</v>
      </c>
      <c r="D267" s="980" t="s">
        <v>30</v>
      </c>
      <c r="E267" s="980" t="s">
        <v>101</v>
      </c>
      <c r="F267" s="979" t="s">
        <v>56</v>
      </c>
      <c r="G267" s="215"/>
      <c r="H267" s="215"/>
      <c r="I267" s="217"/>
      <c r="J267" s="217"/>
      <c r="K267" s="253"/>
      <c r="L267" s="253"/>
      <c r="M267" s="253"/>
      <c r="N267" s="557"/>
      <c r="O267" s="589">
        <f>ROUND(G267*I267,2)+ROUND(H267*J267,2)-K267-L267-M267-N267</f>
        <v>0</v>
      </c>
      <c r="P267" s="253">
        <f>ROUND(18.75%*O267,2)</f>
        <v>0</v>
      </c>
      <c r="Q267" s="253">
        <f>ROUND($O267*R267,2)</f>
        <v>0</v>
      </c>
      <c r="R267" s="590">
        <v>0.15</v>
      </c>
      <c r="S267" s="253">
        <f>ROUND($O267*T267,2)</f>
        <v>0</v>
      </c>
      <c r="T267" s="591">
        <v>3.7499999999999999E-2</v>
      </c>
      <c r="U267"/>
      <c r="V267"/>
      <c r="W267"/>
      <c r="X267"/>
      <c r="Y267"/>
      <c r="Z267"/>
      <c r="AA267"/>
      <c r="AB267"/>
      <c r="AC267"/>
      <c r="AD267"/>
      <c r="AE267"/>
      <c r="AF267"/>
      <c r="AG267"/>
      <c r="AH267"/>
      <c r="AI267"/>
      <c r="AJ267"/>
      <c r="AK267"/>
    </row>
    <row r="268" spans="1:37" s="65" customFormat="1" ht="15" customHeight="1" x14ac:dyDescent="0.25">
      <c r="A268" s="967" t="s">
        <v>28</v>
      </c>
      <c r="B268" s="981" t="str">
        <f>B267</f>
        <v>III Petroleo</v>
      </c>
      <c r="C268" s="965" t="s">
        <v>31</v>
      </c>
      <c r="D268" s="970" t="s">
        <v>186</v>
      </c>
      <c r="E268" s="970"/>
      <c r="F268" s="969" t="str">
        <f>F267</f>
        <v xml:space="preserve"> MM BTU</v>
      </c>
      <c r="G268" s="936">
        <f>G267</f>
        <v>0</v>
      </c>
      <c r="H268" s="936">
        <v>-39804</v>
      </c>
      <c r="I268" s="588"/>
      <c r="J268" s="588">
        <v>63.482700000000001</v>
      </c>
      <c r="K268" s="557"/>
      <c r="L268" s="557"/>
      <c r="M268" s="934"/>
      <c r="N268" s="1143">
        <v>-1155.58</v>
      </c>
      <c r="O268" s="589">
        <f>ROUND(G268*I268,2)+ROUND(H268*J268,2)-K268-L268-M268-N268</f>
        <v>-2525709.81</v>
      </c>
      <c r="P268" s="253">
        <f>ROUND(18.75%*O268,2)</f>
        <v>-473570.59</v>
      </c>
      <c r="Q268" s="253">
        <f>ROUND($O268*R268,2)</f>
        <v>-378856.47</v>
      </c>
      <c r="R268" s="982">
        <v>0.15</v>
      </c>
      <c r="S268" s="557">
        <f>ROUND($O268*T268,2)</f>
        <v>-94714.12</v>
      </c>
      <c r="T268" s="983">
        <v>3.7499999999999999E-2</v>
      </c>
      <c r="U268"/>
      <c r="V268"/>
      <c r="W268"/>
      <c r="X268"/>
      <c r="Y268"/>
      <c r="Z268"/>
      <c r="AA268"/>
      <c r="AB268"/>
      <c r="AC268"/>
      <c r="AD268"/>
      <c r="AE268"/>
      <c r="AF268"/>
      <c r="AG268"/>
      <c r="AH268"/>
      <c r="AI268"/>
      <c r="AJ268"/>
      <c r="AK268"/>
    </row>
    <row r="269" spans="1:37" s="65" customFormat="1" ht="14.85" customHeight="1" x14ac:dyDescent="0.25">
      <c r="A269" s="971"/>
      <c r="B269" s="972" t="s">
        <v>181</v>
      </c>
      <c r="C269" s="973"/>
      <c r="D269" s="974"/>
      <c r="E269" s="974"/>
      <c r="F269" s="971"/>
      <c r="G269" s="975">
        <f t="shared" ref="G269:Q269" si="69">G268-G267</f>
        <v>0</v>
      </c>
      <c r="H269" s="975">
        <f t="shared" si="69"/>
        <v>-39804</v>
      </c>
      <c r="I269" s="830">
        <f t="shared" si="69"/>
        <v>0</v>
      </c>
      <c r="J269" s="830">
        <f t="shared" si="69"/>
        <v>63.482700000000001</v>
      </c>
      <c r="K269" s="900">
        <f t="shared" si="69"/>
        <v>0</v>
      </c>
      <c r="L269" s="900">
        <f t="shared" si="69"/>
        <v>0</v>
      </c>
      <c r="M269" s="900">
        <f t="shared" si="69"/>
        <v>0</v>
      </c>
      <c r="N269" s="900">
        <f t="shared" si="69"/>
        <v>-1155.58</v>
      </c>
      <c r="O269" s="830">
        <f t="shared" si="69"/>
        <v>-2525709.81</v>
      </c>
      <c r="P269" s="830">
        <f t="shared" si="69"/>
        <v>-473570.59</v>
      </c>
      <c r="Q269" s="830">
        <f t="shared" si="69"/>
        <v>-378856.47</v>
      </c>
      <c r="R269" s="830"/>
      <c r="S269" s="830">
        <f>S268-S267</f>
        <v>-94714.12</v>
      </c>
      <c r="T269" s="830"/>
      <c r="U269"/>
      <c r="V269"/>
      <c r="W269"/>
      <c r="X269"/>
      <c r="Y269"/>
      <c r="Z269"/>
      <c r="AA269"/>
      <c r="AB269"/>
      <c r="AC269"/>
      <c r="AD269"/>
      <c r="AE269"/>
      <c r="AF269"/>
      <c r="AG269"/>
      <c r="AH269"/>
      <c r="AI269" t="s">
        <v>182</v>
      </c>
      <c r="AJ269" t="s">
        <v>392</v>
      </c>
      <c r="AK269"/>
    </row>
    <row r="270" spans="1:37" x14ac:dyDescent="0.2">
      <c r="O270" s="65"/>
      <c r="P270" s="65"/>
      <c r="Q270" s="65"/>
      <c r="R270" s="65"/>
      <c r="S270" s="65"/>
    </row>
    <row r="271" spans="1:37" s="65" customFormat="1" ht="15.75" x14ac:dyDescent="0.25">
      <c r="A271" s="951"/>
      <c r="B271" s="879" t="s">
        <v>453</v>
      </c>
      <c r="C271" s="683"/>
      <c r="D271" s="683"/>
      <c r="E271" s="683"/>
      <c r="F271" s="683"/>
      <c r="G271" s="683"/>
      <c r="H271" s="683"/>
      <c r="I271" s="683"/>
      <c r="J271" s="952"/>
      <c r="K271" s="683"/>
      <c r="L271" s="683"/>
      <c r="M271" s="683"/>
      <c r="N271" s="950"/>
      <c r="O271" s="683"/>
      <c r="P271" s="683"/>
      <c r="Q271" s="683"/>
      <c r="R271" s="911"/>
      <c r="S271" s="683"/>
      <c r="T271" s="912"/>
      <c r="U271"/>
      <c r="V271"/>
      <c r="W271"/>
      <c r="X271"/>
      <c r="Y271"/>
      <c r="Z271"/>
      <c r="AA271"/>
      <c r="AB271"/>
      <c r="AC271"/>
      <c r="AD271"/>
      <c r="AE271"/>
      <c r="AF271"/>
      <c r="AG271"/>
      <c r="AH271"/>
      <c r="AI271"/>
      <c r="AJ271"/>
      <c r="AK271"/>
    </row>
    <row r="272" spans="1:37" s="65" customFormat="1" ht="15.75" x14ac:dyDescent="0.25">
      <c r="A272" s="977" t="s">
        <v>312</v>
      </c>
      <c r="B272" s="955"/>
      <c r="C272" s="956"/>
      <c r="D272" s="957" t="s">
        <v>19</v>
      </c>
      <c r="E272" s="958" t="s">
        <v>59</v>
      </c>
      <c r="F272" s="957" t="s">
        <v>27</v>
      </c>
      <c r="G272" s="959" t="s">
        <v>35</v>
      </c>
      <c r="H272" s="960" t="s">
        <v>36</v>
      </c>
      <c r="I272" s="960" t="s">
        <v>35</v>
      </c>
      <c r="J272" s="959" t="s">
        <v>36</v>
      </c>
      <c r="K272" s="959" t="s">
        <v>39</v>
      </c>
      <c r="L272" s="959" t="s">
        <v>40</v>
      </c>
      <c r="M272" s="959" t="s">
        <v>42</v>
      </c>
      <c r="N272" s="1056" t="s">
        <v>2</v>
      </c>
      <c r="O272" s="959" t="s">
        <v>180</v>
      </c>
      <c r="P272" s="961" t="s">
        <v>313</v>
      </c>
      <c r="Q272" s="961" t="s">
        <v>43</v>
      </c>
      <c r="R272" s="962"/>
      <c r="S272" s="1196" t="s">
        <v>44</v>
      </c>
      <c r="T272" s="1197"/>
      <c r="U272"/>
      <c r="V272"/>
      <c r="W272"/>
      <c r="X272"/>
      <c r="Y272"/>
      <c r="Z272"/>
      <c r="AA272"/>
      <c r="AB272"/>
      <c r="AC272"/>
      <c r="AD272"/>
      <c r="AE272"/>
      <c r="AF272"/>
      <c r="AG272"/>
      <c r="AH272"/>
      <c r="AI272"/>
      <c r="AJ272"/>
      <c r="AK272"/>
    </row>
    <row r="273" spans="1:37" ht="15.75" x14ac:dyDescent="0.25">
      <c r="A273" s="963" t="s">
        <v>28</v>
      </c>
      <c r="B273" s="445" t="s">
        <v>380</v>
      </c>
      <c r="C273" s="979" t="s">
        <v>31</v>
      </c>
      <c r="D273" s="980" t="s">
        <v>30</v>
      </c>
      <c r="E273" s="980" t="s">
        <v>101</v>
      </c>
      <c r="F273" s="979" t="s">
        <v>56</v>
      </c>
      <c r="G273" s="215"/>
      <c r="H273" s="215"/>
      <c r="I273" s="217"/>
      <c r="J273" s="217"/>
      <c r="K273" s="253"/>
      <c r="L273" s="253"/>
      <c r="M273" s="253"/>
      <c r="N273" s="557"/>
      <c r="O273" s="589">
        <f>ROUND(G273*I273,2)+ROUND(H273*J273,2)-K273-L273-M273-N273</f>
        <v>0</v>
      </c>
      <c r="P273" s="253">
        <f>ROUND(18.75%*O273,2)</f>
        <v>0</v>
      </c>
      <c r="Q273" s="253">
        <f>ROUND($O273*R273,2)</f>
        <v>0</v>
      </c>
      <c r="R273" s="590">
        <v>0.15</v>
      </c>
      <c r="S273" s="253">
        <f>ROUND($O273*T273,2)</f>
        <v>0</v>
      </c>
      <c r="T273" s="591">
        <v>3.7499999999999999E-2</v>
      </c>
      <c r="U273"/>
      <c r="V273"/>
      <c r="W273"/>
      <c r="X273"/>
      <c r="Y273"/>
      <c r="Z273"/>
      <c r="AA273"/>
      <c r="AB273"/>
      <c r="AC273"/>
      <c r="AD273"/>
      <c r="AE273"/>
      <c r="AF273"/>
      <c r="AG273"/>
      <c r="AH273"/>
      <c r="AI273"/>
      <c r="AJ273"/>
      <c r="AK273"/>
    </row>
    <row r="274" spans="1:37" s="65" customFormat="1" ht="15" customHeight="1" x14ac:dyDescent="0.25">
      <c r="A274" s="967" t="s">
        <v>28</v>
      </c>
      <c r="B274" s="981" t="str">
        <f>B273</f>
        <v>III Gas</v>
      </c>
      <c r="C274" s="965" t="s">
        <v>31</v>
      </c>
      <c r="D274" s="970" t="s">
        <v>186</v>
      </c>
      <c r="E274" s="970"/>
      <c r="F274" s="969" t="str">
        <f>F273</f>
        <v xml:space="preserve"> MM BTU</v>
      </c>
      <c r="G274" s="936">
        <f>G273</f>
        <v>0</v>
      </c>
      <c r="H274" s="936">
        <v>-97526.111199999999</v>
      </c>
      <c r="I274" s="588"/>
      <c r="J274" s="588">
        <v>2.9306999999999999</v>
      </c>
      <c r="K274" s="557"/>
      <c r="L274" s="557"/>
      <c r="M274" s="934"/>
      <c r="N274" s="934"/>
      <c r="O274" s="589">
        <f>ROUND(G274*I274,2)+ROUND(H274*J274,2)-K274-L274-M274-N274</f>
        <v>-285819.77</v>
      </c>
      <c r="P274" s="253">
        <f>ROUND(18.75%*O274,2)</f>
        <v>-53591.21</v>
      </c>
      <c r="Q274" s="253">
        <f>ROUND($O274*R274,2)</f>
        <v>-42872.97</v>
      </c>
      <c r="R274" s="982">
        <v>0.15</v>
      </c>
      <c r="S274" s="557">
        <f>ROUND($O274*T274,2)</f>
        <v>-10718.24</v>
      </c>
      <c r="T274" s="983">
        <v>3.7499999999999999E-2</v>
      </c>
      <c r="U274"/>
      <c r="V274"/>
      <c r="W274"/>
      <c r="X274"/>
      <c r="Y274"/>
      <c r="Z274"/>
      <c r="AA274"/>
      <c r="AB274"/>
      <c r="AC274"/>
      <c r="AD274"/>
      <c r="AE274"/>
      <c r="AF274"/>
      <c r="AG274"/>
      <c r="AH274"/>
      <c r="AI274"/>
      <c r="AJ274"/>
      <c r="AK274"/>
    </row>
    <row r="275" spans="1:37" s="65" customFormat="1" ht="14.85" customHeight="1" x14ac:dyDescent="0.25">
      <c r="A275" s="971"/>
      <c r="B275" s="972" t="s">
        <v>181</v>
      </c>
      <c r="C275" s="973"/>
      <c r="D275" s="974"/>
      <c r="E275" s="974"/>
      <c r="F275" s="971"/>
      <c r="G275" s="975">
        <f t="shared" ref="G275:Q275" si="70">G274-G273</f>
        <v>0</v>
      </c>
      <c r="H275" s="975">
        <f t="shared" si="70"/>
        <v>-97526.111199999999</v>
      </c>
      <c r="I275" s="830">
        <f t="shared" si="70"/>
        <v>0</v>
      </c>
      <c r="J275" s="830">
        <f t="shared" si="70"/>
        <v>2.9306999999999999</v>
      </c>
      <c r="K275" s="900">
        <f t="shared" si="70"/>
        <v>0</v>
      </c>
      <c r="L275" s="900">
        <f t="shared" si="70"/>
        <v>0</v>
      </c>
      <c r="M275" s="900">
        <f t="shared" si="70"/>
        <v>0</v>
      </c>
      <c r="N275" s="900">
        <f t="shared" si="70"/>
        <v>0</v>
      </c>
      <c r="O275" s="830">
        <f t="shared" si="70"/>
        <v>-285819.77</v>
      </c>
      <c r="P275" s="830">
        <f t="shared" si="70"/>
        <v>-53591.21</v>
      </c>
      <c r="Q275" s="830">
        <f t="shared" si="70"/>
        <v>-42872.97</v>
      </c>
      <c r="R275" s="830"/>
      <c r="S275" s="830">
        <f>S274-S273</f>
        <v>-10718.24</v>
      </c>
      <c r="T275" s="830"/>
      <c r="U275"/>
      <c r="V275"/>
      <c r="W275"/>
      <c r="X275"/>
      <c r="Y275"/>
      <c r="Z275"/>
      <c r="AA275"/>
      <c r="AB275"/>
      <c r="AC275"/>
      <c r="AD275"/>
      <c r="AE275"/>
      <c r="AF275"/>
      <c r="AG275"/>
      <c r="AH275"/>
      <c r="AI275" t="s">
        <v>182</v>
      </c>
      <c r="AJ275" t="s">
        <v>392</v>
      </c>
      <c r="AK275"/>
    </row>
    <row r="276" spans="1:37" s="65" customFormat="1" ht="14.85" customHeight="1" x14ac:dyDescent="0.25">
      <c r="A276" s="950"/>
      <c r="B276" s="683"/>
      <c r="C276" s="950"/>
      <c r="D276" s="950"/>
      <c r="E276" s="950"/>
      <c r="F276" s="950"/>
      <c r="G276" s="985"/>
      <c r="H276" s="985"/>
      <c r="I276" s="985"/>
      <c r="J276" s="985"/>
      <c r="K276" s="950"/>
      <c r="L276" s="950"/>
      <c r="M276" s="950"/>
      <c r="N276" s="950"/>
      <c r="O276" s="985"/>
      <c r="P276" s="985"/>
      <c r="Q276" s="985"/>
      <c r="R276" s="985"/>
      <c r="S276" s="985"/>
      <c r="T276" s="985"/>
      <c r="U276"/>
      <c r="V276"/>
      <c r="W276"/>
      <c r="X276"/>
      <c r="Y276"/>
      <c r="Z276"/>
      <c r="AA276"/>
      <c r="AB276"/>
      <c r="AC276"/>
      <c r="AD276"/>
      <c r="AE276"/>
      <c r="AF276"/>
      <c r="AG276"/>
      <c r="AH276"/>
      <c r="AI276"/>
      <c r="AJ276"/>
      <c r="AK276"/>
    </row>
    <row r="277" spans="1:37" s="65" customFormat="1" ht="15.75" x14ac:dyDescent="0.25">
      <c r="A277" s="951"/>
      <c r="B277" s="879" t="s">
        <v>450</v>
      </c>
      <c r="C277" s="683"/>
      <c r="D277" s="683"/>
      <c r="E277" s="683"/>
      <c r="F277" s="683"/>
      <c r="G277" s="683"/>
      <c r="H277" s="683"/>
      <c r="I277" s="683"/>
      <c r="J277" s="952"/>
      <c r="K277" s="683"/>
      <c r="L277" s="683"/>
      <c r="M277" s="683"/>
      <c r="N277" s="950"/>
      <c r="O277" s="683"/>
      <c r="P277" s="683"/>
      <c r="Q277" s="683"/>
      <c r="R277" s="911"/>
      <c r="S277" s="683"/>
      <c r="T277" s="912"/>
      <c r="U277"/>
      <c r="V277"/>
      <c r="W277"/>
      <c r="X277"/>
      <c r="Y277"/>
      <c r="Z277"/>
      <c r="AA277"/>
      <c r="AB277"/>
      <c r="AC277"/>
      <c r="AD277"/>
      <c r="AE277"/>
      <c r="AF277"/>
      <c r="AG277"/>
      <c r="AH277"/>
      <c r="AI277"/>
      <c r="AJ277"/>
      <c r="AK277"/>
    </row>
    <row r="278" spans="1:37" s="65" customFormat="1" ht="15.75" x14ac:dyDescent="0.25">
      <c r="A278" s="977" t="s">
        <v>312</v>
      </c>
      <c r="B278" s="955"/>
      <c r="C278" s="956"/>
      <c r="D278" s="957" t="s">
        <v>19</v>
      </c>
      <c r="E278" s="958" t="s">
        <v>59</v>
      </c>
      <c r="F278" s="957" t="s">
        <v>27</v>
      </c>
      <c r="G278" s="959" t="s">
        <v>35</v>
      </c>
      <c r="H278" s="960" t="s">
        <v>36</v>
      </c>
      <c r="I278" s="960" t="s">
        <v>35</v>
      </c>
      <c r="J278" s="959" t="s">
        <v>36</v>
      </c>
      <c r="K278" s="959" t="s">
        <v>39</v>
      </c>
      <c r="L278" s="959" t="s">
        <v>40</v>
      </c>
      <c r="M278" s="959" t="s">
        <v>42</v>
      </c>
      <c r="N278" s="1056" t="s">
        <v>2</v>
      </c>
      <c r="O278" s="959" t="s">
        <v>180</v>
      </c>
      <c r="P278" s="961" t="s">
        <v>313</v>
      </c>
      <c r="Q278" s="961" t="s">
        <v>43</v>
      </c>
      <c r="R278" s="962"/>
      <c r="S278" s="1196" t="s">
        <v>44</v>
      </c>
      <c r="T278" s="1197"/>
      <c r="U278"/>
      <c r="V278"/>
      <c r="W278"/>
      <c r="X278"/>
      <c r="Y278"/>
      <c r="Z278"/>
      <c r="AA278"/>
      <c r="AB278"/>
      <c r="AC278"/>
      <c r="AD278"/>
      <c r="AE278"/>
      <c r="AF278"/>
      <c r="AG278"/>
      <c r="AH278"/>
      <c r="AI278"/>
      <c r="AJ278"/>
      <c r="AK278"/>
    </row>
    <row r="279" spans="1:37" s="65" customFormat="1" ht="15.75" x14ac:dyDescent="0.25">
      <c r="A279" s="963" t="s">
        <v>28</v>
      </c>
      <c r="B279" s="978" t="s">
        <v>452</v>
      </c>
      <c r="C279" s="979" t="s">
        <v>31</v>
      </c>
      <c r="D279" s="980" t="s">
        <v>30</v>
      </c>
      <c r="E279" s="980" t="s">
        <v>101</v>
      </c>
      <c r="F279" s="979" t="s">
        <v>37</v>
      </c>
      <c r="G279" s="1138">
        <v>0</v>
      </c>
      <c r="H279" s="386">
        <v>10248</v>
      </c>
      <c r="I279" s="217">
        <v>0</v>
      </c>
      <c r="J279" s="217">
        <v>35.275100000000002</v>
      </c>
      <c r="K279" s="367"/>
      <c r="L279" s="367"/>
      <c r="M279" s="367"/>
      <c r="N279" s="512"/>
      <c r="O279" s="589">
        <f>ROUND(G279*I279,2)+ROUND(H279*J279,2)-K279-L279-M279-N279</f>
        <v>361499.22</v>
      </c>
      <c r="P279" s="253">
        <f>ROUND(18.75%*O279,2)</f>
        <v>67781.100000000006</v>
      </c>
      <c r="Q279" s="253">
        <f>ROUND($O279*R279,2)</f>
        <v>54224.88</v>
      </c>
      <c r="R279" s="590">
        <v>0.15</v>
      </c>
      <c r="S279" s="253">
        <f>ROUND($O279*T279,2)</f>
        <v>13556.22</v>
      </c>
      <c r="T279" s="591">
        <v>3.7499999999999999E-2</v>
      </c>
      <c r="U279"/>
      <c r="V279"/>
      <c r="W279"/>
      <c r="X279"/>
      <c r="Y279"/>
      <c r="Z279"/>
      <c r="AA279"/>
      <c r="AB279"/>
      <c r="AC279"/>
      <c r="AD279"/>
      <c r="AE279"/>
      <c r="AF279"/>
      <c r="AG279"/>
      <c r="AH279"/>
      <c r="AI279"/>
      <c r="AJ279"/>
      <c r="AK279"/>
    </row>
    <row r="280" spans="1:37" s="65" customFormat="1" ht="15.75" x14ac:dyDescent="0.25">
      <c r="A280" s="967" t="s">
        <v>28</v>
      </c>
      <c r="B280" s="981" t="str">
        <f>B279</f>
        <v>Z-69 -  LGN</v>
      </c>
      <c r="C280" s="965" t="s">
        <v>31</v>
      </c>
      <c r="D280" s="970" t="s">
        <v>186</v>
      </c>
      <c r="E280" s="970"/>
      <c r="F280" s="969" t="str">
        <f>F279</f>
        <v>Bls</v>
      </c>
      <c r="G280" s="1138">
        <f>+G279</f>
        <v>0</v>
      </c>
      <c r="H280" s="936">
        <f>+H279</f>
        <v>10248</v>
      </c>
      <c r="I280" s="1138">
        <v>0</v>
      </c>
      <c r="J280" s="1138">
        <v>35.290100000000002</v>
      </c>
      <c r="K280" s="557"/>
      <c r="L280" s="557"/>
      <c r="M280" s="934"/>
      <c r="N280" s="934"/>
      <c r="O280" s="934">
        <f>ROUND(G280*I280,2)+ROUND(H280*J280,2)-K280-L280-M280-N280</f>
        <v>361652.94</v>
      </c>
      <c r="P280" s="557">
        <f>ROUND(18.75%*O280,2)</f>
        <v>67809.929999999993</v>
      </c>
      <c r="Q280" s="557">
        <f>ROUND($O280*R280,2)</f>
        <v>54247.94</v>
      </c>
      <c r="R280" s="982">
        <v>0.15</v>
      </c>
      <c r="S280" s="557">
        <f>ROUND($O280*T280,2)</f>
        <v>13561.99</v>
      </c>
      <c r="T280" s="983">
        <v>3.7499999999999999E-2</v>
      </c>
      <c r="U280"/>
      <c r="V280"/>
      <c r="W280"/>
      <c r="X280"/>
      <c r="Y280"/>
      <c r="Z280"/>
      <c r="AA280"/>
      <c r="AB280"/>
      <c r="AC280"/>
      <c r="AD280"/>
      <c r="AE280"/>
      <c r="AF280"/>
      <c r="AG280"/>
      <c r="AH280"/>
      <c r="AI280"/>
      <c r="AJ280"/>
      <c r="AK280"/>
    </row>
    <row r="281" spans="1:37" s="65" customFormat="1" ht="15.75" x14ac:dyDescent="0.25">
      <c r="A281" s="971"/>
      <c r="B281" s="972" t="s">
        <v>181</v>
      </c>
      <c r="C281" s="973"/>
      <c r="D281" s="974"/>
      <c r="E281" s="974"/>
      <c r="F281" s="971"/>
      <c r="G281" s="975">
        <f>+G280-G279</f>
        <v>0</v>
      </c>
      <c r="H281" s="975">
        <f>+H279-H280</f>
        <v>0</v>
      </c>
      <c r="I281" s="975">
        <f>+I279-I280</f>
        <v>0</v>
      </c>
      <c r="J281" s="975">
        <f>+J279-J280</f>
        <v>-1.5000000000000568E-2</v>
      </c>
      <c r="K281" s="900">
        <f>K280-K279</f>
        <v>0</v>
      </c>
      <c r="L281" s="900">
        <f>L280-L279</f>
        <v>0</v>
      </c>
      <c r="M281" s="900">
        <f>M280-M279</f>
        <v>0</v>
      </c>
      <c r="N281" s="900">
        <f>N280-N279</f>
        <v>0</v>
      </c>
      <c r="O281" s="975">
        <f>+O279-O280</f>
        <v>-153.72000000003027</v>
      </c>
      <c r="P281" s="975">
        <f>+P279-P280</f>
        <v>-28.829999999987194</v>
      </c>
      <c r="Q281" s="975">
        <f>+Q279-Q280</f>
        <v>-23.060000000004948</v>
      </c>
      <c r="R281" s="975"/>
      <c r="S281" s="975">
        <f>+S279-S280</f>
        <v>-5.7700000000004366</v>
      </c>
      <c r="T281" s="830"/>
      <c r="U281"/>
      <c r="V281"/>
      <c r="W281"/>
      <c r="X281"/>
      <c r="Y281"/>
      <c r="Z281"/>
      <c r="AA281"/>
      <c r="AB281"/>
      <c r="AC281"/>
      <c r="AD281"/>
      <c r="AE281"/>
      <c r="AF281"/>
      <c r="AG281"/>
      <c r="AH281"/>
      <c r="AI281"/>
      <c r="AJ281" t="s">
        <v>392</v>
      </c>
      <c r="AK281"/>
    </row>
    <row r="282" spans="1:37" s="65" customFormat="1" ht="15.75" x14ac:dyDescent="0.25">
      <c r="A282" s="950"/>
      <c r="B282" s="683"/>
      <c r="C282" s="950"/>
      <c r="D282" s="950"/>
      <c r="E282" s="950"/>
      <c r="F282" s="950"/>
      <c r="G282" s="985"/>
      <c r="H282" s="985"/>
      <c r="I282" s="985"/>
      <c r="J282" s="985"/>
      <c r="K282" s="950"/>
      <c r="L282" s="950"/>
      <c r="M282" s="950"/>
      <c r="N282" s="950"/>
      <c r="O282" s="985"/>
      <c r="P282" s="985"/>
      <c r="Q282" s="985"/>
      <c r="R282" s="985"/>
      <c r="S282" s="985"/>
      <c r="T282" s="985"/>
      <c r="U282"/>
      <c r="V282"/>
      <c r="W282"/>
      <c r="X282"/>
      <c r="Y282"/>
      <c r="Z282"/>
      <c r="AA282"/>
      <c r="AB282"/>
      <c r="AC282"/>
      <c r="AD282"/>
      <c r="AE282"/>
      <c r="AF282"/>
      <c r="AG282"/>
      <c r="AH282"/>
      <c r="AI282"/>
      <c r="AJ282"/>
      <c r="AK282"/>
    </row>
    <row r="283" spans="1:37" s="65" customFormat="1" ht="15.75" x14ac:dyDescent="0.25">
      <c r="A283" s="951"/>
      <c r="B283" s="879" t="s">
        <v>450</v>
      </c>
      <c r="C283" s="683"/>
      <c r="D283" s="683"/>
      <c r="E283" s="683"/>
      <c r="F283" s="683"/>
      <c r="G283" s="683"/>
      <c r="H283" s="683"/>
      <c r="I283" s="683"/>
      <c r="J283" s="952"/>
      <c r="K283" s="683"/>
      <c r="L283" s="683"/>
      <c r="M283" s="683"/>
      <c r="N283" s="950"/>
      <c r="O283" s="683"/>
      <c r="P283" s="683"/>
      <c r="Q283" s="683"/>
      <c r="R283" s="911"/>
      <c r="S283" s="683"/>
      <c r="T283" s="912"/>
      <c r="U283"/>
      <c r="V283"/>
      <c r="W283"/>
      <c r="X283"/>
      <c r="Y283"/>
      <c r="Z283"/>
      <c r="AA283"/>
      <c r="AB283"/>
      <c r="AC283"/>
      <c r="AD283"/>
      <c r="AE283"/>
      <c r="AF283"/>
      <c r="AG283"/>
      <c r="AH283"/>
      <c r="AI283"/>
      <c r="AJ283"/>
      <c r="AK283"/>
    </row>
    <row r="284" spans="1:37" s="65" customFormat="1" ht="15.75" x14ac:dyDescent="0.25">
      <c r="A284" s="977" t="s">
        <v>312</v>
      </c>
      <c r="B284" s="955"/>
      <c r="C284" s="956"/>
      <c r="D284" s="957" t="s">
        <v>19</v>
      </c>
      <c r="E284" s="958" t="s">
        <v>59</v>
      </c>
      <c r="F284" s="957" t="s">
        <v>27</v>
      </c>
      <c r="G284" s="959" t="s">
        <v>35</v>
      </c>
      <c r="H284" s="960" t="s">
        <v>36</v>
      </c>
      <c r="I284" s="960" t="s">
        <v>35</v>
      </c>
      <c r="J284" s="959" t="s">
        <v>36</v>
      </c>
      <c r="K284" s="959" t="s">
        <v>39</v>
      </c>
      <c r="L284" s="959" t="s">
        <v>40</v>
      </c>
      <c r="M284" s="959" t="s">
        <v>42</v>
      </c>
      <c r="N284" s="1056" t="s">
        <v>2</v>
      </c>
      <c r="O284" s="959" t="s">
        <v>180</v>
      </c>
      <c r="P284" s="961" t="s">
        <v>313</v>
      </c>
      <c r="Q284" s="961" t="s">
        <v>43</v>
      </c>
      <c r="R284" s="962"/>
      <c r="S284" s="1196" t="s">
        <v>44</v>
      </c>
      <c r="T284" s="1197"/>
      <c r="U284"/>
      <c r="V284"/>
      <c r="W284"/>
      <c r="X284"/>
      <c r="Y284"/>
      <c r="Z284"/>
      <c r="AA284"/>
      <c r="AB284"/>
      <c r="AC284"/>
      <c r="AD284"/>
      <c r="AE284"/>
      <c r="AF284"/>
      <c r="AG284"/>
      <c r="AH284"/>
      <c r="AI284"/>
      <c r="AJ284"/>
      <c r="AK284"/>
    </row>
    <row r="285" spans="1:37" s="65" customFormat="1" ht="15.75" x14ac:dyDescent="0.25">
      <c r="A285" s="963" t="s">
        <v>28</v>
      </c>
      <c r="B285" s="978" t="s">
        <v>393</v>
      </c>
      <c r="C285" s="979" t="s">
        <v>31</v>
      </c>
      <c r="D285" s="980" t="s">
        <v>30</v>
      </c>
      <c r="E285" s="980" t="s">
        <v>101</v>
      </c>
      <c r="F285" s="979" t="s">
        <v>37</v>
      </c>
      <c r="G285" s="1136"/>
      <c r="H285" s="386"/>
      <c r="I285" s="217"/>
      <c r="J285" s="217"/>
      <c r="K285" s="367"/>
      <c r="L285" s="367"/>
      <c r="M285" s="367"/>
      <c r="N285" s="512"/>
      <c r="O285" s="589">
        <f>ROUND(G285*I285,2)+ROUND(H285*J285,2)-K285-L285-M285-N285</f>
        <v>0</v>
      </c>
      <c r="P285" s="253">
        <f>ROUND(18.75%*O285,2)</f>
        <v>0</v>
      </c>
      <c r="Q285" s="253">
        <f>ROUND($O285*R285,2)</f>
        <v>0</v>
      </c>
      <c r="R285" s="590">
        <v>0.15</v>
      </c>
      <c r="S285" s="253">
        <f>ROUND($O285*T285,2)</f>
        <v>0</v>
      </c>
      <c r="T285" s="591">
        <v>3.7499999999999999E-2</v>
      </c>
      <c r="U285"/>
      <c r="V285"/>
      <c r="W285"/>
      <c r="X285"/>
      <c r="Y285"/>
      <c r="Z285"/>
      <c r="AA285"/>
      <c r="AB285"/>
      <c r="AC285"/>
      <c r="AD285"/>
      <c r="AE285"/>
      <c r="AF285"/>
      <c r="AG285"/>
      <c r="AH285"/>
      <c r="AI285"/>
      <c r="AJ285"/>
      <c r="AK285"/>
    </row>
    <row r="286" spans="1:37" s="65" customFormat="1" ht="15.75" x14ac:dyDescent="0.25">
      <c r="A286" s="967" t="s">
        <v>28</v>
      </c>
      <c r="B286" s="981" t="str">
        <f>B285</f>
        <v>Z-69 -  Lgn</v>
      </c>
      <c r="C286" s="965" t="s">
        <v>31</v>
      </c>
      <c r="D286" s="970" t="s">
        <v>186</v>
      </c>
      <c r="E286" s="970"/>
      <c r="F286" s="969" t="str">
        <f>F285</f>
        <v>Bls</v>
      </c>
      <c r="G286" s="1136">
        <v>10168.01</v>
      </c>
      <c r="H286" s="936">
        <f>H285</f>
        <v>0</v>
      </c>
      <c r="I286" s="1137">
        <v>36.6128</v>
      </c>
      <c r="J286" s="588"/>
      <c r="K286" s="557"/>
      <c r="L286" s="557"/>
      <c r="M286" s="934"/>
      <c r="N286" s="934"/>
      <c r="O286" s="934">
        <f>ROUND(G286*I286,2)+ROUND(H286*J286,2)-K286-L286-M286-N286</f>
        <v>372279.32</v>
      </c>
      <c r="P286" s="557">
        <f>ROUND(18.75%*O286,2)</f>
        <v>69802.37</v>
      </c>
      <c r="Q286" s="557">
        <f>ROUND($O286*R286,2)</f>
        <v>55841.9</v>
      </c>
      <c r="R286" s="982">
        <v>0.15</v>
      </c>
      <c r="S286" s="557">
        <f>ROUND($O286*T286,2)</f>
        <v>13960.47</v>
      </c>
      <c r="T286" s="983">
        <v>3.7499999999999999E-2</v>
      </c>
      <c r="U286"/>
      <c r="V286"/>
      <c r="W286"/>
      <c r="X286"/>
      <c r="Y286"/>
      <c r="Z286"/>
      <c r="AA286"/>
      <c r="AB286"/>
      <c r="AC286"/>
      <c r="AD286"/>
      <c r="AE286"/>
      <c r="AF286"/>
      <c r="AG286"/>
      <c r="AH286"/>
      <c r="AI286"/>
      <c r="AJ286"/>
      <c r="AK286"/>
    </row>
    <row r="287" spans="1:37" s="65" customFormat="1" ht="15.75" x14ac:dyDescent="0.25">
      <c r="A287" s="971"/>
      <c r="B287" s="972" t="s">
        <v>181</v>
      </c>
      <c r="C287" s="973"/>
      <c r="D287" s="974"/>
      <c r="E287" s="974"/>
      <c r="F287" s="971"/>
      <c r="G287" s="975">
        <f t="shared" ref="G287:Q287" si="71">G286-G285</f>
        <v>10168.01</v>
      </c>
      <c r="H287" s="975">
        <f t="shared" si="71"/>
        <v>0</v>
      </c>
      <c r="I287" s="830">
        <f t="shared" si="71"/>
        <v>36.6128</v>
      </c>
      <c r="J287" s="830">
        <f t="shared" si="71"/>
        <v>0</v>
      </c>
      <c r="K287" s="900">
        <f t="shared" si="71"/>
        <v>0</v>
      </c>
      <c r="L287" s="900">
        <f t="shared" si="71"/>
        <v>0</v>
      </c>
      <c r="M287" s="900">
        <f t="shared" si="71"/>
        <v>0</v>
      </c>
      <c r="N287" s="900">
        <f t="shared" si="71"/>
        <v>0</v>
      </c>
      <c r="O287" s="830">
        <f t="shared" si="71"/>
        <v>372279.32</v>
      </c>
      <c r="P287" s="830">
        <f t="shared" si="71"/>
        <v>69802.37</v>
      </c>
      <c r="Q287" s="830">
        <f t="shared" si="71"/>
        <v>55841.9</v>
      </c>
      <c r="R287" s="830"/>
      <c r="S287" s="830">
        <f>S286-S285</f>
        <v>13960.47</v>
      </c>
      <c r="T287" s="830"/>
      <c r="U287"/>
      <c r="V287"/>
      <c r="W287"/>
      <c r="X287"/>
      <c r="Y287"/>
      <c r="Z287"/>
      <c r="AA287"/>
      <c r="AB287"/>
      <c r="AC287"/>
      <c r="AD287"/>
      <c r="AE287"/>
      <c r="AF287"/>
      <c r="AG287"/>
      <c r="AH287"/>
      <c r="AI287"/>
      <c r="AJ287" t="s">
        <v>392</v>
      </c>
      <c r="AK287"/>
    </row>
    <row r="288" spans="1:37" s="65" customFormat="1" ht="15.75" x14ac:dyDescent="0.25">
      <c r="A288" s="950"/>
      <c r="B288" s="683"/>
      <c r="C288" s="950"/>
      <c r="D288" s="950"/>
      <c r="E288" s="950"/>
      <c r="F288" s="950"/>
      <c r="G288" s="985"/>
      <c r="H288" s="985"/>
      <c r="I288" s="985"/>
      <c r="J288" s="985"/>
      <c r="K288" s="950"/>
      <c r="L288" s="950"/>
      <c r="M288" s="950"/>
      <c r="N288" s="950"/>
      <c r="O288" s="985"/>
      <c r="P288" s="985"/>
      <c r="Q288" s="985"/>
      <c r="R288" s="985"/>
      <c r="S288" s="985"/>
      <c r="T288" s="985"/>
      <c r="U288"/>
      <c r="V288"/>
      <c r="W288"/>
      <c r="X288"/>
      <c r="Y288"/>
      <c r="Z288"/>
      <c r="AA288"/>
      <c r="AB288"/>
      <c r="AC288"/>
      <c r="AD288"/>
      <c r="AE288"/>
      <c r="AF288"/>
      <c r="AG288"/>
      <c r="AH288"/>
      <c r="AI288"/>
      <c r="AJ288"/>
      <c r="AK288"/>
    </row>
    <row r="289" spans="1:37" s="65" customFormat="1" ht="15.75" x14ac:dyDescent="0.25">
      <c r="A289" s="951"/>
      <c r="B289" s="879" t="s">
        <v>450</v>
      </c>
      <c r="C289" s="683"/>
      <c r="D289" s="683"/>
      <c r="E289" s="683"/>
      <c r="F289" s="683"/>
      <c r="G289" s="683"/>
      <c r="H289" s="683"/>
      <c r="I289" s="683"/>
      <c r="J289" s="952"/>
      <c r="K289" s="683"/>
      <c r="L289" s="683"/>
      <c r="M289" s="683"/>
      <c r="N289" s="950"/>
      <c r="O289" s="683"/>
      <c r="P289" s="683"/>
      <c r="Q289" s="683"/>
      <c r="R289" s="911"/>
      <c r="S289" s="683"/>
      <c r="T289" s="912"/>
      <c r="U289"/>
      <c r="V289"/>
      <c r="W289"/>
      <c r="X289"/>
      <c r="Y289"/>
      <c r="Z289"/>
      <c r="AA289"/>
      <c r="AB289"/>
      <c r="AC289"/>
      <c r="AD289"/>
      <c r="AE289"/>
      <c r="AF289"/>
      <c r="AG289"/>
      <c r="AH289"/>
      <c r="AI289"/>
      <c r="AJ289"/>
      <c r="AK289"/>
    </row>
    <row r="290" spans="1:37" s="65" customFormat="1" ht="15.75" x14ac:dyDescent="0.25">
      <c r="A290" s="977" t="s">
        <v>312</v>
      </c>
      <c r="B290" s="955"/>
      <c r="C290" s="956"/>
      <c r="D290" s="957" t="s">
        <v>19</v>
      </c>
      <c r="E290" s="958" t="s">
        <v>59</v>
      </c>
      <c r="F290" s="957" t="s">
        <v>27</v>
      </c>
      <c r="G290" s="959" t="s">
        <v>35</v>
      </c>
      <c r="H290" s="960" t="s">
        <v>36</v>
      </c>
      <c r="I290" s="960" t="s">
        <v>35</v>
      </c>
      <c r="J290" s="959" t="s">
        <v>36</v>
      </c>
      <c r="K290" s="959" t="s">
        <v>39</v>
      </c>
      <c r="L290" s="959" t="s">
        <v>40</v>
      </c>
      <c r="M290" s="959" t="s">
        <v>42</v>
      </c>
      <c r="N290" s="1056" t="s">
        <v>2</v>
      </c>
      <c r="O290" s="959" t="s">
        <v>180</v>
      </c>
      <c r="P290" s="961" t="s">
        <v>313</v>
      </c>
      <c r="Q290" s="961" t="s">
        <v>43</v>
      </c>
      <c r="R290" s="962"/>
      <c r="S290" s="1196" t="s">
        <v>44</v>
      </c>
      <c r="T290" s="1197"/>
      <c r="U290"/>
      <c r="V290"/>
      <c r="W290"/>
      <c r="X290"/>
      <c r="Y290"/>
      <c r="Z290"/>
      <c r="AA290"/>
      <c r="AB290"/>
      <c r="AC290"/>
      <c r="AD290"/>
      <c r="AE290"/>
      <c r="AF290"/>
      <c r="AG290"/>
      <c r="AH290"/>
      <c r="AI290"/>
      <c r="AJ290"/>
      <c r="AK290"/>
    </row>
    <row r="291" spans="1:37" s="65" customFormat="1" ht="15.75" x14ac:dyDescent="0.25">
      <c r="A291" s="963" t="s">
        <v>28</v>
      </c>
      <c r="B291" s="978" t="s">
        <v>445</v>
      </c>
      <c r="C291" s="979" t="s">
        <v>31</v>
      </c>
      <c r="D291" s="980" t="s">
        <v>30</v>
      </c>
      <c r="E291" s="980" t="s">
        <v>101</v>
      </c>
      <c r="F291" s="979" t="s">
        <v>37</v>
      </c>
      <c r="G291" s="1136"/>
      <c r="H291" s="386"/>
      <c r="I291" s="217"/>
      <c r="J291" s="217"/>
      <c r="K291" s="367"/>
      <c r="L291" s="367"/>
      <c r="M291" s="367"/>
      <c r="N291" s="512"/>
      <c r="O291" s="589">
        <f>ROUND(G291*I291,2)+ROUND(H291*J291,2)-K291-L291-M291-N291</f>
        <v>0</v>
      </c>
      <c r="P291" s="253">
        <f>ROUND(18.75%*O291,2)</f>
        <v>0</v>
      </c>
      <c r="Q291" s="253">
        <f>ROUND($O291*R291,2)</f>
        <v>0</v>
      </c>
      <c r="R291" s="590">
        <v>0.15</v>
      </c>
      <c r="S291" s="253">
        <f>ROUND($O291*T291,2)</f>
        <v>0</v>
      </c>
      <c r="T291" s="591">
        <v>3.7499999999999999E-2</v>
      </c>
      <c r="U291"/>
      <c r="V291"/>
      <c r="W291"/>
      <c r="X291"/>
      <c r="Y291"/>
      <c r="Z291"/>
      <c r="AA291"/>
      <c r="AB291"/>
      <c r="AC291"/>
      <c r="AD291"/>
      <c r="AE291"/>
      <c r="AF291"/>
      <c r="AG291"/>
      <c r="AH291"/>
      <c r="AI291"/>
      <c r="AJ291"/>
      <c r="AK291"/>
    </row>
    <row r="292" spans="1:37" s="65" customFormat="1" ht="15.75" x14ac:dyDescent="0.25">
      <c r="A292" s="967" t="s">
        <v>28</v>
      </c>
      <c r="B292" s="981" t="str">
        <f>B291</f>
        <v>Z-69 -  Petroleo</v>
      </c>
      <c r="C292" s="965" t="s">
        <v>31</v>
      </c>
      <c r="D292" s="970" t="s">
        <v>186</v>
      </c>
      <c r="E292" s="970"/>
      <c r="F292" s="969" t="str">
        <f>F291</f>
        <v>Bls</v>
      </c>
      <c r="G292" s="1136">
        <v>33880</v>
      </c>
      <c r="H292" s="936">
        <f>H291</f>
        <v>0</v>
      </c>
      <c r="I292" s="1137">
        <v>62.263599999999997</v>
      </c>
      <c r="J292" s="588"/>
      <c r="K292" s="557"/>
      <c r="L292" s="557"/>
      <c r="M292" s="934"/>
      <c r="N292" s="934"/>
      <c r="O292" s="934">
        <f>ROUND(G292*I292,2)+ROUND(H292*J292,2)-K292-L292-M292-N292</f>
        <v>2109490.77</v>
      </c>
      <c r="P292" s="557">
        <f>ROUND(18.75%*O292,2)</f>
        <v>395529.52</v>
      </c>
      <c r="Q292" s="557">
        <f>ROUND($O292*R292,2)</f>
        <v>316423.62</v>
      </c>
      <c r="R292" s="982">
        <v>0.15</v>
      </c>
      <c r="S292" s="557">
        <f>ROUND($O292*T292,2)</f>
        <v>79105.899999999994</v>
      </c>
      <c r="T292" s="983">
        <v>3.7499999999999999E-2</v>
      </c>
      <c r="U292"/>
      <c r="V292"/>
      <c r="W292"/>
      <c r="X292"/>
      <c r="Y292"/>
      <c r="Z292"/>
      <c r="AA292"/>
      <c r="AB292"/>
      <c r="AC292"/>
      <c r="AD292"/>
      <c r="AE292"/>
      <c r="AF292"/>
      <c r="AG292"/>
      <c r="AH292"/>
      <c r="AI292"/>
      <c r="AJ292"/>
      <c r="AK292"/>
    </row>
    <row r="293" spans="1:37" s="65" customFormat="1" ht="15.75" x14ac:dyDescent="0.25">
      <c r="A293" s="971"/>
      <c r="B293" s="972" t="s">
        <v>181</v>
      </c>
      <c r="C293" s="973"/>
      <c r="D293" s="974"/>
      <c r="E293" s="974"/>
      <c r="F293" s="971"/>
      <c r="G293" s="975">
        <f t="shared" ref="G293:Q293" si="72">G292-G291</f>
        <v>33880</v>
      </c>
      <c r="H293" s="975">
        <f t="shared" si="72"/>
        <v>0</v>
      </c>
      <c r="I293" s="830">
        <f t="shared" si="72"/>
        <v>62.263599999999997</v>
      </c>
      <c r="J293" s="830">
        <f t="shared" si="72"/>
        <v>0</v>
      </c>
      <c r="K293" s="900">
        <f t="shared" si="72"/>
        <v>0</v>
      </c>
      <c r="L293" s="900">
        <f t="shared" si="72"/>
        <v>0</v>
      </c>
      <c r="M293" s="900">
        <f t="shared" si="72"/>
        <v>0</v>
      </c>
      <c r="N293" s="900">
        <f t="shared" si="72"/>
        <v>0</v>
      </c>
      <c r="O293" s="830">
        <f t="shared" si="72"/>
        <v>2109490.77</v>
      </c>
      <c r="P293" s="830">
        <f t="shared" si="72"/>
        <v>395529.52</v>
      </c>
      <c r="Q293" s="830">
        <f t="shared" si="72"/>
        <v>316423.62</v>
      </c>
      <c r="R293" s="830"/>
      <c r="S293" s="830">
        <f>S292-S291</f>
        <v>79105.899999999994</v>
      </c>
      <c r="T293" s="830"/>
      <c r="U293"/>
      <c r="V293"/>
      <c r="W293"/>
      <c r="X293"/>
      <c r="Y293"/>
      <c r="Z293"/>
      <c r="AA293"/>
      <c r="AB293"/>
      <c r="AC293"/>
      <c r="AD293"/>
      <c r="AE293"/>
      <c r="AF293"/>
      <c r="AG293"/>
      <c r="AH293"/>
      <c r="AI293"/>
      <c r="AJ293" t="s">
        <v>392</v>
      </c>
      <c r="AK293"/>
    </row>
    <row r="294" spans="1:37" s="65" customFormat="1" ht="15.75" x14ac:dyDescent="0.25">
      <c r="A294" s="950"/>
      <c r="B294" s="683"/>
      <c r="C294" s="950"/>
      <c r="D294" s="950"/>
      <c r="E294" s="950"/>
      <c r="F294" s="950"/>
      <c r="G294" s="985"/>
      <c r="H294" s="985"/>
      <c r="I294" s="985"/>
      <c r="J294" s="985"/>
      <c r="K294" s="950"/>
      <c r="L294" s="950"/>
      <c r="M294" s="950"/>
      <c r="N294" s="950"/>
      <c r="O294" s="985"/>
      <c r="P294" s="985"/>
      <c r="Q294" s="985"/>
      <c r="R294" s="985"/>
      <c r="S294" s="985"/>
      <c r="T294" s="985"/>
      <c r="U294"/>
      <c r="V294"/>
      <c r="W294"/>
      <c r="X294"/>
      <c r="Y294"/>
      <c r="Z294"/>
      <c r="AA294"/>
      <c r="AB294"/>
      <c r="AC294"/>
      <c r="AD294"/>
      <c r="AE294"/>
      <c r="AF294"/>
      <c r="AG294"/>
      <c r="AH294"/>
      <c r="AI294"/>
      <c r="AJ294"/>
      <c r="AK294"/>
    </row>
    <row r="295" spans="1:37" s="65" customFormat="1" ht="15.75" x14ac:dyDescent="0.25">
      <c r="A295" s="951"/>
      <c r="B295" s="879" t="s">
        <v>450</v>
      </c>
      <c r="C295" s="683"/>
      <c r="D295" s="683"/>
      <c r="E295" s="683"/>
      <c r="F295" s="683"/>
      <c r="G295" s="683"/>
      <c r="H295" s="683"/>
      <c r="I295" s="683"/>
      <c r="J295" s="952"/>
      <c r="K295" s="683"/>
      <c r="L295" s="683"/>
      <c r="M295" s="683"/>
      <c r="N295" s="950"/>
      <c r="O295" s="683"/>
      <c r="P295" s="683"/>
      <c r="Q295" s="683"/>
      <c r="R295" s="911"/>
      <c r="S295" s="683"/>
      <c r="T295" s="912"/>
      <c r="U295"/>
      <c r="V295"/>
      <c r="W295"/>
      <c r="X295"/>
      <c r="Y295"/>
      <c r="Z295"/>
      <c r="AA295"/>
      <c r="AB295"/>
      <c r="AC295"/>
      <c r="AD295"/>
      <c r="AE295"/>
      <c r="AF295"/>
      <c r="AG295"/>
      <c r="AH295"/>
      <c r="AI295"/>
      <c r="AJ295"/>
      <c r="AK295"/>
    </row>
    <row r="296" spans="1:37" s="65" customFormat="1" ht="15.75" x14ac:dyDescent="0.25">
      <c r="A296" s="977" t="s">
        <v>312</v>
      </c>
      <c r="B296" s="955"/>
      <c r="C296" s="956"/>
      <c r="D296" s="957" t="s">
        <v>19</v>
      </c>
      <c r="E296" s="958" t="s">
        <v>59</v>
      </c>
      <c r="F296" s="957" t="s">
        <v>27</v>
      </c>
      <c r="G296" s="959" t="s">
        <v>35</v>
      </c>
      <c r="H296" s="960" t="s">
        <v>36</v>
      </c>
      <c r="I296" s="960" t="s">
        <v>35</v>
      </c>
      <c r="J296" s="959" t="s">
        <v>36</v>
      </c>
      <c r="K296" s="959" t="s">
        <v>39</v>
      </c>
      <c r="L296" s="959" t="s">
        <v>40</v>
      </c>
      <c r="M296" s="959" t="s">
        <v>42</v>
      </c>
      <c r="N296" s="1056" t="s">
        <v>2</v>
      </c>
      <c r="O296" s="959" t="s">
        <v>180</v>
      </c>
      <c r="P296" s="961" t="s">
        <v>313</v>
      </c>
      <c r="Q296" s="961" t="s">
        <v>43</v>
      </c>
      <c r="R296" s="962"/>
      <c r="S296" s="1196" t="s">
        <v>44</v>
      </c>
      <c r="T296" s="1197"/>
      <c r="U296"/>
      <c r="V296"/>
      <c r="W296"/>
      <c r="X296"/>
      <c r="Y296"/>
      <c r="Z296"/>
      <c r="AA296"/>
      <c r="AB296"/>
      <c r="AC296"/>
      <c r="AD296"/>
      <c r="AE296"/>
      <c r="AF296"/>
      <c r="AG296"/>
      <c r="AH296"/>
      <c r="AI296"/>
      <c r="AJ296"/>
      <c r="AK296"/>
    </row>
    <row r="297" spans="1:37" s="65" customFormat="1" ht="15.75" x14ac:dyDescent="0.25">
      <c r="A297" s="963" t="s">
        <v>28</v>
      </c>
      <c r="B297" s="978" t="s">
        <v>446</v>
      </c>
      <c r="C297" s="979" t="s">
        <v>31</v>
      </c>
      <c r="D297" s="980" t="s">
        <v>30</v>
      </c>
      <c r="E297" s="980" t="s">
        <v>101</v>
      </c>
      <c r="F297" s="979" t="s">
        <v>37</v>
      </c>
      <c r="G297" s="1136"/>
      <c r="H297" s="386"/>
      <c r="I297" s="217"/>
      <c r="J297" s="217"/>
      <c r="K297" s="367"/>
      <c r="L297" s="367"/>
      <c r="M297" s="367"/>
      <c r="N297" s="512"/>
      <c r="O297" s="589">
        <f>ROUND(G297*I297,2)+ROUND(H297*J297,2)-K297-L297-M297-N297</f>
        <v>0</v>
      </c>
      <c r="P297" s="253">
        <f>ROUND(18.75%*O297,2)</f>
        <v>0</v>
      </c>
      <c r="Q297" s="253">
        <f>ROUND($O297*R297,2)</f>
        <v>0</v>
      </c>
      <c r="R297" s="590">
        <v>0.15</v>
      </c>
      <c r="S297" s="253">
        <f>ROUND($O297*T297,2)</f>
        <v>0</v>
      </c>
      <c r="T297" s="591">
        <v>3.7499999999999999E-2</v>
      </c>
      <c r="U297"/>
      <c r="V297"/>
      <c r="W297"/>
      <c r="X297"/>
      <c r="Y297"/>
      <c r="Z297"/>
      <c r="AA297"/>
      <c r="AB297"/>
      <c r="AC297"/>
      <c r="AD297"/>
      <c r="AE297"/>
      <c r="AF297"/>
      <c r="AG297"/>
      <c r="AH297"/>
      <c r="AI297"/>
      <c r="AJ297"/>
      <c r="AK297"/>
    </row>
    <row r="298" spans="1:37" s="65" customFormat="1" ht="15.75" x14ac:dyDescent="0.25">
      <c r="A298" s="967" t="s">
        <v>28</v>
      </c>
      <c r="B298" s="981" t="str">
        <f>B297</f>
        <v>Z-69 -  Gas PROMIGAS</v>
      </c>
      <c r="C298" s="965" t="s">
        <v>31</v>
      </c>
      <c r="D298" s="970" t="s">
        <v>186</v>
      </c>
      <c r="E298" s="970"/>
      <c r="F298" s="969" t="str">
        <f>F297</f>
        <v>Bls</v>
      </c>
      <c r="G298" s="1136">
        <v>40672.706400000003</v>
      </c>
      <c r="H298" s="936">
        <f>H297</f>
        <v>0</v>
      </c>
      <c r="I298" s="1137">
        <v>2.85</v>
      </c>
      <c r="J298" s="588"/>
      <c r="K298" s="557"/>
      <c r="L298" s="557"/>
      <c r="M298" s="934"/>
      <c r="N298" s="934"/>
      <c r="O298" s="934">
        <f>ROUND(G298*I298,2)+ROUND(H298*J298,2)-K298-L298-M298-N298</f>
        <v>115917.21</v>
      </c>
      <c r="P298" s="557">
        <f>ROUND(18.75%*O298,2)</f>
        <v>21734.48</v>
      </c>
      <c r="Q298" s="557">
        <f>ROUND($O298*R298,2)</f>
        <v>17387.580000000002</v>
      </c>
      <c r="R298" s="982">
        <v>0.15</v>
      </c>
      <c r="S298" s="557">
        <f>ROUND($O298*T298,2)</f>
        <v>4346.8999999999996</v>
      </c>
      <c r="T298" s="983">
        <v>3.7499999999999999E-2</v>
      </c>
      <c r="U298"/>
      <c r="V298"/>
      <c r="W298"/>
      <c r="X298"/>
      <c r="Y298"/>
      <c r="Z298"/>
      <c r="AA298"/>
      <c r="AB298"/>
      <c r="AC298"/>
      <c r="AD298"/>
      <c r="AE298"/>
      <c r="AF298"/>
      <c r="AG298"/>
      <c r="AH298"/>
      <c r="AI298"/>
      <c r="AJ298"/>
      <c r="AK298"/>
    </row>
    <row r="299" spans="1:37" s="65" customFormat="1" ht="15.75" x14ac:dyDescent="0.25">
      <c r="A299" s="971"/>
      <c r="B299" s="972" t="s">
        <v>181</v>
      </c>
      <c r="C299" s="973"/>
      <c r="D299" s="974"/>
      <c r="E299" s="974"/>
      <c r="F299" s="971"/>
      <c r="G299" s="975">
        <f t="shared" ref="G299:Q299" si="73">G298-G297</f>
        <v>40672.706400000003</v>
      </c>
      <c r="H299" s="975">
        <f t="shared" si="73"/>
        <v>0</v>
      </c>
      <c r="I299" s="830">
        <f t="shared" si="73"/>
        <v>2.85</v>
      </c>
      <c r="J299" s="830">
        <f t="shared" si="73"/>
        <v>0</v>
      </c>
      <c r="K299" s="900">
        <f t="shared" si="73"/>
        <v>0</v>
      </c>
      <c r="L299" s="900">
        <f t="shared" si="73"/>
        <v>0</v>
      </c>
      <c r="M299" s="900">
        <f t="shared" si="73"/>
        <v>0</v>
      </c>
      <c r="N299" s="900">
        <f t="shared" si="73"/>
        <v>0</v>
      </c>
      <c r="O299" s="830">
        <f t="shared" si="73"/>
        <v>115917.21</v>
      </c>
      <c r="P299" s="830">
        <f t="shared" si="73"/>
        <v>21734.48</v>
      </c>
      <c r="Q299" s="830">
        <f t="shared" si="73"/>
        <v>17387.580000000002</v>
      </c>
      <c r="R299" s="830"/>
      <c r="S299" s="830">
        <f>S298-S297</f>
        <v>4346.8999999999996</v>
      </c>
      <c r="T299" s="830"/>
      <c r="U299"/>
      <c r="V299"/>
      <c r="W299"/>
      <c r="X299"/>
      <c r="Y299"/>
      <c r="Z299"/>
      <c r="AA299"/>
      <c r="AB299"/>
      <c r="AC299"/>
      <c r="AD299"/>
      <c r="AE299"/>
      <c r="AF299"/>
      <c r="AG299"/>
      <c r="AH299"/>
      <c r="AI299"/>
      <c r="AJ299" t="s">
        <v>392</v>
      </c>
      <c r="AK299"/>
    </row>
    <row r="300" spans="1:37" s="65" customFormat="1" ht="15.75" x14ac:dyDescent="0.25">
      <c r="A300" s="950"/>
      <c r="B300" s="683"/>
      <c r="C300" s="950"/>
      <c r="D300" s="950"/>
      <c r="E300" s="950"/>
      <c r="F300" s="950"/>
      <c r="G300" s="985"/>
      <c r="H300" s="985"/>
      <c r="I300" s="985"/>
      <c r="J300" s="985"/>
      <c r="K300" s="950"/>
      <c r="L300" s="950"/>
      <c r="M300" s="950"/>
      <c r="N300" s="950"/>
      <c r="O300" s="985"/>
      <c r="P300" s="985"/>
      <c r="Q300" s="985"/>
      <c r="R300" s="985"/>
      <c r="S300" s="985"/>
      <c r="T300" s="985"/>
      <c r="U300"/>
      <c r="V300"/>
      <c r="W300"/>
      <c r="X300"/>
      <c r="Y300"/>
      <c r="Z300"/>
      <c r="AA300"/>
      <c r="AB300"/>
      <c r="AC300"/>
      <c r="AD300"/>
      <c r="AE300"/>
      <c r="AF300"/>
      <c r="AG300"/>
      <c r="AH300"/>
      <c r="AI300"/>
      <c r="AJ300"/>
      <c r="AK300"/>
    </row>
    <row r="301" spans="1:37" s="65" customFormat="1" ht="15.75" x14ac:dyDescent="0.25">
      <c r="A301" s="951"/>
      <c r="B301" s="879" t="s">
        <v>450</v>
      </c>
      <c r="C301" s="683"/>
      <c r="D301" s="683"/>
      <c r="E301" s="683"/>
      <c r="F301" s="683"/>
      <c r="G301" s="683"/>
      <c r="H301" s="683"/>
      <c r="I301" s="683"/>
      <c r="J301" s="952"/>
      <c r="K301" s="683"/>
      <c r="L301" s="683"/>
      <c r="M301" s="683"/>
      <c r="N301" s="950"/>
      <c r="O301" s="683"/>
      <c r="P301" s="683"/>
      <c r="Q301" s="683"/>
      <c r="R301" s="911"/>
      <c r="S301" s="683"/>
      <c r="T301" s="912"/>
      <c r="U301"/>
      <c r="V301"/>
      <c r="W301"/>
      <c r="X301"/>
      <c r="Y301"/>
      <c r="Z301"/>
      <c r="AA301"/>
      <c r="AB301"/>
      <c r="AC301"/>
      <c r="AD301"/>
      <c r="AE301"/>
      <c r="AF301"/>
      <c r="AG301"/>
      <c r="AH301"/>
      <c r="AI301"/>
      <c r="AJ301"/>
      <c r="AK301"/>
    </row>
    <row r="302" spans="1:37" s="65" customFormat="1" ht="15.75" x14ac:dyDescent="0.25">
      <c r="A302" s="977" t="s">
        <v>312</v>
      </c>
      <c r="B302" s="955"/>
      <c r="C302" s="956"/>
      <c r="D302" s="957" t="s">
        <v>19</v>
      </c>
      <c r="E302" s="958" t="s">
        <v>59</v>
      </c>
      <c r="F302" s="957" t="s">
        <v>27</v>
      </c>
      <c r="G302" s="959" t="s">
        <v>35</v>
      </c>
      <c r="H302" s="960" t="s">
        <v>36</v>
      </c>
      <c r="I302" s="960" t="s">
        <v>35</v>
      </c>
      <c r="J302" s="959" t="s">
        <v>36</v>
      </c>
      <c r="K302" s="959" t="s">
        <v>39</v>
      </c>
      <c r="L302" s="959" t="s">
        <v>40</v>
      </c>
      <c r="M302" s="959" t="s">
        <v>42</v>
      </c>
      <c r="N302" s="1056" t="s">
        <v>2</v>
      </c>
      <c r="O302" s="959" t="s">
        <v>180</v>
      </c>
      <c r="P302" s="961" t="s">
        <v>313</v>
      </c>
      <c r="Q302" s="961" t="s">
        <v>43</v>
      </c>
      <c r="R302" s="962"/>
      <c r="S302" s="1196" t="s">
        <v>44</v>
      </c>
      <c r="T302" s="1197"/>
      <c r="U302"/>
      <c r="V302"/>
      <c r="W302"/>
      <c r="X302"/>
      <c r="Y302"/>
      <c r="Z302"/>
      <c r="AA302"/>
      <c r="AB302"/>
      <c r="AC302"/>
      <c r="AD302"/>
      <c r="AE302"/>
      <c r="AF302"/>
      <c r="AG302"/>
      <c r="AH302"/>
      <c r="AI302"/>
      <c r="AJ302"/>
      <c r="AK302"/>
    </row>
    <row r="303" spans="1:37" s="65" customFormat="1" ht="15.75" x14ac:dyDescent="0.25">
      <c r="A303" s="963" t="s">
        <v>28</v>
      </c>
      <c r="B303" s="978" t="s">
        <v>447</v>
      </c>
      <c r="C303" s="979" t="s">
        <v>31</v>
      </c>
      <c r="D303" s="980" t="s">
        <v>30</v>
      </c>
      <c r="E303" s="980" t="s">
        <v>101</v>
      </c>
      <c r="F303" s="979" t="s">
        <v>37</v>
      </c>
      <c r="G303" s="1136"/>
      <c r="H303" s="386"/>
      <c r="I303" s="217"/>
      <c r="J303" s="217"/>
      <c r="K303" s="367"/>
      <c r="L303" s="367"/>
      <c r="M303" s="367"/>
      <c r="N303" s="512"/>
      <c r="O303" s="589">
        <f>ROUND(G303*I303,2)+ROUND(H303*J303,2)-K303-L303-M303-N303</f>
        <v>0</v>
      </c>
      <c r="P303" s="253">
        <f>ROUND(18.75%*O303,2)</f>
        <v>0</v>
      </c>
      <c r="Q303" s="253">
        <f>ROUND($O303*R303,2)</f>
        <v>0</v>
      </c>
      <c r="R303" s="590">
        <v>0.15</v>
      </c>
      <c r="S303" s="253">
        <f>ROUND($O303*T303,2)</f>
        <v>0</v>
      </c>
      <c r="T303" s="591">
        <v>3.7499999999999999E-2</v>
      </c>
      <c r="U303"/>
      <c r="V303"/>
      <c r="W303"/>
      <c r="X303"/>
      <c r="Y303"/>
      <c r="Z303"/>
      <c r="AA303"/>
      <c r="AB303"/>
      <c r="AC303"/>
      <c r="AD303"/>
      <c r="AE303"/>
      <c r="AF303"/>
      <c r="AG303"/>
      <c r="AH303"/>
      <c r="AI303"/>
      <c r="AJ303"/>
      <c r="AK303"/>
    </row>
    <row r="304" spans="1:37" s="65" customFormat="1" ht="15.75" x14ac:dyDescent="0.25">
      <c r="A304" s="967" t="s">
        <v>28</v>
      </c>
      <c r="B304" s="981" t="str">
        <f>B303</f>
        <v>Z-69 -  Gas PARIÑAS</v>
      </c>
      <c r="C304" s="965" t="s">
        <v>31</v>
      </c>
      <c r="D304" s="970" t="s">
        <v>186</v>
      </c>
      <c r="E304" s="970"/>
      <c r="F304" s="969" t="str">
        <f>F303</f>
        <v>Bls</v>
      </c>
      <c r="G304" s="1136">
        <v>1021.9481</v>
      </c>
      <c r="H304" s="936">
        <f>H303</f>
        <v>0</v>
      </c>
      <c r="I304" s="1137">
        <v>2.21</v>
      </c>
      <c r="J304" s="588"/>
      <c r="K304" s="557"/>
      <c r="L304" s="557"/>
      <c r="M304" s="934"/>
      <c r="N304" s="934"/>
      <c r="O304" s="934">
        <f>ROUND(G304*I304,2)+ROUND(H304*J304,2)-K304-L304-M304-N304</f>
        <v>2258.5100000000002</v>
      </c>
      <c r="P304" s="557">
        <f>ROUND(18.75%*O304,2)</f>
        <v>423.47</v>
      </c>
      <c r="Q304" s="557">
        <f>ROUND($O304*R304,2)</f>
        <v>338.78</v>
      </c>
      <c r="R304" s="982">
        <v>0.15</v>
      </c>
      <c r="S304" s="557">
        <f>ROUND($O304*T304,2)</f>
        <v>84.69</v>
      </c>
      <c r="T304" s="983">
        <v>3.7499999999999999E-2</v>
      </c>
      <c r="U304"/>
      <c r="V304"/>
      <c r="W304"/>
      <c r="X304"/>
      <c r="Y304"/>
      <c r="Z304"/>
      <c r="AA304"/>
      <c r="AB304"/>
      <c r="AC304"/>
      <c r="AD304"/>
      <c r="AE304"/>
      <c r="AF304"/>
      <c r="AG304"/>
      <c r="AH304"/>
      <c r="AI304"/>
      <c r="AJ304"/>
      <c r="AK304"/>
    </row>
    <row r="305" spans="1:37" s="65" customFormat="1" ht="15.75" x14ac:dyDescent="0.25">
      <c r="A305" s="971"/>
      <c r="B305" s="972" t="s">
        <v>181</v>
      </c>
      <c r="C305" s="973"/>
      <c r="D305" s="974"/>
      <c r="E305" s="974"/>
      <c r="F305" s="971"/>
      <c r="G305" s="975">
        <f t="shared" ref="G305:Q305" si="74">G304-G303</f>
        <v>1021.9481</v>
      </c>
      <c r="H305" s="975">
        <f t="shared" si="74"/>
        <v>0</v>
      </c>
      <c r="I305" s="830">
        <f t="shared" si="74"/>
        <v>2.21</v>
      </c>
      <c r="J305" s="830">
        <f t="shared" si="74"/>
        <v>0</v>
      </c>
      <c r="K305" s="900">
        <f t="shared" si="74"/>
        <v>0</v>
      </c>
      <c r="L305" s="900">
        <f t="shared" si="74"/>
        <v>0</v>
      </c>
      <c r="M305" s="900">
        <f t="shared" si="74"/>
        <v>0</v>
      </c>
      <c r="N305" s="900">
        <f t="shared" si="74"/>
        <v>0</v>
      </c>
      <c r="O305" s="830">
        <f t="shared" si="74"/>
        <v>2258.5100000000002</v>
      </c>
      <c r="P305" s="830">
        <f t="shared" si="74"/>
        <v>423.47</v>
      </c>
      <c r="Q305" s="830">
        <f t="shared" si="74"/>
        <v>338.78</v>
      </c>
      <c r="R305" s="830"/>
      <c r="S305" s="830">
        <f>S304-S303</f>
        <v>84.69</v>
      </c>
      <c r="T305" s="830"/>
      <c r="U305"/>
      <c r="V305"/>
      <c r="W305"/>
      <c r="X305"/>
      <c r="Y305"/>
      <c r="Z305"/>
      <c r="AA305"/>
      <c r="AB305"/>
      <c r="AC305"/>
      <c r="AD305"/>
      <c r="AE305"/>
      <c r="AF305"/>
      <c r="AG305"/>
      <c r="AH305"/>
      <c r="AI305"/>
      <c r="AJ305" t="s">
        <v>392</v>
      </c>
      <c r="AK305"/>
    </row>
    <row r="306" spans="1:37" s="65" customFormat="1" ht="15.75" x14ac:dyDescent="0.25">
      <c r="A306" s="950"/>
      <c r="B306" s="683"/>
      <c r="C306" s="950"/>
      <c r="D306" s="950"/>
      <c r="E306" s="950"/>
      <c r="F306" s="950"/>
      <c r="G306" s="985"/>
      <c r="H306" s="985"/>
      <c r="I306" s="985"/>
      <c r="J306" s="985"/>
      <c r="K306" s="950"/>
      <c r="L306" s="950"/>
      <c r="M306" s="950"/>
      <c r="N306" s="950"/>
      <c r="O306" s="985"/>
      <c r="P306" s="985"/>
      <c r="Q306" s="985"/>
      <c r="R306" s="985"/>
      <c r="S306" s="985"/>
      <c r="T306" s="985"/>
      <c r="U306"/>
      <c r="V306"/>
      <c r="W306"/>
      <c r="X306"/>
      <c r="Y306"/>
      <c r="Z306"/>
      <c r="AA306"/>
      <c r="AB306"/>
      <c r="AC306"/>
      <c r="AD306"/>
      <c r="AE306"/>
      <c r="AF306"/>
      <c r="AG306"/>
      <c r="AH306"/>
      <c r="AI306"/>
      <c r="AJ306"/>
      <c r="AK306"/>
    </row>
    <row r="307" spans="1:37" s="65" customFormat="1" ht="15.75" x14ac:dyDescent="0.25">
      <c r="A307" s="951"/>
      <c r="B307" s="879" t="s">
        <v>450</v>
      </c>
      <c r="C307" s="683"/>
      <c r="D307" s="683"/>
      <c r="E307" s="683"/>
      <c r="F307" s="683"/>
      <c r="G307" s="683"/>
      <c r="H307" s="683"/>
      <c r="I307" s="683"/>
      <c r="J307" s="952"/>
      <c r="K307" s="683"/>
      <c r="L307" s="683"/>
      <c r="M307" s="683"/>
      <c r="N307" s="950"/>
      <c r="O307" s="683"/>
      <c r="P307" s="683"/>
      <c r="Q307" s="683"/>
      <c r="R307" s="911"/>
      <c r="S307" s="683"/>
      <c r="T307" s="912"/>
      <c r="U307"/>
      <c r="V307"/>
      <c r="W307"/>
      <c r="X307"/>
      <c r="Y307"/>
      <c r="Z307"/>
      <c r="AA307"/>
      <c r="AB307"/>
      <c r="AC307"/>
      <c r="AD307"/>
      <c r="AE307"/>
      <c r="AF307"/>
      <c r="AG307"/>
      <c r="AH307"/>
      <c r="AI307"/>
      <c r="AJ307"/>
      <c r="AK307"/>
    </row>
    <row r="308" spans="1:37" s="65" customFormat="1" ht="15.75" x14ac:dyDescent="0.25">
      <c r="A308" s="977" t="s">
        <v>312</v>
      </c>
      <c r="B308" s="955"/>
      <c r="C308" s="956"/>
      <c r="D308" s="957" t="s">
        <v>19</v>
      </c>
      <c r="E308" s="958" t="s">
        <v>59</v>
      </c>
      <c r="F308" s="957" t="s">
        <v>27</v>
      </c>
      <c r="G308" s="959" t="s">
        <v>35</v>
      </c>
      <c r="H308" s="960" t="s">
        <v>36</v>
      </c>
      <c r="I308" s="960" t="s">
        <v>35</v>
      </c>
      <c r="J308" s="959" t="s">
        <v>36</v>
      </c>
      <c r="K308" s="959" t="s">
        <v>39</v>
      </c>
      <c r="L308" s="959" t="s">
        <v>40</v>
      </c>
      <c r="M308" s="959" t="s">
        <v>42</v>
      </c>
      <c r="N308" s="1056" t="s">
        <v>2</v>
      </c>
      <c r="O308" s="959" t="s">
        <v>180</v>
      </c>
      <c r="P308" s="961" t="s">
        <v>313</v>
      </c>
      <c r="Q308" s="961" t="s">
        <v>43</v>
      </c>
      <c r="R308" s="962"/>
      <c r="S308" s="1196" t="s">
        <v>44</v>
      </c>
      <c r="T308" s="1197"/>
      <c r="U308"/>
      <c r="V308"/>
      <c r="W308"/>
      <c r="X308"/>
      <c r="Y308"/>
      <c r="Z308"/>
      <c r="AA308"/>
      <c r="AB308"/>
      <c r="AC308"/>
      <c r="AD308"/>
      <c r="AE308"/>
      <c r="AF308"/>
      <c r="AG308"/>
      <c r="AH308"/>
      <c r="AI308"/>
      <c r="AJ308"/>
      <c r="AK308"/>
    </row>
    <row r="309" spans="1:37" s="65" customFormat="1" ht="15.75" x14ac:dyDescent="0.25">
      <c r="A309" s="963" t="s">
        <v>28</v>
      </c>
      <c r="B309" s="978" t="s">
        <v>448</v>
      </c>
      <c r="C309" s="979" t="s">
        <v>31</v>
      </c>
      <c r="D309" s="980" t="s">
        <v>30</v>
      </c>
      <c r="E309" s="980" t="s">
        <v>101</v>
      </c>
      <c r="F309" s="979" t="s">
        <v>37</v>
      </c>
      <c r="G309" s="1136"/>
      <c r="H309" s="386"/>
      <c r="I309" s="217"/>
      <c r="J309" s="217"/>
      <c r="K309" s="367"/>
      <c r="L309" s="367"/>
      <c r="M309" s="367"/>
      <c r="N309" s="512"/>
      <c r="O309" s="589">
        <f>ROUND(G309*I309,2)+ROUND(H309*J309,2)-K309-L309-M309-N309</f>
        <v>0</v>
      </c>
      <c r="P309" s="253">
        <f>ROUND(18.75%*O309,2)</f>
        <v>0</v>
      </c>
      <c r="Q309" s="253">
        <f>ROUND($O309*R309,2)</f>
        <v>0</v>
      </c>
      <c r="R309" s="590">
        <v>0.15</v>
      </c>
      <c r="S309" s="253">
        <f>ROUND($O309*T309,2)</f>
        <v>0</v>
      </c>
      <c r="T309" s="591">
        <v>3.7499999999999999E-2</v>
      </c>
      <c r="U309"/>
      <c r="V309"/>
      <c r="W309"/>
      <c r="X309"/>
      <c r="Y309"/>
      <c r="Z309"/>
      <c r="AA309"/>
      <c r="AB309"/>
      <c r="AC309"/>
      <c r="AD309"/>
      <c r="AE309"/>
      <c r="AF309"/>
      <c r="AG309"/>
      <c r="AH309"/>
      <c r="AI309"/>
      <c r="AJ309"/>
      <c r="AK309"/>
    </row>
    <row r="310" spans="1:37" s="65" customFormat="1" ht="15.75" x14ac:dyDescent="0.25">
      <c r="A310" s="967" t="s">
        <v>28</v>
      </c>
      <c r="B310" s="981" t="str">
        <f>B309</f>
        <v>Z-69 -  Gas Planta PGP</v>
      </c>
      <c r="C310" s="965" t="s">
        <v>31</v>
      </c>
      <c r="D310" s="970" t="s">
        <v>186</v>
      </c>
      <c r="E310" s="970"/>
      <c r="F310" s="969" t="str">
        <f>F309</f>
        <v>Bls</v>
      </c>
      <c r="G310" s="1136">
        <v>8020.2097000000003</v>
      </c>
      <c r="H310" s="936">
        <f>H309</f>
        <v>0</v>
      </c>
      <c r="I310" s="1137">
        <v>2.21</v>
      </c>
      <c r="J310" s="588"/>
      <c r="K310" s="557"/>
      <c r="L310" s="557"/>
      <c r="M310" s="934"/>
      <c r="N310" s="934"/>
      <c r="O310" s="934">
        <f>ROUND(G310*I310,2)+ROUND(H310*J310,2)-K310-L310-M310-N310</f>
        <v>17724.66</v>
      </c>
      <c r="P310" s="557">
        <f>ROUND(18.75%*O310,2)</f>
        <v>3323.37</v>
      </c>
      <c r="Q310" s="557">
        <f>ROUND($O310*R310,2)</f>
        <v>2658.7</v>
      </c>
      <c r="R310" s="982">
        <v>0.15</v>
      </c>
      <c r="S310" s="557">
        <f>ROUND($O310*T310,2)</f>
        <v>664.67</v>
      </c>
      <c r="T310" s="983">
        <v>3.7499999999999999E-2</v>
      </c>
      <c r="U310"/>
      <c r="V310"/>
      <c r="W310"/>
      <c r="X310"/>
      <c r="Y310"/>
      <c r="Z310"/>
      <c r="AA310"/>
      <c r="AB310"/>
      <c r="AC310"/>
      <c r="AD310"/>
      <c r="AE310"/>
      <c r="AF310"/>
      <c r="AG310"/>
      <c r="AH310"/>
      <c r="AI310"/>
      <c r="AJ310"/>
      <c r="AK310"/>
    </row>
    <row r="311" spans="1:37" s="65" customFormat="1" ht="15.75" x14ac:dyDescent="0.25">
      <c r="A311" s="971"/>
      <c r="B311" s="972" t="s">
        <v>181</v>
      </c>
      <c r="C311" s="973"/>
      <c r="D311" s="974"/>
      <c r="E311" s="974"/>
      <c r="F311" s="971"/>
      <c r="G311" s="975">
        <f t="shared" ref="G311:Q311" si="75">G310-G309</f>
        <v>8020.2097000000003</v>
      </c>
      <c r="H311" s="975">
        <f t="shared" si="75"/>
        <v>0</v>
      </c>
      <c r="I311" s="830">
        <f t="shared" si="75"/>
        <v>2.21</v>
      </c>
      <c r="J311" s="830">
        <f t="shared" si="75"/>
        <v>0</v>
      </c>
      <c r="K311" s="900">
        <f t="shared" si="75"/>
        <v>0</v>
      </c>
      <c r="L311" s="900">
        <f t="shared" si="75"/>
        <v>0</v>
      </c>
      <c r="M311" s="900">
        <f t="shared" si="75"/>
        <v>0</v>
      </c>
      <c r="N311" s="900">
        <f t="shared" si="75"/>
        <v>0</v>
      </c>
      <c r="O311" s="830">
        <f t="shared" si="75"/>
        <v>17724.66</v>
      </c>
      <c r="P311" s="830">
        <f t="shared" si="75"/>
        <v>3323.37</v>
      </c>
      <c r="Q311" s="830">
        <f t="shared" si="75"/>
        <v>2658.7</v>
      </c>
      <c r="R311" s="830"/>
      <c r="S311" s="830">
        <f>S310-S309</f>
        <v>664.67</v>
      </c>
      <c r="T311" s="830"/>
      <c r="U311"/>
      <c r="V311"/>
      <c r="W311"/>
      <c r="X311"/>
      <c r="Y311"/>
      <c r="Z311"/>
      <c r="AA311"/>
      <c r="AB311"/>
      <c r="AC311"/>
      <c r="AD311"/>
      <c r="AE311"/>
      <c r="AF311"/>
      <c r="AG311"/>
      <c r="AH311"/>
      <c r="AI311"/>
      <c r="AJ311" t="s">
        <v>392</v>
      </c>
      <c r="AK311"/>
    </row>
    <row r="312" spans="1:37" s="65" customFormat="1" ht="15.75" x14ac:dyDescent="0.25">
      <c r="A312" s="950"/>
      <c r="B312" s="683"/>
      <c r="C312" s="950"/>
      <c r="D312" s="950"/>
      <c r="E312" s="950"/>
      <c r="F312" s="950"/>
      <c r="G312" s="985"/>
      <c r="H312" s="985"/>
      <c r="I312" s="985"/>
      <c r="J312" s="985"/>
      <c r="K312" s="950"/>
      <c r="L312" s="950"/>
      <c r="M312" s="950"/>
      <c r="N312" s="950"/>
      <c r="O312" s="985"/>
      <c r="P312" s="985"/>
      <c r="Q312" s="985"/>
      <c r="R312" s="985"/>
      <c r="S312" s="985"/>
      <c r="T312" s="985"/>
      <c r="U312"/>
      <c r="V312"/>
      <c r="W312"/>
      <c r="X312"/>
      <c r="Y312"/>
      <c r="Z312"/>
      <c r="AA312"/>
      <c r="AB312"/>
      <c r="AC312"/>
      <c r="AD312"/>
      <c r="AE312"/>
      <c r="AF312"/>
      <c r="AG312"/>
      <c r="AH312"/>
      <c r="AI312"/>
      <c r="AJ312"/>
      <c r="AK312"/>
    </row>
    <row r="313" spans="1:37" s="65" customFormat="1" ht="15.75" x14ac:dyDescent="0.25">
      <c r="A313" s="951"/>
      <c r="B313" s="879" t="s">
        <v>450</v>
      </c>
      <c r="C313" s="683"/>
      <c r="D313" s="683"/>
      <c r="E313" s="683"/>
      <c r="F313" s="683"/>
      <c r="G313" s="683"/>
      <c r="H313" s="683"/>
      <c r="I313" s="683"/>
      <c r="J313" s="952"/>
      <c r="K313" s="683"/>
      <c r="L313" s="683"/>
      <c r="M313" s="683"/>
      <c r="N313" s="950"/>
      <c r="O313" s="683"/>
      <c r="P313" s="683"/>
      <c r="Q313" s="683"/>
      <c r="R313" s="911"/>
      <c r="S313" s="683"/>
      <c r="T313" s="912"/>
      <c r="U313"/>
      <c r="V313"/>
      <c r="W313"/>
      <c r="X313"/>
      <c r="Y313"/>
      <c r="Z313"/>
      <c r="AA313"/>
      <c r="AB313"/>
      <c r="AC313"/>
      <c r="AD313"/>
      <c r="AE313"/>
      <c r="AF313"/>
      <c r="AG313"/>
      <c r="AH313"/>
      <c r="AI313"/>
      <c r="AJ313"/>
      <c r="AK313"/>
    </row>
    <row r="314" spans="1:37" s="65" customFormat="1" ht="15.75" x14ac:dyDescent="0.25">
      <c r="A314" s="977" t="s">
        <v>312</v>
      </c>
      <c r="B314" s="955"/>
      <c r="C314" s="956"/>
      <c r="D314" s="957" t="s">
        <v>19</v>
      </c>
      <c r="E314" s="958" t="s">
        <v>59</v>
      </c>
      <c r="F314" s="957" t="s">
        <v>27</v>
      </c>
      <c r="G314" s="959" t="s">
        <v>35</v>
      </c>
      <c r="H314" s="960" t="s">
        <v>36</v>
      </c>
      <c r="I314" s="960" t="s">
        <v>35</v>
      </c>
      <c r="J314" s="959" t="s">
        <v>36</v>
      </c>
      <c r="K314" s="959" t="s">
        <v>39</v>
      </c>
      <c r="L314" s="959" t="s">
        <v>40</v>
      </c>
      <c r="M314" s="959" t="s">
        <v>42</v>
      </c>
      <c r="N314" s="1056" t="s">
        <v>2</v>
      </c>
      <c r="O314" s="959" t="s">
        <v>180</v>
      </c>
      <c r="P314" s="961" t="s">
        <v>313</v>
      </c>
      <c r="Q314" s="961" t="s">
        <v>43</v>
      </c>
      <c r="R314" s="962"/>
      <c r="S314" s="1196" t="s">
        <v>44</v>
      </c>
      <c r="T314" s="1197"/>
      <c r="U314"/>
      <c r="V314"/>
      <c r="W314"/>
      <c r="X314"/>
      <c r="Y314"/>
      <c r="Z314"/>
      <c r="AA314"/>
      <c r="AB314"/>
      <c r="AC314"/>
      <c r="AD314"/>
      <c r="AE314"/>
      <c r="AF314"/>
      <c r="AG314"/>
      <c r="AH314"/>
      <c r="AI314"/>
      <c r="AJ314"/>
      <c r="AK314"/>
    </row>
    <row r="315" spans="1:37" s="65" customFormat="1" ht="15.75" x14ac:dyDescent="0.25">
      <c r="A315" s="963" t="s">
        <v>28</v>
      </c>
      <c r="B315" s="978" t="s">
        <v>449</v>
      </c>
      <c r="C315" s="979" t="s">
        <v>31</v>
      </c>
      <c r="D315" s="980" t="s">
        <v>30</v>
      </c>
      <c r="E315" s="980" t="s">
        <v>101</v>
      </c>
      <c r="F315" s="979" t="s">
        <v>37</v>
      </c>
      <c r="G315" s="1136"/>
      <c r="H315" s="386"/>
      <c r="I315" s="217"/>
      <c r="J315" s="217"/>
      <c r="K315" s="367"/>
      <c r="L315" s="367"/>
      <c r="M315" s="367"/>
      <c r="N315" s="512"/>
      <c r="O315" s="589">
        <f>ROUND(G315*I315,2)+ROUND(H315*J315,2)-K315-L315-M315-N315</f>
        <v>0</v>
      </c>
      <c r="P315" s="253">
        <f>ROUND(18.75%*O315,2)</f>
        <v>0</v>
      </c>
      <c r="Q315" s="253">
        <f>ROUND($O315*R315,2)</f>
        <v>0</v>
      </c>
      <c r="R315" s="590">
        <v>0.15</v>
      </c>
      <c r="S315" s="253">
        <f>ROUND($O315*T315,2)</f>
        <v>0</v>
      </c>
      <c r="T315" s="591">
        <v>3.7499999999999999E-2</v>
      </c>
      <c r="U315"/>
      <c r="V315"/>
      <c r="W315"/>
      <c r="X315"/>
      <c r="Y315"/>
      <c r="Z315"/>
      <c r="AA315"/>
      <c r="AB315"/>
      <c r="AC315"/>
      <c r="AD315"/>
      <c r="AE315"/>
      <c r="AF315"/>
      <c r="AG315"/>
      <c r="AH315"/>
      <c r="AI315"/>
      <c r="AJ315"/>
      <c r="AK315"/>
    </row>
    <row r="316" spans="1:37" s="65" customFormat="1" ht="15.75" x14ac:dyDescent="0.25">
      <c r="A316" s="967" t="s">
        <v>28</v>
      </c>
      <c r="B316" s="981" t="str">
        <f>B315</f>
        <v>Z-69 -  Gas P3-PGP</v>
      </c>
      <c r="C316" s="965" t="s">
        <v>31</v>
      </c>
      <c r="D316" s="970" t="s">
        <v>186</v>
      </c>
      <c r="E316" s="970"/>
      <c r="F316" s="969" t="str">
        <f>F315</f>
        <v>Bls</v>
      </c>
      <c r="G316" s="1138">
        <v>85621.344500000007</v>
      </c>
      <c r="H316" s="936">
        <f>H315</f>
        <v>0</v>
      </c>
      <c r="I316" s="1138">
        <v>2.7056</v>
      </c>
      <c r="J316" s="588"/>
      <c r="K316" s="557"/>
      <c r="L316" s="557"/>
      <c r="M316" s="934"/>
      <c r="N316" s="934"/>
      <c r="O316" s="934">
        <f>ROUND(G316*I316,2)+ROUND(H316*J316,2)-K316-L316-M316-N316</f>
        <v>231657.11</v>
      </c>
      <c r="P316" s="557">
        <f>ROUND(18.75%*O316,2)</f>
        <v>43435.71</v>
      </c>
      <c r="Q316" s="557">
        <f>ROUND($O316*R316,2)</f>
        <v>34748.57</v>
      </c>
      <c r="R316" s="982">
        <v>0.15</v>
      </c>
      <c r="S316" s="557">
        <f>ROUND($O316*T316,2)</f>
        <v>8687.14</v>
      </c>
      <c r="T316" s="983">
        <v>3.7499999999999999E-2</v>
      </c>
      <c r="U316"/>
      <c r="V316"/>
      <c r="W316"/>
      <c r="X316"/>
      <c r="Y316"/>
      <c r="Z316"/>
      <c r="AA316"/>
      <c r="AB316"/>
      <c r="AC316"/>
      <c r="AD316"/>
      <c r="AE316"/>
      <c r="AF316"/>
      <c r="AG316"/>
      <c r="AH316"/>
      <c r="AI316"/>
      <c r="AJ316"/>
      <c r="AK316"/>
    </row>
    <row r="317" spans="1:37" s="65" customFormat="1" ht="15.75" x14ac:dyDescent="0.25">
      <c r="A317" s="971"/>
      <c r="B317" s="972" t="s">
        <v>181</v>
      </c>
      <c r="C317" s="973"/>
      <c r="D317" s="974"/>
      <c r="E317" s="974"/>
      <c r="F317" s="971"/>
      <c r="G317" s="975">
        <f t="shared" ref="G317:Q317" si="76">G316-G315</f>
        <v>85621.344500000007</v>
      </c>
      <c r="H317" s="975">
        <f t="shared" si="76"/>
        <v>0</v>
      </c>
      <c r="I317" s="830">
        <f t="shared" si="76"/>
        <v>2.7056</v>
      </c>
      <c r="J317" s="830">
        <f t="shared" si="76"/>
        <v>0</v>
      </c>
      <c r="K317" s="900">
        <f t="shared" si="76"/>
        <v>0</v>
      </c>
      <c r="L317" s="900">
        <f t="shared" si="76"/>
        <v>0</v>
      </c>
      <c r="M317" s="900">
        <f t="shared" si="76"/>
        <v>0</v>
      </c>
      <c r="N317" s="900">
        <f t="shared" si="76"/>
        <v>0</v>
      </c>
      <c r="O317" s="830">
        <f t="shared" si="76"/>
        <v>231657.11</v>
      </c>
      <c r="P317" s="830">
        <f t="shared" si="76"/>
        <v>43435.71</v>
      </c>
      <c r="Q317" s="830">
        <f t="shared" si="76"/>
        <v>34748.57</v>
      </c>
      <c r="R317" s="830"/>
      <c r="S317" s="830">
        <f>S316-S315</f>
        <v>8687.14</v>
      </c>
      <c r="T317" s="830"/>
      <c r="U317"/>
      <c r="V317"/>
      <c r="W317"/>
      <c r="X317"/>
      <c r="Y317"/>
      <c r="Z317"/>
      <c r="AA317"/>
      <c r="AB317"/>
      <c r="AC317"/>
      <c r="AD317"/>
      <c r="AE317"/>
      <c r="AF317"/>
      <c r="AG317"/>
      <c r="AH317"/>
      <c r="AI317"/>
      <c r="AJ317" t="s">
        <v>392</v>
      </c>
      <c r="AK317"/>
    </row>
    <row r="318" spans="1:37" s="65" customFormat="1" ht="15.75" x14ac:dyDescent="0.25">
      <c r="A318" s="950"/>
      <c r="B318" s="683"/>
      <c r="C318" s="950"/>
      <c r="D318" s="950"/>
      <c r="E318" s="950"/>
      <c r="F318" s="950"/>
      <c r="G318" s="985"/>
      <c r="H318" s="985"/>
      <c r="I318" s="985"/>
      <c r="J318" s="985"/>
      <c r="K318" s="950"/>
      <c r="L318" s="950"/>
      <c r="M318" s="950"/>
      <c r="N318" s="950"/>
      <c r="O318" s="985"/>
      <c r="P318" s="985"/>
      <c r="Q318" s="985"/>
      <c r="R318" s="985"/>
      <c r="S318" s="985"/>
      <c r="T318" s="985"/>
      <c r="U318"/>
      <c r="V318"/>
      <c r="W318"/>
      <c r="X318"/>
      <c r="Y318"/>
      <c r="Z318"/>
      <c r="AA318"/>
      <c r="AB318"/>
      <c r="AC318"/>
      <c r="AD318"/>
      <c r="AE318"/>
      <c r="AF318"/>
      <c r="AG318"/>
      <c r="AH318"/>
      <c r="AI318"/>
      <c r="AJ318"/>
      <c r="AK318"/>
    </row>
    <row r="319" spans="1:37" s="65" customFormat="1" ht="15.75" x14ac:dyDescent="0.25">
      <c r="A319" s="950"/>
      <c r="B319" s="683"/>
      <c r="C319" s="950"/>
      <c r="D319" s="950"/>
      <c r="E319" s="950"/>
      <c r="F319" s="950"/>
      <c r="G319" s="985"/>
      <c r="H319" s="985"/>
      <c r="I319" s="985"/>
      <c r="J319" s="985"/>
      <c r="K319" s="950"/>
      <c r="L319" s="950"/>
      <c r="M319" s="950"/>
      <c r="N319" s="950"/>
      <c r="O319" s="985">
        <f>+O317+O311+O305+O299+O293+O287+O281+O275+O269+O263+O257+O251+O245+O239+O233+O227+O221+O215</f>
        <v>-511556.84000000084</v>
      </c>
      <c r="P319" s="985">
        <f>+P317+P311+P305+P299+P293+P287+P281+P275+P269+P263+P257+P251+P245+P238+P233+P227+P221+P215</f>
        <v>-95916.89999999998</v>
      </c>
      <c r="Q319" s="985">
        <f>+Q317+Q311+Q305+Q299+Q293+Q287+Q281+Q275+Q269+Q263+Q257+Q251+Q245+Q238+Q233+Q227+Q221+Q215</f>
        <v>-76733.51999999999</v>
      </c>
      <c r="R319" s="985"/>
      <c r="S319" s="985">
        <f>+S317+S311+S305+S299+S293+S287+S281+S275+S269+S263+S257+S251+S245+S238+S233+S227+S221+S215</f>
        <v>-19183.400000000009</v>
      </c>
      <c r="T319" s="985"/>
      <c r="U319"/>
      <c r="V319"/>
      <c r="W319"/>
      <c r="X319"/>
      <c r="Y319"/>
      <c r="Z319"/>
      <c r="AA319"/>
      <c r="AB319"/>
      <c r="AC319"/>
      <c r="AD319"/>
      <c r="AE319"/>
      <c r="AF319"/>
      <c r="AG319"/>
      <c r="AH319"/>
      <c r="AI319"/>
      <c r="AJ319"/>
      <c r="AK319"/>
    </row>
    <row r="320" spans="1:37" s="65" customFormat="1" ht="15.75" x14ac:dyDescent="0.25">
      <c r="A320" s="950"/>
      <c r="B320" s="683"/>
      <c r="C320" s="950"/>
      <c r="D320" s="950"/>
      <c r="E320" s="950"/>
      <c r="F320" s="950"/>
      <c r="G320" s="985"/>
      <c r="H320" s="985"/>
      <c r="I320" s="985"/>
      <c r="J320" s="985"/>
      <c r="K320" s="950"/>
      <c r="L320" s="950"/>
      <c r="M320" s="950"/>
      <c r="N320" s="950"/>
      <c r="O320" s="985"/>
      <c r="P320" s="985"/>
      <c r="Q320" s="985"/>
      <c r="R320" s="985"/>
      <c r="S320" s="985"/>
      <c r="T320" s="985"/>
      <c r="U320"/>
      <c r="V320"/>
      <c r="W320"/>
      <c r="X320"/>
      <c r="Y320"/>
      <c r="Z320"/>
      <c r="AA320"/>
      <c r="AB320"/>
      <c r="AC320"/>
      <c r="AD320"/>
      <c r="AE320"/>
      <c r="AF320"/>
      <c r="AG320"/>
      <c r="AH320"/>
      <c r="AI320"/>
      <c r="AJ320"/>
      <c r="AK320"/>
    </row>
    <row r="321" spans="1:37" x14ac:dyDescent="0.2">
      <c r="N321" s="1" t="str">
        <f>+B267</f>
        <v>III Petroleo</v>
      </c>
      <c r="O321" s="65">
        <f>+O269</f>
        <v>-2525709.81</v>
      </c>
      <c r="P321" s="65">
        <f>+P269</f>
        <v>-473570.59</v>
      </c>
      <c r="Q321" s="65">
        <f>+Q269</f>
        <v>-378856.47</v>
      </c>
      <c r="R321" s="65">
        <f>+R269</f>
        <v>0</v>
      </c>
      <c r="S321" s="65">
        <f>+S269</f>
        <v>-94714.12</v>
      </c>
    </row>
    <row r="322" spans="1:37" x14ac:dyDescent="0.2">
      <c r="N322" s="1" t="str">
        <f>+B273</f>
        <v>III Gas</v>
      </c>
      <c r="O322" s="65">
        <f>+O275</f>
        <v>-285819.77</v>
      </c>
      <c r="P322" s="65">
        <f>+P275</f>
        <v>-53591.21</v>
      </c>
      <c r="Q322" s="65">
        <f>+Q275</f>
        <v>-42872.97</v>
      </c>
      <c r="R322" s="65">
        <f>+R275</f>
        <v>0</v>
      </c>
      <c r="S322" s="65">
        <f>+S275</f>
        <v>-10718.24</v>
      </c>
    </row>
    <row r="323" spans="1:37" x14ac:dyDescent="0.2">
      <c r="N323" s="1135" t="str">
        <f>+B213</f>
        <v>VI - Perdida Crudo</v>
      </c>
      <c r="O323" s="65">
        <f>+O251+O245+O239+O233+O227+O221+O215</f>
        <v>724.08</v>
      </c>
      <c r="P323" s="65">
        <f>+P251+P245+P239+P233+P227+P221+P215</f>
        <v>135.78</v>
      </c>
      <c r="Q323" s="65">
        <f>+Q251+Q245+Q239+Q233+Q227+Q221+Q215</f>
        <v>108.62</v>
      </c>
      <c r="R323" s="65"/>
      <c r="S323" s="65">
        <f>+S251+S245+S239+S233+S227+S221+S215</f>
        <v>27.15</v>
      </c>
    </row>
    <row r="324" spans="1:37" x14ac:dyDescent="0.2">
      <c r="N324" s="1" t="str">
        <f>+B255</f>
        <v>IV Gas</v>
      </c>
      <c r="O324" s="65">
        <f>+O257</f>
        <v>-1425.3500000000349</v>
      </c>
      <c r="P324" s="65">
        <f>+P257</f>
        <v>-267.25</v>
      </c>
      <c r="Q324" s="65">
        <f>+Q257</f>
        <v>-213.81000000000495</v>
      </c>
      <c r="R324" s="65"/>
      <c r="S324" s="65">
        <f>+S257</f>
        <v>-53.449999999998909</v>
      </c>
    </row>
    <row r="325" spans="1:37" x14ac:dyDescent="0.2">
      <c r="N325" s="65" t="str">
        <f>+B261</f>
        <v>XIII Gas EFT-03</v>
      </c>
      <c r="O325" s="65">
        <f>+O263</f>
        <v>-548499.85000000009</v>
      </c>
      <c r="P325" s="65">
        <f>+P263</f>
        <v>-102843.72</v>
      </c>
      <c r="Q325" s="65">
        <f>+Q263</f>
        <v>-82274.98000000001</v>
      </c>
      <c r="R325" s="65"/>
      <c r="S325" s="65">
        <f>+S263</f>
        <v>-20568.739999999998</v>
      </c>
    </row>
    <row r="326" spans="1:37" x14ac:dyDescent="0.2">
      <c r="N326" s="1" t="s">
        <v>330</v>
      </c>
      <c r="O326" s="390">
        <f>+O317+O311+O305+O299+O293++O287+O281</f>
        <v>2849173.8599999994</v>
      </c>
      <c r="P326" s="390">
        <f>+P317+P311+P305+P299+P293++P287+P281</f>
        <v>534220.09000000008</v>
      </c>
      <c r="Q326" s="390">
        <f>+Q317+Q311+Q305+Q299+Q293++Q287+Q281</f>
        <v>427376.09</v>
      </c>
      <c r="R326" s="390">
        <f>+R317+R311+R305+R299+R293++R287+R281</f>
        <v>0</v>
      </c>
      <c r="S326" s="390">
        <f>+S317+S311+S305+S299+S293++S287+S281</f>
        <v>106843.99999999999</v>
      </c>
    </row>
    <row r="327" spans="1:37" x14ac:dyDescent="0.2">
      <c r="O327" s="65">
        <f>+SUM(O321:O326)</f>
        <v>-511556.84000000078</v>
      </c>
      <c r="P327" s="65">
        <f>+SUM(P321:P326)</f>
        <v>-95916.899999999907</v>
      </c>
      <c r="Q327" s="65">
        <f>+SUM(Q321:Q326)</f>
        <v>-76733.51999999996</v>
      </c>
      <c r="R327" s="65">
        <f>+SUM(R321:R326)</f>
        <v>0</v>
      </c>
      <c r="S327" s="65">
        <f>+SUM(S321:S326)</f>
        <v>-19183.400000000009</v>
      </c>
    </row>
    <row r="328" spans="1:37" x14ac:dyDescent="0.2">
      <c r="O328" s="65"/>
      <c r="P328" s="65"/>
      <c r="Q328" s="65"/>
      <c r="R328" s="65"/>
      <c r="S328" s="65"/>
    </row>
    <row r="329" spans="1:37" x14ac:dyDescent="0.2">
      <c r="O329" s="65">
        <f>+O327-O319</f>
        <v>0</v>
      </c>
      <c r="P329" s="65">
        <f>+P327-P319</f>
        <v>0</v>
      </c>
      <c r="Q329" s="65">
        <f>+Q327-Q319</f>
        <v>0</v>
      </c>
      <c r="R329" s="65">
        <f>+R327-R319</f>
        <v>0</v>
      </c>
      <c r="S329" s="65">
        <f>+S327-S319</f>
        <v>0</v>
      </c>
    </row>
    <row r="333" spans="1:37" s="65" customFormat="1" ht="15.75" x14ac:dyDescent="0.25">
      <c r="A333" s="880" t="s">
        <v>231</v>
      </c>
      <c r="B333" s="596"/>
      <c r="C333" s="596" t="s">
        <v>425</v>
      </c>
      <c r="D333" s="596"/>
      <c r="E333" s="596"/>
      <c r="F333" s="596"/>
      <c r="G333" s="596"/>
      <c r="H333" s="596"/>
      <c r="I333" s="596"/>
      <c r="J333" s="596"/>
      <c r="K333" s="596"/>
      <c r="L333" s="596"/>
      <c r="M333" s="596"/>
      <c r="N333" s="1061"/>
      <c r="O333" s="596"/>
      <c r="P333" s="596"/>
      <c r="Q333" s="596"/>
      <c r="R333" s="596"/>
      <c r="S333" s="596"/>
      <c r="T333" s="596"/>
      <c r="U333"/>
      <c r="V333"/>
      <c r="W333"/>
      <c r="X333"/>
      <c r="Y333"/>
      <c r="Z333"/>
      <c r="AA333"/>
      <c r="AB333"/>
      <c r="AC333"/>
      <c r="AD333"/>
      <c r="AE333"/>
      <c r="AF333"/>
      <c r="AG333"/>
      <c r="AH333"/>
      <c r="AI333"/>
      <c r="AJ333"/>
      <c r="AK333"/>
    </row>
    <row r="334" spans="1:37" s="65" customFormat="1" ht="15.75" x14ac:dyDescent="0.25">
      <c r="A334" s="887" t="s">
        <v>228</v>
      </c>
      <c r="B334" s="596"/>
      <c r="C334" s="596"/>
      <c r="D334" s="596"/>
      <c r="E334" s="596"/>
      <c r="F334" s="596"/>
      <c r="G334" s="704" t="s">
        <v>35</v>
      </c>
      <c r="H334" s="705" t="s">
        <v>36</v>
      </c>
      <c r="I334" s="705" t="s">
        <v>35</v>
      </c>
      <c r="J334" s="704" t="s">
        <v>36</v>
      </c>
      <c r="K334" s="704" t="s">
        <v>39</v>
      </c>
      <c r="L334" s="704" t="s">
        <v>40</v>
      </c>
      <c r="M334" s="704" t="s">
        <v>42</v>
      </c>
      <c r="N334" s="1058" t="s">
        <v>2</v>
      </c>
      <c r="O334" s="596"/>
      <c r="P334" s="596"/>
      <c r="Q334" s="596"/>
      <c r="R334" s="596"/>
      <c r="S334" s="596"/>
      <c r="T334" s="596"/>
      <c r="U334"/>
      <c r="V334"/>
      <c r="W334"/>
      <c r="X334"/>
      <c r="Y334"/>
      <c r="Z334"/>
      <c r="AA334"/>
      <c r="AB334"/>
      <c r="AC334"/>
      <c r="AD334"/>
      <c r="AE334"/>
      <c r="AF334"/>
      <c r="AG334"/>
      <c r="AH334"/>
      <c r="AI334"/>
      <c r="AJ334"/>
      <c r="AK334"/>
    </row>
    <row r="335" spans="1:37" s="65" customFormat="1" ht="15.75" x14ac:dyDescent="0.25">
      <c r="A335" s="939" t="s">
        <v>28</v>
      </c>
      <c r="B335" s="940" t="s">
        <v>422</v>
      </c>
      <c r="C335" s="845" t="s">
        <v>31</v>
      </c>
      <c r="D335" s="845" t="s">
        <v>30</v>
      </c>
      <c r="E335" s="845" t="s">
        <v>101</v>
      </c>
      <c r="F335" s="845" t="s">
        <v>56</v>
      </c>
      <c r="G335" s="215">
        <v>19681</v>
      </c>
      <c r="H335" s="215"/>
      <c r="I335" s="217">
        <v>52.330599999999997</v>
      </c>
      <c r="J335" s="217"/>
      <c r="K335" s="222"/>
      <c r="L335" s="222"/>
      <c r="M335" s="222"/>
      <c r="N335" s="386"/>
      <c r="O335" s="1087">
        <f>ROUND(G335*I335,2)+ROUND(H335*J335,2)-K335-L335-M335-N335</f>
        <v>1029918.54</v>
      </c>
      <c r="P335" s="918">
        <f>ROUND(18.75%*O335,2)</f>
        <v>193109.73</v>
      </c>
      <c r="Q335" s="941">
        <f>ROUND($O335*R335,2)</f>
        <v>154487.78</v>
      </c>
      <c r="R335" s="942">
        <v>0.15</v>
      </c>
      <c r="S335" s="941">
        <f>ROUND($O335*T335,2)</f>
        <v>38621.949999999997</v>
      </c>
      <c r="T335" s="943">
        <v>3.7499999999999999E-2</v>
      </c>
      <c r="U335"/>
      <c r="V335"/>
      <c r="W335"/>
      <c r="X335"/>
      <c r="Y335"/>
      <c r="Z335"/>
      <c r="AA335"/>
      <c r="AB335"/>
      <c r="AC335"/>
      <c r="AD335"/>
      <c r="AE335"/>
      <c r="AF335"/>
      <c r="AG335"/>
      <c r="AH335"/>
      <c r="AI335"/>
      <c r="AJ335"/>
      <c r="AK335"/>
    </row>
    <row r="336" spans="1:37" s="65" customFormat="1" ht="15.75" x14ac:dyDescent="0.25">
      <c r="A336" s="926" t="s">
        <v>28</v>
      </c>
      <c r="B336" s="445" t="s">
        <v>421</v>
      </c>
      <c r="C336" s="867" t="s">
        <v>31</v>
      </c>
      <c r="D336" s="867" t="s">
        <v>30</v>
      </c>
      <c r="E336" s="867" t="s">
        <v>101</v>
      </c>
      <c r="F336" s="867" t="s">
        <v>56</v>
      </c>
      <c r="G336" s="311">
        <v>22398</v>
      </c>
      <c r="H336" s="927">
        <v>39164</v>
      </c>
      <c r="I336" s="928">
        <v>59.112400000000001</v>
      </c>
      <c r="J336" s="927">
        <v>57.451999999999998</v>
      </c>
      <c r="K336" s="505"/>
      <c r="L336" s="505"/>
      <c r="M336" s="505"/>
      <c r="N336" s="1093"/>
      <c r="O336" s="667">
        <f>ROUND(G336*I336,2)+ROUND(H336*J336,2)-K336-L336-M336-N336</f>
        <v>3574049.67</v>
      </c>
      <c r="P336" s="909">
        <f>ROUND(18.75%*O336,2)</f>
        <v>670134.31000000006</v>
      </c>
      <c r="Q336" s="568">
        <f>ROUND($O336*R336,2)</f>
        <v>536107.44999999995</v>
      </c>
      <c r="R336" s="931">
        <v>0.15</v>
      </c>
      <c r="S336" s="568">
        <f>ROUND($O336*T336,2)</f>
        <v>134026.85999999999</v>
      </c>
      <c r="T336" s="946">
        <v>3.7499999999999999E-2</v>
      </c>
      <c r="U336"/>
      <c r="V336"/>
      <c r="W336"/>
      <c r="X336"/>
      <c r="Y336"/>
      <c r="Z336"/>
      <c r="AA336"/>
      <c r="AB336"/>
      <c r="AC336"/>
      <c r="AD336"/>
      <c r="AE336"/>
      <c r="AF336"/>
      <c r="AG336"/>
      <c r="AH336"/>
      <c r="AI336"/>
      <c r="AJ336"/>
      <c r="AK336"/>
    </row>
    <row r="337" spans="1:37" s="65" customFormat="1" ht="15.75" x14ac:dyDescent="0.25">
      <c r="A337" s="596"/>
      <c r="B337" s="596"/>
      <c r="C337" s="596"/>
      <c r="D337" s="596"/>
      <c r="E337" s="596"/>
      <c r="F337" s="596"/>
      <c r="G337" s="902">
        <f>SUM(G335:G336)</f>
        <v>42079</v>
      </c>
      <c r="H337" s="902">
        <f>SUM(H335:H336)</f>
        <v>39164</v>
      </c>
      <c r="I337" s="677"/>
      <c r="J337" s="677"/>
      <c r="K337" s="677"/>
      <c r="L337" s="596"/>
      <c r="M337" s="596"/>
      <c r="N337" s="1059">
        <f>SUM(N335:N336)</f>
        <v>0</v>
      </c>
      <c r="O337" s="734">
        <f>SUM(O335:O336)</f>
        <v>4603968.21</v>
      </c>
      <c r="P337" s="734">
        <f>SUM(P335:P336)</f>
        <v>863244.04</v>
      </c>
      <c r="Q337" s="734">
        <f>SUM(Q335:Q336)</f>
        <v>690595.23</v>
      </c>
      <c r="R337" s="596"/>
      <c r="S337" s="734">
        <f>SUM(S335:S336)</f>
        <v>172648.81</v>
      </c>
      <c r="T337" s="596"/>
      <c r="U337"/>
      <c r="V337"/>
      <c r="W337"/>
      <c r="X337"/>
      <c r="Y337"/>
      <c r="Z337"/>
      <c r="AA337"/>
      <c r="AB337"/>
      <c r="AC337"/>
      <c r="AD337"/>
      <c r="AE337"/>
      <c r="AF337"/>
      <c r="AG337"/>
      <c r="AH337"/>
      <c r="AI337"/>
      <c r="AJ337"/>
      <c r="AK337"/>
    </row>
    <row r="338" spans="1:37" s="65" customFormat="1" ht="15.75" x14ac:dyDescent="0.25">
      <c r="A338" s="596"/>
      <c r="B338" s="596"/>
      <c r="C338" s="596"/>
      <c r="D338" s="596"/>
      <c r="E338" s="596"/>
      <c r="F338" s="596"/>
      <c r="G338" s="677"/>
      <c r="H338" s="677"/>
      <c r="I338" s="677"/>
      <c r="J338" s="677"/>
      <c r="K338" s="677"/>
      <c r="L338" s="596"/>
      <c r="M338" s="596"/>
      <c r="N338" s="950"/>
      <c r="O338" s="597"/>
      <c r="P338" s="597"/>
      <c r="Q338" s="597"/>
      <c r="R338" s="596"/>
      <c r="S338" s="597"/>
      <c r="T338" s="596"/>
      <c r="U338"/>
      <c r="V338"/>
      <c r="W338"/>
      <c r="X338"/>
      <c r="Y338"/>
      <c r="Z338"/>
      <c r="AA338"/>
      <c r="AB338"/>
      <c r="AC338"/>
      <c r="AD338"/>
      <c r="AE338"/>
      <c r="AF338"/>
      <c r="AG338"/>
      <c r="AH338"/>
      <c r="AI338"/>
      <c r="AJ338"/>
      <c r="AK338"/>
    </row>
    <row r="339" spans="1:37" s="65" customFormat="1" ht="15.75" x14ac:dyDescent="0.25">
      <c r="A339" s="887" t="s">
        <v>229</v>
      </c>
      <c r="B339" s="596"/>
      <c r="C339" s="596"/>
      <c r="D339" s="596"/>
      <c r="E339" s="596"/>
      <c r="F339" s="596"/>
      <c r="G339" s="677"/>
      <c r="H339" s="677"/>
      <c r="I339" s="677"/>
      <c r="J339" s="677"/>
      <c r="K339" s="677"/>
      <c r="L339" s="596"/>
      <c r="M339" s="596"/>
      <c r="N339" s="950"/>
      <c r="O339" s="596"/>
      <c r="P339" s="596"/>
      <c r="Q339" s="597"/>
      <c r="R339" s="596"/>
      <c r="S339" s="596"/>
      <c r="T339" s="596"/>
      <c r="U339"/>
      <c r="V339"/>
      <c r="W339"/>
      <c r="X339"/>
      <c r="Y339"/>
      <c r="Z339"/>
      <c r="AA339"/>
      <c r="AB339"/>
      <c r="AC339"/>
      <c r="AD339"/>
      <c r="AE339"/>
      <c r="AF339"/>
      <c r="AG339"/>
      <c r="AH339"/>
      <c r="AI339"/>
      <c r="AJ339"/>
      <c r="AK339"/>
    </row>
    <row r="340" spans="1:37" s="65" customFormat="1" ht="15.75" x14ac:dyDescent="0.25">
      <c r="A340" s="939" t="s">
        <v>28</v>
      </c>
      <c r="B340" s="940" t="str">
        <f>B335</f>
        <v>8 - PLUSPETROL</v>
      </c>
      <c r="C340" s="845" t="s">
        <v>31</v>
      </c>
      <c r="D340" s="845" t="s">
        <v>30</v>
      </c>
      <c r="E340" s="845" t="s">
        <v>101</v>
      </c>
      <c r="F340" s="845" t="s">
        <v>56</v>
      </c>
      <c r="G340" s="1082">
        <f>G335</f>
        <v>19681</v>
      </c>
      <c r="H340" s="1032"/>
      <c r="I340" s="1033">
        <f>I335</f>
        <v>52.330599999999997</v>
      </c>
      <c r="J340" s="1033"/>
      <c r="K340" s="1023"/>
      <c r="L340" s="1023"/>
      <c r="M340" s="1023"/>
      <c r="N340" s="1087"/>
      <c r="O340" s="1087">
        <f>ROUND(G340*I340,2)+ROUND(H340*J340,2)-K340-L340-M340-N340</f>
        <v>1029918.54</v>
      </c>
      <c r="P340" s="918">
        <f>ROUND(18.75%*O340,2)</f>
        <v>193109.73</v>
      </c>
      <c r="Q340" s="941">
        <f>ROUND($O340*R340,2)</f>
        <v>154487.78</v>
      </c>
      <c r="R340" s="942">
        <v>0.15</v>
      </c>
      <c r="S340" s="941">
        <f>ROUND($O340*T340,2)</f>
        <v>38621.949999999997</v>
      </c>
      <c r="T340" s="943">
        <v>3.7499999999999999E-2</v>
      </c>
      <c r="U340"/>
      <c r="V340"/>
      <c r="W340"/>
      <c r="X340"/>
      <c r="Y340"/>
      <c r="Z340"/>
      <c r="AA340"/>
      <c r="AB340"/>
      <c r="AC340"/>
      <c r="AD340"/>
      <c r="AE340"/>
      <c r="AF340"/>
      <c r="AG340"/>
      <c r="AH340"/>
      <c r="AI340"/>
      <c r="AJ340"/>
      <c r="AK340"/>
    </row>
    <row r="341" spans="1:37" s="65" customFormat="1" ht="15.75" x14ac:dyDescent="0.25">
      <c r="A341" s="926" t="s">
        <v>28</v>
      </c>
      <c r="B341" s="445" t="str">
        <f>B336</f>
        <v>8 - UPLAND</v>
      </c>
      <c r="C341" s="867" t="s">
        <v>31</v>
      </c>
      <c r="D341" s="867" t="s">
        <v>30</v>
      </c>
      <c r="E341" s="867" t="s">
        <v>101</v>
      </c>
      <c r="F341" s="867" t="s">
        <v>56</v>
      </c>
      <c r="G341" s="1091">
        <f>G336</f>
        <v>22398</v>
      </c>
      <c r="H341" s="1036"/>
      <c r="I341" s="1039">
        <f>I336</f>
        <v>59.112400000000001</v>
      </c>
      <c r="J341" s="1039"/>
      <c r="K341" s="505"/>
      <c r="L341" s="505"/>
      <c r="M341" s="505"/>
      <c r="N341" s="1093"/>
      <c r="O341" s="756">
        <f>ROUND(G341*I341,2)+ROUND(H341*J341,2)-K341-L341-M341-N341</f>
        <v>1323999.54</v>
      </c>
      <c r="P341" s="909">
        <f>ROUND(18.75%*O341,2)</f>
        <v>248249.91</v>
      </c>
      <c r="Q341" s="568">
        <f>ROUND($O341*R341,2)</f>
        <v>198599.93</v>
      </c>
      <c r="R341" s="931">
        <v>0.15</v>
      </c>
      <c r="S341" s="568">
        <f>ROUND($O341*T341,2)</f>
        <v>49649.98</v>
      </c>
      <c r="T341" s="946">
        <v>3.7499999999999999E-2</v>
      </c>
      <c r="U341"/>
      <c r="V341"/>
      <c r="W341"/>
      <c r="X341"/>
      <c r="Y341"/>
      <c r="Z341"/>
      <c r="AA341"/>
      <c r="AB341"/>
      <c r="AC341"/>
      <c r="AD341"/>
      <c r="AE341"/>
      <c r="AF341"/>
      <c r="AG341"/>
      <c r="AH341"/>
      <c r="AI341"/>
      <c r="AJ341"/>
      <c r="AK341"/>
    </row>
    <row r="342" spans="1:37" s="65" customFormat="1" ht="15.75" x14ac:dyDescent="0.25">
      <c r="A342" s="596"/>
      <c r="B342" s="596"/>
      <c r="C342" s="596"/>
      <c r="D342" s="596"/>
      <c r="E342" s="596"/>
      <c r="F342" s="596"/>
      <c r="G342" s="902">
        <f>SUM(G340:G341)</f>
        <v>42079</v>
      </c>
      <c r="H342" s="902"/>
      <c r="I342" s="937">
        <f>O342/G342</f>
        <v>55.940447253974668</v>
      </c>
      <c r="J342" s="677"/>
      <c r="K342" s="677"/>
      <c r="L342" s="596"/>
      <c r="M342" s="596"/>
      <c r="N342" s="1059">
        <f>SUM(N340:N341)</f>
        <v>0</v>
      </c>
      <c r="O342" s="734">
        <f>SUM(O340:O341)</f>
        <v>2353918.08</v>
      </c>
      <c r="P342" s="734">
        <f>SUM(P340:P341)</f>
        <v>441359.64</v>
      </c>
      <c r="Q342" s="734">
        <f>SUM(Q340:Q341)</f>
        <v>353087.70999999996</v>
      </c>
      <c r="R342" s="596"/>
      <c r="S342" s="734">
        <f>SUM(S340:S341)</f>
        <v>88271.93</v>
      </c>
      <c r="T342" s="596"/>
      <c r="U342"/>
      <c r="V342"/>
      <c r="W342"/>
      <c r="X342"/>
      <c r="Y342"/>
      <c r="Z342"/>
      <c r="AA342"/>
      <c r="AB342"/>
      <c r="AC342"/>
      <c r="AD342"/>
      <c r="AE342"/>
      <c r="AF342"/>
      <c r="AG342"/>
      <c r="AH342"/>
      <c r="AI342"/>
      <c r="AJ342"/>
      <c r="AK342"/>
    </row>
    <row r="343" spans="1:37" s="65" customFormat="1" ht="15.75" x14ac:dyDescent="0.25">
      <c r="A343" s="596"/>
      <c r="B343" s="596"/>
      <c r="C343" s="596"/>
      <c r="D343" s="596"/>
      <c r="E343" s="596"/>
      <c r="F343" s="596"/>
      <c r="G343" s="677"/>
      <c r="H343" s="677"/>
      <c r="I343" s="677"/>
      <c r="J343" s="677"/>
      <c r="K343" s="677"/>
      <c r="L343" s="596"/>
      <c r="M343" s="596"/>
      <c r="N343" s="950"/>
      <c r="O343" s="683"/>
      <c r="P343" s="683"/>
      <c r="Q343" s="596"/>
      <c r="R343" s="596"/>
      <c r="S343" s="596"/>
      <c r="T343" s="596"/>
      <c r="U343"/>
      <c r="V343"/>
      <c r="W343"/>
      <c r="X343"/>
      <c r="Y343"/>
      <c r="Z343"/>
      <c r="AA343"/>
      <c r="AB343"/>
      <c r="AC343"/>
      <c r="AD343"/>
      <c r="AE343"/>
      <c r="AF343"/>
      <c r="AG343"/>
      <c r="AH343"/>
      <c r="AI343"/>
      <c r="AJ343"/>
      <c r="AK343"/>
    </row>
    <row r="344" spans="1:37" s="65" customFormat="1" ht="16.350000000000001" customHeight="1" x14ac:dyDescent="0.25">
      <c r="A344" s="596"/>
      <c r="B344" s="596"/>
      <c r="C344" s="596"/>
      <c r="D344" s="596"/>
      <c r="E344" s="596"/>
      <c r="F344" s="596"/>
      <c r="G344" s="677"/>
      <c r="H344" s="677"/>
      <c r="I344" s="677"/>
      <c r="J344" s="677"/>
      <c r="K344" s="677"/>
      <c r="L344" s="596"/>
      <c r="M344" s="596"/>
      <c r="N344" s="950"/>
      <c r="O344" s="597"/>
      <c r="P344" s="597"/>
      <c r="Q344" s="596"/>
      <c r="R344" s="596"/>
      <c r="S344" s="596"/>
      <c r="T344" s="596"/>
      <c r="U344"/>
      <c r="V344"/>
      <c r="W344"/>
      <c r="X344"/>
      <c r="Y344"/>
      <c r="Z344"/>
      <c r="AA344"/>
      <c r="AB344"/>
      <c r="AC344"/>
      <c r="AD344"/>
      <c r="AE344"/>
      <c r="AF344"/>
      <c r="AG344"/>
      <c r="AH344"/>
      <c r="AI344"/>
      <c r="AJ344"/>
      <c r="AK344"/>
    </row>
    <row r="345" spans="1:37" s="65" customFormat="1" ht="15.75" x14ac:dyDescent="0.25">
      <c r="A345" s="887" t="s">
        <v>230</v>
      </c>
      <c r="B345" s="596"/>
      <c r="C345" s="596"/>
      <c r="D345" s="596"/>
      <c r="E345" s="596"/>
      <c r="F345" s="596"/>
      <c r="G345" s="677"/>
      <c r="H345" s="677"/>
      <c r="I345" s="677"/>
      <c r="J345" s="677"/>
      <c r="K345" s="677"/>
      <c r="L345" s="596"/>
      <c r="M345" s="596"/>
      <c r="N345" s="950"/>
      <c r="O345" s="596"/>
      <c r="P345" s="596"/>
      <c r="Q345" s="596"/>
      <c r="R345" s="596"/>
      <c r="S345" s="596"/>
      <c r="T345" s="596"/>
      <c r="U345"/>
      <c r="V345"/>
      <c r="W345"/>
      <c r="X345"/>
      <c r="Y345"/>
      <c r="Z345"/>
      <c r="AA345"/>
      <c r="AB345"/>
      <c r="AC345"/>
      <c r="AD345"/>
      <c r="AE345"/>
      <c r="AF345"/>
      <c r="AG345"/>
      <c r="AH345"/>
      <c r="AI345"/>
      <c r="AJ345"/>
      <c r="AK345"/>
    </row>
    <row r="346" spans="1:37" s="65" customFormat="1" ht="15.75" x14ac:dyDescent="0.25">
      <c r="A346" s="888" t="s">
        <v>28</v>
      </c>
      <c r="B346" s="940" t="str">
        <f>B335</f>
        <v>8 - PLUSPETROL</v>
      </c>
      <c r="C346" s="890" t="s">
        <v>31</v>
      </c>
      <c r="D346" s="890" t="s">
        <v>30</v>
      </c>
      <c r="E346" s="890" t="s">
        <v>101</v>
      </c>
      <c r="F346" s="891" t="s">
        <v>56</v>
      </c>
      <c r="G346" s="914"/>
      <c r="H346" s="914">
        <f>+H335</f>
        <v>0</v>
      </c>
      <c r="I346" s="916"/>
      <c r="J346" s="1077">
        <f>J335</f>
        <v>0</v>
      </c>
      <c r="K346" s="420"/>
      <c r="L346" s="420"/>
      <c r="M346" s="420"/>
      <c r="N346" s="1087">
        <f>N335</f>
        <v>0</v>
      </c>
      <c r="O346" s="918">
        <f>ROUND(G346*I346,2)+ROUND(H346*J346,2)-K346-L346-M346-N346</f>
        <v>0</v>
      </c>
      <c r="P346" s="918">
        <f>ROUND(18.75%*O346,2)</f>
        <v>0</v>
      </c>
      <c r="Q346" s="941">
        <f>ROUND($O346*R346,2)</f>
        <v>0</v>
      </c>
      <c r="R346" s="942">
        <v>0.15</v>
      </c>
      <c r="S346" s="941">
        <f>ROUND($O346*T346,2)</f>
        <v>0</v>
      </c>
      <c r="T346" s="943">
        <v>3.7499999999999999E-2</v>
      </c>
      <c r="U346"/>
      <c r="V346"/>
      <c r="W346"/>
      <c r="X346"/>
      <c r="Y346"/>
      <c r="Z346"/>
      <c r="AA346"/>
      <c r="AB346"/>
      <c r="AC346"/>
      <c r="AD346"/>
      <c r="AE346"/>
      <c r="AF346"/>
      <c r="AG346"/>
      <c r="AH346"/>
      <c r="AI346"/>
      <c r="AJ346"/>
      <c r="AK346"/>
    </row>
    <row r="347" spans="1:37" s="65" customFormat="1" ht="15.75" x14ac:dyDescent="0.25">
      <c r="A347" s="898" t="s">
        <v>28</v>
      </c>
      <c r="B347" s="445" t="str">
        <f>B336</f>
        <v>8 - UPLAND</v>
      </c>
      <c r="C347" s="899" t="s">
        <v>31</v>
      </c>
      <c r="D347" s="899" t="s">
        <v>30</v>
      </c>
      <c r="E347" s="899" t="s">
        <v>101</v>
      </c>
      <c r="F347" s="740" t="s">
        <v>56</v>
      </c>
      <c r="G347" s="927"/>
      <c r="H347" s="927">
        <f>H336</f>
        <v>39164</v>
      </c>
      <c r="I347" s="929"/>
      <c r="J347" s="1078">
        <f>J336</f>
        <v>57.451999999999998</v>
      </c>
      <c r="K347" s="424"/>
      <c r="L347" s="424"/>
      <c r="M347" s="424"/>
      <c r="N347" s="1093">
        <f>N336</f>
        <v>0</v>
      </c>
      <c r="O347" s="909">
        <f>ROUND(G347*I347,2)+ROUND(H347*J347,2)-K347-L347-M347-N347</f>
        <v>2250050.13</v>
      </c>
      <c r="P347" s="909">
        <f>ROUND(18.75%*O347,2)</f>
        <v>421884.4</v>
      </c>
      <c r="Q347" s="568">
        <f>ROUND($O347*R347,2)</f>
        <v>337507.52</v>
      </c>
      <c r="R347" s="931">
        <v>0.15</v>
      </c>
      <c r="S347" s="568">
        <f>ROUND($O347*T347,2)</f>
        <v>84376.88</v>
      </c>
      <c r="T347" s="946">
        <v>3.7499999999999999E-2</v>
      </c>
      <c r="U347"/>
      <c r="V347"/>
      <c r="W347"/>
      <c r="X347"/>
      <c r="Y347"/>
      <c r="Z347"/>
      <c r="AA347"/>
      <c r="AB347"/>
      <c r="AC347"/>
      <c r="AD347"/>
      <c r="AE347"/>
      <c r="AF347"/>
      <c r="AG347"/>
      <c r="AH347"/>
      <c r="AI347"/>
      <c r="AJ347"/>
      <c r="AK347"/>
    </row>
    <row r="348" spans="1:37" s="65" customFormat="1" ht="15.75" x14ac:dyDescent="0.25">
      <c r="A348" s="596"/>
      <c r="B348" s="596"/>
      <c r="C348" s="596"/>
      <c r="D348" s="596"/>
      <c r="E348" s="596"/>
      <c r="F348" s="596"/>
      <c r="G348" s="902"/>
      <c r="H348" s="902">
        <f>SUM(H346:H347)</f>
        <v>39164</v>
      </c>
      <c r="I348" s="937"/>
      <c r="J348" s="937">
        <f>O348/H348</f>
        <v>57.452000051067301</v>
      </c>
      <c r="K348" s="677"/>
      <c r="L348" s="596"/>
      <c r="M348" s="596"/>
      <c r="N348" s="1094">
        <f>SUM(N346:N347)</f>
        <v>0</v>
      </c>
      <c r="O348" s="734">
        <f>SUM(O346:O347)</f>
        <v>2250050.13</v>
      </c>
      <c r="P348" s="734">
        <f>SUM(P346:P347)</f>
        <v>421884.4</v>
      </c>
      <c r="Q348" s="734">
        <f>SUM(Q346:Q347)</f>
        <v>337507.52</v>
      </c>
      <c r="R348" s="596"/>
      <c r="S348" s="734">
        <f>SUM(S346:S347)</f>
        <v>84376.88</v>
      </c>
      <c r="T348" s="596"/>
      <c r="U348"/>
      <c r="V348"/>
      <c r="W348"/>
      <c r="X348"/>
      <c r="Y348"/>
      <c r="Z348"/>
      <c r="AA348"/>
      <c r="AB348"/>
      <c r="AC348"/>
      <c r="AD348"/>
      <c r="AE348"/>
      <c r="AF348"/>
      <c r="AG348"/>
      <c r="AH348"/>
      <c r="AI348"/>
      <c r="AJ348"/>
      <c r="AK348"/>
    </row>
    <row r="350" spans="1:37" s="65" customFormat="1" ht="16.350000000000001" customHeight="1" x14ac:dyDescent="0.25">
      <c r="A350" s="880" t="s">
        <v>231</v>
      </c>
      <c r="B350" s="596"/>
      <c r="C350" s="596">
        <v>88</v>
      </c>
      <c r="D350" s="596"/>
      <c r="E350" s="596"/>
      <c r="F350" s="596"/>
      <c r="G350" s="677"/>
      <c r="H350" s="677"/>
      <c r="I350" s="677"/>
      <c r="J350" s="677"/>
      <c r="K350" s="677"/>
      <c r="L350" s="596"/>
      <c r="M350" s="596"/>
      <c r="N350" s="950"/>
      <c r="O350" s="596"/>
      <c r="P350" s="596"/>
      <c r="Q350" s="596"/>
      <c r="R350" s="596"/>
      <c r="S350"/>
      <c r="T350"/>
      <c r="U350"/>
      <c r="V350"/>
      <c r="W350"/>
      <c r="X350"/>
      <c r="Y350"/>
      <c r="Z350"/>
      <c r="AA350"/>
      <c r="AB350"/>
      <c r="AC350"/>
      <c r="AD350"/>
      <c r="AE350"/>
      <c r="AF350"/>
      <c r="AG350"/>
      <c r="AH350"/>
      <c r="AI350"/>
      <c r="AJ350"/>
      <c r="AK350"/>
    </row>
    <row r="351" spans="1:37" s="65" customFormat="1" ht="15.75" x14ac:dyDescent="0.25">
      <c r="A351" s="887" t="s">
        <v>228</v>
      </c>
      <c r="B351" s="596"/>
      <c r="C351" s="596"/>
      <c r="D351" s="596"/>
      <c r="E351" s="596"/>
      <c r="F351" s="596"/>
      <c r="G351" s="704" t="s">
        <v>35</v>
      </c>
      <c r="H351" s="705" t="s">
        <v>36</v>
      </c>
      <c r="I351" s="705" t="s">
        <v>35</v>
      </c>
      <c r="J351" s="704" t="s">
        <v>36</v>
      </c>
      <c r="K351" s="704" t="s">
        <v>39</v>
      </c>
      <c r="L351" s="704" t="s">
        <v>40</v>
      </c>
      <c r="M351" s="704" t="s">
        <v>42</v>
      </c>
      <c r="N351" s="1058" t="s">
        <v>2</v>
      </c>
      <c r="O351" s="959" t="s">
        <v>180</v>
      </c>
      <c r="P351" s="1105" t="s">
        <v>163</v>
      </c>
      <c r="Q351" s="1105" t="s">
        <v>184</v>
      </c>
      <c r="R351" s="1096"/>
      <c r="S351"/>
      <c r="T351"/>
      <c r="U351"/>
      <c r="V351"/>
      <c r="W351"/>
      <c r="X351"/>
      <c r="Y351"/>
      <c r="Z351"/>
      <c r="AA351"/>
      <c r="AB351"/>
      <c r="AC351"/>
      <c r="AD351"/>
      <c r="AE351"/>
      <c r="AF351"/>
      <c r="AG351"/>
      <c r="AH351"/>
      <c r="AI351"/>
      <c r="AJ351"/>
      <c r="AK351"/>
    </row>
    <row r="352" spans="1:37" s="65" customFormat="1" ht="15.75" x14ac:dyDescent="0.25">
      <c r="A352" s="888" t="s">
        <v>28</v>
      </c>
      <c r="B352" s="889" t="s">
        <v>159</v>
      </c>
      <c r="C352" s="890" t="s">
        <v>31</v>
      </c>
      <c r="D352" s="890" t="s">
        <v>30</v>
      </c>
      <c r="E352" s="890" t="s">
        <v>158</v>
      </c>
      <c r="F352" s="891" t="s">
        <v>56</v>
      </c>
      <c r="G352" s="253">
        <v>13952473.4749</v>
      </c>
      <c r="H352" s="420">
        <v>14440103.8991</v>
      </c>
      <c r="I352" s="806">
        <v>2.7464</v>
      </c>
      <c r="J352" s="764">
        <v>2.7464</v>
      </c>
      <c r="K352" s="253"/>
      <c r="L352" s="253"/>
      <c r="M352" s="253"/>
      <c r="N352" s="557"/>
      <c r="O352" s="557">
        <f>ROUND(G352*I352+H352*J352,2)</f>
        <v>77977374.5</v>
      </c>
      <c r="P352" s="557">
        <f>ROUND(37.24%*O352,2)</f>
        <v>29038774.260000002</v>
      </c>
      <c r="Q352" s="557">
        <f>ROUND(R352*P352,2)</f>
        <v>14519387.130000001</v>
      </c>
      <c r="R352" s="893">
        <v>0.5</v>
      </c>
      <c r="S352"/>
      <c r="T352"/>
      <c r="U352"/>
      <c r="V352"/>
      <c r="W352"/>
      <c r="X352"/>
      <c r="Y352"/>
      <c r="Z352"/>
      <c r="AA352"/>
      <c r="AB352"/>
      <c r="AC352"/>
      <c r="AD352"/>
      <c r="AE352"/>
      <c r="AF352"/>
      <c r="AG352"/>
      <c r="AH352"/>
      <c r="AI352"/>
      <c r="AJ352"/>
      <c r="AK352"/>
    </row>
    <row r="353" spans="1:37" s="65" customFormat="1" ht="15.75" x14ac:dyDescent="0.25">
      <c r="A353" s="894" t="s">
        <v>28</v>
      </c>
      <c r="B353" s="456" t="s">
        <v>177</v>
      </c>
      <c r="C353" s="378" t="s">
        <v>31</v>
      </c>
      <c r="D353" s="378" t="s">
        <v>30</v>
      </c>
      <c r="E353" s="378" t="s">
        <v>158</v>
      </c>
      <c r="F353" s="586" t="s">
        <v>56</v>
      </c>
      <c r="G353" s="253">
        <v>30618.082999999999</v>
      </c>
      <c r="H353" s="253">
        <v>33690.151100000003</v>
      </c>
      <c r="I353" s="806">
        <v>3.5371999999999999</v>
      </c>
      <c r="J353" s="728">
        <v>3.5371999999999999</v>
      </c>
      <c r="K353" s="253"/>
      <c r="L353" s="253"/>
      <c r="M353" s="253"/>
      <c r="N353" s="557"/>
      <c r="O353" s="557">
        <f>ROUND(G353*I353+H353*J353,2)</f>
        <v>227471.09</v>
      </c>
      <c r="P353" s="557">
        <f>ROUND(37.24%*O353,2)</f>
        <v>84710.23</v>
      </c>
      <c r="Q353" s="557">
        <f>ROUND(R353*P353,2)</f>
        <v>42355.12</v>
      </c>
      <c r="R353" s="775">
        <v>0.5</v>
      </c>
      <c r="S353"/>
      <c r="T353"/>
      <c r="U353"/>
      <c r="V353"/>
      <c r="W353"/>
      <c r="X353"/>
      <c r="Y353"/>
      <c r="Z353"/>
      <c r="AA353"/>
      <c r="AB353"/>
      <c r="AC353"/>
      <c r="AD353"/>
      <c r="AE353"/>
      <c r="AF353"/>
      <c r="AG353"/>
      <c r="AH353"/>
      <c r="AI353"/>
      <c r="AJ353"/>
      <c r="AK353"/>
    </row>
    <row r="354" spans="1:37" s="65" customFormat="1" ht="16.350000000000001" customHeight="1" x14ac:dyDescent="0.25">
      <c r="A354" s="894" t="s">
        <v>28</v>
      </c>
      <c r="B354" s="456" t="s">
        <v>234</v>
      </c>
      <c r="C354" s="378" t="s">
        <v>31</v>
      </c>
      <c r="D354" s="378" t="s">
        <v>30</v>
      </c>
      <c r="E354" s="378" t="s">
        <v>158</v>
      </c>
      <c r="F354" s="781" t="s">
        <v>56</v>
      </c>
      <c r="G354" s="253">
        <v>21419.75</v>
      </c>
      <c r="H354" s="341">
        <v>24115.1</v>
      </c>
      <c r="I354" s="806">
        <v>3.5371999999999999</v>
      </c>
      <c r="J354" s="728">
        <v>3.5371999999999999</v>
      </c>
      <c r="K354" s="253"/>
      <c r="L354" s="253"/>
      <c r="M354" s="253"/>
      <c r="N354" s="557"/>
      <c r="O354" s="557">
        <f>ROUND(G354*I354+H354*J354,2)</f>
        <v>161065.87</v>
      </c>
      <c r="P354" s="557">
        <f>ROUND(37.24%*O354,2)</f>
        <v>59980.93</v>
      </c>
      <c r="Q354" s="557">
        <f>ROUND(R354*P354,2)</f>
        <v>29990.47</v>
      </c>
      <c r="R354" s="775">
        <v>0.5</v>
      </c>
      <c r="S354"/>
      <c r="T354"/>
      <c r="U354"/>
      <c r="V354"/>
      <c r="W354"/>
      <c r="X354"/>
      <c r="Y354"/>
      <c r="Z354"/>
      <c r="AA354"/>
      <c r="AB354"/>
      <c r="AC354"/>
      <c r="AD354"/>
      <c r="AE354"/>
      <c r="AF354"/>
      <c r="AG354"/>
      <c r="AH354"/>
      <c r="AI354"/>
      <c r="AJ354"/>
      <c r="AK354"/>
    </row>
    <row r="355" spans="1:37" s="65" customFormat="1" ht="15.75" x14ac:dyDescent="0.25">
      <c r="A355" s="898" t="s">
        <v>28</v>
      </c>
      <c r="B355" s="457" t="s">
        <v>178</v>
      </c>
      <c r="C355" s="899" t="s">
        <v>31</v>
      </c>
      <c r="D355" s="899" t="s">
        <v>30</v>
      </c>
      <c r="E355" s="899" t="s">
        <v>158</v>
      </c>
      <c r="F355" s="740" t="s">
        <v>56</v>
      </c>
      <c r="G355" s="424">
        <v>813359.40989999997</v>
      </c>
      <c r="H355" s="424">
        <v>894523.33739999996</v>
      </c>
      <c r="I355" s="907">
        <v>3.677</v>
      </c>
      <c r="J355" s="741">
        <v>3.359</v>
      </c>
      <c r="K355" s="424"/>
      <c r="L355" s="424"/>
      <c r="M355" s="424"/>
      <c r="N355" s="895"/>
      <c r="O355" s="895">
        <f>ROUND(G355*I355+H355*J355,2)</f>
        <v>5995426.4400000004</v>
      </c>
      <c r="P355" s="218">
        <f>ROUND(38%*G355*I355,2)+ROUND(38%*H355*J355,2)</f>
        <v>2278262.0499999998</v>
      </c>
      <c r="Q355" s="895">
        <f>ROUND(R355*P355,2)</f>
        <v>1139131.03</v>
      </c>
      <c r="R355" s="901">
        <v>0.5</v>
      </c>
      <c r="S355"/>
      <c r="T355"/>
      <c r="U355"/>
      <c r="V355"/>
      <c r="W355"/>
      <c r="X355"/>
      <c r="Y355"/>
      <c r="Z355"/>
      <c r="AA355"/>
      <c r="AB355"/>
      <c r="AC355"/>
      <c r="AD355"/>
      <c r="AE355"/>
      <c r="AF355"/>
      <c r="AG355"/>
      <c r="AH355"/>
      <c r="AI355"/>
      <c r="AJ355"/>
      <c r="AK355"/>
    </row>
    <row r="356" spans="1:37" s="65" customFormat="1" ht="15.75" x14ac:dyDescent="0.25">
      <c r="A356" s="596"/>
      <c r="B356" s="596"/>
      <c r="C356" s="596"/>
      <c r="D356" s="596"/>
      <c r="E356" s="596"/>
      <c r="F356" s="596"/>
      <c r="G356" s="902">
        <f>SUM(G352:G355)</f>
        <v>14817870.717800001</v>
      </c>
      <c r="H356" s="902">
        <f>SUM(H352:H355)</f>
        <v>15392432.487600001</v>
      </c>
      <c r="I356" s="902"/>
      <c r="J356" s="677"/>
      <c r="K356" s="677"/>
      <c r="L356" s="596"/>
      <c r="M356" s="596"/>
      <c r="N356" s="950"/>
      <c r="O356" s="734">
        <f>SUM(O352:O355)</f>
        <v>84361337.900000006</v>
      </c>
      <c r="P356" s="734">
        <f>SUM(P352:P355)</f>
        <v>31461727.470000003</v>
      </c>
      <c r="Q356" s="734">
        <f>SUM(Q352:Q355)</f>
        <v>15730863.75</v>
      </c>
      <c r="R356" s="596"/>
      <c r="S356"/>
      <c r="T356"/>
      <c r="U356"/>
      <c r="V356"/>
      <c r="W356"/>
      <c r="X356"/>
      <c r="Y356"/>
      <c r="Z356"/>
      <c r="AA356"/>
      <c r="AB356"/>
      <c r="AC356"/>
      <c r="AD356"/>
      <c r="AE356"/>
      <c r="AF356"/>
      <c r="AG356"/>
      <c r="AH356"/>
      <c r="AI356"/>
      <c r="AJ356"/>
      <c r="AK356"/>
    </row>
    <row r="357" spans="1:37" s="65" customFormat="1" ht="15.75" x14ac:dyDescent="0.25">
      <c r="A357" s="596"/>
      <c r="B357" s="596"/>
      <c r="C357" s="596"/>
      <c r="D357" s="596"/>
      <c r="E357" s="596"/>
      <c r="F357" s="596"/>
      <c r="G357" s="677"/>
      <c r="H357" s="677"/>
      <c r="I357" s="677"/>
      <c r="J357" s="677"/>
      <c r="K357" s="677"/>
      <c r="L357" s="596"/>
      <c r="M357" s="596"/>
      <c r="N357" s="950"/>
      <c r="O357" s="596"/>
      <c r="P357" s="861">
        <f>P356/O356</f>
        <v>0.3729401198839925</v>
      </c>
      <c r="Q357" s="596"/>
      <c r="R357" s="596"/>
      <c r="S357"/>
      <c r="T357"/>
      <c r="U357"/>
      <c r="V357"/>
      <c r="W357"/>
      <c r="X357"/>
      <c r="Y357"/>
      <c r="Z357"/>
      <c r="AA357"/>
      <c r="AB357"/>
      <c r="AC357"/>
      <c r="AD357"/>
      <c r="AE357"/>
      <c r="AF357"/>
      <c r="AG357"/>
      <c r="AH357"/>
      <c r="AI357"/>
      <c r="AJ357"/>
      <c r="AK357"/>
    </row>
    <row r="358" spans="1:37" s="65" customFormat="1" ht="15.75" x14ac:dyDescent="0.25">
      <c r="A358" s="880" t="s">
        <v>232</v>
      </c>
      <c r="B358" s="596"/>
      <c r="C358" s="596"/>
      <c r="D358" s="596"/>
      <c r="E358" s="596"/>
      <c r="F358" s="596"/>
      <c r="G358" s="677"/>
      <c r="H358" s="677"/>
      <c r="I358" s="677"/>
      <c r="J358" s="677"/>
      <c r="K358" s="677"/>
      <c r="L358" s="596"/>
      <c r="M358" s="596"/>
      <c r="N358" s="950"/>
      <c r="O358" s="597"/>
      <c r="P358" s="597"/>
      <c r="Q358" s="683"/>
      <c r="R358" s="596"/>
      <c r="S358"/>
      <c r="T358"/>
      <c r="U358"/>
      <c r="V358"/>
      <c r="W358"/>
      <c r="X358"/>
      <c r="Y358"/>
      <c r="Z358"/>
      <c r="AA358"/>
      <c r="AB358"/>
      <c r="AC358"/>
      <c r="AD358"/>
      <c r="AE358"/>
      <c r="AF358"/>
      <c r="AG358"/>
      <c r="AH358"/>
      <c r="AI358"/>
      <c r="AJ358"/>
      <c r="AK358"/>
    </row>
    <row r="359" spans="1:37" s="65" customFormat="1" ht="15.75" x14ac:dyDescent="0.25">
      <c r="A359" s="596"/>
      <c r="B359" s="596"/>
      <c r="C359" s="596"/>
      <c r="D359" s="596"/>
      <c r="E359" s="596"/>
      <c r="F359" s="596"/>
      <c r="G359" s="677"/>
      <c r="H359" s="677"/>
      <c r="I359" s="677"/>
      <c r="J359" s="677"/>
      <c r="K359" s="677"/>
      <c r="L359" s="596"/>
      <c r="M359" s="596"/>
      <c r="N359" s="950"/>
      <c r="O359" s="596"/>
      <c r="P359" s="596"/>
      <c r="Q359" s="596"/>
      <c r="R359" s="596"/>
      <c r="S359"/>
      <c r="T359"/>
      <c r="U359"/>
      <c r="V359"/>
      <c r="W359"/>
      <c r="X359"/>
      <c r="Y359"/>
      <c r="Z359"/>
      <c r="AA359"/>
      <c r="AB359"/>
      <c r="AC359"/>
      <c r="AD359"/>
      <c r="AE359"/>
      <c r="AF359"/>
      <c r="AG359"/>
      <c r="AH359"/>
      <c r="AI359"/>
      <c r="AJ359"/>
      <c r="AK359"/>
    </row>
    <row r="360" spans="1:37" s="65" customFormat="1" ht="16.350000000000001" customHeight="1" x14ac:dyDescent="0.25">
      <c r="A360" s="888" t="s">
        <v>28</v>
      </c>
      <c r="B360" s="889" t="s">
        <v>159</v>
      </c>
      <c r="C360" s="890" t="s">
        <v>31</v>
      </c>
      <c r="D360" s="890" t="s">
        <v>30</v>
      </c>
      <c r="E360" s="890" t="s">
        <v>158</v>
      </c>
      <c r="F360" s="891" t="s">
        <v>56</v>
      </c>
      <c r="G360" s="420">
        <f>G352</f>
        <v>13952473.4749</v>
      </c>
      <c r="H360" s="420"/>
      <c r="I360" s="903">
        <f>I352</f>
        <v>2.7464</v>
      </c>
      <c r="J360" s="764"/>
      <c r="K360" s="420"/>
      <c r="L360" s="420"/>
      <c r="M360" s="420"/>
      <c r="N360" s="904"/>
      <c r="O360" s="904">
        <f>ROUND(G360*I360+H360*J360,2)</f>
        <v>38319073.149999999</v>
      </c>
      <c r="P360" s="904">
        <f>ROUND(37.24%*O360,2)</f>
        <v>14270022.84</v>
      </c>
      <c r="Q360" s="904">
        <f>ROUND(R360*P360,2)</f>
        <v>7135011.4199999999</v>
      </c>
      <c r="R360" s="893">
        <v>0.5</v>
      </c>
      <c r="S360"/>
      <c r="T360"/>
      <c r="U360"/>
      <c r="V360"/>
      <c r="W360"/>
      <c r="X360"/>
      <c r="Y360"/>
      <c r="Z360"/>
      <c r="AA360"/>
      <c r="AB360"/>
      <c r="AC360"/>
      <c r="AD360"/>
      <c r="AE360"/>
      <c r="AF360"/>
      <c r="AG360"/>
      <c r="AH360"/>
      <c r="AI360"/>
      <c r="AJ360"/>
      <c r="AK360"/>
    </row>
    <row r="361" spans="1:37" s="65" customFormat="1" ht="15.75" x14ac:dyDescent="0.25">
      <c r="A361" s="894" t="s">
        <v>28</v>
      </c>
      <c r="B361" s="456" t="s">
        <v>177</v>
      </c>
      <c r="C361" s="378" t="s">
        <v>31</v>
      </c>
      <c r="D361" s="378" t="s">
        <v>30</v>
      </c>
      <c r="E361" s="378" t="s">
        <v>158</v>
      </c>
      <c r="F361" s="586" t="s">
        <v>56</v>
      </c>
      <c r="G361" s="253">
        <f>G353</f>
        <v>30618.082999999999</v>
      </c>
      <c r="H361" s="253"/>
      <c r="I361" s="806">
        <f>I353</f>
        <v>3.5371999999999999</v>
      </c>
      <c r="J361" s="728"/>
      <c r="K361" s="253"/>
      <c r="L361" s="253"/>
      <c r="M361" s="253"/>
      <c r="N361" s="557"/>
      <c r="O361" s="557">
        <f>ROUND(G361*I361+H361*J361,2)</f>
        <v>108302.28</v>
      </c>
      <c r="P361" s="557">
        <f>ROUND(37.24%*O361,2)</f>
        <v>40331.769999999997</v>
      </c>
      <c r="Q361" s="557">
        <f>ROUND(R361*P361,2)</f>
        <v>20165.89</v>
      </c>
      <c r="R361" s="775">
        <v>0.5</v>
      </c>
      <c r="S361"/>
      <c r="T361"/>
      <c r="U361"/>
      <c r="V361"/>
      <c r="W361"/>
      <c r="X361"/>
      <c r="Y361"/>
      <c r="Z361"/>
      <c r="AA361"/>
      <c r="AB361"/>
      <c r="AC361"/>
      <c r="AD361"/>
      <c r="AE361"/>
      <c r="AF361"/>
      <c r="AG361"/>
      <c r="AH361"/>
      <c r="AI361"/>
      <c r="AJ361"/>
      <c r="AK361"/>
    </row>
    <row r="362" spans="1:37" s="65" customFormat="1" ht="15.75" x14ac:dyDescent="0.25">
      <c r="A362" s="894" t="s">
        <v>28</v>
      </c>
      <c r="B362" s="456" t="s">
        <v>234</v>
      </c>
      <c r="C362" s="378" t="s">
        <v>31</v>
      </c>
      <c r="D362" s="378" t="s">
        <v>30</v>
      </c>
      <c r="E362" s="378" t="s">
        <v>158</v>
      </c>
      <c r="F362" s="586" t="s">
        <v>56</v>
      </c>
      <c r="G362" s="253">
        <f>G354</f>
        <v>21419.75</v>
      </c>
      <c r="H362" s="341"/>
      <c r="I362" s="806">
        <f>I354</f>
        <v>3.5371999999999999</v>
      </c>
      <c r="J362" s="728"/>
      <c r="K362" s="341"/>
      <c r="L362" s="341"/>
      <c r="M362" s="341"/>
      <c r="N362" s="897"/>
      <c r="O362" s="557">
        <f>ROUND(G362*I362+H362*J362,2)</f>
        <v>75765.94</v>
      </c>
      <c r="P362" s="557">
        <f>ROUND(37.24%*O362,2)</f>
        <v>28215.24</v>
      </c>
      <c r="Q362" s="557">
        <f>ROUND(R362*P362,2)</f>
        <v>14107.62</v>
      </c>
      <c r="R362" s="906">
        <v>0.5</v>
      </c>
      <c r="S362"/>
      <c r="T362"/>
      <c r="U362"/>
      <c r="V362"/>
      <c r="W362"/>
      <c r="X362"/>
      <c r="Y362"/>
      <c r="Z362"/>
      <c r="AA362"/>
      <c r="AB362"/>
      <c r="AC362"/>
      <c r="AD362"/>
      <c r="AE362"/>
      <c r="AF362"/>
      <c r="AG362"/>
      <c r="AH362"/>
      <c r="AI362"/>
      <c r="AJ362"/>
      <c r="AK362"/>
    </row>
    <row r="363" spans="1:37" s="65" customFormat="1" ht="15.75" x14ac:dyDescent="0.25">
      <c r="A363" s="898" t="s">
        <v>28</v>
      </c>
      <c r="B363" s="457" t="s">
        <v>178</v>
      </c>
      <c r="C363" s="899" t="s">
        <v>31</v>
      </c>
      <c r="D363" s="899" t="s">
        <v>30</v>
      </c>
      <c r="E363" s="899" t="s">
        <v>158</v>
      </c>
      <c r="F363" s="740" t="s">
        <v>56</v>
      </c>
      <c r="G363" s="424">
        <f>G355</f>
        <v>813359.40989999997</v>
      </c>
      <c r="H363" s="424"/>
      <c r="I363" s="907">
        <f>I355</f>
        <v>3.677</v>
      </c>
      <c r="J363" s="741"/>
      <c r="K363" s="424"/>
      <c r="L363" s="424"/>
      <c r="M363" s="424"/>
      <c r="N363" s="895"/>
      <c r="O363" s="895">
        <f>ROUND(G363*I363+H363*J363,2)</f>
        <v>2990722.55</v>
      </c>
      <c r="P363" s="218">
        <f>ROUND(38%*G363*I363,2)+ROUND(38%*H363*J363,2)</f>
        <v>1136474.57</v>
      </c>
      <c r="Q363" s="895">
        <f>ROUND(R363*P363,2)</f>
        <v>568237.29</v>
      </c>
      <c r="R363" s="896">
        <v>0.5</v>
      </c>
      <c r="S363"/>
      <c r="T363"/>
      <c r="U363"/>
      <c r="V363"/>
      <c r="W363"/>
      <c r="X363"/>
      <c r="Y363"/>
      <c r="Z363"/>
      <c r="AA363"/>
      <c r="AB363"/>
      <c r="AC363"/>
      <c r="AD363"/>
      <c r="AE363"/>
      <c r="AF363"/>
      <c r="AG363"/>
      <c r="AH363"/>
      <c r="AI363"/>
      <c r="AJ363"/>
      <c r="AK363"/>
    </row>
    <row r="364" spans="1:37" s="65" customFormat="1" ht="15.75" x14ac:dyDescent="0.25">
      <c r="A364" s="596"/>
      <c r="B364" s="596"/>
      <c r="C364" s="596"/>
      <c r="D364" s="596"/>
      <c r="E364" s="596"/>
      <c r="F364" s="596"/>
      <c r="G364" s="902">
        <f>SUM(G360:G363)</f>
        <v>14817870.717800001</v>
      </c>
      <c r="H364" s="902"/>
      <c r="I364" s="908">
        <f>ROUND(O364/G364,4)</f>
        <v>2.8003</v>
      </c>
      <c r="J364" s="677"/>
      <c r="K364" s="677"/>
      <c r="L364" s="596"/>
      <c r="M364" s="596"/>
      <c r="N364" s="950"/>
      <c r="O364" s="734">
        <f>SUM(O360:O363)</f>
        <v>41493863.919999994</v>
      </c>
      <c r="P364" s="734">
        <f>SUM(P360:P363)</f>
        <v>15475044.42</v>
      </c>
      <c r="Q364" s="734">
        <f>SUM(Q360:Q363)</f>
        <v>7737522.2199999997</v>
      </c>
      <c r="R364" s="596"/>
      <c r="S364"/>
      <c r="T364"/>
      <c r="U364"/>
      <c r="V364"/>
      <c r="W364"/>
      <c r="X364"/>
      <c r="Y364"/>
      <c r="Z364"/>
      <c r="AA364"/>
      <c r="AB364"/>
      <c r="AC364"/>
      <c r="AD364"/>
      <c r="AE364"/>
      <c r="AF364"/>
      <c r="AG364"/>
      <c r="AH364"/>
      <c r="AI364"/>
      <c r="AJ364"/>
      <c r="AK364"/>
    </row>
    <row r="365" spans="1:37" s="65" customFormat="1" ht="15.75" x14ac:dyDescent="0.25">
      <c r="A365" s="596"/>
      <c r="B365" s="596"/>
      <c r="C365" s="596"/>
      <c r="D365" s="596"/>
      <c r="E365" s="596"/>
      <c r="F365" s="596"/>
      <c r="G365" s="677"/>
      <c r="H365" s="677"/>
      <c r="I365" s="677"/>
      <c r="J365" s="677"/>
      <c r="K365" s="677"/>
      <c r="L365" s="596"/>
      <c r="M365" s="596"/>
      <c r="N365" s="950"/>
      <c r="O365" s="596"/>
      <c r="P365" s="596"/>
      <c r="Q365" s="596"/>
      <c r="R365" s="596"/>
      <c r="S365"/>
      <c r="T365"/>
      <c r="U365"/>
      <c r="V365"/>
      <c r="W365"/>
      <c r="X365"/>
      <c r="Y365"/>
      <c r="Z365"/>
      <c r="AA365"/>
      <c r="AB365"/>
      <c r="AC365"/>
      <c r="AD365"/>
      <c r="AE365"/>
      <c r="AF365"/>
      <c r="AG365"/>
      <c r="AH365"/>
      <c r="AI365"/>
      <c r="AJ365"/>
      <c r="AK365"/>
    </row>
    <row r="366" spans="1:37" s="65" customFormat="1" ht="16.350000000000001" customHeight="1" x14ac:dyDescent="0.25">
      <c r="A366" s="880" t="s">
        <v>233</v>
      </c>
      <c r="B366" s="596"/>
      <c r="C366" s="596"/>
      <c r="D366" s="596"/>
      <c r="E366" s="596"/>
      <c r="F366" s="596"/>
      <c r="G366" s="677"/>
      <c r="H366" s="677"/>
      <c r="I366" s="677"/>
      <c r="J366" s="677"/>
      <c r="K366" s="677"/>
      <c r="L366" s="596"/>
      <c r="M366" s="596"/>
      <c r="N366" s="950"/>
      <c r="O366" s="596"/>
      <c r="P366" s="596"/>
      <c r="Q366" s="596"/>
      <c r="R366" s="596"/>
      <c r="S366"/>
      <c r="T366"/>
      <c r="U366"/>
      <c r="V366"/>
      <c r="W366"/>
      <c r="X366"/>
      <c r="Y366"/>
      <c r="Z366"/>
      <c r="AA366"/>
      <c r="AB366"/>
      <c r="AC366"/>
      <c r="AD366"/>
      <c r="AE366"/>
      <c r="AF366"/>
      <c r="AG366"/>
      <c r="AH366"/>
      <c r="AI366"/>
      <c r="AJ366"/>
      <c r="AK366"/>
    </row>
    <row r="367" spans="1:37" s="65" customFormat="1" ht="15.75" x14ac:dyDescent="0.25">
      <c r="A367" s="596"/>
      <c r="B367" s="596"/>
      <c r="C367" s="596"/>
      <c r="D367" s="596"/>
      <c r="E367" s="596"/>
      <c r="F367" s="596"/>
      <c r="G367" s="677"/>
      <c r="H367" s="677"/>
      <c r="I367" s="677"/>
      <c r="J367" s="677"/>
      <c r="K367" s="677"/>
      <c r="L367" s="596"/>
      <c r="M367" s="596"/>
      <c r="N367" s="950"/>
      <c r="O367" s="596"/>
      <c r="P367" s="596"/>
      <c r="Q367" s="596"/>
      <c r="R367" s="596"/>
      <c r="S367"/>
      <c r="T367"/>
      <c r="U367"/>
      <c r="V367"/>
      <c r="W367"/>
      <c r="X367"/>
      <c r="Y367"/>
      <c r="Z367"/>
      <c r="AA367"/>
      <c r="AB367"/>
      <c r="AC367"/>
      <c r="AD367"/>
      <c r="AE367"/>
      <c r="AF367"/>
      <c r="AG367"/>
      <c r="AH367"/>
      <c r="AI367"/>
      <c r="AJ367"/>
      <c r="AK367"/>
    </row>
    <row r="368" spans="1:37" s="65" customFormat="1" ht="15.75" x14ac:dyDescent="0.25">
      <c r="A368" s="888" t="s">
        <v>28</v>
      </c>
      <c r="B368" s="889" t="s">
        <v>159</v>
      </c>
      <c r="C368" s="890" t="s">
        <v>31</v>
      </c>
      <c r="D368" s="890" t="s">
        <v>30</v>
      </c>
      <c r="E368" s="890" t="s">
        <v>158</v>
      </c>
      <c r="F368" s="891" t="s">
        <v>56</v>
      </c>
      <c r="G368" s="420"/>
      <c r="H368" s="420">
        <f>H352</f>
        <v>14440103.8991</v>
      </c>
      <c r="I368" s="764"/>
      <c r="J368" s="903">
        <f>J352</f>
        <v>2.7464</v>
      </c>
      <c r="K368" s="420"/>
      <c r="L368" s="420"/>
      <c r="M368" s="420"/>
      <c r="N368" s="904"/>
      <c r="O368" s="904">
        <f>ROUND(G368*I368+H368*J368,2)</f>
        <v>39658301.350000001</v>
      </c>
      <c r="P368" s="904">
        <f>ROUND(37.24%*O368,2)</f>
        <v>14768751.42</v>
      </c>
      <c r="Q368" s="904">
        <f>ROUND(R368*P368,2)</f>
        <v>7384375.71</v>
      </c>
      <c r="R368" s="893">
        <v>0.5</v>
      </c>
      <c r="S368"/>
      <c r="T368"/>
      <c r="U368"/>
      <c r="V368"/>
      <c r="W368"/>
      <c r="X368"/>
      <c r="Y368"/>
      <c r="Z368"/>
      <c r="AA368"/>
      <c r="AB368"/>
      <c r="AC368"/>
      <c r="AD368"/>
      <c r="AE368"/>
      <c r="AF368"/>
      <c r="AG368"/>
      <c r="AH368"/>
      <c r="AI368"/>
      <c r="AJ368"/>
      <c r="AK368"/>
    </row>
    <row r="369" spans="1:37" s="65" customFormat="1" ht="15.75" x14ac:dyDescent="0.25">
      <c r="A369" s="894" t="s">
        <v>28</v>
      </c>
      <c r="B369" s="456" t="s">
        <v>177</v>
      </c>
      <c r="C369" s="378" t="s">
        <v>31</v>
      </c>
      <c r="D369" s="378" t="s">
        <v>30</v>
      </c>
      <c r="E369" s="378" t="s">
        <v>158</v>
      </c>
      <c r="F369" s="586" t="s">
        <v>56</v>
      </c>
      <c r="G369" s="253"/>
      <c r="H369" s="253">
        <f>H353</f>
        <v>33690.151100000003</v>
      </c>
      <c r="I369" s="728"/>
      <c r="J369" s="806">
        <f>J353</f>
        <v>3.5371999999999999</v>
      </c>
      <c r="K369" s="253"/>
      <c r="L369" s="253"/>
      <c r="M369" s="253"/>
      <c r="N369" s="557"/>
      <c r="O369" s="557">
        <f>ROUND(G369*I369+H369*J369,2)</f>
        <v>119168.8</v>
      </c>
      <c r="P369" s="557">
        <f>ROUND(37.24%*O369,2)</f>
        <v>44378.46</v>
      </c>
      <c r="Q369" s="557">
        <f>ROUND(R369*P369,2)</f>
        <v>22189.23</v>
      </c>
      <c r="R369" s="775">
        <v>0.5</v>
      </c>
      <c r="S369"/>
      <c r="T369"/>
      <c r="U369"/>
      <c r="V369"/>
      <c r="W369"/>
      <c r="X369"/>
      <c r="Y369"/>
      <c r="Z369"/>
      <c r="AA369"/>
      <c r="AB369"/>
      <c r="AC369"/>
      <c r="AD369"/>
      <c r="AE369"/>
      <c r="AF369"/>
      <c r="AG369"/>
      <c r="AH369"/>
      <c r="AI369"/>
      <c r="AJ369"/>
      <c r="AK369"/>
    </row>
    <row r="370" spans="1:37" s="65" customFormat="1" ht="15.75" x14ac:dyDescent="0.25">
      <c r="A370" s="894" t="s">
        <v>28</v>
      </c>
      <c r="B370" s="456" t="s">
        <v>234</v>
      </c>
      <c r="C370" s="378" t="s">
        <v>31</v>
      </c>
      <c r="D370" s="378" t="s">
        <v>30</v>
      </c>
      <c r="E370" s="378" t="s">
        <v>158</v>
      </c>
      <c r="F370" s="586" t="s">
        <v>56</v>
      </c>
      <c r="G370" s="253"/>
      <c r="H370" s="253">
        <f>H354</f>
        <v>24115.1</v>
      </c>
      <c r="I370" s="728"/>
      <c r="J370" s="806">
        <f>J354</f>
        <v>3.5371999999999999</v>
      </c>
      <c r="K370" s="341"/>
      <c r="L370" s="341"/>
      <c r="M370" s="341"/>
      <c r="N370" s="897"/>
      <c r="O370" s="557">
        <f>ROUND(G370*I370+H370*J370,2)</f>
        <v>85299.93</v>
      </c>
      <c r="P370" s="557">
        <f>ROUND(37.24%*O370,2)</f>
        <v>31765.69</v>
      </c>
      <c r="Q370" s="557">
        <f>ROUND(R370*P370,2)</f>
        <v>15882.85</v>
      </c>
      <c r="R370" s="775">
        <v>0.5</v>
      </c>
      <c r="S370"/>
      <c r="T370"/>
      <c r="U370"/>
      <c r="V370"/>
      <c r="W370"/>
      <c r="X370"/>
      <c r="Y370"/>
      <c r="Z370"/>
      <c r="AA370"/>
      <c r="AB370"/>
      <c r="AC370"/>
      <c r="AD370"/>
      <c r="AE370"/>
      <c r="AF370"/>
      <c r="AG370"/>
      <c r="AH370"/>
      <c r="AI370"/>
      <c r="AJ370"/>
      <c r="AK370"/>
    </row>
    <row r="371" spans="1:37" s="65" customFormat="1" ht="15.75" x14ac:dyDescent="0.25">
      <c r="A371" s="898" t="s">
        <v>28</v>
      </c>
      <c r="B371" s="457" t="s">
        <v>178</v>
      </c>
      <c r="C371" s="899" t="s">
        <v>31</v>
      </c>
      <c r="D371" s="899" t="s">
        <v>30</v>
      </c>
      <c r="E371" s="899" t="s">
        <v>158</v>
      </c>
      <c r="F371" s="740" t="s">
        <v>56</v>
      </c>
      <c r="G371" s="424"/>
      <c r="H371" s="424">
        <f>H355</f>
        <v>894523.33739999996</v>
      </c>
      <c r="I371" s="741"/>
      <c r="J371" s="907">
        <f>J355</f>
        <v>3.359</v>
      </c>
      <c r="K371" s="424"/>
      <c r="L371" s="424"/>
      <c r="M371" s="424"/>
      <c r="N371" s="895"/>
      <c r="O371" s="895">
        <f>ROUND(G371*I371+H371*J371,2)</f>
        <v>3004703.89</v>
      </c>
      <c r="P371" s="218">
        <f>ROUND(38%*G371*I371,2)+ROUND(38%*H371*J371,2)</f>
        <v>1141787.48</v>
      </c>
      <c r="Q371" s="895">
        <f>ROUND(R371*P371,2)</f>
        <v>570893.74</v>
      </c>
      <c r="R371" s="896">
        <v>0.5</v>
      </c>
      <c r="S371"/>
      <c r="T371"/>
      <c r="U371"/>
      <c r="V371"/>
      <c r="W371"/>
      <c r="X371"/>
      <c r="Y371"/>
      <c r="Z371"/>
      <c r="AA371"/>
      <c r="AB371"/>
      <c r="AC371"/>
      <c r="AD371"/>
      <c r="AE371"/>
      <c r="AF371"/>
      <c r="AG371"/>
      <c r="AH371"/>
      <c r="AI371"/>
      <c r="AJ371"/>
      <c r="AK371"/>
    </row>
    <row r="372" spans="1:37" s="65" customFormat="1" ht="16.350000000000001" customHeight="1" x14ac:dyDescent="0.25">
      <c r="A372" s="596"/>
      <c r="B372" s="596"/>
      <c r="C372" s="596"/>
      <c r="D372" s="596"/>
      <c r="E372" s="596"/>
      <c r="F372" s="596"/>
      <c r="G372" s="902"/>
      <c r="H372" s="902">
        <f>SUM(H368:H371)</f>
        <v>15392432.487600001</v>
      </c>
      <c r="I372" s="677"/>
      <c r="J372" s="908">
        <f>ROUND(O372/H372,4)</f>
        <v>2.7850000000000001</v>
      </c>
      <c r="K372" s="677"/>
      <c r="L372" s="596"/>
      <c r="M372" s="596"/>
      <c r="N372" s="950"/>
      <c r="O372" s="734">
        <f>SUM(O368:O371)</f>
        <v>42867473.969999999</v>
      </c>
      <c r="P372" s="734">
        <f>SUM(P368:P371)</f>
        <v>15986683.050000001</v>
      </c>
      <c r="Q372" s="734">
        <f>SUM(Q368:Q371)</f>
        <v>7993341.5300000003</v>
      </c>
      <c r="R372" s="596"/>
      <c r="S372"/>
      <c r="T372"/>
      <c r="U372"/>
      <c r="V372"/>
      <c r="W372"/>
      <c r="X372"/>
      <c r="Y372"/>
      <c r="Z372"/>
      <c r="AA372"/>
      <c r="AB372"/>
      <c r="AC372"/>
      <c r="AD372"/>
      <c r="AE372"/>
      <c r="AF372"/>
      <c r="AG372"/>
      <c r="AH372"/>
      <c r="AI372"/>
      <c r="AJ372"/>
      <c r="AK372"/>
    </row>
    <row r="373" spans="1:37" s="65" customFormat="1" ht="15.75" x14ac:dyDescent="0.25">
      <c r="A373" s="596"/>
      <c r="B373" s="596"/>
      <c r="C373" s="596"/>
      <c r="D373" s="596"/>
      <c r="E373" s="596"/>
      <c r="F373" s="596"/>
      <c r="G373" s="902"/>
      <c r="H373" s="902"/>
      <c r="I373" s="677"/>
      <c r="J373" s="677"/>
      <c r="K373" s="677"/>
      <c r="L373" s="596"/>
      <c r="M373" s="596"/>
      <c r="N373" s="950"/>
      <c r="O373" s="734"/>
      <c r="P373" s="734"/>
      <c r="Q373" s="734"/>
      <c r="R373" s="596"/>
      <c r="S373"/>
      <c r="T373"/>
      <c r="U373"/>
      <c r="V373"/>
      <c r="W373"/>
      <c r="X373"/>
      <c r="Y373"/>
      <c r="Z373"/>
      <c r="AA373"/>
      <c r="AB373"/>
      <c r="AC373"/>
      <c r="AD373"/>
      <c r="AE373"/>
      <c r="AF373"/>
      <c r="AG373"/>
      <c r="AH373"/>
      <c r="AI373"/>
      <c r="AJ373"/>
      <c r="AK373"/>
    </row>
    <row r="374" spans="1:37" s="65" customFormat="1" ht="15.75" x14ac:dyDescent="0.25">
      <c r="A374" s="596"/>
      <c r="B374" s="596"/>
      <c r="C374" s="596"/>
      <c r="D374" s="596"/>
      <c r="E374" s="596"/>
      <c r="F374" s="596"/>
      <c r="G374" s="902"/>
      <c r="H374" s="902"/>
      <c r="I374" s="677"/>
      <c r="J374" s="677"/>
      <c r="K374" s="677"/>
      <c r="L374" s="596"/>
      <c r="M374" s="596"/>
      <c r="N374" s="985"/>
      <c r="O374" s="589">
        <f>O372+O364</f>
        <v>84361337.889999986</v>
      </c>
      <c r="P374" s="589">
        <f>P372+P364</f>
        <v>31461727.469999999</v>
      </c>
      <c r="Q374" s="589">
        <f>Q372+Q364</f>
        <v>15730863.75</v>
      </c>
      <c r="R374" s="910">
        <v>0.5</v>
      </c>
      <c r="S374"/>
      <c r="T374"/>
      <c r="U374"/>
      <c r="V374"/>
      <c r="W374"/>
      <c r="X374"/>
      <c r="Y374"/>
      <c r="Z374"/>
      <c r="AA374"/>
      <c r="AB374"/>
      <c r="AC374"/>
      <c r="AD374"/>
      <c r="AE374"/>
      <c r="AF374"/>
      <c r="AG374"/>
      <c r="AH374"/>
      <c r="AI374"/>
      <c r="AJ374"/>
      <c r="AK374"/>
    </row>
    <row r="375" spans="1:37" s="65" customFormat="1" ht="15.75" x14ac:dyDescent="0.25">
      <c r="A375" s="596"/>
      <c r="B375" s="596"/>
      <c r="C375" s="596"/>
      <c r="D375" s="596"/>
      <c r="E375" s="596"/>
      <c r="F375" s="596"/>
      <c r="G375" s="902"/>
      <c r="H375" s="902"/>
      <c r="I375" s="677"/>
      <c r="J375" s="677"/>
      <c r="K375" s="677"/>
      <c r="L375" s="596"/>
      <c r="M375" s="596"/>
      <c r="N375" s="950"/>
      <c r="O375" s="596"/>
      <c r="P375" s="596"/>
      <c r="Q375" s="596"/>
      <c r="R375" s="596"/>
      <c r="S375"/>
      <c r="T375"/>
      <c r="U375"/>
      <c r="V375"/>
      <c r="W375"/>
      <c r="X375"/>
      <c r="Y375"/>
      <c r="Z375"/>
      <c r="AA375"/>
      <c r="AB375"/>
      <c r="AC375"/>
      <c r="AD375"/>
      <c r="AE375"/>
      <c r="AF375"/>
      <c r="AG375"/>
      <c r="AH375"/>
      <c r="AI375"/>
      <c r="AJ375"/>
      <c r="AK375"/>
    </row>
    <row r="376" spans="1:37" s="65" customFormat="1" ht="15.75" x14ac:dyDescent="0.25">
      <c r="A376" s="596"/>
      <c r="B376" s="596"/>
      <c r="C376" s="596"/>
      <c r="D376" s="596"/>
      <c r="E376" s="596"/>
      <c r="F376" s="596"/>
      <c r="G376" s="902"/>
      <c r="H376" s="902"/>
      <c r="I376" s="677"/>
      <c r="J376" s="677"/>
      <c r="K376" s="677"/>
      <c r="L376" s="596"/>
      <c r="M376" s="596"/>
      <c r="N376" s="985"/>
      <c r="O376" s="879">
        <f>O374-O356</f>
        <v>-1.0000020265579224E-2</v>
      </c>
      <c r="P376" s="879">
        <f>P374-P356</f>
        <v>0</v>
      </c>
      <c r="Q376" s="879">
        <f>Q374-Q356</f>
        <v>0</v>
      </c>
      <c r="R376" s="596"/>
      <c r="S376"/>
      <c r="T376"/>
      <c r="U376"/>
      <c r="V376"/>
      <c r="W376"/>
      <c r="X376"/>
      <c r="Y376"/>
      <c r="Z376"/>
      <c r="AA376"/>
      <c r="AB376"/>
      <c r="AC376"/>
      <c r="AD376"/>
      <c r="AE376"/>
      <c r="AF376"/>
      <c r="AG376"/>
      <c r="AH376"/>
      <c r="AI376"/>
      <c r="AJ376"/>
      <c r="AK376"/>
    </row>
    <row r="377" spans="1:37" s="65" customFormat="1" ht="15.75" x14ac:dyDescent="0.25">
      <c r="A377" s="596"/>
      <c r="B377" s="596"/>
      <c r="C377" s="596"/>
      <c r="D377" s="596"/>
      <c r="E377" s="596"/>
      <c r="F377" s="596"/>
      <c r="G377" s="596"/>
      <c r="H377" s="596"/>
      <c r="I377" s="596"/>
      <c r="J377" s="596"/>
      <c r="K377" s="596"/>
      <c r="L377" s="596"/>
      <c r="M377" s="596"/>
      <c r="N377" s="950"/>
      <c r="O377" s="596"/>
      <c r="P377" s="596"/>
      <c r="Q377" s="596"/>
      <c r="R377" s="596"/>
      <c r="S377"/>
      <c r="T377"/>
      <c r="U377"/>
      <c r="V377"/>
      <c r="W377"/>
      <c r="X377"/>
      <c r="Y377"/>
      <c r="Z377"/>
      <c r="AA377"/>
      <c r="AB377"/>
      <c r="AC377"/>
      <c r="AD377"/>
      <c r="AE377"/>
      <c r="AF377"/>
      <c r="AG377"/>
      <c r="AH377"/>
      <c r="AI377"/>
      <c r="AJ377"/>
      <c r="AK377"/>
    </row>
    <row r="378" spans="1:37" s="65" customFormat="1" ht="16.350000000000001" customHeight="1" x14ac:dyDescent="0.25">
      <c r="A378" s="880" t="s">
        <v>231</v>
      </c>
      <c r="B378" s="683"/>
      <c r="C378" s="683"/>
      <c r="D378" s="683"/>
      <c r="E378" s="683"/>
      <c r="F378" s="683"/>
      <c r="G378" s="683"/>
      <c r="H378" s="683"/>
      <c r="I378" s="683"/>
      <c r="J378" s="683"/>
      <c r="K378" s="683"/>
      <c r="L378" s="683"/>
      <c r="M378" s="683"/>
      <c r="N378" s="950"/>
      <c r="O378" s="683"/>
      <c r="P378" s="683"/>
      <c r="Q378" s="683">
        <f>P388*R386</f>
        <v>69753.493499999997</v>
      </c>
      <c r="R378" s="911"/>
      <c r="S378" s="683"/>
      <c r="T378" s="912"/>
      <c r="U378"/>
      <c r="V378"/>
      <c r="W378"/>
      <c r="X378"/>
      <c r="Y378"/>
      <c r="Z378"/>
      <c r="AA378"/>
      <c r="AB378"/>
      <c r="AC378"/>
      <c r="AD378"/>
      <c r="AE378"/>
      <c r="AF378"/>
      <c r="AG378"/>
      <c r="AH378"/>
      <c r="AI378"/>
      <c r="AJ378"/>
      <c r="AK378"/>
    </row>
    <row r="379" spans="1:37" s="65" customFormat="1" ht="15.75" x14ac:dyDescent="0.25">
      <c r="A379" s="887" t="s">
        <v>228</v>
      </c>
      <c r="B379" s="596"/>
      <c r="C379" s="596"/>
      <c r="D379" s="596"/>
      <c r="E379" s="596"/>
      <c r="F379" s="596"/>
      <c r="G379" s="704" t="s">
        <v>35</v>
      </c>
      <c r="H379" s="705" t="s">
        <v>36</v>
      </c>
      <c r="I379" s="705" t="s">
        <v>35</v>
      </c>
      <c r="J379" s="704" t="s">
        <v>36</v>
      </c>
      <c r="K379" s="704" t="s">
        <v>39</v>
      </c>
      <c r="L379" s="704" t="s">
        <v>40</v>
      </c>
      <c r="M379" s="704" t="s">
        <v>42</v>
      </c>
      <c r="N379" s="1058" t="s">
        <v>2</v>
      </c>
      <c r="O379" s="1066" t="s">
        <v>180</v>
      </c>
      <c r="P379" s="1067" t="s">
        <v>163</v>
      </c>
      <c r="Q379" s="790"/>
      <c r="R379" s="596"/>
      <c r="S379" s="596"/>
      <c r="T379" s="596"/>
      <c r="U379"/>
      <c r="V379"/>
      <c r="W379"/>
      <c r="X379"/>
      <c r="Y379"/>
      <c r="Z379"/>
      <c r="AA379"/>
      <c r="AB379"/>
      <c r="AC379"/>
      <c r="AD379"/>
      <c r="AE379"/>
      <c r="AF379"/>
      <c r="AG379"/>
      <c r="AH379"/>
      <c r="AI379"/>
      <c r="AJ379"/>
      <c r="AK379"/>
    </row>
    <row r="380" spans="1:37" s="65" customFormat="1" ht="15.75" x14ac:dyDescent="0.25">
      <c r="A380" s="888" t="s">
        <v>28</v>
      </c>
      <c r="B380" s="889" t="s">
        <v>218</v>
      </c>
      <c r="C380" s="890" t="s">
        <v>31</v>
      </c>
      <c r="D380" s="890" t="s">
        <v>30</v>
      </c>
      <c r="E380" s="890" t="s">
        <v>101</v>
      </c>
      <c r="F380" s="891" t="s">
        <v>56</v>
      </c>
      <c r="G380" s="913">
        <v>165925.2836</v>
      </c>
      <c r="H380" s="914">
        <v>175315.35269999999</v>
      </c>
      <c r="I380" s="915">
        <v>1.82</v>
      </c>
      <c r="J380" s="915">
        <v>1.82</v>
      </c>
      <c r="K380" s="420"/>
      <c r="L380" s="420"/>
      <c r="M380" s="420"/>
      <c r="N380" s="917">
        <v>3500.93</v>
      </c>
      <c r="O380" s="420">
        <f t="shared" ref="O380:O387" si="77">ROUND(G380*I380,2)+ROUND(H380*J380,2)-K380-L380-M380-N380</f>
        <v>617557.02999999991</v>
      </c>
      <c r="P380" s="420">
        <f t="shared" ref="P380:P387" si="78">ROUND(18.75%*O380,2)</f>
        <v>115791.94</v>
      </c>
      <c r="Q380" s="420">
        <f t="shared" ref="Q380:Q387" si="79">ROUND($O380*R380,2)</f>
        <v>92633.55</v>
      </c>
      <c r="R380" s="893">
        <v>0.15</v>
      </c>
      <c r="S380" s="420">
        <f t="shared" ref="S380:S387" si="80">ROUND($O380*T380,2)</f>
        <v>23158.39</v>
      </c>
      <c r="T380" s="919">
        <v>3.7499999999999999E-2</v>
      </c>
      <c r="U380"/>
      <c r="V380"/>
      <c r="W380"/>
      <c r="X380"/>
      <c r="Y380"/>
      <c r="Z380"/>
      <c r="AA380"/>
      <c r="AB380"/>
      <c r="AC380"/>
      <c r="AD380"/>
      <c r="AE380"/>
      <c r="AF380"/>
      <c r="AG380"/>
      <c r="AH380"/>
      <c r="AI380"/>
      <c r="AJ380"/>
      <c r="AK380"/>
    </row>
    <row r="381" spans="1:37" s="65" customFormat="1" ht="15.75" x14ac:dyDescent="0.25">
      <c r="A381" s="894" t="s">
        <v>28</v>
      </c>
      <c r="B381" s="456" t="s">
        <v>219</v>
      </c>
      <c r="C381" s="378" t="s">
        <v>31</v>
      </c>
      <c r="D381" s="378" t="s">
        <v>30</v>
      </c>
      <c r="E381" s="378" t="s">
        <v>101</v>
      </c>
      <c r="F381" s="586" t="s">
        <v>56</v>
      </c>
      <c r="G381" s="587">
        <v>41983.519999999997</v>
      </c>
      <c r="H381" s="587">
        <v>40388.923799999997</v>
      </c>
      <c r="I381" s="915">
        <v>4.2191000000000001</v>
      </c>
      <c r="J381" s="920">
        <v>3.81</v>
      </c>
      <c r="K381" s="585"/>
      <c r="L381" s="585"/>
      <c r="M381" s="585"/>
      <c r="N381" s="984"/>
      <c r="O381" s="892">
        <f t="shared" si="77"/>
        <v>331014.46999999997</v>
      </c>
      <c r="P381" s="253">
        <f t="shared" si="78"/>
        <v>62065.21</v>
      </c>
      <c r="Q381" s="253">
        <f t="shared" si="79"/>
        <v>49652.17</v>
      </c>
      <c r="R381" s="775">
        <v>0.15</v>
      </c>
      <c r="S381" s="253">
        <f t="shared" si="80"/>
        <v>12413.04</v>
      </c>
      <c r="T381" s="921">
        <v>3.7499999999999999E-2</v>
      </c>
      <c r="U381"/>
      <c r="V381"/>
      <c r="W381"/>
      <c r="X381"/>
      <c r="Y381"/>
      <c r="Z381"/>
      <c r="AA381"/>
      <c r="AB381"/>
      <c r="AC381"/>
      <c r="AD381"/>
      <c r="AE381"/>
      <c r="AF381"/>
      <c r="AG381"/>
      <c r="AH381"/>
      <c r="AI381"/>
      <c r="AJ381"/>
      <c r="AK381"/>
    </row>
    <row r="382" spans="1:37" s="65" customFormat="1" ht="15.75" x14ac:dyDescent="0.25">
      <c r="A382" s="922" t="s">
        <v>28</v>
      </c>
      <c r="B382" s="442" t="s">
        <v>217</v>
      </c>
      <c r="C382" s="854" t="s">
        <v>31</v>
      </c>
      <c r="D382" s="854" t="s">
        <v>30</v>
      </c>
      <c r="E382" s="854" t="s">
        <v>101</v>
      </c>
      <c r="F382" s="854" t="s">
        <v>56</v>
      </c>
      <c r="G382" s="587"/>
      <c r="H382" s="587"/>
      <c r="I382" s="587"/>
      <c r="J382" s="588"/>
      <c r="K382" s="441"/>
      <c r="L382" s="441"/>
      <c r="M382" s="441"/>
      <c r="N382" s="923"/>
      <c r="O382" s="253">
        <f t="shared" si="77"/>
        <v>0</v>
      </c>
      <c r="P382" s="441">
        <f t="shared" si="78"/>
        <v>0</v>
      </c>
      <c r="Q382" s="441">
        <f t="shared" si="79"/>
        <v>0</v>
      </c>
      <c r="R382" s="924">
        <v>0.15</v>
      </c>
      <c r="S382" s="253">
        <f t="shared" si="80"/>
        <v>0</v>
      </c>
      <c r="T382" s="921">
        <v>3.7499999999999999E-2</v>
      </c>
      <c r="U382"/>
      <c r="V382"/>
      <c r="W382"/>
      <c r="X382"/>
      <c r="Y382"/>
      <c r="Z382"/>
      <c r="AA382"/>
      <c r="AB382"/>
      <c r="AC382"/>
      <c r="AD382"/>
      <c r="AE382"/>
      <c r="AF382"/>
      <c r="AG382"/>
      <c r="AH382"/>
      <c r="AI382"/>
      <c r="AJ382"/>
      <c r="AK382"/>
    </row>
    <row r="383" spans="1:37" s="65" customFormat="1" ht="15.75" x14ac:dyDescent="0.25">
      <c r="A383" s="922" t="s">
        <v>28</v>
      </c>
      <c r="B383" s="442" t="s">
        <v>220</v>
      </c>
      <c r="C383" s="854" t="s">
        <v>31</v>
      </c>
      <c r="D383" s="854" t="s">
        <v>30</v>
      </c>
      <c r="E383" s="854" t="s">
        <v>101</v>
      </c>
      <c r="F383" s="854" t="s">
        <v>56</v>
      </c>
      <c r="G383" s="587"/>
      <c r="H383" s="587"/>
      <c r="I383" s="587"/>
      <c r="J383" s="588"/>
      <c r="K383" s="441"/>
      <c r="L383" s="441"/>
      <c r="M383" s="441"/>
      <c r="N383" s="923"/>
      <c r="O383" s="253">
        <f t="shared" si="77"/>
        <v>0</v>
      </c>
      <c r="P383" s="441">
        <f t="shared" si="78"/>
        <v>0</v>
      </c>
      <c r="Q383" s="441">
        <f t="shared" si="79"/>
        <v>0</v>
      </c>
      <c r="R383" s="924">
        <v>0.15</v>
      </c>
      <c r="S383" s="253">
        <f t="shared" si="80"/>
        <v>0</v>
      </c>
      <c r="T383" s="921">
        <v>3.7499999999999999E-2</v>
      </c>
      <c r="U383"/>
      <c r="V383"/>
      <c r="W383"/>
      <c r="X383"/>
      <c r="Y383"/>
      <c r="Z383"/>
      <c r="AA383"/>
      <c r="AB383"/>
      <c r="AC383"/>
      <c r="AD383"/>
      <c r="AE383"/>
      <c r="AF383"/>
      <c r="AG383"/>
      <c r="AH383"/>
      <c r="AI383"/>
      <c r="AJ383"/>
      <c r="AK383"/>
    </row>
    <row r="384" spans="1:37" s="65" customFormat="1" ht="16.350000000000001" customHeight="1" x14ac:dyDescent="0.25">
      <c r="A384" s="922" t="s">
        <v>28</v>
      </c>
      <c r="B384" s="442" t="s">
        <v>222</v>
      </c>
      <c r="C384" s="854" t="s">
        <v>31</v>
      </c>
      <c r="D384" s="854" t="s">
        <v>30</v>
      </c>
      <c r="E384" s="854" t="s">
        <v>101</v>
      </c>
      <c r="F384" s="854" t="s">
        <v>56</v>
      </c>
      <c r="G384" s="587"/>
      <c r="H384" s="587"/>
      <c r="I384" s="920"/>
      <c r="J384" s="588"/>
      <c r="K384" s="441"/>
      <c r="L384" s="441"/>
      <c r="M384" s="441"/>
      <c r="N384" s="925"/>
      <c r="O384" s="253">
        <f t="shared" si="77"/>
        <v>0</v>
      </c>
      <c r="P384" s="441">
        <f t="shared" si="78"/>
        <v>0</v>
      </c>
      <c r="Q384" s="441">
        <f t="shared" si="79"/>
        <v>0</v>
      </c>
      <c r="R384" s="924">
        <v>0.15</v>
      </c>
      <c r="S384" s="253">
        <f t="shared" si="80"/>
        <v>0</v>
      </c>
      <c r="T384" s="921">
        <v>3.7499999999999999E-2</v>
      </c>
      <c r="U384"/>
      <c r="V384"/>
      <c r="W384"/>
      <c r="X384"/>
      <c r="Y384"/>
      <c r="Z384"/>
      <c r="AA384"/>
      <c r="AB384"/>
      <c r="AC384"/>
      <c r="AD384"/>
      <c r="AE384"/>
      <c r="AF384"/>
      <c r="AG384"/>
      <c r="AH384"/>
      <c r="AI384"/>
      <c r="AJ384"/>
      <c r="AK384"/>
    </row>
    <row r="385" spans="1:37" s="65" customFormat="1" ht="15.75" x14ac:dyDescent="0.25">
      <c r="A385" s="922"/>
      <c r="B385" s="442" t="s">
        <v>226</v>
      </c>
      <c r="C385" s="854" t="s">
        <v>31</v>
      </c>
      <c r="D385" s="854" t="s">
        <v>30</v>
      </c>
      <c r="E385" s="854" t="s">
        <v>101</v>
      </c>
      <c r="F385" s="854" t="s">
        <v>56</v>
      </c>
      <c r="G385" s="587">
        <v>168912.46590000001</v>
      </c>
      <c r="H385" s="587">
        <v>193472.3659</v>
      </c>
      <c r="I385" s="920">
        <v>3.7639</v>
      </c>
      <c r="J385" s="588">
        <v>3.6747000000000001</v>
      </c>
      <c r="K385" s="471"/>
      <c r="L385" s="471"/>
      <c r="M385" s="471"/>
      <c r="N385" s="1083"/>
      <c r="O385" s="253">
        <f t="shared" si="77"/>
        <v>1346722.53</v>
      </c>
      <c r="P385" s="441">
        <f t="shared" si="78"/>
        <v>252510.47</v>
      </c>
      <c r="Q385" s="441">
        <f t="shared" si="79"/>
        <v>202008.38</v>
      </c>
      <c r="R385" s="924">
        <v>0.15</v>
      </c>
      <c r="S385" s="253">
        <f t="shared" si="80"/>
        <v>50502.09</v>
      </c>
      <c r="T385" s="921">
        <v>3.7499999999999999E-2</v>
      </c>
      <c r="U385"/>
      <c r="V385"/>
      <c r="W385"/>
      <c r="X385"/>
      <c r="Y385"/>
      <c r="Z385"/>
      <c r="AA385"/>
      <c r="AB385"/>
      <c r="AC385"/>
      <c r="AD385"/>
      <c r="AE385"/>
      <c r="AF385"/>
      <c r="AG385"/>
      <c r="AH385"/>
      <c r="AI385"/>
      <c r="AJ385"/>
      <c r="AK385"/>
    </row>
    <row r="386" spans="1:37" s="65" customFormat="1" ht="15.75" x14ac:dyDescent="0.25">
      <c r="A386" s="1000"/>
      <c r="B386" s="1001" t="s">
        <v>225</v>
      </c>
      <c r="C386" s="1002" t="s">
        <v>31</v>
      </c>
      <c r="D386" s="1002" t="s">
        <v>30</v>
      </c>
      <c r="E386" s="1002" t="s">
        <v>101</v>
      </c>
      <c r="F386" s="1002" t="s">
        <v>56</v>
      </c>
      <c r="G386" s="587"/>
      <c r="H386" s="587"/>
      <c r="I386" s="1003"/>
      <c r="J386" s="588"/>
      <c r="K386" s="1004"/>
      <c r="L386" s="1004"/>
      <c r="M386" s="1004"/>
      <c r="N386" s="1005"/>
      <c r="O386" s="253">
        <f t="shared" si="77"/>
        <v>0</v>
      </c>
      <c r="P386" s="1004">
        <f t="shared" si="78"/>
        <v>0</v>
      </c>
      <c r="Q386" s="1004">
        <f t="shared" si="79"/>
        <v>0</v>
      </c>
      <c r="R386" s="1006">
        <v>0.15</v>
      </c>
      <c r="S386" s="253">
        <f t="shared" si="80"/>
        <v>0</v>
      </c>
      <c r="T386" s="921">
        <v>3.7499999999999999E-2</v>
      </c>
      <c r="U386"/>
      <c r="V386"/>
      <c r="W386"/>
      <c r="X386"/>
      <c r="Y386"/>
      <c r="Z386"/>
      <c r="AA386"/>
      <c r="AB386"/>
      <c r="AC386"/>
      <c r="AD386"/>
      <c r="AE386"/>
      <c r="AF386"/>
      <c r="AG386"/>
      <c r="AH386"/>
      <c r="AI386"/>
      <c r="AJ386"/>
      <c r="AK386"/>
    </row>
    <row r="387" spans="1:37" s="65" customFormat="1" ht="15.75" x14ac:dyDescent="0.25">
      <c r="A387" s="993"/>
      <c r="B387" s="994" t="s">
        <v>362</v>
      </c>
      <c r="C387" s="995" t="s">
        <v>31</v>
      </c>
      <c r="D387" s="995" t="s">
        <v>30</v>
      </c>
      <c r="E387" s="995" t="s">
        <v>101</v>
      </c>
      <c r="F387" s="995" t="s">
        <v>56</v>
      </c>
      <c r="G387" s="927">
        <v>31815.67</v>
      </c>
      <c r="H387" s="927">
        <v>33726.959999999999</v>
      </c>
      <c r="I387" s="929">
        <v>2.82</v>
      </c>
      <c r="J387" s="929">
        <v>2.82</v>
      </c>
      <c r="K387" s="756"/>
      <c r="L387" s="756"/>
      <c r="M387" s="756"/>
      <c r="N387" s="1085"/>
      <c r="O387" s="909">
        <f t="shared" si="77"/>
        <v>184830.22</v>
      </c>
      <c r="P387" s="909">
        <f t="shared" si="78"/>
        <v>34655.67</v>
      </c>
      <c r="Q387" s="909">
        <f t="shared" si="79"/>
        <v>27724.53</v>
      </c>
      <c r="R387" s="998">
        <v>0.15</v>
      </c>
      <c r="S387" s="909">
        <f t="shared" si="80"/>
        <v>6931.13</v>
      </c>
      <c r="T387" s="999">
        <v>3.7499999999999999E-2</v>
      </c>
      <c r="U387"/>
      <c r="V387"/>
      <c r="W387"/>
      <c r="X387"/>
      <c r="Y387"/>
      <c r="Z387"/>
      <c r="AA387"/>
      <c r="AB387"/>
      <c r="AC387"/>
      <c r="AD387"/>
      <c r="AE387"/>
      <c r="AF387"/>
      <c r="AG387"/>
      <c r="AH387"/>
      <c r="AI387"/>
      <c r="AJ387"/>
      <c r="AK387"/>
    </row>
    <row r="388" spans="1:37" s="65" customFormat="1" ht="15.75" x14ac:dyDescent="0.25">
      <c r="A388" s="596"/>
      <c r="B388" s="596"/>
      <c r="C388" s="596"/>
      <c r="D388" s="596"/>
      <c r="E388" s="596"/>
      <c r="F388" s="596"/>
      <c r="G388" s="902">
        <f>SUM(G380:G387)</f>
        <v>408636.93949999998</v>
      </c>
      <c r="H388" s="902">
        <f>SUM(H380:H387)</f>
        <v>442903.60240000003</v>
      </c>
      <c r="I388" s="902"/>
      <c r="J388" s="677"/>
      <c r="K388" s="677"/>
      <c r="L388" s="596"/>
      <c r="M388" s="596"/>
      <c r="N388" s="751">
        <f>SUM(N380:N387)</f>
        <v>3500.93</v>
      </c>
      <c r="O388" s="734">
        <f>SUM(O380:O387)</f>
        <v>2480124.25</v>
      </c>
      <c r="P388" s="734">
        <f>SUM(P380:P387)</f>
        <v>465023.29</v>
      </c>
      <c r="Q388" s="734">
        <f>SUM(Q380:Q387)</f>
        <v>372018.63</v>
      </c>
      <c r="R388" s="596"/>
      <c r="S388" s="734">
        <f>SUM(S380:S387)</f>
        <v>93004.65</v>
      </c>
      <c r="T388" s="596"/>
      <c r="U388"/>
      <c r="V388"/>
      <c r="W388"/>
      <c r="X388"/>
      <c r="Y388"/>
      <c r="Z388"/>
      <c r="AA388"/>
      <c r="AB388"/>
      <c r="AC388"/>
      <c r="AD388"/>
      <c r="AE388"/>
      <c r="AF388"/>
      <c r="AG388"/>
      <c r="AH388"/>
      <c r="AI388"/>
      <c r="AJ388"/>
      <c r="AK388"/>
    </row>
    <row r="389" spans="1:37" s="65" customFormat="1" ht="15.75" x14ac:dyDescent="0.25">
      <c r="A389" s="596"/>
      <c r="B389" s="596"/>
      <c r="C389" s="596"/>
      <c r="D389" s="596"/>
      <c r="E389" s="596"/>
      <c r="F389" s="596"/>
      <c r="G389" s="677"/>
      <c r="H389" s="677"/>
      <c r="I389" s="677"/>
      <c r="J389" s="677"/>
      <c r="K389" s="677"/>
      <c r="L389" s="596"/>
      <c r="M389" s="596"/>
      <c r="N389" s="950"/>
      <c r="O389" s="597"/>
      <c r="P389" s="597"/>
      <c r="Q389" s="597">
        <f>SUM(Q385:Q387)</f>
        <v>229732.91</v>
      </c>
      <c r="R389" s="596"/>
      <c r="S389" s="597">
        <f>SUM(S385:S387)</f>
        <v>57433.219999999994</v>
      </c>
      <c r="T389" s="596"/>
      <c r="U389"/>
      <c r="V389"/>
      <c r="W389"/>
      <c r="X389"/>
      <c r="Y389"/>
      <c r="Z389"/>
      <c r="AA389"/>
      <c r="AB389"/>
      <c r="AC389"/>
      <c r="AD389"/>
      <c r="AE389"/>
      <c r="AF389"/>
      <c r="AG389"/>
      <c r="AH389"/>
      <c r="AI389"/>
      <c r="AJ389"/>
      <c r="AK389"/>
    </row>
    <row r="390" spans="1:37" s="65" customFormat="1" ht="16.350000000000001" customHeight="1" x14ac:dyDescent="0.25">
      <c r="A390" s="887" t="s">
        <v>229</v>
      </c>
      <c r="B390" s="596"/>
      <c r="C390" s="596"/>
      <c r="D390" s="596"/>
      <c r="E390" s="596"/>
      <c r="F390" s="596"/>
      <c r="G390" s="677"/>
      <c r="H390" s="677"/>
      <c r="I390" s="677"/>
      <c r="J390" s="677"/>
      <c r="K390" s="677"/>
      <c r="L390" s="596"/>
      <c r="M390" s="596"/>
      <c r="N390" s="950"/>
      <c r="O390" s="596"/>
      <c r="P390" s="596"/>
      <c r="Q390" s="597"/>
      <c r="R390" s="596"/>
      <c r="S390" s="597"/>
      <c r="T390" s="596"/>
      <c r="U390"/>
      <c r="V390"/>
      <c r="W390"/>
      <c r="X390"/>
      <c r="Y390"/>
      <c r="Z390"/>
      <c r="AA390"/>
      <c r="AB390"/>
      <c r="AC390"/>
      <c r="AD390"/>
      <c r="AE390"/>
      <c r="AF390"/>
      <c r="AG390"/>
      <c r="AH390"/>
      <c r="AI390"/>
      <c r="AJ390"/>
      <c r="AK390"/>
    </row>
    <row r="391" spans="1:37" s="65" customFormat="1" ht="15.75" x14ac:dyDescent="0.25">
      <c r="A391" s="888" t="s">
        <v>28</v>
      </c>
      <c r="B391" s="889" t="s">
        <v>218</v>
      </c>
      <c r="C391" s="890" t="s">
        <v>31</v>
      </c>
      <c r="D391" s="890" t="s">
        <v>30</v>
      </c>
      <c r="E391" s="890" t="s">
        <v>101</v>
      </c>
      <c r="F391" s="891" t="s">
        <v>56</v>
      </c>
      <c r="G391" s="913">
        <f t="shared" ref="G391:G398" si="81">G380</f>
        <v>165925.2836</v>
      </c>
      <c r="H391" s="914"/>
      <c r="I391" s="915">
        <f t="shared" ref="I391:I398" si="82">I380</f>
        <v>1.82</v>
      </c>
      <c r="J391" s="916"/>
      <c r="K391" s="420"/>
      <c r="L391" s="420"/>
      <c r="M391" s="420"/>
      <c r="N391" s="904">
        <f>N380</f>
        <v>3500.93</v>
      </c>
      <c r="O391" s="420">
        <f t="shared" ref="O391:O398" si="83">ROUND(G391*I391,2)+ROUND(H391*J391,2)-K391-L391-M391-N391</f>
        <v>298483.09000000003</v>
      </c>
      <c r="P391" s="420">
        <f t="shared" ref="P391:P398" si="84">ROUND(18.75%*O391,2)</f>
        <v>55965.58</v>
      </c>
      <c r="Q391" s="420">
        <f t="shared" ref="Q391:Q398" si="85">ROUND($O391*R391,2)</f>
        <v>44772.46</v>
      </c>
      <c r="R391" s="893">
        <v>0.15</v>
      </c>
      <c r="S391" s="420">
        <f t="shared" ref="S391:S398" si="86">ROUND($O391*T391,2)</f>
        <v>11193.12</v>
      </c>
      <c r="T391" s="919">
        <v>3.7499999999999999E-2</v>
      </c>
      <c r="U391"/>
      <c r="V391"/>
      <c r="W391"/>
      <c r="X391"/>
      <c r="Y391"/>
      <c r="Z391"/>
      <c r="AA391"/>
      <c r="AB391"/>
      <c r="AC391"/>
      <c r="AD391"/>
      <c r="AE391"/>
      <c r="AF391"/>
      <c r="AG391"/>
      <c r="AH391"/>
      <c r="AI391"/>
      <c r="AJ391"/>
      <c r="AK391"/>
    </row>
    <row r="392" spans="1:37" s="65" customFormat="1" ht="15.75" x14ac:dyDescent="0.25">
      <c r="A392" s="894" t="s">
        <v>28</v>
      </c>
      <c r="B392" s="456" t="s">
        <v>219</v>
      </c>
      <c r="C392" s="378" t="s">
        <v>31</v>
      </c>
      <c r="D392" s="378" t="s">
        <v>30</v>
      </c>
      <c r="E392" s="378" t="s">
        <v>101</v>
      </c>
      <c r="F392" s="586" t="s">
        <v>56</v>
      </c>
      <c r="G392" s="933">
        <f t="shared" si="81"/>
        <v>41983.519999999997</v>
      </c>
      <c r="H392" s="587"/>
      <c r="I392" s="920">
        <f t="shared" si="82"/>
        <v>4.2191000000000001</v>
      </c>
      <c r="J392" s="588"/>
      <c r="K392" s="253"/>
      <c r="L392" s="253"/>
      <c r="M392" s="253"/>
      <c r="N392" s="557"/>
      <c r="O392" s="892">
        <f t="shared" si="83"/>
        <v>177132.67</v>
      </c>
      <c r="P392" s="253">
        <f t="shared" si="84"/>
        <v>33212.379999999997</v>
      </c>
      <c r="Q392" s="253">
        <f t="shared" si="85"/>
        <v>26569.9</v>
      </c>
      <c r="R392" s="775">
        <v>0.15</v>
      </c>
      <c r="S392" s="253">
        <f t="shared" si="86"/>
        <v>6642.48</v>
      </c>
      <c r="T392" s="921">
        <v>3.7499999999999999E-2</v>
      </c>
      <c r="U392"/>
      <c r="V392"/>
      <c r="W392"/>
      <c r="X392"/>
      <c r="Y392"/>
      <c r="Z392"/>
      <c r="AA392"/>
      <c r="AB392"/>
      <c r="AC392"/>
      <c r="AD392"/>
      <c r="AE392"/>
      <c r="AF392"/>
      <c r="AG392"/>
      <c r="AH392"/>
      <c r="AI392"/>
      <c r="AJ392"/>
      <c r="AK392"/>
    </row>
    <row r="393" spans="1:37" s="65" customFormat="1" ht="15.75" x14ac:dyDescent="0.25">
      <c r="A393" s="894" t="s">
        <v>28</v>
      </c>
      <c r="B393" s="456" t="s">
        <v>217</v>
      </c>
      <c r="C393" s="378" t="s">
        <v>31</v>
      </c>
      <c r="D393" s="378" t="s">
        <v>30</v>
      </c>
      <c r="E393" s="378" t="s">
        <v>101</v>
      </c>
      <c r="F393" s="586" t="s">
        <v>56</v>
      </c>
      <c r="G393" s="933">
        <f t="shared" si="81"/>
        <v>0</v>
      </c>
      <c r="H393" s="587"/>
      <c r="I393" s="920">
        <f t="shared" si="82"/>
        <v>0</v>
      </c>
      <c r="J393" s="588"/>
      <c r="K393" s="253"/>
      <c r="L393" s="253"/>
      <c r="M393" s="253"/>
      <c r="N393" s="557"/>
      <c r="O393" s="253">
        <f t="shared" si="83"/>
        <v>0</v>
      </c>
      <c r="P393" s="441">
        <f t="shared" si="84"/>
        <v>0</v>
      </c>
      <c r="Q393" s="441">
        <f t="shared" si="85"/>
        <v>0</v>
      </c>
      <c r="R393" s="924">
        <v>0.15</v>
      </c>
      <c r="S393" s="253">
        <f t="shared" si="86"/>
        <v>0</v>
      </c>
      <c r="T393" s="921">
        <v>3.7499999999999999E-2</v>
      </c>
      <c r="U393"/>
      <c r="V393"/>
      <c r="W393"/>
      <c r="X393"/>
      <c r="Y393"/>
      <c r="Z393"/>
      <c r="AA393"/>
      <c r="AB393"/>
      <c r="AC393"/>
      <c r="AD393"/>
      <c r="AE393"/>
      <c r="AF393"/>
      <c r="AG393"/>
      <c r="AH393"/>
      <c r="AI393"/>
      <c r="AJ393"/>
      <c r="AK393"/>
    </row>
    <row r="394" spans="1:37" s="65" customFormat="1" ht="15.75" x14ac:dyDescent="0.25">
      <c r="A394" s="894" t="s">
        <v>28</v>
      </c>
      <c r="B394" s="456" t="s">
        <v>220</v>
      </c>
      <c r="C394" s="378" t="s">
        <v>31</v>
      </c>
      <c r="D394" s="378" t="s">
        <v>30</v>
      </c>
      <c r="E394" s="378" t="s">
        <v>101</v>
      </c>
      <c r="F394" s="586" t="s">
        <v>56</v>
      </c>
      <c r="G394" s="933">
        <f t="shared" si="81"/>
        <v>0</v>
      </c>
      <c r="H394" s="587"/>
      <c r="I394" s="920">
        <f t="shared" si="82"/>
        <v>0</v>
      </c>
      <c r="J394" s="588"/>
      <c r="K394" s="253"/>
      <c r="L394" s="253"/>
      <c r="M394" s="253"/>
      <c r="N394" s="557"/>
      <c r="O394" s="253">
        <f t="shared" si="83"/>
        <v>0</v>
      </c>
      <c r="P394" s="441">
        <f t="shared" si="84"/>
        <v>0</v>
      </c>
      <c r="Q394" s="441">
        <f t="shared" si="85"/>
        <v>0</v>
      </c>
      <c r="R394" s="924">
        <v>0.15</v>
      </c>
      <c r="S394" s="253">
        <f t="shared" si="86"/>
        <v>0</v>
      </c>
      <c r="T394" s="921">
        <v>3.7499999999999999E-2</v>
      </c>
      <c r="U394"/>
      <c r="V394"/>
      <c r="W394"/>
      <c r="X394"/>
      <c r="Y394"/>
      <c r="Z394"/>
      <c r="AA394"/>
      <c r="AB394"/>
      <c r="AC394"/>
      <c r="AD394"/>
      <c r="AE394"/>
      <c r="AF394"/>
      <c r="AG394"/>
      <c r="AH394"/>
      <c r="AI394"/>
      <c r="AJ394"/>
      <c r="AK394"/>
    </row>
    <row r="395" spans="1:37" ht="15.75" x14ac:dyDescent="0.25">
      <c r="A395" s="894" t="s">
        <v>28</v>
      </c>
      <c r="B395" s="456" t="s">
        <v>222</v>
      </c>
      <c r="C395" s="378" t="s">
        <v>31</v>
      </c>
      <c r="D395" s="378" t="s">
        <v>30</v>
      </c>
      <c r="E395" s="378" t="s">
        <v>101</v>
      </c>
      <c r="F395" s="586" t="s">
        <v>56</v>
      </c>
      <c r="G395" s="933">
        <f t="shared" si="81"/>
        <v>0</v>
      </c>
      <c r="H395" s="587"/>
      <c r="I395" s="920">
        <f t="shared" si="82"/>
        <v>0</v>
      </c>
      <c r="J395" s="588"/>
      <c r="K395" s="253"/>
      <c r="L395" s="253"/>
      <c r="M395" s="253"/>
      <c r="N395" s="934"/>
      <c r="O395" s="253">
        <f t="shared" si="83"/>
        <v>0</v>
      </c>
      <c r="P395" s="441">
        <f t="shared" si="84"/>
        <v>0</v>
      </c>
      <c r="Q395" s="441">
        <f t="shared" si="85"/>
        <v>0</v>
      </c>
      <c r="R395" s="924">
        <v>0.15</v>
      </c>
      <c r="S395" s="253">
        <f t="shared" si="86"/>
        <v>0</v>
      </c>
      <c r="T395" s="921">
        <v>3.7499999999999999E-2</v>
      </c>
      <c r="U395"/>
      <c r="V395"/>
      <c r="W395"/>
      <c r="X395"/>
      <c r="Y395"/>
      <c r="Z395"/>
      <c r="AA395"/>
      <c r="AB395"/>
      <c r="AC395"/>
      <c r="AD395"/>
      <c r="AE395"/>
      <c r="AF395"/>
      <c r="AG395"/>
      <c r="AH395"/>
      <c r="AI395"/>
      <c r="AJ395"/>
      <c r="AK395"/>
    </row>
    <row r="396" spans="1:37" s="65" customFormat="1" ht="16.350000000000001" customHeight="1" x14ac:dyDescent="0.25">
      <c r="A396" s="894"/>
      <c r="B396" s="456" t="s">
        <v>226</v>
      </c>
      <c r="C396" s="378" t="s">
        <v>31</v>
      </c>
      <c r="D396" s="378" t="s">
        <v>30</v>
      </c>
      <c r="E396" s="378" t="s">
        <v>101</v>
      </c>
      <c r="F396" s="586" t="s">
        <v>56</v>
      </c>
      <c r="G396" s="933">
        <f t="shared" si="81"/>
        <v>168912.46590000001</v>
      </c>
      <c r="H396" s="587"/>
      <c r="I396" s="920">
        <f t="shared" si="82"/>
        <v>3.7639</v>
      </c>
      <c r="J396" s="588"/>
      <c r="K396" s="253"/>
      <c r="L396" s="253"/>
      <c r="M396" s="253"/>
      <c r="N396" s="934"/>
      <c r="O396" s="253">
        <f t="shared" si="83"/>
        <v>635769.63</v>
      </c>
      <c r="P396" s="441">
        <f t="shared" si="84"/>
        <v>119206.81</v>
      </c>
      <c r="Q396" s="441">
        <f t="shared" si="85"/>
        <v>95365.440000000002</v>
      </c>
      <c r="R396" s="924">
        <v>0.15</v>
      </c>
      <c r="S396" s="253">
        <f t="shared" si="86"/>
        <v>23841.360000000001</v>
      </c>
      <c r="T396" s="921">
        <v>3.7499999999999999E-2</v>
      </c>
      <c r="U396"/>
      <c r="V396"/>
      <c r="W396"/>
      <c r="X396"/>
      <c r="Y396"/>
      <c r="Z396"/>
      <c r="AA396"/>
      <c r="AB396"/>
      <c r="AC396"/>
      <c r="AD396"/>
      <c r="AE396"/>
      <c r="AF396"/>
      <c r="AG396"/>
      <c r="AH396"/>
      <c r="AI396"/>
      <c r="AJ396"/>
      <c r="AK396"/>
    </row>
    <row r="397" spans="1:37" s="65" customFormat="1" ht="15.75" x14ac:dyDescent="0.25">
      <c r="A397" s="1007"/>
      <c r="B397" s="1008" t="s">
        <v>225</v>
      </c>
      <c r="C397" s="1009" t="s">
        <v>31</v>
      </c>
      <c r="D397" s="1009" t="s">
        <v>30</v>
      </c>
      <c r="E397" s="1009" t="s">
        <v>101</v>
      </c>
      <c r="F397" s="1010" t="s">
        <v>56</v>
      </c>
      <c r="G397" s="933">
        <f t="shared" si="81"/>
        <v>0</v>
      </c>
      <c r="H397" s="1011"/>
      <c r="I397" s="920">
        <f t="shared" si="82"/>
        <v>0</v>
      </c>
      <c r="J397" s="1012"/>
      <c r="K397" s="1013"/>
      <c r="L397" s="1013"/>
      <c r="M397" s="1013"/>
      <c r="N397" s="1014"/>
      <c r="O397" s="253">
        <f t="shared" si="83"/>
        <v>0</v>
      </c>
      <c r="P397" s="1004">
        <f t="shared" si="84"/>
        <v>0</v>
      </c>
      <c r="Q397" s="1004">
        <f t="shared" si="85"/>
        <v>0</v>
      </c>
      <c r="R397" s="1006">
        <v>0.15</v>
      </c>
      <c r="S397" s="253">
        <f t="shared" si="86"/>
        <v>0</v>
      </c>
      <c r="T397" s="921">
        <v>3.7499999999999999E-2</v>
      </c>
      <c r="U397"/>
      <c r="V397"/>
      <c r="W397"/>
      <c r="X397"/>
      <c r="Y397"/>
      <c r="Z397"/>
      <c r="AA397"/>
      <c r="AB397"/>
      <c r="AC397"/>
      <c r="AD397"/>
      <c r="AE397"/>
      <c r="AF397"/>
      <c r="AG397"/>
      <c r="AH397"/>
      <c r="AI397"/>
      <c r="AJ397"/>
      <c r="AK397"/>
    </row>
    <row r="398" spans="1:37" s="65" customFormat="1" ht="15.75" x14ac:dyDescent="0.25">
      <c r="A398" s="993"/>
      <c r="B398" s="994" t="s">
        <v>362</v>
      </c>
      <c r="C398" s="995" t="s">
        <v>31</v>
      </c>
      <c r="D398" s="995" t="s">
        <v>30</v>
      </c>
      <c r="E398" s="995" t="s">
        <v>101</v>
      </c>
      <c r="F398" s="995" t="s">
        <v>56</v>
      </c>
      <c r="G398" s="1068">
        <f t="shared" si="81"/>
        <v>31815.67</v>
      </c>
      <c r="H398" s="996"/>
      <c r="I398" s="949">
        <f t="shared" si="82"/>
        <v>2.82</v>
      </c>
      <c r="J398" s="949"/>
      <c r="K398" s="909"/>
      <c r="L398" s="909"/>
      <c r="M398" s="909"/>
      <c r="N398" s="997"/>
      <c r="O398" s="909">
        <f t="shared" si="83"/>
        <v>89720.19</v>
      </c>
      <c r="P398" s="909">
        <f t="shared" si="84"/>
        <v>16822.54</v>
      </c>
      <c r="Q398" s="909">
        <f t="shared" si="85"/>
        <v>13458.03</v>
      </c>
      <c r="R398" s="998">
        <v>0.15</v>
      </c>
      <c r="S398" s="909">
        <f t="shared" si="86"/>
        <v>3364.51</v>
      </c>
      <c r="T398" s="999">
        <v>3.7499999999999999E-2</v>
      </c>
      <c r="U398"/>
      <c r="V398"/>
      <c r="W398"/>
      <c r="X398"/>
      <c r="Y398"/>
      <c r="Z398"/>
      <c r="AA398"/>
      <c r="AB398"/>
      <c r="AC398"/>
      <c r="AD398"/>
      <c r="AE398"/>
      <c r="AF398"/>
      <c r="AG398"/>
      <c r="AH398"/>
      <c r="AI398"/>
      <c r="AJ398"/>
      <c r="AK398"/>
    </row>
    <row r="399" spans="1:37" s="65" customFormat="1" ht="15.75" x14ac:dyDescent="0.25">
      <c r="A399" s="596"/>
      <c r="B399" s="596"/>
      <c r="C399" s="596"/>
      <c r="D399" s="596"/>
      <c r="E399" s="596"/>
      <c r="F399" s="596"/>
      <c r="G399" s="902">
        <f>SUM(G391:G398)</f>
        <v>408636.93949999998</v>
      </c>
      <c r="H399" s="902"/>
      <c r="I399" s="937">
        <f>O399/G399</f>
        <v>2.9392976109052915</v>
      </c>
      <c r="J399" s="937"/>
      <c r="K399" s="677"/>
      <c r="L399" s="596"/>
      <c r="M399" s="596"/>
      <c r="N399" s="1059">
        <f>SUM(N391:N397)</f>
        <v>3500.93</v>
      </c>
      <c r="O399" s="734">
        <f>SUM(O391:O398)</f>
        <v>1201105.58</v>
      </c>
      <c r="P399" s="734">
        <f>SUM(P391:P398)</f>
        <v>225207.31</v>
      </c>
      <c r="Q399" s="734">
        <f>SUM(Q391:Q398)</f>
        <v>180165.83</v>
      </c>
      <c r="R399" s="734"/>
      <c r="S399" s="734">
        <f>SUM(S391:S397)</f>
        <v>41676.959999999999</v>
      </c>
      <c r="T399" s="734"/>
      <c r="U399"/>
      <c r="V399"/>
      <c r="W399"/>
      <c r="X399"/>
      <c r="Y399"/>
      <c r="Z399"/>
      <c r="AA399"/>
      <c r="AB399"/>
      <c r="AC399"/>
      <c r="AD399"/>
      <c r="AE399"/>
      <c r="AF399"/>
      <c r="AG399"/>
      <c r="AH399"/>
      <c r="AI399"/>
      <c r="AJ399"/>
      <c r="AK399"/>
    </row>
    <row r="400" spans="1:37" s="65" customFormat="1" ht="15.75" x14ac:dyDescent="0.25">
      <c r="A400" s="596"/>
      <c r="B400" s="596"/>
      <c r="C400" s="596"/>
      <c r="D400" s="596"/>
      <c r="E400" s="596"/>
      <c r="F400" s="596"/>
      <c r="G400" s="677"/>
      <c r="H400" s="677"/>
      <c r="I400" s="937"/>
      <c r="J400" s="677"/>
      <c r="K400" s="677"/>
      <c r="L400" s="596"/>
      <c r="M400" s="596"/>
      <c r="N400" s="950"/>
      <c r="O400" s="683">
        <f>+O399+O411</f>
        <v>2480124.25</v>
      </c>
      <c r="P400" s="683">
        <f>+P399+P411</f>
        <v>465023.31</v>
      </c>
      <c r="Q400" s="683">
        <f>+Q399+Q411</f>
        <v>372018.63</v>
      </c>
      <c r="R400" s="596"/>
      <c r="S400" s="596"/>
      <c r="T400" s="596"/>
      <c r="U400"/>
      <c r="V400"/>
      <c r="W400"/>
      <c r="X400"/>
      <c r="Y400"/>
      <c r="Z400"/>
      <c r="AA400"/>
      <c r="AB400"/>
      <c r="AC400"/>
      <c r="AD400"/>
      <c r="AE400"/>
      <c r="AF400"/>
      <c r="AG400"/>
      <c r="AH400"/>
      <c r="AI400"/>
      <c r="AJ400"/>
      <c r="AK400"/>
    </row>
    <row r="401" spans="1:37" s="65" customFormat="1" ht="15.75" x14ac:dyDescent="0.25">
      <c r="A401" s="596"/>
      <c r="B401" s="596"/>
      <c r="C401" s="596"/>
      <c r="D401" s="596"/>
      <c r="E401" s="596"/>
      <c r="F401" s="596"/>
      <c r="G401" s="677"/>
      <c r="H401" s="677"/>
      <c r="I401" s="677"/>
      <c r="J401" s="677"/>
      <c r="K401" s="677"/>
      <c r="L401" s="596"/>
      <c r="M401" s="596"/>
      <c r="N401" s="950"/>
      <c r="O401" s="597">
        <f>+O400-O388</f>
        <v>0</v>
      </c>
      <c r="P401" s="597">
        <f>+P400-P388</f>
        <v>2.0000000018626451E-2</v>
      </c>
      <c r="Q401" s="597">
        <f>+Q400-Q388</f>
        <v>0</v>
      </c>
      <c r="R401" s="596"/>
      <c r="S401" s="596"/>
      <c r="T401" s="596"/>
      <c r="U401"/>
      <c r="V401"/>
      <c r="W401"/>
      <c r="X401"/>
      <c r="Y401"/>
      <c r="Z401"/>
      <c r="AA401"/>
      <c r="AB401"/>
      <c r="AC401"/>
      <c r="AD401"/>
      <c r="AE401"/>
      <c r="AF401"/>
      <c r="AG401"/>
      <c r="AH401"/>
      <c r="AI401"/>
      <c r="AJ401"/>
      <c r="AK401"/>
    </row>
    <row r="402" spans="1:37" s="65" customFormat="1" ht="16.350000000000001" customHeight="1" x14ac:dyDescent="0.25">
      <c r="A402" s="887" t="s">
        <v>230</v>
      </c>
      <c r="B402" s="596"/>
      <c r="C402" s="596"/>
      <c r="D402" s="596"/>
      <c r="E402" s="596"/>
      <c r="F402" s="596"/>
      <c r="G402" s="677"/>
      <c r="H402" s="677"/>
      <c r="I402" s="677"/>
      <c r="J402" s="677"/>
      <c r="K402" s="677"/>
      <c r="L402" s="596"/>
      <c r="M402" s="596"/>
      <c r="N402" s="950"/>
      <c r="O402" s="596"/>
      <c r="P402" s="596"/>
      <c r="Q402" s="597"/>
      <c r="R402" s="596"/>
      <c r="S402" s="596"/>
      <c r="T402" s="596"/>
      <c r="U402"/>
      <c r="V402"/>
      <c r="W402"/>
      <c r="X402"/>
      <c r="Y402"/>
      <c r="Z402"/>
      <c r="AA402"/>
      <c r="AB402"/>
      <c r="AC402"/>
      <c r="AD402"/>
      <c r="AE402"/>
      <c r="AF402"/>
      <c r="AG402"/>
      <c r="AH402"/>
      <c r="AI402"/>
      <c r="AJ402"/>
      <c r="AK402"/>
    </row>
    <row r="403" spans="1:37" s="65" customFormat="1" ht="15.75" x14ac:dyDescent="0.25">
      <c r="A403" s="888" t="s">
        <v>28</v>
      </c>
      <c r="B403" s="889" t="s">
        <v>218</v>
      </c>
      <c r="C403" s="890" t="s">
        <v>31</v>
      </c>
      <c r="D403" s="890" t="s">
        <v>30</v>
      </c>
      <c r="E403" s="890" t="s">
        <v>101</v>
      </c>
      <c r="F403" s="891" t="s">
        <v>56</v>
      </c>
      <c r="G403" s="914"/>
      <c r="H403" s="947">
        <f>H380</f>
        <v>175315.35269999999</v>
      </c>
      <c r="I403" s="916"/>
      <c r="J403" s="947">
        <f>J380</f>
        <v>1.82</v>
      </c>
      <c r="K403" s="420"/>
      <c r="L403" s="420"/>
      <c r="M403" s="420"/>
      <c r="N403" s="1060"/>
      <c r="O403" s="420">
        <f t="shared" ref="O403:O410" si="87">ROUND(G403*I403,2)+ROUND(H403*J403,2)-K403-L403-M403-N403</f>
        <v>319073.94</v>
      </c>
      <c r="P403" s="420">
        <f t="shared" ref="P403:P410" si="88">ROUND(18.75%*O403,2)</f>
        <v>59826.36</v>
      </c>
      <c r="Q403" s="420">
        <f t="shared" ref="Q403:Q410" si="89">ROUND($O403*R403,2)</f>
        <v>47861.09</v>
      </c>
      <c r="R403" s="893">
        <v>0.15</v>
      </c>
      <c r="S403" s="420">
        <f t="shared" ref="S403:S410" si="90">ROUND($O403*T403,2)</f>
        <v>11965.27</v>
      </c>
      <c r="T403" s="919">
        <v>3.7499999999999999E-2</v>
      </c>
      <c r="U403"/>
      <c r="V403"/>
      <c r="W403"/>
      <c r="X403"/>
      <c r="Y403"/>
      <c r="Z403"/>
      <c r="AA403"/>
      <c r="AB403"/>
      <c r="AC403"/>
      <c r="AD403"/>
      <c r="AE403"/>
      <c r="AF403"/>
      <c r="AG403"/>
      <c r="AH403"/>
      <c r="AI403"/>
      <c r="AJ403"/>
      <c r="AK403"/>
    </row>
    <row r="404" spans="1:37" s="65" customFormat="1" ht="15.75" x14ac:dyDescent="0.25">
      <c r="A404" s="894" t="s">
        <v>28</v>
      </c>
      <c r="B404" s="456" t="s">
        <v>219</v>
      </c>
      <c r="C404" s="378" t="s">
        <v>31</v>
      </c>
      <c r="D404" s="378" t="s">
        <v>30</v>
      </c>
      <c r="E404" s="378" t="s">
        <v>101</v>
      </c>
      <c r="F404" s="586" t="s">
        <v>56</v>
      </c>
      <c r="G404" s="587"/>
      <c r="H404" s="1012">
        <f>H381</f>
        <v>40388.923799999997</v>
      </c>
      <c r="I404" s="588"/>
      <c r="J404" s="588">
        <f>J381</f>
        <v>3.81</v>
      </c>
      <c r="K404" s="253"/>
      <c r="L404" s="253"/>
      <c r="M404" s="253"/>
      <c r="N404" s="557"/>
      <c r="O404" s="892">
        <f t="shared" si="87"/>
        <v>153881.79999999999</v>
      </c>
      <c r="P404" s="253">
        <f t="shared" si="88"/>
        <v>28852.84</v>
      </c>
      <c r="Q404" s="253">
        <f t="shared" si="89"/>
        <v>23082.27</v>
      </c>
      <c r="R404" s="775">
        <v>0.15</v>
      </c>
      <c r="S404" s="253">
        <f t="shared" si="90"/>
        <v>5770.57</v>
      </c>
      <c r="T404" s="921">
        <v>3.7499999999999999E-2</v>
      </c>
      <c r="U404"/>
      <c r="V404"/>
      <c r="W404"/>
      <c r="X404"/>
      <c r="Y404"/>
      <c r="Z404"/>
      <c r="AA404"/>
      <c r="AB404"/>
      <c r="AC404"/>
      <c r="AD404"/>
      <c r="AE404"/>
      <c r="AF404"/>
      <c r="AG404"/>
      <c r="AH404"/>
      <c r="AI404"/>
      <c r="AJ404"/>
      <c r="AK404"/>
    </row>
    <row r="405" spans="1:37" s="65" customFormat="1" ht="15.75" x14ac:dyDescent="0.25">
      <c r="A405" s="894" t="s">
        <v>28</v>
      </c>
      <c r="B405" s="456" t="s">
        <v>217</v>
      </c>
      <c r="C405" s="378" t="s">
        <v>31</v>
      </c>
      <c r="D405" s="378" t="s">
        <v>30</v>
      </c>
      <c r="E405" s="378" t="s">
        <v>101</v>
      </c>
      <c r="F405" s="586" t="s">
        <v>56</v>
      </c>
      <c r="G405" s="587"/>
      <c r="H405" s="920"/>
      <c r="I405" s="588"/>
      <c r="J405" s="588"/>
      <c r="K405" s="253"/>
      <c r="L405" s="253"/>
      <c r="M405" s="253"/>
      <c r="N405" s="557"/>
      <c r="O405" s="253">
        <f t="shared" si="87"/>
        <v>0</v>
      </c>
      <c r="P405" s="441">
        <f t="shared" si="88"/>
        <v>0</v>
      </c>
      <c r="Q405" s="441">
        <f t="shared" si="89"/>
        <v>0</v>
      </c>
      <c r="R405" s="924">
        <v>0.15</v>
      </c>
      <c r="S405" s="253">
        <f t="shared" si="90"/>
        <v>0</v>
      </c>
      <c r="T405" s="921">
        <v>3.7499999999999999E-2</v>
      </c>
      <c r="U405"/>
      <c r="V405"/>
      <c r="W405"/>
      <c r="X405"/>
      <c r="Y405"/>
      <c r="Z405"/>
      <c r="AA405"/>
      <c r="AB405"/>
      <c r="AC405"/>
      <c r="AD405"/>
      <c r="AE405"/>
      <c r="AF405"/>
      <c r="AG405"/>
      <c r="AH405"/>
      <c r="AI405"/>
      <c r="AJ405"/>
      <c r="AK405"/>
    </row>
    <row r="406" spans="1:37" s="65" customFormat="1" ht="15.75" x14ac:dyDescent="0.25">
      <c r="A406" s="894" t="s">
        <v>28</v>
      </c>
      <c r="B406" s="456" t="s">
        <v>220</v>
      </c>
      <c r="C406" s="378" t="s">
        <v>31</v>
      </c>
      <c r="D406" s="378" t="s">
        <v>30</v>
      </c>
      <c r="E406" s="378" t="s">
        <v>101</v>
      </c>
      <c r="F406" s="586" t="s">
        <v>56</v>
      </c>
      <c r="G406" s="587"/>
      <c r="H406" s="920"/>
      <c r="I406" s="588"/>
      <c r="J406" s="588"/>
      <c r="K406" s="253"/>
      <c r="L406" s="253"/>
      <c r="M406" s="253"/>
      <c r="N406" s="557"/>
      <c r="O406" s="253">
        <f t="shared" si="87"/>
        <v>0</v>
      </c>
      <c r="P406" s="441">
        <f t="shared" si="88"/>
        <v>0</v>
      </c>
      <c r="Q406" s="441">
        <f t="shared" si="89"/>
        <v>0</v>
      </c>
      <c r="R406" s="924">
        <v>0.15</v>
      </c>
      <c r="S406" s="253">
        <f t="shared" si="90"/>
        <v>0</v>
      </c>
      <c r="T406" s="921">
        <v>3.7499999999999999E-2</v>
      </c>
      <c r="U406"/>
      <c r="V406"/>
      <c r="W406"/>
      <c r="X406"/>
      <c r="Y406"/>
      <c r="Z406"/>
      <c r="AA406"/>
      <c r="AB406"/>
      <c r="AC406"/>
      <c r="AD406"/>
      <c r="AE406"/>
      <c r="AF406"/>
      <c r="AG406"/>
      <c r="AH406"/>
      <c r="AI406"/>
      <c r="AJ406"/>
      <c r="AK406"/>
    </row>
    <row r="407" spans="1:37" s="65" customFormat="1" ht="15.75" x14ac:dyDescent="0.25">
      <c r="A407" s="894" t="s">
        <v>28</v>
      </c>
      <c r="B407" s="456" t="s">
        <v>222</v>
      </c>
      <c r="C407" s="378" t="s">
        <v>31</v>
      </c>
      <c r="D407" s="378" t="s">
        <v>30</v>
      </c>
      <c r="E407" s="378" t="s">
        <v>101</v>
      </c>
      <c r="F407" s="586" t="s">
        <v>56</v>
      </c>
      <c r="G407" s="587"/>
      <c r="H407" s="920"/>
      <c r="I407" s="588"/>
      <c r="J407" s="588"/>
      <c r="K407" s="253"/>
      <c r="L407" s="253"/>
      <c r="M407" s="253"/>
      <c r="N407" s="934"/>
      <c r="O407" s="253">
        <f t="shared" si="87"/>
        <v>0</v>
      </c>
      <c r="P407" s="441">
        <f t="shared" si="88"/>
        <v>0</v>
      </c>
      <c r="Q407" s="441">
        <f t="shared" si="89"/>
        <v>0</v>
      </c>
      <c r="R407" s="924">
        <v>0.15</v>
      </c>
      <c r="S407" s="253">
        <f t="shared" si="90"/>
        <v>0</v>
      </c>
      <c r="T407" s="921">
        <v>3.7499999999999999E-2</v>
      </c>
      <c r="U407"/>
      <c r="V407"/>
      <c r="W407"/>
      <c r="X407"/>
      <c r="Y407"/>
      <c r="Z407"/>
      <c r="AA407"/>
      <c r="AB407"/>
      <c r="AC407"/>
      <c r="AD407"/>
      <c r="AE407"/>
      <c r="AF407"/>
      <c r="AG407"/>
      <c r="AH407"/>
      <c r="AI407"/>
      <c r="AJ407"/>
      <c r="AK407"/>
    </row>
    <row r="408" spans="1:37" s="65" customFormat="1" ht="16.350000000000001" customHeight="1" x14ac:dyDescent="0.25">
      <c r="A408" s="894"/>
      <c r="B408" s="456" t="s">
        <v>226</v>
      </c>
      <c r="C408" s="378" t="s">
        <v>31</v>
      </c>
      <c r="D408" s="378" t="s">
        <v>30</v>
      </c>
      <c r="E408" s="378" t="s">
        <v>101</v>
      </c>
      <c r="F408" s="586" t="s">
        <v>56</v>
      </c>
      <c r="G408" s="587"/>
      <c r="H408" s="920">
        <f>H385</f>
        <v>193472.3659</v>
      </c>
      <c r="I408" s="588"/>
      <c r="J408" s="588">
        <f>J385</f>
        <v>3.6747000000000001</v>
      </c>
      <c r="K408" s="253"/>
      <c r="L408" s="253"/>
      <c r="M408" s="253"/>
      <c r="N408" s="934"/>
      <c r="O408" s="585">
        <f t="shared" si="87"/>
        <v>710952.9</v>
      </c>
      <c r="P408" s="441">
        <f t="shared" si="88"/>
        <v>133303.67000000001</v>
      </c>
      <c r="Q408" s="441">
        <f t="shared" si="89"/>
        <v>106642.94</v>
      </c>
      <c r="R408" s="924">
        <v>0.15</v>
      </c>
      <c r="S408" s="253">
        <f t="shared" si="90"/>
        <v>26660.73</v>
      </c>
      <c r="T408" s="921">
        <v>3.7499999999999999E-2</v>
      </c>
      <c r="U408"/>
      <c r="V408"/>
      <c r="W408"/>
      <c r="X408"/>
      <c r="Y408"/>
      <c r="Z408"/>
      <c r="AA408"/>
      <c r="AB408"/>
      <c r="AC408"/>
      <c r="AD408"/>
      <c r="AE408"/>
      <c r="AF408"/>
      <c r="AG408"/>
      <c r="AH408"/>
      <c r="AI408"/>
      <c r="AJ408"/>
      <c r="AK408"/>
    </row>
    <row r="409" spans="1:37" s="65" customFormat="1" ht="15.75" x14ac:dyDescent="0.25">
      <c r="A409" s="894"/>
      <c r="B409" s="456" t="s">
        <v>225</v>
      </c>
      <c r="C409" s="378" t="s">
        <v>31</v>
      </c>
      <c r="D409" s="378" t="s">
        <v>30</v>
      </c>
      <c r="E409" s="378" t="s">
        <v>101</v>
      </c>
      <c r="F409" s="586" t="s">
        <v>56</v>
      </c>
      <c r="G409" s="587"/>
      <c r="H409" s="920"/>
      <c r="I409" s="588"/>
      <c r="J409" s="933"/>
      <c r="K409" s="253"/>
      <c r="L409" s="253"/>
      <c r="M409" s="253"/>
      <c r="N409" s="557"/>
      <c r="O409" s="253">
        <f t="shared" si="87"/>
        <v>0</v>
      </c>
      <c r="P409" s="1004">
        <f t="shared" si="88"/>
        <v>0</v>
      </c>
      <c r="Q409" s="1004">
        <f t="shared" si="89"/>
        <v>0</v>
      </c>
      <c r="R409" s="1006">
        <v>0.15</v>
      </c>
      <c r="S409" s="253">
        <f t="shared" si="90"/>
        <v>0</v>
      </c>
      <c r="T409" s="921">
        <v>3.7499999999999999E-2</v>
      </c>
      <c r="U409"/>
      <c r="V409"/>
      <c r="W409"/>
      <c r="X409"/>
      <c r="Y409"/>
      <c r="Z409"/>
      <c r="AA409"/>
      <c r="AB409"/>
      <c r="AC409"/>
      <c r="AD409"/>
      <c r="AE409"/>
      <c r="AF409"/>
      <c r="AG409"/>
      <c r="AH409"/>
      <c r="AI409"/>
      <c r="AJ409"/>
      <c r="AK409"/>
    </row>
    <row r="410" spans="1:37" s="65" customFormat="1" ht="15.75" x14ac:dyDescent="0.25">
      <c r="A410" s="993"/>
      <c r="B410" s="994" t="s">
        <v>362</v>
      </c>
      <c r="C410" s="995" t="s">
        <v>31</v>
      </c>
      <c r="D410" s="995" t="s">
        <v>30</v>
      </c>
      <c r="E410" s="995" t="s">
        <v>101</v>
      </c>
      <c r="F410" s="995" t="s">
        <v>56</v>
      </c>
      <c r="G410" s="996"/>
      <c r="H410" s="928">
        <f>H387</f>
        <v>33726.959999999999</v>
      </c>
      <c r="I410" s="949"/>
      <c r="J410" s="929">
        <f>J387</f>
        <v>2.82</v>
      </c>
      <c r="K410" s="909"/>
      <c r="L410" s="909"/>
      <c r="M410" s="909"/>
      <c r="N410" s="997"/>
      <c r="O410" s="253">
        <f t="shared" si="87"/>
        <v>95110.03</v>
      </c>
      <c r="P410" s="909">
        <f t="shared" si="88"/>
        <v>17833.13</v>
      </c>
      <c r="Q410" s="909">
        <f t="shared" si="89"/>
        <v>14266.5</v>
      </c>
      <c r="R410" s="998">
        <v>0.15</v>
      </c>
      <c r="S410" s="909">
        <f t="shared" si="90"/>
        <v>3566.63</v>
      </c>
      <c r="T410" s="999">
        <v>3.7499999999999999E-2</v>
      </c>
      <c r="U410"/>
      <c r="V410"/>
      <c r="W410"/>
      <c r="X410"/>
      <c r="Y410"/>
      <c r="Z410"/>
      <c r="AA410"/>
      <c r="AB410"/>
      <c r="AC410"/>
      <c r="AD410"/>
      <c r="AE410"/>
      <c r="AF410"/>
      <c r="AG410"/>
      <c r="AH410"/>
      <c r="AI410"/>
      <c r="AJ410"/>
      <c r="AK410"/>
    </row>
    <row r="411" spans="1:37" s="65" customFormat="1" ht="15.75" x14ac:dyDescent="0.25">
      <c r="A411" s="596"/>
      <c r="B411" s="596"/>
      <c r="C411" s="596"/>
      <c r="D411" s="596"/>
      <c r="E411" s="596"/>
      <c r="F411" s="596"/>
      <c r="G411" s="902"/>
      <c r="H411" s="902">
        <f>SUM(H403:H410)</f>
        <v>442903.60240000003</v>
      </c>
      <c r="I411" s="937"/>
      <c r="J411" s="937">
        <f>O411/H411</f>
        <v>2.8878037186179366</v>
      </c>
      <c r="K411" s="677"/>
      <c r="L411" s="596"/>
      <c r="M411" s="596"/>
      <c r="N411" s="1059"/>
      <c r="O411" s="734">
        <f>SUM(O403:O410)</f>
        <v>1279018.6700000002</v>
      </c>
      <c r="P411" s="734">
        <f>SUM(P403:P410)</f>
        <v>239816</v>
      </c>
      <c r="Q411" s="734">
        <f>SUM(Q403:Q410)</f>
        <v>191852.79999999999</v>
      </c>
      <c r="R411" s="596"/>
      <c r="S411" s="734">
        <f>SUM(S403:S410)</f>
        <v>47963.199999999997</v>
      </c>
      <c r="T411" s="596"/>
      <c r="U411"/>
      <c r="V411"/>
      <c r="W411"/>
      <c r="X411"/>
      <c r="Y411"/>
      <c r="Z411"/>
      <c r="AA411"/>
      <c r="AB411"/>
      <c r="AC411"/>
      <c r="AD411"/>
      <c r="AE411"/>
      <c r="AF411"/>
      <c r="AG411"/>
      <c r="AH411"/>
      <c r="AI411"/>
      <c r="AJ411"/>
      <c r="AK411"/>
    </row>
    <row r="412" spans="1:37" s="65" customFormat="1" ht="15.75" x14ac:dyDescent="0.25">
      <c r="A412" s="596"/>
      <c r="B412" s="596"/>
      <c r="C412" s="596"/>
      <c r="D412" s="596"/>
      <c r="E412" s="596"/>
      <c r="F412" s="596"/>
      <c r="G412" s="677"/>
      <c r="H412" s="677"/>
      <c r="I412" s="677"/>
      <c r="J412" s="677"/>
      <c r="K412" s="677"/>
      <c r="L412" s="596"/>
      <c r="M412" s="596"/>
      <c r="N412" s="950"/>
      <c r="O412" s="596"/>
      <c r="P412" s="596"/>
      <c r="Q412" s="596"/>
      <c r="R412" s="596"/>
      <c r="S412" s="596"/>
      <c r="T412" s="596"/>
      <c r="U412"/>
      <c r="V412"/>
      <c r="W412"/>
      <c r="X412"/>
      <c r="Y412"/>
      <c r="Z412"/>
      <c r="AA412"/>
      <c r="AB412"/>
      <c r="AC412"/>
      <c r="AD412"/>
      <c r="AE412"/>
      <c r="AF412"/>
      <c r="AG412"/>
      <c r="AH412"/>
      <c r="AI412"/>
      <c r="AJ412"/>
      <c r="AK412"/>
    </row>
    <row r="413" spans="1:37" s="65" customFormat="1" ht="15.75" x14ac:dyDescent="0.25">
      <c r="A413" s="880" t="s">
        <v>231</v>
      </c>
      <c r="B413" s="596"/>
      <c r="C413" s="596" t="s">
        <v>330</v>
      </c>
      <c r="D413" s="596"/>
      <c r="E413" s="596"/>
      <c r="F413" s="596"/>
      <c r="G413" s="596"/>
      <c r="H413" s="596"/>
      <c r="I413" s="596"/>
      <c r="J413" s="596"/>
      <c r="K413" s="596"/>
      <c r="L413" s="596"/>
      <c r="M413" s="596"/>
      <c r="N413" s="1061"/>
      <c r="O413" s="596"/>
      <c r="P413" s="596"/>
      <c r="Q413" s="596"/>
      <c r="R413" s="596"/>
      <c r="S413" s="596"/>
      <c r="T413" s="596"/>
      <c r="U413"/>
      <c r="V413"/>
      <c r="W413"/>
      <c r="X413"/>
      <c r="Y413"/>
      <c r="Z413"/>
      <c r="AA413"/>
      <c r="AB413"/>
      <c r="AC413"/>
      <c r="AD413"/>
      <c r="AE413"/>
      <c r="AF413"/>
      <c r="AG413"/>
      <c r="AH413"/>
      <c r="AI413"/>
      <c r="AJ413"/>
      <c r="AK413"/>
    </row>
    <row r="414" spans="1:37" s="65" customFormat="1" ht="15.75" x14ac:dyDescent="0.25">
      <c r="A414" s="887" t="s">
        <v>228</v>
      </c>
      <c r="B414" s="596"/>
      <c r="C414" s="596"/>
      <c r="D414" s="596"/>
      <c r="E414" s="596"/>
      <c r="F414" s="596"/>
      <c r="G414" s="704" t="s">
        <v>35</v>
      </c>
      <c r="H414" s="705" t="s">
        <v>36</v>
      </c>
      <c r="I414" s="705" t="s">
        <v>35</v>
      </c>
      <c r="J414" s="704" t="s">
        <v>36</v>
      </c>
      <c r="K414" s="704" t="s">
        <v>39</v>
      </c>
      <c r="L414" s="704" t="s">
        <v>40</v>
      </c>
      <c r="M414" s="704" t="s">
        <v>42</v>
      </c>
      <c r="N414" s="1058" t="s">
        <v>2</v>
      </c>
      <c r="O414" s="596"/>
      <c r="P414" s="596"/>
      <c r="Q414" s="596"/>
      <c r="R414" s="596"/>
      <c r="S414" s="596"/>
      <c r="T414" s="596"/>
      <c r="U414"/>
      <c r="V414"/>
      <c r="W414"/>
      <c r="X414"/>
      <c r="Y414"/>
      <c r="Z414"/>
      <c r="AA414"/>
      <c r="AB414"/>
      <c r="AC414"/>
      <c r="AD414"/>
      <c r="AE414"/>
      <c r="AF414"/>
      <c r="AG414"/>
      <c r="AH414"/>
      <c r="AI414"/>
      <c r="AJ414"/>
      <c r="AK414"/>
    </row>
    <row r="415" spans="1:37" s="65" customFormat="1" ht="15.75" x14ac:dyDescent="0.25">
      <c r="A415" s="939" t="s">
        <v>28</v>
      </c>
      <c r="B415" s="940" t="s">
        <v>367</v>
      </c>
      <c r="C415" s="845" t="s">
        <v>31</v>
      </c>
      <c r="D415" s="845" t="s">
        <v>30</v>
      </c>
      <c r="E415" s="845" t="s">
        <v>101</v>
      </c>
      <c r="F415" s="845" t="s">
        <v>56</v>
      </c>
      <c r="G415" s="1082"/>
      <c r="H415" s="1032">
        <v>1038.3239000000001</v>
      </c>
      <c r="I415" s="1033"/>
      <c r="J415" s="1033">
        <v>2.21</v>
      </c>
      <c r="K415" s="1023"/>
      <c r="L415" s="1023"/>
      <c r="M415" s="1023"/>
      <c r="N415" s="1086">
        <v>1072.8599999999999</v>
      </c>
      <c r="O415" s="1087">
        <f>ROUND(G415*I415,2)+ROUND(H415*J415,2)-K415-L415-M415-N415</f>
        <v>1221.8399999999999</v>
      </c>
      <c r="P415" s="918">
        <f>ROUND(18.75%*O415,2)</f>
        <v>229.1</v>
      </c>
      <c r="Q415" s="941">
        <f>ROUND($O415*R415,2)</f>
        <v>183.28</v>
      </c>
      <c r="R415" s="942">
        <v>0.15</v>
      </c>
      <c r="S415" s="941">
        <f>ROUND($O415*T415,2)</f>
        <v>45.82</v>
      </c>
      <c r="T415" s="943">
        <v>3.7499999999999999E-2</v>
      </c>
      <c r="U415"/>
      <c r="V415"/>
      <c r="W415"/>
      <c r="X415"/>
      <c r="Y415"/>
      <c r="Z415"/>
      <c r="AA415"/>
      <c r="AB415"/>
      <c r="AC415"/>
      <c r="AD415"/>
      <c r="AE415"/>
      <c r="AF415"/>
      <c r="AG415"/>
      <c r="AH415"/>
      <c r="AI415"/>
      <c r="AJ415"/>
      <c r="AK415"/>
    </row>
    <row r="416" spans="1:37" s="65" customFormat="1" ht="15.75" x14ac:dyDescent="0.25">
      <c r="A416" s="922" t="s">
        <v>28</v>
      </c>
      <c r="B416" s="442" t="s">
        <v>373</v>
      </c>
      <c r="C416" s="854" t="s">
        <v>31</v>
      </c>
      <c r="D416" s="854" t="s">
        <v>30</v>
      </c>
      <c r="E416" s="854" t="s">
        <v>101</v>
      </c>
      <c r="F416" s="854" t="s">
        <v>56</v>
      </c>
      <c r="G416" s="1088"/>
      <c r="H416" s="1034">
        <v>8466.3016000000007</v>
      </c>
      <c r="I416" s="1031"/>
      <c r="J416" s="1031">
        <v>2.21</v>
      </c>
      <c r="K416" s="471"/>
      <c r="L416" s="471"/>
      <c r="M416" s="471"/>
      <c r="N416" s="1089"/>
      <c r="O416" s="1090">
        <f>ROUND(G416*I416,2)+ROUND(H416*J416,2)-K416-L416-M416-N416</f>
        <v>18710.53</v>
      </c>
      <c r="P416" s="944">
        <f>ROUND(18.75%*O416,2)</f>
        <v>3508.22</v>
      </c>
      <c r="Q416" s="441">
        <f>ROUND($O416*R416,2)</f>
        <v>2806.58</v>
      </c>
      <c r="R416" s="924">
        <v>0.15</v>
      </c>
      <c r="S416" s="441">
        <f>ROUND($O416*T416,2)</f>
        <v>701.64</v>
      </c>
      <c r="T416" s="945">
        <v>3.7499999999999999E-2</v>
      </c>
      <c r="U416"/>
      <c r="V416"/>
      <c r="W416"/>
      <c r="X416"/>
      <c r="Y416"/>
      <c r="Z416"/>
      <c r="AA416"/>
      <c r="AB416"/>
      <c r="AC416"/>
      <c r="AD416"/>
      <c r="AE416"/>
      <c r="AF416"/>
      <c r="AG416"/>
      <c r="AH416"/>
      <c r="AI416"/>
      <c r="AJ416"/>
      <c r="AK416"/>
    </row>
    <row r="417" spans="1:37" s="65" customFormat="1" ht="15.75" x14ac:dyDescent="0.25">
      <c r="A417" s="922" t="s">
        <v>28</v>
      </c>
      <c r="B417" s="442" t="s">
        <v>374</v>
      </c>
      <c r="C417" s="854" t="s">
        <v>31</v>
      </c>
      <c r="D417" s="854" t="s">
        <v>30</v>
      </c>
      <c r="E417" s="854" t="s">
        <v>101</v>
      </c>
      <c r="F417" s="854" t="s">
        <v>56</v>
      </c>
      <c r="G417" s="1088"/>
      <c r="H417" s="1034">
        <v>45770.591800000002</v>
      </c>
      <c r="I417" s="1031"/>
      <c r="J417" s="1031">
        <v>2.85</v>
      </c>
      <c r="K417" s="471"/>
      <c r="L417" s="471"/>
      <c r="M417" s="471"/>
      <c r="N417" s="1089"/>
      <c r="O417" s="471">
        <f>ROUND(G417*I417,2)+ROUND(H417*J417,2)-K417-L417-M417-N417</f>
        <v>130446.19</v>
      </c>
      <c r="P417" s="441">
        <f>ROUND(18.75%*O417,2)</f>
        <v>24458.66</v>
      </c>
      <c r="Q417" s="441">
        <f>ROUND($O417*R417,2)</f>
        <v>19566.93</v>
      </c>
      <c r="R417" s="924">
        <v>0.15</v>
      </c>
      <c r="S417" s="441">
        <f>ROUND($O417*T417,2)</f>
        <v>4891.7299999999996</v>
      </c>
      <c r="T417" s="945">
        <v>3.7499999999999999E-2</v>
      </c>
      <c r="U417"/>
      <c r="V417"/>
      <c r="W417"/>
      <c r="X417"/>
      <c r="Y417"/>
      <c r="Z417"/>
      <c r="AA417"/>
      <c r="AB417"/>
      <c r="AC417"/>
      <c r="AD417"/>
      <c r="AE417"/>
      <c r="AF417"/>
      <c r="AG417"/>
      <c r="AH417"/>
      <c r="AI417"/>
      <c r="AJ417"/>
      <c r="AK417"/>
    </row>
    <row r="418" spans="1:37" s="65" customFormat="1" ht="16.350000000000001" customHeight="1" x14ac:dyDescent="0.25">
      <c r="A418" s="922" t="s">
        <v>28</v>
      </c>
      <c r="B418" s="442" t="s">
        <v>375</v>
      </c>
      <c r="C418" s="854" t="s">
        <v>31</v>
      </c>
      <c r="D418" s="854" t="s">
        <v>30</v>
      </c>
      <c r="E418" s="854" t="s">
        <v>101</v>
      </c>
      <c r="F418" s="854" t="s">
        <v>56</v>
      </c>
      <c r="G418" s="1088"/>
      <c r="H418" s="1034"/>
      <c r="I418" s="1031"/>
      <c r="J418" s="1031"/>
      <c r="K418" s="471"/>
      <c r="L418" s="471"/>
      <c r="M418" s="471"/>
      <c r="N418" s="1089"/>
      <c r="O418" s="471">
        <f>ROUND(G418*I418,2)+ROUND(H418*J418,2)-K418-L418-M418-N418</f>
        <v>0</v>
      </c>
      <c r="P418" s="441">
        <f>ROUND(18.75%*O418,2)</f>
        <v>0</v>
      </c>
      <c r="Q418" s="441">
        <f>ROUND($O418*R418,2)</f>
        <v>0</v>
      </c>
      <c r="R418" s="924">
        <v>0.15</v>
      </c>
      <c r="S418" s="441">
        <f>ROUND($O418*T418,2)</f>
        <v>0</v>
      </c>
      <c r="T418" s="945">
        <v>3.7499999999999999E-2</v>
      </c>
      <c r="U418"/>
      <c r="V418"/>
      <c r="W418"/>
      <c r="X418"/>
      <c r="Y418"/>
      <c r="Z418"/>
      <c r="AA418"/>
      <c r="AB418"/>
      <c r="AC418"/>
      <c r="AD418"/>
      <c r="AE418"/>
      <c r="AF418"/>
      <c r="AG418"/>
      <c r="AH418"/>
      <c r="AI418"/>
      <c r="AJ418"/>
      <c r="AK418"/>
    </row>
    <row r="419" spans="1:37" s="65" customFormat="1" ht="15.75" x14ac:dyDescent="0.25">
      <c r="A419" s="926" t="s">
        <v>28</v>
      </c>
      <c r="B419" s="445" t="s">
        <v>376</v>
      </c>
      <c r="C419" s="867" t="s">
        <v>31</v>
      </c>
      <c r="D419" s="867" t="s">
        <v>30</v>
      </c>
      <c r="E419" s="867" t="s">
        <v>101</v>
      </c>
      <c r="F419" s="867" t="s">
        <v>56</v>
      </c>
      <c r="G419" s="1091"/>
      <c r="H419" s="1036">
        <v>85398.381200000003</v>
      </c>
      <c r="I419" s="1039"/>
      <c r="J419" s="1039">
        <v>2.7056</v>
      </c>
      <c r="K419" s="505"/>
      <c r="L419" s="505"/>
      <c r="M419" s="505"/>
      <c r="N419" s="1092"/>
      <c r="O419" s="505">
        <f>ROUND(G419*I419,2)+ROUND(H419*J419,2)-K419-L419-M419-N419</f>
        <v>231053.86</v>
      </c>
      <c r="P419" s="568">
        <f>ROUND(18.75%*O419,2)</f>
        <v>43322.6</v>
      </c>
      <c r="Q419" s="568">
        <f>ROUND($O419*R419,2)</f>
        <v>34658.080000000002</v>
      </c>
      <c r="R419" s="931">
        <v>0.15</v>
      </c>
      <c r="S419" s="568">
        <f>ROUND($O419*T419,2)</f>
        <v>8664.52</v>
      </c>
      <c r="T419" s="946">
        <v>3.7499999999999999E-2</v>
      </c>
      <c r="U419"/>
      <c r="V419"/>
      <c r="W419"/>
      <c r="X419"/>
      <c r="Y419"/>
      <c r="Z419"/>
      <c r="AA419"/>
      <c r="AB419"/>
      <c r="AC419"/>
      <c r="AD419"/>
      <c r="AE419"/>
      <c r="AF419"/>
      <c r="AG419"/>
      <c r="AH419"/>
      <c r="AI419"/>
      <c r="AJ419"/>
      <c r="AK419"/>
    </row>
    <row r="420" spans="1:37" s="65" customFormat="1" ht="15.75" x14ac:dyDescent="0.25">
      <c r="A420" s="596"/>
      <c r="B420" s="596"/>
      <c r="C420" s="596"/>
      <c r="D420" s="596"/>
      <c r="E420" s="596"/>
      <c r="F420" s="596"/>
      <c r="G420" s="902">
        <f>SUM(G415:G419)</f>
        <v>0</v>
      </c>
      <c r="H420" s="902">
        <f>SUM(H415:H419)</f>
        <v>140673.59850000002</v>
      </c>
      <c r="I420" s="677"/>
      <c r="J420" s="677"/>
      <c r="K420" s="677"/>
      <c r="L420" s="596"/>
      <c r="M420" s="596"/>
      <c r="N420" s="1059">
        <f>SUM(N415:N419)</f>
        <v>1072.8599999999999</v>
      </c>
      <c r="O420" s="734">
        <f>SUM(O415:O419)</f>
        <v>381432.42</v>
      </c>
      <c r="P420" s="734">
        <f>SUM(P415:P419)</f>
        <v>71518.58</v>
      </c>
      <c r="Q420" s="734">
        <f>SUM(Q415:Q419)</f>
        <v>57214.87</v>
      </c>
      <c r="R420" s="596"/>
      <c r="S420" s="734">
        <f>SUM(S415:S419)</f>
        <v>14303.71</v>
      </c>
      <c r="T420" s="596"/>
      <c r="U420"/>
      <c r="V420"/>
      <c r="W420"/>
      <c r="X420"/>
      <c r="Y420"/>
      <c r="Z420"/>
      <c r="AA420"/>
      <c r="AB420"/>
      <c r="AC420"/>
      <c r="AD420"/>
      <c r="AE420"/>
      <c r="AF420"/>
      <c r="AG420"/>
      <c r="AH420"/>
      <c r="AI420"/>
      <c r="AJ420"/>
      <c r="AK420"/>
    </row>
    <row r="421" spans="1:37" s="65" customFormat="1" ht="15.75" x14ac:dyDescent="0.25">
      <c r="A421" s="596"/>
      <c r="B421" s="596"/>
      <c r="C421" s="596"/>
      <c r="D421" s="596"/>
      <c r="E421" s="596"/>
      <c r="F421" s="596"/>
      <c r="G421" s="677"/>
      <c r="H421" s="677"/>
      <c r="I421" s="677"/>
      <c r="J421" s="677"/>
      <c r="K421" s="677"/>
      <c r="L421" s="596"/>
      <c r="M421" s="596"/>
      <c r="N421" s="950"/>
      <c r="O421" s="597"/>
      <c r="P421" s="597"/>
      <c r="Q421" s="597"/>
      <c r="R421" s="596"/>
      <c r="S421" s="597"/>
      <c r="T421" s="596"/>
      <c r="U421"/>
      <c r="V421"/>
      <c r="W421"/>
      <c r="X421"/>
      <c r="Y421"/>
      <c r="Z421"/>
      <c r="AA421"/>
      <c r="AB421"/>
      <c r="AC421"/>
      <c r="AD421"/>
      <c r="AE421"/>
      <c r="AF421"/>
      <c r="AG421"/>
      <c r="AH421"/>
      <c r="AI421"/>
      <c r="AJ421"/>
      <c r="AK421"/>
    </row>
    <row r="422" spans="1:37" s="65" customFormat="1" ht="15.75" x14ac:dyDescent="0.25">
      <c r="A422" s="887" t="s">
        <v>229</v>
      </c>
      <c r="B422" s="596"/>
      <c r="C422" s="596"/>
      <c r="D422" s="596"/>
      <c r="E422" s="596"/>
      <c r="F422" s="596"/>
      <c r="G422" s="677"/>
      <c r="H422" s="677"/>
      <c r="I422" s="677"/>
      <c r="J422" s="677"/>
      <c r="K422" s="677"/>
      <c r="L422" s="596"/>
      <c r="M422" s="596"/>
      <c r="N422" s="950"/>
      <c r="O422" s="596"/>
      <c r="P422" s="596"/>
      <c r="Q422" s="597"/>
      <c r="R422" s="596"/>
      <c r="S422" s="596"/>
      <c r="T422" s="596"/>
      <c r="U422"/>
      <c r="V422"/>
      <c r="W422"/>
      <c r="X422"/>
      <c r="Y422"/>
      <c r="Z422"/>
      <c r="AA422"/>
      <c r="AB422"/>
      <c r="AC422"/>
      <c r="AD422"/>
      <c r="AE422"/>
      <c r="AF422"/>
      <c r="AG422"/>
      <c r="AH422"/>
      <c r="AI422"/>
      <c r="AJ422"/>
      <c r="AK422"/>
    </row>
    <row r="423" spans="1:37" s="65" customFormat="1" ht="15.75" x14ac:dyDescent="0.25">
      <c r="A423" s="888" t="s">
        <v>28</v>
      </c>
      <c r="B423" s="940" t="s">
        <v>303</v>
      </c>
      <c r="C423" s="890" t="s">
        <v>31</v>
      </c>
      <c r="D423" s="890" t="s">
        <v>30</v>
      </c>
      <c r="E423" s="890" t="s">
        <v>101</v>
      </c>
      <c r="F423" s="891" t="s">
        <v>56</v>
      </c>
      <c r="G423" s="913">
        <f>G415</f>
        <v>0</v>
      </c>
      <c r="H423" s="914"/>
      <c r="I423" s="1074">
        <f>I415</f>
        <v>0</v>
      </c>
      <c r="J423" s="916"/>
      <c r="K423" s="420"/>
      <c r="L423" s="420"/>
      <c r="M423" s="420"/>
      <c r="N423" s="904">
        <f>N415</f>
        <v>1072.8599999999999</v>
      </c>
      <c r="O423" s="918">
        <f>ROUND(G423*I423,2)+ROUND(H423*J423,2)-K423-L423-M423-N423</f>
        <v>-1072.8599999999999</v>
      </c>
      <c r="P423" s="918">
        <f>ROUND(18.75%*O423,2)</f>
        <v>-201.16</v>
      </c>
      <c r="Q423" s="941">
        <f>ROUND($O423*R423,2)</f>
        <v>-160.93</v>
      </c>
      <c r="R423" s="942">
        <v>0.15</v>
      </c>
      <c r="S423" s="941">
        <f>ROUND($O423*T423,2)</f>
        <v>-40.229999999999997</v>
      </c>
      <c r="T423" s="943">
        <v>3.7499999999999999E-2</v>
      </c>
      <c r="U423"/>
      <c r="V423"/>
      <c r="W423"/>
      <c r="X423"/>
      <c r="Y423"/>
      <c r="Z423"/>
      <c r="AA423"/>
      <c r="AB423"/>
      <c r="AC423"/>
      <c r="AD423"/>
      <c r="AE423"/>
      <c r="AF423"/>
      <c r="AG423"/>
      <c r="AH423"/>
      <c r="AI423"/>
      <c r="AJ423"/>
      <c r="AK423"/>
    </row>
    <row r="424" spans="1:37" s="65" customFormat="1" ht="16.350000000000001" customHeight="1" x14ac:dyDescent="0.25">
      <c r="A424" s="894" t="s">
        <v>28</v>
      </c>
      <c r="B424" s="442" t="s">
        <v>303</v>
      </c>
      <c r="C424" s="378" t="s">
        <v>31</v>
      </c>
      <c r="D424" s="378" t="s">
        <v>30</v>
      </c>
      <c r="E424" s="378" t="s">
        <v>101</v>
      </c>
      <c r="F424" s="586" t="s">
        <v>56</v>
      </c>
      <c r="G424" s="933">
        <f>G416</f>
        <v>0</v>
      </c>
      <c r="H424" s="587"/>
      <c r="I424" s="1075">
        <f>I416</f>
        <v>0</v>
      </c>
      <c r="J424" s="588"/>
      <c r="K424" s="253"/>
      <c r="L424" s="253"/>
      <c r="M424" s="253"/>
      <c r="N424" s="557"/>
      <c r="O424" s="944">
        <f>ROUND(G424*I424,2)+ROUND(H424*J424,2)-K424-L424-M424-N424</f>
        <v>0</v>
      </c>
      <c r="P424" s="944">
        <f>ROUND(18.75%*O424,2)</f>
        <v>0</v>
      </c>
      <c r="Q424" s="441">
        <f>ROUND($O424*R424,2)</f>
        <v>0</v>
      </c>
      <c r="R424" s="924">
        <v>0.15</v>
      </c>
      <c r="S424" s="441">
        <f>ROUND($O424*T424,2)</f>
        <v>0</v>
      </c>
      <c r="T424" s="945">
        <v>3.7499999999999999E-2</v>
      </c>
      <c r="U424"/>
      <c r="V424"/>
      <c r="W424"/>
      <c r="X424"/>
      <c r="Y424"/>
      <c r="Z424"/>
      <c r="AA424"/>
      <c r="AB424"/>
      <c r="AC424"/>
      <c r="AD424"/>
      <c r="AE424"/>
      <c r="AF424"/>
      <c r="AG424"/>
      <c r="AH424"/>
      <c r="AI424"/>
      <c r="AJ424"/>
      <c r="AK424"/>
    </row>
    <row r="425" spans="1:37" s="65" customFormat="1" ht="15.75" x14ac:dyDescent="0.25">
      <c r="A425" s="894" t="s">
        <v>28</v>
      </c>
      <c r="B425" s="442" t="s">
        <v>303</v>
      </c>
      <c r="C425" s="378" t="s">
        <v>31</v>
      </c>
      <c r="D425" s="378" t="s">
        <v>30</v>
      </c>
      <c r="E425" s="378" t="s">
        <v>101</v>
      </c>
      <c r="F425" s="586" t="s">
        <v>56</v>
      </c>
      <c r="G425" s="933">
        <f>G417</f>
        <v>0</v>
      </c>
      <c r="H425" s="587"/>
      <c r="I425" s="1075">
        <f>I417</f>
        <v>0</v>
      </c>
      <c r="J425" s="588"/>
      <c r="K425" s="253"/>
      <c r="L425" s="253"/>
      <c r="M425" s="253"/>
      <c r="N425" s="557"/>
      <c r="O425" s="441">
        <f>ROUND(G425*I425,2)+ROUND(H425*J425,2)-K425-L425-M425-N425</f>
        <v>0</v>
      </c>
      <c r="P425" s="441">
        <f>ROUND(18.75%*O425,2)</f>
        <v>0</v>
      </c>
      <c r="Q425" s="441">
        <f>ROUND($O425*R425,2)</f>
        <v>0</v>
      </c>
      <c r="R425" s="924">
        <v>0.15</v>
      </c>
      <c r="S425" s="441">
        <f>ROUND($O425*T425,2)</f>
        <v>0</v>
      </c>
      <c r="T425" s="945">
        <v>3.7499999999999999E-2</v>
      </c>
      <c r="U425"/>
      <c r="V425"/>
      <c r="W425"/>
      <c r="X425"/>
      <c r="Y425"/>
      <c r="Z425"/>
      <c r="AA425"/>
      <c r="AB425"/>
      <c r="AC425"/>
      <c r="AD425"/>
      <c r="AE425"/>
      <c r="AF425"/>
      <c r="AG425"/>
      <c r="AH425"/>
      <c r="AI425"/>
      <c r="AJ425"/>
      <c r="AK425"/>
    </row>
    <row r="426" spans="1:37" s="65" customFormat="1" ht="15.75" x14ac:dyDescent="0.25">
      <c r="A426" s="894" t="s">
        <v>28</v>
      </c>
      <c r="B426" s="442" t="s">
        <v>303</v>
      </c>
      <c r="C426" s="378" t="s">
        <v>31</v>
      </c>
      <c r="D426" s="378" t="s">
        <v>30</v>
      </c>
      <c r="E426" s="378" t="s">
        <v>101</v>
      </c>
      <c r="F426" s="586" t="s">
        <v>56</v>
      </c>
      <c r="G426" s="933">
        <f>G418</f>
        <v>0</v>
      </c>
      <c r="H426" s="587"/>
      <c r="I426" s="1075">
        <f>I418</f>
        <v>0</v>
      </c>
      <c r="J426" s="588"/>
      <c r="K426" s="253"/>
      <c r="L426" s="253"/>
      <c r="M426" s="253"/>
      <c r="N426" s="557"/>
      <c r="O426" s="441">
        <f>ROUND(G426*I426,2)+ROUND(H426*J426,2)-K426-L426-M426-N426</f>
        <v>0</v>
      </c>
      <c r="P426" s="441">
        <f>ROUND(18.75%*O426,2)</f>
        <v>0</v>
      </c>
      <c r="Q426" s="441">
        <f>ROUND($O426*R426,2)</f>
        <v>0</v>
      </c>
      <c r="R426" s="924">
        <v>0.15</v>
      </c>
      <c r="S426" s="441">
        <f>ROUND($O426*T426,2)</f>
        <v>0</v>
      </c>
      <c r="T426" s="945">
        <v>3.7499999999999999E-2</v>
      </c>
      <c r="U426"/>
      <c r="V426"/>
      <c r="W426"/>
      <c r="X426"/>
      <c r="Y426"/>
      <c r="Z426"/>
      <c r="AA426"/>
      <c r="AB426"/>
      <c r="AC426"/>
      <c r="AD426"/>
      <c r="AE426"/>
      <c r="AF426"/>
      <c r="AG426"/>
      <c r="AH426"/>
      <c r="AI426"/>
      <c r="AJ426"/>
      <c r="AK426"/>
    </row>
    <row r="427" spans="1:37" s="65" customFormat="1" ht="15.75" x14ac:dyDescent="0.25">
      <c r="A427" s="898" t="s">
        <v>28</v>
      </c>
      <c r="B427" s="445" t="s">
        <v>303</v>
      </c>
      <c r="C427" s="899" t="s">
        <v>31</v>
      </c>
      <c r="D427" s="899" t="s">
        <v>30</v>
      </c>
      <c r="E427" s="899" t="s">
        <v>101</v>
      </c>
      <c r="F427" s="740" t="s">
        <v>56</v>
      </c>
      <c r="G427" s="935">
        <f>G419</f>
        <v>0</v>
      </c>
      <c r="H427" s="927"/>
      <c r="I427" s="1076">
        <f>I419</f>
        <v>0</v>
      </c>
      <c r="J427" s="929"/>
      <c r="K427" s="424"/>
      <c r="L427" s="424"/>
      <c r="M427" s="424"/>
      <c r="N427" s="936"/>
      <c r="O427" s="568">
        <f>ROUND(G427*I427,2)+ROUND(H427*J427,2)-K427-L427-M427-N427</f>
        <v>0</v>
      </c>
      <c r="P427" s="568">
        <f>ROUND(18.75%*O427,2)</f>
        <v>0</v>
      </c>
      <c r="Q427" s="568">
        <f>ROUND($O427*R427,2)</f>
        <v>0</v>
      </c>
      <c r="R427" s="931">
        <v>0.15</v>
      </c>
      <c r="S427" s="568">
        <f>ROUND($O427*T427,2)</f>
        <v>0</v>
      </c>
      <c r="T427" s="946">
        <v>3.7499999999999999E-2</v>
      </c>
      <c r="U427"/>
      <c r="V427"/>
      <c r="W427"/>
      <c r="X427"/>
      <c r="Y427"/>
      <c r="Z427"/>
      <c r="AA427"/>
      <c r="AB427"/>
      <c r="AC427"/>
      <c r="AD427"/>
      <c r="AE427"/>
      <c r="AF427"/>
      <c r="AG427"/>
      <c r="AH427"/>
      <c r="AI427"/>
      <c r="AJ427"/>
      <c r="AK427"/>
    </row>
    <row r="428" spans="1:37" s="65" customFormat="1" ht="15.75" x14ac:dyDescent="0.25">
      <c r="A428" s="596"/>
      <c r="B428" s="596"/>
      <c r="C428" s="596"/>
      <c r="D428" s="596"/>
      <c r="E428" s="596"/>
      <c r="F428" s="596"/>
      <c r="G428" s="902">
        <f>SUM(G423:G427)</f>
        <v>0</v>
      </c>
      <c r="H428" s="902"/>
      <c r="I428" s="937" t="e">
        <f>O428/G428</f>
        <v>#DIV/0!</v>
      </c>
      <c r="J428" s="937"/>
      <c r="K428" s="677"/>
      <c r="L428" s="596"/>
      <c r="M428" s="596"/>
      <c r="N428" s="1059"/>
      <c r="O428" s="734">
        <f>SUM(O423:O427)</f>
        <v>-1072.8599999999999</v>
      </c>
      <c r="P428" s="734"/>
      <c r="Q428" s="734">
        <f>SUM(Q423:Q427)</f>
        <v>-160.93</v>
      </c>
      <c r="R428" s="596"/>
      <c r="S428" s="734">
        <f>SUM(S423:S427)</f>
        <v>-40.229999999999997</v>
      </c>
      <c r="T428" s="596"/>
      <c r="U428"/>
      <c r="V428"/>
      <c r="W428"/>
      <c r="X428"/>
      <c r="Y428"/>
      <c r="Z428"/>
      <c r="AA428"/>
      <c r="AB428"/>
      <c r="AC428"/>
      <c r="AD428"/>
      <c r="AE428"/>
      <c r="AF428"/>
      <c r="AG428"/>
      <c r="AH428"/>
      <c r="AI428"/>
      <c r="AJ428"/>
      <c r="AK428"/>
    </row>
    <row r="429" spans="1:37" s="65" customFormat="1" ht="15.75" x14ac:dyDescent="0.25">
      <c r="A429" s="596"/>
      <c r="B429" s="596"/>
      <c r="C429" s="596"/>
      <c r="D429" s="596"/>
      <c r="E429" s="596"/>
      <c r="F429" s="596"/>
      <c r="G429" s="677"/>
      <c r="H429" s="677"/>
      <c r="I429" s="677"/>
      <c r="J429" s="677"/>
      <c r="K429" s="677"/>
      <c r="L429" s="596"/>
      <c r="M429" s="596"/>
      <c r="N429" s="950"/>
      <c r="O429" s="683"/>
      <c r="P429" s="683"/>
      <c r="Q429" s="596"/>
      <c r="R429" s="596"/>
      <c r="S429" s="596"/>
      <c r="T429" s="596"/>
      <c r="U429"/>
      <c r="V429"/>
      <c r="W429"/>
      <c r="X429"/>
      <c r="Y429"/>
      <c r="Z429"/>
      <c r="AA429"/>
      <c r="AB429"/>
      <c r="AC429"/>
      <c r="AD429"/>
      <c r="AE429"/>
      <c r="AF429"/>
      <c r="AG429"/>
      <c r="AH429"/>
      <c r="AI429"/>
      <c r="AJ429"/>
      <c r="AK429"/>
    </row>
    <row r="430" spans="1:37" s="65" customFormat="1" ht="16.350000000000001" customHeight="1" x14ac:dyDescent="0.25">
      <c r="A430" s="596"/>
      <c r="B430" s="596"/>
      <c r="C430" s="596"/>
      <c r="D430" s="596"/>
      <c r="E430" s="596"/>
      <c r="F430" s="596"/>
      <c r="G430" s="677"/>
      <c r="H430" s="677"/>
      <c r="I430" s="677"/>
      <c r="J430" s="677"/>
      <c r="K430" s="677"/>
      <c r="L430" s="596"/>
      <c r="M430" s="596"/>
      <c r="N430" s="950"/>
      <c r="O430" s="597"/>
      <c r="P430" s="597"/>
      <c r="Q430" s="596"/>
      <c r="R430" s="596"/>
      <c r="S430" s="596"/>
      <c r="T430" s="596"/>
      <c r="U430"/>
      <c r="V430"/>
      <c r="W430"/>
      <c r="X430"/>
      <c r="Y430"/>
      <c r="Z430"/>
      <c r="AA430"/>
      <c r="AB430"/>
      <c r="AC430"/>
      <c r="AD430"/>
      <c r="AE430"/>
      <c r="AF430"/>
      <c r="AG430"/>
      <c r="AH430"/>
      <c r="AI430"/>
      <c r="AJ430"/>
      <c r="AK430"/>
    </row>
    <row r="431" spans="1:37" s="65" customFormat="1" ht="15.75" x14ac:dyDescent="0.25">
      <c r="A431" s="887" t="s">
        <v>230</v>
      </c>
      <c r="B431" s="596"/>
      <c r="C431" s="596"/>
      <c r="D431" s="596"/>
      <c r="E431" s="596"/>
      <c r="F431" s="596"/>
      <c r="G431" s="677"/>
      <c r="H431" s="677"/>
      <c r="I431" s="677"/>
      <c r="J431" s="677"/>
      <c r="K431" s="677"/>
      <c r="L431" s="596"/>
      <c r="M431" s="596"/>
      <c r="N431" s="950"/>
      <c r="O431" s="596"/>
      <c r="P431" s="596"/>
      <c r="Q431" s="596"/>
      <c r="R431" s="596"/>
      <c r="S431" s="596"/>
      <c r="T431" s="596"/>
      <c r="U431"/>
      <c r="V431"/>
      <c r="W431"/>
      <c r="X431"/>
      <c r="Y431"/>
      <c r="Z431"/>
      <c r="AA431"/>
      <c r="AB431"/>
      <c r="AC431"/>
      <c r="AD431"/>
      <c r="AE431"/>
      <c r="AF431"/>
      <c r="AG431"/>
      <c r="AH431"/>
      <c r="AI431"/>
      <c r="AJ431"/>
      <c r="AK431"/>
    </row>
    <row r="432" spans="1:37" s="65" customFormat="1" ht="15.75" x14ac:dyDescent="0.25">
      <c r="A432" s="888" t="s">
        <v>28</v>
      </c>
      <c r="B432" s="940" t="s">
        <v>303</v>
      </c>
      <c r="C432" s="890" t="s">
        <v>31</v>
      </c>
      <c r="D432" s="890" t="s">
        <v>30</v>
      </c>
      <c r="E432" s="890" t="s">
        <v>101</v>
      </c>
      <c r="F432" s="891" t="s">
        <v>56</v>
      </c>
      <c r="G432" s="914"/>
      <c r="H432" s="914">
        <f>H415</f>
        <v>1038.3239000000001</v>
      </c>
      <c r="I432" s="916"/>
      <c r="J432" s="1077">
        <f>J415</f>
        <v>2.21</v>
      </c>
      <c r="K432" s="420"/>
      <c r="L432" s="420"/>
      <c r="M432" s="420"/>
      <c r="N432" s="904"/>
      <c r="O432" s="918">
        <f>ROUND(G432*I432,2)+ROUND(H432*J432,2)-K432-L432-M432-N432</f>
        <v>2294.6999999999998</v>
      </c>
      <c r="P432" s="918">
        <f>ROUND(18.75%*O432,2)</f>
        <v>430.26</v>
      </c>
      <c r="Q432" s="941">
        <f>ROUND($O432*R432,2)</f>
        <v>344.21</v>
      </c>
      <c r="R432" s="942">
        <v>0.15</v>
      </c>
      <c r="S432" s="941">
        <f>ROUND($O432*T432,2)</f>
        <v>86.05</v>
      </c>
      <c r="T432" s="943">
        <v>3.7499999999999999E-2</v>
      </c>
      <c r="U432"/>
      <c r="V432"/>
      <c r="W432"/>
      <c r="X432"/>
      <c r="Y432"/>
      <c r="Z432"/>
      <c r="AA432"/>
      <c r="AB432"/>
      <c r="AC432"/>
      <c r="AD432"/>
      <c r="AE432"/>
      <c r="AF432"/>
      <c r="AG432"/>
      <c r="AH432"/>
      <c r="AI432"/>
      <c r="AJ432"/>
      <c r="AK432"/>
    </row>
    <row r="433" spans="1:37" s="65" customFormat="1" ht="15.75" x14ac:dyDescent="0.25">
      <c r="A433" s="894" t="s">
        <v>28</v>
      </c>
      <c r="B433" s="442" t="s">
        <v>303</v>
      </c>
      <c r="C433" s="378" t="s">
        <v>31</v>
      </c>
      <c r="D433" s="378" t="s">
        <v>30</v>
      </c>
      <c r="E433" s="378" t="s">
        <v>101</v>
      </c>
      <c r="F433" s="586" t="s">
        <v>56</v>
      </c>
      <c r="G433" s="587"/>
      <c r="H433" s="587">
        <f>H416</f>
        <v>8466.3016000000007</v>
      </c>
      <c r="I433" s="588"/>
      <c r="J433" s="615">
        <f>J416</f>
        <v>2.21</v>
      </c>
      <c r="K433" s="253"/>
      <c r="L433" s="253"/>
      <c r="M433" s="253"/>
      <c r="N433" s="557"/>
      <c r="O433" s="944">
        <f>ROUND(G433*I433,2)+ROUND(H433*J433,2)-K433-L433-M433-N433</f>
        <v>18710.53</v>
      </c>
      <c r="P433" s="944">
        <f>ROUND(18.75%*O433,2)</f>
        <v>3508.22</v>
      </c>
      <c r="Q433" s="441">
        <f>ROUND($O433*R433,2)</f>
        <v>2806.58</v>
      </c>
      <c r="R433" s="924">
        <v>0.15</v>
      </c>
      <c r="S433" s="441">
        <f>ROUND($O433*T433,2)</f>
        <v>701.64</v>
      </c>
      <c r="T433" s="945">
        <v>3.7499999999999999E-2</v>
      </c>
      <c r="U433"/>
      <c r="V433"/>
      <c r="W433"/>
      <c r="X433"/>
      <c r="Y433"/>
      <c r="Z433"/>
      <c r="AA433"/>
      <c r="AB433"/>
      <c r="AC433"/>
      <c r="AD433"/>
      <c r="AE433"/>
      <c r="AF433"/>
      <c r="AG433"/>
      <c r="AH433"/>
      <c r="AI433"/>
      <c r="AJ433"/>
      <c r="AK433"/>
    </row>
    <row r="434" spans="1:37" s="65" customFormat="1" ht="15.75" x14ac:dyDescent="0.25">
      <c r="A434" s="894" t="s">
        <v>28</v>
      </c>
      <c r="B434" s="442" t="s">
        <v>303</v>
      </c>
      <c r="C434" s="378" t="s">
        <v>31</v>
      </c>
      <c r="D434" s="378" t="s">
        <v>30</v>
      </c>
      <c r="E434" s="378" t="s">
        <v>101</v>
      </c>
      <c r="F434" s="586" t="s">
        <v>56</v>
      </c>
      <c r="G434" s="587"/>
      <c r="H434" s="587">
        <f>H417</f>
        <v>45770.591800000002</v>
      </c>
      <c r="I434" s="588"/>
      <c r="J434" s="615">
        <f>J417</f>
        <v>2.85</v>
      </c>
      <c r="K434" s="253"/>
      <c r="L434" s="253"/>
      <c r="M434" s="253"/>
      <c r="N434" s="557"/>
      <c r="O434" s="441">
        <f>ROUND(G434*I434,2)+ROUND(H434*J434,2)-K434-L434-M434-N434</f>
        <v>130446.19</v>
      </c>
      <c r="P434" s="441">
        <f>ROUND(18.75%*O434,2)</f>
        <v>24458.66</v>
      </c>
      <c r="Q434" s="441">
        <f>ROUND($O434*R434,2)</f>
        <v>19566.93</v>
      </c>
      <c r="R434" s="924">
        <v>0.15</v>
      </c>
      <c r="S434" s="441">
        <f>ROUND($O434*T434,2)</f>
        <v>4891.7299999999996</v>
      </c>
      <c r="T434" s="945">
        <v>3.7499999999999999E-2</v>
      </c>
      <c r="U434"/>
      <c r="V434"/>
      <c r="W434"/>
      <c r="X434"/>
      <c r="Y434"/>
      <c r="Z434"/>
      <c r="AA434"/>
      <c r="AB434"/>
      <c r="AC434"/>
      <c r="AD434"/>
      <c r="AE434"/>
      <c r="AF434"/>
      <c r="AG434"/>
      <c r="AH434"/>
      <c r="AI434"/>
      <c r="AJ434"/>
      <c r="AK434"/>
    </row>
    <row r="435" spans="1:37" s="65" customFormat="1" ht="15.75" x14ac:dyDescent="0.25">
      <c r="A435" s="894" t="s">
        <v>28</v>
      </c>
      <c r="B435" s="442" t="s">
        <v>303</v>
      </c>
      <c r="C435" s="378" t="s">
        <v>31</v>
      </c>
      <c r="D435" s="378" t="s">
        <v>30</v>
      </c>
      <c r="E435" s="378" t="s">
        <v>101</v>
      </c>
      <c r="F435" s="586" t="s">
        <v>56</v>
      </c>
      <c r="G435" s="587"/>
      <c r="H435" s="587">
        <f>H418</f>
        <v>0</v>
      </c>
      <c r="I435" s="588"/>
      <c r="J435" s="615">
        <f>J418</f>
        <v>0</v>
      </c>
      <c r="K435" s="253"/>
      <c r="L435" s="253"/>
      <c r="M435" s="253"/>
      <c r="N435" s="557"/>
      <c r="O435" s="441">
        <f>ROUND(G435*I435,2)+ROUND(H435*J435,2)-K435-L435-M435-N435</f>
        <v>0</v>
      </c>
      <c r="P435" s="441">
        <f>ROUND(18.75%*O435,2)</f>
        <v>0</v>
      </c>
      <c r="Q435" s="441">
        <f>ROUND($O435*R435,2)</f>
        <v>0</v>
      </c>
      <c r="R435" s="924">
        <v>0.15</v>
      </c>
      <c r="S435" s="441">
        <f>ROUND($O435*T435,2)</f>
        <v>0</v>
      </c>
      <c r="T435" s="945">
        <v>3.7499999999999999E-2</v>
      </c>
      <c r="U435"/>
      <c r="V435"/>
      <c r="W435"/>
      <c r="X435"/>
      <c r="Y435"/>
      <c r="Z435"/>
      <c r="AA435"/>
      <c r="AB435"/>
      <c r="AC435"/>
      <c r="AD435"/>
      <c r="AE435"/>
      <c r="AF435"/>
      <c r="AG435"/>
      <c r="AH435"/>
      <c r="AI435"/>
      <c r="AJ435"/>
      <c r="AK435"/>
    </row>
    <row r="436" spans="1:37" s="65" customFormat="1" ht="16.350000000000001" customHeight="1" x14ac:dyDescent="0.25">
      <c r="A436" s="898" t="s">
        <v>28</v>
      </c>
      <c r="B436" s="445" t="s">
        <v>303</v>
      </c>
      <c r="C436" s="899" t="s">
        <v>31</v>
      </c>
      <c r="D436" s="899" t="s">
        <v>30</v>
      </c>
      <c r="E436" s="899" t="s">
        <v>101</v>
      </c>
      <c r="F436" s="740" t="s">
        <v>56</v>
      </c>
      <c r="G436" s="927"/>
      <c r="H436" s="927">
        <f>H419</f>
        <v>85398.381200000003</v>
      </c>
      <c r="I436" s="929"/>
      <c r="J436" s="1078">
        <f>J419</f>
        <v>2.7056</v>
      </c>
      <c r="K436" s="424"/>
      <c r="L436" s="424"/>
      <c r="M436" s="424"/>
      <c r="N436" s="936"/>
      <c r="O436" s="568">
        <f>ROUND(G436*I436,2)+ROUND(H436*J436,2)-K436-L436-M436-N436</f>
        <v>231053.86</v>
      </c>
      <c r="P436" s="568">
        <f>ROUND(18.75%*O436,2)</f>
        <v>43322.6</v>
      </c>
      <c r="Q436" s="568">
        <f>ROUND($O436*R436,2)</f>
        <v>34658.080000000002</v>
      </c>
      <c r="R436" s="931">
        <v>0.15</v>
      </c>
      <c r="S436" s="568">
        <f>ROUND($O436*T436,2)</f>
        <v>8664.52</v>
      </c>
      <c r="T436" s="946">
        <v>3.7499999999999999E-2</v>
      </c>
      <c r="U436"/>
      <c r="V436"/>
      <c r="W436"/>
      <c r="X436"/>
      <c r="Y436"/>
      <c r="Z436"/>
      <c r="AA436"/>
      <c r="AB436"/>
      <c r="AC436"/>
      <c r="AD436"/>
      <c r="AE436"/>
      <c r="AF436"/>
      <c r="AG436"/>
      <c r="AH436"/>
      <c r="AI436"/>
      <c r="AJ436"/>
      <c r="AK436"/>
    </row>
    <row r="437" spans="1:37" s="65" customFormat="1" ht="15.75" x14ac:dyDescent="0.25">
      <c r="A437" s="596"/>
      <c r="B437" s="596"/>
      <c r="C437" s="596"/>
      <c r="D437" s="596"/>
      <c r="E437" s="596"/>
      <c r="F437" s="596"/>
      <c r="G437" s="902"/>
      <c r="H437" s="902">
        <f>SUM(H432:H436)</f>
        <v>140673.59850000002</v>
      </c>
      <c r="I437" s="937"/>
      <c r="J437" s="937">
        <f>O437/H437</f>
        <v>2.7190978554515328</v>
      </c>
      <c r="K437" s="677"/>
      <c r="L437" s="596"/>
      <c r="M437" s="596"/>
      <c r="N437" s="1059"/>
      <c r="O437" s="734">
        <f>SUM(O432:O436)</f>
        <v>382505.28</v>
      </c>
      <c r="P437" s="734"/>
      <c r="Q437" s="734">
        <f>SUM(Q432:Q436)</f>
        <v>57375.8</v>
      </c>
      <c r="R437" s="596"/>
      <c r="S437" s="734">
        <f>SUM(S432:S436)</f>
        <v>14343.939999999999</v>
      </c>
      <c r="T437" s="596"/>
      <c r="U437"/>
      <c r="V437"/>
      <c r="W437"/>
      <c r="X437"/>
      <c r="Y437"/>
      <c r="Z437"/>
      <c r="AA437"/>
      <c r="AB437"/>
      <c r="AC437"/>
      <c r="AD437"/>
      <c r="AE437"/>
      <c r="AF437"/>
      <c r="AG437"/>
      <c r="AH437"/>
      <c r="AI437"/>
      <c r="AJ437"/>
      <c r="AK437"/>
    </row>
    <row r="438" spans="1:37" s="65" customFormat="1" ht="15.75" x14ac:dyDescent="0.25">
      <c r="A438" s="1"/>
      <c r="B438" s="1"/>
      <c r="C438" s="1"/>
      <c r="D438" s="1"/>
      <c r="E438" s="1"/>
      <c r="F438" s="1"/>
      <c r="G438" s="199"/>
      <c r="H438" s="199"/>
      <c r="I438" s="199"/>
      <c r="J438" s="199"/>
      <c r="K438" s="199"/>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row>
    <row r="439" spans="1:37" s="65" customFormat="1" ht="15.75" x14ac:dyDescent="0.25">
      <c r="A439" s="1"/>
      <c r="B439" s="1"/>
      <c r="C439" s="1"/>
      <c r="D439" s="1"/>
      <c r="E439" s="1"/>
      <c r="F439" s="1"/>
      <c r="G439" s="199"/>
      <c r="H439" s="199"/>
      <c r="I439" s="199"/>
      <c r="J439" s="199"/>
      <c r="K439" s="199"/>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row>
  </sheetData>
  <mergeCells count="29">
    <mergeCell ref="C7:C8"/>
    <mergeCell ref="O7:O8"/>
    <mergeCell ref="S136:T136"/>
    <mergeCell ref="S142:T142"/>
    <mergeCell ref="S173:T173"/>
    <mergeCell ref="S179:T179"/>
    <mergeCell ref="I185:I201"/>
    <mergeCell ref="S212:T212"/>
    <mergeCell ref="S218:T218"/>
    <mergeCell ref="S149:T149"/>
    <mergeCell ref="S155:T155"/>
    <mergeCell ref="S161:T161"/>
    <mergeCell ref="S167:T167"/>
    <mergeCell ref="S254:T254"/>
    <mergeCell ref="S260:T260"/>
    <mergeCell ref="S266:T266"/>
    <mergeCell ref="S272:T272"/>
    <mergeCell ref="S278:T278"/>
    <mergeCell ref="S224:T224"/>
    <mergeCell ref="S230:T230"/>
    <mergeCell ref="S236:T236"/>
    <mergeCell ref="S242:T242"/>
    <mergeCell ref="S248:T248"/>
    <mergeCell ref="S314:T314"/>
    <mergeCell ref="S284:T284"/>
    <mergeCell ref="S290:T290"/>
    <mergeCell ref="S296:T296"/>
    <mergeCell ref="S302:T302"/>
    <mergeCell ref="S308:T308"/>
  </mergeCells>
  <printOptions horizontalCentered="1" verticalCentered="1"/>
  <pageMargins left="0.25" right="0.25" top="0.5" bottom="0.5" header="0" footer="0"/>
  <pageSetup scale="62"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3">
    <pageSetUpPr fitToPage="1"/>
  </sheetPr>
  <dimension ref="A1:AL64"/>
  <sheetViews>
    <sheetView view="pageBreakPreview" topLeftCell="D1" zoomScale="80" zoomScaleNormal="100" zoomScaleSheetLayoutView="80" workbookViewId="0">
      <selection activeCell="P52" sqref="P52"/>
    </sheetView>
  </sheetViews>
  <sheetFormatPr baseColWidth="10" defaultColWidth="11.5546875" defaultRowHeight="15.75" x14ac:dyDescent="0.25"/>
  <cols>
    <col min="1" max="1" width="3" customWidth="1"/>
    <col min="2" max="2" width="12.77734375" customWidth="1"/>
    <col min="3" max="3" width="7.77734375" customWidth="1"/>
    <col min="4" max="4" width="7.109375" customWidth="1"/>
    <col min="5" max="5" width="7.44140625" customWidth="1"/>
    <col min="6" max="6" width="7.77734375" customWidth="1"/>
    <col min="7" max="8" width="9.109375" bestFit="1" customWidth="1"/>
    <col min="9" max="10" width="9.109375" customWidth="1"/>
    <col min="11" max="14" width="9.77734375" customWidth="1"/>
    <col min="15" max="15" width="10.77734375" customWidth="1"/>
    <col min="16" max="16" width="12.5546875" customWidth="1"/>
    <col min="17" max="17" width="14.77734375" customWidth="1"/>
    <col min="18" max="18" width="4.5546875" customWidth="1"/>
    <col min="19" max="19" width="14.109375" customWidth="1"/>
    <col min="20" max="20" width="4.5546875" customWidth="1"/>
    <col min="21" max="21" width="8.77734375" hidden="1" customWidth="1"/>
    <col min="22" max="22" width="10.109375" hidden="1" customWidth="1"/>
    <col min="23" max="33" width="8.77734375" hidden="1" customWidth="1"/>
    <col min="34" max="34" width="10.109375" hidden="1" customWidth="1"/>
    <col min="35" max="35" width="11.5546875" hidden="1" customWidth="1"/>
    <col min="36" max="36" width="1.77734375" hidden="1" customWidth="1"/>
    <col min="37" max="37" width="13.109375" style="498" bestFit="1" customWidth="1"/>
    <col min="38" max="38" width="14.109375" customWidth="1"/>
  </cols>
  <sheetData>
    <row r="1" spans="1:38" x14ac:dyDescent="0.25">
      <c r="A1" s="1" t="s">
        <v>51</v>
      </c>
      <c r="B1" s="1"/>
      <c r="C1" s="3"/>
      <c r="D1" s="3"/>
      <c r="E1" s="6">
        <v>46357</v>
      </c>
      <c r="F1" s="3"/>
      <c r="G1" s="1"/>
      <c r="H1" s="1"/>
      <c r="I1" s="1"/>
      <c r="J1" s="1"/>
      <c r="K1" s="1"/>
      <c r="L1" s="1"/>
      <c r="M1" s="1"/>
      <c r="N1" s="1"/>
      <c r="O1" s="1"/>
      <c r="P1" s="65"/>
      <c r="Q1" s="1"/>
      <c r="R1" s="1"/>
      <c r="S1" s="1"/>
      <c r="T1" s="1"/>
      <c r="U1" s="51" t="s">
        <v>94</v>
      </c>
      <c r="V1" s="51"/>
      <c r="W1" s="67">
        <v>365</v>
      </c>
      <c r="X1" s="1"/>
      <c r="Y1" s="1"/>
      <c r="Z1" s="1"/>
      <c r="AA1" s="1"/>
      <c r="AB1" s="1"/>
      <c r="AC1" s="1"/>
      <c r="AD1" s="1"/>
      <c r="AE1" s="1"/>
      <c r="AF1" s="1"/>
      <c r="AG1" s="1"/>
    </row>
    <row r="2" spans="1:38" x14ac:dyDescent="0.25">
      <c r="A2" s="3" t="s">
        <v>0</v>
      </c>
      <c r="B2" s="1"/>
      <c r="C2" s="1"/>
      <c r="D2" s="1"/>
      <c r="E2" s="1"/>
      <c r="F2" s="1"/>
      <c r="G2" s="1"/>
      <c r="H2" s="1"/>
      <c r="I2" s="1"/>
      <c r="J2" s="1"/>
      <c r="K2" s="1"/>
      <c r="L2" s="1"/>
      <c r="M2" s="1"/>
      <c r="N2" s="1"/>
      <c r="O2" s="1"/>
      <c r="P2" s="65"/>
      <c r="Q2" s="1"/>
      <c r="R2" s="1"/>
      <c r="S2" s="1"/>
      <c r="T2" s="1"/>
      <c r="U2" s="1"/>
      <c r="V2" s="1"/>
      <c r="W2" s="1"/>
      <c r="X2" s="1"/>
      <c r="Y2" s="1"/>
      <c r="Z2" s="1"/>
      <c r="AA2" s="1"/>
      <c r="AB2" s="1"/>
      <c r="AC2" s="1"/>
      <c r="AD2" s="1"/>
      <c r="AE2" s="1"/>
      <c r="AF2" s="1"/>
      <c r="AG2" s="1"/>
    </row>
    <row r="3" spans="1:38" x14ac:dyDescent="0.25">
      <c r="A3" s="133" t="s">
        <v>109</v>
      </c>
      <c r="B3" s="133"/>
      <c r="C3" s="133"/>
      <c r="D3" s="133"/>
      <c r="E3" s="133"/>
      <c r="F3" s="133"/>
      <c r="G3" s="133"/>
      <c r="H3" s="133"/>
      <c r="I3" s="133"/>
      <c r="J3" s="133"/>
      <c r="K3" s="133"/>
      <c r="L3" s="133"/>
      <c r="M3" s="133"/>
      <c r="N3" s="133"/>
      <c r="O3" s="133"/>
      <c r="P3" s="133"/>
      <c r="Q3" s="133"/>
      <c r="R3" s="133"/>
      <c r="S3" s="133"/>
      <c r="T3" s="133"/>
      <c r="U3" s="1"/>
      <c r="V3" s="133"/>
      <c r="W3" s="133"/>
      <c r="X3" s="133"/>
      <c r="Y3" s="133"/>
      <c r="Z3" s="133"/>
      <c r="AA3" s="133"/>
      <c r="AB3" s="133"/>
      <c r="AC3" s="133"/>
      <c r="AD3" s="133"/>
      <c r="AE3" s="133"/>
      <c r="AF3" s="133"/>
      <c r="AG3" s="1"/>
    </row>
    <row r="4" spans="1:38" x14ac:dyDescent="0.25">
      <c r="A4" s="132" t="str">
        <f>"Correspondiente acumulado al año "&amp;TEXT(E1,"YYYY")</f>
        <v>Correspondiente acumulado al año 2026</v>
      </c>
      <c r="B4" s="132"/>
      <c r="C4" s="132"/>
      <c r="D4" s="132"/>
      <c r="E4" s="132"/>
      <c r="F4" s="132"/>
      <c r="G4" s="132"/>
      <c r="H4" s="132"/>
      <c r="I4" s="132"/>
      <c r="J4" s="132"/>
      <c r="K4" s="132"/>
      <c r="L4" s="132"/>
      <c r="M4" s="132"/>
      <c r="N4" s="132"/>
      <c r="O4" s="132"/>
      <c r="P4" s="132"/>
      <c r="Q4" s="132"/>
      <c r="R4" s="132"/>
      <c r="S4" s="132"/>
      <c r="T4" s="132"/>
      <c r="U4" s="1"/>
      <c r="V4" s="132"/>
      <c r="W4" s="132"/>
      <c r="X4" s="132"/>
      <c r="Y4" s="132"/>
      <c r="Z4" s="132"/>
      <c r="AA4" s="132"/>
      <c r="AB4" s="132"/>
      <c r="AC4" s="132"/>
      <c r="AD4" s="132"/>
      <c r="AE4" s="132"/>
      <c r="AF4" s="132"/>
      <c r="AG4" s="1"/>
    </row>
    <row r="5" spans="1:38" x14ac:dyDescent="0.25">
      <c r="A5" s="132"/>
      <c r="B5" s="132"/>
      <c r="C5" s="132"/>
      <c r="D5" s="132"/>
      <c r="E5" s="132"/>
      <c r="F5" s="132"/>
      <c r="G5" s="132"/>
      <c r="H5" s="132"/>
      <c r="I5" s="132"/>
      <c r="J5" s="132"/>
      <c r="K5" s="132"/>
      <c r="L5" s="132"/>
      <c r="M5" s="132"/>
      <c r="N5" s="132"/>
      <c r="O5" s="385"/>
      <c r="P5" s="132"/>
      <c r="Q5" s="132"/>
      <c r="R5" s="132"/>
      <c r="S5" s="132"/>
      <c r="T5" s="132"/>
      <c r="U5" s="1"/>
      <c r="V5" s="132"/>
      <c r="W5" s="132"/>
      <c r="X5" s="132"/>
      <c r="Y5" s="132"/>
      <c r="Z5" s="132"/>
      <c r="AA5" s="132"/>
      <c r="AB5" s="132"/>
      <c r="AC5" s="132"/>
      <c r="AD5" s="132"/>
      <c r="AE5" s="132"/>
      <c r="AF5" s="132"/>
      <c r="AG5" s="1"/>
    </row>
    <row r="6" spans="1:38" x14ac:dyDescent="0.25">
      <c r="A6" s="1"/>
      <c r="B6" s="1"/>
      <c r="C6" s="1"/>
      <c r="D6" s="1"/>
      <c r="E6" s="1"/>
      <c r="F6" s="1"/>
      <c r="G6" s="1"/>
      <c r="H6" s="2"/>
      <c r="I6" s="1"/>
      <c r="J6" s="1"/>
      <c r="K6" s="1"/>
      <c r="L6" s="1"/>
      <c r="M6" s="1"/>
      <c r="N6" s="1"/>
      <c r="O6" s="1"/>
      <c r="P6" s="1"/>
      <c r="Q6" s="1"/>
      <c r="R6" s="1"/>
      <c r="S6" s="1"/>
      <c r="T6" s="1"/>
      <c r="U6" s="1"/>
      <c r="V6" s="1"/>
      <c r="W6" s="1"/>
      <c r="X6" s="1"/>
      <c r="Y6" s="1"/>
      <c r="Z6" s="1"/>
      <c r="AA6" s="1"/>
      <c r="AB6" s="1"/>
      <c r="AC6" s="1"/>
      <c r="AD6" s="1"/>
      <c r="AE6" s="1"/>
      <c r="AF6" s="1"/>
      <c r="AG6" s="1"/>
    </row>
    <row r="7" spans="1:38" ht="21.75" customHeight="1" x14ac:dyDescent="0.25">
      <c r="A7" s="62" t="s">
        <v>25</v>
      </c>
      <c r="B7" s="63"/>
      <c r="C7" s="1192" t="s">
        <v>33</v>
      </c>
      <c r="D7" s="62" t="s">
        <v>58</v>
      </c>
      <c r="E7" s="63"/>
      <c r="F7" s="173" t="s">
        <v>106</v>
      </c>
      <c r="G7" s="174"/>
      <c r="H7" s="175"/>
      <c r="I7" s="174"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134" t="s">
        <v>63</v>
      </c>
      <c r="AH7" s="136"/>
    </row>
    <row r="8" spans="1:38" ht="14.25" customHeight="1" x14ac:dyDescent="0.25">
      <c r="A8" s="9" t="s">
        <v>26</v>
      </c>
      <c r="B8" s="10"/>
      <c r="C8" s="1193"/>
      <c r="D8" s="11" t="s">
        <v>19</v>
      </c>
      <c r="E8" s="64" t="s">
        <v>59</v>
      </c>
      <c r="F8" s="11" t="s">
        <v>27</v>
      </c>
      <c r="G8" s="12" t="s">
        <v>35</v>
      </c>
      <c r="H8" s="13" t="s">
        <v>36</v>
      </c>
      <c r="I8" s="13" t="s">
        <v>35</v>
      </c>
      <c r="J8" s="12" t="s">
        <v>36</v>
      </c>
      <c r="K8" s="12" t="s">
        <v>39</v>
      </c>
      <c r="L8" s="12" t="s">
        <v>40</v>
      </c>
      <c r="M8" s="12" t="s">
        <v>42</v>
      </c>
      <c r="N8" s="12" t="s">
        <v>2</v>
      </c>
      <c r="O8" s="1202"/>
      <c r="P8" s="373" t="s">
        <v>1</v>
      </c>
      <c r="Q8" s="173" t="s">
        <v>45</v>
      </c>
      <c r="R8" s="175"/>
      <c r="S8" s="174" t="s">
        <v>46</v>
      </c>
      <c r="T8" s="175"/>
      <c r="U8" s="134" t="s">
        <v>64</v>
      </c>
      <c r="V8" s="135"/>
      <c r="W8" s="136"/>
      <c r="X8" s="68" t="s">
        <v>65</v>
      </c>
      <c r="Y8" s="134" t="s">
        <v>66</v>
      </c>
      <c r="Z8" s="136"/>
      <c r="AA8" s="134" t="s">
        <v>64</v>
      </c>
      <c r="AB8" s="135"/>
      <c r="AC8" s="136"/>
      <c r="AD8" s="12" t="s">
        <v>65</v>
      </c>
      <c r="AE8" s="176" t="s">
        <v>66</v>
      </c>
      <c r="AF8" s="134"/>
      <c r="AG8" s="69" t="s">
        <v>1</v>
      </c>
      <c r="AH8" s="69" t="s">
        <v>95</v>
      </c>
    </row>
    <row r="9" spans="1:38" x14ac:dyDescent="0.25">
      <c r="A9" s="15" t="s">
        <v>23</v>
      </c>
      <c r="B9" s="16"/>
      <c r="C9" s="59"/>
      <c r="D9" s="21"/>
      <c r="E9" s="21"/>
      <c r="F9" s="15"/>
      <c r="G9" s="22"/>
      <c r="H9" s="32"/>
      <c r="I9" s="22"/>
      <c r="J9" s="32"/>
      <c r="K9" s="22"/>
      <c r="L9" s="22"/>
      <c r="M9" s="22"/>
      <c r="N9" s="22"/>
      <c r="O9" s="36"/>
      <c r="P9" s="22"/>
      <c r="Q9" s="168" t="s">
        <v>43</v>
      </c>
      <c r="R9" s="169"/>
      <c r="S9" s="170"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c r="AH9" s="72" t="s">
        <v>34</v>
      </c>
    </row>
    <row r="10" spans="1:38" x14ac:dyDescent="0.25">
      <c r="A10" s="23" t="s">
        <v>28</v>
      </c>
      <c r="B10" s="24" t="s">
        <v>13</v>
      </c>
      <c r="C10" s="57" t="s">
        <v>31</v>
      </c>
      <c r="D10" s="25" t="s">
        <v>30</v>
      </c>
      <c r="E10" s="57" t="s">
        <v>101</v>
      </c>
      <c r="F10" s="236" t="s">
        <v>37</v>
      </c>
      <c r="G10" s="40">
        <f>Ene!G10+Feb!G10+Mar!G10+Abr!G10+May!G10+Jun!G10+Jul!G10+Ago!G10+Sep!G10+Oct!G10+Nov!G10+Dic!G10</f>
        <v>25786</v>
      </c>
      <c r="H10" s="40">
        <f>Ene!H10+Feb!H10+Mar!H10+Abr!H10+May!H10+Jun!H10+Jul!H10+Ago!H10+Sep!H10+Oct!H10+Nov!H10+Dic!H10</f>
        <v>20603</v>
      </c>
      <c r="I10" s="40">
        <f>Ene!I10+Feb!I10+Mar!I10+Abr!I10+May!I10+Jun!I10+Jul!I10+Ago!I10+Sep!I10+Oct!I10+Nov!I10+Dic!I10</f>
        <v>344.3741</v>
      </c>
      <c r="J10" s="40">
        <f>Ene!J10+Feb!J10+Mar!J10+Abr!J10+May!J10+Jun!J10+Jul!J10+Ago!J10+Sep!J10+Oct!J10+Nov!J10+Dic!J10</f>
        <v>303.9796</v>
      </c>
      <c r="K10" s="40"/>
      <c r="L10" s="40"/>
      <c r="M10" s="40">
        <f>Ene!M10+Feb!M10+Mar!M10+Abr!M10+May!M10+Jun!M10+Jul!M10+Ago!M10+Sep!M10+Oct!M10+Nov!M10+Dic!M10</f>
        <v>0</v>
      </c>
      <c r="N10" s="40">
        <f>Ene!N10+Feb!N10+Mar!N10+Abr!N10+May!N10+Jun!N10+Jul!N10+Ago!N10+Sep!N10+Oct!N10+Nov!N10+Dic!N10</f>
        <v>370.77</v>
      </c>
      <c r="O10" s="40">
        <f>Ene!O10+Feb!O10+Mar!O10+Abr!O10+May!O10+Jun!O10+Jul!O10+Ago!O10+Sep!O10+Oct!O10+Nov!O10+Dic!O10</f>
        <v>4427018.0299999993</v>
      </c>
      <c r="P10" s="40">
        <f>Ene!P10+Feb!P10+Mar!P10+Abr!P10+May!P10+Jun!P10+Jul!P10+Ago!P10+Sep!P10+Oct!P10+Nov!P10+Dic!P10</f>
        <v>830065.88</v>
      </c>
      <c r="Q10" s="40">
        <f>Ene!Q10+Feb!Q10+Mar!Q10+Abr!Q10+May!Q10+Jun!Q10+Jul!Q10+Ago!Q10+Sep!Q10+Oct!Q10+Nov!Q10+Dic!Q10</f>
        <v>664052.71</v>
      </c>
      <c r="R10" s="223">
        <v>0.15</v>
      </c>
      <c r="S10" s="40">
        <f>Ene!S10+Feb!S10+Mar!S10+Abr!S10+May!S10+Jun!S10+Jul!S10+Ago!S10+Sep!S10+Oct!S10+Nov!S10+Dic!S10</f>
        <v>166013.16999999998</v>
      </c>
      <c r="T10" s="258">
        <v>3.7499999999999999E-2</v>
      </c>
      <c r="U10" s="66">
        <f t="shared" ref="U10:U30" si="0">IF($F10&amp;"/Día"=W$9,SUM($G10:$H10),"")</f>
        <v>46389</v>
      </c>
      <c r="V10" s="66">
        <f t="shared" ref="V10:V33" si="1">IF(U10&lt;&gt;"",$O10,"")</f>
        <v>4427018.0299999993</v>
      </c>
      <c r="W10" s="73">
        <f t="shared" ref="W10:W30" si="2">IF($F10&amp;"/Día"=W$9,ROUND(U10/$W$1,1),"")</f>
        <v>127.1</v>
      </c>
      <c r="X10" s="74">
        <f t="shared" ref="X10:X30" si="3">IF(U10=0,0,IF($F10&amp;"/Día"=W$9,ROUND(V10/U10,4),""))</f>
        <v>95.432500000000005</v>
      </c>
      <c r="Y10" s="74">
        <f t="shared" ref="Y10:Y30" si="4">IF(U10=0,0,IF($F10&amp;"/Día"=W$9,ROUND(Z10/U10,4),""))</f>
        <v>17.893599999999999</v>
      </c>
      <c r="Z10" s="66">
        <f t="shared" ref="Z10:Z30" si="5">IF(U10&lt;&gt;"",$P10,"")</f>
        <v>830065.88</v>
      </c>
      <c r="AA10" s="66" t="str">
        <f>IF($F10&amp;"/Día"=AC$9,SUM($G10:$H10),"")</f>
        <v/>
      </c>
      <c r="AB10" s="66" t="str">
        <f>IF(AA10&lt;&gt;"",$O10,"")</f>
        <v/>
      </c>
      <c r="AC10" s="73" t="str">
        <f>IF($F10&amp;"/Día"=AC$9,ROUND(AA10/$W$1,1),"")</f>
        <v/>
      </c>
      <c r="AD10" s="74" t="str">
        <f>IF(AA10=0,0,IF($F10&amp;"/Día"=AC$9,ROUND(AB10/AA10,4),""))</f>
        <v/>
      </c>
      <c r="AE10" s="74" t="str">
        <f>IF(AA10=0,0,IF($F10&amp;"/Día"=AC$9,ROUND(AF10/AA10,4),""))</f>
        <v/>
      </c>
      <c r="AF10" s="66" t="str">
        <f>IF(AA10&lt;&gt;"",$P10,"")</f>
        <v/>
      </c>
      <c r="AG10" s="49"/>
      <c r="AH10" s="120">
        <f t="shared" ref="AH10:AH33" si="6">IF(O10=0,"",IF(I10="",H10*J10-SUM(K10:N10)-O10,+(G10*I10+H10*J10)-SUM(K10:N10)-O10))</f>
        <v>10715533.441400001</v>
      </c>
      <c r="AL10" s="498"/>
    </row>
    <row r="11" spans="1:38" x14ac:dyDescent="0.25">
      <c r="A11" s="23" t="s">
        <v>28</v>
      </c>
      <c r="B11" s="24" t="s">
        <v>14</v>
      </c>
      <c r="C11" s="57" t="s">
        <v>31</v>
      </c>
      <c r="D11" s="25" t="s">
        <v>30</v>
      </c>
      <c r="E11" s="57" t="s">
        <v>101</v>
      </c>
      <c r="F11" s="236" t="s">
        <v>56</v>
      </c>
      <c r="G11" s="40">
        <f>Ene!G11+Feb!G11+Mar!G11+Abr!G11+May!G11+Jun!G11+Jul!G11+Ago!G11+Sep!G11+Oct!G11+Nov!G11+Dic!G11</f>
        <v>177030.3284</v>
      </c>
      <c r="H11" s="40">
        <f>Ene!H11+Feb!H11+Mar!H11+Abr!H11+May!H11+Jun!H11+Jul!H11+Ago!H11+Sep!H11+Oct!H11+Nov!H11+Dic!H11</f>
        <v>179226.35200000001</v>
      </c>
      <c r="I11" s="40">
        <f>Ene!I11+Feb!I11+Mar!I11+Abr!I11+May!I11+Jun!I11+Jul!I11+Ago!I11+Sep!I11+Oct!I11+Nov!I11+Dic!I11</f>
        <v>12</v>
      </c>
      <c r="J11" s="40">
        <f>Ene!J11+Feb!J11+Mar!J11+Abr!J11+May!J11+Jun!J11+Jul!J11+Ago!J11+Sep!J11+Oct!J11+Nov!J11+Dic!J11</f>
        <v>12</v>
      </c>
      <c r="K11" s="40"/>
      <c r="L11" s="40"/>
      <c r="M11" s="40">
        <f>Ene!M11+Feb!M11+Mar!M11+Abr!M11+May!M11+Jun!M11+Jul!M11+Ago!M11+Sep!M11+Nov!M11+Dic!M11</f>
        <v>0</v>
      </c>
      <c r="N11" s="40">
        <f>Ene!N11+Feb!N11+Mar!N11+Abr!N11+May!N11+Jun!N11+Jul!N11+Ago!N11+Sep!N11+Oct!N11+Nov!N11+Dic!N11</f>
        <v>9982.6</v>
      </c>
      <c r="O11" s="40" t="e">
        <f>Ene!O11+Feb!O11+Mar!O11+Abr!O11+May!O11+Jun!O11+Jul!O11+Ago!O11+Sep!O11+Oct!O11+Nov!O11+Dic!O11</f>
        <v>#REF!</v>
      </c>
      <c r="P11" s="40" t="e">
        <f>Ene!P11+Feb!P11+Mar!P11+Abr!P11+May!P11+Jun!P11+Jul!P11+Ago!P11+Sep!P11+Oct!P11+Nov!P11+Dic!P11</f>
        <v>#REF!</v>
      </c>
      <c r="Q11" s="40" t="e">
        <f>Ene!Q11+Feb!Q11+Mar!Q11+Abr!Q11+May!Q11+Jun!Q11+Jul!Q11+Ago!Q11+Sep!Q11+Oct!Q11+Nov!Q11+Dic!Q11</f>
        <v>#REF!</v>
      </c>
      <c r="R11" s="223">
        <v>0.15</v>
      </c>
      <c r="S11" s="40">
        <f>Ene!S11+Feb!S11+Mar!S11+Abr!S11+May!S11+Jun!S11+Jul!S11+Ago!S11+Sep!S11+Nov!S11+Dic!S11</f>
        <v>39704.53</v>
      </c>
      <c r="T11" s="258">
        <v>3.7499999999999999E-2</v>
      </c>
      <c r="U11" s="40" t="str">
        <f t="shared" si="0"/>
        <v/>
      </c>
      <c r="V11" s="40" t="str">
        <f t="shared" si="1"/>
        <v/>
      </c>
      <c r="W11" s="75" t="str">
        <f t="shared" si="2"/>
        <v/>
      </c>
      <c r="X11" s="76" t="str">
        <f t="shared" si="3"/>
        <v/>
      </c>
      <c r="Y11" s="76" t="str">
        <f t="shared" si="4"/>
        <v/>
      </c>
      <c r="Z11" s="40" t="str">
        <f t="shared" si="5"/>
        <v/>
      </c>
      <c r="AA11" s="40">
        <f>IF($F11&amp;"/Día"=AC$9,SUM($G11:$H11),"")</f>
        <v>356256.68040000001</v>
      </c>
      <c r="AB11" s="40" t="e">
        <f>IF(AA11&lt;&gt;"",$O11,"")</f>
        <v>#REF!</v>
      </c>
      <c r="AC11" s="75">
        <f>IF($F11&amp;"/Día"=AC$9,ROUND(AA11/$W$1,1),"")</f>
        <v>976</v>
      </c>
      <c r="AD11" s="76" t="e">
        <f>IF(AA11=0,0,IF($F11&amp;"/Día"=AC$9,ROUND(AB11/AA11,4),""))</f>
        <v>#REF!</v>
      </c>
      <c r="AE11" s="76" t="e">
        <f>IF(AA11=0,0,IF($F11&amp;"/Día"=AC$9,ROUND(AF11/AA11,4),""))</f>
        <v>#REF!</v>
      </c>
      <c r="AF11" s="40" t="e">
        <f>IF(AA11&lt;&gt;"",$P11,"")</f>
        <v>#REF!</v>
      </c>
      <c r="AG11" s="50"/>
      <c r="AH11" s="121" t="e">
        <f t="shared" si="6"/>
        <v>#REF!</v>
      </c>
      <c r="AL11" s="498"/>
    </row>
    <row r="12" spans="1:38" x14ac:dyDescent="0.25">
      <c r="A12" s="23" t="s">
        <v>28</v>
      </c>
      <c r="B12" s="24" t="s">
        <v>3</v>
      </c>
      <c r="C12" s="57" t="s">
        <v>31</v>
      </c>
      <c r="D12" s="25" t="s">
        <v>30</v>
      </c>
      <c r="E12" s="57" t="s">
        <v>101</v>
      </c>
      <c r="F12" s="236" t="s">
        <v>37</v>
      </c>
      <c r="G12" s="40">
        <f>Ene!G12+Feb!G12+Mar!G12+Abr!G12+May!G12+Jun!G12+Jul!G12+Ago!G12+Sep!G12+Oct!G12+Nov!G12+Dic!G12</f>
        <v>0</v>
      </c>
      <c r="H12" s="40">
        <f>Ene!H12+Feb!H12+Mar!H12+Abr!H12+May!H12+Jun!H12+Jul!H12+Ago!H12+Sep!H12+Oct!H12+Nov!H12+Dic!H12</f>
        <v>0</v>
      </c>
      <c r="I12" s="40">
        <f>Ene!I12+Feb!I12+Mar!I12+Abr!I12+May!I12+Jun!I12+Jul!I12+Ago!I12+Sep!I12+Oct!I12+Nov!I12+Dic!I12</f>
        <v>0</v>
      </c>
      <c r="J12" s="40">
        <f>Ene!J12+Feb!J12+Mar!J12+Abr!J12+May!J12+Jun!J12+Jul!J12+Ago!J12+Sep!J12+Oct!J12+Nov!J12+Dic!J12</f>
        <v>0</v>
      </c>
      <c r="K12" s="40"/>
      <c r="L12" s="40"/>
      <c r="M12" s="40">
        <f>Ene!M12+Feb!M12+Mar!M12+Abr!M12+May!M12+Jun!M12+Jul!M12+Ago!M12+Sep!M12+Nov!M12+Dic!M12</f>
        <v>0</v>
      </c>
      <c r="N12" s="40">
        <f>Ene!N12+Feb!N12+Mar!N12+Abr!N12+May!N12+Jun!N12+Jul!N12+Ago!N12+Sep!N12+Oct!N12+Nov!N12+Dic!N12</f>
        <v>638.52</v>
      </c>
      <c r="O12" s="40">
        <f>Ene!O12+Feb!O12+Mar!O12+Abr!O12+May!O12+Jun!O12+Jul!O12+Ago!O12+Sep!O12+Oct!O12+Nov!O12+Dic!O12</f>
        <v>-638.52</v>
      </c>
      <c r="P12" s="40">
        <f>Ene!P12+Feb!P12+Mar!P12+Abr!P12+May!P12+Jun!P12+Jul!P12+Ago!P12+Sep!P12+Oct!P12+Nov!P12+Dic!P12</f>
        <v>-119.72</v>
      </c>
      <c r="Q12" s="40">
        <f>Ene!Q12+Feb!Q12+Mar!Q12+Abr!Q12+May!Q12+Jun!Q12+Jul!Q12+Ago!Q12+Sep!Q12+Oct!Q12+Nov!Q12+Dic!Q12</f>
        <v>-95.78</v>
      </c>
      <c r="R12" s="223">
        <v>0.15</v>
      </c>
      <c r="S12" s="40">
        <f>Ene!S12+Feb!S12+Mar!S12+Abr!S12+May!S12+Jun!S12+Jul!S12+Ago!S12+Sep!S12+Nov!S12+Dic!S12</f>
        <v>-23.94</v>
      </c>
      <c r="T12" s="258">
        <v>3.7499999999999999E-2</v>
      </c>
      <c r="U12" s="40">
        <f t="shared" si="0"/>
        <v>0</v>
      </c>
      <c r="V12" s="40">
        <f t="shared" si="1"/>
        <v>-638.52</v>
      </c>
      <c r="W12" s="75">
        <f t="shared" si="2"/>
        <v>0</v>
      </c>
      <c r="X12" s="76">
        <f t="shared" si="3"/>
        <v>0</v>
      </c>
      <c r="Y12" s="76">
        <f t="shared" si="4"/>
        <v>0</v>
      </c>
      <c r="Z12" s="40">
        <f t="shared" si="5"/>
        <v>-119.72</v>
      </c>
      <c r="AA12" s="40" t="str">
        <f t="shared" ref="AA12:AA33" si="7">IF($F12&amp;"/Día"=AC$9,SUM($G12:$H12),"")</f>
        <v/>
      </c>
      <c r="AB12" s="40" t="str">
        <f t="shared" ref="AB12:AB33" si="8">IF(AA12&lt;&gt;"",$O12,"")</f>
        <v/>
      </c>
      <c r="AC12" s="75" t="str">
        <f t="shared" ref="AC12:AC33" si="9">IF($F12&amp;"/Día"=AC$9,ROUND(AA12/$W$1,1),"")</f>
        <v/>
      </c>
      <c r="AD12" s="76" t="str">
        <f t="shared" ref="AD12:AD33" si="10">IF(AA12=0,0,IF($F12&amp;"/Día"=AC$9,ROUND(AB12/AA12,4),""))</f>
        <v/>
      </c>
      <c r="AE12" s="76" t="str">
        <f t="shared" ref="AE12:AE33" si="11">IF(AA12=0,0,IF($F12&amp;"/Día"=AC$9,ROUND(AF12/AA12,4),""))</f>
        <v/>
      </c>
      <c r="AF12" s="40" t="str">
        <f t="shared" ref="AF12:AF33" si="12">IF(AA12&lt;&gt;"",$P12,"")</f>
        <v/>
      </c>
      <c r="AG12" s="50"/>
      <c r="AH12" s="121">
        <f t="shared" si="6"/>
        <v>0</v>
      </c>
      <c r="AL12" s="498"/>
    </row>
    <row r="13" spans="1:38" x14ac:dyDescent="0.25">
      <c r="A13" s="242" t="s">
        <v>28</v>
      </c>
      <c r="B13" s="245" t="s">
        <v>369</v>
      </c>
      <c r="C13" s="57" t="s">
        <v>31</v>
      </c>
      <c r="D13" s="25" t="s">
        <v>30</v>
      </c>
      <c r="E13" s="57" t="s">
        <v>101</v>
      </c>
      <c r="F13" s="236" t="s">
        <v>56</v>
      </c>
      <c r="G13" s="40">
        <f>Ene!G13+Feb!G13+Mar!G13+Abr!G13+May!G13+Jun!G13+Jul!G13+Ago!G13+Sep!G13+Oct!G13+Nov!G13+Dic!G13</f>
        <v>2448.8715000000002</v>
      </c>
      <c r="H13" s="40">
        <f>Ene!H13+Feb!H13+Mar!H13+Abr!H13+May!H13+Jun!H13+Jul!H13+Ago!H13+Sep!H13+Oct!H13+Nov!H13+Dic!H13</f>
        <v>0</v>
      </c>
      <c r="I13" s="40">
        <f>Ene!I13+Feb!I13+Mar!I13+Abr!I13+May!I13+Jun!I13+Jul!I13+Ago!I13+Sep!I13+Oct!I13+Nov!I13+Dic!I13</f>
        <v>2.95</v>
      </c>
      <c r="J13" s="40">
        <f>Ene!J13+Feb!J13+Mar!J13+Abr!J13+May!J13+Jun!J13+Jul!J13+Ago!J13+Sep!J13+Oct!J13+Nov!J13+Dic!J13</f>
        <v>0</v>
      </c>
      <c r="K13" s="40"/>
      <c r="L13" s="40"/>
      <c r="M13" s="40">
        <f>Ene!M13+Feb!M13+Mar!M13+Abr!M13+May!M13+Jun!M13+Jul!M13+Ago!M13+Sep!M13+Nov!M13+Dic!M13</f>
        <v>0</v>
      </c>
      <c r="N13" s="40">
        <f>Ene!N13+Feb!N13+Mar!N13+Abr!N13+May!N13+Jun!N13+Jul!N13+Ago!N13+Sep!N13+Oct!N13+Nov!N13+Dic!N13</f>
        <v>980.66</v>
      </c>
      <c r="O13" s="40">
        <f>Ene!O13+Feb!O13+Mar!O13+Abr!O13+May!O13+Jun!O13+Jul!O13+Ago!O13+Sep!O13+Oct!O13+Nov!O13+Dic!O13</f>
        <v>6243.51</v>
      </c>
      <c r="P13" s="40">
        <f>Ene!P13+Feb!P13+Mar!P13+Abr!P13+May!P13+Jun!P13+Jul!P13+Ago!P13+Sep!P13+Oct!P13+Nov!P13+Dic!P13</f>
        <v>1170.6600000000001</v>
      </c>
      <c r="Q13" s="40">
        <f>Ene!Q13+Feb!Q13+Mar!Q13+Abr!Q13+May!Q13+Jun!Q13+Jul!Q13+Ago!Q13+Sep!Q13+Oct!Q13+Nov!Q13+Dic!Q13</f>
        <v>936.53</v>
      </c>
      <c r="R13" s="223">
        <v>0.15</v>
      </c>
      <c r="S13" s="40">
        <f>Ene!S13+Feb!S13+Mar!S13+Abr!S13+May!S13+Jun!S13+Jul!S13+Ago!S13+Sep!S13+Nov!S13+Dic!S13</f>
        <v>234.13</v>
      </c>
      <c r="T13" s="258">
        <v>3.7499999999999999E-2</v>
      </c>
      <c r="U13" s="40" t="str">
        <f>IF($F13&amp;"/Día"=W$9,SUM($G13:$H13),"")</f>
        <v/>
      </c>
      <c r="V13" s="40" t="str">
        <f>IF(U13&lt;&gt;"",$O13,"")</f>
        <v/>
      </c>
      <c r="W13" s="75" t="str">
        <f>IF($F13&amp;"/Día"=W$9,ROUND(U13/$W$1,1),"")</f>
        <v/>
      </c>
      <c r="X13" s="76" t="str">
        <f>IF(U13=0,0,IF($F13&amp;"/Día"=W$9,ROUND(V13/U13,4),""))</f>
        <v/>
      </c>
      <c r="Y13" s="76" t="str">
        <f>IF(U13=0,0,IF($F13&amp;"/Día"=W$9,ROUND(Z13/U13,4),""))</f>
        <v/>
      </c>
      <c r="Z13" s="40" t="str">
        <f>IF(U13&lt;&gt;"",$P13,"")</f>
        <v/>
      </c>
      <c r="AA13" s="40">
        <f t="shared" si="7"/>
        <v>2448.8715000000002</v>
      </c>
      <c r="AB13" s="40">
        <f t="shared" si="8"/>
        <v>6243.51</v>
      </c>
      <c r="AC13" s="75">
        <f t="shared" si="9"/>
        <v>6.7</v>
      </c>
      <c r="AD13" s="76">
        <f t="shared" si="10"/>
        <v>2.5495000000000001</v>
      </c>
      <c r="AE13" s="76">
        <f t="shared" si="11"/>
        <v>0.47799999999999998</v>
      </c>
      <c r="AF13" s="40">
        <f t="shared" si="12"/>
        <v>1170.6600000000001</v>
      </c>
      <c r="AG13" s="50"/>
      <c r="AH13" s="121">
        <f t="shared" si="6"/>
        <v>9.2500000118889147E-4</v>
      </c>
      <c r="AL13" s="498"/>
    </row>
    <row r="14" spans="1:38" x14ac:dyDescent="0.25">
      <c r="A14" s="23" t="s">
        <v>28</v>
      </c>
      <c r="B14" s="24" t="s">
        <v>4</v>
      </c>
      <c r="C14" s="57" t="s">
        <v>31</v>
      </c>
      <c r="D14" s="25" t="s">
        <v>30</v>
      </c>
      <c r="E14" s="57" t="s">
        <v>101</v>
      </c>
      <c r="F14" s="236" t="s">
        <v>37</v>
      </c>
      <c r="G14" s="40">
        <f>Ene!G14+Feb!G14+Mar!G14+Abr!G14+May!G14+Jun!G14+Jul!G14+Ago!G14+Sep!G14+Oct!G14+Nov!G14+Dic!G14</f>
        <v>0</v>
      </c>
      <c r="H14" s="40">
        <f>Ene!H14+Feb!H14+Mar!H14+Abr!H14+May!H14+Jun!H14+Jul!H14+Ago!H14+Sep!H14+Oct!H14+Nov!H14+Dic!H14</f>
        <v>0</v>
      </c>
      <c r="I14" s="40">
        <f>Ene!I14+Feb!I14+Mar!I14+Abr!I14+May!I14+Jun!I14+Jul!I14+Ago!I14+Sep!I14+Oct!I14+Nov!I14+Dic!I14</f>
        <v>96.952500000000001</v>
      </c>
      <c r="J14" s="40">
        <f>Ene!J14+Feb!J14+Mar!J14+Abr!J14+May!J14+Jun!J14+Jul!J14+Ago!J14+Sep!J14+Oct!J14+Nov!J14+Dic!J14</f>
        <v>123.9661</v>
      </c>
      <c r="K14" s="40"/>
      <c r="L14" s="40"/>
      <c r="M14" s="40">
        <f>Ene!M14+Feb!M14+Mar!M14+Abr!M14+May!M14+Jun!M14+Jul!M14+Ago!M14+Sep!M14+Nov!M14+Dic!M14</f>
        <v>0</v>
      </c>
      <c r="N14" s="40">
        <f>Ene!N14+Feb!N14+Mar!N14+Abr!N14+May!N14+Jun!N14+Jul!N14+Ago!N14+Sep!N14+Oct!N14+Nov!N14+Dic!N14</f>
        <v>0</v>
      </c>
      <c r="O14" s="40">
        <f>Ene!O14+Feb!O14+Mar!O14+Abr!O14+May!O14+Jun!O14+Jul!O14+Ago!O14+Sep!O14+Oct!O14+Nov!O14+Dic!O14</f>
        <v>0</v>
      </c>
      <c r="P14" s="40">
        <f>Ene!P14+Feb!P14+Mar!P14+Abr!P14+May!P14+Jun!P14+Jul!P14+Ago!P14+Sep!P14+Oct!P14+Nov!P14+Dic!P14</f>
        <v>0</v>
      </c>
      <c r="Q14" s="40">
        <f>Ene!Q14+Feb!Q14+Mar!Q14+Abr!Q14+May!Q14+Jun!Q14+Jul!Q14+Ago!Q14+Sep!Q14+Oct!Q14+Nov!Q14+Dic!Q14</f>
        <v>0</v>
      </c>
      <c r="R14" s="223">
        <v>0.15</v>
      </c>
      <c r="S14" s="40">
        <f>Ene!S14+Feb!S14+Mar!S14+Abr!S14+May!S14+Jun!S14+Jul!S14+Ago!S14+Sep!S14+Nov!S14+Dic!S14</f>
        <v>0</v>
      </c>
      <c r="T14" s="258">
        <v>3.7499999999999999E-2</v>
      </c>
      <c r="U14" s="40">
        <f t="shared" si="0"/>
        <v>0</v>
      </c>
      <c r="V14" s="40">
        <f t="shared" si="1"/>
        <v>0</v>
      </c>
      <c r="W14" s="75">
        <f t="shared" si="2"/>
        <v>0</v>
      </c>
      <c r="X14" s="76">
        <f t="shared" si="3"/>
        <v>0</v>
      </c>
      <c r="Y14" s="76">
        <f t="shared" si="4"/>
        <v>0</v>
      </c>
      <c r="Z14" s="40">
        <f t="shared" si="5"/>
        <v>0</v>
      </c>
      <c r="AA14" s="40" t="str">
        <f t="shared" si="7"/>
        <v/>
      </c>
      <c r="AB14" s="40" t="str">
        <f t="shared" si="8"/>
        <v/>
      </c>
      <c r="AC14" s="75" t="str">
        <f t="shared" si="9"/>
        <v/>
      </c>
      <c r="AD14" s="76" t="str">
        <f t="shared" si="10"/>
        <v/>
      </c>
      <c r="AE14" s="76" t="str">
        <f t="shared" si="11"/>
        <v/>
      </c>
      <c r="AF14" s="40" t="str">
        <f t="shared" si="12"/>
        <v/>
      </c>
      <c r="AG14" s="50"/>
      <c r="AH14" s="121" t="str">
        <f t="shared" si="6"/>
        <v/>
      </c>
      <c r="AL14" s="498"/>
    </row>
    <row r="15" spans="1:38" x14ac:dyDescent="0.25">
      <c r="A15" s="23" t="s">
        <v>28</v>
      </c>
      <c r="B15" s="377" t="s">
        <v>370</v>
      </c>
      <c r="C15" s="57" t="s">
        <v>31</v>
      </c>
      <c r="D15" s="25" t="s">
        <v>30</v>
      </c>
      <c r="E15" s="57" t="s">
        <v>101</v>
      </c>
      <c r="F15" s="236" t="s">
        <v>56</v>
      </c>
      <c r="G15" s="40">
        <f>Ene!G15+Feb!G15+Mar!G15+Abr!G15+May!G15+Jun!G15+Jul!G15+Ago!G15+Sep!G15+Oct!G15+Nov!G15+Dic!G15</f>
        <v>342667.6545</v>
      </c>
      <c r="H15" s="40">
        <f>Ene!H15+Feb!H15+Mar!H15+Abr!H15+May!H15+Jun!H15+Jul!H15+Ago!H15+Sep!H15+Oct!H15+Nov!H15+Dic!H15</f>
        <v>396388.11819999997</v>
      </c>
      <c r="I15" s="40">
        <f>Ene!I15+Feb!I15+Mar!I15+Abr!I15+May!I15+Jun!I15+Jul!I15+Ago!I15+Sep!I15+Oct!I15+Nov!I15+Dic!I15</f>
        <v>11.797700000000001</v>
      </c>
      <c r="J15" s="40">
        <f>Ene!J15+Feb!J15+Mar!J15+Abr!J15+May!J15+Jun!J15+Jul!J15+Ago!J15+Sep!J15+Oct!J15+Nov!J15+Dic!J15</f>
        <v>11.797700000000001</v>
      </c>
      <c r="K15" s="40"/>
      <c r="L15" s="40"/>
      <c r="M15" s="40">
        <f>Ene!M15+Feb!M15+Mar!M15+Abr!M15+May!M15+Jun!M15+Jul!M15+Ago!M15+Sep!M15+Nov!M15+Dic!M15</f>
        <v>0</v>
      </c>
      <c r="N15" s="40">
        <f>Ene!N15+Feb!N15+Mar!N15+Abr!N15+May!N15+Jun!N15+Jul!N15+Ago!N15+Sep!N15+Oct!N15+Nov!N15+Dic!N15</f>
        <v>2103.27</v>
      </c>
      <c r="O15" s="40">
        <f>Ene!O15+Feb!O15+Mar!O15+Abr!O15+May!O15+Jun!O15+Jul!O15+Ago!O15+Sep!O15+Oct!O15+Nov!O15+Dic!O15</f>
        <v>2177910.5099999998</v>
      </c>
      <c r="P15" s="40">
        <f>Ene!P15+Feb!P15+Mar!P15+Abr!P15+May!P15+Jun!P15+Jul!P15+Ago!P15+Sep!P15+Oct!P15+Nov!P15+Dic!P15</f>
        <v>408358.23000000004</v>
      </c>
      <c r="Q15" s="40">
        <f>Ene!Q15+Feb!Q15+Mar!Q15+Abr!Q15+May!Q15+Jun!Q15+Jul!Q15+Ago!Q15+Sep!Q15+Oct!Q15+Nov!Q15+Dic!Q15</f>
        <v>326686.58999999997</v>
      </c>
      <c r="R15" s="223">
        <v>0.15</v>
      </c>
      <c r="S15" s="40">
        <f>Ene!S15+Feb!S15+Mar!S15+Abr!S15+May!S15+Jun!S15+Jul!S15+Ago!S15+Sep!S15+Nov!S15+Dic!S15</f>
        <v>81671.649999999994</v>
      </c>
      <c r="T15" s="258">
        <v>3.7499999999999999E-2</v>
      </c>
      <c r="U15" s="40" t="str">
        <f t="shared" si="0"/>
        <v/>
      </c>
      <c r="V15" s="40" t="str">
        <f t="shared" si="1"/>
        <v/>
      </c>
      <c r="W15" s="75" t="str">
        <f t="shared" si="2"/>
        <v/>
      </c>
      <c r="X15" s="76" t="str">
        <f t="shared" si="3"/>
        <v/>
      </c>
      <c r="Y15" s="76" t="str">
        <f t="shared" si="4"/>
        <v/>
      </c>
      <c r="Z15" s="40" t="str">
        <f t="shared" si="5"/>
        <v/>
      </c>
      <c r="AA15" s="40">
        <f t="shared" si="7"/>
        <v>739055.77269999997</v>
      </c>
      <c r="AB15" s="40">
        <f t="shared" si="8"/>
        <v>2177910.5099999998</v>
      </c>
      <c r="AC15" s="75">
        <f t="shared" si="9"/>
        <v>2024.8</v>
      </c>
      <c r="AD15" s="76">
        <f t="shared" si="10"/>
        <v>2.9468999999999999</v>
      </c>
      <c r="AE15" s="76">
        <f t="shared" si="11"/>
        <v>0.55249999999999999</v>
      </c>
      <c r="AF15" s="40">
        <f t="shared" si="12"/>
        <v>408358.23000000004</v>
      </c>
      <c r="AG15" s="50"/>
      <c r="AH15" s="121">
        <f t="shared" si="6"/>
        <v>6539144.5095827915</v>
      </c>
      <c r="AL15" s="498"/>
    </row>
    <row r="16" spans="1:38" x14ac:dyDescent="0.25">
      <c r="A16" s="23" t="s">
        <v>28</v>
      </c>
      <c r="B16" s="24" t="s">
        <v>5</v>
      </c>
      <c r="C16" s="57" t="s">
        <v>31</v>
      </c>
      <c r="D16" s="25" t="s">
        <v>30</v>
      </c>
      <c r="E16" s="57" t="s">
        <v>101</v>
      </c>
      <c r="F16" s="236" t="s">
        <v>37</v>
      </c>
      <c r="G16" s="40">
        <f>Ene!G16+Feb!G16+Mar!G16+Abr!G16+May!G16+Jun!G16+Jul!G16+Ago!G16+Sep!G16+Oct!G16+Nov!G16+Dic!G16</f>
        <v>0</v>
      </c>
      <c r="H16" s="40">
        <f>Ene!H16+Feb!H16+Mar!H16+Abr!H16+May!H16+Jun!H16+Jul!H16+Ago!H16+Sep!H16+Oct!H16+Nov!H16+Dic!H16</f>
        <v>0</v>
      </c>
      <c r="I16" s="40">
        <f>Ene!I16+Feb!I16+Mar!I16+Abr!I16+May!I16+Jun!I16+Jul!I16+Ago!I16+Sep!I16+Oct!I16+Nov!I16+Dic!I16</f>
        <v>96.952500000000001</v>
      </c>
      <c r="J16" s="40">
        <f>Ene!J16+Feb!J16+Mar!J16+Abr!J16+May!J16+Jun!J16+Jul!J16+Ago!J16+Sep!J16+Oct!J16+Nov!J16+Dic!J16</f>
        <v>123.9661</v>
      </c>
      <c r="K16" s="40"/>
      <c r="L16" s="40"/>
      <c r="M16" s="40">
        <f>Ene!M16+Feb!M16+Mar!M16+Abr!M16+May!M16+Jun!M16+Jul!M16+Ago!M16+Sep!M16+Nov!M16+Dic!M16</f>
        <v>0</v>
      </c>
      <c r="N16" s="40">
        <f>Ene!N16+Feb!N16+Mar!N16+Abr!N16+May!N16+Jun!N16+Jul!N16+Ago!N16+Sep!N16+Oct!N16+Nov!N16+Dic!N16</f>
        <v>0</v>
      </c>
      <c r="O16" s="40">
        <f>Ene!O16+Feb!O16+Mar!O16+Abr!O16+May!O16+Jun!O16+Jul!O16+Ago!O16+Sep!O16+Oct!O16+Nov!O16+Dic!O16</f>
        <v>0</v>
      </c>
      <c r="P16" s="40">
        <f>Ene!P16+Feb!P16+Mar!P16+Abr!P16+May!P16+Jun!P16+Jul!P16+Ago!P16+Sep!P16+Oct!P16+Nov!P16+Dic!P16</f>
        <v>0</v>
      </c>
      <c r="Q16" s="40">
        <f>Ene!Q16+Feb!Q16+Mar!Q16+Abr!Q16+May!Q16+Jun!Q16+Jul!Q16+Ago!Q16+Sep!Q16+Oct!Q16+Nov!Q16+Dic!Q16</f>
        <v>0</v>
      </c>
      <c r="R16" s="223">
        <v>0.15</v>
      </c>
      <c r="S16" s="40">
        <f>Ene!S16+Feb!S16+Mar!S16+Abr!S16+May!S16+Jun!S16+Jul!S16+Ago!S16+Sep!S16+Nov!S16+Dic!S16</f>
        <v>0</v>
      </c>
      <c r="T16" s="258">
        <v>3.7499999999999999E-2</v>
      </c>
      <c r="U16" s="40">
        <f>IF($F16&amp;"/Día"=W$9,SUM($G16:$H16),"")</f>
        <v>0</v>
      </c>
      <c r="V16" s="40">
        <f>IF(U16&lt;&gt;"",$O16,"")</f>
        <v>0</v>
      </c>
      <c r="W16" s="75">
        <f>IF($F16&amp;"/Día"=W$9,ROUND(U16/$W$1,1),"")</f>
        <v>0</v>
      </c>
      <c r="X16" s="76">
        <f>IF(U16=0,0,IF($F16&amp;"/Día"=W$9,ROUND(V16/U16,4),""))</f>
        <v>0</v>
      </c>
      <c r="Y16" s="76">
        <f>IF(U16=0,0,IF($F16&amp;"/Día"=W$9,ROUND(Z16/U16,4),""))</f>
        <v>0</v>
      </c>
      <c r="Z16" s="40">
        <f>IF(U16&lt;&gt;"",$P16,"")</f>
        <v>0</v>
      </c>
      <c r="AA16" s="40" t="str">
        <f>IF($F16&amp;"/Día"=AC$9,SUM($G16:$H16),"")</f>
        <v/>
      </c>
      <c r="AB16" s="40" t="str">
        <f>IF(AA16&lt;&gt;"",$O16,"")</f>
        <v/>
      </c>
      <c r="AC16" s="75" t="str">
        <f>IF($F16&amp;"/Día"=AC$9,ROUND(AA16/$W$1,1),"")</f>
        <v/>
      </c>
      <c r="AD16" s="76" t="str">
        <f>IF(AA16=0,0,IF($F16&amp;"/Día"=AC$9,ROUND(AB16/AA16,4),""))</f>
        <v/>
      </c>
      <c r="AE16" s="76" t="str">
        <f>IF(AA16=0,0,IF($F16&amp;"/Día"=AC$9,ROUND(AF16/AA16,4),""))</f>
        <v/>
      </c>
      <c r="AF16" s="40" t="str">
        <f>IF(AA16&lt;&gt;"",$P16,"")</f>
        <v/>
      </c>
      <c r="AG16" s="50"/>
      <c r="AH16" s="121" t="str">
        <f>IF(O16=0,"",IF(I16="",H16*J16-SUM(K16:N16)-O16,+(G16*I16+H16*J16)-SUM(K16:N16)-O16))</f>
        <v/>
      </c>
      <c r="AL16" s="498"/>
    </row>
    <row r="17" spans="1:38" x14ac:dyDescent="0.25">
      <c r="A17" s="23" t="s">
        <v>28</v>
      </c>
      <c r="B17" s="24" t="s">
        <v>371</v>
      </c>
      <c r="C17" s="57" t="s">
        <v>31</v>
      </c>
      <c r="D17" s="25" t="s">
        <v>30</v>
      </c>
      <c r="E17" s="57" t="s">
        <v>101</v>
      </c>
      <c r="F17" s="236" t="s">
        <v>37</v>
      </c>
      <c r="G17" s="40">
        <f>Ene!G17+Feb!G17+Mar!G17+Abr!G17+May!G17+Jun!G17+Jul!G17+Ago!G17+Sep!G17+Oct!G17+Nov!G17+Dic!G17</f>
        <v>258815.7807</v>
      </c>
      <c r="H17" s="40">
        <f>Ene!H17+Feb!H17+Mar!H17+Abr!H17+May!H17+Jun!H17+Jul!H17+Ago!H17+Sep!H17+Oct!H17+Nov!H17+Dic!H17</f>
        <v>273365.1053</v>
      </c>
      <c r="I17" s="40">
        <f>Ene!I17+Feb!I17+Mar!I17+Abr!I17+May!I17+Jun!I17+Jul!I17+Ago!I17+Sep!I17+Oct!I17+Nov!I17+Dic!I17</f>
        <v>10.6777</v>
      </c>
      <c r="J17" s="40">
        <f>Ene!J17+Feb!J17+Mar!J17+Abr!J17+May!J17+Jun!J17+Jul!J17+Ago!J17+Sep!J17+Oct!J17+Nov!J17+Dic!J17</f>
        <v>10.6777</v>
      </c>
      <c r="K17" s="40"/>
      <c r="L17" s="40"/>
      <c r="M17" s="40">
        <f>Ene!M17+Feb!M17+Mar!M17+Abr!M17+May!M17+Jun!M17+Jul!M17+Ago!M17+Sep!M17+Nov!M17+Dic!M17</f>
        <v>0</v>
      </c>
      <c r="N17" s="40">
        <f>Ene!N17+Feb!N17+Mar!N17+Abr!N17+May!N17+Jun!N17+Jul!N17+Ago!N17+Sep!N17+Oct!N17+Nov!N17+Dic!N17</f>
        <v>3456.6800000000003</v>
      </c>
      <c r="O17" s="40">
        <f>Ene!O17+Feb!O17+Mar!O17+Abr!O17+May!O17+Jun!O17+Jul!O17+Ago!O17+Sep!O17+Oct!O17+Nov!O17+Dic!O17</f>
        <v>1416367.32</v>
      </c>
      <c r="P17" s="40">
        <f>Ene!P17+Feb!P17+Mar!P17+Abr!P17+May!P17+Jun!P17+Jul!P17+Ago!P17+Sep!P17+Oct!P17+Nov!P17+Dic!P17</f>
        <v>265568.88</v>
      </c>
      <c r="Q17" s="40">
        <f>Ene!Q17+Feb!Q17+Mar!Q17+Abr!Q17+May!Q17+Jun!Q17+Jul!Q17+Ago!Q17+Sep!Q17+Oct!Q17+Nov!Q17+Dic!Q17</f>
        <v>212455.1</v>
      </c>
      <c r="R17" s="223">
        <v>0.15</v>
      </c>
      <c r="S17" s="40">
        <f>Ene!S17+Feb!S17+Mar!S17+Abr!S17+May!S17+Jun!S17+Jul!S17+Ago!S17+Sep!S17+Nov!S17+Dic!S17</f>
        <v>53113.78</v>
      </c>
      <c r="T17" s="258">
        <v>3.7499999999999999E-2</v>
      </c>
      <c r="U17" s="40">
        <f t="shared" si="0"/>
        <v>532180.88599999994</v>
      </c>
      <c r="V17" s="40">
        <f t="shared" si="1"/>
        <v>1416367.32</v>
      </c>
      <c r="W17" s="75">
        <f t="shared" si="2"/>
        <v>1458</v>
      </c>
      <c r="X17" s="76">
        <f t="shared" si="3"/>
        <v>2.6614</v>
      </c>
      <c r="Y17" s="76">
        <f t="shared" si="4"/>
        <v>0.499</v>
      </c>
      <c r="Z17" s="40">
        <f t="shared" si="5"/>
        <v>265568.88</v>
      </c>
      <c r="AA17" s="40" t="str">
        <f t="shared" si="7"/>
        <v/>
      </c>
      <c r="AB17" s="40" t="str">
        <f t="shared" si="8"/>
        <v/>
      </c>
      <c r="AC17" s="75" t="str">
        <f t="shared" si="9"/>
        <v/>
      </c>
      <c r="AD17" s="76" t="str">
        <f t="shared" si="10"/>
        <v/>
      </c>
      <c r="AE17" s="76" t="str">
        <f t="shared" si="11"/>
        <v/>
      </c>
      <c r="AF17" s="40" t="str">
        <f t="shared" si="12"/>
        <v/>
      </c>
      <c r="AG17" s="50"/>
      <c r="AH17" s="121">
        <f t="shared" si="6"/>
        <v>4262643.8464422002</v>
      </c>
      <c r="AL17" s="498"/>
    </row>
    <row r="18" spans="1:38" s="1" customFormat="1" ht="15" customHeight="1" x14ac:dyDescent="0.25">
      <c r="A18" s="23" t="s">
        <v>28</v>
      </c>
      <c r="B18" s="24" t="s">
        <v>17</v>
      </c>
      <c r="C18" s="57" t="s">
        <v>31</v>
      </c>
      <c r="D18" s="25" t="s">
        <v>30</v>
      </c>
      <c r="E18" s="57" t="s">
        <v>101</v>
      </c>
      <c r="F18" s="236" t="s">
        <v>37</v>
      </c>
      <c r="G18" s="40">
        <f>Ene!G18+Feb!G18+Mar!G18+Abr!G18+May!G18+Jun!G18+Jul!G18+Ago!G18+Sep!G18+Oct!G18+Nov!G18+Dic!G18</f>
        <v>8864</v>
      </c>
      <c r="H18" s="40">
        <f>Ene!H18+Feb!H18+Mar!H18+Abr!H18+May!H18+Jun!H18+Jul!H18+Ago!H18+Sep!H18+Oct!H18+Nov!H18+Dic!H18</f>
        <v>7050.6980999999996</v>
      </c>
      <c r="I18" s="40">
        <f>Ene!I18+Feb!I18+Mar!I18+Abr!I18+May!I18+Jun!I18+Jul!I18+Ago!I18+Sep!I18+Oct!I18+Nov!I18+Dic!I18</f>
        <v>274.33960000000002</v>
      </c>
      <c r="J18" s="40">
        <f>Ene!J18+Feb!J18+Mar!J18+Abr!J18+May!J18+Jun!J18+Jul!J18+Ago!J18+Sep!J18+Oct!J18+Nov!J18+Dic!J18</f>
        <v>350.42259999999999</v>
      </c>
      <c r="K18" s="222"/>
      <c r="L18" s="222"/>
      <c r="M18" s="40">
        <f>Ene!M18+Feb!M18+Mar!M18+Abr!M18+May!M18+Jun!M18+Jul!M18+Ago!M18+Sep!M18+Nov!M18+Dic!M18</f>
        <v>0</v>
      </c>
      <c r="N18" s="40">
        <f>Ene!N18+Feb!N18+Mar!N18+Abr!N18+May!N18+Jun!N18+Jul!N18+Ago!N18+Sep!N18+Oct!N18+Nov!N18+Dic!N18</f>
        <v>1962.9399999999998</v>
      </c>
      <c r="O18" s="40">
        <f>Ene!O18+Feb!O18+Mar!O18+Abr!O18+May!O18+Jun!O18+Jul!O18+Ago!O18+Sep!O18+Oct!O18+Nov!O18+Dic!O18</f>
        <v>1475910.3599999999</v>
      </c>
      <c r="P18" s="40">
        <f>Ene!P18+Feb!P18+Mar!P18+Abr!P18+May!P18+Jun!P18+Jul!P18+Ago!P18+Sep!P18+Oct!P18+Nov!P18+Dic!P18</f>
        <v>276733.19</v>
      </c>
      <c r="Q18" s="40">
        <f>Ene!Q18+Feb!Q18+Mar!Q18+Abr!Q18+May!Q18+Jun!Q18+Jul!Q18+Ago!Q18+Sep!Q18+Oct!Q18+Nov!Q18+Dic!Q18</f>
        <v>221386.56</v>
      </c>
      <c r="R18" s="223">
        <v>0.15</v>
      </c>
      <c r="S18" s="40">
        <f>Ene!S18+Feb!S18+Mar!S18+Abr!S18+May!S18+Jun!S18+Jul!S18+Ago!S18+Sep!S18+Nov!S18+Dic!S18</f>
        <v>55346.64</v>
      </c>
      <c r="T18" s="258">
        <v>3.7499999999999999E-2</v>
      </c>
      <c r="U18" s="40">
        <f>IF($F18&amp;"/Día"=W$9,SUM($G18:$H18),"")</f>
        <v>15914.6981</v>
      </c>
      <c r="V18" s="40">
        <f t="shared" si="1"/>
        <v>1475910.3599999999</v>
      </c>
      <c r="W18" s="75">
        <f t="shared" si="2"/>
        <v>43.6</v>
      </c>
      <c r="X18" s="76">
        <f t="shared" si="3"/>
        <v>92.738799999999998</v>
      </c>
      <c r="Y18" s="76">
        <f t="shared" si="4"/>
        <v>17.388500000000001</v>
      </c>
      <c r="Z18" s="40">
        <f t="shared" si="5"/>
        <v>276733.19</v>
      </c>
      <c r="AA18" s="40" t="str">
        <f>IF($F18&amp;"/Día"=AC$9,SUM($G18:$H18),"")</f>
        <v/>
      </c>
      <c r="AB18" s="40" t="str">
        <f t="shared" si="8"/>
        <v/>
      </c>
      <c r="AC18" s="75" t="str">
        <f t="shared" si="9"/>
        <v/>
      </c>
      <c r="AD18" s="76" t="str">
        <f t="shared" si="10"/>
        <v/>
      </c>
      <c r="AE18" s="76" t="str">
        <f t="shared" si="11"/>
        <v/>
      </c>
      <c r="AF18" s="40" t="str">
        <f t="shared" si="12"/>
        <v/>
      </c>
      <c r="AG18" s="50"/>
      <c r="AK18" s="65"/>
      <c r="AL18" s="498"/>
    </row>
    <row r="19" spans="1:38" s="1" customFormat="1" ht="15" customHeight="1" x14ac:dyDescent="0.25">
      <c r="A19" s="376" t="s">
        <v>28</v>
      </c>
      <c r="B19" s="377" t="s">
        <v>237</v>
      </c>
      <c r="C19" s="57" t="s">
        <v>31</v>
      </c>
      <c r="D19" s="25" t="s">
        <v>30</v>
      </c>
      <c r="E19" s="57" t="s">
        <v>101</v>
      </c>
      <c r="F19" s="236" t="s">
        <v>37</v>
      </c>
      <c r="G19" s="40">
        <f>Ene!G19+Feb!G19+Mar!G19+Abr!G19+May!G19+Jun!G19+Jul!G19+Ago!G19+Sep!G19+Oct!G19+Nov!G19+Dic!G19</f>
        <v>0</v>
      </c>
      <c r="H19" s="40">
        <f>Ene!H19+Feb!H19+Mar!H19+Abr!H19+May!H19+Jun!H19+Jul!H19+Ago!H19+Sep!H19+Oct!H19+Nov!H19+Dic!H19</f>
        <v>0</v>
      </c>
      <c r="I19" s="40">
        <f>Ene!I19+Feb!I19+Mar!I19+Abr!I19+May!I19+Jun!I19+Jul!I19+Ago!I19+Sep!I19+Oct!I19+Nov!I19+Dic!I19</f>
        <v>0</v>
      </c>
      <c r="J19" s="40">
        <f>Ene!J19+Feb!J19+Mar!J19+Abr!J19+May!J19+Jun!J19+Jul!J19+Ago!J19+Sep!J19+Oct!J19+Nov!J19+Dic!J19</f>
        <v>0</v>
      </c>
      <c r="K19" s="222"/>
      <c r="L19" s="222"/>
      <c r="M19" s="40">
        <f>Ene!M19+Feb!M19+Mar!M19+Abr!M19+May!M19+Jun!M19+Jul!M19+Ago!M19+Sep!M19+Nov!M19+Dic!M19</f>
        <v>0</v>
      </c>
      <c r="N19" s="40">
        <f>Ene!N19+Feb!N19+Mar!N19+Abr!N19+May!N19+Jun!N19+Jul!N19+Ago!N19+Sep!N19+Oct!N19+Nov!N19+Dic!N19</f>
        <v>0</v>
      </c>
      <c r="O19" s="40">
        <f>Ene!O19+Feb!O19+Mar!O19+Abr!O19+May!O19+Jun!O19+Jul!O19+Ago!O19+Sep!O19+Oct!O19+Nov!O19+Dic!O19</f>
        <v>0</v>
      </c>
      <c r="P19" s="40">
        <f>Ene!P19+Feb!P19+Mar!P19+Abr!P19+May!P19+Jun!P19+Jul!P19+Ago!P19+Sep!P19+Oct!P19+Nov!P19+Dic!P19</f>
        <v>0</v>
      </c>
      <c r="Q19" s="40">
        <f>Ene!Q19+Feb!Q19+Mar!Q19+Abr!Q19+May!Q19+Jun!Q19+Jul!Q19+Ago!Q19+Sep!Q19+Oct!Q19+Nov!Q19+Dic!Q19</f>
        <v>0</v>
      </c>
      <c r="R19" s="223">
        <v>0.15</v>
      </c>
      <c r="S19" s="40">
        <f>Ene!S19+Feb!S19+Mar!S19+Abr!S19+May!S19+Jun!S19+Jul!S19+Ago!S19+Sep!S19+Nov!S19+Dic!S19</f>
        <v>0</v>
      </c>
      <c r="T19" s="258">
        <v>3.7499999999999999E-2</v>
      </c>
      <c r="U19" s="40">
        <f>IF($F19&amp;"/Día"=W$9,SUM($G19:$H19),"")</f>
        <v>0</v>
      </c>
      <c r="V19" s="40">
        <f t="shared" si="1"/>
        <v>0</v>
      </c>
      <c r="W19" s="75">
        <f t="shared" si="2"/>
        <v>0</v>
      </c>
      <c r="X19" s="76">
        <f t="shared" si="3"/>
        <v>0</v>
      </c>
      <c r="Y19" s="76">
        <f t="shared" si="4"/>
        <v>0</v>
      </c>
      <c r="Z19" s="40">
        <f t="shared" si="5"/>
        <v>0</v>
      </c>
      <c r="AA19" s="40" t="str">
        <f>IF($F19&amp;"/Día"=AC$9,SUM($G19:$H19),"")</f>
        <v/>
      </c>
      <c r="AB19" s="40" t="str">
        <f t="shared" si="8"/>
        <v/>
      </c>
      <c r="AC19" s="75" t="str">
        <f t="shared" si="9"/>
        <v/>
      </c>
      <c r="AD19" s="76" t="str">
        <f t="shared" si="10"/>
        <v/>
      </c>
      <c r="AE19" s="76" t="str">
        <f t="shared" si="11"/>
        <v/>
      </c>
      <c r="AF19" s="40" t="str">
        <f t="shared" si="12"/>
        <v/>
      </c>
      <c r="AG19" s="50"/>
      <c r="AK19" s="65"/>
      <c r="AL19" s="498"/>
    </row>
    <row r="20" spans="1:38" s="1" customFormat="1" ht="15" customHeight="1" x14ac:dyDescent="0.25">
      <c r="A20" s="376" t="s">
        <v>28</v>
      </c>
      <c r="B20" s="377" t="s">
        <v>239</v>
      </c>
      <c r="C20" s="57" t="s">
        <v>31</v>
      </c>
      <c r="D20" s="25" t="s">
        <v>30</v>
      </c>
      <c r="E20" s="57" t="s">
        <v>101</v>
      </c>
      <c r="F20" s="236" t="s">
        <v>56</v>
      </c>
      <c r="G20" s="40">
        <f>Ene!G20+Feb!G20+Mar!G20+Abr!G20+May!G20+Jun!G20+Jul!G20+Ago!G20+Sep!G20+Oct!G20+Nov!G20+Dic!G20</f>
        <v>0</v>
      </c>
      <c r="H20" s="40">
        <f>Ene!H20+Feb!H20+Mar!H20+Abr!H20+May!H20+Jun!H20+Jul!H20+Ago!H20+Sep!H20+Oct!H20+Nov!H20+Dic!H20</f>
        <v>0</v>
      </c>
      <c r="I20" s="40">
        <f>Ene!I20+Feb!I20+Mar!I20+Abr!I20+May!I20+Jun!I20+Jul!I20+Ago!I20+Sep!I20+Oct!I20+Nov!I20+Dic!I20</f>
        <v>0</v>
      </c>
      <c r="J20" s="40">
        <f>Ene!J20+Feb!J20+Mar!J20+Abr!J20+May!J20+Jun!J20+Jul!J20+Ago!J20+Sep!J20+Oct!J20+Nov!J20+Dic!J20</f>
        <v>0</v>
      </c>
      <c r="K20" s="222"/>
      <c r="L20" s="222"/>
      <c r="M20" s="40">
        <f>Ene!M20+Feb!M20+Mar!M20+Abr!M20+May!M20+Jun!M20+Jul!M20+Ago!M20+Sep!M20+Nov!M20+Dic!M20</f>
        <v>0</v>
      </c>
      <c r="N20" s="40">
        <f>Ene!N20+Feb!N20+Mar!N20+Abr!N20+May!N20+Jun!N20+Jul!N20+Ago!N20+Sep!N20+Oct!N20+Nov!N20+Dic!N20</f>
        <v>0</v>
      </c>
      <c r="O20" s="40">
        <f>Ene!O20+Feb!O20+Mar!O20+Abr!O20+May!O20+Jun!O20+Jul!O20+Ago!O20+Sep!O20+Oct!O20+Nov!O20+Dic!O20</f>
        <v>0</v>
      </c>
      <c r="P20" s="40">
        <f>Ene!P20+Feb!P20+Mar!P20+Abr!P20+May!P20+Jun!P20+Jul!P20+Ago!P20+Sep!P20+Oct!P20+Nov!P20+Dic!P20</f>
        <v>0</v>
      </c>
      <c r="Q20" s="40">
        <f>Ene!Q20+Feb!Q20+Mar!Q20+Abr!Q20+May!Q20+Jun!Q20+Jul!Q20+Ago!Q20+Sep!Q20+Oct!Q20+Nov!Q20+Dic!Q20</f>
        <v>0</v>
      </c>
      <c r="R20" s="223">
        <v>0.15</v>
      </c>
      <c r="S20" s="40">
        <f>Ene!S20+Feb!S20+Mar!S20+Abr!S20+May!S20+Jun!S20+Jul!S20+Ago!S20+Sep!S20+Nov!S20+Dic!S20</f>
        <v>0</v>
      </c>
      <c r="T20" s="258">
        <v>3.7499999999999999E-2</v>
      </c>
      <c r="U20" s="40" t="str">
        <f>IF($F20&amp;"/Día"=W$9,SUM($G20:$H20),"")</f>
        <v/>
      </c>
      <c r="V20" s="40" t="str">
        <f t="shared" si="1"/>
        <v/>
      </c>
      <c r="W20" s="75" t="str">
        <f t="shared" si="2"/>
        <v/>
      </c>
      <c r="X20" s="76" t="str">
        <f t="shared" si="3"/>
        <v/>
      </c>
      <c r="Y20" s="76" t="str">
        <f t="shared" si="4"/>
        <v/>
      </c>
      <c r="Z20" s="40" t="str">
        <f t="shared" si="5"/>
        <v/>
      </c>
      <c r="AA20" s="40">
        <f>IF($F20&amp;"/Día"=AC$9,SUM($G20:$H20),"")</f>
        <v>0</v>
      </c>
      <c r="AB20" s="40">
        <f t="shared" si="8"/>
        <v>0</v>
      </c>
      <c r="AC20" s="75">
        <f t="shared" si="9"/>
        <v>0</v>
      </c>
      <c r="AD20" s="76">
        <f t="shared" si="10"/>
        <v>0</v>
      </c>
      <c r="AE20" s="76">
        <f t="shared" si="11"/>
        <v>0</v>
      </c>
      <c r="AF20" s="40">
        <f t="shared" si="12"/>
        <v>0</v>
      </c>
      <c r="AG20" s="50"/>
      <c r="AK20" s="65"/>
      <c r="AL20" s="498"/>
    </row>
    <row r="21" spans="1:38" x14ac:dyDescent="0.25">
      <c r="A21" s="376" t="s">
        <v>28</v>
      </c>
      <c r="B21" s="377" t="s">
        <v>238</v>
      </c>
      <c r="C21" s="57" t="s">
        <v>31</v>
      </c>
      <c r="D21" s="25" t="s">
        <v>30</v>
      </c>
      <c r="E21" s="57" t="s">
        <v>101</v>
      </c>
      <c r="F21" s="236" t="s">
        <v>37</v>
      </c>
      <c r="G21" s="40">
        <f>Ene!G21+Feb!G21+Mar!G21+Abr!G21+May!G21+Jun!G21+Jul!G21+Ago!G21+Sep!G21+Oct!G21+Nov!G21+Dic!G21</f>
        <v>39851</v>
      </c>
      <c r="H21" s="40">
        <f>Ene!H21+Feb!H21+Mar!H21+Abr!H21+May!H21+Jun!H21+Jul!H21+Ago!H21+Sep!H21+Oct!H21+Nov!H21+Dic!H21</f>
        <v>70024</v>
      </c>
      <c r="I21" s="40">
        <f>Ene!I21+Feb!I21+Mar!I21+Abr!I21+May!I21+Jun!I21+Jul!I21+Ago!I21+Sep!I21+Oct!I21+Nov!I21+Dic!I21</f>
        <v>274.33960000000002</v>
      </c>
      <c r="J21" s="40">
        <f>Ene!J21+Feb!J21+Mar!J21+Abr!J21+May!J21+Jun!J21+Jul!J21+Ago!J21+Sep!J21+Oct!J21+Nov!J21+Dic!J21</f>
        <v>350.42259999999999</v>
      </c>
      <c r="K21" s="40"/>
      <c r="L21" s="40"/>
      <c r="M21" s="40">
        <f>Ene!M21+Feb!M21+Mar!M21+Abr!M21+May!M21+Jun!M21+Jul!M21+Ago!M21+Sep!M21+Nov!M21+Dic!M21</f>
        <v>0</v>
      </c>
      <c r="N21" s="40">
        <f>Ene!N21+Feb!N21+Mar!N21+Abr!N21+May!N21+Jun!N21+Jul!N21+Ago!N21+Sep!N21+Oct!N21+Nov!N21+Dic!N21</f>
        <v>1162.47</v>
      </c>
      <c r="O21" s="40">
        <f>Ene!O21+Feb!O21+Mar!O21+Abr!O21+May!O21+Jun!O21+Jul!O21+Ago!O21+Sep!O21+Oct!O21+Nov!O21+Dic!O21</f>
        <v>9815896.5800000001</v>
      </c>
      <c r="P21" s="40">
        <f>Ene!P21+Feb!P21+Mar!P21+Abr!P21+May!P21+Jun!P21+Jul!P21+Ago!P21+Sep!P21+Oct!P21+Nov!P21+Dic!P21</f>
        <v>1840480.6</v>
      </c>
      <c r="Q21" s="40">
        <f>Ene!Q21+Feb!Q21+Mar!Q21+Abr!Q21+May!Q21+Jun!Q21+Jul!Q21+Ago!Q21+Sep!Q21+Oct!Q21+Nov!Q21+Dic!Q21</f>
        <v>1472384.48</v>
      </c>
      <c r="R21" s="223">
        <v>0.15</v>
      </c>
      <c r="S21" s="40">
        <f>Ene!S21+Feb!S21+Mar!S21+Abr!S21+May!S21+Jun!S21+Jul!S21+Ago!S21+Sep!S21+Nov!S21+Dic!S21</f>
        <v>368096.12</v>
      </c>
      <c r="T21" s="258">
        <v>3.7499999999999999E-2</v>
      </c>
      <c r="U21" s="40">
        <f t="shared" si="0"/>
        <v>109875</v>
      </c>
      <c r="V21" s="40">
        <f t="shared" si="1"/>
        <v>9815896.5800000001</v>
      </c>
      <c r="W21" s="75">
        <f t="shared" si="2"/>
        <v>301</v>
      </c>
      <c r="X21" s="76">
        <f t="shared" si="3"/>
        <v>89.3369</v>
      </c>
      <c r="Y21" s="76">
        <f t="shared" si="4"/>
        <v>16.750699999999998</v>
      </c>
      <c r="Z21" s="40">
        <f t="shared" si="5"/>
        <v>1840480.6</v>
      </c>
      <c r="AA21" s="40" t="str">
        <f t="shared" si="7"/>
        <v/>
      </c>
      <c r="AB21" s="40" t="str">
        <f t="shared" si="8"/>
        <v/>
      </c>
      <c r="AC21" s="75" t="str">
        <f t="shared" si="9"/>
        <v/>
      </c>
      <c r="AD21" s="76" t="str">
        <f t="shared" si="10"/>
        <v/>
      </c>
      <c r="AE21" s="76" t="str">
        <f t="shared" si="11"/>
        <v/>
      </c>
      <c r="AF21" s="40" t="str">
        <f t="shared" si="12"/>
        <v/>
      </c>
      <c r="AG21" s="50"/>
      <c r="AH21" s="121">
        <f t="shared" si="6"/>
        <v>25653640.492000006</v>
      </c>
      <c r="AL21" s="498"/>
    </row>
    <row r="22" spans="1:38" x14ac:dyDescent="0.25">
      <c r="A22" s="23" t="s">
        <v>28</v>
      </c>
      <c r="B22" s="24" t="s">
        <v>18</v>
      </c>
      <c r="C22" s="57" t="s">
        <v>31</v>
      </c>
      <c r="D22" s="25" t="s">
        <v>30</v>
      </c>
      <c r="E22" s="57" t="s">
        <v>101</v>
      </c>
      <c r="F22" s="236" t="s">
        <v>37</v>
      </c>
      <c r="G22" s="40">
        <f>Ene!G22+Feb!G22+Mar!G22+Abr!G22+May!G22+Jun!G22+Jul!G22+Ago!G22+Sep!G22+Oct!G22+Nov!G22+Dic!G22</f>
        <v>8737</v>
      </c>
      <c r="H22" s="40">
        <f>Ene!H22+Feb!H22+Mar!H22+Abr!H22+May!H22+Jun!H22+Jul!H22+Ago!H22+Sep!H22+Oct!H22+Nov!H22+Dic!H22</f>
        <v>12473</v>
      </c>
      <c r="I22" s="40">
        <f>Ene!I22+Feb!I22+Mar!I22+Abr!I22+May!I22+Jun!I22+Jul!I22+Ago!I22+Sep!I22+Oct!I22+Nov!I22+Dic!I22</f>
        <v>346.77409999999998</v>
      </c>
      <c r="J22" s="40">
        <f>Ene!J22+Feb!J22+Mar!J22+Abr!J22+May!J22+Jun!J22+Jul!J22+Ago!J22+Sep!J22+Oct!J22+Nov!J22+Dic!J22</f>
        <v>260.90699999999998</v>
      </c>
      <c r="K22" s="40"/>
      <c r="L22" s="40"/>
      <c r="M22" s="40">
        <f>Ene!M22+Feb!M22+Mar!M22+Abr!M22+May!M22+Jun!M22+Jul!M22+Ago!M22+Sep!M22+Nov!M22+Dic!M22</f>
        <v>0</v>
      </c>
      <c r="N22" s="40">
        <f>Ene!N22+Feb!N22+Mar!N22+Abr!N22+May!N22+Jun!N22+Jul!N22+Ago!N22+Sep!N22+Oct!N22+Nov!N22+Dic!N22</f>
        <v>924.1099999999999</v>
      </c>
      <c r="O22" s="40">
        <f>Ene!O22+Feb!O22+Mar!O22+Abr!O22+May!O22+Jun!O22+Jul!O22+Ago!O22+Sep!O22+Oct!O22+Nov!O22+Dic!O22</f>
        <v>1864672.86</v>
      </c>
      <c r="P22" s="40">
        <f>Ene!P22+Feb!P22+Mar!P22+Abr!P22+May!P22+Jun!P22+Jul!P22+Ago!P22+Sep!P22+Oct!P22+Nov!P22+Dic!P22</f>
        <v>349626.16000000003</v>
      </c>
      <c r="Q22" s="40">
        <f>Ene!Q22+Feb!Q22+Mar!Q22+Abr!Q22+May!Q22+Jun!Q22+Jul!Q22+Ago!Q22+Sep!Q22+Oct!Q22+Nov!Q22+Dic!Q22</f>
        <v>279700.93</v>
      </c>
      <c r="R22" s="223">
        <v>0.15</v>
      </c>
      <c r="S22" s="40">
        <f>Ene!S22+Feb!S22+Mar!S22+Abr!S22+May!S22+Jun!S22+Jul!S22+Ago!S22+Sep!S22+Nov!S22+Dic!S22</f>
        <v>69925.23000000001</v>
      </c>
      <c r="T22" s="258">
        <v>3.7499999999999999E-2</v>
      </c>
      <c r="U22" s="40">
        <f t="shared" si="0"/>
        <v>21210</v>
      </c>
      <c r="V22" s="40">
        <f t="shared" si="1"/>
        <v>1864672.86</v>
      </c>
      <c r="W22" s="75">
        <f t="shared" si="2"/>
        <v>58.1</v>
      </c>
      <c r="X22" s="76">
        <f t="shared" si="3"/>
        <v>87.9148</v>
      </c>
      <c r="Y22" s="76">
        <f t="shared" si="4"/>
        <v>16.484000000000002</v>
      </c>
      <c r="Z22" s="40">
        <f t="shared" si="5"/>
        <v>349626.16000000003</v>
      </c>
      <c r="AA22" s="40" t="str">
        <f t="shared" si="7"/>
        <v/>
      </c>
      <c r="AB22" s="40" t="str">
        <f t="shared" si="8"/>
        <v/>
      </c>
      <c r="AC22" s="75" t="str">
        <f t="shared" si="9"/>
        <v/>
      </c>
      <c r="AD22" s="76" t="str">
        <f t="shared" si="10"/>
        <v/>
      </c>
      <c r="AE22" s="76" t="str">
        <f t="shared" si="11"/>
        <v/>
      </c>
      <c r="AF22" s="40" t="str">
        <f t="shared" si="12"/>
        <v/>
      </c>
      <c r="AG22" s="50"/>
      <c r="AH22" s="121">
        <f t="shared" si="6"/>
        <v>4418461.3526999988</v>
      </c>
      <c r="AL22" s="498"/>
    </row>
    <row r="23" spans="1:38" x14ac:dyDescent="0.25">
      <c r="A23" s="23" t="s">
        <v>28</v>
      </c>
      <c r="B23" s="24" t="s">
        <v>20</v>
      </c>
      <c r="C23" s="57" t="s">
        <v>31</v>
      </c>
      <c r="D23" s="25" t="s">
        <v>30</v>
      </c>
      <c r="E23" s="57" t="s">
        <v>101</v>
      </c>
      <c r="F23" s="236" t="s">
        <v>37</v>
      </c>
      <c r="G23" s="40">
        <f>Ene!G23+Feb!G23+Mar!G23+Abr!G23+May!G23+Jun!G23+Jul!G23+Ago!G23+Sep!G23+Oct!G23+Nov!G23+Dic!G23</f>
        <v>339506.6</v>
      </c>
      <c r="H23" s="40">
        <f>Ene!H23+Feb!H23+Mar!H23+Abr!H23+May!H23+Jun!H23+Jul!H23+Ago!H23+Sep!H23+Oct!H23+Nov!H23+Dic!H23</f>
        <v>306026.2</v>
      </c>
      <c r="I23" s="40">
        <f>Ene!I23+Feb!I23+Mar!I23+Abr!I23+May!I23+Jun!I23+Jul!I23+Ago!I23+Sep!I23+Oct!I23+Nov!I23+Dic!I23</f>
        <v>347.976</v>
      </c>
      <c r="J23" s="40">
        <f>Ene!J23+Feb!J23+Mar!J23+Abr!J23+May!J23+Jun!J23+Jul!J23+Ago!J23+Sep!J23+Oct!J23+Nov!J23+Dic!J23</f>
        <v>363.42259999999999</v>
      </c>
      <c r="K23" s="40"/>
      <c r="L23" s="40"/>
      <c r="M23" s="40">
        <f>Ene!M23+Feb!M23+Mar!M23+Abr!M23+May!M23+Jun!M23+Jul!M23+Ago!M23+Sep!M23+Nov!M23+Dic!M23</f>
        <v>0</v>
      </c>
      <c r="N23" s="40">
        <f>Ene!N23+Feb!N23+Mar!N23+Abr!N23+May!N23+Jun!N23+Jul!N23+Ago!N23+Sep!N23+Oct!N23+Nov!N23+Dic!N23</f>
        <v>9797.630000000001</v>
      </c>
      <c r="O23" s="40">
        <f>Ene!O23+Feb!O23+Mar!O23+Abr!O23+May!O23+Jun!O23+Jul!O23+Ago!O23+Sep!O23+Oct!O23+Nov!O23+Dic!O23</f>
        <v>63560408.179999992</v>
      </c>
      <c r="P23" s="40">
        <f>Ene!P23+Feb!P23+Mar!P23+Abr!P23+May!P23+Jun!P23+Jul!P23+Ago!P23+Sep!P23+Oct!P23+Nov!P23+Dic!P23</f>
        <v>11917576.530000001</v>
      </c>
      <c r="Q23" s="40">
        <f>Ene!Q23+Feb!Q23+Mar!Q23+Abr!Q23+May!Q23+Jun!Q23+Jul!Q23+Ago!Q23+Sep!Q23+Oct!Q23+Nov!Q23+Dic!Q23</f>
        <v>9534061.2300000004</v>
      </c>
      <c r="R23" s="223">
        <v>0.15</v>
      </c>
      <c r="S23" s="40">
        <f>Ene!S23+Feb!S23+Mar!S23+Abr!S23+May!S23+Jun!S23+Jul!S23+Ago!S23+Sep!S23+Nov!S23+Dic!S23</f>
        <v>2383515.2999999998</v>
      </c>
      <c r="T23" s="258">
        <v>3.7499999999999999E-2</v>
      </c>
      <c r="U23" s="40">
        <f t="shared" si="0"/>
        <v>645532.80000000005</v>
      </c>
      <c r="V23" s="40">
        <f t="shared" si="1"/>
        <v>63560408.179999992</v>
      </c>
      <c r="W23" s="75">
        <f t="shared" si="2"/>
        <v>1768.6</v>
      </c>
      <c r="X23" s="76">
        <f t="shared" si="3"/>
        <v>98.4619</v>
      </c>
      <c r="Y23" s="76">
        <f t="shared" si="4"/>
        <v>18.461600000000001</v>
      </c>
      <c r="Z23" s="40">
        <f t="shared" si="5"/>
        <v>11917576.530000001</v>
      </c>
      <c r="AA23" s="40" t="str">
        <f t="shared" si="7"/>
        <v/>
      </c>
      <c r="AB23" s="40" t="str">
        <f t="shared" si="8"/>
        <v/>
      </c>
      <c r="AC23" s="75" t="str">
        <f t="shared" si="9"/>
        <v/>
      </c>
      <c r="AD23" s="76" t="str">
        <f t="shared" si="10"/>
        <v/>
      </c>
      <c r="AE23" s="76" t="str">
        <f t="shared" si="11"/>
        <v/>
      </c>
      <c r="AF23" s="40" t="str">
        <f t="shared" si="12"/>
        <v/>
      </c>
      <c r="AG23" s="50"/>
      <c r="AH23" s="121">
        <f t="shared" si="6"/>
        <v>165786780.10372001</v>
      </c>
      <c r="AL23" s="498"/>
    </row>
    <row r="24" spans="1:38" x14ac:dyDescent="0.25">
      <c r="A24" s="23" t="s">
        <v>28</v>
      </c>
      <c r="B24" s="24" t="s">
        <v>372</v>
      </c>
      <c r="C24" s="57" t="s">
        <v>31</v>
      </c>
      <c r="D24" s="25" t="s">
        <v>30</v>
      </c>
      <c r="E24" s="57" t="s">
        <v>101</v>
      </c>
      <c r="F24" s="236" t="s">
        <v>56</v>
      </c>
      <c r="G24" s="40">
        <f>Ene!G24+Feb!G24+Mar!G24+Abr!G24+May!G24+Jun!G24+Jul!G24+Ago!G24+Sep!G24+Oct!G24+Nov!G24+Dic!G24</f>
        <v>551131.86600000004</v>
      </c>
      <c r="H24" s="40">
        <f>Ene!H24+Feb!H24+Mar!H24+Abr!H24+May!H24+Jun!H24+Jul!H24+Ago!H24+Sep!H24+Oct!H24+Nov!H24+Dic!H24</f>
        <v>552336.82000000007</v>
      </c>
      <c r="I24" s="40">
        <f>Ene!I24+Feb!I24+Mar!I24+Abr!I24+May!I24+Jun!I24+Jul!I24+Ago!I24+Sep!I24+Oct!I24+Nov!I24+Dic!I24</f>
        <v>11.6</v>
      </c>
      <c r="J24" s="40">
        <f>Ene!J24+Feb!J24+Mar!J24+Abr!J24+May!J24+Jun!J24+Jul!J24+Ago!J24+Sep!J24+Oct!J24+Nov!J24+Dic!J24</f>
        <v>11.6</v>
      </c>
      <c r="K24" s="40"/>
      <c r="L24" s="40"/>
      <c r="M24" s="40">
        <f>Ene!M24+Feb!M24+Mar!M24+Abr!M24+May!M24+Jun!M24+Jul!M24+Ago!M24+Sep!M24+Nov!M24+Dic!M24</f>
        <v>0</v>
      </c>
      <c r="N24" s="40">
        <f>Ene!N24+Feb!N24+Mar!N24+Abr!N24+May!N24+Jun!N24+Jul!N24+Ago!N24+Sep!N24+Oct!N24+Nov!N24+Dic!N24</f>
        <v>6223.51</v>
      </c>
      <c r="O24" s="40">
        <f>Ene!O24+Feb!O24+Mar!O24+Abr!O24+May!O24+Jun!O24+Jul!O24+Ago!O24+Sep!O24+Oct!O24+Nov!O24+Dic!O24</f>
        <v>3193835.6800000006</v>
      </c>
      <c r="P24" s="40">
        <f>Ene!P24+Feb!P24+Mar!P24+Abr!P24+May!P24+Jun!P24+Jul!P24+Ago!P24+Sep!P24+Oct!P24+Nov!P24+Dic!P24</f>
        <v>598844.19999999995</v>
      </c>
      <c r="Q24" s="40">
        <f>Ene!Q24+Feb!Q24+Mar!Q24+Abr!Q24+May!Q24+Jun!Q24+Jul!Q24+Ago!Q24+Sep!Q24+Oct!Q24+Nov!Q24+Dic!Q24</f>
        <v>479075.35</v>
      </c>
      <c r="R24" s="223">
        <v>0.15</v>
      </c>
      <c r="S24" s="40">
        <f>Ene!S24+Feb!S24+Mar!S24+Abr!S24+May!S24+Jun!S24+Jul!S24+Ago!S24+Sep!S24+Nov!S24+Dic!S24</f>
        <v>119768.85</v>
      </c>
      <c r="T24" s="258">
        <v>3.7499999999999999E-2</v>
      </c>
      <c r="U24" s="40" t="str">
        <f t="shared" si="0"/>
        <v/>
      </c>
      <c r="V24" s="40" t="str">
        <f t="shared" si="1"/>
        <v/>
      </c>
      <c r="W24" s="75" t="str">
        <f t="shared" si="2"/>
        <v/>
      </c>
      <c r="X24" s="76" t="str">
        <f t="shared" si="3"/>
        <v/>
      </c>
      <c r="Y24" s="76" t="str">
        <f t="shared" si="4"/>
        <v/>
      </c>
      <c r="Z24" s="40" t="str">
        <f t="shared" si="5"/>
        <v/>
      </c>
      <c r="AA24" s="40">
        <f t="shared" si="7"/>
        <v>1103468.6860000002</v>
      </c>
      <c r="AB24" s="40">
        <f t="shared" si="8"/>
        <v>3193835.6800000006</v>
      </c>
      <c r="AC24" s="75">
        <f t="shared" si="9"/>
        <v>3023.2</v>
      </c>
      <c r="AD24" s="76">
        <f t="shared" si="10"/>
        <v>2.8944000000000001</v>
      </c>
      <c r="AE24" s="76">
        <f t="shared" si="11"/>
        <v>0.54269999999999996</v>
      </c>
      <c r="AF24" s="40">
        <f t="shared" si="12"/>
        <v>598844.19999999995</v>
      </c>
      <c r="AG24" s="50"/>
      <c r="AH24" s="121">
        <f t="shared" si="6"/>
        <v>9600177.5676000006</v>
      </c>
      <c r="AL24" s="498"/>
    </row>
    <row r="25" spans="1:38" x14ac:dyDescent="0.25">
      <c r="A25" s="23" t="s">
        <v>28</v>
      </c>
      <c r="B25" s="24" t="s">
        <v>9</v>
      </c>
      <c r="C25" s="57" t="s">
        <v>31</v>
      </c>
      <c r="D25" s="25" t="s">
        <v>30</v>
      </c>
      <c r="E25" s="57" t="s">
        <v>101</v>
      </c>
      <c r="F25" s="236" t="s">
        <v>37</v>
      </c>
      <c r="G25" s="40">
        <f>Ene!G25+Feb!G25+Mar!G25+Abr!G25+May!G25+Jun!G25+Jul!G25+Ago!G25+Sep!G25+Oct!G25+Nov!G25+Dic!G25</f>
        <v>0</v>
      </c>
      <c r="H25" s="40">
        <f>Ene!H25+Feb!H25+Mar!H25+Abr!H25+May!H25+Jun!H25+Jul!H25+Ago!H25+Sep!H25+Oct!H25+Nov!H25+Dic!H25</f>
        <v>0</v>
      </c>
      <c r="I25" s="40">
        <f>Ene!I25+Feb!I25+Mar!I25+Abr!I25+May!I25+Jun!I25+Jul!I25+Ago!I25+Sep!I25+Oct!I25+Nov!I25+Dic!I25</f>
        <v>0</v>
      </c>
      <c r="J25" s="40">
        <f>Ene!J25+Feb!J25+Mar!J25+Abr!J25+May!J25+Jun!J25+Jul!J25+Ago!J25+Sep!J25+Oct!J25+Nov!J25+Dic!J25</f>
        <v>0</v>
      </c>
      <c r="K25" s="40"/>
      <c r="L25" s="40"/>
      <c r="M25" s="40">
        <f>Ene!M25+Feb!M25+Mar!M25+Abr!M25+May!M25+Jun!M25+Jul!M25+Ago!M25+Sep!M25+Nov!M25+Dic!M25</f>
        <v>0</v>
      </c>
      <c r="N25" s="40">
        <f>Ene!N25+Feb!N25+Mar!N25+Abr!N25+May!N25+Jun!N25+Jul!N25+Ago!N25+Sep!N25+Oct!N25+Nov!N25+Dic!N25</f>
        <v>0</v>
      </c>
      <c r="O25" s="40">
        <f>Ene!O25+Feb!O25+Mar!O25+Abr!O25+May!O25+Jun!O25+Jul!O25+Ago!O25+Sep!O25+Oct!O25+Nov!O25+Dic!O25</f>
        <v>0</v>
      </c>
      <c r="P25" s="40">
        <f>Ene!P25+Feb!P25+Mar!P25+Abr!P25+May!P25+Jun!P25+Jul!P25+Ago!P25+Sep!P25+Oct!P25+Nov!P25+Dic!P25</f>
        <v>0</v>
      </c>
      <c r="Q25" s="40">
        <f>Ene!Q25+Feb!Q25+Mar!Q25+Abr!Q25+May!Q25+Jun!Q25+Jul!Q25+Ago!Q25+Sep!Q25+Oct!Q25+Nov!Q25+Dic!Q25</f>
        <v>0</v>
      </c>
      <c r="R25" s="223">
        <v>0.15</v>
      </c>
      <c r="S25" s="40">
        <f>Ene!S25+Feb!S25+Mar!S25+Abr!S25+May!S25+Jun!S25+Jul!S25+Ago!S25+Sep!S25+Nov!S25+Dic!S25</f>
        <v>0</v>
      </c>
      <c r="T25" s="258">
        <v>3.7499999999999999E-2</v>
      </c>
      <c r="U25" s="40">
        <f t="shared" si="0"/>
        <v>0</v>
      </c>
      <c r="V25" s="40">
        <f t="shared" si="1"/>
        <v>0</v>
      </c>
      <c r="W25" s="75">
        <f t="shared" si="2"/>
        <v>0</v>
      </c>
      <c r="X25" s="76">
        <f t="shared" si="3"/>
        <v>0</v>
      </c>
      <c r="Y25" s="76">
        <f t="shared" si="4"/>
        <v>0</v>
      </c>
      <c r="Z25" s="40">
        <f t="shared" si="5"/>
        <v>0</v>
      </c>
      <c r="AA25" s="40" t="str">
        <f t="shared" si="7"/>
        <v/>
      </c>
      <c r="AB25" s="40" t="str">
        <f t="shared" si="8"/>
        <v/>
      </c>
      <c r="AC25" s="75" t="str">
        <f t="shared" si="9"/>
        <v/>
      </c>
      <c r="AD25" s="76" t="str">
        <f t="shared" si="10"/>
        <v/>
      </c>
      <c r="AE25" s="76" t="str">
        <f t="shared" si="11"/>
        <v/>
      </c>
      <c r="AF25" s="40" t="str">
        <f t="shared" si="12"/>
        <v/>
      </c>
      <c r="AG25" s="50"/>
      <c r="AH25" s="121" t="str">
        <f t="shared" si="6"/>
        <v/>
      </c>
      <c r="AL25" s="498"/>
    </row>
    <row r="26" spans="1:38" x14ac:dyDescent="0.25">
      <c r="A26" s="23" t="s">
        <v>28</v>
      </c>
      <c r="B26" s="24" t="s">
        <v>165</v>
      </c>
      <c r="C26" s="57" t="s">
        <v>31</v>
      </c>
      <c r="D26" s="25" t="s">
        <v>30</v>
      </c>
      <c r="E26" s="57" t="s">
        <v>101</v>
      </c>
      <c r="F26" s="236" t="s">
        <v>37</v>
      </c>
      <c r="G26" s="40">
        <f>Ene!G26+Feb!G26+Mar!G26+Abr!G26+May!G26+Jun!G26+Jul!G26+Ago!G26+Sep!G26+Oct!G26+Nov!G26+Dic!G26</f>
        <v>25608.071500599999</v>
      </c>
      <c r="H26" s="40">
        <f>Ene!H26+Feb!H26+Mar!H26+Abr!H26+May!H26+Jun!H26+Jul!H26+Ago!H26+Sep!H26+Oct!H26+Nov!H26+Dic!H26</f>
        <v>22727.208688359999</v>
      </c>
      <c r="I26" s="40">
        <f>Ene!I26+Feb!I26+Mar!I26+Abr!I26+May!I26+Jun!I26+Jul!I26+Ago!I26+Sep!I26+Oct!I26+Nov!I26+Dic!I26</f>
        <v>274.46929999999998</v>
      </c>
      <c r="J26" s="40">
        <f>Ene!J26+Feb!J26+Mar!J26+Abr!J26+May!J26+Jun!J26+Jul!J26+Ago!J26+Sep!J26+Oct!J26+Nov!J26+Dic!J26</f>
        <v>370.1343</v>
      </c>
      <c r="K26" s="40"/>
      <c r="L26" s="40"/>
      <c r="M26" s="40">
        <f>Ene!M26+Feb!M26+Mar!M26+Abr!M26+May!M26+Jun!M26+Jul!M26+Ago!M26+Sep!M26+Nov!M26+Dic!M26</f>
        <v>0</v>
      </c>
      <c r="N26" s="40">
        <f>Ene!N26+Feb!N26+Mar!N26+Abr!N26+May!N26+Jun!N26+Jul!N26+Ago!N26+Sep!N26+Oct!N26+Nov!N26+Dic!N26</f>
        <v>12971.29</v>
      </c>
      <c r="O26" s="40">
        <f>Ene!O26+Feb!O26+Mar!O26+Abr!O26+May!O26+Jun!O26+Jul!O26+Ago!O26+Sep!O26+Oct!O26+Nov!O26+Dic!O26</f>
        <v>5058877.3999999994</v>
      </c>
      <c r="P26" s="40">
        <f>Ene!P26+Feb!P26+Mar!P26+Abr!P26+May!P26+Jun!P26+Jul!P26+Ago!P26+Sep!P26+Oct!P26+Nov!P26+Dic!P26</f>
        <v>948539.51</v>
      </c>
      <c r="Q26" s="40">
        <f>Ene!Q26+Feb!Q26+Mar!Q26+Abr!Q26+May!Q26+Jun!Q26+Jul!Q26+Ago!Q26+Sep!Q26+Oct!Q26+Nov!Q26+Dic!Q26</f>
        <v>758831.61</v>
      </c>
      <c r="R26" s="223">
        <v>0.15</v>
      </c>
      <c r="S26" s="40">
        <f>Ene!S26+Feb!S26+Mar!S26+Abr!S26+May!S26+Jun!S26+Jul!S26+Ago!S26+Sep!S26+Nov!S26+Dic!S26</f>
        <v>189707.89</v>
      </c>
      <c r="T26" s="258">
        <v>3.7499999999999999E-2</v>
      </c>
      <c r="U26" s="40">
        <f>IF($F26&amp;"/Día"=W$9,SUM($G26:$H26),"")</f>
        <v>48335.280188959994</v>
      </c>
      <c r="V26" s="40">
        <f t="shared" si="1"/>
        <v>5058877.3999999994</v>
      </c>
      <c r="W26" s="75">
        <f>IF($F26&amp;"/Día"=W$9,ROUND(U26/$W$1,1),"")</f>
        <v>132.4</v>
      </c>
      <c r="X26" s="76">
        <f>IF(U26=0,0,IF($F26&amp;"/Día"=W$9,ROUND(V26/U26,4),""))</f>
        <v>104.6622</v>
      </c>
      <c r="Y26" s="76">
        <f>IF(U26=0,0,IF($F26&amp;"/Día"=W$9,ROUND(Z26/U26,4),""))</f>
        <v>19.624199999999998</v>
      </c>
      <c r="Z26" s="40">
        <f>IF(U26&lt;&gt;"",$P26,"")</f>
        <v>948539.51</v>
      </c>
      <c r="AA26" s="40" t="str">
        <f t="shared" si="7"/>
        <v/>
      </c>
      <c r="AB26" s="40" t="str">
        <f t="shared" si="8"/>
        <v/>
      </c>
      <c r="AC26" s="75" t="str">
        <f t="shared" si="9"/>
        <v/>
      </c>
      <c r="AD26" s="76" t="str">
        <f t="shared" si="10"/>
        <v/>
      </c>
      <c r="AE26" s="76" t="str">
        <f t="shared" si="11"/>
        <v/>
      </c>
      <c r="AF26" s="40" t="str">
        <f t="shared" si="12"/>
        <v/>
      </c>
      <c r="AG26" s="50"/>
      <c r="AH26" s="121">
        <f t="shared" si="6"/>
        <v>10368900.24793968</v>
      </c>
      <c r="AL26" s="498"/>
    </row>
    <row r="27" spans="1:38" x14ac:dyDescent="0.25">
      <c r="A27" s="23" t="s">
        <v>28</v>
      </c>
      <c r="B27" s="24" t="s">
        <v>157</v>
      </c>
      <c r="C27" s="57" t="s">
        <v>31</v>
      </c>
      <c r="D27" s="25" t="s">
        <v>30</v>
      </c>
      <c r="E27" s="57" t="s">
        <v>101</v>
      </c>
      <c r="F27" s="236" t="s">
        <v>56</v>
      </c>
      <c r="G27" s="40">
        <f>Ene!G27+Feb!G27+Mar!G27+Abr!G27+May!G27+Jun!G27+Jul!G27+Ago!G27+Sep!G27+Oct!G27+Nov!G27+Dic!G27</f>
        <v>747418.95549999992</v>
      </c>
      <c r="H27" s="40">
        <f>Ene!H27+Feb!H27+Mar!H27+Abr!H27+May!H27+Jun!H27+Jul!H27+Ago!H27+Sep!H27+Oct!H27+Nov!H27+Dic!H27</f>
        <v>963288.46387743577</v>
      </c>
      <c r="I27" s="40">
        <f>Ene!I27+Feb!I27+Mar!I27+Abr!I27+May!I27+Jun!I27+Jul!I27+Ago!I27+Sep!I27+Oct!I27+Nov!I27+Dic!I27</f>
        <v>5.9975525718555929</v>
      </c>
      <c r="J27" s="40">
        <f>Ene!J27+Feb!J27+Mar!J27+Abr!J27+May!J27+Jun!J27+Jul!J27+Ago!J27+Sep!J27+Oct!J27+Nov!J27+Dic!J27</f>
        <v>10.988473333843634</v>
      </c>
      <c r="K27" s="40"/>
      <c r="L27" s="40"/>
      <c r="M27" s="40">
        <f>Ene!M27+Feb!M27+Mar!M27+Abr!M27+May!M27+Jun!M27+Jul!M27+Ago!M27+Sep!M27+Nov!M27+Dic!M27</f>
        <v>0</v>
      </c>
      <c r="N27" s="40">
        <f>Ene!N27+Feb!N27+Mar!N27+Abr!N27+May!N27+Jun!N27+Jul!N27+Ago!N27+Sep!N27+Oct!N27+Nov!N27+Dic!N27</f>
        <v>10150.58</v>
      </c>
      <c r="O27" s="40" t="e">
        <f>Ene!O27+Feb!O27+Mar!O27+Abr!O27+May!O27+Jun!O27+Jul!O27+Ago!O27+Sep!O27+Oct!O27+Nov!O27+Dic!O27</f>
        <v>#REF!</v>
      </c>
      <c r="P27" s="40" t="e">
        <f>Ene!P27+Feb!P27+Mar!P27+Abr!P27+May!P27+Jun!P27+Jul!P27+Ago!P27+Sep!P27+Oct!P27+Nov!P27+Dic!P27</f>
        <v>#REF!</v>
      </c>
      <c r="Q27" s="40" t="e">
        <f>Ene!Q27+Feb!Q27+Mar!Q27+Abr!Q27+May!Q27+Jun!Q27+Jul!Q27+Ago!Q27+Sep!Q27+Oct!Q27+Nov!Q27+Dic!Q27</f>
        <v>#REF!</v>
      </c>
      <c r="R27" s="223">
        <v>0.15</v>
      </c>
      <c r="S27" s="40" t="e">
        <f>Ene!S27+Feb!S27+Mar!S27+Abr!S27+May!S27+Jun!S27+Jul!S27+Ago!S27+Sep!S27+Nov!S27+Dic!S27</f>
        <v>#REF!</v>
      </c>
      <c r="T27" s="258">
        <v>3.7499999999999999E-2</v>
      </c>
      <c r="U27" s="40" t="str">
        <f>IF($F27&amp;"/Día"=W$9,SUM($G27:$H27),"")</f>
        <v/>
      </c>
      <c r="V27" s="40" t="str">
        <f>IF(U27&lt;&gt;"",$O27,"")</f>
        <v/>
      </c>
      <c r="W27" s="75" t="str">
        <f>IF($F27&amp;"/Día"=W$9,ROUND(U27/$W$1,1),"")</f>
        <v/>
      </c>
      <c r="X27" s="76" t="str">
        <f>IF(U27=0,0,IF($F27&amp;"/Día"=W$9,ROUND(V27/U27,4),""))</f>
        <v/>
      </c>
      <c r="Y27" s="76" t="str">
        <f>IF(U27=0,0,IF($F27&amp;"/Día"=W$9,ROUND(Z27/U27,4),""))</f>
        <v/>
      </c>
      <c r="Z27" s="40" t="str">
        <f>IF(U27&lt;&gt;"",$P27,"")</f>
        <v/>
      </c>
      <c r="AA27" s="40">
        <f t="shared" si="7"/>
        <v>1710707.4193774357</v>
      </c>
      <c r="AB27" s="40" t="e">
        <f t="shared" si="8"/>
        <v>#REF!</v>
      </c>
      <c r="AC27" s="75">
        <f t="shared" si="9"/>
        <v>4686.8999999999996</v>
      </c>
      <c r="AD27" s="76" t="e">
        <f t="shared" si="10"/>
        <v>#REF!</v>
      </c>
      <c r="AE27" s="76" t="e">
        <f t="shared" si="11"/>
        <v>#REF!</v>
      </c>
      <c r="AF27" s="40" t="e">
        <f t="shared" si="12"/>
        <v>#REF!</v>
      </c>
      <c r="AG27" s="50"/>
      <c r="AH27" s="121" t="e">
        <f t="shared" si="6"/>
        <v>#REF!</v>
      </c>
      <c r="AL27" s="498"/>
    </row>
    <row r="28" spans="1:38" x14ac:dyDescent="0.25">
      <c r="A28" s="23" t="s">
        <v>28</v>
      </c>
      <c r="B28" s="24" t="s">
        <v>170</v>
      </c>
      <c r="C28" s="57" t="s">
        <v>31</v>
      </c>
      <c r="D28" s="25" t="s">
        <v>30</v>
      </c>
      <c r="E28" s="57" t="s">
        <v>101</v>
      </c>
      <c r="F28" s="236" t="s">
        <v>37</v>
      </c>
      <c r="G28" s="40">
        <f>Ene!G28+Feb!G28+Mar!G28+Abr!G28+May!G28+Jun!G28+Jul!G28+Ago!G28+Sep!G28+Oct!G28+Nov!G28+Dic!G28</f>
        <v>0</v>
      </c>
      <c r="H28" s="40">
        <f>Ene!H28+Feb!H28+Mar!H28+Abr!H28+May!H28+Jun!H28+Jul!H28+Ago!H28+Sep!H28+Oct!H28+Nov!H28+Dic!H28</f>
        <v>0</v>
      </c>
      <c r="I28" s="40">
        <f>Ene!I28+Feb!I28+Mar!I28+Abr!I28+May!I28+Jun!I28+Jul!I28+Ago!I28+Sep!I28+Oct!I28+Nov!I28+Dic!I28</f>
        <v>0</v>
      </c>
      <c r="J28" s="40">
        <f>Ene!J28+Feb!J28+Mar!J28+Abr!J28+May!J28+Jun!J28+Jul!J28+Ago!J28+Sep!J28+Oct!J28+Nov!J28+Dic!J28</f>
        <v>0</v>
      </c>
      <c r="K28" s="40"/>
      <c r="L28" s="40"/>
      <c r="M28" s="40">
        <f>Ene!M28+Feb!M28+Mar!M28+Abr!M28+May!M28+Jun!M28+Jul!M28+Ago!M28+Sep!M28+Nov!M28+Dic!M28</f>
        <v>0</v>
      </c>
      <c r="N28" s="40">
        <f>Ene!N28+Feb!N28+Mar!N28+Abr!N28+May!N28+Jun!N28+Jul!N28+Ago!N28+Sep!N28+Oct!N28+Nov!N28+Dic!N28</f>
        <v>803.89</v>
      </c>
      <c r="O28" s="40">
        <f>Ene!O28+Feb!O28+Mar!O28+Abr!O28+May!O28+Jun!O28+Jul!O28+Ago!O28+Sep!O28+Oct!O28+Nov!O28+Dic!O28</f>
        <v>-803.89</v>
      </c>
      <c r="P28" s="40">
        <f>Ene!P28+Feb!P28+Mar!P28+Abr!P28+May!P28+Jun!P28+Jul!P28+Ago!P28+Sep!P28+Oct!P28+Nov!P28+Dic!P28</f>
        <v>-150.72999999999999</v>
      </c>
      <c r="Q28" s="40">
        <f>Ene!Q28+Feb!Q28+Mar!Q28+Abr!Q28+May!Q28+Jun!Q28+Jul!Q28+Ago!Q28+Sep!Q28+Oct!Q28+Nov!Q28+Dic!Q28</f>
        <v>-30.150000000000002</v>
      </c>
      <c r="R28" s="223">
        <v>0.15</v>
      </c>
      <c r="S28" s="40">
        <f>Ene!S28+Feb!S28+Mar!S28+Abr!S28+May!S28+Jun!S28+Jul!S28+Ago!S28+Sep!S28+Nov!S28+Dic!S28</f>
        <v>-120.57999999999998</v>
      </c>
      <c r="T28" s="258">
        <v>3.7499999999999999E-2</v>
      </c>
      <c r="U28" s="40">
        <f>IF($F28&amp;"/Día"=W$9,SUM($G28:$H28),"")</f>
        <v>0</v>
      </c>
      <c r="V28" s="40">
        <f t="shared" si="1"/>
        <v>-803.89</v>
      </c>
      <c r="W28" s="75">
        <f>IF($F28&amp;"/Día"=W$9,ROUND(U28/$W$1,1),"")</f>
        <v>0</v>
      </c>
      <c r="X28" s="76">
        <f>IF(U28=0,0,IF($F28&amp;"/Día"=W$9,ROUND(V28/U28,4),""))</f>
        <v>0</v>
      </c>
      <c r="Y28" s="76">
        <f>IF(U28=0,0,IF($F28&amp;"/Día"=W$9,ROUND(Z28/U28,4),""))</f>
        <v>0</v>
      </c>
      <c r="Z28" s="40">
        <f>IF(U28&lt;&gt;"",$P28,"")</f>
        <v>-150.72999999999999</v>
      </c>
      <c r="AA28" s="40" t="str">
        <f t="shared" si="7"/>
        <v/>
      </c>
      <c r="AB28" s="40" t="str">
        <f t="shared" si="8"/>
        <v/>
      </c>
      <c r="AC28" s="75" t="str">
        <f t="shared" si="9"/>
        <v/>
      </c>
      <c r="AD28" s="76" t="str">
        <f t="shared" si="10"/>
        <v/>
      </c>
      <c r="AE28" s="76" t="str">
        <f t="shared" si="11"/>
        <v/>
      </c>
      <c r="AF28" s="40" t="str">
        <f t="shared" si="12"/>
        <v/>
      </c>
      <c r="AG28" s="50"/>
      <c r="AH28" s="121">
        <f t="shared" si="6"/>
        <v>0</v>
      </c>
      <c r="AL28" s="498"/>
    </row>
    <row r="29" spans="1:38" x14ac:dyDescent="0.25">
      <c r="A29" s="23" t="s">
        <v>28</v>
      </c>
      <c r="B29" s="24" t="s">
        <v>368</v>
      </c>
      <c r="C29" s="57" t="s">
        <v>31</v>
      </c>
      <c r="D29" s="25" t="s">
        <v>30</v>
      </c>
      <c r="E29" s="57" t="s">
        <v>101</v>
      </c>
      <c r="F29" s="236" t="s">
        <v>37</v>
      </c>
      <c r="G29" s="40">
        <f>Ene!G29+Feb!G29+Mar!G29+Abr!G29+May!G29+Jun!G29+Jul!G29+Ago!G29+Sep!G29+Oct!G29+Nov!G29+Dic!G29</f>
        <v>0</v>
      </c>
      <c r="H29" s="40">
        <f>Ene!H29+Feb!H29+Mar!H29+Abr!H29+May!H29+Jun!H29+Jul!H29+Ago!H29+Sep!H29+Oct!H29+Nov!H29+Dic!H29</f>
        <v>0</v>
      </c>
      <c r="I29" s="40">
        <f>Ene!I29+Feb!I29+Mar!I29+Abr!I29+May!I29+Jun!I29+Jul!I29+Ago!I29+Sep!I29+Oct!I29+Nov!I29+Dic!I29</f>
        <v>0</v>
      </c>
      <c r="J29" s="40">
        <f>Ene!J29+Feb!J29+Mar!J29+Abr!J29+May!J29+Jun!J29+Jul!J29+Ago!J29+Sep!J29+Oct!J29+Nov!J29+Dic!J29</f>
        <v>116.87609999999999</v>
      </c>
      <c r="K29" s="40"/>
      <c r="L29" s="40"/>
      <c r="M29" s="40">
        <f>Ene!M29+Feb!M29+Mar!M29+Abr!M29+May!M29+Jun!M29+Jul!M29+Ago!M29+Sep!M29+Nov!M29+Dic!M29</f>
        <v>0</v>
      </c>
      <c r="N29" s="40">
        <f>Ene!N29+Feb!N29+Mar!N29+Abr!N29+May!N29+Jun!N29+Jul!N29+Ago!N29+Sep!N29+Oct!N29+Nov!N29+Dic!N29</f>
        <v>2893.69</v>
      </c>
      <c r="O29" s="40">
        <f>Ene!O29+Feb!O29+Mar!O29+Abr!O29+May!O29+Jun!O29+Jul!O29+Ago!O29+Sep!O29+Oct!O29+Nov!O29+Dic!O29</f>
        <v>-2893.69</v>
      </c>
      <c r="P29" s="40">
        <f>Ene!P29+Feb!P29+Mar!P29+Abr!P29+May!P29+Jun!P29+Jul!P29+Ago!P29+Sep!P29+Oct!P29+Nov!P29+Dic!P29</f>
        <v>-542.57000000000005</v>
      </c>
      <c r="Q29" s="40">
        <f>Ene!Q29+Feb!Q29+Mar!Q29+Abr!Q29+May!Q29+Jun!Q29+Jul!Q29+Ago!Q29+Sep!Q29+Oct!Q29+Nov!Q29+Dic!Q29</f>
        <v>-108.51000000000002</v>
      </c>
      <c r="R29" s="223">
        <v>0.15</v>
      </c>
      <c r="S29" s="40">
        <f>Ene!S29+Feb!S29+Mar!S29+Abr!S29+May!S29+Jun!S29+Jul!S29+Ago!S29+Sep!S29+Nov!S29+Dic!S29</f>
        <v>-434.05000000000007</v>
      </c>
      <c r="T29" s="258">
        <v>3.7499999999999999E-2</v>
      </c>
      <c r="U29" s="40"/>
      <c r="V29" s="40"/>
      <c r="W29" s="75"/>
      <c r="X29" s="76"/>
      <c r="Y29" s="76"/>
      <c r="Z29" s="40"/>
      <c r="AA29" s="40"/>
      <c r="AB29" s="40"/>
      <c r="AC29" s="75"/>
      <c r="AD29" s="76"/>
      <c r="AE29" s="76"/>
      <c r="AF29" s="40"/>
      <c r="AG29" s="50"/>
      <c r="AH29" s="121"/>
      <c r="AL29" s="498"/>
    </row>
    <row r="30" spans="1:38" x14ac:dyDescent="0.25">
      <c r="A30" s="26" t="s">
        <v>28</v>
      </c>
      <c r="B30" s="29" t="s">
        <v>302</v>
      </c>
      <c r="C30" s="57" t="s">
        <v>31</v>
      </c>
      <c r="D30" s="25" t="s">
        <v>30</v>
      </c>
      <c r="E30" s="57" t="s">
        <v>101</v>
      </c>
      <c r="F30" s="236" t="s">
        <v>37</v>
      </c>
      <c r="G30" s="40">
        <f>Ene!G30+Feb!G30+Mar!G30+Abr!G30+May!G30+Jun!G30+Jul!G30+Ago!G30+Sep!G30+Oct!G30+Nov!G30+Dic!G30</f>
        <v>185007</v>
      </c>
      <c r="H30" s="40">
        <f>Ene!H30+Feb!H30+Mar!H30+Abr!H30+May!H30+Jun!H30+Jul!H30+Ago!H30+Sep!H30+Oct!H30+Nov!H30+Dic!H30</f>
        <v>180959</v>
      </c>
      <c r="I30" s="40">
        <f>Ene!I30+Feb!I30+Mar!I30+Abr!I30+May!I30+Jun!I30+Jul!I30+Ago!I30+Sep!I30+Oct!I30+Nov!I30+Dic!I30</f>
        <v>321.44800000000004</v>
      </c>
      <c r="J30" s="40">
        <f>Ene!J30+Feb!J30+Mar!J30+Abr!J30+May!J30+Jun!J30+Jul!J30+Ago!J30+Sep!J30+Oct!J30+Nov!J30+Dic!J30</f>
        <v>348.9264</v>
      </c>
      <c r="K30" s="40"/>
      <c r="L30" s="40"/>
      <c r="M30" s="40">
        <f>Ene!M30+Feb!M30+Mar!M30+Abr!M30+May!M30+Jun!M30+Jul!M30+Ago!M30+Sep!M30+Nov!M30+Dic!M30</f>
        <v>0</v>
      </c>
      <c r="N30" s="40">
        <f>Ene!N30+Feb!N30+Mar!N30+Abr!N30+May!N30+Jun!N30+Jul!N30+Ago!N30+Sep!N30+Oct!N30+Nov!N30+Dic!N30</f>
        <v>13041.800000000001</v>
      </c>
      <c r="O30" s="40">
        <f>Ene!O30+Feb!O30+Mar!O30+Abr!O30+May!O30+Jun!O30+Jul!O30+Ago!O30+Sep!O30+Oct!O30+Nov!O30+Dic!O30</f>
        <v>32149612.41</v>
      </c>
      <c r="P30" s="40">
        <f>Ene!P30+Feb!P30+Mar!P30+Abr!P30+May!P30+Jun!P30+Jul!P30+Ago!P30+Sep!P30+Oct!P30+Nov!P30+Dic!P30</f>
        <v>6028052.3300000001</v>
      </c>
      <c r="Q30" s="40">
        <f>Ene!Q30+Feb!Q30+Mar!Q30+Abr!Q30+May!Q30+Jun!Q30+Jul!Q30+Ago!Q30+Sep!Q30+Oct!Q30+Nov!Q30+Dic!Q30</f>
        <v>4822441.8599999994</v>
      </c>
      <c r="R30" s="223">
        <v>0.15</v>
      </c>
      <c r="S30" s="40">
        <f>Ene!S30+Feb!S30+Mar!S30+Abr!S30+May!S30+Jun!S30+Jul!S30+Ago!S30+Sep!S30+Nov!S30+Dic!S30</f>
        <v>1205612.8499999999</v>
      </c>
      <c r="T30" s="258">
        <v>3.7499999999999999E-2</v>
      </c>
      <c r="U30" s="40">
        <f t="shared" si="0"/>
        <v>365966</v>
      </c>
      <c r="V30" s="40">
        <f t="shared" si="1"/>
        <v>32149612.41</v>
      </c>
      <c r="W30" s="75">
        <f t="shared" si="2"/>
        <v>1002.6</v>
      </c>
      <c r="X30" s="76">
        <f t="shared" si="3"/>
        <v>87.848600000000005</v>
      </c>
      <c r="Y30" s="76">
        <f t="shared" si="4"/>
        <v>16.471599999999999</v>
      </c>
      <c r="Z30" s="40">
        <f t="shared" si="5"/>
        <v>6028052.3300000001</v>
      </c>
      <c r="AA30" s="40" t="str">
        <f t="shared" si="7"/>
        <v/>
      </c>
      <c r="AB30" s="40" t="str">
        <f t="shared" si="8"/>
        <v/>
      </c>
      <c r="AC30" s="75" t="str">
        <f t="shared" si="9"/>
        <v/>
      </c>
      <c r="AD30" s="76" t="str">
        <f t="shared" si="10"/>
        <v/>
      </c>
      <c r="AE30" s="76" t="str">
        <f t="shared" si="11"/>
        <v/>
      </c>
      <c r="AF30" s="40" t="str">
        <f t="shared" si="12"/>
        <v/>
      </c>
      <c r="AG30" s="50"/>
      <c r="AH30" s="121">
        <f t="shared" si="6"/>
        <v>90448848.34360002</v>
      </c>
      <c r="AL30" s="498"/>
    </row>
    <row r="31" spans="1:38" x14ac:dyDescent="0.25">
      <c r="A31" s="26" t="s">
        <v>28</v>
      </c>
      <c r="B31" s="29" t="s">
        <v>303</v>
      </c>
      <c r="C31" s="57" t="s">
        <v>31</v>
      </c>
      <c r="D31" s="25" t="s">
        <v>30</v>
      </c>
      <c r="E31" s="57" t="s">
        <v>101</v>
      </c>
      <c r="F31" s="236" t="s">
        <v>56</v>
      </c>
      <c r="G31" s="40">
        <f>Ene!G31+Feb!G31+Mar!G31+Abr!G31+May!G31+Jun!G31+Jul!G31+Ago!G31+Sep!G31+Oct!G31+Nov!G31+Dic!G31</f>
        <v>391927.07000000007</v>
      </c>
      <c r="H31" s="40">
        <f>Ene!H31+Feb!H31+Mar!H31+Abr!H31+May!H31+Jun!H31+Jul!H31+Ago!H31+Sep!H31+Oct!H31+Nov!H31+Dic!H31</f>
        <v>441099.41</v>
      </c>
      <c r="I31" s="40">
        <f>Ene!I31+Feb!I31+Mar!I31+Abr!I31+May!I31+Jun!I31+Jul!I31+Ago!I31+Sep!I31+Oct!I31+Nov!I31+Dic!I31</f>
        <v>10.952216481054545</v>
      </c>
      <c r="J31" s="40">
        <f>Ene!J31+Feb!J31+Mar!J31+Abr!J31+May!J31+Jun!J31+Jul!J31+Ago!J31+Sep!J31+Oct!J31+Nov!J31+Dic!J31</f>
        <v>10.967725746566661</v>
      </c>
      <c r="K31" s="40"/>
      <c r="L31" s="40"/>
      <c r="M31" s="40">
        <f>Ene!M31+Feb!M31+Mar!M31+Abr!M31+May!M31+Jun!M31+Jul!M31+Ago!M31+Sep!M31+Nov!M31+Dic!M31</f>
        <v>0</v>
      </c>
      <c r="N31" s="40">
        <f>Ene!N31+Feb!N31+Mar!N31+Abr!N31+May!N31+Jun!N31+Jul!N31+Ago!N31+Sep!N31+Oct!N31+Nov!N31+Dic!N31</f>
        <v>3679.8399999999997</v>
      </c>
      <c r="O31" s="40" t="e">
        <f>Ene!O31+Feb!O31+Mar!O31+Abr!O31+May!O31+Jun!O31+Jul!O31+Ago!O31+Sep!O31+Oct!O31+Nov!O31+Dic!O31</f>
        <v>#REF!</v>
      </c>
      <c r="P31" s="40" t="e">
        <f>Ene!P31+Feb!P31+Mar!P31+Abr!P31+May!P31+Jun!P31+Jul!P31+Ago!P31+Sep!P31+Oct!P31+Nov!P31+Dic!P31</f>
        <v>#REF!</v>
      </c>
      <c r="Q31" s="40" t="e">
        <f>Ene!Q31+Feb!Q31+Mar!Q31+Abr!Q31+May!Q31+Jun!Q31+Jul!Q31+Ago!Q31+Sep!Q31+Oct!Q31+Nov!Q31+Dic!Q31</f>
        <v>#REF!</v>
      </c>
      <c r="R31" s="223">
        <v>0.15</v>
      </c>
      <c r="S31" s="40" t="e">
        <f>Ene!S31+Feb!S31+Mar!S31+Abr!S31+May!S31+Jun!S31+Jul!S31+Ago!S31+Sep!S31+Nov!S31+Dic!S31</f>
        <v>#REF!</v>
      </c>
      <c r="T31" s="258">
        <v>3.7499999999999999E-2</v>
      </c>
      <c r="U31" s="40" t="str">
        <f>IF($F31&amp;"/Día"=W$9,SUM($G31:$H31),"")</f>
        <v/>
      </c>
      <c r="V31" s="40" t="str">
        <f t="shared" si="1"/>
        <v/>
      </c>
      <c r="W31" s="75" t="str">
        <f>IF($F31&amp;"/Día"=W$9,ROUND(U31/$W$1,1),"")</f>
        <v/>
      </c>
      <c r="X31" s="76" t="str">
        <f>IF(U31=0,0,IF($F31&amp;"/Día"=W$9,ROUND(V31/U31,4),""))</f>
        <v/>
      </c>
      <c r="Y31" s="76" t="str">
        <f>IF(U31=0,0,IF($F31&amp;"/Día"=W$9,ROUND(Z31/U31,4),""))</f>
        <v/>
      </c>
      <c r="Z31" s="40" t="str">
        <f>IF(U31&lt;&gt;"",$P31,"")</f>
        <v/>
      </c>
      <c r="AA31" s="40">
        <f t="shared" si="7"/>
        <v>833026.48</v>
      </c>
      <c r="AB31" s="40" t="e">
        <f t="shared" si="8"/>
        <v>#REF!</v>
      </c>
      <c r="AC31" s="75">
        <f t="shared" si="9"/>
        <v>2282.3000000000002</v>
      </c>
      <c r="AD31" s="76" t="e">
        <f t="shared" si="10"/>
        <v>#REF!</v>
      </c>
      <c r="AE31" s="76" t="e">
        <f t="shared" si="11"/>
        <v>#REF!</v>
      </c>
      <c r="AF31" s="40" t="e">
        <f t="shared" si="12"/>
        <v>#REF!</v>
      </c>
      <c r="AG31" s="50"/>
      <c r="AH31" s="121" t="e">
        <f t="shared" si="6"/>
        <v>#REF!</v>
      </c>
      <c r="AL31" s="498"/>
    </row>
    <row r="32" spans="1:38" x14ac:dyDescent="0.25">
      <c r="A32" s="26" t="s">
        <v>28</v>
      </c>
      <c r="B32" s="29" t="s">
        <v>304</v>
      </c>
      <c r="C32" s="57" t="s">
        <v>31</v>
      </c>
      <c r="D32" s="25" t="s">
        <v>30</v>
      </c>
      <c r="E32" s="57" t="s">
        <v>101</v>
      </c>
      <c r="F32" s="236" t="s">
        <v>37</v>
      </c>
      <c r="G32" s="40">
        <f>Ene!G32+Feb!G32+Mar!G32+Abr!G32+May!G32+Jun!G32+Jul!G32+Ago!G32+Sep!G32+Oct!G32+Nov!G32+Dic!G32</f>
        <v>42169</v>
      </c>
      <c r="H32" s="40">
        <f>Ene!H32+Feb!H32+Mar!H32+Abr!H32+May!H32+Jun!H32+Jul!H32+Ago!H32+Sep!H32+Oct!H32+Nov!H32+Dic!H32</f>
        <v>42732</v>
      </c>
      <c r="I32" s="40">
        <f>Ene!I32+Feb!I32+Mar!I32+Abr!I32+May!I32+Jun!I32+Jul!I32+Ago!I32+Sep!I32+Oct!I32+Nov!I32+Dic!I32</f>
        <v>176.7895</v>
      </c>
      <c r="J32" s="40">
        <f>Ene!J32+Feb!J32+Mar!J32+Abr!J32+May!J32+Jun!J32+Jul!J32+Ago!J32+Sep!J32+Oct!J32+Nov!J32+Dic!J32</f>
        <v>190.52930000000001</v>
      </c>
      <c r="K32" s="40"/>
      <c r="L32" s="40"/>
      <c r="M32" s="40">
        <f>Ene!M32+Feb!M32+Mar!M32+Abr!M32+May!M32+Jun!M32+Jul!M32+Ago!M32+Sep!M32+Nov!M32+Dic!M32</f>
        <v>0</v>
      </c>
      <c r="N32" s="40">
        <f>Ene!N32+Feb!N32+Mar!N32+Abr!N32+May!N32+Jun!N32+Jul!N32+Ago!N32+Sep!N32+Oct!N32+Nov!N32+Dic!N32</f>
        <v>4003.82</v>
      </c>
      <c r="O32" s="40">
        <f>Ene!O32+Feb!O32+Mar!O32+Abr!O32+May!O32+Jun!O32+Jul!O32+Ago!O32+Sep!O32+Oct!O32+Nov!O32+Dic!O32</f>
        <v>3930902.09</v>
      </c>
      <c r="P32" s="40">
        <f>Ene!P32+Feb!P32+Mar!P32+Abr!P32+May!P32+Jun!P32+Jul!P32+Ago!P32+Sep!P32+Oct!P32+Nov!P32+Dic!P32</f>
        <v>737044.15</v>
      </c>
      <c r="Q32" s="40">
        <f>Ene!Q32+Feb!Q32+Mar!Q32+Abr!Q32+May!Q32+Jun!Q32+Jul!Q32+Ago!Q32+Sep!Q32+Oct!Q32+Nov!Q32+Dic!Q32</f>
        <v>589635.30999999994</v>
      </c>
      <c r="R32" s="223">
        <v>0.15</v>
      </c>
      <c r="S32" s="40">
        <f>Ene!S32+Feb!S32+Mar!S32+Abr!S32+May!S32+Jun!S32+Jul!S32+Ago!S32+Sep!S32+Nov!S32+Dic!S32</f>
        <v>147408.82999999999</v>
      </c>
      <c r="T32" s="223">
        <v>0.15</v>
      </c>
      <c r="U32" s="40">
        <f>IF($F32&amp;"/Día"=W$9,SUM($G32:$H32),"")</f>
        <v>84901</v>
      </c>
      <c r="V32" s="40">
        <f t="shared" si="1"/>
        <v>3930902.09</v>
      </c>
      <c r="W32" s="75">
        <f>IF($F32&amp;"/Día"=W$9,ROUND(U32/$W$1,1),"")</f>
        <v>232.6</v>
      </c>
      <c r="X32" s="76">
        <f>IF(U32=0,0,IF($F32&amp;"/Día"=W$9,ROUND(V32/U32,4),""))</f>
        <v>46.299799999999998</v>
      </c>
      <c r="Y32" s="76">
        <f>IF(U32=0,0,IF($F32&amp;"/Día"=W$9,ROUND(Z32/U32,4),""))</f>
        <v>8.6812000000000005</v>
      </c>
      <c r="Z32" s="40">
        <f>IF(U32&lt;&gt;"",$P32,"")</f>
        <v>737044.15</v>
      </c>
      <c r="AA32" s="40" t="str">
        <f t="shared" si="7"/>
        <v/>
      </c>
      <c r="AB32" s="40" t="str">
        <f t="shared" si="8"/>
        <v/>
      </c>
      <c r="AC32" s="75" t="str">
        <f t="shared" si="9"/>
        <v/>
      </c>
      <c r="AD32" s="76" t="str">
        <f t="shared" si="10"/>
        <v/>
      </c>
      <c r="AE32" s="76" t="str">
        <f t="shared" si="11"/>
        <v/>
      </c>
      <c r="AF32" s="40" t="str">
        <f t="shared" si="12"/>
        <v/>
      </c>
      <c r="AG32" s="50"/>
      <c r="AH32" s="121">
        <f t="shared" si="6"/>
        <v>11661828.563099999</v>
      </c>
      <c r="AL32" s="498"/>
    </row>
    <row r="33" spans="1:38" x14ac:dyDescent="0.25">
      <c r="A33" s="26" t="s">
        <v>28</v>
      </c>
      <c r="B33" s="29" t="s">
        <v>52</v>
      </c>
      <c r="C33" s="56"/>
      <c r="D33" s="56"/>
      <c r="E33" s="27"/>
      <c r="F33" s="236"/>
      <c r="G33" s="40"/>
      <c r="H33" s="40"/>
      <c r="I33" s="40"/>
      <c r="J33" s="40"/>
      <c r="K33" s="40"/>
      <c r="L33" s="40"/>
      <c r="M33" s="40">
        <f>Ene!M33+Feb!M33+Mar!M33+Abr!M33+May!M33+Jun!M33+Jul!M33+Ago!M33+Sep!M33+Nov!M33+Dic!M33</f>
        <v>0</v>
      </c>
      <c r="N33" s="40">
        <f>Ene!N33+Feb!N33+Mar!N33+Abr!N33+May!N33+Jun!N33+Jul!N33+Ago!N33+Sep!N33+Nov!N33+Dic!N33</f>
        <v>0</v>
      </c>
      <c r="O33" s="40">
        <f>Ene!O33+Feb!O33+Mar!O33+Abr!O33+May!O33+Jun!O33+Jul!O33+Ago!O33+Sep!O33+Nov!O33+Dic!O33</f>
        <v>63406619.400000006</v>
      </c>
      <c r="P33" s="40">
        <f>Ene!P33+Feb!P33+Mar!P33+Abr!P33+May!P33+Jun!P33+Jul!P33+Ago!P33+Sep!P33+Nov!P33+Dic!P33</f>
        <v>11888741.130000001</v>
      </c>
      <c r="Q33" s="40">
        <f>Ene!Q33+Feb!Q33+Mar!Q33+Abr!Q33+May!Q33+Jun!Q33+Jul!Q33+Ago!Q33+Sep!Q33+Nov!Q33+Dic!Q33</f>
        <v>9510992.9100000001</v>
      </c>
      <c r="R33" s="223">
        <v>0.15</v>
      </c>
      <c r="S33" s="40">
        <f>Ene!S33+Feb!S33+Mar!S33+Abr!S33+May!S33+Jun!S33+Jul!S33+Ago!S33+Sep!S33+Nov!S33+Dic!S33</f>
        <v>2377748.25</v>
      </c>
      <c r="T33" s="223">
        <v>0.15</v>
      </c>
      <c r="U33" s="40" t="str">
        <f>IF($F33&amp;"/Día"=W$9,SUM($G33:$H33),"")</f>
        <v/>
      </c>
      <c r="V33" s="40" t="str">
        <f t="shared" si="1"/>
        <v/>
      </c>
      <c r="W33" s="75" t="str">
        <f>IF($F33&amp;"/Día"=W$9,ROUND(U33/$W$1,1),"")</f>
        <v/>
      </c>
      <c r="X33" s="76" t="str">
        <f>IF(U33=0,0,IF($F33&amp;"/Día"=W$9,ROUND(V33/U33,4),""))</f>
        <v/>
      </c>
      <c r="Y33" s="76" t="str">
        <f>IF(U33=0,0,IF($F33&amp;"/Día"=W$9,ROUND(Z33/U33,4),""))</f>
        <v/>
      </c>
      <c r="Z33" s="40" t="str">
        <f>IF(U33&lt;&gt;"",$P33,"")</f>
        <v/>
      </c>
      <c r="AA33" s="40" t="str">
        <f t="shared" si="7"/>
        <v/>
      </c>
      <c r="AB33" s="40" t="str">
        <f t="shared" si="8"/>
        <v/>
      </c>
      <c r="AC33" s="75" t="str">
        <f t="shared" si="9"/>
        <v/>
      </c>
      <c r="AD33" s="76" t="str">
        <f t="shared" si="10"/>
        <v/>
      </c>
      <c r="AE33" s="76" t="str">
        <f t="shared" si="11"/>
        <v/>
      </c>
      <c r="AF33" s="40" t="str">
        <f t="shared" si="12"/>
        <v/>
      </c>
      <c r="AG33" s="50"/>
      <c r="AH33" s="121">
        <f t="shared" si="6"/>
        <v>-63406619.400000006</v>
      </c>
      <c r="AL33" s="498"/>
    </row>
    <row r="34" spans="1:38" x14ac:dyDescent="0.25">
      <c r="A34" s="30"/>
      <c r="B34" s="153" t="s">
        <v>108</v>
      </c>
      <c r="C34" s="31" t="str">
        <f>TEXT(A$9,)&amp;" US$"</f>
        <v>Piura / Tumbes US$</v>
      </c>
      <c r="D34" s="20"/>
      <c r="E34" s="39"/>
      <c r="F34" s="38"/>
      <c r="G34" s="44"/>
      <c r="H34" s="44"/>
      <c r="I34" s="44"/>
      <c r="J34" s="44"/>
      <c r="K34" s="44"/>
      <c r="L34" s="44"/>
      <c r="M34" s="44"/>
      <c r="N34" s="40">
        <f>Ene!N34+Feb!N34+Mar!N34+Abr!N34+May!N34+Jun!N34+Jul!N34+Ago!N34+Sep!N34+Nov!N34+Dic!N34</f>
        <v>0</v>
      </c>
      <c r="O34" s="40" t="e">
        <f>Ene!O34+Feb!O34+Mar!O34+Abr!O34+May!O34+Jun!O34+Jul!O34+Ago!O34+Sep!O34+Nov!O34+Dic!O34</f>
        <v>#REF!</v>
      </c>
      <c r="P34" s="40" t="e">
        <f>Ene!P34+Feb!P34+Mar!P34+Abr!P34+May!P34+Jun!P34+Jul!P34+Ago!P34+Sep!P34+Nov!P34+Dic!P34</f>
        <v>#REF!</v>
      </c>
      <c r="Q34" s="40" t="e">
        <f>Ene!Q34+Feb!Q34+Mar!Q34+Abr!Q34+May!Q34+Jun!Q34+Jul!Q34+Ago!Q34+Sep!Q34+Nov!Q34+Dic!Q34</f>
        <v>#REF!</v>
      </c>
      <c r="R34" s="45"/>
      <c r="S34" s="40" t="e">
        <f>Ene!S34+Feb!S34+Mar!S34+Abr!S34+May!S34+Jun!S34+Jul!S34+Ago!S34+Sep!S34+Nov!S34+Dic!S34</f>
        <v>#REF!</v>
      </c>
      <c r="T34" s="45"/>
      <c r="U34" s="77">
        <f>SUM(U10:U33)</f>
        <v>1870304.6642889599</v>
      </c>
      <c r="V34" s="77">
        <f>SUM(V10:V33)</f>
        <v>123698222.81999999</v>
      </c>
      <c r="W34" s="78">
        <f>SUM(W10:W33)</f>
        <v>5124</v>
      </c>
      <c r="X34" s="79">
        <f>ROUND(V34/U34,4)</f>
        <v>66.138000000000005</v>
      </c>
      <c r="Y34" s="79">
        <f>ROUND(Z34/U34,4)</f>
        <v>12.4009</v>
      </c>
      <c r="Z34" s="77">
        <f>SUM(Z10:Z33)</f>
        <v>23193416.780000001</v>
      </c>
      <c r="AA34" s="77">
        <f>SUM(AA10:AA33)</f>
        <v>4744963.9099774361</v>
      </c>
      <c r="AB34" s="77" t="e">
        <f>SUM(AB10:AB33)</f>
        <v>#REF!</v>
      </c>
      <c r="AC34" s="78">
        <f>SUM(AC10:AC33)</f>
        <v>12999.899999999998</v>
      </c>
      <c r="AD34" s="79" t="e">
        <f>ROUND(AB34/AA34,4)</f>
        <v>#REF!</v>
      </c>
      <c r="AE34" s="79" t="e">
        <f>ROUND(AF34/AA34,4)</f>
        <v>#REF!</v>
      </c>
      <c r="AF34" s="77" t="e">
        <f>SUM(AF10:AF33)</f>
        <v>#REF!</v>
      </c>
      <c r="AG34" s="43" t="e">
        <f>P34-Z34-AF34</f>
        <v>#REF!</v>
      </c>
      <c r="AH34" s="77" t="e">
        <f>SUM(AH10:AH33)</f>
        <v>#REF!</v>
      </c>
    </row>
    <row r="35" spans="1:38" x14ac:dyDescent="0.25">
      <c r="A35" s="125"/>
      <c r="B35" s="126"/>
      <c r="C35" s="31" t="str">
        <f>TEXT(A$9,)&amp;" S/."</f>
        <v>Piura / Tumbes S/.</v>
      </c>
      <c r="D35" s="56"/>
      <c r="E35" s="56"/>
      <c r="F35" s="137"/>
      <c r="G35" s="51"/>
      <c r="H35" s="51"/>
      <c r="I35" s="51"/>
      <c r="J35" s="51"/>
      <c r="K35" s="51"/>
      <c r="L35" s="51"/>
      <c r="M35" s="143"/>
      <c r="N35" s="51"/>
      <c r="O35" s="138"/>
      <c r="P35" s="40" t="e">
        <f>Ene!P35+Feb!P35+Mar!P35+Abr!P35+May!P35+Jun!P35+Jul!P35+Ago!P35+Sep!P35+Nov!P35+Dic!P35</f>
        <v>#REF!</v>
      </c>
      <c r="Q35" s="40" t="e">
        <f>Ene!Q35+Feb!Q35+Mar!Q35+Abr!Q35+May!Q35+Jun!Q35+Jul!Q35+Ago!Q35+Sep!Q35+Nov!Q35+Dic!Q35</f>
        <v>#REF!</v>
      </c>
      <c r="R35" s="333"/>
      <c r="S35" s="40" t="e">
        <f>Ene!S35+Feb!S35+Mar!S35+Abr!S35+May!S35+Jun!S35+Jul!S35+Ago!S35+Sep!S35+Nov!S35+Dic!S35</f>
        <v>#REF!</v>
      </c>
      <c r="T35" s="45"/>
      <c r="U35" s="140"/>
      <c r="V35" s="140"/>
      <c r="W35" s="141"/>
      <c r="X35" s="142"/>
      <c r="Y35" s="142"/>
      <c r="Z35" s="140"/>
      <c r="AA35" s="140"/>
      <c r="AB35" s="140"/>
      <c r="AC35" s="141"/>
      <c r="AD35" s="142"/>
      <c r="AE35" s="142"/>
      <c r="AF35" s="140"/>
      <c r="AG35" s="140"/>
      <c r="AH35" s="140"/>
    </row>
    <row r="36" spans="1:38" x14ac:dyDescent="0.25">
      <c r="A36" s="15" t="s">
        <v>22</v>
      </c>
      <c r="B36" s="16"/>
      <c r="C36" s="58"/>
      <c r="D36" s="58"/>
      <c r="E36" s="17"/>
      <c r="F36" s="34"/>
      <c r="G36" s="46"/>
      <c r="H36" s="47"/>
      <c r="I36" s="48"/>
      <c r="J36" s="46"/>
      <c r="K36" s="46"/>
      <c r="L36" s="46"/>
      <c r="M36" s="46"/>
      <c r="N36" s="46"/>
      <c r="O36" s="119"/>
      <c r="P36" s="46"/>
      <c r="Q36" s="168" t="s">
        <v>49</v>
      </c>
      <c r="R36" s="169"/>
      <c r="S36" s="178"/>
      <c r="T36" s="169"/>
      <c r="U36" s="49"/>
      <c r="V36" s="49"/>
      <c r="W36" s="80"/>
      <c r="X36" s="81"/>
      <c r="Y36" s="81"/>
      <c r="Z36" s="81"/>
      <c r="AA36" s="49"/>
      <c r="AB36" s="49"/>
      <c r="AC36" s="80"/>
      <c r="AD36" s="81"/>
      <c r="AE36" s="81"/>
      <c r="AF36" s="81"/>
      <c r="AG36" s="46"/>
      <c r="AH36" s="120"/>
    </row>
    <row r="37" spans="1:38" s="1" customFormat="1" ht="12.75" x14ac:dyDescent="0.2">
      <c r="A37" s="26" t="s">
        <v>28</v>
      </c>
      <c r="B37" s="28">
        <v>131</v>
      </c>
      <c r="C37" s="57" t="s">
        <v>31</v>
      </c>
      <c r="D37" s="25" t="s">
        <v>30</v>
      </c>
      <c r="E37" s="57" t="s">
        <v>101</v>
      </c>
      <c r="F37" s="35" t="s">
        <v>37</v>
      </c>
      <c r="G37" s="40">
        <f>Ene!G37+Feb!G37+Mar!G37+Abr!G37+May!G37+Jun!G37+Jul!G37+Ago!G37+Sep!G37+Oct!G37+Nov!G37+Dic!G37</f>
        <v>7650</v>
      </c>
      <c r="H37" s="40">
        <f>Ene!H37+Feb!H37+Mar!H37+Abr!H37+May!H37+Jun!H37+Jul!H37+Ago!H37+Sep!H37+Oct!H37+Nov!H37+Dic!H37</f>
        <v>37711</v>
      </c>
      <c r="I37" s="40">
        <f>Ene!I37+Feb!I37+Mar!I37+Abr!I37+May!I37+Jun!I37+Jul!I37+Ago!I37+Sep!I37+Oct!I37+Nov!I37+Dic!I37</f>
        <v>127.1456</v>
      </c>
      <c r="J37" s="40">
        <f>Ene!J37+Feb!J37+Mar!J37+Abr!J37+May!J37+Jun!J37+Jul!J37+Ago!J37+Sep!J37+Oct!J37+Nov!J37+Dic!J37</f>
        <v>304.07049999999998</v>
      </c>
      <c r="K37" s="40"/>
      <c r="L37" s="40"/>
      <c r="M37" s="40">
        <f>Ene!M37+Feb!M37+Mar!M37+Abr!M37+May!M37+Jun!M37+Jul!M37+Ago!M37+Sep!M37+Oct!M37+Nov!M37+Dic!M37</f>
        <v>0</v>
      </c>
      <c r="N37" s="40">
        <f>Ene!N37+Feb!N37+Mar!N37+Abr!N37+May!N37+Jun!N37+Jul!N37+Ago!N37+Sep!N37+Oct!N37+Nov!N37+Dic!N37</f>
        <v>16108.869999999999</v>
      </c>
      <c r="O37" s="40">
        <f>Ene!O37+Feb!O37+Mar!O37+Abr!O37+May!O37+Jun!O37+Jul!O37+Ago!O37+Sep!O37+Oct!O37+Nov!O37+Dic!O37</f>
        <v>3337886.99</v>
      </c>
      <c r="P37" s="40">
        <f>Ene!P37+Feb!P37+Mar!P37+Abr!P37+May!P37+Jun!P37+Jul!P37+Ago!P37+Sep!P37+Oct!P37+Nov!P37+Dic!P37</f>
        <v>500683.04000000004</v>
      </c>
      <c r="Q37" s="40">
        <f>Ene!Q37+Feb!Q37+Mar!Q37+Abr!Q37+May!Q37+Jun!Q37+Jul!Q37+Ago!Q37+Sep!Q37+Oct!Q37+Nov!Q37+Dic!Q37</f>
        <v>500683.04000000004</v>
      </c>
      <c r="R37" s="329">
        <v>0.15</v>
      </c>
      <c r="S37" s="321"/>
      <c r="T37" s="233"/>
      <c r="U37" s="40">
        <f>IF($F37&amp;"/Día"=W$9,SUM($G37:$H37),"")</f>
        <v>45361</v>
      </c>
      <c r="V37" s="40">
        <f>IF(U37&lt;&gt;"",$O37,"")</f>
        <v>3337886.99</v>
      </c>
      <c r="W37" s="75">
        <f>IF($F37&amp;"/Día"=W$9,ROUND(U37/$W$1,1),"")</f>
        <v>124.3</v>
      </c>
      <c r="X37" s="76">
        <f>IF(U37=0,0,IF($F37&amp;"/Día"=W$9,ROUND(V37/U37,4),""))</f>
        <v>73.584999999999994</v>
      </c>
      <c r="Y37" s="76">
        <f>IF(U37=0,0,IF($F37&amp;"/Día"=W$9,ROUND(Z37/U37,4),""))</f>
        <v>11.037699999999999</v>
      </c>
      <c r="Z37" s="40">
        <f>IF(U37&lt;&gt;"",$P37,"")</f>
        <v>500683.04000000004</v>
      </c>
      <c r="AA37" s="40" t="str">
        <f>IF($F37&amp;"/Día"=AC$9,SUM($G37:$H37),"")</f>
        <v/>
      </c>
      <c r="AB37" s="40" t="str">
        <f>IF(AA37&lt;&gt;"",$O37,"")</f>
        <v/>
      </c>
      <c r="AC37" s="75" t="str">
        <f>IF($F37&amp;"/Día"=AC$9,ROUND(AA37/$W$1,1),"")</f>
        <v/>
      </c>
      <c r="AD37" s="76" t="str">
        <f>IF(AA37=0,0,IF($F37&amp;"/Día"=AC$9,ROUND(AB37/AA37,4),""))</f>
        <v/>
      </c>
      <c r="AE37" s="76" t="str">
        <f>IF(AA37=0,0,IF($F37&amp;"/Día"=AC$9,ROUND(AF37/AA37,4),""))</f>
        <v/>
      </c>
      <c r="AF37" s="40" t="str">
        <f>IF(AA37&lt;&gt;"",$P37,"")</f>
        <v/>
      </c>
      <c r="AG37" s="50"/>
      <c r="AK37" s="65"/>
    </row>
    <row r="38" spans="1:38" x14ac:dyDescent="0.25">
      <c r="A38" s="26" t="s">
        <v>28</v>
      </c>
      <c r="B38" s="29" t="s">
        <v>53</v>
      </c>
      <c r="C38" s="56"/>
      <c r="D38" s="56"/>
      <c r="E38" s="5"/>
      <c r="F38" s="57"/>
      <c r="G38" s="40"/>
      <c r="H38" s="40"/>
      <c r="I38" s="40"/>
      <c r="J38" s="40"/>
      <c r="K38" s="40"/>
      <c r="L38" s="40"/>
      <c r="M38" s="40"/>
      <c r="N38" s="40">
        <f>Ene!N38+Feb!N38+Mar!N38+Abr!N38+May!N38+Jun!N38+Jul!N38+Ago!N38+Sep!N38+Nov!N38+Dic!N38</f>
        <v>0</v>
      </c>
      <c r="O38" s="40">
        <f>Ene!O38+Feb!O38+Mar!O38+Abr!O38+May!O38+Jun!O38+Jul!O38+Ago!O38+Sep!O38+Nov!O38+Dic!O38</f>
        <v>-517265.96000000031</v>
      </c>
      <c r="P38" s="40">
        <f>Ene!P38+Feb!P38+Mar!P38+Abr!P38+May!P38+Jun!P38+Jul!P38+Ago!P38+Sep!P38+Nov!P38+Dic!P38</f>
        <v>-77589.909999999829</v>
      </c>
      <c r="Q38" s="40">
        <f>Ene!Q38+Feb!Q38+Mar!Q38+Abr!Q38+May!Q38+Jun!Q38+Jul!Q38+Ago!Q38+Sep!Q38+Nov!Q38+Dic!Q38</f>
        <v>-77589.909999999829</v>
      </c>
      <c r="R38" s="330"/>
      <c r="S38" s="40"/>
      <c r="T38" s="42"/>
      <c r="U38" s="40" t="str">
        <f>IF($F38&amp;"/Día"=W$9,SUM($G38:$H38),"")</f>
        <v/>
      </c>
      <c r="V38" s="40" t="str">
        <f>IF(U38&lt;&gt;"",$O38,"")</f>
        <v/>
      </c>
      <c r="W38" s="75" t="str">
        <f>IF($F38&amp;"/Día"=W$9,ROUND(U38/$W$1,1),"")</f>
        <v/>
      </c>
      <c r="X38" s="76" t="str">
        <f>IF(U38=0,0,IF($F38&amp;"/Día"=W$9,ROUND(V38/U38,4),""))</f>
        <v/>
      </c>
      <c r="Y38" s="76" t="str">
        <f>IF(U38=0,0,IF($F38&amp;"/Día"=W$9,ROUND(Z38/U38,4),""))</f>
        <v/>
      </c>
      <c r="Z38" s="40" t="str">
        <f>IF(U38&lt;&gt;"",$P38,"")</f>
        <v/>
      </c>
      <c r="AA38" s="40" t="str">
        <f>IF($F38&amp;"/Día"=AC$9,SUM($G38:$H38),"")</f>
        <v/>
      </c>
      <c r="AB38" s="40" t="str">
        <f>IF(AA38&lt;&gt;"",$O38,"")</f>
        <v/>
      </c>
      <c r="AC38" s="75" t="str">
        <f>IF($F38&amp;"/Día"=AC$9,ROUND(AA38/$W$1,1),"")</f>
        <v/>
      </c>
      <c r="AD38" s="76" t="str">
        <f>IF(AA38=0,0,IF($F38&amp;"/Día"=AC$9,ROUND(AB38/AA38,4),""))</f>
        <v/>
      </c>
      <c r="AE38" s="76" t="str">
        <f>IF(AA38=0,0,IF($F38&amp;"/Día"=AC$9,ROUND(AF38/AA38,4),""))</f>
        <v/>
      </c>
      <c r="AF38" s="40" t="str">
        <f>IF(AA38&lt;&gt;"",$P38,"")</f>
        <v/>
      </c>
      <c r="AG38" s="50"/>
      <c r="AH38" s="121">
        <f>IF(O38=0,"",IF(I38="",H38*J38-SUM(K38:N38)-O38,+(G38*I38+H38*J38)-SUM(K38:N38)-O38))</f>
        <v>517265.96000000031</v>
      </c>
    </row>
    <row r="39" spans="1:38" x14ac:dyDescent="0.25">
      <c r="A39" s="30"/>
      <c r="B39" s="153" t="s">
        <v>108</v>
      </c>
      <c r="C39" s="31" t="str">
        <f>TEXT(A$36,)&amp;" US$"</f>
        <v>Provincia Puerto Inca Huanuco US$</v>
      </c>
      <c r="D39" s="20"/>
      <c r="E39" s="39"/>
      <c r="F39" s="38"/>
      <c r="G39" s="52"/>
      <c r="H39" s="52"/>
      <c r="I39" s="53"/>
      <c r="J39" s="53"/>
      <c r="K39" s="53"/>
      <c r="L39" s="53"/>
      <c r="M39" s="52"/>
      <c r="N39" s="60">
        <f>SUM(N37:N38)</f>
        <v>16108.869999999999</v>
      </c>
      <c r="O39" s="60">
        <f>SUM(O37:O38)</f>
        <v>2820621.03</v>
      </c>
      <c r="P39" s="60">
        <f>SUM(P37:P38)</f>
        <v>423093.13000000024</v>
      </c>
      <c r="Q39" s="60">
        <f>SUM(Q37:Q38)</f>
        <v>423093.13000000024</v>
      </c>
      <c r="R39" s="52"/>
      <c r="S39" s="77"/>
      <c r="T39" s="52"/>
      <c r="U39" s="43">
        <f>SUM(U37:U38)</f>
        <v>45361</v>
      </c>
      <c r="V39" s="43">
        <f>SUM(V37:V38)</f>
        <v>3337886.99</v>
      </c>
      <c r="W39" s="82">
        <f>SUM(W37:W38)</f>
        <v>124.3</v>
      </c>
      <c r="X39" s="83">
        <f>ROUND(V39/U39,4)</f>
        <v>73.584999999999994</v>
      </c>
      <c r="Y39" s="83">
        <f>ROUND(Z39/U39,4)</f>
        <v>11.037699999999999</v>
      </c>
      <c r="Z39" s="43">
        <f>SUM(Z37:Z38)</f>
        <v>500683.04000000004</v>
      </c>
      <c r="AA39" s="43">
        <f>SUM(AA37:AA38)</f>
        <v>0</v>
      </c>
      <c r="AB39" s="43">
        <f>SUM(AB37:AB38)</f>
        <v>0</v>
      </c>
      <c r="AC39" s="82">
        <f>SUM(AC37:AC38)</f>
        <v>0</v>
      </c>
      <c r="AD39" s="83">
        <f>IF(AA39=0,0,ROUND(AB39/AA39,4))</f>
        <v>0</v>
      </c>
      <c r="AE39" s="83">
        <f>IF(AA39=0,0,ROUND(AF39/AA39,4))</f>
        <v>0</v>
      </c>
      <c r="AF39" s="43">
        <f>SUM(AF37:AF38)</f>
        <v>0</v>
      </c>
      <c r="AG39" s="77">
        <f>P39-Z39-AF39</f>
        <v>-77589.9099999998</v>
      </c>
      <c r="AH39" s="122"/>
    </row>
    <row r="40" spans="1:38" x14ac:dyDescent="0.25">
      <c r="A40" s="125"/>
      <c r="B40" s="126"/>
      <c r="C40" s="31" t="str">
        <f>TEXT(A$36,)&amp;" S/."</f>
        <v>Provincia Puerto Inca Huanuco S/.</v>
      </c>
      <c r="D40" s="56"/>
      <c r="E40" s="56"/>
      <c r="F40" s="137"/>
      <c r="G40" s="143"/>
      <c r="H40" s="143"/>
      <c r="I40" s="144"/>
      <c r="J40" s="144"/>
      <c r="K40" s="144"/>
      <c r="L40" s="144"/>
      <c r="M40" s="143"/>
      <c r="N40" s="143"/>
      <c r="O40" s="138"/>
      <c r="P40" s="331">
        <f>Ene!P40+Feb!P40+Mar!P40+Abr!P40+May!P40+Jun!P40+Jul!P40+Ago!P40+Sep!P40+Nov!P40+Dic!P40</f>
        <v>1451147.19</v>
      </c>
      <c r="Q40" s="332">
        <f>Ene!Q40+Feb!Q40+Mar!Q40+Abr!Q40+May!Q40+Jun!Q40+Jul!Q40+Ago!Q40+Sep!Q40+Nov!Q40+Dic!Q40</f>
        <v>1451147.19</v>
      </c>
      <c r="R40" s="154"/>
      <c r="S40" s="155"/>
      <c r="T40" s="139"/>
      <c r="U40" s="140"/>
      <c r="V40" s="140"/>
      <c r="W40" s="141"/>
      <c r="X40" s="142"/>
      <c r="Y40" s="142"/>
      <c r="Z40" s="140"/>
      <c r="AA40" s="140"/>
      <c r="AB40" s="140"/>
      <c r="AC40" s="141"/>
      <c r="AD40" s="142"/>
      <c r="AE40" s="142"/>
      <c r="AF40" s="140"/>
      <c r="AG40" s="140"/>
      <c r="AH40" s="152"/>
    </row>
    <row r="41" spans="1:38" ht="16.5" customHeight="1" x14ac:dyDescent="0.25">
      <c r="A41" s="15" t="s">
        <v>24</v>
      </c>
      <c r="B41" s="16"/>
      <c r="C41" s="58"/>
      <c r="D41" s="58"/>
      <c r="E41" s="17"/>
      <c r="F41" s="34"/>
      <c r="G41" s="46"/>
      <c r="H41" s="47"/>
      <c r="I41" s="48"/>
      <c r="J41" s="46"/>
      <c r="K41" s="46"/>
      <c r="L41" s="66"/>
      <c r="M41" s="46"/>
      <c r="N41" s="46"/>
      <c r="O41" s="48"/>
      <c r="P41" s="46"/>
      <c r="Q41" s="168" t="s">
        <v>47</v>
      </c>
      <c r="R41" s="169"/>
      <c r="S41" s="170" t="s">
        <v>48</v>
      </c>
      <c r="T41" s="169"/>
      <c r="U41" s="46"/>
      <c r="V41" s="46"/>
      <c r="W41" s="73"/>
      <c r="X41" s="74"/>
      <c r="Y41" s="74"/>
      <c r="Z41" s="74"/>
      <c r="AA41" s="46"/>
      <c r="AB41" s="46"/>
      <c r="AC41" s="73"/>
      <c r="AD41" s="74"/>
      <c r="AE41" s="74"/>
      <c r="AF41" s="74"/>
      <c r="AG41" s="46"/>
      <c r="AH41" s="120"/>
    </row>
    <row r="42" spans="1:38" x14ac:dyDescent="0.25">
      <c r="A42" s="23" t="s">
        <v>28</v>
      </c>
      <c r="B42" s="28">
        <v>8</v>
      </c>
      <c r="C42" s="57" t="s">
        <v>31</v>
      </c>
      <c r="D42" s="25" t="s">
        <v>21</v>
      </c>
      <c r="E42" s="57" t="s">
        <v>101</v>
      </c>
      <c r="F42" s="35" t="s">
        <v>37</v>
      </c>
      <c r="G42" s="40">
        <f>Ene!G42+Feb!G42+Mar!G42+Abr!G42+May!G42+Jun!G42+Jul!G42+Ago!G42+Sep!G42+Oct!G42+Nov!G42+Dic!G42</f>
        <v>141907</v>
      </c>
      <c r="H42" s="40">
        <f>Ene!H42+Feb!H42+Mar!H42+Abr!H42+May!H42+Jun!H42+Jul!H42+Ago!H42+Sep!H42+Oct!H42+Nov!H42+Dic!H42</f>
        <v>267778</v>
      </c>
      <c r="I42" s="40">
        <f>Ene!I42+Feb!I42+Mar!I42+Abr!I42+May!I42+Jun!I42+Jul!I42+Ago!I42+Sep!I42+Oct!I42+Nov!I42+Dic!I42</f>
        <v>237.92788337093279</v>
      </c>
      <c r="J42" s="40">
        <f>Ene!J42+Feb!J42+Mar!J42+Abr!J42+May!J42+Jun!J42+Jul!J42+Ago!J42+Sep!J42+Oct!J42+Nov!J42+Dic!J42</f>
        <v>225.80792222019448</v>
      </c>
      <c r="K42" s="40"/>
      <c r="L42" s="40"/>
      <c r="M42" s="40"/>
      <c r="N42" s="40">
        <f>Ene!N42+Feb!N42+Mar!N42+Abr!N42+May!N42+Jun!N42+Jul!N42+Ago!N42+Sep!N42+Oct!N42+Nov!N42+Dic!N42</f>
        <v>15760.119999999999</v>
      </c>
      <c r="O42" s="40">
        <f>Ene!O42+Feb!O42+Mar!O42+Abr!O42+May!O42+Jun!O42+Jul!O42+Ago!O42+Sep!O42+Oct!O42+Nov!O42+Dic!O42</f>
        <v>30769996.140000001</v>
      </c>
      <c r="P42" s="40">
        <f>Ene!P42+Feb!P42+Mar!P42+Abr!P42+May!P42+Jun!P42+Jul!P42+Ago!P42+Sep!P42+Oct!P42+Nov!P42+Dic!P42</f>
        <v>5769374.2699999996</v>
      </c>
      <c r="Q42" s="40">
        <f>Ene!Q42+Feb!Q42+Mar!Q42+Abr!Q42+May!Q42+Jun!Q42+Jul!Q42+Ago!Q42+Sep!Q42+Oct!Q42+Nov!Q42+Dic!Q42</f>
        <v>4615499.41</v>
      </c>
      <c r="R42" s="42">
        <v>0.15</v>
      </c>
      <c r="S42" s="40">
        <f>Ene!S42+Feb!S42+Mar!S42+Abr!S42+May!S42+Jun!S42+Jul!S42+Ago!S42+Sep!S42+Oct!S42+Nov!S42+Dic!S42</f>
        <v>1153874.8500000001</v>
      </c>
      <c r="T42" s="258">
        <v>3.7499999999999999E-2</v>
      </c>
      <c r="U42" s="40">
        <f t="shared" ref="U42:U47" si="13">IF($F42&amp;"/Día"=W$9,SUM($G42:$H42),"")</f>
        <v>409685</v>
      </c>
      <c r="V42" s="40">
        <f t="shared" ref="V42:V47" si="14">IF(U42&lt;&gt;"",$O42,"")</f>
        <v>30769996.140000001</v>
      </c>
      <c r="W42" s="75">
        <f t="shared" ref="W42:W47" si="15">IF($F42&amp;"/Día"=W$9,ROUND(U42/$W$1,1),"")</f>
        <v>1122.4000000000001</v>
      </c>
      <c r="X42" s="76">
        <f t="shared" ref="X42:X47" si="16">IF(U42=0,0,IF($F42&amp;"/Día"=W$9,ROUND(V42/U42,4),""))</f>
        <v>75.106499999999997</v>
      </c>
      <c r="Y42" s="76">
        <f t="shared" ref="Y42:Y47" si="17">IF(U42=0,0,IF($F42&amp;"/Día"=W$9,ROUND(Z42/U42,4),""))</f>
        <v>14.0825</v>
      </c>
      <c r="Z42" s="40">
        <f t="shared" ref="Z42:Z47" si="18">IF(U42&lt;&gt;"",$P42,"")</f>
        <v>5769374.2699999996</v>
      </c>
      <c r="AA42" s="40" t="str">
        <f t="shared" ref="AA42:AA47" si="19">IF($F42&amp;"/Día"=AC$9,SUM($G42:$H42),"")</f>
        <v/>
      </c>
      <c r="AB42" s="40" t="str">
        <f t="shared" ref="AB42:AB47" si="20">IF(AA42&lt;&gt;"",$O42,"")</f>
        <v/>
      </c>
      <c r="AC42" s="75" t="str">
        <f t="shared" ref="AC42:AC47" si="21">IF($F42&amp;"/Día"=AC$9,ROUND(AA42/$W$1,1),"")</f>
        <v/>
      </c>
      <c r="AD42" s="76" t="str">
        <f t="shared" ref="AD42:AD47" si="22">IF(AA42=0,0,IF($F42&amp;"/Día"=AC$9,ROUND(AB42/AA42,4),""))</f>
        <v/>
      </c>
      <c r="AE42" s="76" t="str">
        <f t="shared" ref="AE42:AE47" si="23">IF(AA42=0,0,IF($F42&amp;"/Día"=AC$9,ROUND(AF42/AA42,4),""))</f>
        <v/>
      </c>
      <c r="AF42" s="40" t="str">
        <f t="shared" ref="AF42:AF47" si="24">IF(AA42&lt;&gt;"",$P42,"")</f>
        <v/>
      </c>
      <c r="AG42" s="50"/>
      <c r="AH42" s="121">
        <f>IF(O42=0,"",IF(I42="",H42*J42-SUM(K42:N42)-O42,+(G42*I42+H42*J42)-SUM(K42:N42)-O42))</f>
        <v>63444269.68179819</v>
      </c>
    </row>
    <row r="43" spans="1:38" x14ac:dyDescent="0.25">
      <c r="A43" s="23" t="s">
        <v>28</v>
      </c>
      <c r="B43" s="24" t="s">
        <v>12</v>
      </c>
      <c r="C43" s="57" t="s">
        <v>31</v>
      </c>
      <c r="D43" s="25" t="s">
        <v>30</v>
      </c>
      <c r="E43" s="57" t="s">
        <v>101</v>
      </c>
      <c r="F43" s="33" t="s">
        <v>56</v>
      </c>
      <c r="G43" s="40">
        <f>Ene!G43+Feb!G43+Mar!G43+Abr!G43+May!G43+Jun!G43+Jul!G43+Ago!G43+Sep!G43+Oct!G43+Nov!G43+Dic!G43</f>
        <v>256592.83680000002</v>
      </c>
      <c r="H43" s="40">
        <f>Ene!H43+Feb!H43+Mar!H43+Abr!H43+May!H43+Jun!H43+Jul!H43+Ago!H43+Sep!H43+Oct!H43+Nov!H43+Dic!H43</f>
        <v>264924.71350000001</v>
      </c>
      <c r="I43" s="40">
        <f>Ene!I43+Feb!I43+Mar!I43+Abr!I43+May!I43+Jun!I43+Jul!I43+Ago!I43+Sep!I43+Oct!I43+Nov!I43+Dic!I43</f>
        <v>14.4156</v>
      </c>
      <c r="J43" s="40">
        <f>Ene!J43+Feb!J43+Mar!J43+Abr!J43+May!J43+Jun!J43+Jul!J43+Ago!J43+Sep!J43+Oct!J43+Nov!J43+Dic!J43</f>
        <v>14.412599999999999</v>
      </c>
      <c r="K43" s="40"/>
      <c r="L43" s="40"/>
      <c r="M43" s="40"/>
      <c r="N43" s="40">
        <f>Ene!N43+Feb!N43+Mar!N43+Abr!N43+May!N43+Jun!N43+Jul!N43+Ago!N43+Sep!N43+Oct!N43+Nov!N43+Dic!N43</f>
        <v>6838.8600000000006</v>
      </c>
      <c r="O43" s="40">
        <f>Ene!O43+Feb!O43+Mar!O43+Abr!O43+May!O43+Jun!O43+Jul!O43+Ago!O43+Sep!O43+Oct!O43+Nov!O43+Dic!O43</f>
        <v>1872617.57</v>
      </c>
      <c r="P43" s="40">
        <f>Ene!P43+Feb!P43+Mar!P43+Abr!P43+May!P43+Jun!P43+Jul!P43+Ago!P43+Sep!P43+Oct!P43+Nov!P43+Dic!P43</f>
        <v>351115.79000000004</v>
      </c>
      <c r="Q43" s="40">
        <f>Ene!Q43+Feb!Q43+Mar!Q43+Abr!Q43+May!Q43+Jun!Q43+Jul!Q43+Ago!Q43+Sep!Q43+Oct!Q43+Nov!Q43+Dic!Q43</f>
        <v>70223.149999999994</v>
      </c>
      <c r="R43" s="258">
        <v>3.7499999999999999E-2</v>
      </c>
      <c r="S43" s="40">
        <f>Ene!S43+Feb!S43+Mar!S43+Abr!S43+May!S43+Jun!S43+Jul!S43+Ago!S43+Sep!S43+Oct!S43+Nov!S43+Dic!S43</f>
        <v>280892.64</v>
      </c>
      <c r="T43" s="42">
        <v>0.15</v>
      </c>
      <c r="U43" s="40" t="str">
        <f t="shared" si="13"/>
        <v/>
      </c>
      <c r="V43" s="40" t="str">
        <f t="shared" si="14"/>
        <v/>
      </c>
      <c r="W43" s="75" t="str">
        <f t="shared" si="15"/>
        <v/>
      </c>
      <c r="X43" s="76" t="str">
        <f t="shared" si="16"/>
        <v/>
      </c>
      <c r="Y43" s="76" t="str">
        <f t="shared" si="17"/>
        <v/>
      </c>
      <c r="Z43" s="40" t="str">
        <f t="shared" si="18"/>
        <v/>
      </c>
      <c r="AA43" s="40">
        <f t="shared" si="19"/>
        <v>521517.5503</v>
      </c>
      <c r="AB43" s="40">
        <f t="shared" si="20"/>
        <v>1872617.57</v>
      </c>
      <c r="AC43" s="75">
        <f t="shared" si="21"/>
        <v>1428.8</v>
      </c>
      <c r="AD43" s="76">
        <f t="shared" si="22"/>
        <v>3.5907</v>
      </c>
      <c r="AE43" s="76">
        <f t="shared" si="23"/>
        <v>0.67330000000000001</v>
      </c>
      <c r="AF43" s="40">
        <f t="shared" si="24"/>
        <v>351115.79000000004</v>
      </c>
      <c r="AG43" s="50"/>
      <c r="AH43" s="121">
        <f>IF(O43=0,"",IF(I43="",H43*J43-SUM(K43:N43)-O43,+(G43*I43+H43*J43)-SUM(K43:N43)-O43))</f>
        <v>5637737.1939641796</v>
      </c>
    </row>
    <row r="44" spans="1:38" x14ac:dyDescent="0.25">
      <c r="A44" s="23" t="s">
        <v>28</v>
      </c>
      <c r="B44" s="24" t="s">
        <v>75</v>
      </c>
      <c r="C44" s="57" t="s">
        <v>31</v>
      </c>
      <c r="D44" s="25" t="s">
        <v>30</v>
      </c>
      <c r="E44" s="57" t="s">
        <v>103</v>
      </c>
      <c r="F44" s="35" t="s">
        <v>37</v>
      </c>
      <c r="G44" s="40">
        <f>Ene!G44+Feb!G44+Mar!G44+Abr!G44+May!G44+Jun!G44+Jul!G44+Ago!G44+Sep!G44+Oct!G44+Nov!G44+Dic!G44</f>
        <v>0</v>
      </c>
      <c r="H44" s="40">
        <f>Ene!H44+Feb!H44+Mar!H44+Abr!H44+May!H44+Jun!H44+Jul!H44+Ago!H44+Sep!H44+Oct!H44+Nov!H44+Dic!H44</f>
        <v>0</v>
      </c>
      <c r="I44" s="40">
        <f>Ene!I44+Feb!I44+Mar!I44+Abr!I44+May!I44+Jun!I44+Jul!I44+Ago!I44+Sep!I44+Oct!I44+Nov!I44+Dic!I44</f>
        <v>0</v>
      </c>
      <c r="J44" s="40">
        <f>Ene!J44+Feb!J44+Mar!J44+Abr!J44+May!J44+Jun!J44+Jul!J44+Ago!J44+Sep!J44+Oct!J44+Nov!J44+Dic!J44</f>
        <v>0</v>
      </c>
      <c r="K44" s="40"/>
      <c r="L44" s="40"/>
      <c r="M44" s="40"/>
      <c r="N44" s="40">
        <f>Ene!N44+Feb!N44+Mar!N44+Abr!N44+May!N44+Jun!N44+Jul!N44+Ago!N44+Sep!N44+Oct!N44+Nov!N44+Dic!N44</f>
        <v>9336.1</v>
      </c>
      <c r="O44" s="40">
        <f>Ene!O44+Feb!O44+Mar!O44+Abr!O44+May!O44+Jun!O44+Jul!O44+Ago!O44+Sep!O44+Oct!O44+Nov!O44+Dic!O44</f>
        <v>-9336.1</v>
      </c>
      <c r="P44" s="40">
        <f>Ene!P44+Feb!P44+Mar!P44+Abr!P44+May!P44+Jun!P44+Jul!P44+Ago!P44+Sep!P44+Oct!P44+Nov!P44+Dic!P44</f>
        <v>-1750.52</v>
      </c>
      <c r="Q44" s="40">
        <f>Ene!Q44+Feb!Q44+Mar!Q44+Abr!Q44+May!Q44+Jun!Q44+Jul!Q44+Ago!Q44+Sep!Q44+Oct!Q44+Nov!Q44+Dic!Q44</f>
        <v>-350.11</v>
      </c>
      <c r="R44" s="258">
        <v>3.7499999999999999E-2</v>
      </c>
      <c r="S44" s="40">
        <f>Ene!S44+Feb!S44+Mar!S44+Abr!S44+May!S44+Jun!S44+Jul!S44+Ago!S44+Sep!S44+Oct!S44+Nov!S44+Dic!S44</f>
        <v>-1400.41</v>
      </c>
      <c r="T44" s="42">
        <v>0.15</v>
      </c>
      <c r="U44" s="40">
        <f t="shared" si="13"/>
        <v>0</v>
      </c>
      <c r="V44" s="40">
        <f t="shared" si="14"/>
        <v>-9336.1</v>
      </c>
      <c r="W44" s="75">
        <f t="shared" si="15"/>
        <v>0</v>
      </c>
      <c r="X44" s="76">
        <f t="shared" si="16"/>
        <v>0</v>
      </c>
      <c r="Y44" s="76">
        <f t="shared" si="17"/>
        <v>0</v>
      </c>
      <c r="Z44" s="40">
        <f t="shared" si="18"/>
        <v>-1750.52</v>
      </c>
      <c r="AA44" s="40" t="str">
        <f t="shared" si="19"/>
        <v/>
      </c>
      <c r="AB44" s="40" t="str">
        <f t="shared" si="20"/>
        <v/>
      </c>
      <c r="AC44" s="75" t="str">
        <f t="shared" si="21"/>
        <v/>
      </c>
      <c r="AD44" s="76" t="str">
        <f t="shared" si="22"/>
        <v/>
      </c>
      <c r="AE44" s="76" t="str">
        <f t="shared" si="23"/>
        <v/>
      </c>
      <c r="AF44" s="40" t="str">
        <f t="shared" si="24"/>
        <v/>
      </c>
      <c r="AG44" s="50"/>
      <c r="AH44" s="121">
        <f>IF(O44=0,"",IF(I44="",H44*J44-SUM(K44:N44)-O44,+(G44*I44+H44*J44)-SUM(K44:N44)-O44))</f>
        <v>0</v>
      </c>
    </row>
    <row r="45" spans="1:38" x14ac:dyDescent="0.25">
      <c r="A45" s="23" t="s">
        <v>28</v>
      </c>
      <c r="B45" s="28">
        <v>95</v>
      </c>
      <c r="C45" s="57" t="s">
        <v>31</v>
      </c>
      <c r="D45" s="57" t="s">
        <v>30</v>
      </c>
      <c r="E45" s="57" t="s">
        <v>101</v>
      </c>
      <c r="F45" s="237" t="s">
        <v>37</v>
      </c>
      <c r="G45" s="40">
        <f>Ene!G45+Feb!G45+Mar!G45+Abr!G45+May!G45+Jun!G45+Jul!G45+Ago!G45+Sep!G45+Oct!G45+Nov!G45+Dic!G45</f>
        <v>834913</v>
      </c>
      <c r="H45" s="40">
        <f>Ene!H45+Feb!H45+Mar!H45+Abr!H45+May!H45+Jun!H45+Jul!H45+Ago!H45+Sep!H45+Oct!H45+Nov!H45+Dic!H45</f>
        <v>812760</v>
      </c>
      <c r="I45" s="40">
        <f>Ene!I45+Feb!I45+Mar!I45+Abr!I45+May!I45+Jun!I45+Jul!I45+Ago!I45+Sep!I45+Oct!I45+Nov!I45+Dic!I45</f>
        <v>237.1037</v>
      </c>
      <c r="J45" s="40">
        <f>Ene!J45+Feb!J45+Mar!J45+Abr!J45+May!J45+Jun!J45+Jul!J45+Ago!J45+Sep!J45+Oct!J45+Nov!J45+Dic!J45</f>
        <v>260.79289999999997</v>
      </c>
      <c r="K45" s="40"/>
      <c r="L45" s="40"/>
      <c r="M45" s="40"/>
      <c r="N45" s="40">
        <f>Ene!N45+Feb!N45+Mar!N45+Abr!N45+May!N45+Jun!N45+Jul!N45+Ago!N45+Sep!N45+Oct!N45+Nov!N45+Dic!N45</f>
        <v>21588.07</v>
      </c>
      <c r="O45" s="40">
        <f>Ene!O45+Feb!O45+Mar!O45+Abr!O45+May!O45+Jun!O45+Jul!O45+Ago!O45+Sep!O45+Oct!O45+Nov!O45+Dic!O45</f>
        <v>101042177.83</v>
      </c>
      <c r="P45" s="40">
        <f>Ene!P45+Feb!P45+Mar!P45+Abr!P45+May!P45+Jun!P45+Jul!P45+Ago!P45+Sep!P45+Oct!P45+Nov!P45+Dic!P45</f>
        <v>18945408.34</v>
      </c>
      <c r="Q45" s="40">
        <f>Ene!Q45+Feb!Q45+Mar!Q45+Abr!Q45+May!Q45+Jun!Q45+Jul!Q45+Ago!Q45+Sep!Q45+Oct!Q45+Nov!Q45+Dic!Q45</f>
        <v>15156326.68</v>
      </c>
      <c r="R45" s="42">
        <v>0.15</v>
      </c>
      <c r="S45" s="40">
        <f>Ene!S45+Feb!S45+Mar!S45+Abr!S45+May!S45+Jun!S45+Jul!S45+Ago!S45+Sep!S45+Oct!S45+Nov!S45+Dic!S45</f>
        <v>3789081.66</v>
      </c>
      <c r="T45" s="273">
        <v>3.7499999999999999E-2</v>
      </c>
      <c r="U45" s="40">
        <f>IF($F45&amp;"/Día"=W$9,SUM($G45:$H45),"")</f>
        <v>1647673</v>
      </c>
      <c r="V45" s="40">
        <f>IF(U45&lt;&gt;"",$O45,"")</f>
        <v>101042177.83</v>
      </c>
      <c r="W45" s="75">
        <f>IF($F45&amp;"/Día"=W$9,ROUND(U45/$W$1,1),"")</f>
        <v>4514.2</v>
      </c>
      <c r="X45" s="76">
        <f>IF(U45=0,0,IF($F45&amp;"/Día"=W$9,ROUND(V45/U45,4),""))</f>
        <v>61.324199999999998</v>
      </c>
      <c r="Y45" s="76">
        <f>IF(U45=0,0,IF($F45&amp;"/Día"=W$9,ROUND(Z45/U45,4),""))</f>
        <v>11.4983</v>
      </c>
      <c r="Z45" s="40">
        <f>IF(U45&lt;&gt;"",$P45,"")</f>
        <v>18945408.34</v>
      </c>
      <c r="AA45" s="40" t="str">
        <f t="shared" si="19"/>
        <v/>
      </c>
      <c r="AB45" s="40" t="str">
        <f t="shared" si="20"/>
        <v/>
      </c>
      <c r="AC45" s="75" t="str">
        <f t="shared" si="21"/>
        <v/>
      </c>
      <c r="AD45" s="76" t="str">
        <f t="shared" si="22"/>
        <v/>
      </c>
      <c r="AE45" s="76" t="str">
        <f t="shared" si="23"/>
        <v/>
      </c>
      <c r="AF45" s="40" t="str">
        <f t="shared" si="24"/>
        <v/>
      </c>
      <c r="AG45" s="50"/>
      <c r="AH45" s="121"/>
    </row>
    <row r="46" spans="1:38" x14ac:dyDescent="0.25">
      <c r="A46" s="26" t="s">
        <v>28</v>
      </c>
      <c r="B46" s="272">
        <v>67</v>
      </c>
      <c r="C46" s="57" t="s">
        <v>31</v>
      </c>
      <c r="D46" s="57" t="s">
        <v>30</v>
      </c>
      <c r="E46" s="57" t="s">
        <v>101</v>
      </c>
      <c r="F46" s="237" t="s">
        <v>37</v>
      </c>
      <c r="G46" s="40">
        <f>Ene!G46+Feb!G46+Mar!G46+Abr!G46+May!G46+Jun!G46+Jul!G46+Ago!G46+Sep!G46+Oct!G46+Nov!G46+Dic!G46</f>
        <v>0</v>
      </c>
      <c r="H46" s="40">
        <f>Ene!H46+Feb!H46+Mar!H46+Abr!H46+May!H46+Jun!H46+Jul!H46+Ago!H46+Sep!H46+Oct!H46+Nov!H46+Dic!H46</f>
        <v>0</v>
      </c>
      <c r="I46" s="40">
        <f>Ene!I46+Feb!I46+Mar!I46+Abr!I46+May!I46+Jun!I46+Jul!I46+Ago!I46+Sep!I46+Oct!I46+Nov!I46+Dic!I46</f>
        <v>0</v>
      </c>
      <c r="J46" s="40">
        <f>Ene!J46+Feb!J46+Mar!J46+Abr!J46+May!J46+Jun!J46+Jul!J46+Ago!J46+Sep!J46+Oct!J46+Nov!J46+Dic!J46</f>
        <v>0</v>
      </c>
      <c r="K46" s="40"/>
      <c r="L46" s="40"/>
      <c r="M46" s="40"/>
      <c r="N46" s="40">
        <f>Ene!N46+Feb!N46+Mar!N46+Abr!N46+May!N46+Jun!N46+Jul!N46+Ago!N46+Sep!N46+Oct!N46+Nov!N46+Dic!N46</f>
        <v>0</v>
      </c>
      <c r="O46" s="40">
        <f>Ene!O46+Feb!O46+Mar!O46+Abr!O46+May!O46+Jun!O46+Jul!O46+Ago!O46+Sep!O46+Oct!O46+Nov!O46+Dic!O46</f>
        <v>0</v>
      </c>
      <c r="P46" s="40">
        <f>Ene!P46+Feb!P46+Mar!P46+Abr!P46+May!P46+Jun!P46+Jul!P46+Ago!P46+Sep!P46+Oct!P46+Nov!P46+Dic!P46</f>
        <v>0</v>
      </c>
      <c r="Q46" s="40">
        <f>Ene!Q46+Feb!Q46+Mar!Q46+Abr!Q46+May!Q46+Jun!Q46+Jul!Q46+Ago!Q46+Sep!Q46+Oct!Q46+Nov!Q46+Dic!Q46</f>
        <v>0</v>
      </c>
      <c r="R46" s="42">
        <v>0.15</v>
      </c>
      <c r="S46" s="40">
        <f>Ene!S46+Feb!S46+Mar!S46+Abr!S46+May!S46+Jun!S46+Jul!S46+Ago!S46+Sep!S46+Oct!S46+Nov!S46+Dic!S46</f>
        <v>0</v>
      </c>
      <c r="T46" s="273">
        <v>3.7499999999999999E-2</v>
      </c>
      <c r="U46" s="40">
        <f>IF($F46&amp;"/Día"=W$9,SUM($G46:$H46),"")</f>
        <v>0</v>
      </c>
      <c r="V46" s="40">
        <f>IF(U46&lt;&gt;"",$O46,"")</f>
        <v>0</v>
      </c>
      <c r="W46" s="75">
        <f>IF($F46&amp;"/Día"=W$9,ROUND(U46/$W$1,1),"")</f>
        <v>0</v>
      </c>
      <c r="X46" s="76">
        <f>IF(U46=0,0,IF($F46&amp;"/Día"=W$9,ROUND(V46/U46,4),""))</f>
        <v>0</v>
      </c>
      <c r="Y46" s="76">
        <f>IF(U46=0,0,IF($F46&amp;"/Día"=W$9,ROUND(Z46/U46,4),""))</f>
        <v>0</v>
      </c>
      <c r="Z46" s="40">
        <f>IF(U46&lt;&gt;"",$P46,"")</f>
        <v>0</v>
      </c>
      <c r="AA46" s="40" t="str">
        <f t="shared" si="19"/>
        <v/>
      </c>
      <c r="AB46" s="40" t="str">
        <f t="shared" si="20"/>
        <v/>
      </c>
      <c r="AC46" s="75" t="str">
        <f t="shared" si="21"/>
        <v/>
      </c>
      <c r="AD46" s="76" t="str">
        <f t="shared" si="22"/>
        <v/>
      </c>
      <c r="AE46" s="76" t="str">
        <f t="shared" si="23"/>
        <v/>
      </c>
      <c r="AF46" s="40" t="str">
        <f t="shared" si="24"/>
        <v/>
      </c>
      <c r="AG46" s="50"/>
      <c r="AH46" s="121"/>
    </row>
    <row r="47" spans="1:38" x14ac:dyDescent="0.25">
      <c r="A47" s="18" t="s">
        <v>28</v>
      </c>
      <c r="B47" s="29" t="s">
        <v>54</v>
      </c>
      <c r="C47" s="56"/>
      <c r="D47" s="56"/>
      <c r="E47" s="27"/>
      <c r="F47" s="57" t="s">
        <v>37</v>
      </c>
      <c r="G47" s="40"/>
      <c r="H47" s="40"/>
      <c r="I47" s="40"/>
      <c r="J47" s="40"/>
      <c r="K47" s="40"/>
      <c r="L47" s="40"/>
      <c r="M47" s="40"/>
      <c r="N47" s="40">
        <f>Ene!N47+Feb!N47+Mar!N47+Abr!N47+May!N47+Jun!N47+Jul!N47+Ago!N47+Sep!N47+Oct!N47+Nov!N47+Dic!N47</f>
        <v>0</v>
      </c>
      <c r="O47" s="40">
        <f>Ene!O47+Feb!O47+Mar!O47+Abr!O47+May!O47+Jun!O47+Jul!O47+Ago!O47+Sep!O47+Oct!O47+Nov!O47+Dic!O47</f>
        <v>6791081.96</v>
      </c>
      <c r="P47" s="40">
        <f>Ene!P47+Feb!P47+Mar!P47+Abr!P47+May!P47+Jun!P47+Jul!P47+Ago!P47+Sep!P47+Oct!P47+Nov!P47+Dic!P47</f>
        <v>1273327.8699999999</v>
      </c>
      <c r="Q47" s="40">
        <f>Ene!Q47+Feb!Q47+Mar!Q47+Abr!Q47+May!Q47+Jun!Q47+Jul!Q47+Ago!Q47+Sep!Q47+Oct!Q47+Nov!Q47+Dic!Q47</f>
        <v>1018662.2999999999</v>
      </c>
      <c r="R47" s="87"/>
      <c r="S47" s="40">
        <f>Ene!S47+Feb!S47+Mar!S47+Abr!S47+May!S47+Jun!S47+Jul!S47+Ago!S47+Sep!S47+Oct!S47+Nov!S47+Dic!S47</f>
        <v>254665.57</v>
      </c>
      <c r="T47" s="87"/>
      <c r="U47" s="40">
        <f t="shared" si="13"/>
        <v>0</v>
      </c>
      <c r="V47" s="40">
        <f t="shared" si="14"/>
        <v>6791081.96</v>
      </c>
      <c r="W47" s="75">
        <f t="shared" si="15"/>
        <v>0</v>
      </c>
      <c r="X47" s="76">
        <f t="shared" si="16"/>
        <v>0</v>
      </c>
      <c r="Y47" s="76">
        <f t="shared" si="17"/>
        <v>0</v>
      </c>
      <c r="Z47" s="40">
        <f t="shared" si="18"/>
        <v>1273327.8699999999</v>
      </c>
      <c r="AA47" s="40" t="str">
        <f t="shared" si="19"/>
        <v/>
      </c>
      <c r="AB47" s="40" t="str">
        <f t="shared" si="20"/>
        <v/>
      </c>
      <c r="AC47" s="75" t="str">
        <f t="shared" si="21"/>
        <v/>
      </c>
      <c r="AD47" s="76" t="str">
        <f t="shared" si="22"/>
        <v/>
      </c>
      <c r="AE47" s="76" t="str">
        <f t="shared" si="23"/>
        <v/>
      </c>
      <c r="AF47" s="40" t="str">
        <f t="shared" si="24"/>
        <v/>
      </c>
      <c r="AG47" s="50"/>
      <c r="AH47" s="121"/>
    </row>
    <row r="48" spans="1:38" x14ac:dyDescent="0.25">
      <c r="A48" s="30"/>
      <c r="B48" s="153" t="s">
        <v>108</v>
      </c>
      <c r="C48" s="31" t="str">
        <f>TEXT(A$41,)&amp;" US$"</f>
        <v>Loreto / Ucayali US$</v>
      </c>
      <c r="D48" s="31"/>
      <c r="E48" s="124"/>
      <c r="F48" s="30"/>
      <c r="G48" s="44"/>
      <c r="H48" s="44"/>
      <c r="I48" s="44"/>
      <c r="J48" s="44"/>
      <c r="K48" s="44"/>
      <c r="L48" s="44"/>
      <c r="M48" s="52"/>
      <c r="N48" s="40">
        <f>Ene!N48+Feb!N48+Mar!N48+Abr!N48+May!N48+Jun!N48+Jul!N48+Ago!N48+Sep!N48+Nov!N48+Dic!N48</f>
        <v>0</v>
      </c>
      <c r="O48" s="40">
        <f>Ene!O48+Feb!O48+Mar!O48+Abr!O48+May!O48+Jun!O48+Jul!O48+Ago!O48+Sep!O48+Oct!O48+Nov!O48+Dic!O48</f>
        <v>140466537.40000004</v>
      </c>
      <c r="P48" s="40">
        <f>Ene!P48+Feb!P48+Mar!P48+Abr!P48+May!P48+Jun!P48+Jul!P48+Ago!P48+Sep!P48+Oct!P48+Nov!P48+Dic!P48</f>
        <v>26337475.75</v>
      </c>
      <c r="Q48" s="60">
        <f>SUM(Q42:Q47)</f>
        <v>20860361.43</v>
      </c>
      <c r="R48" s="61"/>
      <c r="S48" s="60">
        <f>SUM(S42:S47)</f>
        <v>5477114.3100000005</v>
      </c>
      <c r="T48" s="45"/>
      <c r="U48" s="77">
        <f>SUM(U42:U47)</f>
        <v>2057358</v>
      </c>
      <c r="V48" s="77">
        <f>SUM(V42:V47)</f>
        <v>138593919.83000001</v>
      </c>
      <c r="W48" s="78">
        <f>SUM(W42:W47)</f>
        <v>5636.6</v>
      </c>
      <c r="X48" s="79">
        <f>ROUND(V48/U48,4)</f>
        <v>67.364999999999995</v>
      </c>
      <c r="Y48" s="79">
        <f>ROUND(Z48/U48,4)</f>
        <v>12.6309</v>
      </c>
      <c r="Z48" s="77">
        <f>SUM(Z42:Z47)</f>
        <v>25986359.960000001</v>
      </c>
      <c r="AA48" s="77">
        <f>SUM(AA42:AA47)</f>
        <v>521517.5503</v>
      </c>
      <c r="AB48" s="77">
        <f>SUM(AB42:AB47)</f>
        <v>1872617.57</v>
      </c>
      <c r="AC48" s="78">
        <f>SUM(AC42:AC47)</f>
        <v>1428.8</v>
      </c>
      <c r="AD48" s="79">
        <f>ROUND(AB48/AA48,4)</f>
        <v>3.5907</v>
      </c>
      <c r="AE48" s="79">
        <f>ROUND(AF48/AA48,4)</f>
        <v>0.67330000000000001</v>
      </c>
      <c r="AF48" s="77">
        <f>SUM(AF42:AF47)</f>
        <v>351115.79000000004</v>
      </c>
      <c r="AG48" s="77">
        <f>P48-Z48-AF48</f>
        <v>-9.3132257461547852E-10</v>
      </c>
      <c r="AH48" s="77">
        <f>SUM(AH42:AH47)</f>
        <v>69082006.875762373</v>
      </c>
    </row>
    <row r="49" spans="1:36" x14ac:dyDescent="0.25">
      <c r="A49" s="145"/>
      <c r="B49" s="146"/>
      <c r="C49" s="31" t="str">
        <f>TEXT(A$41,)&amp;" S/."</f>
        <v>Loreto / Ucayali S/.</v>
      </c>
      <c r="D49" s="103"/>
      <c r="E49" s="124"/>
      <c r="F49" s="145"/>
      <c r="G49" s="88"/>
      <c r="H49" s="88"/>
      <c r="I49" s="88"/>
      <c r="J49" s="88"/>
      <c r="K49" s="88"/>
      <c r="L49" s="88"/>
      <c r="M49" s="147"/>
      <c r="N49" s="147"/>
      <c r="O49" s="380"/>
      <c r="P49" s="331">
        <f>Ene!P49+Feb!P49+Mar!P49+Abr!P49+May!P49+Jun!P49+Jul!P49+Ago!P49+Sep!P49+Nov!P49+Dic!P49</f>
        <v>90006541.24000001</v>
      </c>
      <c r="Q49" s="332">
        <f>Ene!Q49+Feb!Q49+Mar!Q49+Abr!Q49+May!Q49+Jun!Q49+Jul!Q49+Ago!Q49+Sep!Q49+Nov!Q49+Dic!Q49</f>
        <v>71285503.329999998</v>
      </c>
      <c r="R49" s="334"/>
      <c r="S49" s="332">
        <f>Ene!S49+Feb!S49+Mar!S49+Abr!S49+May!S49+Jun!S49+Jul!S49+Ago!S49+Sep!S49+Nov!S49+Dic!S49</f>
        <v>18721037.869999997</v>
      </c>
      <c r="T49" s="148"/>
      <c r="U49" s="149"/>
      <c r="V49" s="149"/>
      <c r="W49" s="150"/>
      <c r="X49" s="151"/>
      <c r="Y49" s="151"/>
      <c r="Z49" s="149"/>
      <c r="AA49" s="149"/>
      <c r="AB49" s="149"/>
      <c r="AC49" s="150"/>
      <c r="AD49" s="151"/>
      <c r="AE49" s="151"/>
      <c r="AF49" s="149"/>
      <c r="AG49" s="149"/>
      <c r="AH49" s="149"/>
    </row>
    <row r="50" spans="1:36" x14ac:dyDescent="0.25">
      <c r="A50" s="15" t="s">
        <v>161</v>
      </c>
      <c r="B50" s="16"/>
      <c r="C50" s="16"/>
      <c r="D50" s="16"/>
      <c r="E50" s="21"/>
      <c r="F50" s="15"/>
      <c r="G50" s="22"/>
      <c r="H50" s="32"/>
      <c r="I50" s="16"/>
      <c r="J50" s="22"/>
      <c r="K50" s="22"/>
      <c r="L50" s="22"/>
      <c r="M50" s="22"/>
      <c r="N50" s="22"/>
      <c r="O50" s="22"/>
      <c r="P50" s="168" t="s">
        <v>163</v>
      </c>
      <c r="Q50" s="389" t="s">
        <v>161</v>
      </c>
      <c r="R50" s="169"/>
      <c r="S50" s="178"/>
      <c r="T50" s="180"/>
      <c r="U50" s="84">
        <f>U34+U39+U48</f>
        <v>3973023.6642889599</v>
      </c>
      <c r="V50" s="84">
        <f>V34+V39+V48</f>
        <v>265630029.63999999</v>
      </c>
      <c r="W50" s="85">
        <f>W34+W39+W48</f>
        <v>10884.900000000001</v>
      </c>
      <c r="X50" s="86">
        <f>ROUND(V50/U50,4)</f>
        <v>66.858400000000003</v>
      </c>
      <c r="Y50" s="86">
        <f>ROUND(Z50/U50,4)</f>
        <v>12.5044</v>
      </c>
      <c r="Z50" s="84">
        <f>Z34+Z39+Z48</f>
        <v>49680459.780000001</v>
      </c>
      <c r="AA50" s="84">
        <f>AA34+AA39+AA48</f>
        <v>5266481.4602774363</v>
      </c>
      <c r="AB50" s="84" t="e">
        <f>AB34+AB39+AB48</f>
        <v>#REF!</v>
      </c>
      <c r="AC50" s="85">
        <f>AC34+AC39+AC48</f>
        <v>14428.699999999997</v>
      </c>
      <c r="AD50" s="86" t="e">
        <f>ROUND(AB50/AA50,4)</f>
        <v>#REF!</v>
      </c>
      <c r="AE50" s="86" t="e">
        <f>ROUND(AF50/AA50,4)</f>
        <v>#REF!</v>
      </c>
      <c r="AF50" s="84" t="e">
        <f>AF34+AF39+AF48</f>
        <v>#REF!</v>
      </c>
      <c r="AG50" s="84" t="e">
        <f>P50-Z50-AF50</f>
        <v>#VALUE!</v>
      </c>
      <c r="AH50" s="84" t="e">
        <f>AH34+AH39+AH48</f>
        <v>#REF!</v>
      </c>
    </row>
    <row r="51" spans="1:36" x14ac:dyDescent="0.25">
      <c r="A51" s="23" t="s">
        <v>28</v>
      </c>
      <c r="B51" s="24" t="s">
        <v>160</v>
      </c>
      <c r="C51" s="57" t="s">
        <v>31</v>
      </c>
      <c r="D51" s="25" t="s">
        <v>30</v>
      </c>
      <c r="E51" s="57" t="s">
        <v>158</v>
      </c>
      <c r="F51" s="35" t="s">
        <v>37</v>
      </c>
      <c r="G51" s="40">
        <f>Ene!G51+Feb!G51+Mar!G51+Abr!G51+May!G51+Jun!G51+Jul!G51+Ago!G51+Sep!G51+Oct!G51+Nov!G51+Dic!G51</f>
        <v>2190411</v>
      </c>
      <c r="H51" s="40">
        <f>Ene!H51+Feb!H51+Mar!H51+Abr!H51+May!H51+Jun!H51+Jul!H51+Ago!H51+Sep!H51+Oct!H51+Nov!H51+Dic!H51</f>
        <v>2707357</v>
      </c>
      <c r="I51" s="40">
        <f>Ene!I51+Feb!I51+Mar!I51+Abr!I51+May!I51+Jun!I51+Jul!I51+Ago!I51+Sep!I51+Oct!I51+Nov!I51+Dic!I51</f>
        <v>163.9811</v>
      </c>
      <c r="J51" s="40">
        <f>Ene!J51+Feb!J51+Mar!J51+Abr!J51+May!J51+Jun!J51+Jul!J51+Ago!J51+Sep!J51+Oct!J51+Nov!J51+Dic!J51</f>
        <v>178.33589999999998</v>
      </c>
      <c r="K51" s="40"/>
      <c r="L51" s="40"/>
      <c r="M51" s="40"/>
      <c r="N51" s="40">
        <f>Ene!N51+Feb!N51+Mar!N51+Abr!N51+May!N51+Jun!N51+Jul!N51+Ago!N51+Sep!N51+Oct!N51+Nov!N51+Dic!N51</f>
        <v>5102.9699999999993</v>
      </c>
      <c r="O51" s="40">
        <f>Ene!O51+Feb!O51+Mar!O51+Abr!O51+May!O51+Jun!O51+Jul!O51+Ago!O51+Sep!O51+Oct!O51+Nov!O51+Dic!O51</f>
        <v>207577393.28650001</v>
      </c>
      <c r="P51" s="40">
        <f>Ene!P51+Feb!P51+Mar!P51+Abr!P51+May!P51+Jun!P51+Jul!P51+Ago!P51+Sep!P51+Oct!P51+Nov!P51+Dic!P51</f>
        <v>77301821.260000005</v>
      </c>
      <c r="Q51" s="40">
        <f>Ene!Q51+Feb!Q51+Mar!Q51+Abr!Q51+May!Q51+Jun!Q51+Jul!Q51+Ago!Q51+Sep!Q51+Oct!Q51+Nov!Q51+Dic!Q51</f>
        <v>38650910.640000001</v>
      </c>
      <c r="R51" s="42">
        <v>0.5</v>
      </c>
      <c r="S51" s="40"/>
      <c r="T51" s="42"/>
      <c r="U51" s="40">
        <f>IF($F51&amp;"/Día"=W$9,SUM($G51:$H51),"")</f>
        <v>4897768</v>
      </c>
      <c r="V51" s="40">
        <f>IF(U51&lt;&gt;"",$O51,"")</f>
        <v>207577393.28650001</v>
      </c>
      <c r="W51" s="75">
        <f>IF($F51&amp;"/Día"=W$9,ROUND(U51/$W$1,1),"")</f>
        <v>13418.5</v>
      </c>
      <c r="X51" s="76">
        <f>IF(U51=0,0,IF($F51&amp;"/Día"=W$9,ROUND(V51/U51,4),""))</f>
        <v>42.381999999999998</v>
      </c>
      <c r="Y51" s="76">
        <f t="shared" ref="Y51:Y57" si="25">IF(U51=0,0,IF($F51&amp;"/Día"=W$9,ROUND(Z51/U51,4),""))</f>
        <v>7.8914999999999997</v>
      </c>
      <c r="Z51" s="40">
        <f t="shared" ref="Z51:Z57" si="26">IF(U51&lt;&gt;"",$Q51,"")</f>
        <v>38650910.640000001</v>
      </c>
      <c r="AA51" s="40" t="str">
        <f t="shared" ref="AA51:AA57" si="27">IF($F51&amp;"/Día"=AC$9,SUM($G51:$H51),"")</f>
        <v/>
      </c>
      <c r="AB51" s="40" t="str">
        <f t="shared" ref="AB51:AB57" si="28">IF(AA51&lt;&gt;"",$O51,"")</f>
        <v/>
      </c>
      <c r="AC51" s="75" t="str">
        <f t="shared" ref="AC51:AC57" si="29">IF($F51&amp;"/Día"=AC$9,ROUND(AA51/$W$1,1),"")</f>
        <v/>
      </c>
      <c r="AD51" s="76" t="str">
        <f t="shared" ref="AD51:AD57" si="30">IF(AA51=0,0,IF($F51&amp;"/Día"=AC$9,ROUND(AB51/AA51,4),""))</f>
        <v/>
      </c>
      <c r="AE51" s="76" t="str">
        <f t="shared" ref="AE51:AE57" si="31">IF(AA51=0,0,IF($F51&amp;"/Día"=AC$9,ROUND(AF51/AA51,4),""))</f>
        <v/>
      </c>
      <c r="AF51" s="40" t="str">
        <f t="shared" ref="AF51:AF57" si="32">IF(AA51&lt;&gt;"",$Q51,"")</f>
        <v/>
      </c>
      <c r="AG51" s="149"/>
    </row>
    <row r="52" spans="1:36" x14ac:dyDescent="0.25">
      <c r="A52" s="23" t="s">
        <v>28</v>
      </c>
      <c r="B52" s="24" t="s">
        <v>159</v>
      </c>
      <c r="C52" s="57" t="s">
        <v>31</v>
      </c>
      <c r="D52" s="25" t="s">
        <v>30</v>
      </c>
      <c r="E52" s="57" t="s">
        <v>158</v>
      </c>
      <c r="F52" s="33" t="s">
        <v>56</v>
      </c>
      <c r="G52" s="40">
        <f>Ene!G52+Feb!G52+Mar!G52+Abr!G52+May!G52+Jun!G52+Jul!G52+Ago!G52+Sep!G52+Oct!G52+Nov!G52+Dic!G52</f>
        <v>39124035.019199997</v>
      </c>
      <c r="H52" s="40">
        <f>Ene!H52+Feb!H52+Mar!H52+Abr!H52+May!H52+Jun!H52+Jul!H52+Ago!H52+Sep!H52+Oct!H52+Nov!H52+Dic!H52</f>
        <v>38675557.561000004</v>
      </c>
      <c r="I52" s="40">
        <f>Ene!I52+Feb!I52+Mar!I52+Abr!I52+May!I52+Jun!I52+Jul!I52+Ago!I52+Sep!I52+Oct!I52+Nov!I52+Dic!I52</f>
        <v>12.029500000000001</v>
      </c>
      <c r="J52" s="40">
        <f>Ene!J52+Feb!J52+Mar!J52+Abr!J52+May!J52+Jun!J52+Jul!J52+Ago!J52+Sep!J52+Oct!J52+Nov!J52+Dic!J52</f>
        <v>8.8579000000000008</v>
      </c>
      <c r="K52" s="40"/>
      <c r="L52" s="40"/>
      <c r="M52" s="40"/>
      <c r="N52" s="40">
        <f>Ene!N52+Feb!N52+Mar!N52+Abr!N52+May!N52+Jun!N52+Jul!N52+Ago!N52+Sep!N52+Oct!N52+Nov!N52+Dic!N52</f>
        <v>8585.91</v>
      </c>
      <c r="O52" s="40" t="e">
        <f>Ene!O52+Feb!O52+Mar!O52+Abr!O52+May!O52+Jun!O52+Jul!O52+Ago!O52+Sep!O52+Oct!O52+Nov!O52+Dic!O52</f>
        <v>#REF!</v>
      </c>
      <c r="P52" s="40" t="e">
        <f>Ene!P52+Feb!P52+Mar!P52+Abr!P52+May!P52+Jun!P52+Jul!P52+Ago!P52+Sep!P52+Oct!P52+Nov!P52+Dic!P52</f>
        <v>#REF!</v>
      </c>
      <c r="Q52" s="40" t="e">
        <f>Ene!Q52+Feb!Q52+Mar!Q52+Abr!Q52+May!Q52+Jun!Q52+Jul!Q52+Ago!Q52+Sep!Q52+Oct!Q52+Nov!Q52+Dic!Q52</f>
        <v>#REF!</v>
      </c>
      <c r="R52" s="42">
        <v>0.5</v>
      </c>
      <c r="S52" s="40"/>
      <c r="T52" s="42"/>
      <c r="U52" s="40" t="str">
        <f>IF($F52&amp;"/Día"=W$9,SUM($G52:$H52),"")</f>
        <v/>
      </c>
      <c r="V52" s="40" t="str">
        <f>IF(U52&lt;&gt;"",$O52,"")</f>
        <v/>
      </c>
      <c r="W52" s="75" t="str">
        <f>IF($F52&amp;"/Día"=W$9,ROUND(U52/$W$1,1),"")</f>
        <v/>
      </c>
      <c r="X52" s="76" t="str">
        <f>IF(U52=0,0,IF($F52&amp;"/Día"=W$9,ROUND(V52/U52,4),""))</f>
        <v/>
      </c>
      <c r="Y52" s="76" t="str">
        <f t="shared" si="25"/>
        <v/>
      </c>
      <c r="Z52" s="40" t="str">
        <f t="shared" si="26"/>
        <v/>
      </c>
      <c r="AA52" s="40">
        <f t="shared" si="27"/>
        <v>77799592.580200002</v>
      </c>
      <c r="AB52" s="40" t="e">
        <f t="shared" si="28"/>
        <v>#REF!</v>
      </c>
      <c r="AC52" s="75">
        <f t="shared" si="29"/>
        <v>213149.6</v>
      </c>
      <c r="AD52" s="76" t="e">
        <f t="shared" si="30"/>
        <v>#REF!</v>
      </c>
      <c r="AE52" s="76" t="e">
        <f t="shared" si="31"/>
        <v>#REF!</v>
      </c>
      <c r="AF52" s="40" t="e">
        <f t="shared" si="32"/>
        <v>#REF!</v>
      </c>
      <c r="AG52" s="149"/>
    </row>
    <row r="53" spans="1:36" x14ac:dyDescent="0.25">
      <c r="A53" s="23" t="s">
        <v>28</v>
      </c>
      <c r="B53" s="24" t="s">
        <v>168</v>
      </c>
      <c r="C53" s="57" t="s">
        <v>31</v>
      </c>
      <c r="D53" s="25" t="s">
        <v>30</v>
      </c>
      <c r="E53" s="57" t="s">
        <v>158</v>
      </c>
      <c r="F53" s="35" t="s">
        <v>37</v>
      </c>
      <c r="G53" s="40">
        <f>Ene!G53+Feb!G53+Mar!G53+Abr!G53+May!G53+Jun!G53+Jul!G53+Ago!G53+Sep!G53+Oct!G53+Nov!G53+Dic!G53</f>
        <v>530594</v>
      </c>
      <c r="H53" s="40">
        <f>Ene!H53+Feb!H53+Mar!H53+Abr!H53+May!H53+Jun!H53+Jul!H53+Ago!H53+Sep!H53+Oct!H53+Nov!H53+Dic!H53</f>
        <v>640085</v>
      </c>
      <c r="I53" s="40">
        <f>Ene!I53+Feb!I53+Mar!I53+Abr!I53+May!I53+Jun!I53+Jul!I53+Ago!I53+Sep!I53+Oct!I53+Nov!I53+Dic!I53</f>
        <v>163.7773</v>
      </c>
      <c r="J53" s="40">
        <f>Ene!J53+Feb!J53+Mar!J53+Abr!J53+May!J53+Jun!J53+Jul!J53+Ago!J53+Sep!J53+Oct!J53+Nov!J53+Dic!J53</f>
        <v>178.33499999999998</v>
      </c>
      <c r="K53" s="40"/>
      <c r="L53" s="40"/>
      <c r="M53" s="40"/>
      <c r="N53" s="40">
        <f>Ene!N53+Feb!N53+Mar!N53+Abr!N53+May!N53+Jun!N53+Jul!N53+Ago!N53+Sep!N53+Oct!N53+Nov!N53+Dic!N53</f>
        <v>3582.6000000000004</v>
      </c>
      <c r="O53" s="40">
        <f>Ene!O53+Feb!O53+Mar!O53+Abr!O53+May!O53+Jun!O53+Jul!O53+Ago!O53+Sep!O53+Oct!O53+Nov!O53+Dic!O53</f>
        <v>49971626.6303</v>
      </c>
      <c r="P53" s="40">
        <f>Ene!P53+Feb!P53+Mar!P53+Abr!P53+May!P53+Jun!P53+Jul!P53+Ago!P53+Sep!P53+Oct!P53+Nov!P53+Dic!P53</f>
        <v>19988650.650000002</v>
      </c>
      <c r="Q53" s="40">
        <f>Ene!Q53+Feb!Q53+Mar!Q53+Abr!Q53+May!Q53+Jun!Q53+Jul!Q53+Ago!Q53+Sep!Q53+Oct!Q53+Nov!Q53+Dic!Q53</f>
        <v>9994325.3300000001</v>
      </c>
      <c r="R53" s="139">
        <v>0.5</v>
      </c>
      <c r="S53" s="41"/>
      <c r="T53" s="223"/>
      <c r="U53" s="40">
        <f>IF($F53&amp;"/Día"=W$9,SUM($G53:$H53),"")</f>
        <v>1170679</v>
      </c>
      <c r="V53" s="40">
        <f>IF(U53&lt;&gt;"",$O53,"")</f>
        <v>49971626.6303</v>
      </c>
      <c r="W53" s="75">
        <f>IF($F53&amp;"/Día"=W$9,ROUND(U53/$W$1,1),"")</f>
        <v>3207.3</v>
      </c>
      <c r="X53" s="76">
        <f>IF(U53=0,0,IF($F53&amp;"/Día"=W$9,ROUND(V53/U53,4),""))</f>
        <v>42.686</v>
      </c>
      <c r="Y53" s="76">
        <f t="shared" si="25"/>
        <v>8.5372000000000003</v>
      </c>
      <c r="Z53" s="40">
        <f t="shared" si="26"/>
        <v>9994325.3300000001</v>
      </c>
      <c r="AA53" s="40" t="str">
        <f t="shared" si="27"/>
        <v/>
      </c>
      <c r="AB53" s="40" t="str">
        <f t="shared" si="28"/>
        <v/>
      </c>
      <c r="AC53" s="75" t="str">
        <f t="shared" si="29"/>
        <v/>
      </c>
      <c r="AD53" s="76" t="str">
        <f t="shared" si="30"/>
        <v/>
      </c>
      <c r="AE53" s="76" t="str">
        <f t="shared" si="31"/>
        <v/>
      </c>
      <c r="AF53" s="40" t="str">
        <f t="shared" si="32"/>
        <v/>
      </c>
      <c r="AG53" s="149"/>
    </row>
    <row r="54" spans="1:36" x14ac:dyDescent="0.25">
      <c r="A54" s="23" t="s">
        <v>28</v>
      </c>
      <c r="B54" s="24" t="s">
        <v>169</v>
      </c>
      <c r="C54" s="57" t="s">
        <v>31</v>
      </c>
      <c r="D54" s="25" t="s">
        <v>30</v>
      </c>
      <c r="E54" s="57" t="s">
        <v>158</v>
      </c>
      <c r="F54" s="33" t="s">
        <v>56</v>
      </c>
      <c r="G54" s="40">
        <f>Ene!G54+Feb!G54+Mar!G54+Abr!G54+May!G54+Jun!G54+Jul!G54+Ago!G54+Sep!G54+Oct!G54+Nov!G54+Dic!G54</f>
        <v>7711732.7429999998</v>
      </c>
      <c r="H54" s="40">
        <f>Ene!H54+Feb!H54+Mar!H54+Abr!H54+May!H54+Jun!H54+Jul!H54+Ago!H54+Sep!H54+Oct!H54+Nov!H54+Dic!H54</f>
        <v>11174636.5262</v>
      </c>
      <c r="I54" s="40">
        <f>Ene!I54+Feb!I54+Mar!I54+Abr!I54+May!I54+Jun!I54+Jul!I54+Ago!I54+Sep!I54+Oct!I54+Nov!I54+Dic!I54</f>
        <v>17.465</v>
      </c>
      <c r="J54" s="40">
        <f>Ene!J54+Feb!J54+Mar!J54+Abr!J54+May!J54+Jun!J54+Jul!J54+Ago!J54+Sep!J54+Oct!J54+Nov!J54+Dic!J54</f>
        <v>26.215999999999998</v>
      </c>
      <c r="K54" s="40"/>
      <c r="L54" s="40"/>
      <c r="M54" s="40"/>
      <c r="N54" s="40">
        <f>Ene!N54+Feb!N54+Mar!N54+Abr!N54+May!N54+Jun!N54+Jul!N54+Ago!N54+Sep!N54+Oct!N54+Nov!N54+Dic!N54</f>
        <v>4947.6000000000004</v>
      </c>
      <c r="O54" s="40">
        <f>Ene!O54+Feb!O54+Mar!O54+Abr!O54+May!O54+Jun!O54+Jul!O54+Ago!O54+Sep!O54+Oct!O54+Nov!O54+Dic!O54</f>
        <v>100009773.44249909</v>
      </c>
      <c r="P54" s="40">
        <f>Ene!P54+Feb!P54+Mar!P54+Abr!P54+May!P54+Jun!P54+Jul!P54+Ago!P54+Sep!P54+Oct!P54+Nov!P54+Dic!P54</f>
        <v>38003713.899999999</v>
      </c>
      <c r="Q54" s="40">
        <f>Ene!Q54+Feb!Q54+Mar!Q54+Abr!Q54+May!Q54+Jun!Q54+Jul!Q54+Ago!Q54+Sep!Q54+Oct!Q54+Nov!Q54+Dic!Q54</f>
        <v>19001856.959999997</v>
      </c>
      <c r="R54" s="139">
        <v>0.5</v>
      </c>
      <c r="S54" s="41"/>
      <c r="T54" s="223"/>
      <c r="U54" s="40">
        <f>IF($F51&amp;"/Día"=W$9,SUM($G51:$H51),"")</f>
        <v>4897768</v>
      </c>
      <c r="V54" s="40">
        <f>IF(U51&lt;&gt;"",$O51,"")</f>
        <v>207577393.28650001</v>
      </c>
      <c r="W54" s="75">
        <f>IF($F51&amp;"/Día"=W$9,ROUND(U51/$W$1,1),"")</f>
        <v>13418.5</v>
      </c>
      <c r="X54" s="76">
        <f>IF(U51=0,0,IF($F51&amp;"/Día"=W$9,ROUND(V51/U51,4),""))</f>
        <v>42.381999999999998</v>
      </c>
      <c r="Y54" s="76" t="str">
        <f t="shared" si="25"/>
        <v/>
      </c>
      <c r="Z54" s="40">
        <f t="shared" si="26"/>
        <v>19001856.959999997</v>
      </c>
      <c r="AA54" s="40">
        <f t="shared" si="27"/>
        <v>18886369.269200001</v>
      </c>
      <c r="AB54" s="40">
        <f t="shared" si="28"/>
        <v>100009773.44249909</v>
      </c>
      <c r="AC54" s="75">
        <f t="shared" si="29"/>
        <v>51743.5</v>
      </c>
      <c r="AD54" s="76">
        <f t="shared" si="30"/>
        <v>5.2953000000000001</v>
      </c>
      <c r="AE54" s="76">
        <f t="shared" si="31"/>
        <v>1.0061</v>
      </c>
      <c r="AF54" s="40">
        <f t="shared" si="32"/>
        <v>19001856.959999997</v>
      </c>
      <c r="AG54" s="149"/>
    </row>
    <row r="55" spans="1:36" x14ac:dyDescent="0.25">
      <c r="A55" s="23" t="s">
        <v>28</v>
      </c>
      <c r="B55" s="28" t="s">
        <v>175</v>
      </c>
      <c r="C55" s="57" t="s">
        <v>31</v>
      </c>
      <c r="D55" s="25" t="s">
        <v>30</v>
      </c>
      <c r="E55" s="57" t="s">
        <v>158</v>
      </c>
      <c r="F55" s="35" t="s">
        <v>37</v>
      </c>
      <c r="G55" s="40">
        <f>Ene!G55+Feb!G55+Mar!G55+Abr!G55+May!G55+Jun!G55+Jul!G55+Ago!G55+Sep!G55+Oct!G55+Nov!G55+Dic!G55</f>
        <v>481605</v>
      </c>
      <c r="H55" s="40">
        <f>Ene!H55+Feb!H55+Mar!H55+Abr!H55+May!H55+Jun!H55+Jul!H55+Ago!H55+Sep!H55+Oct!H55+Nov!H55+Dic!H55</f>
        <v>694745</v>
      </c>
      <c r="I55" s="40">
        <f>Ene!I55+Feb!I55+Mar!I55+Abr!I55+May!I55+Jun!I55+Jul!I55+Ago!I55+Sep!I55+Oct!I55+Nov!I55+Dic!I55</f>
        <v>108.1592</v>
      </c>
      <c r="J55" s="40">
        <f>Ene!J55+Feb!J55+Mar!J55+Abr!J55+May!J55+Jun!J55+Jul!J55+Ago!J55+Sep!J55+Oct!J55+Nov!J55+Dic!J55</f>
        <v>172.2792</v>
      </c>
      <c r="K55" s="40"/>
      <c r="L55" s="40"/>
      <c r="M55" s="40"/>
      <c r="N55" s="40">
        <f>Ene!N55+Feb!N55+Mar!N55+Abr!N55+May!N55+Jun!N55+Jul!N55+Ago!N55+Sep!N55+Oct!N55+Nov!N55+Dic!N55</f>
        <v>1534.23</v>
      </c>
      <c r="O55" s="40">
        <f>Ene!O55+Feb!O55+Mar!O55+Abr!O55+May!O55+Jun!O55+Jul!O55+Ago!O55+Sep!O55+Oct!O55+Nov!O55+Dic!O55</f>
        <v>44626816.089800008</v>
      </c>
      <c r="P55" s="40">
        <f>Ene!P55+Feb!P55+Mar!P55+Abr!P55+May!P55+Jun!P55+Jul!P55+Ago!P55+Sep!P55+Oct!P55+Nov!P55+Dic!P55</f>
        <v>2986218.9132569996</v>
      </c>
      <c r="Q55" s="40">
        <f>Ene!Q55+Feb!Q55+Mar!Q55+Abr!Q55+May!Q55+Jun!Q55+Jul!Q55+Ago!Q55+Sep!Q55+Oct!Q55+Nov!Q55+Dic!Q55</f>
        <v>1493109.45</v>
      </c>
      <c r="R55" s="139">
        <v>0.5</v>
      </c>
      <c r="S55" s="41"/>
      <c r="T55" s="223"/>
      <c r="U55" s="40">
        <f>IF($F55&amp;"/Día"=W$9,SUM($G55:$H55),"")</f>
        <v>1176350</v>
      </c>
      <c r="V55" s="40">
        <f>IF(U55&lt;&gt;"",$O55,"")</f>
        <v>44626816.089800008</v>
      </c>
      <c r="W55" s="75">
        <f>IF($F55&amp;"/Día"=W$9,ROUND(U55/$W$1,1),"")</f>
        <v>3222.9</v>
      </c>
      <c r="X55" s="76">
        <f>IF(U55=0,0,IF($F55&amp;"/Día"=W$9,ROUND(V55/U55,4),""))</f>
        <v>37.936700000000002</v>
      </c>
      <c r="Y55" s="76">
        <f t="shared" si="25"/>
        <v>1.2693000000000001</v>
      </c>
      <c r="Z55" s="40">
        <f t="shared" si="26"/>
        <v>1493109.45</v>
      </c>
      <c r="AA55" s="40" t="str">
        <f t="shared" si="27"/>
        <v/>
      </c>
      <c r="AB55" s="40" t="str">
        <f t="shared" si="28"/>
        <v/>
      </c>
      <c r="AC55" s="75" t="str">
        <f t="shared" si="29"/>
        <v/>
      </c>
      <c r="AD55" s="76" t="str">
        <f t="shared" si="30"/>
        <v/>
      </c>
      <c r="AE55" s="76" t="str">
        <f t="shared" si="31"/>
        <v/>
      </c>
      <c r="AF55" s="40" t="str">
        <f t="shared" si="32"/>
        <v/>
      </c>
      <c r="AG55" s="149"/>
      <c r="AJ55" s="1"/>
    </row>
    <row r="56" spans="1:36" x14ac:dyDescent="0.25">
      <c r="A56" s="23" t="s">
        <v>28</v>
      </c>
      <c r="B56" s="272" t="s">
        <v>176</v>
      </c>
      <c r="C56" s="57" t="s">
        <v>31</v>
      </c>
      <c r="D56" s="25" t="s">
        <v>30</v>
      </c>
      <c r="E56" s="57" t="s">
        <v>158</v>
      </c>
      <c r="F56" s="33" t="s">
        <v>56</v>
      </c>
      <c r="G56" s="40">
        <f>Ene!G56+Feb!G56+Mar!G56+Abr!G56+May!G56+Jun!G56+Jul!G56+Ago!G56+Sep!G56+Oct!G56+Nov!G56+Dic!G56</f>
        <v>8039267.6151999999</v>
      </c>
      <c r="H56" s="40">
        <f>Ene!H56+Feb!H56+Mar!H56+Abr!H56+May!H56+Jun!H56+Jul!H56+Ago!H56+Sep!H56+Oct!H56+Nov!H56+Dic!H56</f>
        <v>11555946.2294</v>
      </c>
      <c r="I56" s="40">
        <f>Ene!I56+Feb!I56+Mar!I56+Abr!I56+May!I56+Jun!I56+Jul!I56+Ago!I56+Sep!I56+Oct!I56+Nov!I56+Dic!I56</f>
        <v>11.343</v>
      </c>
      <c r="J56" s="40">
        <f>Ene!J56+Feb!J56+Mar!J56+Abr!J56+May!J56+Jun!J56+Jul!J56+Ago!J56+Sep!J56+Oct!J56+Nov!J56+Dic!J56</f>
        <v>21.547000000000001</v>
      </c>
      <c r="K56" s="40"/>
      <c r="L56" s="40"/>
      <c r="M56" s="40"/>
      <c r="N56" s="40">
        <f>Ene!N56+Feb!N56+Mar!N56+Abr!N56+May!N56+Jun!N56+Jul!N56+Ago!N56+Sep!N56+Oct!N56+Nov!N56+Dic!N56</f>
        <v>3761.5</v>
      </c>
      <c r="O56" s="40">
        <f>Ene!O56+Feb!O56+Mar!O56+Abr!O56+May!O56+Jun!O56+Jul!O56+Ago!O56+Sep!O56+Oct!O56+Nov!O56+Dic!O56</f>
        <v>76215861.877599508</v>
      </c>
      <c r="P56" s="40">
        <f>Ene!P56+Feb!P56+Mar!P56+Abr!P56+May!P56+Jun!P56+Jul!P56+Ago!P56+Sep!P56+Oct!P56+Nov!P56+Dic!P56</f>
        <v>8388317.4259710005</v>
      </c>
      <c r="Q56" s="40">
        <f>Ene!Q56+Feb!Q56+Mar!Q56+Abr!Q56+May!Q56+Jun!Q56+Jul!Q56+Ago!Q56+Sep!Q56+Oct!Q56+Nov!Q56+Dic!Q56</f>
        <v>4194158.7099999995</v>
      </c>
      <c r="R56" s="139">
        <v>0.5</v>
      </c>
      <c r="S56" s="41"/>
      <c r="T56" s="223"/>
      <c r="U56" s="40" t="str">
        <f>IF($F56&amp;"/Día"=W$9,SUM($G56:$H56),"")</f>
        <v/>
      </c>
      <c r="V56" s="40" t="str">
        <f>IF(U56&lt;&gt;"",$O56,"")</f>
        <v/>
      </c>
      <c r="W56" s="75" t="str">
        <f>IF($F56&amp;"/Día"=W$9,ROUND(U56/$W$1,1),"")</f>
        <v/>
      </c>
      <c r="X56" s="76" t="str">
        <f>IF(U56=0,0,IF($F56&amp;"/Día"=W$9,ROUND(V56/U56,4),""))</f>
        <v/>
      </c>
      <c r="Y56" s="76" t="str">
        <f t="shared" si="25"/>
        <v/>
      </c>
      <c r="Z56" s="40" t="str">
        <f t="shared" si="26"/>
        <v/>
      </c>
      <c r="AA56" s="40">
        <f t="shared" si="27"/>
        <v>19595213.844599999</v>
      </c>
      <c r="AB56" s="40">
        <f t="shared" si="28"/>
        <v>76215861.877599508</v>
      </c>
      <c r="AC56" s="75">
        <f t="shared" si="29"/>
        <v>53685.5</v>
      </c>
      <c r="AD56" s="76">
        <f t="shared" si="30"/>
        <v>3.8895</v>
      </c>
      <c r="AE56" s="76">
        <f t="shared" si="31"/>
        <v>0.214</v>
      </c>
      <c r="AF56" s="40">
        <f t="shared" si="32"/>
        <v>4194158.7099999995</v>
      </c>
      <c r="AG56" s="149"/>
      <c r="AJ56" s="1"/>
    </row>
    <row r="57" spans="1:36" x14ac:dyDescent="0.25">
      <c r="A57" s="181" t="s">
        <v>28</v>
      </c>
      <c r="B57" s="182" t="s">
        <v>162</v>
      </c>
      <c r="C57" s="183"/>
      <c r="D57" s="183"/>
      <c r="E57" s="184"/>
      <c r="F57" s="33"/>
      <c r="G57" s="40"/>
      <c r="H57" s="40"/>
      <c r="I57" s="40"/>
      <c r="J57" s="40"/>
      <c r="K57" s="40"/>
      <c r="L57" s="40"/>
      <c r="M57" s="40"/>
      <c r="N57" s="40">
        <f>Ene!N57+Feb!N57+Mar!N57+Abr!N57+May!N57+Jun!N57+Jul!N57+Ago!N57+Sep!N57+Oct!N57+Nov!N57+Dic!N57</f>
        <v>0</v>
      </c>
      <c r="O57" s="40">
        <f>Ene!O57+Feb!O57+Mar!O57+Abr!O57+May!O57+Jun!O57+Jul!O57+Ago!O57+Sep!O57+Oct!O57+Nov!O57+Dic!O57</f>
        <v>33663358.11030589</v>
      </c>
      <c r="P57" s="40">
        <f>Ene!P57+Feb!P57+Mar!P57+Abr!P57+May!P57+Jun!P57+Jul!P57+Ago!P57+Sep!P57+Oct!P57+Nov!P57+Dic!P57</f>
        <v>3555146.5226790006</v>
      </c>
      <c r="Q57" s="40">
        <f>Ene!Q57+Feb!Q57+Mar!Q57+Abr!Q57+May!Q57+Jun!Q57+Jul!Q57+Ago!Q57+Sep!Q57+Oct!Q57+Nov!Q57+Dic!Q57</f>
        <v>1777573.2599999984</v>
      </c>
      <c r="R57" s="148">
        <v>0.5</v>
      </c>
      <c r="S57" s="42"/>
      <c r="T57" s="148"/>
      <c r="U57" s="40" t="str">
        <f>IF($F57&amp;"/Día"=W$9,SUM($G57:$H57),"")</f>
        <v/>
      </c>
      <c r="V57" s="40" t="str">
        <f>IF(U57&lt;&gt;"",$O57,"")</f>
        <v/>
      </c>
      <c r="W57" s="75" t="str">
        <f>IF($F57&amp;"/Día"=W$9,ROUND(U57/$W$1,1),"")</f>
        <v/>
      </c>
      <c r="X57" s="76" t="str">
        <f>IF(U57=0,0,IF($F57&amp;"/Día"=W$9,ROUND(V57/U57,4),""))</f>
        <v/>
      </c>
      <c r="Y57" s="76" t="str">
        <f t="shared" si="25"/>
        <v/>
      </c>
      <c r="Z57" s="40" t="str">
        <f t="shared" si="26"/>
        <v/>
      </c>
      <c r="AA57" s="40" t="str">
        <f t="shared" si="27"/>
        <v/>
      </c>
      <c r="AB57" s="40" t="str">
        <f t="shared" si="28"/>
        <v/>
      </c>
      <c r="AC57" s="75" t="str">
        <f t="shared" si="29"/>
        <v/>
      </c>
      <c r="AD57" s="76" t="str">
        <f t="shared" si="30"/>
        <v/>
      </c>
      <c r="AE57" s="76" t="str">
        <f t="shared" si="31"/>
        <v/>
      </c>
      <c r="AF57" s="40" t="str">
        <f t="shared" si="32"/>
        <v/>
      </c>
      <c r="AG57" s="149"/>
    </row>
    <row r="58" spans="1:36" x14ac:dyDescent="0.25">
      <c r="A58" s="30"/>
      <c r="B58" s="153" t="s">
        <v>108</v>
      </c>
      <c r="C58" s="31" t="str">
        <f>TEXT(A$50,)&amp;" US$"</f>
        <v>Cusco US$</v>
      </c>
      <c r="D58" s="19"/>
      <c r="E58" s="19"/>
      <c r="F58" s="30"/>
      <c r="G58" s="40"/>
      <c r="H58" s="40"/>
      <c r="I58" s="44"/>
      <c r="J58" s="44"/>
      <c r="K58" s="44"/>
      <c r="L58" s="44"/>
      <c r="M58" s="44"/>
      <c r="N58" s="60">
        <f>SUM(N51:N57)</f>
        <v>27514.81</v>
      </c>
      <c r="O58" s="60" t="e">
        <f>SUM(O51:O57)</f>
        <v>#REF!</v>
      </c>
      <c r="P58" s="60" t="e">
        <f>SUM(P51:P57)</f>
        <v>#REF!</v>
      </c>
      <c r="Q58" s="388" t="e">
        <f>SUM(Q51:Q57)</f>
        <v>#REF!</v>
      </c>
      <c r="R58" s="186"/>
      <c r="S58" s="159"/>
      <c r="T58" s="148"/>
      <c r="U58" s="77">
        <f>SUM(U51:U57)</f>
        <v>12142565</v>
      </c>
      <c r="V58" s="77">
        <f>SUM(V51:V57)</f>
        <v>509753229.2931</v>
      </c>
      <c r="W58" s="78">
        <f>SUM(W51:W57)</f>
        <v>33267.199999999997</v>
      </c>
      <c r="X58" s="79">
        <f>ROUND(V58/U58,4)</f>
        <v>41.980699999999999</v>
      </c>
      <c r="Y58" s="79">
        <f>ROUND(Z58/U58,4)</f>
        <v>5.694</v>
      </c>
      <c r="Z58" s="77">
        <f>SUM(Z51:Z57)</f>
        <v>69140202.379999995</v>
      </c>
      <c r="AA58" s="77">
        <f>SUM(AA51:AA57)</f>
        <v>116281175.69400001</v>
      </c>
      <c r="AB58" s="77" t="e">
        <f>SUM(AB51:AB57)</f>
        <v>#REF!</v>
      </c>
      <c r="AC58" s="78">
        <f>SUM(AC51:AC57)</f>
        <v>318578.59999999998</v>
      </c>
      <c r="AD58" s="79" t="e">
        <f>ROUND(AB58/AA58,4)</f>
        <v>#REF!</v>
      </c>
      <c r="AE58" s="79" t="e">
        <f>ROUND(AF58/AA58,4)</f>
        <v>#REF!</v>
      </c>
      <c r="AF58" s="77" t="e">
        <f>SUM(AF51:AF57)</f>
        <v>#REF!</v>
      </c>
      <c r="AG58" s="77" t="e">
        <f>Q58-Z58-AF58</f>
        <v>#REF!</v>
      </c>
    </row>
    <row r="59" spans="1:36" x14ac:dyDescent="0.25">
      <c r="A59" s="145"/>
      <c r="B59" s="146"/>
      <c r="C59" s="31" t="str">
        <f>TEXT(A$50,)&amp;" S/."</f>
        <v>Cusco S/.</v>
      </c>
      <c r="D59" s="103"/>
      <c r="E59" s="103"/>
      <c r="F59" s="145"/>
      <c r="G59" s="88"/>
      <c r="H59" s="88"/>
      <c r="I59" s="88"/>
      <c r="J59" s="88"/>
      <c r="K59" s="88"/>
      <c r="L59" s="88"/>
      <c r="M59" s="88"/>
      <c r="N59" s="88"/>
      <c r="O59" s="138"/>
      <c r="P59" s="138"/>
      <c r="Q59" s="332" t="e">
        <f>Ene!Q59+Feb!Q59+Mar!Q59+Abr!Q59+May!Q59+Jun!Q59+Jul!Q59+Ago!Q59+Sep!Q59+Nov!Q59+Dic!Q59</f>
        <v>#REF!</v>
      </c>
      <c r="R59" s="185"/>
      <c r="S59" s="159"/>
      <c r="T59" s="148"/>
      <c r="U59" s="149"/>
      <c r="V59" s="149"/>
      <c r="W59" s="150"/>
      <c r="X59" s="151"/>
      <c r="Y59" s="151"/>
      <c r="Z59" s="149"/>
      <c r="AA59" s="149"/>
      <c r="AB59" s="149"/>
      <c r="AC59" s="150"/>
      <c r="AD59" s="151"/>
      <c r="AE59" s="151"/>
      <c r="AF59" s="149"/>
      <c r="AG59" s="149"/>
    </row>
    <row r="60" spans="1:36" x14ac:dyDescent="0.25">
      <c r="A60" s="7" t="s">
        <v>55</v>
      </c>
      <c r="B60" s="8"/>
      <c r="C60" s="8"/>
      <c r="D60" s="8"/>
      <c r="E60" s="8"/>
      <c r="F60" s="14"/>
      <c r="G60" s="54"/>
      <c r="H60" s="54"/>
      <c r="I60" s="54"/>
      <c r="J60" s="54"/>
      <c r="K60" s="54"/>
      <c r="L60" s="54"/>
      <c r="M60" s="54"/>
      <c r="N60" s="391">
        <f>N58+N48+N39+N34</f>
        <v>43623.68</v>
      </c>
      <c r="O60" s="159" t="e">
        <f>O58+O48+O39+O34</f>
        <v>#REF!</v>
      </c>
      <c r="P60" s="159" t="e">
        <f>Q58+P48+P39+P34</f>
        <v>#REF!</v>
      </c>
      <c r="Q60" s="159" t="e">
        <f>Q59+Q49+S49+Q40+Q35+S35</f>
        <v>#REF!</v>
      </c>
      <c r="R60" s="55"/>
      <c r="S60" s="159"/>
      <c r="T60" s="55"/>
      <c r="U60" s="84">
        <f>U34+U39+U48+U58</f>
        <v>16115588.66428896</v>
      </c>
      <c r="V60" s="84">
        <f>V34+V39+V48+V58</f>
        <v>775383258.93309999</v>
      </c>
      <c r="W60" s="85">
        <f>W34+W39+W48+W58</f>
        <v>44152.1</v>
      </c>
      <c r="X60" s="86">
        <f>ROUND(V60/U60,4)</f>
        <v>48.113900000000001</v>
      </c>
      <c r="Y60" s="86">
        <f>ROUND(Z60/U60,4)</f>
        <v>7.3730000000000002</v>
      </c>
      <c r="Z60" s="84">
        <f>Z34+Z39+Z48+Z58</f>
        <v>118820662.16</v>
      </c>
      <c r="AA60" s="84">
        <f>AA34+AA39+AA48+AA58</f>
        <v>121547657.15427744</v>
      </c>
      <c r="AB60" s="84" t="e">
        <f>AB34+AB39+AB48+AB58</f>
        <v>#REF!</v>
      </c>
      <c r="AC60" s="84">
        <f>AC34+AC39+AC48+AC58</f>
        <v>333007.3</v>
      </c>
      <c r="AD60" s="86" t="e">
        <f>ROUND(AB60/AA60,4)</f>
        <v>#REF!</v>
      </c>
      <c r="AE60" s="86" t="e">
        <f>ROUND(AF60/AA60,4)</f>
        <v>#REF!</v>
      </c>
      <c r="AF60" s="84" t="e">
        <f>AF34+AF39+AF48+AF58</f>
        <v>#REF!</v>
      </c>
      <c r="AG60" s="84" t="e">
        <f>P60-Z60-AF60</f>
        <v>#REF!</v>
      </c>
    </row>
    <row r="61" spans="1:36" x14ac:dyDescent="0.25">
      <c r="A61" s="1"/>
      <c r="B61" s="1"/>
      <c r="C61" s="1"/>
      <c r="D61" s="1"/>
      <c r="E61" s="1"/>
      <c r="F61" s="1"/>
      <c r="G61" s="1"/>
      <c r="H61" s="1"/>
      <c r="I61" s="1"/>
      <c r="J61" s="1"/>
      <c r="K61" s="1"/>
      <c r="L61" s="1"/>
      <c r="M61" s="1"/>
      <c r="N61" s="1"/>
      <c r="O61" s="1"/>
      <c r="P61" s="1"/>
      <c r="Q61" s="65"/>
      <c r="R61" s="1"/>
      <c r="S61" s="1"/>
      <c r="T61" s="1"/>
    </row>
    <row r="62" spans="1:36" x14ac:dyDescent="0.25">
      <c r="P62" s="498"/>
      <c r="Q62" s="247"/>
      <c r="S62" s="247"/>
    </row>
    <row r="63" spans="1:36" ht="21" customHeight="1" x14ac:dyDescent="0.25">
      <c r="Q63" s="498"/>
    </row>
    <row r="64" spans="1:36" x14ac:dyDescent="0.25">
      <c r="Q64" s="498"/>
    </row>
  </sheetData>
  <mergeCells count="2">
    <mergeCell ref="C7:C8"/>
    <mergeCell ref="O7:O8"/>
  </mergeCells>
  <phoneticPr fontId="3" type="noConversion"/>
  <printOptions horizontalCentered="1"/>
  <pageMargins left="0.59055118110236227" right="0.47244094488188981" top="0.98425196850393704" bottom="1" header="0" footer="0"/>
  <pageSetup paperSize="8" scale="78" orientation="landscape" horizontalDpi="300"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4">
    <pageSetUpPr fitToPage="1"/>
  </sheetPr>
  <dimension ref="A1:H48"/>
  <sheetViews>
    <sheetView zoomScale="75" zoomScaleNormal="75" workbookViewId="0"/>
  </sheetViews>
  <sheetFormatPr baseColWidth="10" defaultColWidth="11.5546875" defaultRowHeight="15.75" x14ac:dyDescent="0.25"/>
  <cols>
    <col min="1" max="1" width="1.5546875" customWidth="1"/>
    <col min="2" max="2" width="2.109375" customWidth="1"/>
    <col min="3" max="3" width="80.5546875" customWidth="1"/>
  </cols>
  <sheetData>
    <row r="1" spans="1:8" x14ac:dyDescent="0.25">
      <c r="A1" s="161" t="s">
        <v>0</v>
      </c>
    </row>
    <row r="2" spans="1:8" ht="23.25" customHeight="1" x14ac:dyDescent="0.25">
      <c r="A2" s="1203" t="s">
        <v>113</v>
      </c>
      <c r="B2" s="1203"/>
      <c r="C2" s="1203"/>
    </row>
    <row r="3" spans="1:8" x14ac:dyDescent="0.25">
      <c r="A3" s="1204" t="s">
        <v>114</v>
      </c>
      <c r="B3" s="1205"/>
      <c r="C3" s="1205"/>
      <c r="D3" s="162"/>
      <c r="E3" s="162"/>
      <c r="F3" s="162"/>
      <c r="G3" s="162"/>
      <c r="H3" s="162"/>
    </row>
    <row r="4" spans="1:8" x14ac:dyDescent="0.25">
      <c r="A4" s="163"/>
      <c r="B4" s="163"/>
      <c r="C4" s="163"/>
      <c r="D4" s="163"/>
      <c r="E4" s="163"/>
      <c r="F4" s="163"/>
      <c r="G4" s="163"/>
      <c r="H4" s="163"/>
    </row>
    <row r="5" spans="1:8" x14ac:dyDescent="0.25">
      <c r="A5" s="164" t="s">
        <v>28</v>
      </c>
      <c r="B5" s="161" t="s">
        <v>115</v>
      </c>
      <c r="C5" s="163"/>
      <c r="D5" s="163"/>
      <c r="E5" s="163"/>
      <c r="F5" s="163"/>
      <c r="G5" s="163"/>
      <c r="H5" s="163"/>
    </row>
    <row r="6" spans="1:8" x14ac:dyDescent="0.25">
      <c r="A6" s="165"/>
      <c r="B6" s="166" t="s">
        <v>116</v>
      </c>
      <c r="C6" s="163"/>
      <c r="D6" s="163"/>
      <c r="E6" s="163"/>
      <c r="F6" s="163"/>
      <c r="G6" s="163"/>
      <c r="H6" s="163"/>
    </row>
    <row r="7" spans="1:8" x14ac:dyDescent="0.25">
      <c r="A7" s="164" t="s">
        <v>28</v>
      </c>
      <c r="B7" s="161" t="s">
        <v>117</v>
      </c>
      <c r="D7" s="163"/>
      <c r="E7" s="163"/>
      <c r="F7" s="163"/>
      <c r="G7" s="163"/>
      <c r="H7" s="163"/>
    </row>
    <row r="8" spans="1:8" ht="33.75" customHeight="1" x14ac:dyDescent="0.25">
      <c r="A8" s="165"/>
      <c r="B8" s="1206" t="s">
        <v>118</v>
      </c>
      <c r="C8" s="1206"/>
      <c r="D8" s="163"/>
      <c r="E8" s="163"/>
      <c r="F8" s="163"/>
      <c r="G8" s="163"/>
      <c r="H8" s="163"/>
    </row>
    <row r="9" spans="1:8" x14ac:dyDescent="0.25">
      <c r="A9" s="164" t="s">
        <v>28</v>
      </c>
      <c r="B9" s="161" t="s">
        <v>119</v>
      </c>
      <c r="C9" s="163"/>
      <c r="D9" s="163"/>
      <c r="E9" s="163"/>
      <c r="F9" s="163"/>
      <c r="G9" s="163"/>
      <c r="H9" s="163"/>
    </row>
    <row r="10" spans="1:8" ht="22.5" customHeight="1" x14ac:dyDescent="0.25">
      <c r="A10" s="165"/>
      <c r="B10" s="1206" t="s">
        <v>120</v>
      </c>
      <c r="C10" s="1206"/>
      <c r="D10" s="163"/>
      <c r="E10" s="163"/>
      <c r="F10" s="163"/>
      <c r="G10" s="163"/>
      <c r="H10" s="163"/>
    </row>
    <row r="11" spans="1:8" x14ac:dyDescent="0.25">
      <c r="A11" s="165"/>
      <c r="B11" s="165" t="s">
        <v>28</v>
      </c>
      <c r="C11" s="166" t="s">
        <v>102</v>
      </c>
      <c r="D11" s="163"/>
      <c r="E11" s="163"/>
      <c r="F11" s="163"/>
      <c r="G11" s="163"/>
      <c r="H11" s="163"/>
    </row>
    <row r="12" spans="1:8" x14ac:dyDescent="0.25">
      <c r="A12" s="163"/>
      <c r="B12" s="165" t="s">
        <v>28</v>
      </c>
      <c r="C12" s="166" t="s">
        <v>99</v>
      </c>
      <c r="D12" s="163"/>
      <c r="E12" s="163"/>
      <c r="F12" s="163"/>
      <c r="G12" s="163"/>
      <c r="H12" s="163"/>
    </row>
    <row r="13" spans="1:8" ht="12.75" customHeight="1" x14ac:dyDescent="0.25">
      <c r="A13" s="163"/>
      <c r="B13" s="165" t="s">
        <v>28</v>
      </c>
      <c r="C13" s="166" t="s">
        <v>121</v>
      </c>
      <c r="D13" s="163"/>
      <c r="E13" s="163"/>
      <c r="F13" s="163"/>
      <c r="G13" s="163"/>
      <c r="H13" s="163"/>
    </row>
    <row r="14" spans="1:8" x14ac:dyDescent="0.25">
      <c r="A14" s="164" t="s">
        <v>28</v>
      </c>
      <c r="B14" s="161" t="s">
        <v>122</v>
      </c>
      <c r="C14" s="163"/>
      <c r="D14" s="163"/>
      <c r="E14" s="163"/>
      <c r="F14" s="163"/>
      <c r="G14" s="163"/>
      <c r="H14" s="163"/>
    </row>
    <row r="15" spans="1:8" x14ac:dyDescent="0.25">
      <c r="A15" s="163"/>
      <c r="B15" s="164" t="s">
        <v>28</v>
      </c>
      <c r="C15" s="161" t="s">
        <v>123</v>
      </c>
      <c r="D15" s="163"/>
      <c r="E15" s="163"/>
      <c r="F15" s="163"/>
      <c r="G15" s="163"/>
      <c r="H15" s="163"/>
    </row>
    <row r="16" spans="1:8" ht="22.5" customHeight="1" x14ac:dyDescent="0.25">
      <c r="A16" s="163"/>
      <c r="B16" s="165"/>
      <c r="C16" s="167" t="s">
        <v>124</v>
      </c>
      <c r="D16" s="163"/>
      <c r="E16" s="163"/>
      <c r="F16" s="163"/>
      <c r="G16" s="163"/>
      <c r="H16" s="163"/>
    </row>
    <row r="17" spans="1:8" x14ac:dyDescent="0.25">
      <c r="A17" s="163"/>
      <c r="B17" s="164" t="s">
        <v>28</v>
      </c>
      <c r="C17" s="161" t="s">
        <v>125</v>
      </c>
      <c r="D17" s="163"/>
      <c r="E17" s="163"/>
      <c r="F17" s="163"/>
      <c r="G17" s="163"/>
      <c r="H17" s="163"/>
    </row>
    <row r="18" spans="1:8" ht="12.75" customHeight="1" x14ac:dyDescent="0.25">
      <c r="A18" s="163"/>
      <c r="B18" s="165"/>
      <c r="C18" s="167" t="s">
        <v>126</v>
      </c>
      <c r="D18" s="163"/>
      <c r="E18" s="163"/>
      <c r="F18" s="163"/>
      <c r="G18" s="163"/>
      <c r="H18" s="163"/>
    </row>
    <row r="19" spans="1:8" x14ac:dyDescent="0.25">
      <c r="A19" s="164" t="s">
        <v>28</v>
      </c>
      <c r="B19" s="161" t="s">
        <v>127</v>
      </c>
      <c r="C19" s="163"/>
      <c r="D19" s="163"/>
      <c r="E19" s="163"/>
      <c r="F19" s="163"/>
      <c r="G19" s="163"/>
      <c r="H19" s="163"/>
    </row>
    <row r="20" spans="1:8" ht="22.5" customHeight="1" x14ac:dyDescent="0.25">
      <c r="A20" s="165"/>
      <c r="B20" s="1206" t="s">
        <v>128</v>
      </c>
      <c r="C20" s="1206"/>
      <c r="D20" s="163"/>
      <c r="E20" s="163"/>
      <c r="F20" s="163"/>
      <c r="G20" s="163"/>
      <c r="H20" s="163"/>
    </row>
    <row r="21" spans="1:8" x14ac:dyDescent="0.25">
      <c r="A21" s="163"/>
      <c r="B21" s="164" t="s">
        <v>28</v>
      </c>
      <c r="C21" s="161" t="s">
        <v>107</v>
      </c>
      <c r="D21" s="163"/>
      <c r="E21" s="163"/>
      <c r="F21" s="163"/>
      <c r="G21" s="163"/>
      <c r="H21" s="163"/>
    </row>
    <row r="22" spans="1:8" ht="22.5" customHeight="1" x14ac:dyDescent="0.25">
      <c r="A22" s="163"/>
      <c r="B22" s="165"/>
      <c r="C22" s="167" t="s">
        <v>129</v>
      </c>
      <c r="D22" s="163"/>
      <c r="E22" s="163"/>
      <c r="F22" s="163"/>
      <c r="G22" s="163"/>
      <c r="H22" s="163"/>
    </row>
    <row r="23" spans="1:8" x14ac:dyDescent="0.25">
      <c r="A23" s="163"/>
      <c r="B23" s="164" t="s">
        <v>28</v>
      </c>
      <c r="C23" s="161" t="s">
        <v>130</v>
      </c>
      <c r="D23" s="163"/>
      <c r="E23" s="163"/>
      <c r="F23" s="163"/>
      <c r="G23" s="163"/>
      <c r="H23" s="163"/>
    </row>
    <row r="24" spans="1:8" ht="12.75" customHeight="1" x14ac:dyDescent="0.25">
      <c r="A24" s="163"/>
      <c r="B24" s="165"/>
      <c r="C24" s="167" t="s">
        <v>131</v>
      </c>
      <c r="D24" s="163"/>
      <c r="E24" s="163"/>
      <c r="F24" s="163"/>
      <c r="G24" s="163"/>
      <c r="H24" s="163"/>
    </row>
    <row r="25" spans="1:8" x14ac:dyDescent="0.25">
      <c r="A25" s="163"/>
      <c r="B25" s="164" t="s">
        <v>28</v>
      </c>
      <c r="C25" s="161" t="s">
        <v>132</v>
      </c>
      <c r="D25" s="163"/>
      <c r="E25" s="163"/>
      <c r="F25" s="163"/>
      <c r="G25" s="163"/>
      <c r="H25" s="163"/>
    </row>
    <row r="26" spans="1:8" ht="24" x14ac:dyDescent="0.25">
      <c r="A26" s="163"/>
      <c r="B26" s="165"/>
      <c r="C26" s="167" t="s">
        <v>133</v>
      </c>
      <c r="D26" s="163"/>
      <c r="E26" s="163"/>
      <c r="F26" s="163"/>
      <c r="G26" s="163"/>
      <c r="H26" s="163"/>
    </row>
    <row r="27" spans="1:8" x14ac:dyDescent="0.25">
      <c r="A27" s="164" t="s">
        <v>28</v>
      </c>
      <c r="B27" s="161" t="s">
        <v>134</v>
      </c>
      <c r="C27" s="163"/>
      <c r="D27" s="163"/>
      <c r="E27" s="163"/>
      <c r="F27" s="163"/>
      <c r="G27" s="163"/>
      <c r="H27" s="163"/>
    </row>
    <row r="28" spans="1:8" x14ac:dyDescent="0.25">
      <c r="A28" s="165"/>
      <c r="B28" s="161" t="s">
        <v>135</v>
      </c>
      <c r="C28" s="161" t="s">
        <v>136</v>
      </c>
      <c r="D28" s="163"/>
      <c r="E28" s="163"/>
      <c r="F28" s="163"/>
      <c r="G28" s="163"/>
      <c r="H28" s="163"/>
    </row>
    <row r="29" spans="1:8" ht="52.5" customHeight="1" x14ac:dyDescent="0.25">
      <c r="A29" s="165"/>
      <c r="B29" s="163"/>
      <c r="C29" s="167" t="s">
        <v>137</v>
      </c>
      <c r="D29" s="163"/>
      <c r="E29" s="163"/>
      <c r="F29" s="163"/>
      <c r="G29" s="163"/>
      <c r="H29" s="163"/>
    </row>
    <row r="30" spans="1:8" x14ac:dyDescent="0.25">
      <c r="A30" s="163"/>
      <c r="B30" s="161" t="s">
        <v>138</v>
      </c>
      <c r="C30" s="161" t="s">
        <v>139</v>
      </c>
      <c r="D30" s="163"/>
      <c r="E30" s="163"/>
      <c r="F30" s="163"/>
      <c r="G30" s="163"/>
      <c r="H30" s="163"/>
    </row>
    <row r="31" spans="1:8" ht="39" customHeight="1" x14ac:dyDescent="0.25">
      <c r="A31" s="163"/>
      <c r="B31" s="165"/>
      <c r="C31" s="167" t="s">
        <v>140</v>
      </c>
      <c r="D31" s="163"/>
      <c r="E31" s="163"/>
      <c r="F31" s="163"/>
      <c r="G31" s="163"/>
      <c r="H31" s="163"/>
    </row>
    <row r="32" spans="1:8" x14ac:dyDescent="0.25">
      <c r="A32" s="164" t="s">
        <v>28</v>
      </c>
      <c r="B32" s="161" t="s">
        <v>141</v>
      </c>
      <c r="C32" s="163"/>
      <c r="D32" s="163"/>
      <c r="E32" s="163"/>
      <c r="F32" s="163"/>
      <c r="G32" s="163"/>
      <c r="H32" s="163"/>
    </row>
    <row r="33" spans="1:8" x14ac:dyDescent="0.25">
      <c r="A33" s="165"/>
      <c r="B33" s="1206" t="s">
        <v>142</v>
      </c>
      <c r="C33" s="1206"/>
      <c r="D33" s="163"/>
      <c r="E33" s="163"/>
      <c r="F33" s="163"/>
      <c r="G33" s="163"/>
      <c r="H33" s="163"/>
    </row>
    <row r="34" spans="1:8" x14ac:dyDescent="0.25">
      <c r="A34" s="163"/>
      <c r="B34" s="164" t="s">
        <v>28</v>
      </c>
      <c r="C34" s="161" t="s">
        <v>143</v>
      </c>
      <c r="D34" s="163"/>
      <c r="E34" s="163"/>
      <c r="F34" s="163"/>
      <c r="G34" s="163"/>
      <c r="H34" s="163"/>
    </row>
    <row r="35" spans="1:8" ht="22.5" customHeight="1" x14ac:dyDescent="0.25">
      <c r="A35" s="163"/>
      <c r="B35" s="165"/>
      <c r="C35" s="167" t="s">
        <v>144</v>
      </c>
      <c r="D35" s="163"/>
      <c r="E35" s="163"/>
      <c r="F35" s="163"/>
      <c r="G35" s="163"/>
      <c r="H35" s="163"/>
    </row>
    <row r="36" spans="1:8" x14ac:dyDescent="0.25">
      <c r="A36" s="163"/>
      <c r="B36" s="164" t="s">
        <v>28</v>
      </c>
      <c r="C36" s="161" t="s">
        <v>145</v>
      </c>
      <c r="D36" s="163"/>
      <c r="E36" s="163"/>
      <c r="F36" s="163"/>
      <c r="G36" s="163"/>
      <c r="H36" s="163"/>
    </row>
    <row r="37" spans="1:8" ht="12.75" customHeight="1" x14ac:dyDescent="0.25">
      <c r="A37" s="163"/>
      <c r="B37" s="165"/>
      <c r="C37" s="167" t="s">
        <v>146</v>
      </c>
      <c r="D37" s="163"/>
      <c r="E37" s="163"/>
      <c r="F37" s="163"/>
      <c r="G37" s="163"/>
      <c r="H37" s="163"/>
    </row>
    <row r="38" spans="1:8" x14ac:dyDescent="0.25">
      <c r="A38" s="163"/>
      <c r="B38" s="164" t="s">
        <v>28</v>
      </c>
      <c r="C38" s="161" t="s">
        <v>147</v>
      </c>
      <c r="D38" s="163"/>
      <c r="E38" s="163"/>
      <c r="F38" s="163"/>
      <c r="G38" s="163"/>
      <c r="H38" s="163"/>
    </row>
    <row r="39" spans="1:8" ht="12.75" customHeight="1" x14ac:dyDescent="0.25">
      <c r="A39" s="163"/>
      <c r="B39" s="165"/>
      <c r="C39" s="167" t="s">
        <v>148</v>
      </c>
      <c r="D39" s="163"/>
      <c r="E39" s="163"/>
      <c r="F39" s="163"/>
      <c r="G39" s="163"/>
      <c r="H39" s="163"/>
    </row>
    <row r="40" spans="1:8" x14ac:dyDescent="0.25">
      <c r="A40" s="163"/>
      <c r="B40" s="164" t="s">
        <v>28</v>
      </c>
      <c r="C40" s="161" t="s">
        <v>149</v>
      </c>
      <c r="D40" s="163"/>
      <c r="E40" s="163"/>
      <c r="F40" s="163"/>
      <c r="G40" s="163"/>
      <c r="H40" s="163"/>
    </row>
    <row r="41" spans="1:8" ht="12.75" customHeight="1" x14ac:dyDescent="0.25">
      <c r="A41" s="163"/>
      <c r="B41" s="165"/>
      <c r="C41" s="167" t="s">
        <v>150</v>
      </c>
      <c r="D41" s="163"/>
      <c r="E41" s="163"/>
      <c r="F41" s="163"/>
      <c r="G41" s="163"/>
      <c r="H41" s="163"/>
    </row>
    <row r="42" spans="1:8" x14ac:dyDescent="0.25">
      <c r="A42" s="164" t="s">
        <v>28</v>
      </c>
      <c r="B42" s="161" t="s">
        <v>151</v>
      </c>
      <c r="C42" s="163"/>
      <c r="D42" s="163"/>
      <c r="E42" s="163"/>
      <c r="F42" s="163"/>
      <c r="G42" s="163"/>
      <c r="H42" s="163"/>
    </row>
    <row r="43" spans="1:8" ht="22.5" customHeight="1" x14ac:dyDescent="0.25">
      <c r="A43" s="165"/>
      <c r="B43" s="1206" t="s">
        <v>152</v>
      </c>
      <c r="C43" s="1206"/>
      <c r="D43" s="163"/>
      <c r="E43" s="163"/>
      <c r="F43" s="163"/>
      <c r="G43" s="163"/>
      <c r="H43" s="163"/>
    </row>
    <row r="44" spans="1:8" x14ac:dyDescent="0.25">
      <c r="A44" s="164" t="s">
        <v>28</v>
      </c>
      <c r="B44" s="161" t="s">
        <v>153</v>
      </c>
      <c r="C44" s="163"/>
      <c r="D44" s="163"/>
      <c r="E44" s="163"/>
      <c r="F44" s="163"/>
      <c r="G44" s="163"/>
      <c r="H44" s="163"/>
    </row>
    <row r="45" spans="1:8" ht="22.5" customHeight="1" x14ac:dyDescent="0.25">
      <c r="A45" s="165"/>
      <c r="B45" s="1206" t="s">
        <v>154</v>
      </c>
      <c r="C45" s="1206"/>
      <c r="D45" s="163"/>
      <c r="E45" s="163"/>
      <c r="F45" s="163"/>
      <c r="G45" s="163"/>
      <c r="H45" s="163"/>
    </row>
    <row r="46" spans="1:8" x14ac:dyDescent="0.25">
      <c r="A46" s="1207">
        <f ca="1">TODAY()</f>
        <v>46313</v>
      </c>
      <c r="B46" s="1207"/>
      <c r="C46" s="1207"/>
      <c r="D46" s="163"/>
      <c r="E46" s="163"/>
      <c r="F46" s="163"/>
      <c r="G46" s="163"/>
      <c r="H46" s="163"/>
    </row>
    <row r="47" spans="1:8" x14ac:dyDescent="0.25">
      <c r="A47" s="163"/>
      <c r="B47" s="165"/>
      <c r="C47" s="163"/>
      <c r="D47" s="163"/>
      <c r="E47" s="163"/>
      <c r="F47" s="163"/>
      <c r="G47" s="163"/>
      <c r="H47" s="163"/>
    </row>
    <row r="48" spans="1:8" x14ac:dyDescent="0.25">
      <c r="A48" s="163"/>
      <c r="B48" s="165"/>
      <c r="C48" s="163"/>
      <c r="D48" s="163"/>
      <c r="E48" s="163"/>
      <c r="F48" s="163"/>
      <c r="G48" s="163"/>
      <c r="H48" s="163"/>
    </row>
  </sheetData>
  <mergeCells count="9">
    <mergeCell ref="A2:C2"/>
    <mergeCell ref="A3:C3"/>
    <mergeCell ref="B8:C8"/>
    <mergeCell ref="B10:C10"/>
    <mergeCell ref="A46:C46"/>
    <mergeCell ref="B20:C20"/>
    <mergeCell ref="B33:C33"/>
    <mergeCell ref="B43:C43"/>
    <mergeCell ref="B45:C45"/>
  </mergeCells>
  <phoneticPr fontId="0" type="noConversion"/>
  <printOptions horizontalCentered="1"/>
  <pageMargins left="0.78740157480314965" right="0.78740157480314965" top="0.98425196850393704" bottom="1" header="0" footer="0"/>
  <pageSetup paperSize="9" fitToWidth="2" fitToHeight="0" orientation="landscape" r:id="rId1"/>
  <headerFooter alignWithMargins="0"/>
  <rowBreaks count="1" manualBreakCount="1">
    <brk id="26" max="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5"/>
  <dimension ref="A1:I33"/>
  <sheetViews>
    <sheetView topLeftCell="A13" workbookViewId="0">
      <selection activeCell="E36" sqref="E36"/>
    </sheetView>
  </sheetViews>
  <sheetFormatPr baseColWidth="10" defaultColWidth="11.5546875" defaultRowHeight="12.75" x14ac:dyDescent="0.2"/>
  <cols>
    <col min="1" max="1" width="3.77734375" style="127" customWidth="1"/>
    <col min="2" max="2" width="9.77734375" style="127" customWidth="1"/>
    <col min="3" max="3" width="15.77734375" style="127" customWidth="1"/>
    <col min="4" max="16384" width="11.5546875" style="127"/>
  </cols>
  <sheetData>
    <row r="1" spans="1:9" x14ac:dyDescent="0.2">
      <c r="A1" s="3" t="s">
        <v>0</v>
      </c>
    </row>
    <row r="2" spans="1:9" x14ac:dyDescent="0.2">
      <c r="A2" s="128" t="s">
        <v>156</v>
      </c>
      <c r="B2" s="129"/>
      <c r="C2" s="129"/>
      <c r="D2" s="129"/>
      <c r="E2" s="129"/>
      <c r="F2" s="129"/>
      <c r="G2" s="129"/>
      <c r="H2" s="129"/>
      <c r="I2" s="129"/>
    </row>
    <row r="4" spans="1:9" x14ac:dyDescent="0.2">
      <c r="A4" s="157" t="s">
        <v>98</v>
      </c>
      <c r="B4" s="128" t="s">
        <v>99</v>
      </c>
      <c r="C4" s="129"/>
    </row>
    <row r="5" spans="1:9" x14ac:dyDescent="0.2">
      <c r="A5" s="157"/>
      <c r="B5" s="129" t="s">
        <v>100</v>
      </c>
      <c r="C5" s="129"/>
      <c r="D5" s="1072" t="s">
        <v>382</v>
      </c>
    </row>
    <row r="6" spans="1:9" x14ac:dyDescent="0.2">
      <c r="A6" s="157"/>
      <c r="D6" s="127" t="s">
        <v>110</v>
      </c>
      <c r="E6" s="131"/>
    </row>
    <row r="7" spans="1:9" x14ac:dyDescent="0.2">
      <c r="A7" s="157"/>
    </row>
    <row r="8" spans="1:9" x14ac:dyDescent="0.2">
      <c r="A8" s="157" t="s">
        <v>101</v>
      </c>
      <c r="B8" s="128" t="s">
        <v>102</v>
      </c>
      <c r="C8" s="129"/>
      <c r="D8" s="131"/>
    </row>
    <row r="9" spans="1:9" x14ac:dyDescent="0.2">
      <c r="A9" s="157"/>
      <c r="B9" s="129" t="s">
        <v>100</v>
      </c>
      <c r="C9" s="129"/>
      <c r="D9" s="1072" t="s">
        <v>383</v>
      </c>
    </row>
    <row r="10" spans="1:9" x14ac:dyDescent="0.2">
      <c r="A10" s="157"/>
      <c r="B10" s="129"/>
      <c r="C10" s="129"/>
      <c r="D10" s="127" t="s">
        <v>112</v>
      </c>
      <c r="E10" s="131"/>
    </row>
    <row r="11" spans="1:9" x14ac:dyDescent="0.2">
      <c r="A11" s="157"/>
    </row>
    <row r="12" spans="1:9" x14ac:dyDescent="0.2">
      <c r="A12" s="157" t="s">
        <v>103</v>
      </c>
      <c r="B12" s="128" t="s">
        <v>102</v>
      </c>
      <c r="C12" s="129"/>
    </row>
    <row r="13" spans="1:9" x14ac:dyDescent="0.2">
      <c r="A13" s="130"/>
      <c r="B13" s="129" t="s">
        <v>104</v>
      </c>
      <c r="C13" s="129"/>
    </row>
    <row r="14" spans="1:9" x14ac:dyDescent="0.2">
      <c r="A14" s="130"/>
      <c r="B14" s="129" t="s">
        <v>105</v>
      </c>
      <c r="C14" s="129"/>
      <c r="D14" s="1072" t="s">
        <v>384</v>
      </c>
    </row>
    <row r="15" spans="1:9" x14ac:dyDescent="0.2">
      <c r="A15" s="130"/>
      <c r="B15" s="129"/>
      <c r="C15" s="129"/>
      <c r="D15" s="127" t="s">
        <v>111</v>
      </c>
      <c r="E15" s="131"/>
    </row>
    <row r="17" spans="1:6" x14ac:dyDescent="0.2">
      <c r="A17" s="4"/>
      <c r="D17" s="1" t="s">
        <v>76</v>
      </c>
      <c r="E17" s="1"/>
      <c r="F17" s="1"/>
    </row>
    <row r="18" spans="1:6" x14ac:dyDescent="0.2">
      <c r="A18" s="1"/>
      <c r="D18" s="115" t="s">
        <v>78</v>
      </c>
      <c r="E18" s="116" t="s">
        <v>79</v>
      </c>
      <c r="F18" s="117"/>
    </row>
    <row r="19" spans="1:6" x14ac:dyDescent="0.2">
      <c r="A19" s="1"/>
      <c r="D19" s="91" t="s">
        <v>81</v>
      </c>
      <c r="E19" s="92" t="s">
        <v>82</v>
      </c>
      <c r="F19" s="93"/>
    </row>
    <row r="20" spans="1:6" x14ac:dyDescent="0.2">
      <c r="A20" s="1"/>
      <c r="D20" s="97" t="s">
        <v>83</v>
      </c>
      <c r="E20" s="98" t="s">
        <v>84</v>
      </c>
      <c r="F20" s="99"/>
    </row>
    <row r="21" spans="1:6" x14ac:dyDescent="0.2">
      <c r="A21" s="1"/>
      <c r="D21" s="97" t="s">
        <v>85</v>
      </c>
      <c r="E21" s="98" t="s">
        <v>86</v>
      </c>
      <c r="F21" s="99"/>
    </row>
    <row r="22" spans="1:6" x14ac:dyDescent="0.2">
      <c r="A22" s="1"/>
      <c r="D22" s="97" t="s">
        <v>87</v>
      </c>
      <c r="E22" s="98" t="s">
        <v>88</v>
      </c>
      <c r="F22" s="99"/>
    </row>
    <row r="23" spans="1:6" x14ac:dyDescent="0.2">
      <c r="A23" s="1"/>
      <c r="D23" s="109" t="s">
        <v>91</v>
      </c>
      <c r="E23" s="110" t="s">
        <v>92</v>
      </c>
      <c r="F23" s="111"/>
    </row>
    <row r="24" spans="1:6" x14ac:dyDescent="0.2">
      <c r="A24" s="1"/>
      <c r="D24" s="56"/>
      <c r="E24" s="114"/>
      <c r="F24" s="1"/>
    </row>
    <row r="25" spans="1:6" x14ac:dyDescent="0.2">
      <c r="A25" s="158">
        <f ca="1">TODAY()</f>
        <v>46313</v>
      </c>
      <c r="B25" s="156"/>
    </row>
    <row r="31" spans="1:6" x14ac:dyDescent="0.2">
      <c r="B31" s="1208" t="s">
        <v>385</v>
      </c>
      <c r="C31" s="1208"/>
      <c r="D31" s="1072" t="s">
        <v>388</v>
      </c>
    </row>
    <row r="33" spans="2:4" x14ac:dyDescent="0.2">
      <c r="B33" s="1208" t="s">
        <v>386</v>
      </c>
      <c r="C33" s="1208"/>
      <c r="D33" s="1072" t="s">
        <v>387</v>
      </c>
    </row>
  </sheetData>
  <mergeCells count="2">
    <mergeCell ref="B31:C31"/>
    <mergeCell ref="B33:C33"/>
  </mergeCells>
  <phoneticPr fontId="0" type="noConversion"/>
  <printOptions horizontalCentered="1" verticalCentered="1"/>
  <pageMargins left="0.75" right="0.75" top="0.78740157480314965" bottom="1" header="0" footer="0"/>
  <pageSetup paperSize="9" orientation="landscape"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21</vt:i4>
      </vt:variant>
    </vt:vector>
  </HeadingPairs>
  <TitlesOfParts>
    <vt:vector size="42" baseType="lpstr">
      <vt:lpstr>Recuperado_Hoja1</vt:lpstr>
      <vt:lpstr>Ene-2</vt:lpstr>
      <vt:lpstr>cuadre</vt:lpstr>
      <vt:lpstr>Ene</vt:lpstr>
      <vt:lpstr>Ene(2)</vt:lpstr>
      <vt:lpstr>Feb</vt:lpstr>
      <vt:lpstr>Mar</vt:lpstr>
      <vt:lpstr>Abr</vt:lpstr>
      <vt:lpstr>May</vt:lpstr>
      <vt:lpstr>Jun</vt:lpstr>
      <vt:lpstr>Jul</vt:lpstr>
      <vt:lpstr>Ago</vt:lpstr>
      <vt:lpstr>Sep</vt:lpstr>
      <vt:lpstr>Oct</vt:lpstr>
      <vt:lpstr>Nov-original</vt:lpstr>
      <vt:lpstr>Nov</vt:lpstr>
      <vt:lpstr>Dic</vt:lpstr>
      <vt:lpstr>Dic (4)</vt:lpstr>
      <vt:lpstr>Tot.26</vt:lpstr>
      <vt:lpstr>Nomenclatura</vt:lpstr>
      <vt:lpstr>Formulas</vt:lpstr>
      <vt:lpstr>Abr!Área_de_impresión</vt:lpstr>
      <vt:lpstr>Ago!Área_de_impresión</vt:lpstr>
      <vt:lpstr>cuadre!Área_de_impresión</vt:lpstr>
      <vt:lpstr>Dic!Área_de_impresión</vt:lpstr>
      <vt:lpstr>'Dic (4)'!Área_de_impresión</vt:lpstr>
      <vt:lpstr>Ene!Área_de_impresión</vt:lpstr>
      <vt:lpstr>'Ene(2)'!Área_de_impresión</vt:lpstr>
      <vt:lpstr>'Ene-2'!Área_de_impresión</vt:lpstr>
      <vt:lpstr>Feb!Área_de_impresión</vt:lpstr>
      <vt:lpstr>Jul!Área_de_impresión</vt:lpstr>
      <vt:lpstr>Jun!Área_de_impresión</vt:lpstr>
      <vt:lpstr>Mar!Área_de_impresión</vt:lpstr>
      <vt:lpstr>May!Área_de_impresión</vt:lpstr>
      <vt:lpstr>Nomenclatura!Área_de_impresión</vt:lpstr>
      <vt:lpstr>Nov!Área_de_impresión</vt:lpstr>
      <vt:lpstr>'Nov-original'!Área_de_impresión</vt:lpstr>
      <vt:lpstr>Oct!Área_de_impresión</vt:lpstr>
      <vt:lpstr>Sep!Área_de_impresión</vt:lpstr>
      <vt:lpstr>Sep!tc</vt:lpstr>
      <vt:lpstr>tc</vt:lpstr>
      <vt:lpstr>Nomenclatura!Títulos_a_imprimir</vt:lpstr>
    </vt:vector>
  </TitlesOfParts>
  <Company>PERUPETRO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Vásquez Guevara</dc:creator>
  <cp:lastModifiedBy>Usuario</cp:lastModifiedBy>
  <cp:lastPrinted>2026-02-06T20:53:06Z</cp:lastPrinted>
  <dcterms:created xsi:type="dcterms:W3CDTF">2000-02-15T17:08:19Z</dcterms:created>
  <dcterms:modified xsi:type="dcterms:W3CDTF">2026-10-18T22:05:34Z</dcterms:modified>
</cp:coreProperties>
</file>