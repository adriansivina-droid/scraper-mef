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Produccion_2016_2025" sheetId="1" state="visible" r:id="rId3"/>
    <sheet name="Regalias_2024_2025" sheetId="2" state="visible" r:id="rId4"/>
    <sheet name="Canon_Ucayali" sheetId="3" state="visible" r:id="rId5"/>
    <sheet name="Canon_por_lote_2025" sheetId="4" state="visible" r:id="rId6"/>
    <sheet name="INEI_participacion" sheetId="5" state="visible" r:id="rId7"/>
    <sheet name="Contratos_Ucayali" sheetId="6" state="visible" r:id="rId8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<sst xmlns="http://schemas.openxmlformats.org/spreadsheetml/2006/main" count="149" uniqueCount="125">
  <si>
    <t xml:space="preserve">Ucayali: producción fiscalizada de los lotes 31-C y 131, 2016–2025</t>
  </si>
  <si>
    <t xml:space="preserve">Fuente: PERUPETRO, Estadística Anual de Hidrocarburos 2025: «Producción fiscalizada de hidrocarburos líquidos – Selva Central 2016–2025» (PDF pág. 34) y «Producción fiscalizada de gas natural 2016–2025 (MMPC)» (pág. 43)</t>
  </si>
  <si>
    <t xml:space="preserve">Concepto</t>
  </si>
  <si>
    <t xml:space="preserve">Unidad</t>
  </si>
  <si>
    <t xml:space="preserve">2016</t>
  </si>
  <si>
    <t xml:space="preserve">2017</t>
  </si>
  <si>
    <t xml:space="preserve">2018</t>
  </si>
  <si>
    <t xml:space="preserve">2019</t>
  </si>
  <si>
    <t xml:space="preserve">2020</t>
  </si>
  <si>
    <t xml:space="preserve">2021</t>
  </si>
  <si>
    <t xml:space="preserve">2022</t>
  </si>
  <si>
    <t xml:space="preserve">2023</t>
  </si>
  <si>
    <t xml:space="preserve">2024</t>
  </si>
  <si>
    <t xml:space="preserve">2025</t>
  </si>
  <si>
    <t xml:space="preserve">Lote 31-C (Aguaytía) – LGN</t>
  </si>
  <si>
    <t xml:space="preserve">bbl</t>
  </si>
  <si>
    <t xml:space="preserve">Lote 31-C (Aguaytía) – condensado</t>
  </si>
  <si>
    <t xml:space="preserve">Lote 31-C (Aguaytía) – gas natural fiscalizado</t>
  </si>
  <si>
    <t xml:space="preserve">MMPC</t>
  </si>
  <si>
    <t xml:space="preserve">Lote 131 (Cepsa / Ucawa Energy) – petróleo</t>
  </si>
  <si>
    <t xml:space="preserve">Lote 31-C – LGN (bpd)</t>
  </si>
  <si>
    <t xml:space="preserve">Lote 131 – petróleo (bpd)</t>
  </si>
  <si>
    <t xml:space="preserve">Var. % LGN 31-C</t>
  </si>
  <si>
    <t xml:space="preserve">Var. % gas fiscalizado 31-C</t>
  </si>
  <si>
    <t xml:space="preserve">Var. % petróleo 131</t>
  </si>
  <si>
    <t xml:space="preserve">Participación nacional 2025</t>
  </si>
  <si>
    <t xml:space="preserve">Petróleo del país 2025 (bbl, suma de lotes, pág. 29)</t>
  </si>
  <si>
    <t xml:space="preserve">Lote 131 / petróleo del país</t>
  </si>
  <si>
    <t xml:space="preserve">Gas fiscalizado del país 2025 (MMPC, pág. 43)</t>
  </si>
  <si>
    <t xml:space="preserve">Lote 31-C / gas del país</t>
  </si>
  <si>
    <t xml:space="preserve">Lote 31-C: 100 % de su área en Ucayali. Lote 131: 57,5 % en Ucayali y 42,5 % en Huánuco (cruce del polígono del lote con los límites departamentales, mapa del proyecto); su canon va íntegro a la provincia de Puerto Inca (Huánuco) según la Determinación del canon de PERUPETRO.</t>
  </si>
  <si>
    <t xml:space="preserve">(1) El 20.12.2024 Cepsa comunicó el cambio de denominación social a Ucawa Energy S.A.C. (aprobado el 29.11.2024), nota de la pág. 34.</t>
  </si>
  <si>
    <t xml:space="preserve">Mensual 2025 (pág. 29): el 31-C produjo LGN solo en enero (36 bbl) y febrero (4.377 bbl). «-» del PDF = 0.</t>
  </si>
  <si>
    <t xml:space="preserve">Ucayali: regalías de los lotes 31-C y 131, 2024–2025 (US$)</t>
  </si>
  <si>
    <t xml:space="preserve">Fuente: PERUPETRO, Estadística Anual 2024 y 2025, «Ingresos al fisco por contrato» (regalías), pág. 80 de 2025</t>
  </si>
  <si>
    <t xml:space="preserve">Lote</t>
  </si>
  <si>
    <t xml:space="preserve">Hidrocarburo</t>
  </si>
  <si>
    <t xml:space="preserve">Var. %</t>
  </si>
  <si>
    <t xml:space="preserve">31-C</t>
  </si>
  <si>
    <t xml:space="preserve">Gas natural</t>
  </si>
  <si>
    <t xml:space="preserve">LGN</t>
  </si>
  <si>
    <t xml:space="preserve">131</t>
  </si>
  <si>
    <t xml:space="preserve">Petróleo</t>
  </si>
  <si>
    <t xml:space="preserve">Total 31-C</t>
  </si>
  <si>
    <t xml:space="preserve">Regalías del país</t>
  </si>
  <si>
    <t xml:space="preserve">Participación del 31-C</t>
  </si>
  <si>
    <t xml:space="preserve">Ucayali: canon y sobrecanon petrolero transferido, 2016–2026 (soles)</t>
  </si>
  <si>
    <t xml:space="preserve">Fuente: PERUPETRO, «Canon por Año Ucayali» (página Canon y Sobre Canon → Distribución), hojas 2016–2026; Estadística Mensual de enero de 2026 (resumen ejecutivo, canon por departamento) para el total del país 2025</t>
  </si>
  <si>
    <t xml:space="preserve">Año</t>
  </si>
  <si>
    <t xml:space="preserve">Canon Ucayali (S/)</t>
  </si>
  <si>
    <t xml:space="preserve">Meses</t>
  </si>
  <si>
    <t xml:space="preserve">2026</t>
  </si>
  <si>
    <t xml:space="preserve">Canon del país 2025 (MM S/, suma mensual)</t>
  </si>
  <si>
    <t xml:space="preserve">Participación de Ucayali 2025</t>
  </si>
  <si>
    <t xml:space="preserve">Estadística Anual 2025 (pág. 81) – Ucayali 2025 (MM S/)</t>
  </si>
  <si>
    <t xml:space="preserve">Mes 2025</t>
  </si>
  <si>
    <t xml:space="preserve">Canon (S/)</t>
  </si>
  <si>
    <t xml:space="preserve">Ene</t>
  </si>
  <si>
    <t xml:space="preserve">Feb</t>
  </si>
  <si>
    <t xml:space="preserve">Mar</t>
  </si>
  <si>
    <t xml:space="preserve">Abr</t>
  </si>
  <si>
    <t xml:space="preserve">May</t>
  </si>
  <si>
    <t xml:space="preserve">Jun</t>
  </si>
  <si>
    <t xml:space="preserve">Jul</t>
  </si>
  <si>
    <t xml:space="preserve">Ago</t>
  </si>
  <si>
    <t xml:space="preserve">Set</t>
  </si>
  <si>
    <t xml:space="preserve">Oct</t>
  </si>
  <si>
    <t xml:space="preserve">Nov</t>
  </si>
  <si>
    <t xml:space="preserve">Dic</t>
  </si>
  <si>
    <t xml:space="preserve">Total 2025</t>
  </si>
  <si>
    <t xml:space="preserve">Control: igual a la hoja anual</t>
  </si>
  <si>
    <t xml:space="preserve">Primer semestre</t>
  </si>
  <si>
    <t xml:space="preserve">Segundo semestre</t>
  </si>
  <si>
    <t xml:space="preserve">Var. % 2.º vs 1.er semestre</t>
  </si>
  <si>
    <t xml:space="preserve">Beneficiario (2025)</t>
  </si>
  <si>
    <t xml:space="preserve">Participación</t>
  </si>
  <si>
    <t xml:space="preserve">GOBIERNO REGIONAL</t>
  </si>
  <si>
    <t xml:space="preserve">MUNICIPALIDADES</t>
  </si>
  <si>
    <t xml:space="preserve">UNIVERSIDADES</t>
  </si>
  <si>
    <t xml:space="preserve">IIAP</t>
  </si>
  <si>
    <t xml:space="preserve">INSTITUTOS</t>
  </si>
  <si>
    <t xml:space="preserve">Total</t>
  </si>
  <si>
    <t xml:space="preserve">La Estadística Anual 2025 consigna 52,03 MM para Ucayali; la suma de los 12 meses del Excel de Distribución (y de la Estadística Mensual de enero de 2026) da 55,35 MM. Se usa la suma mensual, como en Loreto.</t>
  </si>
  <si>
    <t xml:space="preserve">Ucayali no tiene Excel en «Canon Municipalidades»: el reparto por municipalidad del año en curso no se publica.</t>
  </si>
  <si>
    <t xml:space="preserve">Canon y sobrecanon de Ucayali por lote de origen, 2025 (US$)</t>
  </si>
  <si>
    <t xml:space="preserve">Fuente: PERUPETRO, «Canon Petrolero 2025» (página Canon y Sobre Canon → Determinación), hojas Ene–Dic, zona Loreto / Ucayali</t>
  </si>
  <si>
    <t xml:space="preserve">Canon total del lote (US$)</t>
  </si>
  <si>
    <t xml:space="preserve">Parte de Loreto</t>
  </si>
  <si>
    <t xml:space="preserve">Parte de Ucayali</t>
  </si>
  <si>
    <t xml:space="preserve">% de Ucayali en el lote</t>
  </si>
  <si>
    <t xml:space="preserve">% del canon de Ucayali</t>
  </si>
  <si>
    <t xml:space="preserve">95</t>
  </si>
  <si>
    <t xml:space="preserve">8</t>
  </si>
  <si>
    <t xml:space="preserve">67</t>
  </si>
  <si>
    <t xml:space="preserve">AJUSTES MESES ANTERIORES</t>
  </si>
  <si>
    <t xml:space="preserve">En la zona Loreto / Ucayali, la Determinación asigna a Ucayali el 20 % del canon de los lotes de Loreto (95, 8, 67) y el 80 % del canon del lote 31-C (el 20 % restante va a Loreto).</t>
  </si>
  <si>
    <t xml:space="preserve">El lote 131 figura en otra zona («Provincia Puerto Inca – Huánuco»): su canon va íntegro a Huánuco.</t>
  </si>
  <si>
    <t xml:space="preserve">Participación de Ucayali en el VAB nacional (estructura %, INEI)</t>
  </si>
  <si>
    <t xml:space="preserve">Fuente: INEI, «Producto Bruto Interno por Actividades Económicas, según Departamentos», valores a precios constantes de 2007, estructura porcentual: Cuadro N° 74 (2007) y Cuadro N° 180 (2025)</t>
  </si>
  <si>
    <t xml:space="preserve">Extracción de petróleo, gas y minerales</t>
  </si>
  <si>
    <t xml:space="preserve">VAB total</t>
  </si>
  <si>
    <t xml:space="preserve">2007 (Cuadro N° 74)</t>
  </si>
  <si>
    <t xml:space="preserve">2025 (Cuadro N° 180)</t>
  </si>
  <si>
    <t xml:space="preserve">PENDIENTE: serie del VAB de Ucayali 2014–2025 (INEI, «Ucayali: Valor Agregado Bruto por Años, según Actividades Económicas», cuadros 1 y 2). Sin ella no se calculan el crecimiento, el peso en la economía regional ni la contribución.</t>
  </si>
  <si>
    <t xml:space="preserve">Contratos de licencia en fase de explotación con área en Ucayali, al 31/12/2025</t>
  </si>
  <si>
    <t xml:space="preserve">Fuente: PERUPETRO, Estadística Anual 2025, «Contratos en fase de explotación» (PDF pág. 84) y «Contratos en fase de exploración» (pág. 85); departamento: cruce del polígono del lote con los límites departamentales (mapa del proyecto)</t>
  </si>
  <si>
    <t xml:space="preserve">Contratista</t>
  </si>
  <si>
    <t xml:space="preserve">Participación (%)</t>
  </si>
  <si>
    <t xml:space="preserve">Suscripción</t>
  </si>
  <si>
    <t xml:space="preserve">Término</t>
  </si>
  <si>
    <t xml:space="preserve">Área (ha)</t>
  </si>
  <si>
    <t xml:space="preserve">Área en Ucayali</t>
  </si>
  <si>
    <t xml:space="preserve">Producción 2025</t>
  </si>
  <si>
    <t xml:space="preserve">AGUAYTIA ENERGY DEL PERU S.R.L.</t>
  </si>
  <si>
    <t xml:space="preserve">30/03/1994</t>
  </si>
  <si>
    <t xml:space="preserve">29/03/2034</t>
  </si>
  <si>
    <t xml:space="preserve">100,0 %</t>
  </si>
  <si>
    <t xml:space="preserve">4.413 bbl LGN; 1.021 MMPC de gas</t>
  </si>
  <si>
    <t xml:space="preserve">UCAWA ENERGY S.A.C.</t>
  </si>
  <si>
    <t xml:space="preserve">21/11/2007</t>
  </si>
  <si>
    <t xml:space="preserve">18/01/2038</t>
  </si>
  <si>
    <t xml:space="preserve">57,5 %</t>
  </si>
  <si>
    <t xml:space="preserve">184.505 bbl de petróleo</t>
  </si>
  <si>
    <t xml:space="preserve">Aguaytía Energy del Perú también participa con 21,29 % en el contrato del Lote X (Noroeste), operado por OIG Perú (pág. 84).</t>
  </si>
  <si>
    <t xml:space="preserve">Contratos de exploración vigentes al 31/12/2025 (pág. 85): XXIII, Z-61, Z-62, Z-63 y 107; según el mapa del proyecto, ninguno tiene área en Ucayali.</t>
  </si>
</sst>
</file>

<file path=xl/styles.xml><?xml version="1.0" encoding="utf-8"?>
<styleSheet xmlns="http://schemas.openxmlformats.org/spreadsheetml/2006/main">
  <numFmts count="5">
    <numFmt numFmtId="164" formatCode="General"/>
    <numFmt numFmtId="165" formatCode="#,##0;\(#,##0\);\-"/>
    <numFmt numFmtId="166" formatCode="0.0%;\(0.0%\);\-"/>
    <numFmt numFmtId="167" formatCode="#,##0.00;\(#,##0.00\);\-"/>
    <numFmt numFmtId="168" formatCode="#,##0.0;\(#,##0.0\);\-"/>
  </numFmts>
  <fonts count="9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2"/>
      <name val="Arial"/>
      <family val="0"/>
      <charset val="1"/>
    </font>
    <font>
      <i val="true"/>
      <sz val="9"/>
      <color rgb="FF666666"/>
      <name val="Arial"/>
      <family val="0"/>
      <charset val="1"/>
    </font>
    <font>
      <b val="true"/>
      <sz val="10"/>
      <name val="Arial"/>
      <family val="0"/>
      <charset val="1"/>
    </font>
    <font>
      <sz val="10"/>
      <name val="Arial"/>
      <family val="0"/>
      <charset val="1"/>
    </font>
    <font>
      <sz val="10"/>
      <color rgb="FF0000FF"/>
      <name val="Arial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DDE4EE"/>
        <bgColor rgb="FFCCFFFF"/>
      </patternFill>
    </fill>
  </fills>
  <borders count="2">
    <border diagonalUp="false" diagonalDown="false">
      <left/>
      <right/>
      <top/>
      <bottom/>
      <diagonal/>
    </border>
    <border diagonalUp="false" diagonalDown="false">
      <left/>
      <right/>
      <top/>
      <bottom style="thin">
        <color rgb="FFBBBBBB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BBBBB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DDE4EE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66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24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6"/>
    <col collapsed="false" customWidth="true" hidden="false" outlineLevel="0" max="2" min="2" style="0" width="8"/>
    <col collapsed="false" customWidth="true" hidden="false" outlineLevel="0" max="12" min="3" style="0" width="11"/>
  </cols>
  <sheetData>
    <row r="1" customFormat="false" ht="15" hidden="false" customHeight="false" outlineLevel="0" collapsed="false">
      <c r="A1" s="1" t="s">
        <v>0</v>
      </c>
    </row>
    <row r="2" customFormat="false" ht="15" hidden="false" customHeight="false" outlineLevel="0" collapsed="false">
      <c r="A2" s="2" t="s">
        <v>1</v>
      </c>
    </row>
    <row r="4" customFormat="false" ht="15" hidden="false" customHeight="false" outlineLevel="0" collapsed="false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  <c r="F4" s="3" t="s">
        <v>7</v>
      </c>
      <c r="G4" s="3" t="s">
        <v>8</v>
      </c>
      <c r="H4" s="3" t="s">
        <v>9</v>
      </c>
      <c r="I4" s="3" t="s">
        <v>10</v>
      </c>
      <c r="J4" s="3" t="s">
        <v>11</v>
      </c>
      <c r="K4" s="3" t="s">
        <v>12</v>
      </c>
      <c r="L4" s="3" t="s">
        <v>13</v>
      </c>
    </row>
    <row r="5" customFormat="false" ht="15" hidden="false" customHeight="false" outlineLevel="0" collapsed="false">
      <c r="A5" s="4" t="s">
        <v>14</v>
      </c>
      <c r="B5" s="4" t="s">
        <v>15</v>
      </c>
      <c r="C5" s="5" t="n">
        <v>471458</v>
      </c>
      <c r="D5" s="5" t="n">
        <v>410005</v>
      </c>
      <c r="E5" s="5" t="n">
        <v>382115</v>
      </c>
      <c r="F5" s="5" t="n">
        <v>275700</v>
      </c>
      <c r="G5" s="5" t="n">
        <v>168126</v>
      </c>
      <c r="H5" s="5" t="n">
        <v>83043</v>
      </c>
      <c r="I5" s="5" t="n">
        <v>83015</v>
      </c>
      <c r="J5" s="5" t="n">
        <v>58747</v>
      </c>
      <c r="K5" s="5" t="n">
        <v>29506</v>
      </c>
      <c r="L5" s="5" t="n">
        <v>4413</v>
      </c>
    </row>
    <row r="6" customFormat="false" ht="15" hidden="false" customHeight="false" outlineLevel="0" collapsed="false">
      <c r="A6" s="4" t="s">
        <v>16</v>
      </c>
      <c r="B6" s="4" t="s">
        <v>15</v>
      </c>
      <c r="C6" s="5" t="n">
        <v>270</v>
      </c>
      <c r="D6" s="5" t="n">
        <v>0</v>
      </c>
      <c r="E6" s="5" t="n">
        <v>0</v>
      </c>
      <c r="F6" s="5" t="n">
        <v>0</v>
      </c>
      <c r="G6" s="5" t="n">
        <v>0</v>
      </c>
      <c r="H6" s="5" t="n">
        <v>0</v>
      </c>
      <c r="I6" s="5" t="n">
        <v>0</v>
      </c>
      <c r="J6" s="5" t="n">
        <v>0</v>
      </c>
      <c r="K6" s="5" t="n">
        <v>0</v>
      </c>
      <c r="L6" s="5" t="n">
        <v>0</v>
      </c>
    </row>
    <row r="7" customFormat="false" ht="15" hidden="false" customHeight="false" outlineLevel="0" collapsed="false">
      <c r="A7" s="4" t="s">
        <v>17</v>
      </c>
      <c r="B7" s="4" t="s">
        <v>18</v>
      </c>
      <c r="C7" s="5" t="n">
        <v>4600</v>
      </c>
      <c r="D7" s="5" t="n">
        <v>1585</v>
      </c>
      <c r="E7" s="5" t="n">
        <v>4538</v>
      </c>
      <c r="F7" s="5" t="n">
        <v>4005</v>
      </c>
      <c r="G7" s="5" t="n">
        <v>960</v>
      </c>
      <c r="H7" s="5" t="n">
        <v>2558</v>
      </c>
      <c r="I7" s="5" t="n">
        <v>3743</v>
      </c>
      <c r="J7" s="5" t="n">
        <v>4506</v>
      </c>
      <c r="K7" s="5" t="n">
        <v>2549</v>
      </c>
      <c r="L7" s="5" t="n">
        <v>1021</v>
      </c>
    </row>
    <row r="8" customFormat="false" ht="15" hidden="false" customHeight="false" outlineLevel="0" collapsed="false">
      <c r="A8" s="4" t="s">
        <v>19</v>
      </c>
      <c r="B8" s="4" t="s">
        <v>15</v>
      </c>
      <c r="C8" s="5" t="n">
        <v>820733</v>
      </c>
      <c r="D8" s="5" t="n">
        <v>1085472</v>
      </c>
      <c r="E8" s="5" t="n">
        <v>1002172</v>
      </c>
      <c r="F8" s="5" t="n">
        <v>1119738</v>
      </c>
      <c r="G8" s="5" t="n">
        <v>745764</v>
      </c>
      <c r="H8" s="5" t="n">
        <v>536453</v>
      </c>
      <c r="I8" s="5" t="n">
        <v>453916</v>
      </c>
      <c r="J8" s="5" t="n">
        <v>320425</v>
      </c>
      <c r="K8" s="5" t="n">
        <v>281002</v>
      </c>
      <c r="L8" s="5" t="n">
        <v>184505</v>
      </c>
    </row>
    <row r="10" customFormat="false" ht="15" hidden="false" customHeight="false" outlineLevel="0" collapsed="false">
      <c r="A10" s="6" t="s">
        <v>20</v>
      </c>
      <c r="C10" s="7" t="n">
        <f aca="false">C5/366</f>
        <v>1288.13661202186</v>
      </c>
      <c r="D10" s="7" t="n">
        <f aca="false">D5/365</f>
        <v>1123.30136986301</v>
      </c>
      <c r="E10" s="7" t="n">
        <f aca="false">E5/365</f>
        <v>1046.8904109589</v>
      </c>
      <c r="F10" s="7" t="n">
        <f aca="false">F5/365</f>
        <v>755.342465753425</v>
      </c>
      <c r="G10" s="7" t="n">
        <f aca="false">G5/366</f>
        <v>459.360655737705</v>
      </c>
      <c r="H10" s="7" t="n">
        <f aca="false">H5/365</f>
        <v>227.515068493151</v>
      </c>
      <c r="I10" s="7" t="n">
        <f aca="false">I5/365</f>
        <v>227.438356164384</v>
      </c>
      <c r="J10" s="7" t="n">
        <f aca="false">J5/365</f>
        <v>160.950684931507</v>
      </c>
      <c r="K10" s="7" t="n">
        <f aca="false">K5/366</f>
        <v>80.6174863387978</v>
      </c>
      <c r="L10" s="7" t="n">
        <f aca="false">L5/365</f>
        <v>12.0904109589041</v>
      </c>
    </row>
    <row r="11" customFormat="false" ht="15" hidden="false" customHeight="false" outlineLevel="0" collapsed="false">
      <c r="A11" s="6" t="s">
        <v>21</v>
      </c>
      <c r="C11" s="7" t="n">
        <f aca="false">C8/366</f>
        <v>2242.43989071038</v>
      </c>
      <c r="D11" s="7" t="n">
        <f aca="false">D8/365</f>
        <v>2973.89589041096</v>
      </c>
      <c r="E11" s="7" t="n">
        <f aca="false">E8/365</f>
        <v>2745.67671232877</v>
      </c>
      <c r="F11" s="7" t="n">
        <f aca="false">F8/365</f>
        <v>3067.77534246575</v>
      </c>
      <c r="G11" s="7" t="n">
        <f aca="false">G8/366</f>
        <v>2037.60655737705</v>
      </c>
      <c r="H11" s="7" t="n">
        <f aca="false">H8/365</f>
        <v>1469.73424657534</v>
      </c>
      <c r="I11" s="7" t="n">
        <f aca="false">I8/365</f>
        <v>1243.60547945205</v>
      </c>
      <c r="J11" s="7" t="n">
        <f aca="false">J8/365</f>
        <v>877.876712328767</v>
      </c>
      <c r="K11" s="7" t="n">
        <f aca="false">K8/366</f>
        <v>767.765027322404</v>
      </c>
      <c r="L11" s="7" t="n">
        <f aca="false">L8/365</f>
        <v>505.493150684932</v>
      </c>
    </row>
    <row r="12" customFormat="false" ht="15" hidden="false" customHeight="false" outlineLevel="0" collapsed="false">
      <c r="A12" s="4" t="s">
        <v>22</v>
      </c>
      <c r="D12" s="8" t="n">
        <f aca="false">D5/C5-1</f>
        <v>-0.130346711690119</v>
      </c>
      <c r="E12" s="8" t="n">
        <f aca="false">E5/D5-1</f>
        <v>-0.0680235606882843</v>
      </c>
      <c r="F12" s="8" t="n">
        <f aca="false">F5/E5-1</f>
        <v>-0.278489459979326</v>
      </c>
      <c r="G12" s="8" t="n">
        <f aca="false">G5/F5-1</f>
        <v>-0.390184983677911</v>
      </c>
      <c r="H12" s="8" t="n">
        <f aca="false">H5/G5-1</f>
        <v>-0.506066878412619</v>
      </c>
      <c r="I12" s="8" t="n">
        <f aca="false">I5/H5-1</f>
        <v>-0.000337174716713018</v>
      </c>
      <c r="J12" s="8" t="n">
        <f aca="false">J5/I5-1</f>
        <v>-0.292332710955851</v>
      </c>
      <c r="K12" s="8" t="n">
        <f aca="false">K5/J5-1</f>
        <v>-0.49774456567995</v>
      </c>
      <c r="L12" s="8" t="n">
        <f aca="false">L5/K5-1</f>
        <v>-0.850437199213719</v>
      </c>
    </row>
    <row r="13" customFormat="false" ht="15" hidden="false" customHeight="false" outlineLevel="0" collapsed="false">
      <c r="A13" s="4" t="s">
        <v>23</v>
      </c>
      <c r="D13" s="8" t="n">
        <f aca="false">D7/C7-1</f>
        <v>-0.655434782608696</v>
      </c>
      <c r="E13" s="8" t="n">
        <f aca="false">E7/D7-1</f>
        <v>1.86309148264984</v>
      </c>
      <c r="F13" s="8" t="n">
        <f aca="false">F7/E7-1</f>
        <v>-0.117452622300573</v>
      </c>
      <c r="G13" s="8" t="n">
        <f aca="false">G7/F7-1</f>
        <v>-0.760299625468165</v>
      </c>
      <c r="H13" s="8" t="n">
        <f aca="false">H7/G7-1</f>
        <v>1.66458333333333</v>
      </c>
      <c r="I13" s="8" t="n">
        <f aca="false">I7/H7-1</f>
        <v>0.463252541047694</v>
      </c>
      <c r="J13" s="8" t="n">
        <f aca="false">J7/I7-1</f>
        <v>0.20384718140529</v>
      </c>
      <c r="K13" s="8" t="n">
        <f aca="false">K7/J7-1</f>
        <v>-0.434309809143364</v>
      </c>
      <c r="L13" s="8" t="n">
        <f aca="false">L7/K7-1</f>
        <v>-0.599450765005885</v>
      </c>
    </row>
    <row r="14" customFormat="false" ht="15" hidden="false" customHeight="false" outlineLevel="0" collapsed="false">
      <c r="A14" s="4" t="s">
        <v>24</v>
      </c>
      <c r="D14" s="8" t="n">
        <f aca="false">D8/C8-1</f>
        <v>0.322564098190276</v>
      </c>
      <c r="E14" s="8" t="n">
        <f aca="false">E8/D8-1</f>
        <v>-0.076740809528021</v>
      </c>
      <c r="F14" s="8" t="n">
        <f aca="false">F8/E8-1</f>
        <v>0.11731120007344</v>
      </c>
      <c r="G14" s="8" t="n">
        <f aca="false">G8/F8-1</f>
        <v>-0.333983485422483</v>
      </c>
      <c r="H14" s="8" t="n">
        <f aca="false">H8/G8-1</f>
        <v>-0.280666537939616</v>
      </c>
      <c r="I14" s="8" t="n">
        <f aca="false">I8/H8-1</f>
        <v>-0.153856908247321</v>
      </c>
      <c r="J14" s="8" t="n">
        <f aca="false">J8/I8-1</f>
        <v>-0.294087452303951</v>
      </c>
      <c r="K14" s="8" t="n">
        <f aca="false">K8/J8-1</f>
        <v>-0.123033471171101</v>
      </c>
      <c r="L14" s="8" t="n">
        <f aca="false">L8/K8-1</f>
        <v>-0.343403249798934</v>
      </c>
    </row>
    <row r="16" customFormat="false" ht="15" hidden="false" customHeight="false" outlineLevel="0" collapsed="false">
      <c r="A16" s="6" t="s">
        <v>25</v>
      </c>
    </row>
    <row r="17" customFormat="false" ht="15" hidden="false" customHeight="false" outlineLevel="0" collapsed="false">
      <c r="A17" s="4" t="s">
        <v>26</v>
      </c>
      <c r="L17" s="5" t="n">
        <v>16115725</v>
      </c>
    </row>
    <row r="18" customFormat="false" ht="15" hidden="false" customHeight="false" outlineLevel="0" collapsed="false">
      <c r="A18" s="4" t="s">
        <v>27</v>
      </c>
      <c r="L18" s="8" t="n">
        <f aca="false">L8/L17</f>
        <v>0.0114487557959695</v>
      </c>
    </row>
    <row r="19" customFormat="false" ht="15" hidden="false" customHeight="false" outlineLevel="0" collapsed="false">
      <c r="A19" s="4" t="s">
        <v>28</v>
      </c>
      <c r="L19" s="5" t="n">
        <v>493829</v>
      </c>
    </row>
    <row r="20" customFormat="false" ht="15" hidden="false" customHeight="false" outlineLevel="0" collapsed="false">
      <c r="A20" s="4" t="s">
        <v>29</v>
      </c>
      <c r="L20" s="8" t="n">
        <f aca="false">L7/L19</f>
        <v>0.00206751729849806</v>
      </c>
    </row>
    <row r="22" customFormat="false" ht="15" hidden="false" customHeight="false" outlineLevel="0" collapsed="false">
      <c r="A22" s="2" t="s">
        <v>30</v>
      </c>
    </row>
    <row r="23" customFormat="false" ht="15" hidden="false" customHeight="false" outlineLevel="0" collapsed="false">
      <c r="A23" s="2" t="s">
        <v>31</v>
      </c>
    </row>
    <row r="24" customFormat="false" ht="15" hidden="false" customHeight="false" outlineLevel="0" collapsed="false">
      <c r="A24" s="2" t="s">
        <v>32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1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4"/>
    <col collapsed="false" customWidth="true" hidden="false" outlineLevel="0" max="2" min="2" style="0" width="14"/>
    <col collapsed="false" customWidth="true" hidden="false" outlineLevel="0" max="4" min="3" style="0" width="16"/>
    <col collapsed="false" customWidth="true" hidden="false" outlineLevel="0" max="5" min="5" style="0" width="10"/>
  </cols>
  <sheetData>
    <row r="1" customFormat="false" ht="15" hidden="false" customHeight="false" outlineLevel="0" collapsed="false">
      <c r="A1" s="1" t="s">
        <v>33</v>
      </c>
    </row>
    <row r="2" customFormat="false" ht="15" hidden="false" customHeight="false" outlineLevel="0" collapsed="false">
      <c r="A2" s="2" t="s">
        <v>34</v>
      </c>
    </row>
    <row r="4" customFormat="false" ht="15" hidden="false" customHeight="false" outlineLevel="0" collapsed="false">
      <c r="A4" s="3" t="s">
        <v>35</v>
      </c>
      <c r="B4" s="3" t="s">
        <v>36</v>
      </c>
      <c r="C4" s="3" t="s">
        <v>12</v>
      </c>
      <c r="D4" s="3" t="s">
        <v>13</v>
      </c>
      <c r="E4" s="3" t="s">
        <v>37</v>
      </c>
    </row>
    <row r="5" customFormat="false" ht="15" hidden="false" customHeight="false" outlineLevel="0" collapsed="false">
      <c r="A5" s="4" t="s">
        <v>38</v>
      </c>
      <c r="B5" s="4" t="s">
        <v>39</v>
      </c>
      <c r="C5" s="5" t="n">
        <v>4191747.04</v>
      </c>
      <c r="D5" s="5" t="n">
        <v>1672874.13</v>
      </c>
      <c r="E5" s="8" t="n">
        <f aca="false">D5/C5-1</f>
        <v>-0.600912432444874</v>
      </c>
    </row>
    <row r="6" customFormat="false" ht="15" hidden="false" customHeight="false" outlineLevel="0" collapsed="false">
      <c r="A6" s="4" t="s">
        <v>38</v>
      </c>
      <c r="B6" s="4" t="s">
        <v>40</v>
      </c>
      <c r="C6" s="5" t="n">
        <v>790084.5</v>
      </c>
      <c r="D6" s="5" t="n">
        <v>108372.96</v>
      </c>
      <c r="E6" s="8" t="n">
        <f aca="false">D6/C6-1</f>
        <v>-0.862833709558914</v>
      </c>
    </row>
    <row r="7" customFormat="false" ht="15" hidden="false" customHeight="false" outlineLevel="0" collapsed="false">
      <c r="A7" s="4" t="s">
        <v>41</v>
      </c>
      <c r="B7" s="4" t="s">
        <v>42</v>
      </c>
      <c r="C7" s="5" t="n">
        <v>4554211.55</v>
      </c>
      <c r="D7" s="5" t="n">
        <v>2475202.58</v>
      </c>
      <c r="E7" s="8" t="n">
        <f aca="false">D7/C7-1</f>
        <v>-0.456502502612115</v>
      </c>
    </row>
    <row r="8" customFormat="false" ht="15" hidden="false" customHeight="false" outlineLevel="0" collapsed="false">
      <c r="A8" s="6" t="s">
        <v>43</v>
      </c>
      <c r="C8" s="9" t="n">
        <f aca="false">C5+C6</f>
        <v>4981831.54</v>
      </c>
      <c r="D8" s="9" t="n">
        <f aca="false">D5+D6</f>
        <v>1781247.09</v>
      </c>
      <c r="E8" s="10" t="n">
        <f aca="false">D8/C8-1</f>
        <v>-0.64245136036856</v>
      </c>
    </row>
    <row r="9" customFormat="false" ht="15" hidden="false" customHeight="false" outlineLevel="0" collapsed="false">
      <c r="A9" s="4" t="s">
        <v>44</v>
      </c>
      <c r="C9" s="5" t="n">
        <v>1198995518.22</v>
      </c>
      <c r="D9" s="5" t="n">
        <v>1076200631.44</v>
      </c>
      <c r="E9" s="8" t="n">
        <f aca="false">D9/C9-1</f>
        <v>-0.102414800484241</v>
      </c>
    </row>
    <row r="10" customFormat="false" ht="15" hidden="false" customHeight="false" outlineLevel="0" collapsed="false">
      <c r="A10" s="4" t="s">
        <v>45</v>
      </c>
      <c r="C10" s="8" t="n">
        <f aca="false">C8/C9</f>
        <v>0.00415500430510025</v>
      </c>
      <c r="D10" s="8" t="n">
        <f aca="false">D8/D9</f>
        <v>0.00165512548307709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4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8"/>
    <col collapsed="false" customWidth="true" hidden="false" outlineLevel="0" max="2" min="2" style="0" width="18"/>
    <col collapsed="false" customWidth="true" hidden="false" outlineLevel="0" max="3" min="3" style="0" width="12"/>
    <col collapsed="false" customWidth="true" hidden="false" outlineLevel="0" max="4" min="4" style="0" width="8"/>
  </cols>
  <sheetData>
    <row r="1" customFormat="false" ht="15" hidden="false" customHeight="false" outlineLevel="0" collapsed="false">
      <c r="A1" s="1" t="s">
        <v>46</v>
      </c>
    </row>
    <row r="2" customFormat="false" ht="15" hidden="false" customHeight="false" outlineLevel="0" collapsed="false">
      <c r="A2" s="2" t="s">
        <v>47</v>
      </c>
    </row>
    <row r="4" customFormat="false" ht="15" hidden="false" customHeight="false" outlineLevel="0" collapsed="false">
      <c r="A4" s="3" t="s">
        <v>48</v>
      </c>
      <c r="B4" s="3" t="s">
        <v>49</v>
      </c>
      <c r="C4" s="3" t="s">
        <v>37</v>
      </c>
      <c r="D4" s="3" t="s">
        <v>50</v>
      </c>
    </row>
    <row r="5" customFormat="false" ht="15" hidden="false" customHeight="false" outlineLevel="0" collapsed="false">
      <c r="A5" s="4" t="s">
        <v>4</v>
      </c>
      <c r="B5" s="5" t="n">
        <v>28357763.27</v>
      </c>
      <c r="D5" s="5" t="n">
        <v>12</v>
      </c>
    </row>
    <row r="6" customFormat="false" ht="15" hidden="false" customHeight="false" outlineLevel="0" collapsed="false">
      <c r="A6" s="4" t="s">
        <v>5</v>
      </c>
      <c r="B6" s="5" t="n">
        <v>28296807.86</v>
      </c>
      <c r="C6" s="8" t="n">
        <f aca="false">B6/B5-1</f>
        <v>-0.00214951402970787</v>
      </c>
      <c r="D6" s="5" t="n">
        <v>12</v>
      </c>
    </row>
    <row r="7" customFormat="false" ht="15" hidden="false" customHeight="false" outlineLevel="0" collapsed="false">
      <c r="A7" s="4" t="s">
        <v>6</v>
      </c>
      <c r="B7" s="5" t="n">
        <v>51685255.96</v>
      </c>
      <c r="C7" s="8" t="n">
        <f aca="false">B7/B6-1</f>
        <v>0.826540160138049</v>
      </c>
      <c r="D7" s="5" t="n">
        <v>12</v>
      </c>
    </row>
    <row r="8" customFormat="false" ht="15" hidden="false" customHeight="false" outlineLevel="0" collapsed="false">
      <c r="A8" s="4" t="s">
        <v>7</v>
      </c>
      <c r="B8" s="5" t="n">
        <v>50041143</v>
      </c>
      <c r="C8" s="8" t="n">
        <f aca="false">B8/B7-1</f>
        <v>-0.0318100961185605</v>
      </c>
      <c r="D8" s="5" t="n">
        <v>12</v>
      </c>
    </row>
    <row r="9" customFormat="false" ht="15" hidden="false" customHeight="false" outlineLevel="0" collapsed="false">
      <c r="A9" s="4" t="s">
        <v>8</v>
      </c>
      <c r="B9" s="5" t="n">
        <v>19364247.88</v>
      </c>
      <c r="C9" s="8" t="n">
        <f aca="false">B9/B8-1</f>
        <v>-0.613033461685717</v>
      </c>
      <c r="D9" s="5" t="n">
        <v>12</v>
      </c>
    </row>
    <row r="10" customFormat="false" ht="15" hidden="false" customHeight="false" outlineLevel="0" collapsed="false">
      <c r="A10" s="4" t="s">
        <v>9</v>
      </c>
      <c r="B10" s="5" t="n">
        <v>37693664.4</v>
      </c>
      <c r="C10" s="8" t="n">
        <f aca="false">B10/B9-1</f>
        <v>0.946559692562663</v>
      </c>
      <c r="D10" s="5" t="n">
        <v>12</v>
      </c>
    </row>
    <row r="11" customFormat="false" ht="15" hidden="false" customHeight="false" outlineLevel="0" collapsed="false">
      <c r="A11" s="4" t="s">
        <v>10</v>
      </c>
      <c r="B11" s="5" t="n">
        <v>64061448.83</v>
      </c>
      <c r="C11" s="8" t="n">
        <f aca="false">B11/B10-1</f>
        <v>0.699528285448416</v>
      </c>
      <c r="D11" s="5" t="n">
        <v>12</v>
      </c>
    </row>
    <row r="12" customFormat="false" ht="15" hidden="false" customHeight="false" outlineLevel="0" collapsed="false">
      <c r="A12" s="4" t="s">
        <v>11</v>
      </c>
      <c r="B12" s="5" t="n">
        <v>54520491.44</v>
      </c>
      <c r="C12" s="8" t="n">
        <f aca="false">B12/B11-1</f>
        <v>-0.148934461587325</v>
      </c>
      <c r="D12" s="5" t="n">
        <v>12</v>
      </c>
    </row>
    <row r="13" customFormat="false" ht="15" hidden="false" customHeight="false" outlineLevel="0" collapsed="false">
      <c r="A13" s="4" t="s">
        <v>12</v>
      </c>
      <c r="B13" s="5" t="n">
        <v>60471686.21</v>
      </c>
      <c r="C13" s="8" t="n">
        <f aca="false">B13/B12-1</f>
        <v>0.109155193080923</v>
      </c>
      <c r="D13" s="5" t="n">
        <v>12</v>
      </c>
    </row>
    <row r="14" customFormat="false" ht="15" hidden="false" customHeight="false" outlineLevel="0" collapsed="false">
      <c r="A14" s="4" t="s">
        <v>13</v>
      </c>
      <c r="B14" s="5" t="n">
        <v>55347615.25</v>
      </c>
      <c r="C14" s="8" t="n">
        <f aca="false">B14/B13-1</f>
        <v>-0.0847350434748196</v>
      </c>
      <c r="D14" s="5" t="n">
        <v>12</v>
      </c>
    </row>
    <row r="15" customFormat="false" ht="15" hidden="false" customHeight="false" outlineLevel="0" collapsed="false">
      <c r="A15" s="4" t="s">
        <v>51</v>
      </c>
      <c r="B15" s="5" t="n">
        <v>33312135</v>
      </c>
      <c r="C15" s="8" t="n">
        <f aca="false">B15/B14-1</f>
        <v>-0.398128810978898</v>
      </c>
      <c r="D15" s="5" t="n">
        <v>7</v>
      </c>
    </row>
    <row r="17" customFormat="false" ht="15" hidden="false" customHeight="false" outlineLevel="0" collapsed="false">
      <c r="A17" s="4" t="s">
        <v>52</v>
      </c>
      <c r="B17" s="11" t="n">
        <v>2199.72</v>
      </c>
    </row>
    <row r="18" customFormat="false" ht="15" hidden="false" customHeight="false" outlineLevel="0" collapsed="false">
      <c r="A18" s="6" t="s">
        <v>53</v>
      </c>
      <c r="B18" s="10" t="n">
        <f aca="false">B14/1000000/B17</f>
        <v>0.0251612092675431</v>
      </c>
    </row>
    <row r="19" customFormat="false" ht="15" hidden="false" customHeight="false" outlineLevel="0" collapsed="false">
      <c r="A19" s="4" t="s">
        <v>54</v>
      </c>
      <c r="B19" s="11" t="n">
        <v>52.03</v>
      </c>
    </row>
    <row r="21" customFormat="false" ht="15" hidden="false" customHeight="false" outlineLevel="0" collapsed="false">
      <c r="A21" s="3" t="s">
        <v>55</v>
      </c>
      <c r="B21" s="3" t="s">
        <v>56</v>
      </c>
    </row>
    <row r="22" customFormat="false" ht="15" hidden="false" customHeight="false" outlineLevel="0" collapsed="false">
      <c r="A22" s="4" t="s">
        <v>57</v>
      </c>
      <c r="B22" s="5" t="n">
        <v>5915664.28</v>
      </c>
    </row>
    <row r="23" customFormat="false" ht="15" hidden="false" customHeight="false" outlineLevel="0" collapsed="false">
      <c r="A23" s="4" t="s">
        <v>58</v>
      </c>
      <c r="B23" s="5" t="n">
        <v>5746657.08</v>
      </c>
    </row>
    <row r="24" customFormat="false" ht="15" hidden="false" customHeight="false" outlineLevel="0" collapsed="false">
      <c r="A24" s="4" t="s">
        <v>59</v>
      </c>
      <c r="B24" s="5" t="n">
        <v>6192526.03</v>
      </c>
    </row>
    <row r="25" customFormat="false" ht="15" hidden="false" customHeight="false" outlineLevel="0" collapsed="false">
      <c r="A25" s="4" t="s">
        <v>60</v>
      </c>
      <c r="B25" s="5" t="n">
        <v>5788220.8</v>
      </c>
    </row>
    <row r="26" customFormat="false" ht="15" hidden="false" customHeight="false" outlineLevel="0" collapsed="false">
      <c r="A26" s="4" t="s">
        <v>61</v>
      </c>
      <c r="B26" s="5" t="n">
        <v>4266180</v>
      </c>
    </row>
    <row r="27" customFormat="false" ht="15" hidden="false" customHeight="false" outlineLevel="0" collapsed="false">
      <c r="A27" s="4" t="s">
        <v>62</v>
      </c>
      <c r="B27" s="5" t="n">
        <v>4427119.79</v>
      </c>
    </row>
    <row r="28" customFormat="false" ht="15" hidden="false" customHeight="false" outlineLevel="0" collapsed="false">
      <c r="A28" s="4" t="s">
        <v>63</v>
      </c>
      <c r="B28" s="5" t="n">
        <v>5211032.96</v>
      </c>
    </row>
    <row r="29" customFormat="false" ht="15" hidden="false" customHeight="false" outlineLevel="0" collapsed="false">
      <c r="A29" s="4" t="s">
        <v>64</v>
      </c>
      <c r="B29" s="5" t="n">
        <v>4401952.92</v>
      </c>
    </row>
    <row r="30" customFormat="false" ht="15" hidden="false" customHeight="false" outlineLevel="0" collapsed="false">
      <c r="A30" s="4" t="s">
        <v>65</v>
      </c>
      <c r="B30" s="5" t="n">
        <v>3868173.87</v>
      </c>
    </row>
    <row r="31" customFormat="false" ht="15" hidden="false" customHeight="false" outlineLevel="0" collapsed="false">
      <c r="A31" s="4" t="s">
        <v>66</v>
      </c>
      <c r="B31" s="5" t="n">
        <v>3484376.57</v>
      </c>
    </row>
    <row r="32" customFormat="false" ht="15" hidden="false" customHeight="false" outlineLevel="0" collapsed="false">
      <c r="A32" s="4" t="s">
        <v>67</v>
      </c>
      <c r="B32" s="5" t="n">
        <v>2731131.91</v>
      </c>
    </row>
    <row r="33" customFormat="false" ht="15" hidden="false" customHeight="false" outlineLevel="0" collapsed="false">
      <c r="A33" s="4" t="s">
        <v>68</v>
      </c>
      <c r="B33" s="5" t="n">
        <v>3314579.04</v>
      </c>
    </row>
    <row r="34" customFormat="false" ht="15" hidden="false" customHeight="false" outlineLevel="0" collapsed="false">
      <c r="A34" s="6" t="s">
        <v>69</v>
      </c>
      <c r="B34" s="9" t="n">
        <f aca="false">SUM(B22:B33)</f>
        <v>55347615.25</v>
      </c>
    </row>
    <row r="35" customFormat="false" ht="15" hidden="false" customHeight="false" outlineLevel="0" collapsed="false">
      <c r="A35" s="4" t="s">
        <v>70</v>
      </c>
      <c r="B35" s="12" t="n">
        <f aca="false">B34-B14</f>
        <v>0</v>
      </c>
    </row>
    <row r="36" customFormat="false" ht="15" hidden="false" customHeight="false" outlineLevel="0" collapsed="false">
      <c r="A36" s="4" t="s">
        <v>71</v>
      </c>
      <c r="B36" s="7" t="n">
        <f aca="false">SUM(B22:B27)</f>
        <v>32336367.98</v>
      </c>
    </row>
    <row r="37" customFormat="false" ht="15" hidden="false" customHeight="false" outlineLevel="0" collapsed="false">
      <c r="A37" s="4" t="s">
        <v>72</v>
      </c>
      <c r="B37" s="7" t="n">
        <f aca="false">SUM(B28:B33)</f>
        <v>23011247.27</v>
      </c>
    </row>
    <row r="38" customFormat="false" ht="15" hidden="false" customHeight="false" outlineLevel="0" collapsed="false">
      <c r="A38" s="4" t="s">
        <v>73</v>
      </c>
      <c r="B38" s="8" t="n">
        <f aca="false">B37/B36-1</f>
        <v>-0.288378729354131</v>
      </c>
    </row>
    <row r="40" customFormat="false" ht="15" hidden="false" customHeight="false" outlineLevel="0" collapsed="false">
      <c r="A40" s="3" t="s">
        <v>74</v>
      </c>
      <c r="B40" s="3" t="s">
        <v>56</v>
      </c>
      <c r="C40" s="3" t="s">
        <v>75</v>
      </c>
    </row>
    <row r="41" customFormat="false" ht="15" hidden="false" customHeight="false" outlineLevel="0" collapsed="false">
      <c r="A41" s="4" t="s">
        <v>76</v>
      </c>
      <c r="B41" s="5" t="n">
        <v>26020028.22</v>
      </c>
      <c r="C41" s="8" t="n">
        <f aca="false">B41/$B$46</f>
        <v>0.470120132592343</v>
      </c>
    </row>
    <row r="42" customFormat="false" ht="15" hidden="false" customHeight="false" outlineLevel="0" collapsed="false">
      <c r="A42" s="4" t="s">
        <v>77</v>
      </c>
      <c r="B42" s="5" t="n">
        <v>24727232.07</v>
      </c>
      <c r="C42" s="8" t="n">
        <f aca="false">B42/$B$46</f>
        <v>0.446762375547879</v>
      </c>
    </row>
    <row r="43" customFormat="false" ht="15" hidden="false" customHeight="false" outlineLevel="0" collapsed="false">
      <c r="A43" s="4" t="s">
        <v>78</v>
      </c>
      <c r="B43" s="5" t="n">
        <v>2767380.76</v>
      </c>
      <c r="C43" s="8" t="n">
        <f aca="false">B43/$B$46</f>
        <v>0.0499999999548309</v>
      </c>
    </row>
    <row r="44" customFormat="false" ht="15" hidden="false" customHeight="false" outlineLevel="0" collapsed="false">
      <c r="A44" s="4" t="s">
        <v>79</v>
      </c>
      <c r="B44" s="5" t="n">
        <v>1574155.59</v>
      </c>
      <c r="C44" s="8" t="n">
        <f aca="false">B44/$B$46</f>
        <v>0.0284412541152801</v>
      </c>
    </row>
    <row r="45" customFormat="false" ht="15" hidden="false" customHeight="false" outlineLevel="0" collapsed="false">
      <c r="A45" s="4" t="s">
        <v>80</v>
      </c>
      <c r="B45" s="5" t="n">
        <v>258818.61</v>
      </c>
      <c r="C45" s="8" t="n">
        <f aca="false">B45/$B$46</f>
        <v>0.00467623778966701</v>
      </c>
    </row>
    <row r="46" customFormat="false" ht="15" hidden="false" customHeight="false" outlineLevel="0" collapsed="false">
      <c r="A46" s="6" t="s">
        <v>81</v>
      </c>
      <c r="B46" s="9" t="n">
        <f aca="false">SUM(B41:B45)</f>
        <v>55347615.25</v>
      </c>
    </row>
    <row r="48" customFormat="false" ht="15" hidden="false" customHeight="false" outlineLevel="0" collapsed="false">
      <c r="A48" s="2" t="s">
        <v>82</v>
      </c>
    </row>
    <row r="49" customFormat="false" ht="15" hidden="false" customHeight="false" outlineLevel="0" collapsed="false">
      <c r="A49" s="2" t="s">
        <v>83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1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6"/>
    <col collapsed="false" customWidth="true" hidden="false" outlineLevel="0" max="2" min="2" style="0" width="20"/>
    <col collapsed="false" customWidth="true" hidden="false" outlineLevel="0" max="4" min="3" style="0" width="16"/>
    <col collapsed="false" customWidth="true" hidden="false" outlineLevel="0" max="6" min="5" style="0" width="14"/>
  </cols>
  <sheetData>
    <row r="1" customFormat="false" ht="15" hidden="false" customHeight="false" outlineLevel="0" collapsed="false">
      <c r="A1" s="1" t="s">
        <v>84</v>
      </c>
    </row>
    <row r="2" customFormat="false" ht="15" hidden="false" customHeight="false" outlineLevel="0" collapsed="false">
      <c r="A2" s="2" t="s">
        <v>85</v>
      </c>
    </row>
    <row r="4" customFormat="false" ht="23.85" hidden="false" customHeight="false" outlineLevel="0" collapsed="false">
      <c r="A4" s="3" t="s">
        <v>35</v>
      </c>
      <c r="B4" s="3" t="s">
        <v>86</v>
      </c>
      <c r="C4" s="3" t="s">
        <v>87</v>
      </c>
      <c r="D4" s="3" t="s">
        <v>88</v>
      </c>
      <c r="E4" s="3" t="s">
        <v>89</v>
      </c>
      <c r="F4" s="3" t="s">
        <v>90</v>
      </c>
    </row>
    <row r="5" customFormat="false" ht="15" hidden="false" customHeight="false" outlineLevel="0" collapsed="false">
      <c r="A5" s="4" t="s">
        <v>91</v>
      </c>
      <c r="B5" s="5" t="n">
        <v>62901354.4</v>
      </c>
      <c r="C5" s="5" t="n">
        <v>50321083.53</v>
      </c>
      <c r="D5" s="5" t="n">
        <v>12580270.87</v>
      </c>
      <c r="E5" s="8" t="n">
        <f aca="false">IF(B5=0,"",D5/B5)</f>
        <v>0.199999999841021</v>
      </c>
      <c r="F5" s="8" t="n">
        <f aca="false">D5/$D$10</f>
        <v>0.808699862755981</v>
      </c>
    </row>
    <row r="6" customFormat="false" ht="15" hidden="false" customHeight="false" outlineLevel="0" collapsed="false">
      <c r="A6" s="4" t="s">
        <v>92</v>
      </c>
      <c r="B6" s="5" t="n">
        <v>12317500.18</v>
      </c>
      <c r="C6" s="5" t="n">
        <v>9854000.16</v>
      </c>
      <c r="D6" s="5" t="n">
        <v>2463500.03</v>
      </c>
      <c r="E6" s="8" t="n">
        <f aca="false">IF(B6=0,"",D6/B6)</f>
        <v>0.199999999512888</v>
      </c>
      <c r="F6" s="8" t="n">
        <f aca="false">D6/$D$10</f>
        <v>0.158361624860654</v>
      </c>
    </row>
    <row r="7" customFormat="false" ht="15" hidden="false" customHeight="false" outlineLevel="0" collapsed="false">
      <c r="A7" s="4" t="s">
        <v>38</v>
      </c>
      <c r="B7" s="5" t="n">
        <v>709196.95</v>
      </c>
      <c r="C7" s="5" t="n">
        <v>141839.39</v>
      </c>
      <c r="D7" s="5" t="n">
        <v>567357.56</v>
      </c>
      <c r="E7" s="8" t="n">
        <f aca="false">IF(B7=0,"",D7/B7)</f>
        <v>0.8</v>
      </c>
      <c r="F7" s="8" t="n">
        <f aca="false">D7/$D$10</f>
        <v>0.0364715502270873</v>
      </c>
    </row>
    <row r="8" customFormat="false" ht="15" hidden="false" customHeight="false" outlineLevel="0" collapsed="false">
      <c r="A8" s="4" t="s">
        <v>93</v>
      </c>
      <c r="B8" s="5" t="n">
        <v>0</v>
      </c>
      <c r="C8" s="5" t="n">
        <v>0</v>
      </c>
      <c r="D8" s="5" t="n">
        <v>0</v>
      </c>
      <c r="E8" s="8" t="str">
        <f aca="false">IF(B8=0,"",D8/B8)</f>
        <v/>
      </c>
      <c r="F8" s="8" t="n">
        <f aca="false">D8/$D$10</f>
        <v>0</v>
      </c>
    </row>
    <row r="9" customFormat="false" ht="15" hidden="false" customHeight="false" outlineLevel="0" collapsed="false">
      <c r="A9" s="4" t="s">
        <v>94</v>
      </c>
      <c r="B9" s="5" t="n">
        <v>-274802.67</v>
      </c>
      <c r="C9" s="5" t="n">
        <v>-220235.63</v>
      </c>
      <c r="D9" s="5" t="n">
        <v>-54960.53</v>
      </c>
      <c r="E9" s="8" t="n">
        <f aca="false">IF(B9=0,"",D9/B9)</f>
        <v>0.199999985444101</v>
      </c>
      <c r="F9" s="8" t="n">
        <f aca="false">D9/$D$10</f>
        <v>-0.00353303784372299</v>
      </c>
    </row>
    <row r="10" customFormat="false" ht="15" hidden="false" customHeight="false" outlineLevel="0" collapsed="false">
      <c r="A10" s="6" t="s">
        <v>81</v>
      </c>
      <c r="B10" s="9" t="n">
        <f aca="false">SUM(B5:B9)</f>
        <v>75653248.86</v>
      </c>
      <c r="C10" s="9" t="n">
        <f aca="false">SUM(C5:C9)</f>
        <v>60096687.45</v>
      </c>
      <c r="D10" s="9" t="n">
        <f aca="false">SUM(D5:D9)</f>
        <v>15556167.93</v>
      </c>
    </row>
    <row r="12" customFormat="false" ht="15" hidden="false" customHeight="false" outlineLevel="0" collapsed="false">
      <c r="A12" s="2" t="s">
        <v>95</v>
      </c>
    </row>
    <row r="13" customFormat="false" ht="15" hidden="false" customHeight="false" outlineLevel="0" collapsed="false">
      <c r="A13" s="2" t="s">
        <v>96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4"/>
    <col collapsed="false" customWidth="true" hidden="false" outlineLevel="0" max="2" min="2" style="0" width="22"/>
    <col collapsed="false" customWidth="true" hidden="false" outlineLevel="0" max="3" min="3" style="0" width="12"/>
  </cols>
  <sheetData>
    <row r="1" customFormat="false" ht="15" hidden="false" customHeight="false" outlineLevel="0" collapsed="false">
      <c r="A1" s="1" t="s">
        <v>97</v>
      </c>
    </row>
    <row r="2" customFormat="false" ht="15" hidden="false" customHeight="false" outlineLevel="0" collapsed="false">
      <c r="A2" s="2" t="s">
        <v>98</v>
      </c>
    </row>
    <row r="4" customFormat="false" ht="23.85" hidden="false" customHeight="false" outlineLevel="0" collapsed="false">
      <c r="A4" s="3" t="s">
        <v>48</v>
      </c>
      <c r="B4" s="3" t="s">
        <v>99</v>
      </c>
      <c r="C4" s="3" t="s">
        <v>100</v>
      </c>
    </row>
    <row r="5" customFormat="false" ht="15" hidden="false" customHeight="false" outlineLevel="0" collapsed="false">
      <c r="A5" s="4" t="s">
        <v>101</v>
      </c>
      <c r="B5" s="13" t="n">
        <v>0.6</v>
      </c>
      <c r="C5" s="13" t="n">
        <v>1</v>
      </c>
    </row>
    <row r="6" customFormat="false" ht="15" hidden="false" customHeight="false" outlineLevel="0" collapsed="false">
      <c r="A6" s="4" t="s">
        <v>102</v>
      </c>
      <c r="B6" s="13" t="n">
        <v>0.1</v>
      </c>
      <c r="C6" s="13" t="n">
        <v>0.8</v>
      </c>
    </row>
    <row r="8" customFormat="false" ht="15" hidden="false" customHeight="false" outlineLevel="0" collapsed="false">
      <c r="A8" s="2" t="s">
        <v>103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8"/>
    <col collapsed="false" customWidth="true" hidden="false" outlineLevel="0" max="2" min="2" style="0" width="34"/>
    <col collapsed="false" customWidth="true" hidden="false" outlineLevel="0" max="7" min="3" style="0" width="12"/>
    <col collapsed="false" customWidth="true" hidden="false" outlineLevel="0" max="8" min="8" style="0" width="34"/>
  </cols>
  <sheetData>
    <row r="1" customFormat="false" ht="15" hidden="false" customHeight="false" outlineLevel="0" collapsed="false">
      <c r="A1" s="1" t="s">
        <v>104</v>
      </c>
    </row>
    <row r="2" customFormat="false" ht="15" hidden="false" customHeight="false" outlineLevel="0" collapsed="false">
      <c r="A2" s="2" t="s">
        <v>105</v>
      </c>
    </row>
    <row r="4" customFormat="false" ht="23.85" hidden="false" customHeight="false" outlineLevel="0" collapsed="false">
      <c r="A4" s="3" t="s">
        <v>35</v>
      </c>
      <c r="B4" s="3" t="s">
        <v>106</v>
      </c>
      <c r="C4" s="3" t="s">
        <v>107</v>
      </c>
      <c r="D4" s="3" t="s">
        <v>108</v>
      </c>
      <c r="E4" s="3" t="s">
        <v>109</v>
      </c>
      <c r="F4" s="3" t="s">
        <v>110</v>
      </c>
      <c r="G4" s="3" t="s">
        <v>111</v>
      </c>
      <c r="H4" s="3" t="s">
        <v>112</v>
      </c>
    </row>
    <row r="5" customFormat="false" ht="15" hidden="false" customHeight="false" outlineLevel="0" collapsed="false">
      <c r="A5" s="4" t="s">
        <v>38</v>
      </c>
      <c r="B5" s="4" t="s">
        <v>113</v>
      </c>
      <c r="C5" s="5" t="n">
        <v>100</v>
      </c>
      <c r="D5" s="4" t="s">
        <v>114</v>
      </c>
      <c r="E5" s="4" t="s">
        <v>115</v>
      </c>
      <c r="F5" s="13" t="n">
        <v>16630</v>
      </c>
      <c r="G5" s="4" t="s">
        <v>116</v>
      </c>
      <c r="H5" s="4" t="s">
        <v>117</v>
      </c>
    </row>
    <row r="6" customFormat="false" ht="15" hidden="false" customHeight="false" outlineLevel="0" collapsed="false">
      <c r="A6" s="4" t="s">
        <v>41</v>
      </c>
      <c r="B6" s="4" t="s">
        <v>118</v>
      </c>
      <c r="C6" s="5" t="n">
        <v>100</v>
      </c>
      <c r="D6" s="4" t="s">
        <v>119</v>
      </c>
      <c r="E6" s="4" t="s">
        <v>120</v>
      </c>
      <c r="F6" s="13" t="n">
        <v>15483.733</v>
      </c>
      <c r="G6" s="4" t="s">
        <v>121</v>
      </c>
      <c r="H6" s="4" t="s">
        <v>122</v>
      </c>
    </row>
    <row r="8" customFormat="false" ht="15" hidden="false" customHeight="false" outlineLevel="0" collapsed="false">
      <c r="A8" s="2" t="s">
        <v>123</v>
      </c>
    </row>
    <row r="9" customFormat="false" ht="15" hidden="false" customHeight="false" outlineLevel="0" collapsed="false">
      <c r="A9" s="2" t="s">
        <v>124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2026-10-19T16:33:15Z</dcterms:created>
  <dc:creator>openpyxl</dc:creator>
  <dc:description/>
  <dc:language>en-US</dc:language>
  <cp:lastModifiedBy/>
  <dcterms:modified xsi:type="dcterms:W3CDTF">2026-10-19T16:33:15Z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