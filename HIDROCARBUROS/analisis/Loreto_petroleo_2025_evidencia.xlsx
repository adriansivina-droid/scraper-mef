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xto_2025" sheetId="1" state="visible" r:id="rId3"/>
    <sheet name="Loreto_lotes_2016_2025" sheetId="2" state="visible" r:id="rId4"/>
    <sheet name="Petroleo_pais_2024_2025" sheetId="3" state="visible" r:id="rId5"/>
    <sheet name="Loreto_mensual_2025" sheetId="4" state="visible" r:id="rId6"/>
    <sheet name="Regalias_2024_2025" sheetId="5" state="visible" r:id="rId7"/>
    <sheet name="Canon_Loreto" sheetId="6" state="visible" r:id="rId8"/>
    <sheet name="Pozos" sheetId="7" state="visible" r:id="rId9"/>
    <sheet name="VAB_INEI" sheetId="8" state="visible" r:id="rId10"/>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C14" authorId="0">
      <text>
        <r>
          <rPr>
            <sz val="10"/>
            <rFont val="Arial"/>
            <family val="2"/>
          </rPr>
          <t xml:space="preserve">Promedio de los 12 meses del precio de canasta del Lote 95, Estadística Anual 2024.</t>
        </r>
      </text>
    </comment>
    <comment ref="C15" authorId="0">
      <text>
        <r>
          <rPr>
            <sz val="10"/>
            <rFont val="Arial"/>
            <family val="2"/>
          </rPr>
          <t xml:space="preserve">Valor 2024 del Lote 95 = Σ (barriles del mes × precio de canasta del mes), Estadística Anual 2024 (producción mensual pág. 28 y canasta pág. 76 del PDF). Cálculo propio.</t>
        </r>
      </text>
    </comment>
  </commentList>
</comments>
</file>

<file path=xl/sharedStrings.xml><?xml version="1.0" encoding="utf-8"?>
<sst xmlns="http://schemas.openxmlformats.org/spreadsheetml/2006/main" count="250" uniqueCount="183">
  <si>
    <t xml:space="preserve">Loreto 2025 · Extracción de petróleo: texto de análisis</t>
  </si>
  <si>
    <t xml:space="preserve">3. Extracción de petróleo crudo</t>
  </si>
  <si>
    <t xml:space="preserve">De acuerdo con el INEI, el valor agregado bruto (VAB) de la actividad extracción de petróleo, gas y minerales en Loreto creció 11,2 por ciento en 2025 (cifra estimada), a precios constantes de 2007, con lo cual se consolidó como la actividad de mayor peso en la economía regional, al representar el 23,2 por ciento del VAB de Loreto (21,9 por ciento en 2024). Este dinamismo aportó 2,5 puntos porcentuales al crecimiento de 4,9 por ciento del VAB regional; es decir, explicó cerca de la mitad (49,7 por ciento) de la expansión de la economía loretana en el año, por encima de administración pública y defensa y de manufactura (0,6 puntos porcentuales cada una).</t>
  </si>
  <si>
    <t xml:space="preserve">En 2025, la producción fiscalizada de petróleo crudo en Loreto ascendió a 7,9 millones de barriles, equivalente a un promedio de 21,7 mil barriles diarios, lo que significó un crecimiento de 22,9 por ciento respecto a 2024 y el nivel más alto de los últimos diez años. Con ello, la región explicó el 49,1 por ciento de la producción nacional de crudo (43,2 por ciento en 2024), que creció 8,4 por ciento en el año; el aumento registrado en Loreto (1,5 millones de barriles) superó al incremento nacional, compensando la menor producción del resto del país.</t>
  </si>
  <si>
    <t xml:space="preserve">El Lote 95, operado por PetroTal, continuó como el principal lote productor de crudo a nivel nacional, con 6,8 millones de barriles (18,6 mil barriles diarios), 5,9 por ciento más que en 2024 y el 42,0 por ciento del total del país. No obstante, su producción mostró una trayectoria descendente a lo largo del año: pasó de 22,4 mil barriles diarios en enero a 14,7 mil barriles diarios en diciembre, de modo que en el segundo semestre fue 23,6 por ciento menor que en el primero. A ello se sumó la reactivación del Lote 8, que tras el nuevo contrato suscrito con Upland Oil and Gas (julio de 2024) aportó 1,1 millones de barriles (3,1 mil barriles diarios), frente a 35 mil barriles en 2024. Por su parte, el Lote 192, bajo contrato de licencia con Petroperú desde febrero de 2023, se mantuvo sin producción fiscalizada, situación que arrastra desde 2020; y el Lote 67, de Perenco, no registró producción en 2024 ni en 2025, siendo 2023 su último año con producción fiscalizada.</t>
  </si>
  <si>
    <t xml:space="preserve">En cuanto a precios, el valor de la canasta de referencia del Lote 95 promedió US$ 62,3 por barril, 17,1 por ciento menos que en 2024 (US$ 75,2 por barril), en línea con la menor cotización internacional del crudo. Como resultado, el valor de su producción se redujo 10,7 por ciento, a US$ 425,9 millones, pese al mayor volumen extraído.</t>
  </si>
  <si>
    <t xml:space="preserve">Las regalías pagadas al Estado por los lotes de Loreto sumaron US$ 34,4 millones, con un aumento de 24,1 por ciento interanual, explicado por el reinicio de operaciones del Lote 8 (US$ 10,0 millones). En contraste, las regalías del Lote 95 disminuyeron 10,8 por ciento, a US$ 24,4 millones, por el efecto precio; su regalía efectiva se mantuvo en 5,7 por ciento del valor de la producción, equivalente a US$ 3,6 por barril, por debajo de los US$ 8,8 por barril del Lote 8. A nivel nacional, las regalías se redujeron 10,2 por ciento, por lo que la participación de Loreto aumentó de 2,3 a 3,2 por ciento.</t>
  </si>
  <si>
    <t xml:space="preserve">Por su parte, el canon y sobrecanon petrolero transferido a Loreto ascendió a S/ 213,9 millones, 2,4 por ciento menos que en 2024 (S/ 219,1 millones), y representó el 9,7 por ciento del total distribuido en el país. Las transferencias mensuales mostraron una tendencia decreciente, desde S/ 23,2 millones en enero hasta S/ 12,0 millones en diciembre, con lo cual el monto del segundo semestre resultó 28,7 por ciento inferior al del primero, reflejando la menor producción del Lote 95 y la caída del precio del crudo.</t>
  </si>
  <si>
    <t xml:space="preserve">Finalmente, la actividad de perforación en la región fue limitada: en 2025 se perforó un solo pozo de desarrollo, en el Lote 95 (seis en 2024 y tres en 2023), y no se registraron pozos exploratorios ni confirmatorios en Loreto, en un contexto en el que a nivel nacional se perforaron 69 pozos de desarrollo y ningún pozo exploratorio. La menor perforación de desarrollo, sumada a la declinación observada en el segundo semestre, constituye un factor de riesgo para la producción regional en 2026.</t>
  </si>
  <si>
    <t xml:space="preserve">Fuente: INEI, Valor Agregado Bruto de Loreto por actividades económicas, valores a precios constantes de 2007 (cuadros 1 y 2, información disponible a junio de 2026; 2024 preliminar, 2025 estimado); PERUPETRO, Estadística Anual de Hidrocarburos 2024 y 2025 y Estadística Mensual de enero de 2026. Elaboración propia. Nota: para el canon de 2025 se utiliza la suma de las transferencias mensuales reportadas en la Estadística Mensual de enero de 2026 (información actualizada a diciembre de 2025), dado que la Estadística Anual 2025 consigna un monto parcial (S/ 20,2 millones).
</t>
  </si>
  <si>
    <t xml:space="preserve">Producción fiscalizada de petróleo en Loreto (Selva Norte), por lote, 2016–2025 (barriles)</t>
  </si>
  <si>
    <t xml:space="preserve">Fuente: PERUPETRO, Estadística Anual de Hidrocarburos 2025, «Producción fiscalizada de hidrocarburos líquidos – Selva Norte 2016–2025», pág. 33 del PDF (impresa: 29)</t>
  </si>
  <si>
    <t xml:space="preserve">Operador</t>
  </si>
  <si>
    <t xml:space="preserve">Lote</t>
  </si>
  <si>
    <t xml:space="preserve">2016</t>
  </si>
  <si>
    <t xml:space="preserve">2017</t>
  </si>
  <si>
    <t xml:space="preserve">2018</t>
  </si>
  <si>
    <t xml:space="preserve">2019</t>
  </si>
  <si>
    <t xml:space="preserve">2020</t>
  </si>
  <si>
    <t xml:space="preserve">2021</t>
  </si>
  <si>
    <t xml:space="preserve">2022</t>
  </si>
  <si>
    <t xml:space="preserve">2023</t>
  </si>
  <si>
    <t xml:space="preserve">2024</t>
  </si>
  <si>
    <t xml:space="preserve">2025</t>
  </si>
  <si>
    <t xml:space="preserve">Frontera (1)</t>
  </si>
  <si>
    <t xml:space="preserve">192</t>
  </si>
  <si>
    <t xml:space="preserve">Petroperú (2)</t>
  </si>
  <si>
    <t xml:space="preserve">Pluspetrol Norte</t>
  </si>
  <si>
    <t xml:space="preserve">8</t>
  </si>
  <si>
    <t xml:space="preserve">PPN en liquidación</t>
  </si>
  <si>
    <t xml:space="preserve">Upland Oil and Gas (4)</t>
  </si>
  <si>
    <t xml:space="preserve">Perenco</t>
  </si>
  <si>
    <t xml:space="preserve">67</t>
  </si>
  <si>
    <t xml:space="preserve">PetroTal (3)</t>
  </si>
  <si>
    <t xml:space="preserve">95</t>
  </si>
  <si>
    <t xml:space="preserve">Total Loreto (suma)</t>
  </si>
  <si>
    <t xml:space="preserve">Total según el PDF</t>
  </si>
  <si>
    <t xml:space="preserve">Control: diferencia (debe ser 0)</t>
  </si>
  <si>
    <t xml:space="preserve">Promedio diario (bpd, calculado)</t>
  </si>
  <si>
    <t xml:space="preserve">Promedio diario según el PDF (bpd)</t>
  </si>
  <si>
    <t xml:space="preserve">Variación interanual</t>
  </si>
  <si>
    <t xml:space="preserve">(1) 29.8.2015 terminó la licencia del Lote 1-AB y se firmó el contrato de servicio temporal del Lote 192 (Frontera), que terminó en 2021.</t>
  </si>
  <si>
    <t xml:space="preserve">(2) 28.2.2023: contrato de licencia del Lote 192 con Petroperú; sin producción fiscalizada en 2023–2025.</t>
  </si>
  <si>
    <t xml:space="preserve">(3) 26.3.2019: el Lote 95 cambió de operador, de Gran Tierra a PetroTal (el PDF agrupa toda la serie en PetroTal).</t>
  </si>
  <si>
    <t xml:space="preserve">(4) 08.07.2024: nuevo contrato del Lote 8 con Upland Oil and Gas. «-» del PDF = 0. Valores en azul: transcritos del PDF; en negro: fórmulas.</t>
  </si>
  <si>
    <t xml:space="preserve">Producción fiscalizada de petróleo por lote, país, 2024–2025 (barriles)</t>
  </si>
  <si>
    <t xml:space="preserve">Fuente: PERUPETRO, Estadística Anual 2024 (pág. 28 del PDF) y 2025 (pág. 29 del PDF), «Producción fiscalizada mensual de hidrocarburos líquidos» (suma enero–diciembre)</t>
  </si>
  <si>
    <t xml:space="preserve">Zona</t>
  </si>
  <si>
    <t xml:space="preserve">Variación</t>
  </si>
  <si>
    <t xml:space="preserve">Participación 2025</t>
  </si>
  <si>
    <t xml:space="preserve">SELVA NORTE</t>
  </si>
  <si>
    <t xml:space="preserve">PETROTAL</t>
  </si>
  <si>
    <t xml:space="preserve">NOROESTE</t>
  </si>
  <si>
    <t xml:space="preserve">OIG</t>
  </si>
  <si>
    <t xml:space="preserve">X</t>
  </si>
  <si>
    <t xml:space="preserve">ZOCALO</t>
  </si>
  <si>
    <t xml:space="preserve">PETROPERÚ</t>
  </si>
  <si>
    <t xml:space="preserve">Z-69</t>
  </si>
  <si>
    <t xml:space="preserve">UNNA</t>
  </si>
  <si>
    <t xml:space="preserve">IV</t>
  </si>
  <si>
    <t xml:space="preserve">PPN EN / UPLAND OIL AND</t>
  </si>
  <si>
    <t xml:space="preserve">III</t>
  </si>
  <si>
    <t xml:space="preserve">VI</t>
  </si>
  <si>
    <t xml:space="preserve">OLYMPIC</t>
  </si>
  <si>
    <t xml:space="preserve">VII</t>
  </si>
  <si>
    <t xml:space="preserve">XIII</t>
  </si>
  <si>
    <t xml:space="preserve">VIGO ENERGY</t>
  </si>
  <si>
    <t xml:space="preserve">Z-1</t>
  </si>
  <si>
    <t xml:space="preserve">SELVA CENTRAL</t>
  </si>
  <si>
    <t xml:space="preserve">UCAWA</t>
  </si>
  <si>
    <t xml:space="preserve">131</t>
  </si>
  <si>
    <t xml:space="preserve">INEXPORT / PETROPERÚ</t>
  </si>
  <si>
    <t xml:space="preserve">I</t>
  </si>
  <si>
    <t xml:space="preserve">PETROMONT</t>
  </si>
  <si>
    <t xml:space="preserve">II</t>
  </si>
  <si>
    <t xml:space="preserve">CORPORACIÓN DEL SUR</t>
  </si>
  <si>
    <t xml:space="preserve">V</t>
  </si>
  <si>
    <t xml:space="preserve">UNIENERGÍA ABC</t>
  </si>
  <si>
    <t xml:space="preserve">IX</t>
  </si>
  <si>
    <t xml:space="preserve">XV</t>
  </si>
  <si>
    <t xml:space="preserve">XX</t>
  </si>
  <si>
    <t xml:space="preserve">PERENCO</t>
  </si>
  <si>
    <t xml:space="preserve">Z-6</t>
  </si>
  <si>
    <t xml:space="preserve">39</t>
  </si>
  <si>
    <t xml:space="preserve">VII/VI</t>
  </si>
  <si>
    <t xml:space="preserve">Total país</t>
  </si>
  <si>
    <t xml:space="preserve">Loreto (zona SELVA NORTE)</t>
  </si>
  <si>
    <t xml:space="preserve">Participación de Loreto en el país</t>
  </si>
  <si>
    <t xml:space="preserve">Loreto 2025: producción mensual por lote, precio de canasta y valor de la producción del Lote 95</t>
  </si>
  <si>
    <t xml:space="preserve">Fuente: PERUPETRO, Estadística Anual 2025: producción fiscalizada mensual (pág. 29 del PDF) y «Valor mensual del precio de canasta» (pág. 77 del PDF)</t>
  </si>
  <si>
    <t xml:space="preserve">Mes</t>
  </si>
  <si>
    <t xml:space="preserve">Días</t>
  </si>
  <si>
    <t xml:space="preserve">Lote 95 (bbl)</t>
  </si>
  <si>
    <t xml:space="preserve">Lote 8 (bbl)</t>
  </si>
  <si>
    <t xml:space="preserve">Loreto (bbl)</t>
  </si>
  <si>
    <t xml:space="preserve">Lote 95 (bpd)</t>
  </si>
  <si>
    <t xml:space="preserve">Lote 8 (bpd)</t>
  </si>
  <si>
    <t xml:space="preserve">Loreto (bpd)</t>
  </si>
  <si>
    <t xml:space="preserve">Canasta Lote 95 (US$/bbl)</t>
  </si>
  <si>
    <t xml:space="preserve">Valor producción Lote 95 (US$)</t>
  </si>
  <si>
    <t xml:space="preserve">Ene-2025</t>
  </si>
  <si>
    <t xml:space="preserve">Feb-2025</t>
  </si>
  <si>
    <t xml:space="preserve">Mar-2025</t>
  </si>
  <si>
    <t xml:space="preserve">Abr-2025</t>
  </si>
  <si>
    <t xml:space="preserve">May-2025</t>
  </si>
  <si>
    <t xml:space="preserve">Jun-2025</t>
  </si>
  <si>
    <t xml:space="preserve">Jul-2025</t>
  </si>
  <si>
    <t xml:space="preserve">Ago-2025</t>
  </si>
  <si>
    <t xml:space="preserve">Set-2025</t>
  </si>
  <si>
    <t xml:space="preserve">Oct-2025</t>
  </si>
  <si>
    <t xml:space="preserve">Nov-2025</t>
  </si>
  <si>
    <t xml:space="preserve">Dic-2025</t>
  </si>
  <si>
    <t xml:space="preserve">Año 2025</t>
  </si>
  <si>
    <t xml:space="preserve">1er semestre</t>
  </si>
  <si>
    <t xml:space="preserve">2do semestre</t>
  </si>
  <si>
    <t xml:space="preserve">Var. 2do vs 1er semestre</t>
  </si>
  <si>
    <t xml:space="preserve">Los lotes 192, 67 y 39 de Loreto no registraron producción fiscalizada en 2025. El Lote 8 no tiene precio de canasta propio en el cuadro del anual.</t>
  </si>
  <si>
    <t xml:space="preserve">Regalías (ingresos al fisco) de los lotes de Loreto, 2024–2025 (US$)</t>
  </si>
  <si>
    <t xml:space="preserve">Fuente: PERUPETRO, Estadística Anual 2024 («Ingresos al fisco – 2024», pág. 79 del PDF) y 2025 («Ingresos al fisco – 2025», pág. 80 del PDF); producción y canasta: hojas Loreto_*</t>
  </si>
  <si>
    <t xml:space="preserve">Contrato en el PDF</t>
  </si>
  <si>
    <t xml:space="preserve">8 (PPN en liquidación)</t>
  </si>
  <si>
    <t xml:space="preserve">8. (Upland Oil and Gas)</t>
  </si>
  <si>
    <t xml:space="preserve">Total Loreto</t>
  </si>
  <si>
    <t xml:space="preserve">Total país (todas las regalías)</t>
  </si>
  <si>
    <t xml:space="preserve">Participación de Loreto</t>
  </si>
  <si>
    <t xml:space="preserve">Lote 95: indicadores</t>
  </si>
  <si>
    <t xml:space="preserve">Producción (bbl)</t>
  </si>
  <si>
    <t xml:space="preserve">Precio de canasta promedio (US$/bbl)</t>
  </si>
  <si>
    <t xml:space="preserve">Valor de la producción (US$)</t>
  </si>
  <si>
    <t xml:space="preserve">Regalía efectiva (% del valor)</t>
  </si>
  <si>
    <t xml:space="preserve">Regalía por barril (US$/bbl)</t>
  </si>
  <si>
    <t xml:space="preserve">Lote 8: regalía por barril 2025 (US$/bbl)</t>
  </si>
  <si>
    <t xml:space="preserve">No hay regalías en Loreto de los lotes 192, 67 y 39 en 2024–2025 (sin producción). Valores en azul: del PDF; negro: fórmulas; verde: vínculos a otras hojas.</t>
  </si>
  <si>
    <t xml:space="preserve">Canon y sobrecanon petrolero transferido a Loreto (millones de soles)</t>
  </si>
  <si>
    <t xml:space="preserve">Fuente: PERUPETRO, Estadística Mensual de enero 2026, «Resumen ejecutivo», distribución del canon y sobrecanon (información actualizada a diciembre 2025), p. 2; Estadística Anual 2025, «Distribución del canon/sobrecanon 2016–2025», pág. 81 del PDF</t>
  </si>
  <si>
    <t xml:space="preserve">Loreto 2025 (MM S/)</t>
  </si>
  <si>
    <t xml:space="preserve">Total país 2025 (MM S/)</t>
  </si>
  <si>
    <t xml:space="preserve">Año 2025 (suma de meses)</t>
  </si>
  <si>
    <t xml:space="preserve">Canon de Loreto 2024 (Estadística Anual 2025)</t>
  </si>
  <si>
    <t xml:space="preserve">Variación 2025 vs 2024</t>
  </si>
  <si>
    <t xml:space="preserve">Canon de Loreto 2025 según la Estadística Anual 2025</t>
  </si>
  <si>
    <t xml:space="preserve">La Estadística Anual 2025 reporta S/ 20,19 millones para Loreto en 2025; la suma de los 12 meses del reporte mensual (actualizado a diciembre 2025) da S/ 213,85 millones. El texto usa la suma mensual.</t>
  </si>
  <si>
    <t xml:space="preserve">Pozos perforados en Loreto y en el país</t>
  </si>
  <si>
    <t xml:space="preserve">Fuente: PERUPETRO, Estadística Anual 2025, «Pozos de desarrollo / exploratorios / confirmatorios perforados por contrato 2016–2025», p. 22–24</t>
  </si>
  <si>
    <t xml:space="preserve">Año</t>
  </si>
  <si>
    <t xml:space="preserve">Lote 95 – desarrollo</t>
  </si>
  <si>
    <t xml:space="preserve">Loreto – exploratorios y confirmatorios</t>
  </si>
  <si>
    <t xml:space="preserve">País – desarrollo</t>
  </si>
  <si>
    <t xml:space="preserve">País – exploratorios</t>
  </si>
  <si>
    <t xml:space="preserve">País – confirmatorios</t>
  </si>
  <si>
    <t xml:space="preserve">Loreto: Valor Agregado Bruto por actividades económicas, 2024–2025 (miles de soles de 2007)</t>
  </si>
  <si>
    <t xml:space="preserve">Fuente: INEI, «Loreto: Valor Agregado Bruto por Años, según Actividades Económicas», Cuadro N° 1 (miles de soles a precios constantes de 2007) y Cuadro N° 2 (estructura porcentual). Información disponible a junio del 2026. 2024P = preliminar, 2025E = estimado</t>
  </si>
  <si>
    <t xml:space="preserve">Actividad</t>
  </si>
  <si>
    <t xml:space="preserve">2024P</t>
  </si>
  <si>
    <t xml:space="preserve">2025E</t>
  </si>
  <si>
    <t xml:space="preserve">Var. % interanual</t>
  </si>
  <si>
    <t xml:space="preserve">Var. % INEI (publicada)</t>
  </si>
  <si>
    <t xml:space="preserve">Crec. promedio anual INEI (%)</t>
  </si>
  <si>
    <t xml:space="preserve">Estructura 2024</t>
  </si>
  <si>
    <t xml:space="preserve">Estructura 2025</t>
  </si>
  <si>
    <t xml:space="preserve">Estructura INEI 2024</t>
  </si>
  <si>
    <t xml:space="preserve">Estructura INEI 2025</t>
  </si>
  <si>
    <t xml:space="preserve">Contribución al crecimiento (p.p.)</t>
  </si>
  <si>
    <t xml:space="preserve">Participación en el crecimiento</t>
  </si>
  <si>
    <t xml:space="preserve">Agricultura, ganadería, caza y silvicultura</t>
  </si>
  <si>
    <t xml:space="preserve">Extracción de petróleo, gas y minerales</t>
  </si>
  <si>
    <t xml:space="preserve">Manufactura</t>
  </si>
  <si>
    <t xml:space="preserve">Electricidad, gas y agua</t>
  </si>
  <si>
    <t xml:space="preserve">Construcción</t>
  </si>
  <si>
    <t xml:space="preserve">Comercio</t>
  </si>
  <si>
    <t xml:space="preserve">Transporte, almacenamiento, correo y mensajería</t>
  </si>
  <si>
    <t xml:space="preserve">Alojamiento y restaurantes</t>
  </si>
  <si>
    <t xml:space="preserve">Telecomunicaciones y otros servicios de información</t>
  </si>
  <si>
    <t xml:space="preserve">Administración pública y defensa</t>
  </si>
  <si>
    <t xml:space="preserve">Otras actividades (1)</t>
  </si>
  <si>
    <t xml:space="preserve">Valor Agregado Bruto</t>
  </si>
  <si>
    <t xml:space="preserve">Control: VAB total publicado por el INEI</t>
  </si>
  <si>
    <t xml:space="preserve">Diferencia (suma de actividades – total publicado)</t>
  </si>
  <si>
    <t xml:space="preserve">(1) Incluye las actividades de otros servicios y pesca y acuicultura (nota del INEI).</t>
  </si>
  <si>
    <t xml:space="preserve">Celdas azules: datos transcritos de los cuadros del INEI; celdas negras: fórmulas. Las columnas E, F, I y J reproducen lo publicado para contrastar con el cálculo propio.</t>
  </si>
  <si>
    <t xml:space="preserve">El INEI no indica en el cuadro el periodo del «crecimiento promedio anual» (columna F); por ello no se cita en el texto.</t>
  </si>
  <si>
    <t xml:space="preserve">«Extracción de petróleo, gas y minerales» incluye minería; en Loreto la actividad corresponde casi en su totalidad a la extracción de petróleo crudo.</t>
  </si>
  <si>
    <t xml:space="preserve">«Actividad de mayor peso» excluye «Otras actividades», que es un agregado residual (22,1% en 2025).</t>
  </si>
</sst>
</file>

<file path=xl/styles.xml><?xml version="1.0" encoding="utf-8"?>
<styleSheet xmlns="http://schemas.openxmlformats.org/spreadsheetml/2006/main">
  <numFmts count="6">
    <numFmt numFmtId="164" formatCode="General"/>
    <numFmt numFmtId="165" formatCode="#,##0;\(#,##0\);\-"/>
    <numFmt numFmtId="166" formatCode="0.0%;\(0.0%\);\-"/>
    <numFmt numFmtId="167" formatCode="0.0000"/>
    <numFmt numFmtId="168" formatCode="#,##0.00;\(#,##0.00\);\-"/>
    <numFmt numFmtId="169" formatCode="#,##0.0;\(#,##0.0\);\-"/>
  </numFmts>
  <fonts count="11">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i val="true"/>
      <sz val="9"/>
      <color rgb="FF666666"/>
      <name val="Arial"/>
      <family val="0"/>
      <charset val="1"/>
    </font>
    <font>
      <sz val="10"/>
      <color rgb="FF0000FF"/>
      <name val="Arial"/>
      <family val="0"/>
      <charset val="1"/>
    </font>
    <font>
      <sz val="10"/>
      <color rgb="FF008000"/>
      <name val="Arial"/>
      <family val="0"/>
      <charset val="1"/>
    </font>
    <font>
      <sz val="10"/>
      <name val="Arial"/>
      <family val="2"/>
    </font>
  </fonts>
  <fills count="3">
    <fill>
      <patternFill patternType="none"/>
    </fill>
    <fill>
      <patternFill patternType="gray125"/>
    </fill>
    <fill>
      <patternFill patternType="solid">
        <fgColor rgb="FFDDE4EE"/>
        <bgColor rgb="FFCCFFFF"/>
      </patternFill>
    </fill>
  </fills>
  <borders count="2">
    <border diagonalUp="false" diagonalDown="false">
      <left/>
      <right/>
      <top/>
      <bottom/>
      <diagonal/>
    </border>
    <border diagonalUp="false" diagonalDown="false">
      <left/>
      <right/>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CCFFFF"/>
      <rgbColor rgb="FF660066"/>
      <rgbColor rgb="FFFF8080"/>
      <rgbColor rgb="FF0066CC"/>
      <rgbColor rgb="FFDD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1" t="s">
        <v>0</v>
      </c>
    </row>
    <row r="3" customFormat="false" ht="15" hidden="false" customHeight="true" outlineLevel="0" collapsed="false">
      <c r="A3" s="2" t="s">
        <v>1</v>
      </c>
    </row>
    <row r="4" customFormat="false" ht="105" hidden="false" customHeight="true" outlineLevel="0" collapsed="false">
      <c r="A4" s="3" t="s">
        <v>2</v>
      </c>
    </row>
    <row r="5" customFormat="false" ht="90" hidden="false" customHeight="true" outlineLevel="0" collapsed="false">
      <c r="A5" s="3" t="s">
        <v>3</v>
      </c>
    </row>
    <row r="6" customFormat="false" ht="165" hidden="false" customHeight="true" outlineLevel="0" collapsed="false">
      <c r="A6" s="3" t="s">
        <v>4</v>
      </c>
    </row>
    <row r="7" customFormat="false" ht="60" hidden="false" customHeight="true" outlineLevel="0" collapsed="false">
      <c r="A7" s="3" t="s">
        <v>5</v>
      </c>
    </row>
    <row r="8" customFormat="false" ht="105" hidden="false" customHeight="true" outlineLevel="0" collapsed="false">
      <c r="A8" s="3" t="s">
        <v>6</v>
      </c>
    </row>
    <row r="9" customFormat="false" ht="90" hidden="false" customHeight="true" outlineLevel="0" collapsed="false">
      <c r="A9" s="3" t="s">
        <v>7</v>
      </c>
    </row>
    <row r="10" customFormat="false" ht="90" hidden="false" customHeight="true" outlineLevel="0" collapsed="false">
      <c r="A10" s="3" t="s">
        <v>8</v>
      </c>
    </row>
    <row r="11" customFormat="false" ht="105" hidden="false" customHeight="true" outlineLevel="0" collapsed="false">
      <c r="A11" s="3" t="s">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12" min="2" style="0" width="12"/>
  </cols>
  <sheetData>
    <row r="1" customFormat="false" ht="15" hidden="false" customHeight="false" outlineLevel="0" collapsed="false">
      <c r="A1" s="1" t="s">
        <v>10</v>
      </c>
    </row>
    <row r="2" customFormat="false" ht="15" hidden="false" customHeight="false" outlineLevel="0" collapsed="false">
      <c r="A2" s="4" t="s">
        <v>11</v>
      </c>
    </row>
    <row r="4" customFormat="false" ht="15" hidden="false" customHeight="false" outlineLevel="0" collapsed="false">
      <c r="A4" s="5" t="s">
        <v>12</v>
      </c>
      <c r="B4" s="5" t="s">
        <v>13</v>
      </c>
      <c r="C4" s="5" t="s">
        <v>14</v>
      </c>
      <c r="D4" s="5" t="s">
        <v>15</v>
      </c>
      <c r="E4" s="5" t="s">
        <v>16</v>
      </c>
      <c r="F4" s="5" t="s">
        <v>17</v>
      </c>
      <c r="G4" s="5" t="s">
        <v>18</v>
      </c>
      <c r="H4" s="5" t="s">
        <v>19</v>
      </c>
      <c r="I4" s="5" t="s">
        <v>20</v>
      </c>
      <c r="J4" s="5" t="s">
        <v>21</v>
      </c>
      <c r="K4" s="5" t="s">
        <v>22</v>
      </c>
      <c r="L4" s="5" t="s">
        <v>23</v>
      </c>
    </row>
    <row r="5" customFormat="false" ht="15" hidden="false" customHeight="false" outlineLevel="0" collapsed="false">
      <c r="A5" s="6" t="s">
        <v>24</v>
      </c>
      <c r="B5" s="6" t="s">
        <v>25</v>
      </c>
      <c r="C5" s="7" t="n">
        <v>414875</v>
      </c>
      <c r="D5" s="7" t="n">
        <v>1387722</v>
      </c>
      <c r="E5" s="7" t="n">
        <v>2641976</v>
      </c>
      <c r="F5" s="7" t="n">
        <v>2458983</v>
      </c>
      <c r="G5" s="7" t="n">
        <v>475535</v>
      </c>
      <c r="H5" s="7" t="n">
        <v>0</v>
      </c>
      <c r="I5" s="7" t="n">
        <v>0</v>
      </c>
      <c r="J5" s="7" t="n">
        <v>0</v>
      </c>
      <c r="K5" s="7" t="n">
        <v>0</v>
      </c>
      <c r="L5" s="7" t="n">
        <v>0</v>
      </c>
    </row>
    <row r="6" customFormat="false" ht="15" hidden="false" customHeight="false" outlineLevel="0" collapsed="false">
      <c r="A6" s="6" t="s">
        <v>26</v>
      </c>
      <c r="B6" s="6" t="s">
        <v>25</v>
      </c>
      <c r="C6" s="7" t="n">
        <v>0</v>
      </c>
      <c r="D6" s="7" t="n">
        <v>0</v>
      </c>
      <c r="E6" s="7" t="n">
        <v>0</v>
      </c>
      <c r="F6" s="7" t="n">
        <v>0</v>
      </c>
      <c r="G6" s="7" t="n">
        <v>0</v>
      </c>
      <c r="H6" s="7" t="n">
        <v>0</v>
      </c>
      <c r="I6" s="7" t="n">
        <v>0</v>
      </c>
      <c r="J6" s="7" t="n">
        <v>0</v>
      </c>
      <c r="K6" s="7" t="n">
        <v>0</v>
      </c>
      <c r="L6" s="7" t="n">
        <v>0</v>
      </c>
    </row>
    <row r="7" customFormat="false" ht="15" hidden="false" customHeight="false" outlineLevel="0" collapsed="false">
      <c r="A7" s="6" t="s">
        <v>27</v>
      </c>
      <c r="B7" s="6" t="s">
        <v>28</v>
      </c>
      <c r="C7" s="7" t="n">
        <v>1601265</v>
      </c>
      <c r="D7" s="7" t="n">
        <v>2132032</v>
      </c>
      <c r="E7" s="7" t="n">
        <v>2058440</v>
      </c>
      <c r="F7" s="7" t="n">
        <v>1611000</v>
      </c>
      <c r="G7" s="7" t="n">
        <v>593933</v>
      </c>
      <c r="H7" s="7" t="n">
        <v>0</v>
      </c>
      <c r="I7" s="7" t="n">
        <v>0</v>
      </c>
      <c r="J7" s="7" t="n">
        <v>0</v>
      </c>
      <c r="K7" s="7" t="n">
        <v>0</v>
      </c>
      <c r="L7" s="7" t="n">
        <v>0</v>
      </c>
    </row>
    <row r="8" customFormat="false" ht="15" hidden="false" customHeight="false" outlineLevel="0" collapsed="false">
      <c r="A8" s="6" t="s">
        <v>29</v>
      </c>
      <c r="B8" s="6" t="s">
        <v>28</v>
      </c>
      <c r="C8" s="7" t="n">
        <v>0</v>
      </c>
      <c r="D8" s="7" t="n">
        <v>0</v>
      </c>
      <c r="E8" s="7" t="n">
        <v>0</v>
      </c>
      <c r="F8" s="7" t="n">
        <v>0</v>
      </c>
      <c r="G8" s="7" t="n">
        <v>0</v>
      </c>
      <c r="H8" s="7" t="n">
        <v>0</v>
      </c>
      <c r="I8" s="7" t="n">
        <v>0</v>
      </c>
      <c r="J8" s="7" t="n">
        <v>0</v>
      </c>
      <c r="K8" s="7" t="n">
        <v>5279</v>
      </c>
      <c r="L8" s="7" t="n">
        <v>144018</v>
      </c>
    </row>
    <row r="9" customFormat="false" ht="15" hidden="false" customHeight="false" outlineLevel="0" collapsed="false">
      <c r="A9" s="6" t="s">
        <v>30</v>
      </c>
      <c r="B9" s="6" t="s">
        <v>28</v>
      </c>
      <c r="C9" s="7" t="n">
        <v>0</v>
      </c>
      <c r="D9" s="7" t="n">
        <v>0</v>
      </c>
      <c r="E9" s="7" t="n">
        <v>0</v>
      </c>
      <c r="F9" s="7" t="n">
        <v>0</v>
      </c>
      <c r="G9" s="7" t="n">
        <v>0</v>
      </c>
      <c r="H9" s="7" t="n">
        <v>0</v>
      </c>
      <c r="I9" s="7" t="n">
        <v>0</v>
      </c>
      <c r="J9" s="7" t="n">
        <v>0</v>
      </c>
      <c r="K9" s="7" t="n">
        <v>29789</v>
      </c>
      <c r="L9" s="7" t="n">
        <v>985720</v>
      </c>
    </row>
    <row r="10" customFormat="false" ht="15" hidden="false" customHeight="false" outlineLevel="0" collapsed="false">
      <c r="A10" s="6" t="s">
        <v>31</v>
      </c>
      <c r="B10" s="6" t="s">
        <v>32</v>
      </c>
      <c r="C10" s="7" t="n">
        <v>131579</v>
      </c>
      <c r="D10" s="7" t="n">
        <v>0</v>
      </c>
      <c r="E10" s="7" t="n">
        <v>134750</v>
      </c>
      <c r="F10" s="7" t="n">
        <v>504668</v>
      </c>
      <c r="G10" s="7" t="n">
        <v>246729</v>
      </c>
      <c r="H10" s="7" t="n">
        <v>516709</v>
      </c>
      <c r="I10" s="7" t="n">
        <v>366619</v>
      </c>
      <c r="J10" s="7" t="n">
        <v>20029</v>
      </c>
      <c r="K10" s="7" t="n">
        <v>0</v>
      </c>
      <c r="L10" s="7" t="n">
        <v>0</v>
      </c>
    </row>
    <row r="11" customFormat="false" ht="15" hidden="false" customHeight="false" outlineLevel="0" collapsed="false">
      <c r="A11" s="6" t="s">
        <v>33</v>
      </c>
      <c r="B11" s="6" t="s">
        <v>34</v>
      </c>
      <c r="C11" s="7" t="n">
        <v>0</v>
      </c>
      <c r="D11" s="7" t="n">
        <v>0</v>
      </c>
      <c r="E11" s="7" t="n">
        <v>170381</v>
      </c>
      <c r="F11" s="7" t="n">
        <v>1498825</v>
      </c>
      <c r="G11" s="7" t="n">
        <v>2065441</v>
      </c>
      <c r="H11" s="7" t="n">
        <v>3229123</v>
      </c>
      <c r="I11" s="7" t="n">
        <v>4407462</v>
      </c>
      <c r="J11" s="7" t="n">
        <v>5160896</v>
      </c>
      <c r="K11" s="7" t="n">
        <v>6395837</v>
      </c>
      <c r="L11" s="7" t="n">
        <v>6775055</v>
      </c>
    </row>
    <row r="12" customFormat="false" ht="15" hidden="false" customHeight="false" outlineLevel="0" collapsed="false">
      <c r="A12" s="8" t="s">
        <v>35</v>
      </c>
      <c r="C12" s="9" t="n">
        <f aca="false">SUM(C5:C11)</f>
        <v>2147719</v>
      </c>
      <c r="D12" s="9" t="n">
        <f aca="false">SUM(D5:D11)</f>
        <v>3519754</v>
      </c>
      <c r="E12" s="9" t="n">
        <f aca="false">SUM(E5:E11)</f>
        <v>5005547</v>
      </c>
      <c r="F12" s="9" t="n">
        <f aca="false">SUM(F5:F11)</f>
        <v>6073476</v>
      </c>
      <c r="G12" s="9" t="n">
        <f aca="false">SUM(G5:G11)</f>
        <v>3381638</v>
      </c>
      <c r="H12" s="9" t="n">
        <f aca="false">SUM(H5:H11)</f>
        <v>3745832</v>
      </c>
      <c r="I12" s="9" t="n">
        <f aca="false">SUM(I5:I11)</f>
        <v>4774081</v>
      </c>
      <c r="J12" s="9" t="n">
        <f aca="false">SUM(J5:J11)</f>
        <v>5180925</v>
      </c>
      <c r="K12" s="9" t="n">
        <f aca="false">SUM(K5:K11)</f>
        <v>6430905</v>
      </c>
      <c r="L12" s="9" t="n">
        <f aca="false">SUM(L5:L11)</f>
        <v>7904793</v>
      </c>
    </row>
    <row r="13" customFormat="false" ht="15" hidden="false" customHeight="false" outlineLevel="0" collapsed="false">
      <c r="A13" s="6" t="s">
        <v>36</v>
      </c>
      <c r="C13" s="7" t="n">
        <v>2147719</v>
      </c>
      <c r="D13" s="7" t="n">
        <v>3519754</v>
      </c>
      <c r="E13" s="7" t="n">
        <v>5005547</v>
      </c>
      <c r="F13" s="7" t="n">
        <v>6073476</v>
      </c>
      <c r="G13" s="7" t="n">
        <v>3381638</v>
      </c>
      <c r="H13" s="7" t="n">
        <v>3745832</v>
      </c>
      <c r="I13" s="7" t="n">
        <v>4774081</v>
      </c>
      <c r="J13" s="7" t="n">
        <v>5180925</v>
      </c>
      <c r="K13" s="7" t="n">
        <v>6430905</v>
      </c>
      <c r="L13" s="7" t="n">
        <v>7904793</v>
      </c>
    </row>
    <row r="14" customFormat="false" ht="15" hidden="false" customHeight="false" outlineLevel="0" collapsed="false">
      <c r="A14" s="6" t="s">
        <v>37</v>
      </c>
      <c r="C14" s="10" t="n">
        <f aca="false">C12-C13</f>
        <v>0</v>
      </c>
      <c r="D14" s="10" t="n">
        <f aca="false">D12-D13</f>
        <v>0</v>
      </c>
      <c r="E14" s="10" t="n">
        <f aca="false">E12-E13</f>
        <v>0</v>
      </c>
      <c r="F14" s="10" t="n">
        <f aca="false">F12-F13</f>
        <v>0</v>
      </c>
      <c r="G14" s="10" t="n">
        <f aca="false">G12-G13</f>
        <v>0</v>
      </c>
      <c r="H14" s="10" t="n">
        <f aca="false">H12-H13</f>
        <v>0</v>
      </c>
      <c r="I14" s="10" t="n">
        <f aca="false">I12-I13</f>
        <v>0</v>
      </c>
      <c r="J14" s="10" t="n">
        <f aca="false">J12-J13</f>
        <v>0</v>
      </c>
      <c r="K14" s="10" t="n">
        <f aca="false">K12-K13</f>
        <v>0</v>
      </c>
      <c r="L14" s="10" t="n">
        <f aca="false">L12-L13</f>
        <v>0</v>
      </c>
    </row>
    <row r="15" customFormat="false" ht="15" hidden="false" customHeight="false" outlineLevel="0" collapsed="false">
      <c r="A15" s="6" t="s">
        <v>38</v>
      </c>
      <c r="C15" s="10" t="n">
        <f aca="false">C12/IF(MOD(2016,4)=0,366,365)</f>
        <v>5868.08469945355</v>
      </c>
      <c r="D15" s="10" t="n">
        <f aca="false">D12/IF(MOD(2017,4)=0,366,365)</f>
        <v>9643.16164383562</v>
      </c>
      <c r="E15" s="10" t="n">
        <f aca="false">E12/IF(MOD(2018,4)=0,366,365)</f>
        <v>13713.8273972603</v>
      </c>
      <c r="F15" s="10" t="n">
        <f aca="false">F12/IF(MOD(2019,4)=0,366,365)</f>
        <v>16639.6602739726</v>
      </c>
      <c r="G15" s="10" t="n">
        <f aca="false">G12/IF(MOD(2020,4)=0,366,365)</f>
        <v>9239.44808743169</v>
      </c>
      <c r="H15" s="10" t="n">
        <f aca="false">H12/IF(MOD(2021,4)=0,366,365)</f>
        <v>10262.5534246575</v>
      </c>
      <c r="I15" s="10" t="n">
        <f aca="false">I12/IF(MOD(2022,4)=0,366,365)</f>
        <v>13079.6739726027</v>
      </c>
      <c r="J15" s="10" t="n">
        <f aca="false">J12/IF(MOD(2023,4)=0,366,365)</f>
        <v>14194.3150684932</v>
      </c>
      <c r="K15" s="10" t="n">
        <f aca="false">K12/IF(MOD(2024,4)=0,366,365)</f>
        <v>17570.7786885246</v>
      </c>
      <c r="L15" s="10" t="n">
        <f aca="false">L12/IF(MOD(2025,4)=0,366,365)</f>
        <v>21656.9671232877</v>
      </c>
    </row>
    <row r="16" customFormat="false" ht="15" hidden="false" customHeight="false" outlineLevel="0" collapsed="false">
      <c r="A16" s="6" t="s">
        <v>39</v>
      </c>
      <c r="C16" s="7" t="n">
        <v>5868</v>
      </c>
      <c r="D16" s="7" t="n">
        <v>9643</v>
      </c>
      <c r="E16" s="7" t="n">
        <v>13714</v>
      </c>
      <c r="F16" s="7" t="n">
        <v>16640</v>
      </c>
      <c r="G16" s="7" t="n">
        <v>9239</v>
      </c>
      <c r="H16" s="7" t="n">
        <v>10263</v>
      </c>
      <c r="I16" s="7" t="n">
        <v>13080</v>
      </c>
      <c r="J16" s="7" t="n">
        <v>14194</v>
      </c>
      <c r="K16" s="7" t="n">
        <v>17571</v>
      </c>
      <c r="L16" s="7" t="n">
        <v>21657</v>
      </c>
    </row>
    <row r="17" customFormat="false" ht="15" hidden="false" customHeight="false" outlineLevel="0" collapsed="false">
      <c r="A17" s="6" t="s">
        <v>40</v>
      </c>
      <c r="D17" s="11" t="n">
        <f aca="false">D12/C12-1</f>
        <v>0.638833571803388</v>
      </c>
      <c r="E17" s="11" t="n">
        <f aca="false">E12/D12-1</f>
        <v>0.42212978520658</v>
      </c>
      <c r="F17" s="11" t="n">
        <f aca="false">F12/E12-1</f>
        <v>0.213349110496815</v>
      </c>
      <c r="G17" s="11" t="n">
        <f aca="false">G12/F12-1</f>
        <v>-0.443212091395438</v>
      </c>
      <c r="H17" s="11" t="n">
        <f aca="false">H12/G12-1</f>
        <v>0.107697512270681</v>
      </c>
      <c r="I17" s="11" t="n">
        <f aca="false">I12/H12-1</f>
        <v>0.274504836308729</v>
      </c>
      <c r="J17" s="11" t="n">
        <f aca="false">J12/I12-1</f>
        <v>0.0852193333125266</v>
      </c>
      <c r="K17" s="11" t="n">
        <f aca="false">K12/J12-1</f>
        <v>0.241265797130821</v>
      </c>
      <c r="L17" s="11" t="n">
        <f aca="false">L12/K12-1</f>
        <v>0.229188271324176</v>
      </c>
    </row>
    <row r="19" customFormat="false" ht="15" hidden="false" customHeight="false" outlineLevel="0" collapsed="false">
      <c r="A19" s="4" t="s">
        <v>41</v>
      </c>
    </row>
    <row r="20" customFormat="false" ht="15" hidden="false" customHeight="false" outlineLevel="0" collapsed="false">
      <c r="A20" s="4" t="s">
        <v>42</v>
      </c>
    </row>
    <row r="21" customFormat="false" ht="15" hidden="false" customHeight="false" outlineLevel="0" collapsed="false">
      <c r="A21" s="4" t="s">
        <v>43</v>
      </c>
    </row>
    <row r="22" customFormat="false" ht="15" hidden="false" customHeight="false" outlineLevel="0" collapsed="false">
      <c r="A22" s="4" t="s">
        <v>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0"/>
    <col collapsed="false" customWidth="true" hidden="false" outlineLevel="0" max="3" min="3" style="0" width="9"/>
    <col collapsed="false" customWidth="true" hidden="false" outlineLevel="0" max="5" min="4" style="0" width="14"/>
    <col collapsed="false" customWidth="true" hidden="false" outlineLevel="0" max="6" min="6" style="0" width="11"/>
    <col collapsed="false" customWidth="true" hidden="false" outlineLevel="0" max="7" min="7" style="0" width="15"/>
  </cols>
  <sheetData>
    <row r="1" customFormat="false" ht="15" hidden="false" customHeight="false" outlineLevel="0" collapsed="false">
      <c r="A1" s="1" t="s">
        <v>45</v>
      </c>
    </row>
    <row r="2" customFormat="false" ht="15" hidden="false" customHeight="false" outlineLevel="0" collapsed="false">
      <c r="A2" s="4" t="s">
        <v>46</v>
      </c>
    </row>
    <row r="4" customFormat="false" ht="23.85" hidden="false" customHeight="false" outlineLevel="0" collapsed="false">
      <c r="A4" s="5" t="s">
        <v>47</v>
      </c>
      <c r="B4" s="5" t="s">
        <v>12</v>
      </c>
      <c r="C4" s="5" t="s">
        <v>13</v>
      </c>
      <c r="D4" s="5" t="s">
        <v>22</v>
      </c>
      <c r="E4" s="5" t="s">
        <v>23</v>
      </c>
      <c r="F4" s="5" t="s">
        <v>48</v>
      </c>
      <c r="G4" s="5" t="s">
        <v>49</v>
      </c>
    </row>
    <row r="5" customFormat="false" ht="15" hidden="false" customHeight="false" outlineLevel="0" collapsed="false">
      <c r="A5" s="6" t="s">
        <v>50</v>
      </c>
      <c r="B5" s="6" t="s">
        <v>51</v>
      </c>
      <c r="C5" s="6" t="s">
        <v>34</v>
      </c>
      <c r="D5" s="7" t="n">
        <v>6395837</v>
      </c>
      <c r="E5" s="7" t="n">
        <v>6775055</v>
      </c>
      <c r="F5" s="11" t="n">
        <f aca="false">IF(D5=0,"",E5/D5-1)</f>
        <v>0.0592913796896324</v>
      </c>
      <c r="G5" s="11" t="n">
        <f aca="false">E5/$E$27</f>
        <v>0.420400261235532</v>
      </c>
    </row>
    <row r="6" customFormat="false" ht="15" hidden="false" customHeight="false" outlineLevel="0" collapsed="false">
      <c r="A6" s="6" t="s">
        <v>52</v>
      </c>
      <c r="B6" s="6" t="s">
        <v>53</v>
      </c>
      <c r="C6" s="6" t="s">
        <v>54</v>
      </c>
      <c r="D6" s="7" t="n">
        <v>2940303</v>
      </c>
      <c r="E6" s="7" t="n">
        <v>2971785</v>
      </c>
      <c r="F6" s="11" t="n">
        <f aca="false">IF(D6=0,"",E6/D6-1)</f>
        <v>0.0107070597826142</v>
      </c>
      <c r="G6" s="11" t="n">
        <f aca="false">E6/$E$27</f>
        <v>0.184402811539661</v>
      </c>
    </row>
    <row r="7" customFormat="false" ht="15" hidden="false" customHeight="false" outlineLevel="0" collapsed="false">
      <c r="A7" s="6" t="s">
        <v>55</v>
      </c>
      <c r="B7" s="6" t="s">
        <v>56</v>
      </c>
      <c r="C7" s="6" t="s">
        <v>57</v>
      </c>
      <c r="D7" s="7" t="n">
        <v>1649782</v>
      </c>
      <c r="E7" s="7" t="n">
        <v>1229664</v>
      </c>
      <c r="F7" s="11" t="n">
        <f aca="false">IF(D7=0,"",E7/D7-1)</f>
        <v>-0.254650614444818</v>
      </c>
      <c r="G7" s="11" t="n">
        <f aca="false">E7/$E$27</f>
        <v>0.0763021210649847</v>
      </c>
    </row>
    <row r="8" customFormat="false" ht="15" hidden="false" customHeight="false" outlineLevel="0" collapsed="false">
      <c r="A8" s="6" t="s">
        <v>52</v>
      </c>
      <c r="B8" s="6" t="s">
        <v>58</v>
      </c>
      <c r="C8" s="6" t="s">
        <v>59</v>
      </c>
      <c r="D8" s="7" t="n">
        <v>929439</v>
      </c>
      <c r="E8" s="7" t="n">
        <v>1211594</v>
      </c>
      <c r="F8" s="11" t="n">
        <f aca="false">IF(D8=0,"",E8/D8-1)</f>
        <v>0.303575597753053</v>
      </c>
      <c r="G8" s="11" t="n">
        <f aca="false">E8/$E$27</f>
        <v>0.0751808559652141</v>
      </c>
    </row>
    <row r="9" customFormat="false" ht="15" hidden="false" customHeight="false" outlineLevel="0" collapsed="false">
      <c r="A9" s="6" t="s">
        <v>50</v>
      </c>
      <c r="B9" s="6" t="s">
        <v>60</v>
      </c>
      <c r="C9" s="6" t="s">
        <v>28</v>
      </c>
      <c r="D9" s="7" t="n">
        <v>35068</v>
      </c>
      <c r="E9" s="7" t="n">
        <v>1129738</v>
      </c>
      <c r="F9" s="11" t="n">
        <f aca="false">IF(D9=0,"",E9/D9-1)</f>
        <v>31.215638188662</v>
      </c>
      <c r="G9" s="11" t="n">
        <f aca="false">E9/$E$27</f>
        <v>0.0701015933195683</v>
      </c>
    </row>
    <row r="10" customFormat="false" ht="15" hidden="false" customHeight="false" outlineLevel="0" collapsed="false">
      <c r="A10" s="6" t="s">
        <v>52</v>
      </c>
      <c r="B10" s="6" t="s">
        <v>58</v>
      </c>
      <c r="C10" s="6" t="s">
        <v>61</v>
      </c>
      <c r="D10" s="7" t="n">
        <v>612508</v>
      </c>
      <c r="E10" s="7" t="n">
        <v>809533</v>
      </c>
      <c r="F10" s="11" t="n">
        <f aca="false">IF(D10=0,"",E10/D10-1)</f>
        <v>0.321669267993235</v>
      </c>
      <c r="G10" s="11" t="n">
        <f aca="false">E10/$E$27</f>
        <v>0.0502324903161353</v>
      </c>
    </row>
    <row r="11" customFormat="false" ht="15" hidden="false" customHeight="false" outlineLevel="0" collapsed="false">
      <c r="A11" s="6" t="s">
        <v>52</v>
      </c>
      <c r="B11" s="6" t="s">
        <v>56</v>
      </c>
      <c r="C11" s="6" t="s">
        <v>62</v>
      </c>
      <c r="D11" s="7" t="n">
        <v>639040</v>
      </c>
      <c r="E11" s="7" t="n">
        <v>453720</v>
      </c>
      <c r="F11" s="11" t="n">
        <f aca="false">IF(D11=0,"",E11/D11-1)</f>
        <v>-0.289997496244367</v>
      </c>
      <c r="G11" s="11" t="n">
        <f aca="false">E11/$E$27</f>
        <v>0.0281538683490814</v>
      </c>
    </row>
    <row r="12" customFormat="false" ht="15" hidden="false" customHeight="false" outlineLevel="0" collapsed="false">
      <c r="A12" s="6" t="s">
        <v>52</v>
      </c>
      <c r="B12" s="6" t="s">
        <v>63</v>
      </c>
      <c r="C12" s="6" t="s">
        <v>64</v>
      </c>
      <c r="D12" s="7" t="n">
        <v>351810</v>
      </c>
      <c r="E12" s="7" t="n">
        <v>380026</v>
      </c>
      <c r="F12" s="11" t="n">
        <f aca="false">IF(D12=0,"",E12/D12-1)</f>
        <v>0.0802023819675393</v>
      </c>
      <c r="G12" s="11" t="n">
        <f aca="false">E12/$E$27</f>
        <v>0.0235810675597902</v>
      </c>
    </row>
    <row r="13" customFormat="false" ht="15" hidden="false" customHeight="false" outlineLevel="0" collapsed="false">
      <c r="A13" s="6" t="s">
        <v>52</v>
      </c>
      <c r="B13" s="6" t="s">
        <v>63</v>
      </c>
      <c r="C13" s="6" t="s">
        <v>65</v>
      </c>
      <c r="D13" s="7" t="n">
        <v>413998</v>
      </c>
      <c r="E13" s="7" t="n">
        <v>319524</v>
      </c>
      <c r="F13" s="11" t="n">
        <f aca="false">IF(D13=0,"",E13/D13-1)</f>
        <v>-0.2281991700443</v>
      </c>
      <c r="G13" s="11" t="n">
        <f aca="false">E13/$E$27</f>
        <v>0.0198268461394073</v>
      </c>
    </row>
    <row r="14" customFormat="false" ht="15" hidden="false" customHeight="false" outlineLevel="0" collapsed="false">
      <c r="A14" s="6" t="s">
        <v>55</v>
      </c>
      <c r="B14" s="6" t="s">
        <v>66</v>
      </c>
      <c r="C14" s="6" t="s">
        <v>67</v>
      </c>
      <c r="D14" s="7" t="n">
        <v>192734</v>
      </c>
      <c r="E14" s="7" t="n">
        <v>240328</v>
      </c>
      <c r="F14" s="11" t="n">
        <f aca="false">IF(D14=0,"",E14/D14-1)</f>
        <v>0.246941380348044</v>
      </c>
      <c r="G14" s="11" t="n">
        <f aca="false">E14/$E$27</f>
        <v>0.0149126396733625</v>
      </c>
    </row>
    <row r="15" customFormat="false" ht="15" hidden="false" customHeight="false" outlineLevel="0" collapsed="false">
      <c r="A15" s="6" t="s">
        <v>68</v>
      </c>
      <c r="B15" s="6" t="s">
        <v>69</v>
      </c>
      <c r="C15" s="6" t="s">
        <v>70</v>
      </c>
      <c r="D15" s="7" t="n">
        <v>281002</v>
      </c>
      <c r="E15" s="7" t="n">
        <v>184505</v>
      </c>
      <c r="F15" s="11" t="n">
        <f aca="false">IF(D15=0,"",E15/D15-1)</f>
        <v>-0.343403249798934</v>
      </c>
      <c r="G15" s="11" t="n">
        <f aca="false">E15/$E$27</f>
        <v>0.0114487557959695</v>
      </c>
    </row>
    <row r="16" customFormat="false" ht="15" hidden="false" customHeight="false" outlineLevel="0" collapsed="false">
      <c r="A16" s="6" t="s">
        <v>52</v>
      </c>
      <c r="B16" s="6" t="s">
        <v>71</v>
      </c>
      <c r="C16" s="6" t="s">
        <v>72</v>
      </c>
      <c r="D16" s="7" t="n">
        <v>171562</v>
      </c>
      <c r="E16" s="7" t="n">
        <v>167850</v>
      </c>
      <c r="F16" s="11" t="n">
        <f aca="false">IF(D16=0,"",E16/D16-1)</f>
        <v>-0.0216364929296697</v>
      </c>
      <c r="G16" s="11" t="n">
        <f aca="false">E16/$E$27</f>
        <v>0.0104152931376032</v>
      </c>
    </row>
    <row r="17" customFormat="false" ht="15" hidden="false" customHeight="false" outlineLevel="0" collapsed="false">
      <c r="A17" s="6" t="s">
        <v>52</v>
      </c>
      <c r="B17" s="6" t="s">
        <v>73</v>
      </c>
      <c r="C17" s="6" t="s">
        <v>74</v>
      </c>
      <c r="D17" s="7" t="n">
        <v>142619</v>
      </c>
      <c r="E17" s="7" t="n">
        <v>108381</v>
      </c>
      <c r="F17" s="11" t="n">
        <f aca="false">IF(D17=0,"",E17/D17-1)</f>
        <v>-0.240066190339296</v>
      </c>
      <c r="G17" s="11" t="n">
        <f aca="false">E17/$E$27</f>
        <v>0.00672517060200518</v>
      </c>
    </row>
    <row r="18" customFormat="false" ht="15" hidden="false" customHeight="false" outlineLevel="0" collapsed="false">
      <c r="A18" s="6" t="s">
        <v>52</v>
      </c>
      <c r="B18" s="6" t="s">
        <v>75</v>
      </c>
      <c r="C18" s="6" t="s">
        <v>76</v>
      </c>
      <c r="D18" s="7" t="n">
        <v>41091</v>
      </c>
      <c r="E18" s="7" t="n">
        <v>65404</v>
      </c>
      <c r="F18" s="11" t="n">
        <f aca="false">IF(D18=0,"",E18/D18-1)</f>
        <v>0.591686744055876</v>
      </c>
      <c r="G18" s="11" t="n">
        <f aca="false">E18/$E$27</f>
        <v>0.00405839637993326</v>
      </c>
    </row>
    <row r="19" customFormat="false" ht="15" hidden="false" customHeight="false" outlineLevel="0" collapsed="false">
      <c r="A19" s="6" t="s">
        <v>52</v>
      </c>
      <c r="B19" s="6" t="s">
        <v>77</v>
      </c>
      <c r="C19" s="6" t="s">
        <v>78</v>
      </c>
      <c r="D19" s="7" t="n">
        <v>55873</v>
      </c>
      <c r="E19" s="7" t="n">
        <v>60856</v>
      </c>
      <c r="F19" s="11" t="n">
        <f aca="false">IF(D19=0,"",E19/D19-1)</f>
        <v>0.0891844003364775</v>
      </c>
      <c r="G19" s="11" t="n">
        <f aca="false">E19/$E$27</f>
        <v>0.00377618754353279</v>
      </c>
    </row>
    <row r="20" customFormat="false" ht="15" hidden="false" customHeight="false" outlineLevel="0" collapsed="false">
      <c r="A20" s="6" t="s">
        <v>52</v>
      </c>
      <c r="B20" s="6" t="s">
        <v>73</v>
      </c>
      <c r="C20" s="6" t="s">
        <v>79</v>
      </c>
      <c r="D20" s="7" t="n">
        <v>7363</v>
      </c>
      <c r="E20" s="7" t="n">
        <v>4487</v>
      </c>
      <c r="F20" s="11" t="n">
        <f aca="false">IF(D20=0,"",E20/D20-1)</f>
        <v>-0.390601656933315</v>
      </c>
      <c r="G20" s="11" t="n">
        <f aca="false">E20/$E$27</f>
        <v>0.000278423713484811</v>
      </c>
    </row>
    <row r="21" customFormat="false" ht="15" hidden="false" customHeight="false" outlineLevel="0" collapsed="false">
      <c r="A21" s="6" t="s">
        <v>52</v>
      </c>
      <c r="B21" s="6" t="s">
        <v>73</v>
      </c>
      <c r="C21" s="6" t="s">
        <v>80</v>
      </c>
      <c r="D21" s="7" t="n">
        <v>4438</v>
      </c>
      <c r="E21" s="7" t="n">
        <v>3275</v>
      </c>
      <c r="F21" s="11" t="n">
        <f aca="false">IF(D21=0,"",E21/D21-1)</f>
        <v>-0.262054979720595</v>
      </c>
      <c r="G21" s="11" t="n">
        <f aca="false">E21/$E$27</f>
        <v>0.000203217664734289</v>
      </c>
    </row>
    <row r="22" customFormat="false" ht="15" hidden="false" customHeight="false" outlineLevel="0" collapsed="false">
      <c r="A22" s="6" t="s">
        <v>50</v>
      </c>
      <c r="B22" s="6" t="s">
        <v>81</v>
      </c>
      <c r="C22" s="6" t="s">
        <v>32</v>
      </c>
      <c r="D22" s="7" t="n">
        <v>0</v>
      </c>
      <c r="E22" s="7" t="n">
        <v>0</v>
      </c>
      <c r="F22" s="11" t="str">
        <f aca="false">IF(D22=0,"",E22/D22-1)</f>
        <v/>
      </c>
      <c r="G22" s="11" t="n">
        <f aca="false">E22/$E$27</f>
        <v>0</v>
      </c>
    </row>
    <row r="23" customFormat="false" ht="15" hidden="false" customHeight="false" outlineLevel="0" collapsed="false">
      <c r="A23" s="6" t="s">
        <v>55</v>
      </c>
      <c r="B23" s="6" t="s">
        <v>81</v>
      </c>
      <c r="C23" s="6" t="s">
        <v>82</v>
      </c>
      <c r="D23" s="7" t="n">
        <v>0</v>
      </c>
      <c r="E23" s="7" t="n">
        <v>0</v>
      </c>
      <c r="F23" s="11" t="str">
        <f aca="false">IF(D23=0,"",E23/D23-1)</f>
        <v/>
      </c>
      <c r="G23" s="11" t="n">
        <f aca="false">E23/$E$27</f>
        <v>0</v>
      </c>
    </row>
    <row r="24" customFormat="false" ht="15" hidden="false" customHeight="false" outlineLevel="0" collapsed="false">
      <c r="A24" s="6" t="s">
        <v>50</v>
      </c>
      <c r="B24" s="6" t="s">
        <v>56</v>
      </c>
      <c r="C24" s="6" t="s">
        <v>25</v>
      </c>
      <c r="D24" s="7" t="n">
        <v>0</v>
      </c>
      <c r="E24" s="7" t="n">
        <v>0</v>
      </c>
      <c r="F24" s="11" t="str">
        <f aca="false">IF(D24=0,"",E24/D24-1)</f>
        <v/>
      </c>
      <c r="G24" s="11" t="n">
        <f aca="false">E24/$E$27</f>
        <v>0</v>
      </c>
    </row>
    <row r="25" customFormat="false" ht="15" hidden="false" customHeight="false" outlineLevel="0" collapsed="false">
      <c r="A25" s="6" t="s">
        <v>50</v>
      </c>
      <c r="B25" s="6" t="s">
        <v>81</v>
      </c>
      <c r="C25" s="6" t="s">
        <v>83</v>
      </c>
      <c r="D25" s="7" t="n">
        <v>0</v>
      </c>
      <c r="E25" s="7" t="n">
        <v>0</v>
      </c>
      <c r="F25" s="11" t="str">
        <f aca="false">IF(D25=0,"",E25/D25-1)</f>
        <v/>
      </c>
      <c r="G25" s="11" t="n">
        <f aca="false">E25/$E$27</f>
        <v>0</v>
      </c>
    </row>
    <row r="26" customFormat="false" ht="15" hidden="false" customHeight="false" outlineLevel="0" collapsed="false">
      <c r="A26" s="6" t="s">
        <v>52</v>
      </c>
      <c r="B26" s="6"/>
      <c r="C26" s="6" t="s">
        <v>84</v>
      </c>
      <c r="D26" s="7" t="n">
        <v>6548</v>
      </c>
      <c r="E26" s="7" t="n">
        <v>0</v>
      </c>
      <c r="F26" s="11" t="n">
        <f aca="false">IF(D26=0,"",E26/D26-1)</f>
        <v>-1</v>
      </c>
      <c r="G26" s="11" t="n">
        <f aca="false">E26/$E$27</f>
        <v>0</v>
      </c>
    </row>
    <row r="27" customFormat="false" ht="15" hidden="false" customHeight="false" outlineLevel="0" collapsed="false">
      <c r="A27" s="8" t="s">
        <v>85</v>
      </c>
      <c r="D27" s="9" t="n">
        <f aca="false">SUM(D5:D26)</f>
        <v>14871015</v>
      </c>
      <c r="E27" s="9" t="n">
        <f aca="false">SUM(E5:E26)</f>
        <v>16115725</v>
      </c>
      <c r="F27" s="12" t="n">
        <f aca="false">E27/D27-1</f>
        <v>0.0837004064618319</v>
      </c>
    </row>
    <row r="28" customFormat="false" ht="15" hidden="false" customHeight="false" outlineLevel="0" collapsed="false">
      <c r="A28" s="8" t="s">
        <v>86</v>
      </c>
      <c r="D28" s="9" t="n">
        <f aca="false">SUMIF($A$5:$A$26,"SELVA NORTE",D5:D26)</f>
        <v>6430905</v>
      </c>
      <c r="E28" s="9" t="n">
        <f aca="false">SUMIF($A$5:$A$26,"SELVA NORTE",E5:E26)</f>
        <v>7904793</v>
      </c>
      <c r="F28" s="12" t="n">
        <f aca="false">E28/D28-1</f>
        <v>0.229188271324176</v>
      </c>
    </row>
    <row r="29" customFormat="false" ht="15" hidden="false" customHeight="false" outlineLevel="0" collapsed="false">
      <c r="A29" s="8" t="s">
        <v>87</v>
      </c>
      <c r="D29" s="12" t="n">
        <f aca="false">D28/D27</f>
        <v>0.432445599711923</v>
      </c>
      <c r="E29" s="12" t="n">
        <f aca="false">E28/E27</f>
        <v>0.490501854555101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
    <col collapsed="false" customWidth="true" hidden="false" outlineLevel="0" max="3" min="3" style="0" width="14"/>
    <col collapsed="false" customWidth="true" hidden="false" outlineLevel="0" max="4" min="4" style="0" width="13"/>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2"/>
    <col collapsed="false" customWidth="true" hidden="false" outlineLevel="0" max="9" min="9" style="0" width="14"/>
    <col collapsed="false" customWidth="true" hidden="false" outlineLevel="0" max="10" min="10" style="0" width="18"/>
  </cols>
  <sheetData>
    <row r="1" customFormat="false" ht="15" hidden="false" customHeight="false" outlineLevel="0" collapsed="false">
      <c r="A1" s="1" t="s">
        <v>88</v>
      </c>
    </row>
    <row r="2" customFormat="false" ht="15" hidden="false" customHeight="false" outlineLevel="0" collapsed="false">
      <c r="A2" s="4" t="s">
        <v>89</v>
      </c>
    </row>
    <row r="4" customFormat="false" ht="23.85" hidden="false" customHeight="false" outlineLevel="0" collapsed="false">
      <c r="A4" s="5" t="s">
        <v>90</v>
      </c>
      <c r="B4" s="5" t="s">
        <v>91</v>
      </c>
      <c r="C4" s="5" t="s">
        <v>92</v>
      </c>
      <c r="D4" s="5" t="s">
        <v>93</v>
      </c>
      <c r="E4" s="5" t="s">
        <v>94</v>
      </c>
      <c r="F4" s="5" t="s">
        <v>95</v>
      </c>
      <c r="G4" s="5" t="s">
        <v>96</v>
      </c>
      <c r="H4" s="5" t="s">
        <v>97</v>
      </c>
      <c r="I4" s="5" t="s">
        <v>98</v>
      </c>
      <c r="J4" s="5" t="s">
        <v>99</v>
      </c>
    </row>
    <row r="5" customFormat="false" ht="15" hidden="false" customHeight="false" outlineLevel="0" collapsed="false">
      <c r="A5" s="6" t="s">
        <v>100</v>
      </c>
      <c r="B5" s="7" t="n">
        <v>31</v>
      </c>
      <c r="C5" s="7" t="n">
        <v>693088</v>
      </c>
      <c r="D5" s="7" t="n">
        <v>26161</v>
      </c>
      <c r="E5" s="10" t="n">
        <f aca="false">C5+D5</f>
        <v>719249</v>
      </c>
      <c r="F5" s="10" t="n">
        <f aca="false">C5/B5</f>
        <v>22357.6774193548</v>
      </c>
      <c r="G5" s="10" t="n">
        <f aca="false">D5/B5</f>
        <v>843.903225806452</v>
      </c>
      <c r="H5" s="10" t="n">
        <f aca="false">E5/B5</f>
        <v>23201.5806451613</v>
      </c>
      <c r="I5" s="13" t="n">
        <v>71.6166</v>
      </c>
      <c r="J5" s="10" t="n">
        <f aca="false">C5*I5</f>
        <v>49636606.0608</v>
      </c>
    </row>
    <row r="6" customFormat="false" ht="15" hidden="false" customHeight="false" outlineLevel="0" collapsed="false">
      <c r="A6" s="6" t="s">
        <v>101</v>
      </c>
      <c r="B6" s="7" t="n">
        <v>28</v>
      </c>
      <c r="C6" s="7" t="n">
        <v>616589</v>
      </c>
      <c r="D6" s="7" t="n">
        <v>65427</v>
      </c>
      <c r="E6" s="10" t="n">
        <f aca="false">C6+D6</f>
        <v>682016</v>
      </c>
      <c r="F6" s="10" t="n">
        <f aca="false">C6/B6</f>
        <v>22021.0357142857</v>
      </c>
      <c r="G6" s="10" t="n">
        <f aca="false">D6/B6</f>
        <v>2336.67857142857</v>
      </c>
      <c r="H6" s="10" t="n">
        <f aca="false">E6/B6</f>
        <v>24357.7142857143</v>
      </c>
      <c r="I6" s="13" t="n">
        <v>69.1517</v>
      </c>
      <c r="J6" s="10" t="n">
        <f aca="false">C6*I6</f>
        <v>42638177.5513</v>
      </c>
    </row>
    <row r="7" customFormat="false" ht="15" hidden="false" customHeight="false" outlineLevel="0" collapsed="false">
      <c r="A7" s="6" t="s">
        <v>102</v>
      </c>
      <c r="B7" s="7" t="n">
        <v>31</v>
      </c>
      <c r="C7" s="7" t="n">
        <v>712644</v>
      </c>
      <c r="D7" s="7" t="n">
        <v>93980</v>
      </c>
      <c r="E7" s="10" t="n">
        <f aca="false">C7+D7</f>
        <v>806624</v>
      </c>
      <c r="F7" s="10" t="n">
        <f aca="false">C7/B7</f>
        <v>22988.5161290323</v>
      </c>
      <c r="G7" s="10" t="n">
        <f aca="false">D7/B7</f>
        <v>3031.61290322581</v>
      </c>
      <c r="H7" s="10" t="n">
        <f aca="false">E7/B7</f>
        <v>26020.1290322581</v>
      </c>
      <c r="I7" s="13" t="n">
        <v>65.7232</v>
      </c>
      <c r="J7" s="10" t="n">
        <f aca="false">C7*I7</f>
        <v>46837244.1408</v>
      </c>
    </row>
    <row r="8" customFormat="false" ht="15" hidden="false" customHeight="false" outlineLevel="0" collapsed="false">
      <c r="A8" s="6" t="s">
        <v>103</v>
      </c>
      <c r="B8" s="7" t="n">
        <v>30</v>
      </c>
      <c r="C8" s="7" t="n">
        <v>664157</v>
      </c>
      <c r="D8" s="7" t="n">
        <v>162792</v>
      </c>
      <c r="E8" s="10" t="n">
        <f aca="false">C8+D8</f>
        <v>826949</v>
      </c>
      <c r="F8" s="10" t="n">
        <f aca="false">C8/B8</f>
        <v>22138.5666666667</v>
      </c>
      <c r="G8" s="10" t="n">
        <f aca="false">D8/B8</f>
        <v>5426.4</v>
      </c>
      <c r="H8" s="10" t="n">
        <f aca="false">E8/B8</f>
        <v>27564.9666666667</v>
      </c>
      <c r="I8" s="13" t="n">
        <v>60.5637</v>
      </c>
      <c r="J8" s="10" t="n">
        <f aca="false">C8*I8</f>
        <v>40223805.3009</v>
      </c>
    </row>
    <row r="9" customFormat="false" ht="15" hidden="false" customHeight="false" outlineLevel="0" collapsed="false">
      <c r="A9" s="6" t="s">
        <v>104</v>
      </c>
      <c r="B9" s="7" t="n">
        <v>31</v>
      </c>
      <c r="C9" s="7" t="n">
        <v>610125</v>
      </c>
      <c r="D9" s="7" t="n">
        <v>73554</v>
      </c>
      <c r="E9" s="10" t="n">
        <f aca="false">C9+D9</f>
        <v>683679</v>
      </c>
      <c r="F9" s="10" t="n">
        <f aca="false">C9/B9</f>
        <v>19681.4516129032</v>
      </c>
      <c r="G9" s="10" t="n">
        <f aca="false">D9/B9</f>
        <v>2372.70967741935</v>
      </c>
      <c r="H9" s="10" t="n">
        <f aca="false">E9/B9</f>
        <v>22054.1612903226</v>
      </c>
      <c r="I9" s="13" t="n">
        <v>58.4251</v>
      </c>
      <c r="J9" s="10" t="n">
        <f aca="false">C9*I9</f>
        <v>35646614.1375</v>
      </c>
    </row>
    <row r="10" customFormat="false" ht="15" hidden="false" customHeight="false" outlineLevel="0" collapsed="false">
      <c r="A10" s="6" t="s">
        <v>105</v>
      </c>
      <c r="B10" s="7" t="n">
        <v>30</v>
      </c>
      <c r="C10" s="7" t="n">
        <v>544775</v>
      </c>
      <c r="D10" s="7" t="n">
        <v>75971</v>
      </c>
      <c r="E10" s="10" t="n">
        <f aca="false">C10+D10</f>
        <v>620746</v>
      </c>
      <c r="F10" s="10" t="n">
        <f aca="false">C10/B10</f>
        <v>18159.1666666667</v>
      </c>
      <c r="G10" s="10" t="n">
        <f aca="false">D10/B10</f>
        <v>2532.36666666667</v>
      </c>
      <c r="H10" s="10" t="n">
        <f aca="false">E10/B10</f>
        <v>20691.5333333333</v>
      </c>
      <c r="I10" s="13" t="n">
        <v>63.2587</v>
      </c>
      <c r="J10" s="10" t="n">
        <f aca="false">C10*I10</f>
        <v>34461758.2925</v>
      </c>
    </row>
    <row r="11" customFormat="false" ht="15" hidden="false" customHeight="false" outlineLevel="0" collapsed="false">
      <c r="A11" s="6" t="s">
        <v>106</v>
      </c>
      <c r="B11" s="7" t="n">
        <v>31</v>
      </c>
      <c r="C11" s="7" t="n">
        <v>603205</v>
      </c>
      <c r="D11" s="7" t="n">
        <v>135863</v>
      </c>
      <c r="E11" s="10" t="n">
        <f aca="false">C11+D11</f>
        <v>739068</v>
      </c>
      <c r="F11" s="10" t="n">
        <f aca="false">C11/B11</f>
        <v>19458.2258064516</v>
      </c>
      <c r="G11" s="10" t="n">
        <f aca="false">D11/B11</f>
        <v>4382.67741935484</v>
      </c>
      <c r="H11" s="10" t="n">
        <f aca="false">E11/B11</f>
        <v>23840.9032258065</v>
      </c>
      <c r="I11" s="13" t="n">
        <v>64.3756</v>
      </c>
      <c r="J11" s="10" t="n">
        <f aca="false">C11*I11</f>
        <v>38831683.798</v>
      </c>
    </row>
    <row r="12" customFormat="false" ht="15" hidden="false" customHeight="false" outlineLevel="0" collapsed="false">
      <c r="A12" s="6" t="s">
        <v>107</v>
      </c>
      <c r="B12" s="7" t="n">
        <v>31</v>
      </c>
      <c r="C12" s="7" t="n">
        <v>538590</v>
      </c>
      <c r="D12" s="7" t="n">
        <v>113592</v>
      </c>
      <c r="E12" s="10" t="n">
        <f aca="false">C12+D12</f>
        <v>652182</v>
      </c>
      <c r="F12" s="10" t="n">
        <f aca="false">C12/B12</f>
        <v>17373.8709677419</v>
      </c>
      <c r="G12" s="10" t="n">
        <f aca="false">D12/B12</f>
        <v>3664.25806451613</v>
      </c>
      <c r="H12" s="10" t="n">
        <f aca="false">E12/B12</f>
        <v>21038.1290322581</v>
      </c>
      <c r="I12" s="13" t="n">
        <v>62.0324</v>
      </c>
      <c r="J12" s="10" t="n">
        <f aca="false">C12*I12</f>
        <v>33410030.316</v>
      </c>
    </row>
    <row r="13" customFormat="false" ht="15" hidden="false" customHeight="false" outlineLevel="0" collapsed="false">
      <c r="A13" s="6" t="s">
        <v>108</v>
      </c>
      <c r="B13" s="7" t="n">
        <v>30</v>
      </c>
      <c r="C13" s="7" t="n">
        <v>485392</v>
      </c>
      <c r="D13" s="7" t="n">
        <v>116510</v>
      </c>
      <c r="E13" s="10" t="n">
        <f aca="false">C13+D13</f>
        <v>601902</v>
      </c>
      <c r="F13" s="10" t="n">
        <f aca="false">C13/B13</f>
        <v>16179.7333333333</v>
      </c>
      <c r="G13" s="10" t="n">
        <f aca="false">D13/B13</f>
        <v>3883.66666666667</v>
      </c>
      <c r="H13" s="10" t="n">
        <f aca="false">E13/B13</f>
        <v>20063.4</v>
      </c>
      <c r="I13" s="13" t="n">
        <v>62.0611</v>
      </c>
      <c r="J13" s="10" t="n">
        <f aca="false">C13*I13</f>
        <v>30123961.4512</v>
      </c>
    </row>
    <row r="14" customFormat="false" ht="15" hidden="false" customHeight="false" outlineLevel="0" collapsed="false">
      <c r="A14" s="6" t="s">
        <v>109</v>
      </c>
      <c r="B14" s="7" t="n">
        <v>31</v>
      </c>
      <c r="C14" s="7" t="n">
        <v>438777</v>
      </c>
      <c r="D14" s="7" t="n">
        <v>121476</v>
      </c>
      <c r="E14" s="10" t="n">
        <f aca="false">C14+D14</f>
        <v>560253</v>
      </c>
      <c r="F14" s="10" t="n">
        <f aca="false">C14/B14</f>
        <v>14154.0967741936</v>
      </c>
      <c r="G14" s="10" t="n">
        <f aca="false">D14/B14</f>
        <v>3918.58064516129</v>
      </c>
      <c r="H14" s="10" t="n">
        <f aca="false">E14/B14</f>
        <v>18072.6774193548</v>
      </c>
      <c r="I14" s="13" t="n">
        <v>57.9806</v>
      </c>
      <c r="J14" s="10" t="n">
        <f aca="false">C14*I14</f>
        <v>25440553.7262</v>
      </c>
    </row>
    <row r="15" customFormat="false" ht="15" hidden="false" customHeight="false" outlineLevel="0" collapsed="false">
      <c r="A15" s="6" t="s">
        <v>110</v>
      </c>
      <c r="B15" s="7" t="n">
        <v>30</v>
      </c>
      <c r="C15" s="7" t="n">
        <v>412338</v>
      </c>
      <c r="D15" s="7" t="n">
        <v>63169</v>
      </c>
      <c r="E15" s="10" t="n">
        <f aca="false">C15+D15</f>
        <v>475507</v>
      </c>
      <c r="F15" s="10" t="n">
        <f aca="false">C15/B15</f>
        <v>13744.6</v>
      </c>
      <c r="G15" s="10" t="n">
        <f aca="false">D15/B15</f>
        <v>2105.63333333333</v>
      </c>
      <c r="H15" s="10" t="n">
        <f aca="false">E15/B15</f>
        <v>15850.2333333333</v>
      </c>
      <c r="I15" s="13" t="n">
        <v>57.1132</v>
      </c>
      <c r="J15" s="10" t="n">
        <f aca="false">C15*I15</f>
        <v>23549942.6616</v>
      </c>
    </row>
    <row r="16" customFormat="false" ht="15" hidden="false" customHeight="false" outlineLevel="0" collapsed="false">
      <c r="A16" s="6" t="s">
        <v>111</v>
      </c>
      <c r="B16" s="7" t="n">
        <v>31</v>
      </c>
      <c r="C16" s="7" t="n">
        <v>455375</v>
      </c>
      <c r="D16" s="7" t="n">
        <v>81243</v>
      </c>
      <c r="E16" s="10" t="n">
        <f aca="false">C16+D16</f>
        <v>536618</v>
      </c>
      <c r="F16" s="10" t="n">
        <f aca="false">C16/B16</f>
        <v>14689.5161290323</v>
      </c>
      <c r="G16" s="10" t="n">
        <f aca="false">D16/B16</f>
        <v>2620.74193548387</v>
      </c>
      <c r="H16" s="10" t="n">
        <f aca="false">E16/B16</f>
        <v>17310.2580645161</v>
      </c>
      <c r="I16" s="13" t="n">
        <v>55.0686</v>
      </c>
      <c r="J16" s="10" t="n">
        <f aca="false">C16*I16</f>
        <v>25076863.725</v>
      </c>
    </row>
    <row r="17" customFormat="false" ht="15" hidden="false" customHeight="false" outlineLevel="0" collapsed="false">
      <c r="A17" s="8" t="s">
        <v>112</v>
      </c>
      <c r="B17" s="9" t="n">
        <f aca="false">SUM(B5:B16)</f>
        <v>365</v>
      </c>
      <c r="C17" s="9" t="n">
        <f aca="false">SUM(C5:C16)</f>
        <v>6775055</v>
      </c>
      <c r="D17" s="9" t="n">
        <f aca="false">SUM(D5:D16)</f>
        <v>1129738</v>
      </c>
      <c r="E17" s="9" t="n">
        <f aca="false">SUM(E5:E16)</f>
        <v>7904793</v>
      </c>
      <c r="F17" s="9" t="n">
        <f aca="false">C17/B17</f>
        <v>18561.7945205479</v>
      </c>
      <c r="G17" s="9" t="n">
        <f aca="false">D17/B17</f>
        <v>3095.17260273973</v>
      </c>
      <c r="H17" s="9" t="n">
        <f aca="false">E17/B17</f>
        <v>21656.9671232877</v>
      </c>
      <c r="I17" s="14" t="n">
        <f aca="false">AVERAGE(I5:I16)</f>
        <v>62.280875</v>
      </c>
      <c r="J17" s="9" t="n">
        <f aca="false">SUM(J5:J16)</f>
        <v>425877241.1618</v>
      </c>
    </row>
    <row r="18" customFormat="false" ht="15" hidden="false" customHeight="false" outlineLevel="0" collapsed="false">
      <c r="A18" s="6" t="s">
        <v>113</v>
      </c>
      <c r="C18" s="10" t="n">
        <f aca="false">SUM(C5:C10)</f>
        <v>3841378</v>
      </c>
      <c r="E18" s="10" t="n">
        <f aca="false">SUM(E5:E10)</f>
        <v>4339263</v>
      </c>
    </row>
    <row r="19" customFormat="false" ht="15" hidden="false" customHeight="false" outlineLevel="0" collapsed="false">
      <c r="A19" s="6" t="s">
        <v>114</v>
      </c>
      <c r="C19" s="10" t="n">
        <f aca="false">SUM(C11:C16)</f>
        <v>2933677</v>
      </c>
      <c r="E19" s="10" t="n">
        <f aca="false">SUM(E11:E16)</f>
        <v>3565530</v>
      </c>
    </row>
    <row r="20" customFormat="false" ht="15" hidden="false" customHeight="false" outlineLevel="0" collapsed="false">
      <c r="A20" s="6" t="s">
        <v>115</v>
      </c>
      <c r="C20" s="11" t="n">
        <f aca="false">C19/C18-1</f>
        <v>-0.236295673063156</v>
      </c>
      <c r="E20" s="11" t="n">
        <f aca="false">E19/E18-1</f>
        <v>-0.178309772880786</v>
      </c>
    </row>
    <row r="22" customFormat="false" ht="15" hidden="false" customHeight="false" outlineLevel="0" collapsed="false">
      <c r="A22" s="4"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26"/>
    <col collapsed="false" customWidth="true" hidden="false" outlineLevel="0" max="4" min="3" style="0" width="18"/>
    <col collapsed="false" customWidth="true" hidden="false" outlineLevel="0" max="5" min="5" style="0" width="11"/>
  </cols>
  <sheetData>
    <row r="1" customFormat="false" ht="15" hidden="false" customHeight="false" outlineLevel="0" collapsed="false">
      <c r="A1" s="1" t="s">
        <v>117</v>
      </c>
    </row>
    <row r="2" customFormat="false" ht="15" hidden="false" customHeight="false" outlineLevel="0" collapsed="false">
      <c r="A2" s="4" t="s">
        <v>118</v>
      </c>
    </row>
    <row r="4" customFormat="false" ht="15" hidden="false" customHeight="false" outlineLevel="0" collapsed="false">
      <c r="A4" s="5" t="s">
        <v>13</v>
      </c>
      <c r="B4" s="5" t="s">
        <v>119</v>
      </c>
      <c r="C4" s="5" t="s">
        <v>22</v>
      </c>
      <c r="D4" s="5" t="s">
        <v>23</v>
      </c>
      <c r="E4" s="5" t="s">
        <v>48</v>
      </c>
    </row>
    <row r="5" customFormat="false" ht="15" hidden="false" customHeight="false" outlineLevel="0" collapsed="false">
      <c r="A5" s="6" t="s">
        <v>34</v>
      </c>
      <c r="B5" s="6" t="s">
        <v>34</v>
      </c>
      <c r="C5" s="15" t="n">
        <v>27342744.78</v>
      </c>
      <c r="D5" s="15" t="n">
        <v>24395965.48</v>
      </c>
      <c r="E5" s="11" t="n">
        <f aca="false">IF(C5=0,"",D5/C5-1)</f>
        <v>-0.107771890631676</v>
      </c>
    </row>
    <row r="6" customFormat="false" ht="15" hidden="false" customHeight="false" outlineLevel="0" collapsed="false">
      <c r="A6" s="6" t="s">
        <v>28</v>
      </c>
      <c r="B6" s="6" t="s">
        <v>120</v>
      </c>
      <c r="C6" s="15" t="n">
        <v>366750.79</v>
      </c>
      <c r="D6" s="15" t="n">
        <v>2094105.9</v>
      </c>
      <c r="E6" s="11" t="n">
        <f aca="false">IF(C6=0,"",D6/C6-1)</f>
        <v>4.70988790508127</v>
      </c>
    </row>
    <row r="7" customFormat="false" ht="15" hidden="false" customHeight="false" outlineLevel="0" collapsed="false">
      <c r="A7" s="6" t="s">
        <v>28</v>
      </c>
      <c r="B7" s="6" t="s">
        <v>121</v>
      </c>
      <c r="C7" s="15" t="n">
        <v>0</v>
      </c>
      <c r="D7" s="15" t="n">
        <v>7897637.12</v>
      </c>
      <c r="E7" s="11" t="str">
        <f aca="false">IF(C7=0,"",D7/C7-1)</f>
        <v/>
      </c>
    </row>
    <row r="8" customFormat="false" ht="15" hidden="false" customHeight="false" outlineLevel="0" collapsed="false">
      <c r="A8" s="8" t="s">
        <v>122</v>
      </c>
      <c r="C8" s="16" t="n">
        <f aca="false">SUM(C5:C7)</f>
        <v>27709495.57</v>
      </c>
      <c r="D8" s="16" t="n">
        <f aca="false">SUM(D5:D7)</f>
        <v>34387708.5</v>
      </c>
      <c r="E8" s="12" t="n">
        <f aca="false">D8/C8-1</f>
        <v>0.241008101830271</v>
      </c>
    </row>
    <row r="9" customFormat="false" ht="15" hidden="false" customHeight="false" outlineLevel="0" collapsed="false">
      <c r="A9" s="6" t="s">
        <v>123</v>
      </c>
      <c r="C9" s="15" t="n">
        <v>1198995518.22</v>
      </c>
      <c r="D9" s="15" t="n">
        <v>1076200631.44</v>
      </c>
      <c r="E9" s="11" t="n">
        <f aca="false">D9/C9-1</f>
        <v>-0.102414800484241</v>
      </c>
    </row>
    <row r="10" customFormat="false" ht="15" hidden="false" customHeight="false" outlineLevel="0" collapsed="false">
      <c r="A10" s="6" t="s">
        <v>124</v>
      </c>
      <c r="C10" s="11" t="n">
        <f aca="false">C8/C9</f>
        <v>0.0231105914483624</v>
      </c>
      <c r="D10" s="11" t="n">
        <f aca="false">D8/D9</f>
        <v>0.0319528789478481</v>
      </c>
    </row>
    <row r="12" customFormat="false" ht="15" hidden="false" customHeight="false" outlineLevel="0" collapsed="false">
      <c r="A12" s="8" t="s">
        <v>125</v>
      </c>
    </row>
    <row r="13" customFormat="false" ht="15" hidden="false" customHeight="false" outlineLevel="0" collapsed="false">
      <c r="A13" s="6" t="s">
        <v>126</v>
      </c>
      <c r="C13" s="7" t="n">
        <v>6395837</v>
      </c>
      <c r="D13" s="17" t="n">
        <f aca="false">Loreto_mensual_2025!C17</f>
        <v>6775055</v>
      </c>
      <c r="E13" s="11" t="n">
        <f aca="false">D13/C13-1</f>
        <v>0.0592913796896324</v>
      </c>
    </row>
    <row r="14" customFormat="false" ht="15" hidden="false" customHeight="false" outlineLevel="0" collapsed="false">
      <c r="A14" s="6" t="s">
        <v>127</v>
      </c>
      <c r="C14" s="13" t="n">
        <v>75.1517</v>
      </c>
      <c r="D14" s="18" t="n">
        <f aca="false">Loreto_mensual_2025!I17</f>
        <v>62.280875</v>
      </c>
      <c r="E14" s="11" t="n">
        <f aca="false">D14/C14-1</f>
        <v>-0.171264588825003</v>
      </c>
    </row>
    <row r="15" customFormat="false" ht="15" hidden="false" customHeight="false" outlineLevel="0" collapsed="false">
      <c r="A15" s="6" t="s">
        <v>128</v>
      </c>
      <c r="C15" s="7" t="n">
        <v>476995159.31</v>
      </c>
      <c r="D15" s="17" t="n">
        <f aca="false">Loreto_mensual_2025!J17</f>
        <v>425877241.1618</v>
      </c>
      <c r="E15" s="11" t="n">
        <f aca="false">D15/C15-1</f>
        <v>-0.107166534398682</v>
      </c>
    </row>
    <row r="16" customFormat="false" ht="15" hidden="false" customHeight="false" outlineLevel="0" collapsed="false">
      <c r="A16" s="6" t="s">
        <v>129</v>
      </c>
      <c r="C16" s="11" t="n">
        <f aca="false">C5/C15</f>
        <v>0.0573228978246924</v>
      </c>
      <c r="D16" s="11" t="n">
        <f aca="false">D5/D15</f>
        <v>0.0572840319277156</v>
      </c>
    </row>
    <row r="17" customFormat="false" ht="15" hidden="false" customHeight="false" outlineLevel="0" collapsed="false">
      <c r="A17" s="6" t="s">
        <v>130</v>
      </c>
      <c r="C17" s="19" t="n">
        <f aca="false">C5/C13</f>
        <v>4.27508468086351</v>
      </c>
      <c r="D17" s="19" t="n">
        <f aca="false">D5/D13</f>
        <v>3.60085128165011</v>
      </c>
    </row>
    <row r="18" customFormat="false" ht="15" hidden="false" customHeight="false" outlineLevel="0" collapsed="false">
      <c r="A18" s="6" t="s">
        <v>131</v>
      </c>
      <c r="D18" s="19" t="n">
        <f aca="false">(D6+D7)/Loreto_mensual_2025!D17</f>
        <v>8.84430108573846</v>
      </c>
    </row>
    <row r="20" customFormat="false" ht="15" hidden="false" customHeight="false" outlineLevel="0" collapsed="false">
      <c r="A20" s="4"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20"/>
    <col collapsed="false" customWidth="true" hidden="false" outlineLevel="0" max="4" min="4" style="0" width="18"/>
  </cols>
  <sheetData>
    <row r="1" customFormat="false" ht="15" hidden="false" customHeight="false" outlineLevel="0" collapsed="false">
      <c r="A1" s="1" t="s">
        <v>133</v>
      </c>
    </row>
    <row r="2" customFormat="false" ht="15" hidden="false" customHeight="false" outlineLevel="0" collapsed="false">
      <c r="A2" s="4" t="s">
        <v>134</v>
      </c>
    </row>
    <row r="4" customFormat="false" ht="23.85" hidden="false" customHeight="false" outlineLevel="0" collapsed="false">
      <c r="A4" s="5" t="s">
        <v>90</v>
      </c>
      <c r="B4" s="5" t="s">
        <v>135</v>
      </c>
      <c r="C4" s="5" t="s">
        <v>136</v>
      </c>
      <c r="D4" s="5" t="s">
        <v>124</v>
      </c>
    </row>
    <row r="5" customFormat="false" ht="15" hidden="false" customHeight="false" outlineLevel="0" collapsed="false">
      <c r="A5" s="6" t="s">
        <v>100</v>
      </c>
      <c r="B5" s="15" t="n">
        <v>23.16</v>
      </c>
      <c r="C5" s="15" t="n">
        <v>223.07</v>
      </c>
      <c r="D5" s="11" t="n">
        <f aca="false">B5/C5</f>
        <v>0.103823911776572</v>
      </c>
    </row>
    <row r="6" customFormat="false" ht="15" hidden="false" customHeight="false" outlineLevel="0" collapsed="false">
      <c r="A6" s="6" t="s">
        <v>101</v>
      </c>
      <c r="B6" s="15" t="n">
        <v>21.09</v>
      </c>
      <c r="C6" s="15" t="n">
        <v>207.58</v>
      </c>
      <c r="D6" s="11" t="n">
        <f aca="false">B6/C6</f>
        <v>0.101599383370267</v>
      </c>
    </row>
    <row r="7" customFormat="false" ht="15" hidden="false" customHeight="false" outlineLevel="0" collapsed="false">
      <c r="A7" s="6" t="s">
        <v>102</v>
      </c>
      <c r="B7" s="15" t="n">
        <v>24.01</v>
      </c>
      <c r="C7" s="15" t="n">
        <v>227.54</v>
      </c>
      <c r="D7" s="11" t="n">
        <f aca="false">B7/C7</f>
        <v>0.105519908587501</v>
      </c>
    </row>
    <row r="8" customFormat="false" ht="15" hidden="false" customHeight="false" outlineLevel="0" collapsed="false">
      <c r="A8" s="6" t="s">
        <v>103</v>
      </c>
      <c r="B8" s="15" t="n">
        <v>22.62</v>
      </c>
      <c r="C8" s="15" t="n">
        <v>177.68</v>
      </c>
      <c r="D8" s="11" t="n">
        <f aca="false">B8/C8</f>
        <v>0.127307519135525</v>
      </c>
    </row>
    <row r="9" customFormat="false" ht="15" hidden="false" customHeight="false" outlineLevel="0" collapsed="false">
      <c r="A9" s="6" t="s">
        <v>104</v>
      </c>
      <c r="B9" s="15" t="n">
        <v>17.03</v>
      </c>
      <c r="C9" s="15" t="n">
        <v>179.39</v>
      </c>
      <c r="D9" s="11" t="n">
        <f aca="false">B9/C9</f>
        <v>0.0949328279168293</v>
      </c>
    </row>
    <row r="10" customFormat="false" ht="15" hidden="false" customHeight="false" outlineLevel="0" collapsed="false">
      <c r="A10" s="6" t="s">
        <v>105</v>
      </c>
      <c r="B10" s="15" t="n">
        <v>16.91</v>
      </c>
      <c r="C10" s="15" t="n">
        <v>191.52</v>
      </c>
      <c r="D10" s="11" t="n">
        <f aca="false">B10/C10</f>
        <v>0.0882936507936508</v>
      </c>
    </row>
    <row r="11" customFormat="false" ht="15" hidden="false" customHeight="false" outlineLevel="0" collapsed="false">
      <c r="A11" s="6" t="s">
        <v>106</v>
      </c>
      <c r="B11" s="15" t="n">
        <v>20.44</v>
      </c>
      <c r="C11" s="15" t="n">
        <v>200.12</v>
      </c>
      <c r="D11" s="11" t="n">
        <f aca="false">B11/C11</f>
        <v>0.102138716769938</v>
      </c>
    </row>
    <row r="12" customFormat="false" ht="15" hidden="false" customHeight="false" outlineLevel="0" collapsed="false">
      <c r="A12" s="6" t="s">
        <v>107</v>
      </c>
      <c r="B12" s="15" t="n">
        <v>16.97</v>
      </c>
      <c r="C12" s="15" t="n">
        <v>162.33</v>
      </c>
      <c r="D12" s="11" t="n">
        <f aca="false">B12/C12</f>
        <v>0.104540134294339</v>
      </c>
    </row>
    <row r="13" customFormat="false" ht="15" hidden="false" customHeight="false" outlineLevel="0" collapsed="false">
      <c r="A13" s="6" t="s">
        <v>108</v>
      </c>
      <c r="B13" s="15" t="n">
        <v>15.05</v>
      </c>
      <c r="C13" s="15" t="n">
        <v>164.96</v>
      </c>
      <c r="D13" s="11" t="n">
        <f aca="false">B13/C13</f>
        <v>0.0912342386032978</v>
      </c>
    </row>
    <row r="14" customFormat="false" ht="15" hidden="false" customHeight="false" outlineLevel="0" collapsed="false">
      <c r="A14" s="6" t="s">
        <v>109</v>
      </c>
      <c r="B14" s="15" t="n">
        <v>13.68</v>
      </c>
      <c r="C14" s="15" t="n">
        <v>170.55</v>
      </c>
      <c r="D14" s="11" t="n">
        <f aca="false">B14/C14</f>
        <v>0.0802110817941952</v>
      </c>
    </row>
    <row r="15" customFormat="false" ht="15" hidden="false" customHeight="false" outlineLevel="0" collapsed="false">
      <c r="A15" s="6" t="s">
        <v>110</v>
      </c>
      <c r="B15" s="15" t="n">
        <v>10.93</v>
      </c>
      <c r="C15" s="15" t="n">
        <v>146.92</v>
      </c>
      <c r="D15" s="11" t="n">
        <f aca="false">B15/C15</f>
        <v>0.0743942281513749</v>
      </c>
    </row>
    <row r="16" customFormat="false" ht="15" hidden="false" customHeight="false" outlineLevel="0" collapsed="false">
      <c r="A16" s="6" t="s">
        <v>111</v>
      </c>
      <c r="B16" s="15" t="n">
        <v>11.96</v>
      </c>
      <c r="C16" s="15" t="n">
        <v>148.06</v>
      </c>
      <c r="D16" s="11" t="n">
        <f aca="false">B16/C16</f>
        <v>0.0807780629474537</v>
      </c>
    </row>
    <row r="17" customFormat="false" ht="15" hidden="false" customHeight="false" outlineLevel="0" collapsed="false">
      <c r="A17" s="8" t="s">
        <v>137</v>
      </c>
      <c r="B17" s="16" t="n">
        <f aca="false">SUM(B5:B16)</f>
        <v>213.85</v>
      </c>
      <c r="C17" s="16" t="n">
        <f aca="false">SUM(C5:C16)</f>
        <v>2199.72</v>
      </c>
      <c r="D17" s="12" t="n">
        <f aca="false">B17/C17</f>
        <v>0.0972169185169021</v>
      </c>
    </row>
    <row r="18" customFormat="false" ht="15" hidden="false" customHeight="false" outlineLevel="0" collapsed="false">
      <c r="A18" s="6" t="s">
        <v>113</v>
      </c>
      <c r="B18" s="19" t="n">
        <f aca="false">SUM(B5:B10)</f>
        <v>124.82</v>
      </c>
    </row>
    <row r="19" customFormat="false" ht="15" hidden="false" customHeight="false" outlineLevel="0" collapsed="false">
      <c r="A19" s="6" t="s">
        <v>114</v>
      </c>
      <c r="B19" s="19" t="n">
        <f aca="false">SUM(B11:B16)</f>
        <v>89.03</v>
      </c>
    </row>
    <row r="20" customFormat="false" ht="15" hidden="false" customHeight="false" outlineLevel="0" collapsed="false">
      <c r="A20" s="6" t="s">
        <v>115</v>
      </c>
      <c r="B20" s="11" t="n">
        <f aca="false">B19/B18-1</f>
        <v>-0.286732895369332</v>
      </c>
    </row>
    <row r="22" customFormat="false" ht="15" hidden="false" customHeight="false" outlineLevel="0" collapsed="false">
      <c r="A22" s="6" t="s">
        <v>138</v>
      </c>
      <c r="B22" s="15" t="n">
        <v>219.13</v>
      </c>
    </row>
    <row r="23" customFormat="false" ht="15" hidden="false" customHeight="false" outlineLevel="0" collapsed="false">
      <c r="A23" s="8" t="s">
        <v>139</v>
      </c>
      <c r="B23" s="12" t="n">
        <f aca="false">B17/B22-1</f>
        <v>-0.0240952859033451</v>
      </c>
    </row>
    <row r="24" customFormat="false" ht="15" hidden="false" customHeight="false" outlineLevel="0" collapsed="false">
      <c r="A24" s="6" t="s">
        <v>140</v>
      </c>
      <c r="B24" s="15" t="n">
        <v>20.19</v>
      </c>
    </row>
    <row r="26" customFormat="false" ht="15" hidden="false" customHeight="false" outlineLevel="0" collapsed="false">
      <c r="A26" s="4"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22"/>
    <col collapsed="false" customWidth="true" hidden="false" outlineLevel="0" max="6" min="4" style="0" width="16"/>
  </cols>
  <sheetData>
    <row r="1" customFormat="false" ht="15" hidden="false" customHeight="false" outlineLevel="0" collapsed="false">
      <c r="A1" s="1" t="s">
        <v>142</v>
      </c>
    </row>
    <row r="2" customFormat="false" ht="15" hidden="false" customHeight="false" outlineLevel="0" collapsed="false">
      <c r="A2" s="4" t="s">
        <v>143</v>
      </c>
    </row>
    <row r="4" customFormat="false" ht="23.85" hidden="false" customHeight="false" outlineLevel="0" collapsed="false">
      <c r="A4" s="5" t="s">
        <v>144</v>
      </c>
      <c r="B4" s="5" t="s">
        <v>145</v>
      </c>
      <c r="C4" s="5" t="s">
        <v>146</v>
      </c>
      <c r="D4" s="5" t="s">
        <v>147</v>
      </c>
      <c r="E4" s="5" t="s">
        <v>148</v>
      </c>
      <c r="F4" s="5" t="s">
        <v>149</v>
      </c>
    </row>
    <row r="5" customFormat="false" ht="15" hidden="false" customHeight="false" outlineLevel="0" collapsed="false">
      <c r="A5" s="6" t="s">
        <v>19</v>
      </c>
      <c r="B5" s="7" t="n">
        <v>3</v>
      </c>
      <c r="C5" s="7" t="n">
        <v>0</v>
      </c>
      <c r="D5" s="7" t="n">
        <v>109</v>
      </c>
      <c r="E5" s="7" t="n">
        <v>1</v>
      </c>
      <c r="F5" s="7" t="n">
        <v>0</v>
      </c>
    </row>
    <row r="6" customFormat="false" ht="15" hidden="false" customHeight="false" outlineLevel="0" collapsed="false">
      <c r="A6" s="6" t="s">
        <v>20</v>
      </c>
      <c r="B6" s="7" t="n">
        <v>4</v>
      </c>
      <c r="C6" s="7" t="n">
        <v>0</v>
      </c>
      <c r="D6" s="7" t="n">
        <v>91</v>
      </c>
      <c r="E6" s="7" t="n">
        <v>0</v>
      </c>
      <c r="F6" s="7" t="n">
        <v>0</v>
      </c>
    </row>
    <row r="7" customFormat="false" ht="15" hidden="false" customHeight="false" outlineLevel="0" collapsed="false">
      <c r="A7" s="6" t="s">
        <v>21</v>
      </c>
      <c r="B7" s="7" t="n">
        <v>3</v>
      </c>
      <c r="C7" s="7" t="n">
        <v>0</v>
      </c>
      <c r="D7" s="7" t="n">
        <v>41</v>
      </c>
      <c r="E7" s="7" t="n">
        <v>0</v>
      </c>
      <c r="F7" s="7" t="n">
        <v>0</v>
      </c>
    </row>
    <row r="8" customFormat="false" ht="15" hidden="false" customHeight="false" outlineLevel="0" collapsed="false">
      <c r="A8" s="6" t="s">
        <v>22</v>
      </c>
      <c r="B8" s="7" t="n">
        <v>6</v>
      </c>
      <c r="C8" s="7" t="n">
        <v>0</v>
      </c>
      <c r="D8" s="7" t="n">
        <v>58</v>
      </c>
      <c r="E8" s="7" t="n">
        <v>2</v>
      </c>
      <c r="F8" s="7" t="n">
        <v>2</v>
      </c>
    </row>
    <row r="9" customFormat="false" ht="15" hidden="false" customHeight="false" outlineLevel="0" collapsed="false">
      <c r="A9" s="6" t="s">
        <v>23</v>
      </c>
      <c r="B9" s="7" t="n">
        <v>1</v>
      </c>
      <c r="C9" s="7" t="n">
        <v>0</v>
      </c>
      <c r="D9" s="7" t="n">
        <v>69</v>
      </c>
      <c r="E9" s="7" t="n">
        <v>0</v>
      </c>
      <c r="F9" s="7"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3" min="2" style="0" width="13"/>
    <col collapsed="false" customWidth="true" hidden="false" outlineLevel="0" max="5" min="4" style="0" width="12"/>
    <col collapsed="false" customWidth="true" hidden="false" outlineLevel="0" max="6" min="6" style="0" width="13"/>
    <col collapsed="false" customWidth="true" hidden="false" outlineLevel="0" max="10" min="7" style="0" width="11"/>
    <col collapsed="false" customWidth="true" hidden="false" outlineLevel="0" max="12" min="11" style="0" width="14"/>
  </cols>
  <sheetData>
    <row r="1" customFormat="false" ht="15" hidden="false" customHeight="false" outlineLevel="0" collapsed="false">
      <c r="A1" s="1" t="s">
        <v>150</v>
      </c>
    </row>
    <row r="2" customFormat="false" ht="15" hidden="false" customHeight="false" outlineLevel="0" collapsed="false">
      <c r="A2" s="4" t="s">
        <v>151</v>
      </c>
    </row>
    <row r="4" customFormat="false" ht="45" hidden="false" customHeight="true" outlineLevel="0" collapsed="false">
      <c r="A4" s="5" t="s">
        <v>152</v>
      </c>
      <c r="B4" s="5" t="s">
        <v>153</v>
      </c>
      <c r="C4" s="5" t="s">
        <v>154</v>
      </c>
      <c r="D4" s="5" t="s">
        <v>155</v>
      </c>
      <c r="E4" s="5" t="s">
        <v>156</v>
      </c>
      <c r="F4" s="5" t="s">
        <v>157</v>
      </c>
      <c r="G4" s="5" t="s">
        <v>158</v>
      </c>
      <c r="H4" s="5" t="s">
        <v>159</v>
      </c>
      <c r="I4" s="5" t="s">
        <v>160</v>
      </c>
      <c r="J4" s="5" t="s">
        <v>161</v>
      </c>
      <c r="K4" s="5" t="s">
        <v>162</v>
      </c>
      <c r="L4" s="5" t="s">
        <v>163</v>
      </c>
    </row>
    <row r="5" customFormat="false" ht="15" hidden="false" customHeight="false" outlineLevel="0" collapsed="false">
      <c r="A5" s="6" t="s">
        <v>164</v>
      </c>
      <c r="B5" s="7" t="n">
        <v>904206</v>
      </c>
      <c r="C5" s="7" t="n">
        <v>888572</v>
      </c>
      <c r="D5" s="11" t="n">
        <f aca="false">C5/B5-1</f>
        <v>-0.017290307739608</v>
      </c>
      <c r="E5" s="20" t="n">
        <v>-1.7</v>
      </c>
      <c r="F5" s="15" t="n">
        <v>1.69</v>
      </c>
      <c r="G5" s="11" t="n">
        <f aca="false">B5/B$16</f>
        <v>0.0882275455458753</v>
      </c>
      <c r="H5" s="11" t="n">
        <f aca="false">C5/C$16</f>
        <v>0.0826149698468172</v>
      </c>
      <c r="I5" s="20" t="n">
        <v>8.8</v>
      </c>
      <c r="J5" s="20" t="n">
        <v>8.3</v>
      </c>
      <c r="K5" s="19" t="n">
        <f aca="false">(C5-B5)/B$16*100</f>
        <v>-0.152548141359847</v>
      </c>
      <c r="L5" s="11" t="n">
        <f aca="false">(C5-B5)/(C$16-B$16)</f>
        <v>-0.0308355012593365</v>
      </c>
    </row>
    <row r="6" customFormat="false" ht="15" hidden="false" customHeight="false" outlineLevel="0" collapsed="false">
      <c r="A6" s="8" t="s">
        <v>165</v>
      </c>
      <c r="B6" s="7" t="n">
        <v>2241750</v>
      </c>
      <c r="C6" s="7" t="n">
        <v>2493578</v>
      </c>
      <c r="D6" s="11" t="n">
        <f aca="false">C6/B6-1</f>
        <v>0.112335452213672</v>
      </c>
      <c r="E6" s="20" t="n">
        <v>11.2</v>
      </c>
      <c r="F6" s="15" t="n">
        <v>13.47</v>
      </c>
      <c r="G6" s="11" t="n">
        <f aca="false">B6/B$16</f>
        <v>0.218737876355019</v>
      </c>
      <c r="H6" s="11" t="n">
        <f aca="false">C6/C$16</f>
        <v>0.231840381286701</v>
      </c>
      <c r="I6" s="20" t="n">
        <v>21.9</v>
      </c>
      <c r="J6" s="20" t="n">
        <v>23.2</v>
      </c>
      <c r="K6" s="19" t="n">
        <f aca="false">(C6-B6)/B$16*100</f>
        <v>2.45720182565994</v>
      </c>
      <c r="L6" s="11" t="n">
        <f aca="false">(C6-B6)/(C$16-B$16)</f>
        <v>0.496689433998734</v>
      </c>
    </row>
    <row r="7" customFormat="false" ht="15" hidden="false" customHeight="false" outlineLevel="0" collapsed="false">
      <c r="A7" s="6" t="s">
        <v>166</v>
      </c>
      <c r="B7" s="7" t="n">
        <v>596816</v>
      </c>
      <c r="C7" s="7" t="n">
        <v>657521</v>
      </c>
      <c r="D7" s="11" t="n">
        <f aca="false">C7/B7-1</f>
        <v>0.101714766360151</v>
      </c>
      <c r="E7" s="20" t="n">
        <v>10.2</v>
      </c>
      <c r="F7" s="15" t="n">
        <v>0.2</v>
      </c>
      <c r="G7" s="11" t="n">
        <f aca="false">B7/B$16</f>
        <v>0.0582340869475618</v>
      </c>
      <c r="H7" s="11" t="n">
        <f aca="false">C7/C$16</f>
        <v>0.0611330062039419</v>
      </c>
      <c r="I7" s="20" t="n">
        <v>5.8</v>
      </c>
      <c r="J7" s="20" t="n">
        <v>6.1</v>
      </c>
      <c r="K7" s="19" t="n">
        <f aca="false">(C7-B7)/B$16*100</f>
        <v>0.592326654806799</v>
      </c>
      <c r="L7" s="11" t="n">
        <f aca="false">(C7-B7)/(C$16-B$16)</f>
        <v>0.119730657793784</v>
      </c>
    </row>
    <row r="8" customFormat="false" ht="15" hidden="false" customHeight="false" outlineLevel="0" collapsed="false">
      <c r="A8" s="6" t="s">
        <v>167</v>
      </c>
      <c r="B8" s="7" t="n">
        <v>135328</v>
      </c>
      <c r="C8" s="7" t="n">
        <v>135246</v>
      </c>
      <c r="D8" s="11" t="n">
        <f aca="false">C8/B8-1</f>
        <v>-0.000605935209269326</v>
      </c>
      <c r="E8" s="20" t="n">
        <v>-0.1</v>
      </c>
      <c r="F8" s="15" t="n">
        <v>2.94</v>
      </c>
      <c r="G8" s="11" t="n">
        <f aca="false">B8/B$16</f>
        <v>0.0132045764832706</v>
      </c>
      <c r="H8" s="11" t="n">
        <f aca="false">C8/C$16</f>
        <v>0.0125744950458743</v>
      </c>
      <c r="I8" s="20" t="n">
        <v>1.3</v>
      </c>
      <c r="J8" s="20" t="n">
        <v>1.3</v>
      </c>
      <c r="K8" s="19" t="n">
        <f aca="false">(C8-B8)/B$16*100</f>
        <v>-0.000800111781470348</v>
      </c>
      <c r="L8" s="11" t="n">
        <f aca="false">(C8-B8)/(C$16-B$16)</f>
        <v>-0.000161731553234335</v>
      </c>
    </row>
    <row r="9" customFormat="false" ht="15" hidden="false" customHeight="false" outlineLevel="0" collapsed="false">
      <c r="A9" s="6" t="s">
        <v>168</v>
      </c>
      <c r="B9" s="7" t="n">
        <v>439501</v>
      </c>
      <c r="C9" s="7" t="n">
        <v>436723</v>
      </c>
      <c r="D9" s="11" t="n">
        <f aca="false">C9/B9-1</f>
        <v>-0.00632080473081975</v>
      </c>
      <c r="E9" s="20" t="n">
        <v>-0.6</v>
      </c>
      <c r="F9" s="15" t="n">
        <v>7.47</v>
      </c>
      <c r="G9" s="11" t="n">
        <f aca="false">B9/B$16</f>
        <v>0.0428841375692682</v>
      </c>
      <c r="H9" s="11" t="n">
        <f aca="false">C9/C$16</f>
        <v>0.0406043150992959</v>
      </c>
      <c r="I9" s="20" t="n">
        <v>4.3</v>
      </c>
      <c r="J9" s="20" t="n">
        <v>4.1</v>
      </c>
      <c r="K9" s="19" t="n">
        <f aca="false">(C9-B9)/B$16*100</f>
        <v>-0.0271062259624954</v>
      </c>
      <c r="L9" s="11" t="n">
        <f aca="false">(C9-B9)/(C$16-B$16)</f>
        <v>-0.00547914944981687</v>
      </c>
    </row>
    <row r="10" customFormat="false" ht="15" hidden="false" customHeight="false" outlineLevel="0" collapsed="false">
      <c r="A10" s="6" t="s">
        <v>169</v>
      </c>
      <c r="B10" s="7" t="n">
        <v>1644118</v>
      </c>
      <c r="C10" s="7" t="n">
        <v>1679365</v>
      </c>
      <c r="D10" s="11" t="n">
        <f aca="false">C10/B10-1</f>
        <v>0.0214382422672825</v>
      </c>
      <c r="E10" s="20" t="n">
        <v>2.1</v>
      </c>
      <c r="F10" s="15" t="n">
        <v>1.55</v>
      </c>
      <c r="G10" s="11" t="n">
        <f aca="false">B10/B$16</f>
        <v>0.16042416852774</v>
      </c>
      <c r="H10" s="11" t="n">
        <f aca="false">C10/C$16</f>
        <v>0.156138938472966</v>
      </c>
      <c r="I10" s="20" t="n">
        <v>16</v>
      </c>
      <c r="J10" s="20" t="n">
        <v>15.6</v>
      </c>
      <c r="K10" s="19" t="n">
        <f aca="false">(C10-B10)/B$16*100</f>
        <v>0.343921219042504</v>
      </c>
      <c r="L10" s="11" t="n">
        <f aca="false">(C10-B10)/(C$16-B$16)</f>
        <v>0.0695189275225685</v>
      </c>
    </row>
    <row r="11" customFormat="false" ht="15" hidden="false" customHeight="false" outlineLevel="0" collapsed="false">
      <c r="A11" s="6" t="s">
        <v>170</v>
      </c>
      <c r="B11" s="7" t="n">
        <v>400416</v>
      </c>
      <c r="C11" s="7" t="n">
        <v>427016</v>
      </c>
      <c r="D11" s="11" t="n">
        <f aca="false">C11/B11-1</f>
        <v>0.0664309118516742</v>
      </c>
      <c r="E11" s="20" t="n">
        <v>6.6</v>
      </c>
      <c r="F11" s="15" t="n">
        <v>-0.05</v>
      </c>
      <c r="G11" s="11" t="n">
        <f aca="false">B11/B$16</f>
        <v>0.0390704340352721</v>
      </c>
      <c r="H11" s="11" t="n">
        <f aca="false">C11/C$16</f>
        <v>0.0397018069037833</v>
      </c>
      <c r="I11" s="20" t="n">
        <v>3.9</v>
      </c>
      <c r="J11" s="20" t="n">
        <v>4</v>
      </c>
      <c r="K11" s="19" t="n">
        <f aca="false">(C11-B11)/B$16*100</f>
        <v>0.259548455940381</v>
      </c>
      <c r="L11" s="11" t="n">
        <f aca="false">(C11-B11)/(C$16-B$16)</f>
        <v>0.0524641380004063</v>
      </c>
    </row>
    <row r="12" customFormat="false" ht="15" hidden="false" customHeight="false" outlineLevel="0" collapsed="false">
      <c r="A12" s="6" t="s">
        <v>171</v>
      </c>
      <c r="B12" s="7" t="n">
        <v>278792</v>
      </c>
      <c r="C12" s="7" t="n">
        <v>283676</v>
      </c>
      <c r="D12" s="11" t="n">
        <f aca="false">C12/B12-1</f>
        <v>0.0175184366839793</v>
      </c>
      <c r="E12" s="20" t="n">
        <v>1.8</v>
      </c>
      <c r="F12" s="15" t="n">
        <v>0.29</v>
      </c>
      <c r="G12" s="11" t="n">
        <f aca="false">B12/B$16</f>
        <v>0.0272030199731319</v>
      </c>
      <c r="H12" s="11" t="n">
        <f aca="false">C12/C$16</f>
        <v>0.0263747723158795</v>
      </c>
      <c r="I12" s="20" t="n">
        <v>2.7</v>
      </c>
      <c r="J12" s="20" t="n">
        <v>2.6</v>
      </c>
      <c r="K12" s="19" t="n">
        <f aca="false">(C12-B12)/B$16*100</f>
        <v>0.0476554383012339</v>
      </c>
      <c r="L12" s="11" t="n">
        <f aca="false">(C12-B12)/(C$16-B$16)</f>
        <v>0.00963288909751821</v>
      </c>
    </row>
    <row r="13" customFormat="false" ht="15" hidden="false" customHeight="false" outlineLevel="0" collapsed="false">
      <c r="A13" s="6" t="s">
        <v>172</v>
      </c>
      <c r="B13" s="7" t="n">
        <v>428622</v>
      </c>
      <c r="C13" s="7" t="n">
        <v>440395</v>
      </c>
      <c r="D13" s="11" t="n">
        <f aca="false">C13/B13-1</f>
        <v>0.0274670922164517</v>
      </c>
      <c r="E13" s="20" t="n">
        <v>2.7</v>
      </c>
      <c r="F13" s="15" t="n">
        <v>5.84</v>
      </c>
      <c r="G13" s="11" t="n">
        <f aca="false">B13/B$16</f>
        <v>0.0418226234143151</v>
      </c>
      <c r="H13" s="11" t="n">
        <f aca="false">C13/C$16</f>
        <v>0.0409457192503129</v>
      </c>
      <c r="I13" s="20" t="n">
        <v>4.2</v>
      </c>
      <c r="J13" s="20" t="n">
        <v>4.1</v>
      </c>
      <c r="K13" s="19" t="n">
        <f aca="false">(C13-B13)/B$16*100</f>
        <v>0.114874585405493</v>
      </c>
      <c r="L13" s="11" t="n">
        <f aca="false">(C13-B13)/(C$16-B$16)</f>
        <v>0.0232203119052174</v>
      </c>
    </row>
    <row r="14" customFormat="false" ht="15" hidden="false" customHeight="false" outlineLevel="0" collapsed="false">
      <c r="A14" s="6" t="s">
        <v>173</v>
      </c>
      <c r="B14" s="7" t="n">
        <v>868851</v>
      </c>
      <c r="C14" s="7" t="n">
        <v>933780</v>
      </c>
      <c r="D14" s="11" t="n">
        <f aca="false">C14/B14-1</f>
        <v>0.0747297292631304</v>
      </c>
      <c r="E14" s="20" t="n">
        <v>7.5</v>
      </c>
      <c r="F14" s="15" t="n">
        <v>4.09</v>
      </c>
      <c r="G14" s="11" t="n">
        <f aca="false">B14/B$16</f>
        <v>0.0847777952978406</v>
      </c>
      <c r="H14" s="11" t="n">
        <f aca="false">C14/C$16</f>
        <v>0.0868181830437612</v>
      </c>
      <c r="I14" s="20" t="n">
        <v>8.5</v>
      </c>
      <c r="J14" s="20" t="n">
        <v>8.7</v>
      </c>
      <c r="K14" s="19" t="n">
        <f aca="false">(C14-B14)/B$16*100</f>
        <v>0.633542169013271</v>
      </c>
      <c r="L14" s="11" t="n">
        <f aca="false">(C14-B14)/(C$16-B$16)</f>
        <v>0.128061805121368</v>
      </c>
    </row>
    <row r="15" customFormat="false" ht="15" hidden="false" customHeight="false" outlineLevel="0" collapsed="false">
      <c r="A15" s="6" t="s">
        <v>174</v>
      </c>
      <c r="B15" s="7" t="n">
        <v>2310168</v>
      </c>
      <c r="C15" s="7" t="n">
        <v>2379709</v>
      </c>
      <c r="D15" s="11" t="n">
        <f aca="false">C15/B15-1</f>
        <v>0.0301021397578012</v>
      </c>
      <c r="E15" s="20" t="n">
        <v>3</v>
      </c>
      <c r="F15" s="15" t="n">
        <v>2.08</v>
      </c>
      <c r="G15" s="11" t="n">
        <f aca="false">B15/B$16</f>
        <v>0.225413735850706</v>
      </c>
      <c r="H15" s="11" t="n">
        <f aca="false">C15/C$16</f>
        <v>0.221253412530667</v>
      </c>
      <c r="I15" s="20" t="n">
        <v>22.5</v>
      </c>
      <c r="J15" s="20" t="n">
        <v>22.1</v>
      </c>
      <c r="K15" s="19" t="n">
        <f aca="false">(C15-B15)/B$16*100</f>
        <v>0.678543577990603</v>
      </c>
      <c r="L15" s="11" t="n">
        <f aca="false">(C15-B15)/(C$16-B$16)</f>
        <v>0.137158218822792</v>
      </c>
    </row>
    <row r="16" customFormat="false" ht="15" hidden="false" customHeight="false" outlineLevel="0" collapsed="false">
      <c r="A16" s="8" t="s">
        <v>175</v>
      </c>
      <c r="B16" s="9" t="n">
        <f aca="false">SUM(B5:B15)</f>
        <v>10248568</v>
      </c>
      <c r="C16" s="9" t="n">
        <f aca="false">SUM(C5:C15)</f>
        <v>10755581</v>
      </c>
      <c r="D16" s="12" t="n">
        <f aca="false">C16/B16-1</f>
        <v>0.0494715944705642</v>
      </c>
      <c r="E16" s="20" t="n">
        <v>4.9</v>
      </c>
      <c r="F16" s="15" t="n">
        <v>4</v>
      </c>
      <c r="G16" s="12" t="n">
        <f aca="false">B16/B$16</f>
        <v>1</v>
      </c>
      <c r="H16" s="12" t="n">
        <f aca="false">C16/C$16</f>
        <v>1</v>
      </c>
      <c r="I16" s="20" t="n">
        <v>100</v>
      </c>
      <c r="J16" s="20" t="n">
        <v>100</v>
      </c>
      <c r="K16" s="16" t="n">
        <f aca="false">SUM(K5:K15)</f>
        <v>4.94715944705641</v>
      </c>
      <c r="L16" s="12" t="n">
        <f aca="false">SUM(L5:L15)</f>
        <v>1</v>
      </c>
    </row>
    <row r="18" customFormat="false" ht="15" hidden="false" customHeight="false" outlineLevel="0" collapsed="false">
      <c r="A18" s="6" t="s">
        <v>176</v>
      </c>
      <c r="B18" s="7" t="n">
        <v>10248568</v>
      </c>
      <c r="C18" s="7" t="n">
        <v>10755581</v>
      </c>
    </row>
    <row r="19" customFormat="false" ht="15" hidden="false" customHeight="false" outlineLevel="0" collapsed="false">
      <c r="A19" s="6" t="s">
        <v>177</v>
      </c>
      <c r="B19" s="10" t="n">
        <f aca="false">B16-B18</f>
        <v>0</v>
      </c>
      <c r="C19" s="10" t="n">
        <f aca="false">C16-C18</f>
        <v>0</v>
      </c>
    </row>
    <row r="21" customFormat="false" ht="15" hidden="false" customHeight="false" outlineLevel="0" collapsed="false">
      <c r="A21" s="4" t="s">
        <v>178</v>
      </c>
    </row>
    <row r="22" customFormat="false" ht="15" hidden="false" customHeight="false" outlineLevel="0" collapsed="false">
      <c r="A22" s="4" t="s">
        <v>179</v>
      </c>
    </row>
    <row r="23" customFormat="false" ht="15" hidden="false" customHeight="false" outlineLevel="0" collapsed="false">
      <c r="A23" s="4" t="s">
        <v>180</v>
      </c>
    </row>
    <row r="24" customFormat="false" ht="15" hidden="false" customHeight="false" outlineLevel="0" collapsed="false">
      <c r="A24" s="4" t="s">
        <v>181</v>
      </c>
    </row>
    <row r="25" customFormat="false" ht="15" hidden="false" customHeight="false" outlineLevel="0" collapsed="false">
      <c r="A25" s="4" t="s">
        <v>182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2026-10-15T15:26:49Z</dcterms:created>
  <dc:creator>openpyxl</dc:creator>
  <dc:description/>
  <dc:language>en-US</dc:language>
  <cp:lastModifiedBy/>
  <dcterms:modified xsi:type="dcterms:W3CDTF">2026-10-15T15:26:49Z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