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Canon_lotes_2025" sheetId="7" state="visible" r:id="rId9"/>
    <sheet name="Pozos" sheetId="8" state="visible" r:id="rId10"/>
    <sheet name="VAB_INEI_2014_2025" sheetId="9" state="visible" r:id="rId11"/>
    <sheet name="VAB_INEI" sheetId="10" state="visible" r:id="rId12"/>
    <sheet name="Serie_Loreto_2006_2025" sheetId="11" state="visible" r:id="rId13"/>
    <sheet name="Empresas_Loreto" sheetId="12" state="visible" r:id="rId14"/>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<sst xmlns="http://schemas.openxmlformats.org/spreadsheetml/2006/main" count="705" uniqueCount="413">
  <si>
    <t xml:space="preserve">Loreto 2025 · Extracción de petróleo: texto de análisis</t>
  </si>
  <si>
    <t xml:space="preserve">3. Extracción de petróleo, gas, minerales y servicios conexos</t>
  </si>
  <si>
    <t xml:space="preserve">En los últimos diez años, la extracción de petróleo, gas y minerales en Loreto registró un crecimiento promedio anual de 2,5 por ciento, ligeramente superior al del VAB regional (2,3 por ciento), con lo cual su participación en la economía regional pasó de 22,6 por ciento en el año 2015 a 23,2 por ciento en el año 2025; sin embargo, su importancia respecto al total país cayó de 5,3 por ciento en el año 2007 a 3,5 por ciento en el año 2025. Para este año, el VAB de la actividad se incrementó en 11,2 por ciento interanual, alcanzando S/ 2 494 millones a precios de 2007, el nivel más alto desde 2014, siendo la primera actividad en importancia, con un aporte de 23,2 por ciento (21,9 por ciento en 2024, cuando ocupaba el segundo lugar), y explicó 2,5 de los 4,9 puntos porcentuales de crecimiento de la economía loretana. En los años 2015 y 2016 se observó disminuciones interanuales de 19,0 por ciento y 58,8 por ciento, respectivamente, debido a tres factores: caída del precio internacional del crudo, paro y toma de los pozos de los Lotes 8 y 192 por las poblaciones indígenas, y la paralización del Oleoducto Norperuano por derrames de petróleo y mantenimiento temporal; a ello se sumó el término del contrato de licencia del Lote 1-AB en agosto de 2015. En los años 2017, 2018 y 2019 se recuperó en 31,4 por ciento, 56,4 por ciento y 13,4 por ciento interanual, respectivamente, por la reversión de dichos factores y el inicio de la producción del Lote 95 en 2018. En 2020 volvió a caer 27,5 por ciento por la paralización de los Lotes 192 y 8, y desde 2021 acumula cinco años consecutivos de crecimiento.</t>
  </si>
  <si>
    <t xml:space="preserve">Para el año 2025, los lotes en operación que registran producción son el Lote 95 y el Lote 8. El Lote 95 es operado por la empresa PetroTal y su influencia comprende el distrito de Puinahua en la provincia de Requena; produjo 6,8 millones de barriles (18,6 mil barriles diarios) y fue el que representó el mayor nivel de producción de crudo a nivel nacional (42,0 por ciento del total). Por su parte, el Lote 8 registró 1,1 millones de barriles (3,1 mil barriles diarios), frente a 35 mil barriles en 2024; de ese total, 986 mil barriles (2,7 mil barriles diarios) correspondieron a Upland Oil and Gas, que reinició operaciones tras el nuevo contrato suscrito en 2024, y 144 mil barriles fueron registrados a nombre de Pluspetrol Norte en liquidación, anterior operador del lote. En cambio, el Lote 192, cuyo contrato de licencia con Petroperú se suscribió en 2023, no registró producción en el año, manteniéndose paralizado desde 2020; y el Lote 67, de Perenco, se encuentra cerrado temporalmente desde octubre de 2022 debido a conflictos sociales con la comunidad nativa San Rafael, sin producción fiscalizada en 2024 ni en 2025.</t>
  </si>
  <si>
    <t xml:space="preserve">En el año 2025, el Lote 95 continuó como el de mayor producción, aunque con una trayectoria descendente: pasó de 22,4 mil barriles diarios en enero a 14,7 mil barriles diarios en diciembre, de modo que su producción del segundo semestre fue 23,6 por ciento menor que la del primero. A ello se sumó la caída de 17,1 por ciento en el precio de su canasta de referencia (US$ 62,3 por barril), con lo cual el valor de su producción se redujo 10,7 por ciento, a US$ 425,9 millones, y sus regalías disminuyeron 10,8 por ciento, a US$ 24,4 millones; en consecuencia, el canon y sobrecanon petrolero transferido a Loreto se redujo 2,4 por ciento, a S/ 213,9 millones. En cuanto a reservas, las reservas probadas de petróleo de la zona Selva en fase de explotación, que comprende a los lotes de Loreto, aumentaron 18,5 por ciento, a 248,7 millones de barriles al cierre de 2024 (último dato publicado), lo que respalda la continuidad de la producción en la región. No obstante, la menor perforación de pozos de desarrollo (uno en 2025 frente a seis en 2024) y la declinación del segundo semestre constituyen un factor de riesgo para 2026, que incidiría también en los aportes al Fondo de Desarrollo del distrito de Puinahua, destinado a financiar proyectos e iniciativas que promuevan el desarrollo y bienestar de las localidades del distrito donde se ubica el Lote 95.</t>
  </si>
  <si>
    <t xml:space="preserve">Empresas que operan en Loreto</t>
  </si>
  <si>
    <t xml:space="preserve">Entre 2006 y 2025, la producción petrolera de Loreto pasó de concentrarse en Pluspetrol Norte, que operaba los Lotes 1-AB y 8 y explicaba la totalidad de la producción regional en 2006, a depender principalmente de PetroTal, que en 2025 aportó el 85,7 por ciento del crudo de la región. Al 31 de diciembre de 2025, seis contratos de licencia en fase de explotación se ubicaban en Loreto, a cargo de cuatro operadores: PetroTal, Upland Oil and Gas, Petroperú y Perenco.</t>
  </si>
  <si>
    <t xml:space="preserve">PetroTal Perú S.R.L. es titular del 100 por ciento del contrato de licencia del Lote 95 (345 mil hectáreas), suscrito el 7 de abril de 2005 y vigente hasta el 30 de noviembre de 2041. La empresa asumió la operación el 26 de marzo de 2019, en reemplazo de Gran Tierra Energy, y el lote registra producción fiscalizada continua desde 2018, con un acumulado de 29,7 millones de barriles al cierre de 2025; en 2025 pagó US$ 24,4 millones en regalías (US$ 3,6 por barril). Además, PetroTal suscribió cuatro convenios de evaluación técnica: los CI y CII, sobre reservorios de la cuenca Loreto (agosto de 2025), y los XCVII y XCVIII, sobre la cuenca Ucayali (diciembre de 2024).</t>
  </si>
  <si>
    <t xml:space="preserve">Upland Oil and Gas L.L.C., Sucursal del Perú, opera el Lote 8 (182 mil hectáreas) con el 100 por ciento de participación. El lote fue cedido por Petroperú en 1996 a Pluspetrol Norte y sus socios (KNOC, Daewoo y SK), que lo operaron hasta su paralización en 2020; ese contrato venció el 19 de mayo de 2024. El nuevo contrato con Upland figura en el cuadro de contratos vigentes con suscripción el 4 de noviembre de 2024 y término el 1 de noviembre de 2028, mientras que la nota de la tabla de producción señala que se suscribió el 8 de julio de 2024. En 2025, Upland produjo 986 mil barriles (2,7 mil barriles diarios), el 12,5 por ciento de la producción de Loreto, y pagó US$ 7,9 millones en regalías (US$ 8,0 por barril); por su parte, los 144 mil barriles registrados a nombre de Pluspetrol Norte en liquidación generaron regalías por US$ 2,1 millones.</t>
  </si>
  <si>
    <t xml:space="preserve">Petróleos del Perú – Petroperú S.A. es titular del 100 por ciento de dos contratos de licencia en la región, ambos sin producción fiscalizada en 2025. El Lote 192 (512 mil hectáreas) figura con suscripción el 26 de octubre de 2023 y término el 24 de octubre de 2053, aunque la nota de la tabla de producción indica que el contrato se suscribió el 28 de febrero de 2023; su última producción se registró en 2020, bajo el contrato de servicio temporal de Frontera Energy (antes Pacific Stratus), vigente entre el 30 de agosto de 2015 y el 5 de febrero de 2021, que sucedió al contrato del Lote 1-AB de Pluspetrol Norte. El Lote 64 (762 mil hectáreas), suscrito el 7 de diciembre de 1995, está vigente hasta el 14 de junio de 2039 y no registra producción fiscalizada.</t>
  </si>
  <si>
    <t xml:space="preserve">Perenco participa, junto con PVEP, en dos contratos de licencia en Loreto. En el Lote 67 (102 mil hectáreas; vigente del 13 de diciembre de 1995 al 25 de junio de 2033), Perenco Peru Petroleum tiene el 5 por ciento y PVEP – Perenco Peru Limited el 95 por ciento; el lote produjo desde 2013, alcanzó su máximo en 2014 (1,8 millones de barriles) y acumuló 4,3 millones de barriles hasta 2023, su último año con producción. En el Lote 39 (79 mil hectáreas; vigente del 9 de setiembre de 1999 al 7 de agosto de 2039), tres sucursales de Perenco suman el 65 por ciento y PVEP Perú el 35 por ciento, sin producción fiscalizada entre 2006 y 2025.</t>
  </si>
  <si>
    <t xml:space="preserve">Canon y sobrecanon petrolero en Loreto</t>
  </si>
  <si>
    <t xml:space="preserve">Según la determinación del canon que publica PERUPETRO, en el año 2025 los lotes de la zona Loreto / Ucayali generaron un canon y sobrecanon de US$ 75,7 millones, equivalente al 18,75 por ciento del valor de su producción. De este monto, a Loreto le correspondió el 80 por ciento de lo generado por los Lotes 95 y 8 y el 20 por ciento de lo generado por el Lote 31-C, de Ucayali, con lo que recibió en total US$ 60,1 millones. El Lote 95 explicó el 83,7 por ciento de ese total (US$ 50,3 millones), 12,6 por ciento menos que en 2024, pese a su mayor volumen, por el menor precio del crudo y la declinación del segundo semestre: su aporte mensual a Loreto pasó de US$ 6,1 millones en enero a US$ 2,8 millones en diciembre, con un segundo semestre 31,2 por ciento menor que el primero. Por su parte, el Lote 8, que reinició operaciones con Upland Oil and Gas, aportó US$ 9,9 millones (16,4 por ciento), frente a US$ 0,4 millones en 2024, lo que atenuó la caída del canon de la región.</t>
  </si>
  <si>
    <t xml:space="preserve">En cuanto a su distribución, del canon y sobrecanon transferido a Loreto en 2025, el 69,9 por ciento (S/ 149,5 millones) correspondió a las municipalidades, el 20,1 por ciento (S/ 42,9 millones) al Gobierno Regional de Loreto, el 5,0 por ciento (S/ 10,7 millones) a la Universidad Nacional de la Amazonía Peruana y a la Universidad Nacional Autónoma de Alto Amazonas, el 3,0 por ciento (S/ 6,4 millones) al Instituto de Investigaciones de la Amazonía Peruana (IIAP) y el 2,0 por ciento (S/ 4,3 millones) al instituto tecnológico del gobierno regional. Este reparto responde a la Ley N° 31934, aplicada desde el 30 de enero de 2024, que elevó la participación de las municipalidades de 40 a 70 por ciento y redujo la del gobierno regional de 52 a 20 por ciento; en consecuencia, las municipalidades recibieron más del doble que en 2023 (S/ 67,0 millones), mientras que el gobierno regional pasó de S/ 87,1 millones a S/ 42,9 millones. Además, desde 2024 ya no se descuenta del canon el pago de contrapartida nacional y servicio de deuda dispuesto por la Ley N° 29289, que en 2023 representó S/ 11,2 millones (6,3 por ciento del canon de Loreto).</t>
  </si>
  <si>
    <t xml:space="preserve">La información por municipalidad, disponible de enero a setiembre de 2025, muestra que de los S/ 123,5 millones distribuidos entre las 53 municipalidades provinciales y distritales de Loreto, el 47,0 por ciento (S/ 58,1 millones) se concentró en la provincia de Requena, donde se ubica el Lote 95. La Municipalidad Distrital de Puinahua fue la que más recibió en la región (S/ 20,0 millones; 16,2 por ciento), seguida por la Municipalidad Provincial de Requena (S/ 17,9 millones; 14,5 por ciento) y la Municipalidad Distrital de San Juan Bautista, en Maynas (S/ 10,3 millones; 8,4 por ciento). El área del Lote 95 se reparte principalmente entre los distritos de Tapiche (38 por ciento), Soplín (23 por ciento), Emilio San Martín (16 por ciento) y Puinahua (11 por ciento); sin embargo, Tapiche y Soplín recibieron S/ 0,6 millones y S/ 0,5 millones, respectivamente, de modo que el reparto entre municipalidades no sigue la proporción del área del lote en cada distrito.</t>
  </si>
  <si>
    <t xml:space="preserve">Fuente: INEI, Valor Agregado Bruto de Loreto por actividades económicas, valores a precios constantes de 2007 (cuadros 1 y 2, serie 2014–2025, información disponible a junio de 2026; 2023 y 2024 preliminares, 2025 estimado) y Producto Bruto Interno por actividades económicas según departamentos, estructura porcentual (cuadros 74 y 180, años 2007 y 2025); PERUPETRO, Estadística Anual de Hidrocarburos 2007–2025 (producción fiscalizada de la Selva Norte 2006–2015 y 2016–2025; resumen de reservas y recursos al 31.12.2023 y 31.12.2024, con base en el Libro Anual de Reservas del MINEM) y Estadística Mensual de enero de 2026. Contratos y regalías por empresa: PERUPETRO, Estadística Anual 2025, contratos vigentes al 31.12.2025 (PDF pág. 84), ingresos al fisco por contrato (pág. 80) y convenios de evaluación técnica (pág. 88); Estadística Anual 2021, contratos vigentes y terminados (págs. 83 y 89); Estadística Anual 2006, notas de contratos (pág. 57). Canon por lote, beneficiario y municipalidad: PERUPETRO, «Canon Petrolero 2024» y «Canon Petrolero 2025» (determinación), «Canon por Año Loreto» (distribución, hojas 2023–2025) y «Canon por Año Loreto» de la página Canon Municipalidades (bloque validado con la PCM, enero–setiembre de 2025). Área del Lote 95 por distrito: cruce del polígono del lote con los límites distritales de GADM 4.1, mapa de lotes del proyecto. La suma de la distribución 2025 en el Excel (S/ 213,84 millones) coincide, salvo redondeo, con la de la Estadística Mensual (S/ 213,85 millones). Elaboración propia. Nota: las fechas de los contratos de los Lotes 8 y 192 difieren entre el cuadro de contratos vigentes (4 de noviembre de 2024 y 26 de octubre de 2023) y las notas de la tabla de producción (8 de julio de 2024 y 28 de febrero de 2023); el PDF no aclara si una corresponde a la suscripción y otra a la entrada en vigencia. Para el canon de 2025 se utiliza la suma de las transferencias mensuales reportadas en la Estadística Mensual de enero de 2026, dado que la Estadística Anual 2025 consigna un monto parcial (S/ 20,2 millones). La causa de las caídas de 2015–2016 y la situación del Lote 67 se toman del informe del BCRP de referencia.
</t>
  </si>
  <si>
    <t xml:space="preserve">Anexo: versión ampliada</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</si>
  <si>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</si>
  <si>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</si>
  <si>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registró 1,1 millones de barriles (3,1 mil barriles diarios), frente a 35 mil barriles en 2024: 986 mil barriles de Upland Oil and Gas, operador desde el nuevo contrato de 2024, y 144 mil barriles a nombre de Pluspetrol Norte en liquidación. Por su parte, el Lote 192, bajo contrato de licencia con Petroperú desde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</si>
  <si>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</si>
  <si>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de los cuales US$ 7,9 millones correspondieron a Upland Oil and Gas y US$ 2,1 millones a Pluspetrol Norte en liquidación).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</si>
  <si>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</si>
  <si>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</si>
  <si>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</si>
  <si>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</si>
  <si>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</si>
  <si>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</si>
  <si>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</si>
  <si>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</si>
  <si>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</si>
  <si>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</si>
  <si>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</si>
  <si>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</si>
  <si>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</si>
  <si>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</si>
  <si>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</si>
  <si>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</si>
  <si>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</si>
  <si>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</si>
  <si>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</si>
  <si>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</si>
  <si>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</si>
  <si>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</si>
  <si>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</si>
  <si>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</si>
  <si>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</si>
  <si>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</si>
  <si>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</si>
  <si>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</si>
  <si>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</si>
  <si>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</si>
  <si>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</si>
  <si>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</si>
  <si>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</si>
  <si>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</si>
  <si>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</si>
  <si>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</si>
  <si>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</si>
  <si>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</si>
  <si>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</si>
  <si>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</si>
  <si>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</si>
  <si>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</si>
  <si>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</si>
  <si>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</si>
  <si>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</si>
  <si>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</si>
  <si>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</si>
  <si>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</si>
  <si>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</si>
  <si>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</si>
  <si>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</si>
  <si>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</si>
  <si>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</si>
  <si>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</si>
  <si>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</si>
  <si>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</si>
  <si>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</si>
  <si>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</si>
  <si>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</si>
  <si>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</si>
  <si>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</si>
  <si>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</si>
  <si>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</si>
  <si>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</si>
  <si>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</si>
  <si>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</si>
  <si>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</si>
  <si>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</si>
  <si>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</si>
  <si>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</si>
  <si>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</si>
  <si>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</si>
  <si>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</si>
  <si>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</si>
  <si>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PERENCO</t>
  </si>
  <si>
    <t xml:space="preserve">39</t>
  </si>
  <si>
    <t xml:space="preserve">Z-6</t>
  </si>
  <si>
    <t xml:space="preserve">VII/VI</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</si>
  <si>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</si>
  <si>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</si>
  <si>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</si>
  <si>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</si>
  <si>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</si>
  <si>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</si>
  <si>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</si>
  <si>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</si>
  <si>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</si>
  <si>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</si>
  <si>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</si>
  <si>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</si>
  <si>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</si>
  <si>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</si>
  <si>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</si>
  <si>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</si>
  <si>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</si>
  <si>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</si>
  <si>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</si>
  <si>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</si>
  <si>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</si>
  <si>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</si>
  <si>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</si>
  <si>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</si>
  <si>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</si>
  <si>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</si>
  <si>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</si>
  <si>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</si>
  <si>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</si>
  <si>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</si>
  <si>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</si>
  <si>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</si>
  <si>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</si>
  <si>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</si>
  <si>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</si>
  <si>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</si>
  <si>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</si>
  <si>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</si>
  <si>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</si>
  <si>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</si>
  <si>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</si>
  <si>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</si>
  <si>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</si>
  <si>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</si>
  <si>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</si>
  <si>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</si>
  <si>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</si>
  <si>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</si>
  <si>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</si>
  <si>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</si>
  <si>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</si>
  <si>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</si>
  <si>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</si>
  <si>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</si>
  <si>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</si>
  <si>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</si>
  <si>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</si>
  <si>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Canon y sobrecanon de Loreto 2025: por lote, por beneficiario y por municipalidad</t>
  </si>
  <si>
    <t xml:space="preserve">Fuente: PERUPETRO, Excel de canon (página «Canon y Sobre Canon»: «Canon Petrolero 2024/2025», determinación; «Canon por Año Loreto», distribución; página «Canon Municipalidades»: «Canon por Año Loreto», bloque validado con la PCM). Leídos con el notebook PP_Produccion_Lotes.ipynb, sección 9.</t>
  </si>
  <si>
    <t xml:space="preserve">A. Canon y sobrecanon generado por los lotes de la zona Loreto / Ucayali (millones de US$)</t>
  </si>
  <si>
    <t xml:space="preserve">Producto</t>
  </si>
  <si>
    <t xml:space="preserve">Volumen 2025 (bbl o MM BTU)</t>
  </si>
  <si>
    <t xml:space="preserve">Valor de la producción 2025</t>
  </si>
  <si>
    <t xml:space="preserve">Canon y sobrecanon 2025</t>
  </si>
  <si>
    <t xml:space="preserve">Canon / valor</t>
  </si>
  <si>
    <t xml:space="preserve">Parte de Loreto 2025</t>
  </si>
  <si>
    <t xml:space="preserve">Parte de Ucayali 2025</t>
  </si>
  <si>
    <t xml:space="preserve">Parte de Loreto 2024</t>
  </si>
  <si>
    <t xml:space="preserve">Var. Loreto 2025 vs 2024</t>
  </si>
  <si>
    <t xml:space="preserve">Participación en lo de Loreto 2025</t>
  </si>
  <si>
    <t xml:space="preserve">Lote 31-C</t>
  </si>
  <si>
    <t xml:space="preserve">Gas natural</t>
  </si>
  <si>
    <t xml:space="preserve">LGN</t>
  </si>
  <si>
    <t xml:space="preserve">Lote 8</t>
  </si>
  <si>
    <t xml:space="preserve">Petróleo</t>
  </si>
  <si>
    <t xml:space="preserve">Lote 95</t>
  </si>
  <si>
    <t xml:space="preserve">Ajustes de meses anteriores</t>
  </si>
  <si>
    <t xml:space="preserve">Total</t>
  </si>
  <si>
    <t xml:space="preserve">Nota: el canon es el 18,75 % del valor de la producción que considera la determinación; de los Lotes 95 y 8 (Loreto) corresponde 80 % a Loreto y 20 % a Ucayali, y del Lote 31-C (Ucayali) 20 % a Loreto. En el Excel de 2024, el Lote 8 figura con unidad «MM BTU» (35 068), aunque es petróleo (35 mil barriles en la producción fiscalizada).</t>
  </si>
  <si>
    <t xml:space="preserve">B. Lote 95: parte de Loreto del canon, por mes de producción, 2025 (millones de US$)</t>
  </si>
  <si>
    <t xml:space="preserve">Volumen (bbl)</t>
  </si>
  <si>
    <t xml:space="preserve">Canon y sobrecanon del lote</t>
  </si>
  <si>
    <t xml:space="preserve">Parte de Loreto</t>
  </si>
  <si>
    <t xml:space="preserve">Año</t>
  </si>
  <si>
    <t xml:space="preserve">C. Canon y sobrecanon transferido a Loreto, por beneficiario (millones de S/)</t>
  </si>
  <si>
    <t xml:space="preserve">Beneficiario (como figura en el Excel)</t>
  </si>
  <si>
    <t xml:space="preserve">Tipo</t>
  </si>
  <si>
    <t xml:space="preserve">% 2023</t>
  </si>
  <si>
    <t xml:space="preserve">% 2024–2025</t>
  </si>
  <si>
    <t xml:space="preserve">CONC. MUNICIPALES</t>
  </si>
  <si>
    <t xml:space="preserve">Municipalidades</t>
  </si>
  <si>
    <t xml:space="preserve">REGION LORETO</t>
  </si>
  <si>
    <t xml:space="preserve">Gobierno regional</t>
  </si>
  <si>
    <t xml:space="preserve">UNIV. NAC. AMAZONIA</t>
  </si>
  <si>
    <t xml:space="preserve">Universidades</t>
  </si>
  <si>
    <t xml:space="preserve">UNIV. NAC. AUTONOMA ALTO AMAZONAS</t>
  </si>
  <si>
    <t xml:space="preserve">INST. PER. AMAZONIA</t>
  </si>
  <si>
    <t xml:space="preserve">IIAP</t>
  </si>
  <si>
    <t xml:space="preserve">REGION LORETO - INST.TEC.NAC</t>
  </si>
  <si>
    <t xml:space="preserve">Institutos</t>
  </si>
  <si>
    <t xml:space="preserve">LEY N° 29289 - CONTRAPARTIDA NACIONAL</t>
  </si>
  <si>
    <t xml:space="preserve">Descuento Ley 29289</t>
  </si>
  <si>
    <t xml:space="preserve">LEY N° 29289 - SERVICIO DE DEUDA</t>
  </si>
  <si>
    <t xml:space="preserve">Nota: desde el 30 de enero de 2024 se aplica la Ley N° 31934 (nota del Excel). En 2023 los % (52, 5, 3 y 40) se aplican después de descontar la Ley N° 29289 (contrapartida nacional y servicio de deuda). La suma 2025 del Excel (S/ 213,84 millones) difiere en S/ 0,01 millones de la Estadística Mensual (S/ 213,85 millones).</t>
  </si>
  <si>
    <t xml:space="preserve">D. Canon y sobrecanon por municipalidad, Loreto, ene–set 2025 (millones de S/; meses con dato en el Excel de Canon Municipalidades)</t>
  </si>
  <si>
    <t xml:space="preserve">Municipalidad</t>
  </si>
  <si>
    <t xml:space="preserve">Nivel</t>
  </si>
  <si>
    <t xml:space="preserve">Provincia</t>
  </si>
  <si>
    <t xml:space="preserve">Monto</t>
  </si>
  <si>
    <t xml:space="preserve">Participación</t>
  </si>
  <si>
    <t xml:space="preserve">% del área del Lote 95 en el distrito</t>
  </si>
  <si>
    <t xml:space="preserve">Puinahua</t>
  </si>
  <si>
    <t xml:space="preserve">Distrital</t>
  </si>
  <si>
    <t xml:space="preserve">Requena</t>
  </si>
  <si>
    <t xml:space="preserve">Provincial</t>
  </si>
  <si>
    <t xml:space="preserve">San Juan Bautista</t>
  </si>
  <si>
    <t xml:space="preserve">Maynas</t>
  </si>
  <si>
    <t xml:space="preserve">Yurimaguas</t>
  </si>
  <si>
    <t xml:space="preserve">Alto Amazonas</t>
  </si>
  <si>
    <t xml:space="preserve">Maquia</t>
  </si>
  <si>
    <t xml:space="preserve">Emilio San Martin</t>
  </si>
  <si>
    <t xml:space="preserve">Punchana</t>
  </si>
  <si>
    <t xml:space="preserve">Iquitos</t>
  </si>
  <si>
    <t xml:space="preserve">Belen</t>
  </si>
  <si>
    <t xml:space="preserve">Jenaro Herrera</t>
  </si>
  <si>
    <t xml:space="preserve">Nauta</t>
  </si>
  <si>
    <t xml:space="preserve">Loreto</t>
  </si>
  <si>
    <t xml:space="preserve">Balsapuerto</t>
  </si>
  <si>
    <t xml:space="preserve">Contamana</t>
  </si>
  <si>
    <t xml:space="preserve">Ucayali</t>
  </si>
  <si>
    <t xml:space="preserve">Ramon Castilla</t>
  </si>
  <si>
    <t xml:space="preserve">Mariscal Ramon Castilla</t>
  </si>
  <si>
    <t xml:space="preserve">Andoas</t>
  </si>
  <si>
    <t xml:space="preserve">Datem Del Maranon</t>
  </si>
  <si>
    <t xml:space="preserve">Napo</t>
  </si>
  <si>
    <t xml:space="preserve">Barranca</t>
  </si>
  <si>
    <t xml:space="preserve">Mazan</t>
  </si>
  <si>
    <t xml:space="preserve">Lagunas</t>
  </si>
  <si>
    <t xml:space="preserve">Saquena</t>
  </si>
  <si>
    <t xml:space="preserve">Yaquerana</t>
  </si>
  <si>
    <t xml:space="preserve">Urarinas</t>
  </si>
  <si>
    <t xml:space="preserve">Alto Tapiche</t>
  </si>
  <si>
    <t xml:space="preserve">Fernando Lores</t>
  </si>
  <si>
    <t xml:space="preserve">Trompeteros</t>
  </si>
  <si>
    <t xml:space="preserve">Sarayacu</t>
  </si>
  <si>
    <t xml:space="preserve">San Pablo</t>
  </si>
  <si>
    <t xml:space="preserve">Capelo</t>
  </si>
  <si>
    <t xml:space="preserve">Pebas</t>
  </si>
  <si>
    <t xml:space="preserve">Cahuapanas</t>
  </si>
  <si>
    <t xml:space="preserve">Indiana</t>
  </si>
  <si>
    <t xml:space="preserve">Manseriche</t>
  </si>
  <si>
    <t xml:space="preserve">Las Amazonas</t>
  </si>
  <si>
    <t xml:space="preserve">Teniente Cesar Lopez Rojas</t>
  </si>
  <si>
    <t xml:space="preserve">Tigre</t>
  </si>
  <si>
    <t xml:space="preserve">Tapiche</t>
  </si>
  <si>
    <t xml:space="preserve">Yavari</t>
  </si>
  <si>
    <t xml:space="preserve">Torres Causana</t>
  </si>
  <si>
    <t xml:space="preserve">Vargas Guerra</t>
  </si>
  <si>
    <t xml:space="preserve">Pastaza</t>
  </si>
  <si>
    <t xml:space="preserve">Pampa Hermosa</t>
  </si>
  <si>
    <t xml:space="preserve">Jeberos</t>
  </si>
  <si>
    <t xml:space="preserve">Soplin</t>
  </si>
  <si>
    <t xml:space="preserve">Santa Cruz</t>
  </si>
  <si>
    <t xml:space="preserve">Morona</t>
  </si>
  <si>
    <t xml:space="preserve">Parinari</t>
  </si>
  <si>
    <t xml:space="preserve">Alto Nanay</t>
  </si>
  <si>
    <t xml:space="preserve">Putumayo</t>
  </si>
  <si>
    <t xml:space="preserve">Padre Marquez</t>
  </si>
  <si>
    <t xml:space="preserve">Rosa Panduro</t>
  </si>
  <si>
    <t xml:space="preserve">Yaguas</t>
  </si>
  <si>
    <t xml:space="preserve">Inahuaya</t>
  </si>
  <si>
    <t xml:space="preserve">Teniente Manuel Clavero</t>
  </si>
  <si>
    <t xml:space="preserve">Total (53 municipalidades)</t>
  </si>
  <si>
    <t xml:space="preserve">Provincia de Requena</t>
  </si>
  <si>
    <t xml:space="preserve">Rubro municipal de la Distribución, mismos meses (control)</t>
  </si>
  <si>
    <t xml:space="preserve">Comunidades (5 %), mismos meses</t>
  </si>
  <si>
    <t xml:space="preserve">Nota: el % del área del Lote 95 por distrito sale del cruce del polígono del lote con los límites distritales de GADM 4.1 (mapa de lotes del proyecto, corrida del 20/10/2026); un séptimo distrito con una parte menor del lote no tiene municipalidad emparejada. Gobiernos locales + comunidades = rubro municipal de la Distribución.</t>
  </si>
  <si>
    <t xml:space="preserve">Pozos perforados en Loreto y en el país</t>
  </si>
  <si>
    <t xml:space="preserve">Fuente: PERUPETRO, Estadística Anual 2025, «Pozos de desarrollo / exploratorios / confirmatorios perforados por contrato 2016–2025», p. 22–24</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</si>
  <si>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</si>
  <si>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</si>
  <si>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</si>
  <si>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</si>
  <si>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</si>
  <si>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VAB total y de extracción de petróleo, gas y minerales, 2014–2025 (miles de soles de 2007)</t>
  </si>
  <si>
    <t xml:space="preserve">Fuente: INEI, «Loreto: Valor Agregado Bruto por Años, según Actividades Económicas», Cuadro N° 1, valores a precios constantes de 2007. Información disponible a junio del 2026. 2023P y 2024P preliminares, 2025E estimado</t>
  </si>
  <si>
    <t xml:space="preserve">Extracción de petróleo, gas y minerales</t>
  </si>
  <si>
    <t xml:space="preserve">Var. %</t>
  </si>
  <si>
    <t xml:space="preserve">VAB Loreto</t>
  </si>
  <si>
    <t xml:space="preserve">Participación de la extracción</t>
  </si>
  <si>
    <t xml:space="preserve">2014</t>
  </si>
  <si>
    <t xml:space="preserve">2015</t>
  </si>
  <si>
    <t xml:space="preserve">2023P</t>
  </si>
  <si>
    <t xml:space="preserve">2024P</t>
  </si>
  <si>
    <t xml:space="preserve">2025E</t>
  </si>
  <si>
    <t xml:space="preserve">Crec. promedio anual 2015–2025</t>
  </si>
  <si>
    <t xml:space="preserve">Las variaciones 2015–2019 coinciden con las del informe del BCRP (−19,0; −58,8; 31,4; 56,4; 13,4).</t>
  </si>
  <si>
    <t xml:space="preserve">El «crecimiento promedio anual» publicado por el INEI (13,47%) usa un periodo no indicado en el cuadro (columnas B–H ocultas); no se cita.</t>
  </si>
  <si>
    <t xml:space="preserve">Participación de Loreto en el VAB nacional (estructura %, INEI)</t>
  </si>
  <si>
    <t xml:space="preserve">VAB total</t>
  </si>
  <si>
    <t xml:space="preserve">2007 (Cuadro N° 74)</t>
  </si>
  <si>
    <t xml:space="preserve">2025 (Cuadro N° 180)</t>
  </si>
  <si>
    <t xml:space="preserve">Fuente: INEI, «Producto Bruto Interno por Actividades Económicas, según Departamentos», valores a precios constantes de 2007, estructura porcentual.</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</si>
  <si>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</si>
  <si>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</si>
  <si>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</si>
  <si>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</si>
  <si>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</si>
  <si>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</si>
  <si>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</si>
  <si>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</si>
  <si>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</si>
  <si>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</si>
  <si>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</si>
  <si>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</si>
  <si>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</si>
  <si>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</si>
  <si>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</si>
  <si>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</si>
  <si>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</si>
  <si>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</si>
  <si>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</si>
  <si>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</si>
  <si>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</si>
  <si>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</si>
  <si>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</si>
  <si>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</si>
  <si>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</si>
  <si>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</si>
  <si>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</si>
  <si>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</si>
  <si>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</si>
  <si>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</si>
  <si>
    <t xml:space="preserve">Producción fiscalizada de petróleo: Loreto (Selva Norte) y total país, 2006–2025 (barriles)</t>
  </si>
  <si>
    <t xml:space="preserve">Fuente: PERUPETRO, Estadística Anual 2015, «Producción de petróleo – Selva Norte 2006–2015», pág. 31 del PDF; Estadística Anual 2025, «Selva Norte 2016–2025», pág. 33; total país: subtotal de petróleo de la tabla de producción fiscalizada de cada Estadística Anual</t>
  </si>
  <si>
    <t xml:space="preserve">Loreto (bls)</t>
  </si>
  <si>
    <t xml:space="preserve">Var. % Loreto</t>
  </si>
  <si>
    <t xml:space="preserve">Total país (bls)</t>
  </si>
  <si>
    <t xml:space="preserve">2006</t>
  </si>
  <si>
    <t xml:space="preserve">2007</t>
  </si>
  <si>
    <t xml:space="preserve">2008</t>
  </si>
  <si>
    <t xml:space="preserve">2009</t>
  </si>
  <si>
    <t xml:space="preserve">2010</t>
  </si>
  <si>
    <t xml:space="preserve">2011</t>
  </si>
  <si>
    <t xml:space="preserve">2012</t>
  </si>
  <si>
    <t xml:space="preserve">2013</t>
  </si>
  <si>
    <t xml:space="preserve">Reservas probadas de petróleo, zona Selva, fase de explotación (miles de barriles)</t>
  </si>
  <si>
    <t xml:space="preserve">Al 31.12.2023 (Estadística Anual 2024, pág. 70)</t>
  </si>
  <si>
    <t xml:space="preserve">Al 31.12.2024 (Estadística Anual 2025, pág. 71)</t>
  </si>
  <si>
    <t xml:space="preserve">Loreto = lotes 1-AB/192, 8, 39, 67, 95 y 102 (Selva Norte). Total país vacío en 2014, 2019, 2022 y 2023: esas ediciones no están en el lote de PDF procesado.</t>
  </si>
  <si>
    <t xml:space="preserve">Reservas: fuente original MINEM, Libro Anual de Reservas de Hidrocarburos; PERUPETRO no las desagrega por lote ni por departamento.</t>
  </si>
  <si>
    <t xml:space="preserve">Empresas que operan en Loreto: contratos vigentes y producción por operador, 2006–2025</t>
  </si>
  <si>
    <t xml:space="preserve">Fuente: PERUPETRO, Estadística Anual 2025: contratos vigentes al 31.12.2025 (PDF pág. 84), convenios de evaluación técnica (pág. 88) y producción Selva Norte 2016–2025 (pág. 33); Estadística Anual 2015: producción Selva Norte 2006–2015 (pág. 31); Estadística Anual 2021: contratos (págs. 83 y 89); Estadística Anual 2006: notas de contratos (pág. 57)</t>
  </si>
  <si>
    <t xml:space="preserve">A. Contratos de licencia en fase de explotación en Loreto, vigentes al 31/12/2025</t>
  </si>
  <si>
    <t xml:space="preserve">Empresa</t>
  </si>
  <si>
    <t xml:space="preserve">Participación (%)</t>
  </si>
  <si>
    <t xml:space="preserve">Suscripción</t>
  </si>
  <si>
    <t xml:space="preserve">Término</t>
  </si>
  <si>
    <t xml:space="preserve">Área (ha)</t>
  </si>
  <si>
    <t xml:space="preserve">Producción 2025 (bls)</t>
  </si>
  <si>
    <t xml:space="preserve">PETROTAL PERU S.R.L.</t>
  </si>
  <si>
    <t xml:space="preserve">07/04/2005</t>
  </si>
  <si>
    <t xml:space="preserve">30/11/2041</t>
  </si>
  <si>
    <t xml:space="preserve">PetroTal</t>
  </si>
  <si>
    <t xml:space="preserve">UPLAND OIL AND GAS L.L.C, SURCURSAL DEL PERU</t>
  </si>
  <si>
    <t xml:space="preserve">04/11/2024</t>
  </si>
  <si>
    <t xml:space="preserve">01/11/2028</t>
  </si>
  <si>
    <t xml:space="preserve">Upland Oil and Gas</t>
  </si>
  <si>
    <t xml:space="preserve">PETROLEOS DEL PERU - PETROPERU S.A.</t>
  </si>
  <si>
    <t xml:space="preserve">26/10/2023</t>
  </si>
  <si>
    <t xml:space="preserve">24/10/2053</t>
  </si>
  <si>
    <t xml:space="preserve">Petroperú</t>
  </si>
  <si>
    <t xml:space="preserve">64</t>
  </si>
  <si>
    <t xml:space="preserve">07/12/1995</t>
  </si>
  <si>
    <t xml:space="preserve">14/06/2039</t>
  </si>
  <si>
    <t xml:space="preserve">PERENCO PERU PETROLEUM LIMITED, SUCURSAL DEL PERU</t>
  </si>
  <si>
    <t xml:space="preserve">13/12/1995</t>
  </si>
  <si>
    <t xml:space="preserve">25/06/2033</t>
  </si>
  <si>
    <t xml:space="preserve">PVEP - PERENCO PERU LIMITED, SUCURSAL DEL PERU</t>
  </si>
  <si>
    <t xml:space="preserve">09/09/1999</t>
  </si>
  <si>
    <t xml:space="preserve">07/08/2039</t>
  </si>
  <si>
    <t xml:space="preserve">PERENCO PERU BLOCK 39 LIMITED, SUCURSAL DEL PERU</t>
  </si>
  <si>
    <t xml:space="preserve">PERENCO PERU PETROIL LIMITED, SUCURCAL DEL PERU</t>
  </si>
  <si>
    <t xml:space="preserve">PVEP PERU, SUCURSAL PERUANA</t>
  </si>
  <si>
    <t xml:space="preserve">Total Loreto 2025 (bls, hoja de lotes; incluye 144.018 bls de PPN en liquidación)</t>
  </si>
  <si>
    <t xml:space="preserve">Participación de PetroTal</t>
  </si>
  <si>
    <t xml:space="preserve">Participación de Upland</t>
  </si>
  <si>
    <t xml:space="preserve">Producción 2025 de los contratos vigentes (sin PPN en liquidación)</t>
  </si>
  <si>
    <t xml:space="preserve">Fechas que difieren entre fuentes: Lote 8, la nota (4) de la pág. 33 dice «el 08.07.2024 se suscribió el nuevo contrato con Upland»; el cuadro de contratos vigentes (pág. 84) dice 04/11/2024. Lote 192, la nota (2) dice 28.2.2023; el cuadro dice 26/10/2023. El PDF no aclara si una es la suscripción y otra la entrada en vigencia.</t>
  </si>
  <si>
    <t xml:space="preserve">Lote 8 antes de Upland: contrato de Pluspetrol Norte S.A. en liquidación (60 %), KNOC (20 %), Posco Daewoo (11,67 %) y SK Energy (8,33 %), del 20/05/1994 al 19/05/2024 (Estadística Anual 2021, pág. 83); cedido por Petroperú el 22/07/1996 (Estadística Anual 2006, pág. 57).</t>
  </si>
  <si>
    <t xml:space="preserve">Lote 192 antes de Petroperú: contrato de servicio temporal de Frontera (antes Pacific Stratus), del 30/08/2015 al 05/02/2021 (Estadística Anual 2021, pág. 89).</t>
  </si>
  <si>
    <t xml:space="preserve">Lote 95: cambio de operador de Gran Tierra a PetroTal el 26/03/2019 (nota (3), pág. 33).</t>
  </si>
  <si>
    <t xml:space="preserve">Convenios de evaluación técnica de PetroTal (pág. 88): CI (20/08/2025–19/04/2027, 306.697 ha) y CII (20/08/2025–19/08/2027, 312.858 ha), reservorios de la cuenca Loreto; XCVII y XCVIII (30/12/2024–29/12/2026), cuenca Ucayali.</t>
  </si>
  <si>
    <t xml:space="preserve">B. Producción fiscalizada de petróleo en Loreto por operador y lote, 2006–2025 (barriles)</t>
  </si>
  <si>
    <t xml:space="preserve">Total 2006–2025</t>
  </si>
  <si>
    <t xml:space="preserve">1-AB</t>
  </si>
  <si>
    <t xml:space="preserve">Pacific Stratus / Frontera</t>
  </si>
  <si>
    <t xml:space="preserve">Gran Tierra / PetroTal</t>
  </si>
  <si>
    <t xml:space="preserve">Pluspetrol E&amp;P</t>
  </si>
  <si>
    <t xml:space="preserve">102</t>
  </si>
  <si>
    <t xml:space="preserve">Total impreso en el PDF</t>
  </si>
  <si>
    <t xml:space="preserve">Diferencia</t>
  </si>
  <si>
    <t xml:space="preserve">Pluspetrol Norte en el total (%)</t>
  </si>
  <si>
    <t xml:space="preserve">Gran Tierra / PetroTal en el total (%)</t>
  </si>
  <si>
    <t xml:space="preserve">Acumulado Lote 95, 2018–2025</t>
  </si>
  <si>
    <t xml:space="preserve">Acumulado Lote 67, 2013–2023</t>
  </si>
  <si>
    <t xml:space="preserve">C. Regalías 2025 por empresa (la vista por lote las suma: Lote 8 = Upland + PPN en liquidación)</t>
  </si>
  <si>
    <t xml:space="preserve">Lote (como en el PDF)</t>
  </si>
  <si>
    <t xml:space="preserve">Regalías 2025 (US$)</t>
  </si>
  <si>
    <t xml:space="preserve">US$ por barril</t>
  </si>
  <si>
    <t xml:space="preserve">8.</t>
  </si>
  <si>
    <t xml:space="preserve">Lote 8 en conjunto (vista por lote)</t>
  </si>
  <si>
    <t xml:space="preserve">Fuente: Estadística Anual 2025, «Ingresos al fisco por contrato» (PDF pág. 80): el PDF separa «8» (PPN en liquidación) y «8.» (Upland), igual que la tabla de producción (pág. 29). En 2024 las dos filas del Lote 8 no se distinguen.</t>
  </si>
</sst>
</file>

<file path=xl/styles.xml><?xml version="1.0" encoding="utf-8"?>
<styleSheet xmlns="http://schemas.openxmlformats.org/spreadsheetml/2006/main">
  <numFmts count="8">
    <numFmt numFmtId="164" formatCode="General"/>
    <numFmt numFmtId="165" formatCode="#,##0;\(#,##0\);\-"/>
    <numFmt numFmtId="166" formatCode="0.0%;\(0.0%\);\-"/>
    <numFmt numFmtId="167" formatCode="0.0000"/>
    <numFmt numFmtId="168" formatCode="#,##0.00;\(#,##0.00\);\-"/>
    <numFmt numFmtId="169" formatCode="0.00%"/>
    <numFmt numFmtId="170" formatCode="0.0%"/>
    <numFmt numFmtId="171" formatCode="#,##0.0;\(#,##0.0\);\-"/>
  </numFmts>
  <fonts count="12">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
      <sz val="9"/>
      <name val="Arial"/>
      <family val="0"/>
      <charset val="1"/>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3" customFormat="false" ht="15" hidden="false" customHeight="true" outlineLevel="0" collapsed="false">
      <c r="A3" s="3" t="s">
        <v>1</v>
      </c>
    </row>
    <row r="4" customFormat="false" ht="270" hidden="false" customHeight="true" outlineLevel="0" collapsed="false">
      <c r="A4" s="4" t="s">
        <v>2</v>
      </c>
    </row>
    <row r="5" customFormat="false" ht="180" hidden="false" customHeight="true" outlineLevel="0" collapsed="false">
      <c r="A5" s="4" t="s">
        <v>3</v>
      </c>
    </row>
    <row r="6" customFormat="false" ht="225" hidden="false" customHeight="true" outlineLevel="0" collapsed="false">
      <c r="A6" s="4" t="s">
        <v>4</v>
      </c>
    </row>
    <row r="7" customFormat="false" ht="30" hidden="false" customHeight="true" outlineLevel="0" collapsed="false">
      <c r="A7" s="4" t="s">
        <v>5</v>
      </c>
    </row>
    <row r="8" customFormat="false" ht="75" hidden="false" customHeight="true" outlineLevel="0" collapsed="false">
      <c r="A8" s="4" t="s">
        <v>6</v>
      </c>
    </row>
    <row r="9" customFormat="false" ht="120" hidden="false" customHeight="true" outlineLevel="0" collapsed="false">
      <c r="A9" s="4" t="s">
        <v>7</v>
      </c>
    </row>
    <row r="10" customFormat="false" ht="150" hidden="false" customHeight="true" outlineLevel="0" collapsed="false">
      <c r="A10" s="4" t="s">
        <v>8</v>
      </c>
    </row>
    <row r="11" customFormat="false" ht="135" hidden="false" customHeight="true" outlineLevel="0" collapsed="false">
      <c r="A11" s="4" t="s">
        <v>9</v>
      </c>
    </row>
    <row r="12" customFormat="false" ht="105" hidden="false" customHeight="true" outlineLevel="0" collapsed="false">
      <c r="A12" s="4" t="s">
        <v>10</v>
      </c>
    </row>
    <row r="13" customFormat="false" ht="270" hidden="false" customHeight="true" outlineLevel="0" collapsed="false">
      <c r="A13" s="4" t="s">
        <v>11</v>
      </c>
    </row>
    <row r="14" customFormat="false" ht="30" hidden="false" customHeight="true" outlineLevel="0" collapsed="false">
      <c r="A14" s="4" t="s">
        <v>12</v>
      </c>
    </row>
    <row r="15" customFormat="false" ht="30" hidden="false" customHeight="true" outlineLevel="0" collapsed="false">
      <c r="A15" s="4" t="s">
        <v>13</v>
      </c>
    </row>
    <row r="16" customFormat="false" ht="105" hidden="false" customHeight="true" outlineLevel="0" collapsed="false">
      <c r="A16" s="4" t="s">
        <v>14</v>
      </c>
    </row>
    <row r="17" customFormat="false" ht="90" hidden="false" customHeight="true" outlineLevel="0" collapsed="false">
      <c r="A17" s="4" t="s">
        <v>15</v>
      </c>
    </row>
    <row r="18" customFormat="false" ht="165" hidden="false" customHeight="true" outlineLevel="0" collapsed="false">
      <c r="A18" s="4"/>
    </row>
    <row r="19" customFormat="false" ht="60" hidden="false" customHeight="true" outlineLevel="0" collapsed="false">
      <c r="A19" s="4" t="s">
        <v>16</v>
      </c>
    </row>
    <row r="20" customFormat="false" ht="120" hidden="false" customHeight="true" outlineLevel="0" collapsed="false">
      <c r="A20" s="4" t="s">
        <v>17</v>
      </c>
    </row>
    <row r="21" customFormat="false" ht="90" hidden="false" customHeight="true" outlineLevel="0" collapsed="false">
      <c r="A21" s="4" t="s">
        <v>18</v>
      </c>
    </row>
    <row r="22" customFormat="false" ht="90" hidden="false" customHeight="true" outlineLevel="0" collapsed="false">
      <c r="A22" s="4" t="s">
        <v>19</v>
      </c>
    </row>
    <row r="23" customFormat="false" ht="105" hidden="false" customHeight="true" outlineLevel="0" collapsed="false">
      <c r="A23" s="4" t="s">
        <v>20</v>
      </c>
    </row>
    <row r="24" customFormat="false" ht="57.45" hidden="false" customHeight="false" outlineLevel="0" collapsed="false">
      <c r="A24" s="4" t="s">
        <v>21</v>
      </c>
    </row>
    <row r="25" customFormat="false" ht="46.25" hidden="false" customHeight="false" outlineLevel="0" collapsed="false">
      <c r="A25" s="4" t="s">
        <v>22</v>
      </c>
    </row>
    <row r="26" customFormat="false" ht="46.25" hidden="false" customHeight="false" outlineLevel="0" collapsed="false">
      <c r="A26" s="4" t="s">
        <v>23</v>
      </c>
    </row>
    <row r="27" customFormat="false" ht="68.65" hidden="false" customHeight="false" outlineLevel="0" collapsed="false">
      <c r="A27"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2" min="2" style="1" width="12"/>
  </cols>
  <sheetData>
    <row r="1" customFormat="false" ht="15" hidden="false" customHeight="true" outlineLevel="0" collapsed="false">
      <c r="A1" s="2" t="s">
        <v>25</v>
      </c>
    </row>
    <row r="2" customFormat="false" ht="15" hidden="false" customHeight="true" outlineLevel="0" collapsed="false">
      <c r="A2" s="5" t="s">
        <v>26</v>
      </c>
    </row>
    <row r="4" customFormat="false" ht="15" hidden="false" customHeight="true" outlineLevel="0" collapsed="false">
      <c r="A4" s="6" t="s">
        <v>27</v>
      </c>
      <c r="B4" s="6" t="s">
        <v>28</v>
      </c>
      <c r="C4" s="6" t="s">
        <v>29</v>
      </c>
      <c r="D4" s="6" t="s">
        <v>30</v>
      </c>
      <c r="E4" s="6" t="s">
        <v>31</v>
      </c>
      <c r="F4" s="6" t="s">
        <v>32</v>
      </c>
      <c r="G4" s="6" t="s">
        <v>33</v>
      </c>
      <c r="H4" s="6" t="s">
        <v>34</v>
      </c>
      <c r="I4" s="6" t="s">
        <v>35</v>
      </c>
      <c r="J4" s="6" t="s">
        <v>36</v>
      </c>
      <c r="K4" s="6" t="s">
        <v>37</v>
      </c>
      <c r="L4" s="6" t="s">
        <v>38</v>
      </c>
    </row>
    <row r="5" customFormat="false" ht="15" hidden="false" customHeight="true" outlineLevel="0" collapsed="false">
      <c r="A5" s="7" t="s">
        <v>39</v>
      </c>
      <c r="B5" s="7" t="s">
        <v>40</v>
      </c>
      <c r="C5" s="8" t="n">
        <v>414875</v>
      </c>
      <c r="D5" s="8" t="n">
        <v>1387722</v>
      </c>
      <c r="E5" s="8" t="n">
        <v>2641976</v>
      </c>
      <c r="F5" s="8" t="n">
        <v>2458983</v>
      </c>
      <c r="G5" s="8" t="n">
        <v>475535</v>
      </c>
      <c r="H5" s="8" t="n">
        <v>0</v>
      </c>
      <c r="I5" s="8" t="n">
        <v>0</v>
      </c>
      <c r="J5" s="8" t="n">
        <v>0</v>
      </c>
      <c r="K5" s="8" t="n">
        <v>0</v>
      </c>
      <c r="L5" s="8" t="n">
        <v>0</v>
      </c>
    </row>
    <row r="6" customFormat="false" ht="15" hidden="false" customHeight="true" outlineLevel="0" collapsed="false">
      <c r="A6" s="7" t="s">
        <v>41</v>
      </c>
      <c r="B6" s="7" t="s">
        <v>40</v>
      </c>
      <c r="C6" s="8" t="n">
        <v>0</v>
      </c>
      <c r="D6" s="8" t="n">
        <v>0</v>
      </c>
      <c r="E6" s="8" t="n">
        <v>0</v>
      </c>
      <c r="F6" s="8" t="n">
        <v>0</v>
      </c>
      <c r="G6" s="8" t="n">
        <v>0</v>
      </c>
      <c r="H6" s="8" t="n">
        <v>0</v>
      </c>
      <c r="I6" s="8" t="n">
        <v>0</v>
      </c>
      <c r="J6" s="8" t="n">
        <v>0</v>
      </c>
      <c r="K6" s="8" t="n">
        <v>0</v>
      </c>
      <c r="L6" s="8" t="n">
        <v>0</v>
      </c>
    </row>
    <row r="7" customFormat="false" ht="15" hidden="false" customHeight="true" outlineLevel="0" collapsed="false">
      <c r="A7" s="7" t="s">
        <v>42</v>
      </c>
      <c r="B7" s="7" t="s">
        <v>43</v>
      </c>
      <c r="C7" s="8" t="n">
        <v>1601265</v>
      </c>
      <c r="D7" s="8" t="n">
        <v>2132032</v>
      </c>
      <c r="E7" s="8" t="n">
        <v>2058440</v>
      </c>
      <c r="F7" s="8" t="n">
        <v>1611000</v>
      </c>
      <c r="G7" s="8" t="n">
        <v>593933</v>
      </c>
      <c r="H7" s="8" t="n">
        <v>0</v>
      </c>
      <c r="I7" s="8" t="n">
        <v>0</v>
      </c>
      <c r="J7" s="8" t="n">
        <v>0</v>
      </c>
      <c r="K7" s="8" t="n">
        <v>0</v>
      </c>
      <c r="L7" s="8" t="n">
        <v>0</v>
      </c>
    </row>
    <row r="8" customFormat="false" ht="15" hidden="false" customHeight="true" outlineLevel="0" collapsed="false">
      <c r="A8" s="7" t="s">
        <v>44</v>
      </c>
      <c r="B8" s="7" t="s">
        <v>43</v>
      </c>
      <c r="C8" s="8" t="n">
        <v>0</v>
      </c>
      <c r="D8" s="8" t="n">
        <v>0</v>
      </c>
      <c r="E8" s="8" t="n">
        <v>0</v>
      </c>
      <c r="F8" s="8" t="n">
        <v>0</v>
      </c>
      <c r="G8" s="8" t="n">
        <v>0</v>
      </c>
      <c r="H8" s="8" t="n">
        <v>0</v>
      </c>
      <c r="I8" s="8" t="n">
        <v>0</v>
      </c>
      <c r="J8" s="8" t="n">
        <v>0</v>
      </c>
      <c r="K8" s="8" t="n">
        <v>5279</v>
      </c>
      <c r="L8" s="8" t="n">
        <v>144018</v>
      </c>
    </row>
    <row r="9" customFormat="false" ht="15" hidden="false" customHeight="true" outlineLevel="0" collapsed="false">
      <c r="A9" s="7" t="s">
        <v>45</v>
      </c>
      <c r="B9" s="7" t="s">
        <v>43</v>
      </c>
      <c r="C9" s="8" t="n">
        <v>0</v>
      </c>
      <c r="D9" s="8" t="n">
        <v>0</v>
      </c>
      <c r="E9" s="8" t="n">
        <v>0</v>
      </c>
      <c r="F9" s="8" t="n">
        <v>0</v>
      </c>
      <c r="G9" s="8" t="n">
        <v>0</v>
      </c>
      <c r="H9" s="8" t="n">
        <v>0</v>
      </c>
      <c r="I9" s="8" t="n">
        <v>0</v>
      </c>
      <c r="J9" s="8" t="n">
        <v>0</v>
      </c>
      <c r="K9" s="8" t="n">
        <v>29789</v>
      </c>
      <c r="L9" s="8" t="n">
        <v>985720</v>
      </c>
    </row>
    <row r="10" customFormat="false" ht="15" hidden="false" customHeight="true" outlineLevel="0" collapsed="false">
      <c r="A10" s="7" t="s">
        <v>46</v>
      </c>
      <c r="B10" s="7" t="s">
        <v>47</v>
      </c>
      <c r="C10" s="8" t="n">
        <v>131579</v>
      </c>
      <c r="D10" s="8" t="n">
        <v>0</v>
      </c>
      <c r="E10" s="8" t="n">
        <v>134750</v>
      </c>
      <c r="F10" s="8" t="n">
        <v>504668</v>
      </c>
      <c r="G10" s="8" t="n">
        <v>246729</v>
      </c>
      <c r="H10" s="8" t="n">
        <v>516709</v>
      </c>
      <c r="I10" s="8" t="n">
        <v>366619</v>
      </c>
      <c r="J10" s="8" t="n">
        <v>20029</v>
      </c>
      <c r="K10" s="8" t="n">
        <v>0</v>
      </c>
      <c r="L10" s="8" t="n">
        <v>0</v>
      </c>
    </row>
    <row r="11" customFormat="false" ht="15" hidden="false" customHeight="true" outlineLevel="0" collapsed="false">
      <c r="A11" s="7" t="s">
        <v>48</v>
      </c>
      <c r="B11" s="7" t="s">
        <v>49</v>
      </c>
      <c r="C11" s="8" t="n">
        <v>0</v>
      </c>
      <c r="D11" s="8" t="n">
        <v>0</v>
      </c>
      <c r="E11" s="8" t="n">
        <v>170381</v>
      </c>
      <c r="F11" s="8" t="n">
        <v>1498825</v>
      </c>
      <c r="G11" s="8" t="n">
        <v>2065441</v>
      </c>
      <c r="H11" s="8" t="n">
        <v>3229123</v>
      </c>
      <c r="I11" s="8" t="n">
        <v>4407462</v>
      </c>
      <c r="J11" s="8" t="n">
        <v>5160896</v>
      </c>
      <c r="K11" s="8" t="n">
        <v>6395837</v>
      </c>
      <c r="L11" s="8" t="n">
        <v>6775055</v>
      </c>
    </row>
    <row r="12" customFormat="false" ht="15" hidden="false" customHeight="true" outlineLevel="0" collapsed="false">
      <c r="A12" s="9" t="s">
        <v>50</v>
      </c>
      <c r="C12" s="10" t="n">
        <f aca="false">SUM(C5:C11)</f>
        <v>2147719</v>
      </c>
      <c r="D12" s="10" t="n">
        <f aca="false">SUM(D5:D11)</f>
        <v>3519754</v>
      </c>
      <c r="E12" s="10" t="n">
        <f aca="false">SUM(E5:E11)</f>
        <v>5005547</v>
      </c>
      <c r="F12" s="10" t="n">
        <f aca="false">SUM(F5:F11)</f>
        <v>6073476</v>
      </c>
      <c r="G12" s="10" t="n">
        <f aca="false">SUM(G5:G11)</f>
        <v>3381638</v>
      </c>
      <c r="H12" s="10" t="n">
        <f aca="false">SUM(H5:H11)</f>
        <v>3745832</v>
      </c>
      <c r="I12" s="10" t="n">
        <f aca="false">SUM(I5:I11)</f>
        <v>4774081</v>
      </c>
      <c r="J12" s="10" t="n">
        <f aca="false">SUM(J5:J11)</f>
        <v>5180925</v>
      </c>
      <c r="K12" s="10" t="n">
        <f aca="false">SUM(K5:K11)</f>
        <v>6430905</v>
      </c>
      <c r="L12" s="10" t="n">
        <f aca="false">SUM(L5:L11)</f>
        <v>7904793</v>
      </c>
    </row>
    <row r="13" customFormat="false" ht="15" hidden="false" customHeight="true" outlineLevel="0" collapsed="false">
      <c r="A13" s="7" t="s">
        <v>51</v>
      </c>
      <c r="C13" s="8" t="n">
        <v>2147719</v>
      </c>
      <c r="D13" s="8" t="n">
        <v>3519754</v>
      </c>
      <c r="E13" s="8" t="n">
        <v>5005547</v>
      </c>
      <c r="F13" s="8" t="n">
        <v>6073476</v>
      </c>
      <c r="G13" s="8" t="n">
        <v>3381638</v>
      </c>
      <c r="H13" s="8" t="n">
        <v>3745832</v>
      </c>
      <c r="I13" s="8" t="n">
        <v>4774081</v>
      </c>
      <c r="J13" s="8" t="n">
        <v>5180925</v>
      </c>
      <c r="K13" s="8" t="n">
        <v>6430905</v>
      </c>
      <c r="L13" s="8" t="n">
        <v>7904793</v>
      </c>
    </row>
    <row r="14" customFormat="false" ht="15" hidden="false" customHeight="true" outlineLevel="0" collapsed="false">
      <c r="A14" s="7" t="s">
        <v>52</v>
      </c>
      <c r="C14" s="11" t="n">
        <f aca="false">C12-C13</f>
        <v>0</v>
      </c>
      <c r="D14" s="11" t="n">
        <f aca="false">D12-D13</f>
        <v>0</v>
      </c>
      <c r="E14" s="11" t="n">
        <f aca="false">E12-E13</f>
        <v>0</v>
      </c>
      <c r="F14" s="11" t="n">
        <f aca="false">F12-F13</f>
        <v>0</v>
      </c>
      <c r="G14" s="11" t="n">
        <f aca="false">G12-G13</f>
        <v>0</v>
      </c>
      <c r="H14" s="11" t="n">
        <f aca="false">H12-H13</f>
        <v>0</v>
      </c>
      <c r="I14" s="11" t="n">
        <f aca="false">I12-I13</f>
        <v>0</v>
      </c>
      <c r="J14" s="11" t="n">
        <f aca="false">J12-J13</f>
        <v>0</v>
      </c>
      <c r="K14" s="11" t="n">
        <f aca="false">K12-K13</f>
        <v>0</v>
      </c>
      <c r="L14" s="11" t="n">
        <f aca="false">L12-L13</f>
        <v>0</v>
      </c>
    </row>
    <row r="15" customFormat="false" ht="15" hidden="false" customHeight="true" outlineLevel="0" collapsed="false">
      <c r="A15" s="7" t="s">
        <v>53</v>
      </c>
      <c r="C15" s="11" t="n">
        <f aca="false">C12/IF(MOD(2016,4)=0,366,365)</f>
        <v>5868.08469945355</v>
      </c>
      <c r="D15" s="11" t="n">
        <f aca="false">D12/IF(MOD(2017,4)=0,366,365)</f>
        <v>9643.16164383562</v>
      </c>
      <c r="E15" s="11" t="n">
        <f aca="false">E12/IF(MOD(2018,4)=0,366,365)</f>
        <v>13713.8273972603</v>
      </c>
      <c r="F15" s="11" t="n">
        <f aca="false">F12/IF(MOD(2019,4)=0,366,365)</f>
        <v>16639.6602739726</v>
      </c>
      <c r="G15" s="11" t="n">
        <f aca="false">G12/IF(MOD(2020,4)=0,366,365)</f>
        <v>9239.44808743169</v>
      </c>
      <c r="H15" s="11" t="n">
        <f aca="false">H12/IF(MOD(2021,4)=0,366,365)</f>
        <v>10262.5534246575</v>
      </c>
      <c r="I15" s="11" t="n">
        <f aca="false">I12/IF(MOD(2022,4)=0,366,365)</f>
        <v>13079.6739726027</v>
      </c>
      <c r="J15" s="11" t="n">
        <f aca="false">J12/IF(MOD(2023,4)=0,366,365)</f>
        <v>14194.3150684932</v>
      </c>
      <c r="K15" s="11" t="n">
        <f aca="false">K12/IF(MOD(2024,4)=0,366,365)</f>
        <v>17570.7786885246</v>
      </c>
      <c r="L15" s="11" t="n">
        <f aca="false">L12/IF(MOD(2025,4)=0,366,365)</f>
        <v>21656.9671232877</v>
      </c>
    </row>
    <row r="16" customFormat="false" ht="15" hidden="false" customHeight="true" outlineLevel="0" collapsed="false">
      <c r="A16" s="7" t="s">
        <v>54</v>
      </c>
      <c r="C16" s="8" t="n">
        <v>5868</v>
      </c>
      <c r="D16" s="8" t="n">
        <v>9643</v>
      </c>
      <c r="E16" s="8" t="n">
        <v>13714</v>
      </c>
      <c r="F16" s="8" t="n">
        <v>16640</v>
      </c>
      <c r="G16" s="8" t="n">
        <v>9239</v>
      </c>
      <c r="H16" s="8" t="n">
        <v>10263</v>
      </c>
      <c r="I16" s="8" t="n">
        <v>13080</v>
      </c>
      <c r="J16" s="8" t="n">
        <v>14194</v>
      </c>
      <c r="K16" s="8" t="n">
        <v>17571</v>
      </c>
      <c r="L16" s="8" t="n">
        <v>21657</v>
      </c>
    </row>
    <row r="17" customFormat="false" ht="15" hidden="false" customHeight="true" outlineLevel="0" collapsed="false">
      <c r="A17" s="7" t="s">
        <v>55</v>
      </c>
      <c r="D17" s="12" t="n">
        <f aca="false">D12/C12-1</f>
        <v>0.638833571803388</v>
      </c>
      <c r="E17" s="12" t="n">
        <f aca="false">E12/D12-1</f>
        <v>0.42212978520658</v>
      </c>
      <c r="F17" s="12" t="n">
        <f aca="false">F12/E12-1</f>
        <v>0.213349110496815</v>
      </c>
      <c r="G17" s="12" t="n">
        <f aca="false">G12/F12-1</f>
        <v>-0.443212091395438</v>
      </c>
      <c r="H17" s="12" t="n">
        <f aca="false">H12/G12-1</f>
        <v>0.107697512270681</v>
      </c>
      <c r="I17" s="12" t="n">
        <f aca="false">I12/H12-1</f>
        <v>0.274504836308729</v>
      </c>
      <c r="J17" s="12" t="n">
        <f aca="false">J12/I12-1</f>
        <v>0.0852193333125266</v>
      </c>
      <c r="K17" s="12" t="n">
        <f aca="false">K12/J12-1</f>
        <v>0.241265797130821</v>
      </c>
      <c r="L17" s="12" t="n">
        <f aca="false">L12/K12-1</f>
        <v>0.229188271324176</v>
      </c>
    </row>
    <row r="19" customFormat="false" ht="15" hidden="false" customHeight="true" outlineLevel="0" collapsed="false">
      <c r="A19" s="5" t="s">
        <v>56</v>
      </c>
    </row>
    <row r="20" customFormat="false" ht="15" hidden="false" customHeight="true" outlineLevel="0" collapsed="false">
      <c r="A20" s="5" t="s">
        <v>57</v>
      </c>
    </row>
    <row r="21" customFormat="false" ht="15" hidden="false" customHeight="true" outlineLevel="0" collapsed="false">
      <c r="A21" s="5" t="s">
        <v>58</v>
      </c>
    </row>
    <row r="22" customFormat="false" ht="15" hidden="false" customHeight="true" outlineLevel="0" collapsed="false">
      <c r="A22" s="5" t="s">
        <v>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0"/>
    <col collapsed="false" customWidth="true" hidden="false" outlineLevel="0" max="3" min="3" style="1" width="9"/>
    <col collapsed="false" customWidth="true" hidden="false" outlineLevel="0" max="5" min="4" style="1" width="14"/>
    <col collapsed="false" customWidth="true" hidden="false" outlineLevel="0" max="6" min="6" style="1" width="11"/>
    <col collapsed="false" customWidth="true" hidden="false" outlineLevel="0" max="7" min="7" style="1" width="15"/>
  </cols>
  <sheetData>
    <row r="1" customFormat="false" ht="15" hidden="false" customHeight="true" outlineLevel="0" collapsed="false">
      <c r="A1" s="2" t="s">
        <v>60</v>
      </c>
    </row>
    <row r="2" customFormat="false" ht="15" hidden="false" customHeight="true" outlineLevel="0" collapsed="false">
      <c r="A2" s="5" t="s">
        <v>61</v>
      </c>
    </row>
    <row r="4" customFormat="false" ht="23.25" hidden="false" customHeight="true" outlineLevel="0" collapsed="false">
      <c r="A4" s="6" t="s">
        <v>62</v>
      </c>
      <c r="B4" s="6" t="s">
        <v>27</v>
      </c>
      <c r="C4" s="6" t="s">
        <v>28</v>
      </c>
      <c r="D4" s="6" t="s">
        <v>37</v>
      </c>
      <c r="E4" s="6" t="s">
        <v>38</v>
      </c>
      <c r="F4" s="6" t="s">
        <v>63</v>
      </c>
      <c r="G4" s="6" t="s">
        <v>64</v>
      </c>
    </row>
    <row r="5" customFormat="false" ht="15" hidden="false" customHeight="true" outlineLevel="0" collapsed="false">
      <c r="A5" s="7" t="s">
        <v>65</v>
      </c>
      <c r="B5" s="7" t="s">
        <v>66</v>
      </c>
      <c r="C5" s="7" t="s">
        <v>49</v>
      </c>
      <c r="D5" s="8" t="n">
        <v>6395837</v>
      </c>
      <c r="E5" s="8" t="n">
        <v>6775055</v>
      </c>
      <c r="F5" s="12" t="n">
        <f aca="false">IF(D5=0,"",E5/D5-1)</f>
        <v>0.0592913796896324</v>
      </c>
      <c r="G5" s="12" t="n">
        <f aca="false">E5/$E$27</f>
        <v>0.420400261235532</v>
      </c>
    </row>
    <row r="6" customFormat="false" ht="15" hidden="false" customHeight="true" outlineLevel="0" collapsed="false">
      <c r="A6" s="7" t="s">
        <v>67</v>
      </c>
      <c r="B6" s="7" t="s">
        <v>68</v>
      </c>
      <c r="C6" s="7" t="s">
        <v>69</v>
      </c>
      <c r="D6" s="8" t="n">
        <v>2940303</v>
      </c>
      <c r="E6" s="8" t="n">
        <v>2971785</v>
      </c>
      <c r="F6" s="12" t="n">
        <f aca="false">IF(D6=0,"",E6/D6-1)</f>
        <v>0.0107070597826142</v>
      </c>
      <c r="G6" s="12" t="n">
        <f aca="false">E6/$E$27</f>
        <v>0.184402811539661</v>
      </c>
    </row>
    <row r="7" customFormat="false" ht="15" hidden="false" customHeight="true" outlineLevel="0" collapsed="false">
      <c r="A7" s="7" t="s">
        <v>70</v>
      </c>
      <c r="B7" s="7" t="s">
        <v>71</v>
      </c>
      <c r="C7" s="7" t="s">
        <v>72</v>
      </c>
      <c r="D7" s="8" t="n">
        <v>1649782</v>
      </c>
      <c r="E7" s="8" t="n">
        <v>1229664</v>
      </c>
      <c r="F7" s="12" t="n">
        <f aca="false">IF(D7=0,"",E7/D7-1)</f>
        <v>-0.254650614444818</v>
      </c>
      <c r="G7" s="12" t="n">
        <f aca="false">E7/$E$27</f>
        <v>0.0763021210649847</v>
      </c>
    </row>
    <row r="8" customFormat="false" ht="15" hidden="false" customHeight="true" outlineLevel="0" collapsed="false">
      <c r="A8" s="7" t="s">
        <v>67</v>
      </c>
      <c r="B8" s="7" t="s">
        <v>73</v>
      </c>
      <c r="C8" s="7" t="s">
        <v>74</v>
      </c>
      <c r="D8" s="8" t="n">
        <v>929439</v>
      </c>
      <c r="E8" s="8" t="n">
        <v>1211594</v>
      </c>
      <c r="F8" s="12" t="n">
        <f aca="false">IF(D8=0,"",E8/D8-1)</f>
        <v>0.303575597753053</v>
      </c>
      <c r="G8" s="12" t="n">
        <f aca="false">E8/$E$27</f>
        <v>0.0751808559652141</v>
      </c>
    </row>
    <row r="9" customFormat="false" ht="15" hidden="false" customHeight="true" outlineLevel="0" collapsed="false">
      <c r="A9" s="7" t="s">
        <v>65</v>
      </c>
      <c r="B9" s="7" t="s">
        <v>75</v>
      </c>
      <c r="C9" s="7" t="s">
        <v>43</v>
      </c>
      <c r="D9" s="8" t="n">
        <v>35068</v>
      </c>
      <c r="E9" s="8" t="n">
        <v>1129738</v>
      </c>
      <c r="F9" s="12" t="n">
        <f aca="false">IF(D9=0,"",E9/D9-1)</f>
        <v>31.215638188662</v>
      </c>
      <c r="G9" s="12" t="n">
        <f aca="false">E9/$E$27</f>
        <v>0.0701015933195683</v>
      </c>
    </row>
    <row r="10" customFormat="false" ht="15" hidden="false" customHeight="true" outlineLevel="0" collapsed="false">
      <c r="A10" s="7" t="s">
        <v>67</v>
      </c>
      <c r="B10" s="7" t="s">
        <v>73</v>
      </c>
      <c r="C10" s="7" t="s">
        <v>76</v>
      </c>
      <c r="D10" s="8" t="n">
        <v>612508</v>
      </c>
      <c r="E10" s="8" t="n">
        <v>809533</v>
      </c>
      <c r="F10" s="12" t="n">
        <f aca="false">IF(D10=0,"",E10/D10-1)</f>
        <v>0.321669267993235</v>
      </c>
      <c r="G10" s="12" t="n">
        <f aca="false">E10/$E$27</f>
        <v>0.0502324903161353</v>
      </c>
    </row>
    <row r="11" customFormat="false" ht="15" hidden="false" customHeight="true" outlineLevel="0" collapsed="false">
      <c r="A11" s="7" t="s">
        <v>67</v>
      </c>
      <c r="B11" s="7" t="s">
        <v>71</v>
      </c>
      <c r="C11" s="7" t="s">
        <v>77</v>
      </c>
      <c r="D11" s="8" t="n">
        <v>639040</v>
      </c>
      <c r="E11" s="8" t="n">
        <v>453720</v>
      </c>
      <c r="F11" s="12" t="n">
        <f aca="false">IF(D11=0,"",E11/D11-1)</f>
        <v>-0.289997496244367</v>
      </c>
      <c r="G11" s="12" t="n">
        <f aca="false">E11/$E$27</f>
        <v>0.0281538683490814</v>
      </c>
    </row>
    <row r="12" customFormat="false" ht="15" hidden="false" customHeight="true" outlineLevel="0" collapsed="false">
      <c r="A12" s="7" t="s">
        <v>67</v>
      </c>
      <c r="B12" s="7" t="s">
        <v>78</v>
      </c>
      <c r="C12" s="7" t="s">
        <v>79</v>
      </c>
      <c r="D12" s="8" t="n">
        <v>351810</v>
      </c>
      <c r="E12" s="8" t="n">
        <v>380026</v>
      </c>
      <c r="F12" s="12" t="n">
        <f aca="false">IF(D12=0,"",E12/D12-1)</f>
        <v>0.0802023819675393</v>
      </c>
      <c r="G12" s="12" t="n">
        <f aca="false">E12/$E$27</f>
        <v>0.0235810675597902</v>
      </c>
    </row>
    <row r="13" customFormat="false" ht="15" hidden="false" customHeight="true" outlineLevel="0" collapsed="false">
      <c r="A13" s="7" t="s">
        <v>67</v>
      </c>
      <c r="B13" s="7" t="s">
        <v>78</v>
      </c>
      <c r="C13" s="7" t="s">
        <v>80</v>
      </c>
      <c r="D13" s="8" t="n">
        <v>413998</v>
      </c>
      <c r="E13" s="8" t="n">
        <v>319524</v>
      </c>
      <c r="F13" s="12" t="n">
        <f aca="false">IF(D13=0,"",E13/D13-1)</f>
        <v>-0.2281991700443</v>
      </c>
      <c r="G13" s="12" t="n">
        <f aca="false">E13/$E$27</f>
        <v>0.0198268461394073</v>
      </c>
    </row>
    <row r="14" customFormat="false" ht="15" hidden="false" customHeight="true" outlineLevel="0" collapsed="false">
      <c r="A14" s="7" t="s">
        <v>70</v>
      </c>
      <c r="B14" s="7" t="s">
        <v>81</v>
      </c>
      <c r="C14" s="7" t="s">
        <v>82</v>
      </c>
      <c r="D14" s="8" t="n">
        <v>192734</v>
      </c>
      <c r="E14" s="8" t="n">
        <v>240328</v>
      </c>
      <c r="F14" s="12" t="n">
        <f aca="false">IF(D14=0,"",E14/D14-1)</f>
        <v>0.246941380348044</v>
      </c>
      <c r="G14" s="12" t="n">
        <f aca="false">E14/$E$27</f>
        <v>0.0149126396733625</v>
      </c>
    </row>
    <row r="15" customFormat="false" ht="15" hidden="false" customHeight="true" outlineLevel="0" collapsed="false">
      <c r="A15" s="7" t="s">
        <v>83</v>
      </c>
      <c r="B15" s="7" t="s">
        <v>84</v>
      </c>
      <c r="C15" s="7" t="s">
        <v>85</v>
      </c>
      <c r="D15" s="8" t="n">
        <v>281002</v>
      </c>
      <c r="E15" s="8" t="n">
        <v>184505</v>
      </c>
      <c r="F15" s="12" t="n">
        <f aca="false">IF(D15=0,"",E15/D15-1)</f>
        <v>-0.343403249798934</v>
      </c>
      <c r="G15" s="12" t="n">
        <f aca="false">E15/$E$27</f>
        <v>0.0114487557959695</v>
      </c>
    </row>
    <row r="16" customFormat="false" ht="15" hidden="false" customHeight="true" outlineLevel="0" collapsed="false">
      <c r="A16" s="7" t="s">
        <v>67</v>
      </c>
      <c r="B16" s="7" t="s">
        <v>86</v>
      </c>
      <c r="C16" s="7" t="s">
        <v>87</v>
      </c>
      <c r="D16" s="8" t="n">
        <v>171562</v>
      </c>
      <c r="E16" s="8" t="n">
        <v>167850</v>
      </c>
      <c r="F16" s="12" t="n">
        <f aca="false">IF(D16=0,"",E16/D16-1)</f>
        <v>-0.0216364929296697</v>
      </c>
      <c r="G16" s="12" t="n">
        <f aca="false">E16/$E$27</f>
        <v>0.0104152931376032</v>
      </c>
    </row>
    <row r="17" customFormat="false" ht="15" hidden="false" customHeight="true" outlineLevel="0" collapsed="false">
      <c r="A17" s="7" t="s">
        <v>67</v>
      </c>
      <c r="B17" s="7" t="s">
        <v>88</v>
      </c>
      <c r="C17" s="7" t="s">
        <v>89</v>
      </c>
      <c r="D17" s="8" t="n">
        <v>142619</v>
      </c>
      <c r="E17" s="8" t="n">
        <v>108381</v>
      </c>
      <c r="F17" s="12" t="n">
        <f aca="false">IF(D17=0,"",E17/D17-1)</f>
        <v>-0.240066190339296</v>
      </c>
      <c r="G17" s="12" t="n">
        <f aca="false">E17/$E$27</f>
        <v>0.00672517060200518</v>
      </c>
    </row>
    <row r="18" customFormat="false" ht="15" hidden="false" customHeight="true" outlineLevel="0" collapsed="false">
      <c r="A18" s="7" t="s">
        <v>67</v>
      </c>
      <c r="B18" s="7" t="s">
        <v>90</v>
      </c>
      <c r="C18" s="7" t="s">
        <v>91</v>
      </c>
      <c r="D18" s="8" t="n">
        <v>41091</v>
      </c>
      <c r="E18" s="8" t="n">
        <v>65404</v>
      </c>
      <c r="F18" s="12" t="n">
        <f aca="false">IF(D18=0,"",E18/D18-1)</f>
        <v>0.591686744055876</v>
      </c>
      <c r="G18" s="12" t="n">
        <f aca="false">E18/$E$27</f>
        <v>0.00405839637993326</v>
      </c>
    </row>
    <row r="19" customFormat="false" ht="15" hidden="false" customHeight="true" outlineLevel="0" collapsed="false">
      <c r="A19" s="7" t="s">
        <v>67</v>
      </c>
      <c r="B19" s="7" t="s">
        <v>92</v>
      </c>
      <c r="C19" s="7" t="s">
        <v>93</v>
      </c>
      <c r="D19" s="8" t="n">
        <v>55873</v>
      </c>
      <c r="E19" s="8" t="n">
        <v>60856</v>
      </c>
      <c r="F19" s="12" t="n">
        <f aca="false">IF(D19=0,"",E19/D19-1)</f>
        <v>0.0891844003364775</v>
      </c>
      <c r="G19" s="12" t="n">
        <f aca="false">E19/$E$27</f>
        <v>0.00377618754353279</v>
      </c>
    </row>
    <row r="20" customFormat="false" ht="15" hidden="false" customHeight="true" outlineLevel="0" collapsed="false">
      <c r="A20" s="7" t="s">
        <v>67</v>
      </c>
      <c r="B20" s="7" t="s">
        <v>88</v>
      </c>
      <c r="C20" s="7" t="s">
        <v>94</v>
      </c>
      <c r="D20" s="8" t="n">
        <v>7363</v>
      </c>
      <c r="E20" s="8" t="n">
        <v>4487</v>
      </c>
      <c r="F20" s="12" t="n">
        <f aca="false">IF(D20=0,"",E20/D20-1)</f>
        <v>-0.390601656933315</v>
      </c>
      <c r="G20" s="12" t="n">
        <f aca="false">E20/$E$27</f>
        <v>0.000278423713484811</v>
      </c>
    </row>
    <row r="21" customFormat="false" ht="15" hidden="false" customHeight="true" outlineLevel="0" collapsed="false">
      <c r="A21" s="7" t="s">
        <v>67</v>
      </c>
      <c r="B21" s="7" t="s">
        <v>88</v>
      </c>
      <c r="C21" s="7" t="s">
        <v>95</v>
      </c>
      <c r="D21" s="8" t="n">
        <v>4438</v>
      </c>
      <c r="E21" s="8" t="n">
        <v>3275</v>
      </c>
      <c r="F21" s="12" t="n">
        <f aca="false">IF(D21=0,"",E21/D21-1)</f>
        <v>-0.262054979720595</v>
      </c>
      <c r="G21" s="12" t="n">
        <f aca="false">E21/$E$27</f>
        <v>0.000203217664734289</v>
      </c>
    </row>
    <row r="22" customFormat="false" ht="15" hidden="false" customHeight="true" outlineLevel="0" collapsed="false">
      <c r="A22" s="7" t="s">
        <v>65</v>
      </c>
      <c r="B22" s="7" t="s">
        <v>96</v>
      </c>
      <c r="C22" s="7" t="s">
        <v>97</v>
      </c>
      <c r="D22" s="8" t="n">
        <v>0</v>
      </c>
      <c r="E22" s="8" t="n">
        <v>0</v>
      </c>
      <c r="F22" s="12" t="str">
        <f aca="false">IF(D22=0,"",E22/D22-1)</f>
        <v/>
      </c>
      <c r="G22" s="12" t="n">
        <f aca="false">E22/$E$27</f>
        <v>0</v>
      </c>
    </row>
    <row r="23" customFormat="false" ht="15" hidden="false" customHeight="true" outlineLevel="0" collapsed="false">
      <c r="A23" s="7" t="s">
        <v>65</v>
      </c>
      <c r="B23" s="7" t="s">
        <v>71</v>
      </c>
      <c r="C23" s="7" t="s">
        <v>40</v>
      </c>
      <c r="D23" s="8" t="n">
        <v>0</v>
      </c>
      <c r="E23" s="8" t="n">
        <v>0</v>
      </c>
      <c r="F23" s="12" t="str">
        <f aca="false">IF(D23=0,"",E23/D23-1)</f>
        <v/>
      </c>
      <c r="G23" s="12" t="n">
        <f aca="false">E23/$E$27</f>
        <v>0</v>
      </c>
    </row>
    <row r="24" customFormat="false" ht="15" hidden="false" customHeight="true" outlineLevel="0" collapsed="false">
      <c r="A24" s="7" t="s">
        <v>65</v>
      </c>
      <c r="B24" s="7" t="s">
        <v>96</v>
      </c>
      <c r="C24" s="7" t="s">
        <v>47</v>
      </c>
      <c r="D24" s="8" t="n">
        <v>0</v>
      </c>
      <c r="E24" s="8" t="n">
        <v>0</v>
      </c>
      <c r="F24" s="12" t="str">
        <f aca="false">IF(D24=0,"",E24/D24-1)</f>
        <v/>
      </c>
      <c r="G24" s="12" t="n">
        <f aca="false">E24/$E$27</f>
        <v>0</v>
      </c>
    </row>
    <row r="25" customFormat="false" ht="15" hidden="false" customHeight="true" outlineLevel="0" collapsed="false">
      <c r="A25" s="7" t="s">
        <v>70</v>
      </c>
      <c r="B25" s="7" t="s">
        <v>96</v>
      </c>
      <c r="C25" s="7" t="s">
        <v>98</v>
      </c>
      <c r="D25" s="8" t="n">
        <v>0</v>
      </c>
      <c r="E25" s="8" t="n">
        <v>0</v>
      </c>
      <c r="F25" s="12" t="str">
        <f aca="false">IF(D25=0,"",E25/D25-1)</f>
        <v/>
      </c>
      <c r="G25" s="12" t="n">
        <f aca="false">E25/$E$27</f>
        <v>0</v>
      </c>
    </row>
    <row r="26" customFormat="false" ht="15" hidden="false" customHeight="true" outlineLevel="0" collapsed="false">
      <c r="A26" s="7" t="s">
        <v>67</v>
      </c>
      <c r="B26" s="7"/>
      <c r="C26" s="7" t="s">
        <v>99</v>
      </c>
      <c r="D26" s="8" t="n">
        <v>6548</v>
      </c>
      <c r="E26" s="8" t="n">
        <v>0</v>
      </c>
      <c r="F26" s="12" t="n">
        <f aca="false">IF(D26=0,"",E26/D26-1)</f>
        <v>-1</v>
      </c>
      <c r="G26" s="12" t="n">
        <f aca="false">E26/$E$27</f>
        <v>0</v>
      </c>
    </row>
    <row r="27" customFormat="false" ht="15" hidden="false" customHeight="true" outlineLevel="0" collapsed="false">
      <c r="A27" s="9" t="s">
        <v>100</v>
      </c>
      <c r="D27" s="10" t="n">
        <f aca="false">SUM(D5:D26)</f>
        <v>14871015</v>
      </c>
      <c r="E27" s="10" t="n">
        <f aca="false">SUM(E5:E26)</f>
        <v>16115725</v>
      </c>
      <c r="F27" s="13" t="n">
        <f aca="false">E27/D27-1</f>
        <v>0.0837004064618319</v>
      </c>
    </row>
    <row r="28" customFormat="false" ht="15" hidden="false" customHeight="true" outlineLevel="0" collapsed="false">
      <c r="A28" s="9" t="s">
        <v>101</v>
      </c>
      <c r="D28" s="10" t="n">
        <f aca="false">SUMIF($A$5:$A$26,"SELVA NORTE",D5:D26)</f>
        <v>6430905</v>
      </c>
      <c r="E28" s="10" t="n">
        <f aca="false">SUMIF($A$5:$A$26,"SELVA NORTE",E5:E26)</f>
        <v>7904793</v>
      </c>
      <c r="F28" s="13" t="n">
        <f aca="false">E28/D28-1</f>
        <v>0.229188271324176</v>
      </c>
    </row>
    <row r="29" customFormat="false" ht="15" hidden="false" customHeight="true" outlineLevel="0" collapsed="false">
      <c r="A29" s="9" t="s">
        <v>102</v>
      </c>
      <c r="D29" s="13" t="n">
        <f aca="false">D28/D27</f>
        <v>0.432445599711923</v>
      </c>
      <c r="E29" s="13"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7"/>
    <col collapsed="false" customWidth="true" hidden="false" outlineLevel="0" max="3" min="3" style="1" width="14"/>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8"/>
  </cols>
  <sheetData>
    <row r="1" customFormat="false" ht="15" hidden="false" customHeight="true" outlineLevel="0" collapsed="false">
      <c r="A1" s="2" t="s">
        <v>103</v>
      </c>
    </row>
    <row r="2" customFormat="false" ht="15" hidden="false" customHeight="true" outlineLevel="0" collapsed="false">
      <c r="A2" s="5" t="s">
        <v>104</v>
      </c>
    </row>
    <row r="4" customFormat="false" ht="23.25" hidden="false" customHeight="true" outlineLevel="0" collapsed="false">
      <c r="A4" s="6" t="s">
        <v>105</v>
      </c>
      <c r="B4" s="6" t="s">
        <v>106</v>
      </c>
      <c r="C4" s="6" t="s">
        <v>107</v>
      </c>
      <c r="D4" s="6" t="s">
        <v>108</v>
      </c>
      <c r="E4" s="6" t="s">
        <v>109</v>
      </c>
      <c r="F4" s="6" t="s">
        <v>110</v>
      </c>
      <c r="G4" s="6" t="s">
        <v>111</v>
      </c>
      <c r="H4" s="6" t="s">
        <v>112</v>
      </c>
      <c r="I4" s="6" t="s">
        <v>113</v>
      </c>
      <c r="J4" s="6" t="s">
        <v>114</v>
      </c>
    </row>
    <row r="5" customFormat="false" ht="15" hidden="false" customHeight="true" outlineLevel="0" collapsed="false">
      <c r="A5" s="7" t="s">
        <v>115</v>
      </c>
      <c r="B5" s="8" t="n">
        <v>31</v>
      </c>
      <c r="C5" s="8" t="n">
        <v>693088</v>
      </c>
      <c r="D5" s="8" t="n">
        <v>26161</v>
      </c>
      <c r="E5" s="11" t="n">
        <f aca="false">C5+D5</f>
        <v>719249</v>
      </c>
      <c r="F5" s="11" t="n">
        <f aca="false">C5/B5</f>
        <v>22357.6774193548</v>
      </c>
      <c r="G5" s="11" t="n">
        <f aca="false">D5/B5</f>
        <v>843.903225806452</v>
      </c>
      <c r="H5" s="11" t="n">
        <f aca="false">E5/B5</f>
        <v>23201.5806451613</v>
      </c>
      <c r="I5" s="14" t="n">
        <v>71.6166</v>
      </c>
      <c r="J5" s="11" t="n">
        <f aca="false">C5*I5</f>
        <v>49636606.0608</v>
      </c>
    </row>
    <row r="6" customFormat="false" ht="15" hidden="false" customHeight="true" outlineLevel="0" collapsed="false">
      <c r="A6" s="7" t="s">
        <v>116</v>
      </c>
      <c r="B6" s="8" t="n">
        <v>28</v>
      </c>
      <c r="C6" s="8" t="n">
        <v>616589</v>
      </c>
      <c r="D6" s="8" t="n">
        <v>65427</v>
      </c>
      <c r="E6" s="11" t="n">
        <f aca="false">C6+D6</f>
        <v>682016</v>
      </c>
      <c r="F6" s="11" t="n">
        <f aca="false">C6/B6</f>
        <v>22021.0357142857</v>
      </c>
      <c r="G6" s="11" t="n">
        <f aca="false">D6/B6</f>
        <v>2336.67857142857</v>
      </c>
      <c r="H6" s="11" t="n">
        <f aca="false">E6/B6</f>
        <v>24357.7142857143</v>
      </c>
      <c r="I6" s="14" t="n">
        <v>69.1517</v>
      </c>
      <c r="J6" s="11" t="n">
        <f aca="false">C6*I6</f>
        <v>42638177.5513</v>
      </c>
    </row>
    <row r="7" customFormat="false" ht="15" hidden="false" customHeight="true" outlineLevel="0" collapsed="false">
      <c r="A7" s="7" t="s">
        <v>117</v>
      </c>
      <c r="B7" s="8" t="n">
        <v>31</v>
      </c>
      <c r="C7" s="8" t="n">
        <v>712644</v>
      </c>
      <c r="D7" s="8" t="n">
        <v>93980</v>
      </c>
      <c r="E7" s="11" t="n">
        <f aca="false">C7+D7</f>
        <v>806624</v>
      </c>
      <c r="F7" s="11" t="n">
        <f aca="false">C7/B7</f>
        <v>22988.5161290323</v>
      </c>
      <c r="G7" s="11" t="n">
        <f aca="false">D7/B7</f>
        <v>3031.61290322581</v>
      </c>
      <c r="H7" s="11" t="n">
        <f aca="false">E7/B7</f>
        <v>26020.1290322581</v>
      </c>
      <c r="I7" s="14" t="n">
        <v>65.7232</v>
      </c>
      <c r="J7" s="11" t="n">
        <f aca="false">C7*I7</f>
        <v>46837244.1408</v>
      </c>
    </row>
    <row r="8" customFormat="false" ht="15" hidden="false" customHeight="true" outlineLevel="0" collapsed="false">
      <c r="A8" s="7" t="s">
        <v>118</v>
      </c>
      <c r="B8" s="8" t="n">
        <v>30</v>
      </c>
      <c r="C8" s="8" t="n">
        <v>664157</v>
      </c>
      <c r="D8" s="8" t="n">
        <v>162792</v>
      </c>
      <c r="E8" s="11" t="n">
        <f aca="false">C8+D8</f>
        <v>826949</v>
      </c>
      <c r="F8" s="11" t="n">
        <f aca="false">C8/B8</f>
        <v>22138.5666666667</v>
      </c>
      <c r="G8" s="11" t="n">
        <f aca="false">D8/B8</f>
        <v>5426.4</v>
      </c>
      <c r="H8" s="11" t="n">
        <f aca="false">E8/B8</f>
        <v>27564.9666666667</v>
      </c>
      <c r="I8" s="14" t="n">
        <v>60.5637</v>
      </c>
      <c r="J8" s="11" t="n">
        <f aca="false">C8*I8</f>
        <v>40223805.3009</v>
      </c>
    </row>
    <row r="9" customFormat="false" ht="15" hidden="false" customHeight="true" outlineLevel="0" collapsed="false">
      <c r="A9" s="7" t="s">
        <v>119</v>
      </c>
      <c r="B9" s="8" t="n">
        <v>31</v>
      </c>
      <c r="C9" s="8" t="n">
        <v>610125</v>
      </c>
      <c r="D9" s="8" t="n">
        <v>73554</v>
      </c>
      <c r="E9" s="11" t="n">
        <f aca="false">C9+D9</f>
        <v>683679</v>
      </c>
      <c r="F9" s="11" t="n">
        <f aca="false">C9/B9</f>
        <v>19681.4516129032</v>
      </c>
      <c r="G9" s="11" t="n">
        <f aca="false">D9/B9</f>
        <v>2372.70967741935</v>
      </c>
      <c r="H9" s="11" t="n">
        <f aca="false">E9/B9</f>
        <v>22054.1612903226</v>
      </c>
      <c r="I9" s="14" t="n">
        <v>58.4251</v>
      </c>
      <c r="J9" s="11" t="n">
        <f aca="false">C9*I9</f>
        <v>35646614.1375</v>
      </c>
    </row>
    <row r="10" customFormat="false" ht="15" hidden="false" customHeight="true" outlineLevel="0" collapsed="false">
      <c r="A10" s="7" t="s">
        <v>120</v>
      </c>
      <c r="B10" s="8" t="n">
        <v>30</v>
      </c>
      <c r="C10" s="8" t="n">
        <v>544775</v>
      </c>
      <c r="D10" s="8" t="n">
        <v>75971</v>
      </c>
      <c r="E10" s="11" t="n">
        <f aca="false">C10+D10</f>
        <v>620746</v>
      </c>
      <c r="F10" s="11" t="n">
        <f aca="false">C10/B10</f>
        <v>18159.1666666667</v>
      </c>
      <c r="G10" s="11" t="n">
        <f aca="false">D10/B10</f>
        <v>2532.36666666667</v>
      </c>
      <c r="H10" s="11" t="n">
        <f aca="false">E10/B10</f>
        <v>20691.5333333333</v>
      </c>
      <c r="I10" s="14" t="n">
        <v>63.2587</v>
      </c>
      <c r="J10" s="11" t="n">
        <f aca="false">C10*I10</f>
        <v>34461758.2925</v>
      </c>
    </row>
    <row r="11" customFormat="false" ht="15" hidden="false" customHeight="true" outlineLevel="0" collapsed="false">
      <c r="A11" s="7" t="s">
        <v>121</v>
      </c>
      <c r="B11" s="8" t="n">
        <v>31</v>
      </c>
      <c r="C11" s="8" t="n">
        <v>603205</v>
      </c>
      <c r="D11" s="8" t="n">
        <v>135863</v>
      </c>
      <c r="E11" s="11" t="n">
        <f aca="false">C11+D11</f>
        <v>739068</v>
      </c>
      <c r="F11" s="11" t="n">
        <f aca="false">C11/B11</f>
        <v>19458.2258064516</v>
      </c>
      <c r="G11" s="11" t="n">
        <f aca="false">D11/B11</f>
        <v>4382.67741935484</v>
      </c>
      <c r="H11" s="11" t="n">
        <f aca="false">E11/B11</f>
        <v>23840.9032258065</v>
      </c>
      <c r="I11" s="14" t="n">
        <v>64.3756</v>
      </c>
      <c r="J11" s="11" t="n">
        <f aca="false">C11*I11</f>
        <v>38831683.798</v>
      </c>
    </row>
    <row r="12" customFormat="false" ht="15" hidden="false" customHeight="true" outlineLevel="0" collapsed="false">
      <c r="A12" s="7" t="s">
        <v>122</v>
      </c>
      <c r="B12" s="8" t="n">
        <v>31</v>
      </c>
      <c r="C12" s="8" t="n">
        <v>538590</v>
      </c>
      <c r="D12" s="8" t="n">
        <v>113592</v>
      </c>
      <c r="E12" s="11" t="n">
        <f aca="false">C12+D12</f>
        <v>652182</v>
      </c>
      <c r="F12" s="11" t="n">
        <f aca="false">C12/B12</f>
        <v>17373.8709677419</v>
      </c>
      <c r="G12" s="11" t="n">
        <f aca="false">D12/B12</f>
        <v>3664.25806451613</v>
      </c>
      <c r="H12" s="11" t="n">
        <f aca="false">E12/B12</f>
        <v>21038.1290322581</v>
      </c>
      <c r="I12" s="14" t="n">
        <v>62.0324</v>
      </c>
      <c r="J12" s="11" t="n">
        <f aca="false">C12*I12</f>
        <v>33410030.316</v>
      </c>
    </row>
    <row r="13" customFormat="false" ht="15" hidden="false" customHeight="true" outlineLevel="0" collapsed="false">
      <c r="A13" s="7" t="s">
        <v>123</v>
      </c>
      <c r="B13" s="8" t="n">
        <v>30</v>
      </c>
      <c r="C13" s="8" t="n">
        <v>485392</v>
      </c>
      <c r="D13" s="8" t="n">
        <v>116510</v>
      </c>
      <c r="E13" s="11" t="n">
        <f aca="false">C13+D13</f>
        <v>601902</v>
      </c>
      <c r="F13" s="11" t="n">
        <f aca="false">C13/B13</f>
        <v>16179.7333333333</v>
      </c>
      <c r="G13" s="11" t="n">
        <f aca="false">D13/B13</f>
        <v>3883.66666666667</v>
      </c>
      <c r="H13" s="11" t="n">
        <f aca="false">E13/B13</f>
        <v>20063.4</v>
      </c>
      <c r="I13" s="14" t="n">
        <v>62.0611</v>
      </c>
      <c r="J13" s="11" t="n">
        <f aca="false">C13*I13</f>
        <v>30123961.4512</v>
      </c>
    </row>
    <row r="14" customFormat="false" ht="15" hidden="false" customHeight="true" outlineLevel="0" collapsed="false">
      <c r="A14" s="7" t="s">
        <v>124</v>
      </c>
      <c r="B14" s="8" t="n">
        <v>31</v>
      </c>
      <c r="C14" s="8" t="n">
        <v>438777</v>
      </c>
      <c r="D14" s="8" t="n">
        <v>121476</v>
      </c>
      <c r="E14" s="11" t="n">
        <f aca="false">C14+D14</f>
        <v>560253</v>
      </c>
      <c r="F14" s="11" t="n">
        <f aca="false">C14/B14</f>
        <v>14154.0967741936</v>
      </c>
      <c r="G14" s="11" t="n">
        <f aca="false">D14/B14</f>
        <v>3918.58064516129</v>
      </c>
      <c r="H14" s="11" t="n">
        <f aca="false">E14/B14</f>
        <v>18072.6774193548</v>
      </c>
      <c r="I14" s="14" t="n">
        <v>57.9806</v>
      </c>
      <c r="J14" s="11" t="n">
        <f aca="false">C14*I14</f>
        <v>25440553.7262</v>
      </c>
    </row>
    <row r="15" customFormat="false" ht="15" hidden="false" customHeight="true" outlineLevel="0" collapsed="false">
      <c r="A15" s="7" t="s">
        <v>125</v>
      </c>
      <c r="B15" s="8" t="n">
        <v>30</v>
      </c>
      <c r="C15" s="8" t="n">
        <v>412338</v>
      </c>
      <c r="D15" s="8" t="n">
        <v>63169</v>
      </c>
      <c r="E15" s="11" t="n">
        <f aca="false">C15+D15</f>
        <v>475507</v>
      </c>
      <c r="F15" s="11" t="n">
        <f aca="false">C15/B15</f>
        <v>13744.6</v>
      </c>
      <c r="G15" s="11" t="n">
        <f aca="false">D15/B15</f>
        <v>2105.63333333333</v>
      </c>
      <c r="H15" s="11" t="n">
        <f aca="false">E15/B15</f>
        <v>15850.2333333333</v>
      </c>
      <c r="I15" s="14" t="n">
        <v>57.1132</v>
      </c>
      <c r="J15" s="11" t="n">
        <f aca="false">C15*I15</f>
        <v>23549942.6616</v>
      </c>
    </row>
    <row r="16" customFormat="false" ht="15" hidden="false" customHeight="true" outlineLevel="0" collapsed="false">
      <c r="A16" s="7" t="s">
        <v>126</v>
      </c>
      <c r="B16" s="8" t="n">
        <v>31</v>
      </c>
      <c r="C16" s="8" t="n">
        <v>455375</v>
      </c>
      <c r="D16" s="8" t="n">
        <v>81243</v>
      </c>
      <c r="E16" s="11" t="n">
        <f aca="false">C16+D16</f>
        <v>536618</v>
      </c>
      <c r="F16" s="11" t="n">
        <f aca="false">C16/B16</f>
        <v>14689.5161290323</v>
      </c>
      <c r="G16" s="11" t="n">
        <f aca="false">D16/B16</f>
        <v>2620.74193548387</v>
      </c>
      <c r="H16" s="11" t="n">
        <f aca="false">E16/B16</f>
        <v>17310.2580645161</v>
      </c>
      <c r="I16" s="14" t="n">
        <v>55.0686</v>
      </c>
      <c r="J16" s="11" t="n">
        <f aca="false">C16*I16</f>
        <v>25076863.725</v>
      </c>
    </row>
    <row r="17" customFormat="false" ht="15" hidden="false" customHeight="true" outlineLevel="0" collapsed="false">
      <c r="A17" s="9" t="s">
        <v>127</v>
      </c>
      <c r="B17" s="10" t="n">
        <f aca="false">SUM(B5:B16)</f>
        <v>365</v>
      </c>
      <c r="C17" s="10" t="n">
        <f aca="false">SUM(C5:C16)</f>
        <v>6775055</v>
      </c>
      <c r="D17" s="10" t="n">
        <f aca="false">SUM(D5:D16)</f>
        <v>1129738</v>
      </c>
      <c r="E17" s="10" t="n">
        <f aca="false">SUM(E5:E16)</f>
        <v>7904793</v>
      </c>
      <c r="F17" s="10" t="n">
        <f aca="false">C17/B17</f>
        <v>18561.7945205479</v>
      </c>
      <c r="G17" s="10" t="n">
        <f aca="false">D17/B17</f>
        <v>3095.17260273973</v>
      </c>
      <c r="H17" s="10" t="n">
        <f aca="false">E17/B17</f>
        <v>21656.9671232877</v>
      </c>
      <c r="I17" s="15" t="n">
        <f aca="false">AVERAGE(I5:I16)</f>
        <v>62.280875</v>
      </c>
      <c r="J17" s="10" t="n">
        <f aca="false">SUM(J5:J16)</f>
        <v>425877241.1618</v>
      </c>
    </row>
    <row r="18" customFormat="false" ht="15" hidden="false" customHeight="true" outlineLevel="0" collapsed="false">
      <c r="A18" s="7" t="s">
        <v>128</v>
      </c>
      <c r="C18" s="11" t="n">
        <f aca="false">SUM(C5:C10)</f>
        <v>3841378</v>
      </c>
      <c r="E18" s="11" t="n">
        <f aca="false">SUM(E5:E10)</f>
        <v>4339263</v>
      </c>
    </row>
    <row r="19" customFormat="false" ht="15" hidden="false" customHeight="true" outlineLevel="0" collapsed="false">
      <c r="A19" s="7" t="s">
        <v>129</v>
      </c>
      <c r="C19" s="11" t="n">
        <f aca="false">SUM(C11:C16)</f>
        <v>2933677</v>
      </c>
      <c r="E19" s="11" t="n">
        <f aca="false">SUM(E11:E16)</f>
        <v>3565530</v>
      </c>
    </row>
    <row r="20" customFormat="false" ht="15" hidden="false" customHeight="true" outlineLevel="0" collapsed="false">
      <c r="A20" s="7" t="s">
        <v>130</v>
      </c>
      <c r="C20" s="12" t="n">
        <f aca="false">C19/C18-1</f>
        <v>-0.236295673063156</v>
      </c>
      <c r="E20" s="12" t="n">
        <f aca="false">E19/E18-1</f>
        <v>-0.178309772880786</v>
      </c>
    </row>
    <row r="22" customFormat="false" ht="15" hidden="false" customHeight="true" outlineLevel="0" collapsed="false">
      <c r="A22" s="5"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6"/>
    <col collapsed="false" customWidth="true" hidden="false" outlineLevel="0" max="4" min="3" style="1" width="18"/>
    <col collapsed="false" customWidth="true" hidden="false" outlineLevel="0" max="5" min="5" style="1" width="11"/>
  </cols>
  <sheetData>
    <row r="1" customFormat="false" ht="15" hidden="false" customHeight="true" outlineLevel="0" collapsed="false">
      <c r="A1" s="2" t="s">
        <v>132</v>
      </c>
    </row>
    <row r="2" customFormat="false" ht="15" hidden="false" customHeight="true" outlineLevel="0" collapsed="false">
      <c r="A2" s="5" t="s">
        <v>133</v>
      </c>
    </row>
    <row r="4" customFormat="false" ht="15" hidden="false" customHeight="true" outlineLevel="0" collapsed="false">
      <c r="A4" s="6" t="s">
        <v>28</v>
      </c>
      <c r="B4" s="6" t="s">
        <v>134</v>
      </c>
      <c r="C4" s="6" t="s">
        <v>37</v>
      </c>
      <c r="D4" s="6" t="s">
        <v>38</v>
      </c>
      <c r="E4" s="6" t="s">
        <v>63</v>
      </c>
    </row>
    <row r="5" customFormat="false" ht="15" hidden="false" customHeight="true" outlineLevel="0" collapsed="false">
      <c r="A5" s="7" t="s">
        <v>49</v>
      </c>
      <c r="B5" s="7" t="s">
        <v>49</v>
      </c>
      <c r="C5" s="16" t="n">
        <v>27342744.78</v>
      </c>
      <c r="D5" s="16" t="n">
        <v>24395965.48</v>
      </c>
      <c r="E5" s="12" t="n">
        <f aca="false">IF(C5=0,"",D5/C5-1)</f>
        <v>-0.107771890631676</v>
      </c>
    </row>
    <row r="6" customFormat="false" ht="15" hidden="false" customHeight="true" outlineLevel="0" collapsed="false">
      <c r="A6" s="7" t="s">
        <v>43</v>
      </c>
      <c r="B6" s="7" t="s">
        <v>135</v>
      </c>
      <c r="C6" s="16" t="n">
        <v>366750.79</v>
      </c>
      <c r="D6" s="16" t="n">
        <v>2094105.9</v>
      </c>
      <c r="E6" s="12" t="n">
        <f aca="false">IF(C6=0,"",D6/C6-1)</f>
        <v>4.70988790508127</v>
      </c>
    </row>
    <row r="7" customFormat="false" ht="15" hidden="false" customHeight="true" outlineLevel="0" collapsed="false">
      <c r="A7" s="7" t="s">
        <v>43</v>
      </c>
      <c r="B7" s="7" t="s">
        <v>136</v>
      </c>
      <c r="C7" s="16" t="n">
        <v>0</v>
      </c>
      <c r="D7" s="16" t="n">
        <v>7897637.12</v>
      </c>
      <c r="E7" s="12" t="str">
        <f aca="false">IF(C7=0,"",D7/C7-1)</f>
        <v/>
      </c>
    </row>
    <row r="8" customFormat="false" ht="15" hidden="false" customHeight="true" outlineLevel="0" collapsed="false">
      <c r="A8" s="9" t="s">
        <v>137</v>
      </c>
      <c r="C8" s="17" t="n">
        <f aca="false">SUM(C5:C7)</f>
        <v>27709495.57</v>
      </c>
      <c r="D8" s="17" t="n">
        <f aca="false">SUM(D5:D7)</f>
        <v>34387708.5</v>
      </c>
      <c r="E8" s="13" t="n">
        <f aca="false">D8/C8-1</f>
        <v>0.241008101830271</v>
      </c>
    </row>
    <row r="9" customFormat="false" ht="15" hidden="false" customHeight="true" outlineLevel="0" collapsed="false">
      <c r="A9" s="7" t="s">
        <v>138</v>
      </c>
      <c r="C9" s="16" t="n">
        <v>1198995518.22</v>
      </c>
      <c r="D9" s="16" t="n">
        <v>1076200631.44</v>
      </c>
      <c r="E9" s="12" t="n">
        <f aca="false">D9/C9-1</f>
        <v>-0.102414800484241</v>
      </c>
    </row>
    <row r="10" customFormat="false" ht="15" hidden="false" customHeight="true" outlineLevel="0" collapsed="false">
      <c r="A10" s="7" t="s">
        <v>139</v>
      </c>
      <c r="C10" s="12" t="n">
        <f aca="false">C8/C9</f>
        <v>0.0231105914483624</v>
      </c>
      <c r="D10" s="12" t="n">
        <f aca="false">D8/D9</f>
        <v>0.0319528789478481</v>
      </c>
    </row>
    <row r="12" customFormat="false" ht="15" hidden="false" customHeight="true" outlineLevel="0" collapsed="false">
      <c r="A12" s="9" t="s">
        <v>140</v>
      </c>
    </row>
    <row r="13" customFormat="false" ht="15" hidden="false" customHeight="true" outlineLevel="0" collapsed="false">
      <c r="A13" s="7" t="s">
        <v>141</v>
      </c>
      <c r="C13" s="8" t="n">
        <v>6395837</v>
      </c>
      <c r="D13" s="18" t="n">
        <f aca="false">Loreto_mensual_2025!C17</f>
        <v>6775055</v>
      </c>
      <c r="E13" s="12" t="n">
        <f aca="false">D13/C13-1</f>
        <v>0.0592913796896324</v>
      </c>
    </row>
    <row r="14" customFormat="false" ht="15" hidden="false" customHeight="true" outlineLevel="0" collapsed="false">
      <c r="A14" s="7" t="s">
        <v>142</v>
      </c>
      <c r="C14" s="14" t="n">
        <v>75.1517</v>
      </c>
      <c r="D14" s="19" t="n">
        <f aca="false">Loreto_mensual_2025!I17</f>
        <v>62.280875</v>
      </c>
      <c r="E14" s="12" t="n">
        <f aca="false">D14/C14-1</f>
        <v>-0.171264588825003</v>
      </c>
    </row>
    <row r="15" customFormat="false" ht="15" hidden="false" customHeight="true" outlineLevel="0" collapsed="false">
      <c r="A15" s="7" t="s">
        <v>143</v>
      </c>
      <c r="C15" s="8" t="n">
        <v>476995159.31</v>
      </c>
      <c r="D15" s="18" t="n">
        <f aca="false">Loreto_mensual_2025!J17</f>
        <v>425877241.1618</v>
      </c>
      <c r="E15" s="12" t="n">
        <f aca="false">D15/C15-1</f>
        <v>-0.107166534398682</v>
      </c>
    </row>
    <row r="16" customFormat="false" ht="15" hidden="false" customHeight="true" outlineLevel="0" collapsed="false">
      <c r="A16" s="7" t="s">
        <v>144</v>
      </c>
      <c r="C16" s="12" t="n">
        <f aca="false">C5/C15</f>
        <v>0.0573228978246924</v>
      </c>
      <c r="D16" s="12" t="n">
        <f aca="false">D5/D15</f>
        <v>0.0572840319277156</v>
      </c>
    </row>
    <row r="17" customFormat="false" ht="15" hidden="false" customHeight="true" outlineLevel="0" collapsed="false">
      <c r="A17" s="7" t="s">
        <v>145</v>
      </c>
      <c r="C17" s="20" t="n">
        <f aca="false">C5/C13</f>
        <v>4.27508468086351</v>
      </c>
      <c r="D17" s="20" t="n">
        <f aca="false">D5/D13</f>
        <v>3.60085128165011</v>
      </c>
    </row>
    <row r="18" customFormat="false" ht="15" hidden="false" customHeight="true" outlineLevel="0" collapsed="false">
      <c r="A18" s="7" t="s">
        <v>146</v>
      </c>
      <c r="D18" s="20" t="n">
        <f aca="false">(D6+D7)/Loreto_mensual_2025!D17</f>
        <v>8.84430108573846</v>
      </c>
    </row>
    <row r="20" customFormat="false" ht="15" hidden="false" customHeight="true" outlineLevel="0" collapsed="false">
      <c r="A20" s="5" t="s">
        <v>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20"/>
    <col collapsed="false" customWidth="true" hidden="false" outlineLevel="0" max="4" min="4" style="1" width="18"/>
  </cols>
  <sheetData>
    <row r="1" customFormat="false" ht="15" hidden="false" customHeight="true" outlineLevel="0" collapsed="false">
      <c r="A1" s="2" t="s">
        <v>148</v>
      </c>
    </row>
    <row r="2" customFormat="false" ht="15" hidden="false" customHeight="true" outlineLevel="0" collapsed="false">
      <c r="A2" s="5" t="s">
        <v>149</v>
      </c>
    </row>
    <row r="4" customFormat="false" ht="23.25" hidden="false" customHeight="true" outlineLevel="0" collapsed="false">
      <c r="A4" s="6" t="s">
        <v>105</v>
      </c>
      <c r="B4" s="6" t="s">
        <v>150</v>
      </c>
      <c r="C4" s="6" t="s">
        <v>151</v>
      </c>
      <c r="D4" s="6" t="s">
        <v>139</v>
      </c>
    </row>
    <row r="5" customFormat="false" ht="15" hidden="false" customHeight="true" outlineLevel="0" collapsed="false">
      <c r="A5" s="7" t="s">
        <v>115</v>
      </c>
      <c r="B5" s="16" t="n">
        <v>23.16</v>
      </c>
      <c r="C5" s="16" t="n">
        <v>223.07</v>
      </c>
      <c r="D5" s="12" t="n">
        <f aca="false">B5/C5</f>
        <v>0.103823911776572</v>
      </c>
    </row>
    <row r="6" customFormat="false" ht="15" hidden="false" customHeight="true" outlineLevel="0" collapsed="false">
      <c r="A6" s="7" t="s">
        <v>116</v>
      </c>
      <c r="B6" s="16" t="n">
        <v>21.09</v>
      </c>
      <c r="C6" s="16" t="n">
        <v>207.58</v>
      </c>
      <c r="D6" s="12" t="n">
        <f aca="false">B6/C6</f>
        <v>0.101599383370267</v>
      </c>
    </row>
    <row r="7" customFormat="false" ht="15" hidden="false" customHeight="true" outlineLevel="0" collapsed="false">
      <c r="A7" s="7" t="s">
        <v>117</v>
      </c>
      <c r="B7" s="16" t="n">
        <v>24.01</v>
      </c>
      <c r="C7" s="16" t="n">
        <v>227.54</v>
      </c>
      <c r="D7" s="12" t="n">
        <f aca="false">B7/C7</f>
        <v>0.105519908587501</v>
      </c>
    </row>
    <row r="8" customFormat="false" ht="15" hidden="false" customHeight="true" outlineLevel="0" collapsed="false">
      <c r="A8" s="7" t="s">
        <v>118</v>
      </c>
      <c r="B8" s="16" t="n">
        <v>22.62</v>
      </c>
      <c r="C8" s="16" t="n">
        <v>177.68</v>
      </c>
      <c r="D8" s="12" t="n">
        <f aca="false">B8/C8</f>
        <v>0.127307519135525</v>
      </c>
    </row>
    <row r="9" customFormat="false" ht="15" hidden="false" customHeight="true" outlineLevel="0" collapsed="false">
      <c r="A9" s="7" t="s">
        <v>119</v>
      </c>
      <c r="B9" s="16" t="n">
        <v>17.03</v>
      </c>
      <c r="C9" s="16" t="n">
        <v>179.39</v>
      </c>
      <c r="D9" s="12" t="n">
        <f aca="false">B9/C9</f>
        <v>0.0949328279168293</v>
      </c>
    </row>
    <row r="10" customFormat="false" ht="15" hidden="false" customHeight="true" outlineLevel="0" collapsed="false">
      <c r="A10" s="7" t="s">
        <v>120</v>
      </c>
      <c r="B10" s="16" t="n">
        <v>16.91</v>
      </c>
      <c r="C10" s="16" t="n">
        <v>191.52</v>
      </c>
      <c r="D10" s="12" t="n">
        <f aca="false">B10/C10</f>
        <v>0.0882936507936508</v>
      </c>
    </row>
    <row r="11" customFormat="false" ht="15" hidden="false" customHeight="true" outlineLevel="0" collapsed="false">
      <c r="A11" s="7" t="s">
        <v>121</v>
      </c>
      <c r="B11" s="16" t="n">
        <v>20.44</v>
      </c>
      <c r="C11" s="16" t="n">
        <v>200.12</v>
      </c>
      <c r="D11" s="12" t="n">
        <f aca="false">B11/C11</f>
        <v>0.102138716769938</v>
      </c>
    </row>
    <row r="12" customFormat="false" ht="15" hidden="false" customHeight="true" outlineLevel="0" collapsed="false">
      <c r="A12" s="7" t="s">
        <v>122</v>
      </c>
      <c r="B12" s="16" t="n">
        <v>16.97</v>
      </c>
      <c r="C12" s="16" t="n">
        <v>162.33</v>
      </c>
      <c r="D12" s="12" t="n">
        <f aca="false">B12/C12</f>
        <v>0.104540134294339</v>
      </c>
    </row>
    <row r="13" customFormat="false" ht="15" hidden="false" customHeight="true" outlineLevel="0" collapsed="false">
      <c r="A13" s="7" t="s">
        <v>123</v>
      </c>
      <c r="B13" s="16" t="n">
        <v>15.05</v>
      </c>
      <c r="C13" s="16" t="n">
        <v>164.96</v>
      </c>
      <c r="D13" s="12" t="n">
        <f aca="false">B13/C13</f>
        <v>0.0912342386032978</v>
      </c>
    </row>
    <row r="14" customFormat="false" ht="15" hidden="false" customHeight="true" outlineLevel="0" collapsed="false">
      <c r="A14" s="7" t="s">
        <v>124</v>
      </c>
      <c r="B14" s="16" t="n">
        <v>13.68</v>
      </c>
      <c r="C14" s="16" t="n">
        <v>170.55</v>
      </c>
      <c r="D14" s="12" t="n">
        <f aca="false">B14/C14</f>
        <v>0.0802110817941952</v>
      </c>
    </row>
    <row r="15" customFormat="false" ht="15" hidden="false" customHeight="true" outlineLevel="0" collapsed="false">
      <c r="A15" s="7" t="s">
        <v>125</v>
      </c>
      <c r="B15" s="16" t="n">
        <v>10.93</v>
      </c>
      <c r="C15" s="16" t="n">
        <v>146.92</v>
      </c>
      <c r="D15" s="12" t="n">
        <f aca="false">B15/C15</f>
        <v>0.0743942281513749</v>
      </c>
    </row>
    <row r="16" customFormat="false" ht="15" hidden="false" customHeight="true" outlineLevel="0" collapsed="false">
      <c r="A16" s="7" t="s">
        <v>126</v>
      </c>
      <c r="B16" s="16" t="n">
        <v>11.96</v>
      </c>
      <c r="C16" s="16" t="n">
        <v>148.06</v>
      </c>
      <c r="D16" s="12" t="n">
        <f aca="false">B16/C16</f>
        <v>0.0807780629474537</v>
      </c>
    </row>
    <row r="17" customFormat="false" ht="15" hidden="false" customHeight="true" outlineLevel="0" collapsed="false">
      <c r="A17" s="9" t="s">
        <v>152</v>
      </c>
      <c r="B17" s="17" t="n">
        <f aca="false">SUM(B5:B16)</f>
        <v>213.85</v>
      </c>
      <c r="C17" s="17" t="n">
        <f aca="false">SUM(C5:C16)</f>
        <v>2199.72</v>
      </c>
      <c r="D17" s="13" t="n">
        <f aca="false">B17/C17</f>
        <v>0.0972169185169021</v>
      </c>
    </row>
    <row r="18" customFormat="false" ht="15" hidden="false" customHeight="true" outlineLevel="0" collapsed="false">
      <c r="A18" s="7" t="s">
        <v>128</v>
      </c>
      <c r="B18" s="20" t="n">
        <f aca="false">SUM(B5:B10)</f>
        <v>124.82</v>
      </c>
    </row>
    <row r="19" customFormat="false" ht="15" hidden="false" customHeight="true" outlineLevel="0" collapsed="false">
      <c r="A19" s="7" t="s">
        <v>129</v>
      </c>
      <c r="B19" s="20" t="n">
        <f aca="false">SUM(B11:B16)</f>
        <v>89.03</v>
      </c>
    </row>
    <row r="20" customFormat="false" ht="15" hidden="false" customHeight="true" outlineLevel="0" collapsed="false">
      <c r="A20" s="7" t="s">
        <v>130</v>
      </c>
      <c r="B20" s="12" t="n">
        <f aca="false">B19/B18-1</f>
        <v>-0.286732895369332</v>
      </c>
    </row>
    <row r="22" customFormat="false" ht="15" hidden="false" customHeight="true" outlineLevel="0" collapsed="false">
      <c r="A22" s="7" t="s">
        <v>153</v>
      </c>
      <c r="B22" s="16" t="n">
        <v>219.13</v>
      </c>
    </row>
    <row r="23" customFormat="false" ht="15" hidden="false" customHeight="true" outlineLevel="0" collapsed="false">
      <c r="A23" s="9" t="s">
        <v>154</v>
      </c>
      <c r="B23" s="13" t="n">
        <f aca="false">B17/B22-1</f>
        <v>-0.0240952859033451</v>
      </c>
    </row>
    <row r="24" customFormat="false" ht="15" hidden="false" customHeight="true" outlineLevel="0" collapsed="false">
      <c r="A24" s="7" t="s">
        <v>155</v>
      </c>
      <c r="B24" s="16" t="n">
        <v>20.19</v>
      </c>
    </row>
    <row r="26" customFormat="false" ht="15" hidden="false" customHeight="true" outlineLevel="0" collapsed="false">
      <c r="A26" s="5"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5" min="2" style="1" width="16"/>
    <col collapsed="false" customWidth="true" hidden="false" outlineLevel="0" max="10" min="6" style="1" width="14"/>
    <col collapsed="false" customWidth="true" hidden="false" outlineLevel="0" max="11" min="11" style="1" width="16"/>
  </cols>
  <sheetData>
    <row r="1" customFormat="false" ht="15" hidden="false" customHeight="true" outlineLevel="0" collapsed="false">
      <c r="A1" s="2" t="s">
        <v>157</v>
      </c>
    </row>
    <row r="2" customFormat="false" ht="15" hidden="false" customHeight="true" outlineLevel="0" collapsed="false">
      <c r="A2" s="21" t="s">
        <v>158</v>
      </c>
    </row>
    <row r="4" customFormat="false" ht="15" hidden="false" customHeight="true" outlineLevel="0" collapsed="false">
      <c r="A4" s="9" t="s">
        <v>159</v>
      </c>
    </row>
    <row r="5" customFormat="false" ht="23.25" hidden="false" customHeight="true" outlineLevel="0" collapsed="false">
      <c r="A5" s="3" t="s">
        <v>28</v>
      </c>
      <c r="B5" s="3" t="s">
        <v>160</v>
      </c>
      <c r="C5" s="3" t="s">
        <v>161</v>
      </c>
      <c r="D5" s="3" t="s">
        <v>162</v>
      </c>
      <c r="E5" s="3" t="s">
        <v>163</v>
      </c>
      <c r="F5" s="3" t="s">
        <v>164</v>
      </c>
      <c r="G5" s="3" t="s">
        <v>165</v>
      </c>
      <c r="H5" s="3" t="s">
        <v>166</v>
      </c>
      <c r="I5" s="3" t="s">
        <v>167</v>
      </c>
      <c r="J5" s="3" t="s">
        <v>168</v>
      </c>
      <c r="K5" s="3" t="s">
        <v>169</v>
      </c>
    </row>
    <row r="6" customFormat="false" ht="15" hidden="false" customHeight="true" outlineLevel="0" collapsed="false">
      <c r="A6" s="7" t="s">
        <v>170</v>
      </c>
      <c r="B6" s="7" t="s">
        <v>171</v>
      </c>
      <c r="C6" s="11" t="n">
        <v>990931.6198</v>
      </c>
      <c r="D6" s="20" t="n">
        <v>3.5531</v>
      </c>
      <c r="E6" s="20" t="n">
        <v>0.6662</v>
      </c>
      <c r="F6" s="22" t="n">
        <f aca="false">IF(D6=0,"",E6/D6)</f>
        <v>0.187498240972672</v>
      </c>
      <c r="G6" s="20" t="n">
        <v>0.1332</v>
      </c>
      <c r="H6" s="20" t="n">
        <v>0.533</v>
      </c>
      <c r="I6" s="20" t="n">
        <v>0.4034</v>
      </c>
      <c r="J6" s="12" t="n">
        <f aca="false">IF(OR(I6="",I6=0),"",G6/I6-1)</f>
        <v>-0.669806643529995</v>
      </c>
      <c r="K6" s="12" t="n">
        <f aca="false">G6/G$11</f>
        <v>0.00221642785710364</v>
      </c>
    </row>
    <row r="7" customFormat="false" ht="15" hidden="false" customHeight="true" outlineLevel="0" collapsed="false">
      <c r="A7" s="7" t="s">
        <v>170</v>
      </c>
      <c r="B7" s="7" t="s">
        <v>172</v>
      </c>
      <c r="C7" s="11" t="n">
        <v>4413</v>
      </c>
      <c r="D7" s="20" t="n">
        <v>0.2293</v>
      </c>
      <c r="E7" s="20" t="n">
        <v>0.043</v>
      </c>
      <c r="F7" s="22" t="n">
        <f aca="false">IF(D7=0,"",E7/D7)</f>
        <v>0.187527256868731</v>
      </c>
      <c r="G7" s="20" t="n">
        <v>0.0086</v>
      </c>
      <c r="H7" s="20" t="n">
        <v>0.0344</v>
      </c>
      <c r="I7" s="20"/>
      <c r="J7" s="12" t="str">
        <f aca="false">IF(OR(I7="",I7=0),"",G7/I7-1)</f>
        <v/>
      </c>
      <c r="K7" s="12" t="n">
        <f aca="false">G7/G$11</f>
        <v>0.000143102699482667</v>
      </c>
    </row>
    <row r="8" customFormat="false" ht="15" hidden="false" customHeight="true" outlineLevel="0" collapsed="false">
      <c r="A8" s="7" t="s">
        <v>173</v>
      </c>
      <c r="B8" s="7" t="s">
        <v>174</v>
      </c>
      <c r="C8" s="11" t="n">
        <v>1129738</v>
      </c>
      <c r="D8" s="20" t="n">
        <v>65.6933</v>
      </c>
      <c r="E8" s="20" t="n">
        <v>12.3175</v>
      </c>
      <c r="F8" s="22" t="n">
        <f aca="false">IF(D8=0,"",E8/D8)</f>
        <v>0.187500095139078</v>
      </c>
      <c r="G8" s="20" t="n">
        <v>9.854</v>
      </c>
      <c r="H8" s="20" t="n">
        <v>2.4635</v>
      </c>
      <c r="I8" s="20" t="n">
        <v>0.3762</v>
      </c>
      <c r="J8" s="12" t="n">
        <f aca="false">IF(OR(I8="",I8=0),"",G8/I8-1)</f>
        <v>25.1935140882509</v>
      </c>
      <c r="K8" s="12" t="n">
        <f aca="false">G8/G$11</f>
        <v>0.163969069849093</v>
      </c>
    </row>
    <row r="9" customFormat="false" ht="15" hidden="false" customHeight="true" outlineLevel="0" collapsed="false">
      <c r="A9" s="7" t="s">
        <v>175</v>
      </c>
      <c r="B9" s="7" t="s">
        <v>174</v>
      </c>
      <c r="C9" s="11" t="n">
        <v>6775055</v>
      </c>
      <c r="D9" s="20" t="n">
        <v>335.4739</v>
      </c>
      <c r="E9" s="20" t="n">
        <v>62.9014</v>
      </c>
      <c r="F9" s="22" t="n">
        <f aca="false">IF(D9=0,"",E9/D9)</f>
        <v>0.18750013041253</v>
      </c>
      <c r="G9" s="20" t="n">
        <v>50.3211</v>
      </c>
      <c r="H9" s="20" t="n">
        <v>12.5803</v>
      </c>
      <c r="I9" s="20" t="n">
        <v>57.5647</v>
      </c>
      <c r="J9" s="12" t="n">
        <f aca="false">IF(OR(I9="",I9=0),"",G9/I9-1)</f>
        <v>-0.125834061499495</v>
      </c>
      <c r="K9" s="12" t="n">
        <f aca="false">G9/G$11</f>
        <v>0.837335494295028</v>
      </c>
    </row>
    <row r="10" customFormat="false" ht="15" hidden="false" customHeight="true" outlineLevel="0" collapsed="false">
      <c r="A10" s="7" t="s">
        <v>176</v>
      </c>
      <c r="B10" s="7"/>
      <c r="C10" s="11"/>
      <c r="D10" s="20" t="n">
        <v>-1.4656</v>
      </c>
      <c r="E10" s="20" t="n">
        <v>-0.2748</v>
      </c>
      <c r="F10" s="22" t="n">
        <f aca="false">IF(D10=0,"",E10/D10)</f>
        <v>0.1875</v>
      </c>
      <c r="G10" s="20" t="n">
        <v>-0.2202</v>
      </c>
      <c r="H10" s="20" t="n">
        <v>-0.055</v>
      </c>
      <c r="I10" s="20"/>
      <c r="J10" s="12" t="str">
        <f aca="false">IF(OR(I10="",I10=0),"",G10/I10-1)</f>
        <v/>
      </c>
      <c r="K10" s="12" t="n">
        <f aca="false">G10/G$11</f>
        <v>-0.00366409470070736</v>
      </c>
    </row>
    <row r="11" customFormat="false" ht="15" hidden="false" customHeight="true" outlineLevel="0" collapsed="false">
      <c r="A11" s="9" t="s">
        <v>177</v>
      </c>
      <c r="B11" s="9"/>
      <c r="C11" s="9"/>
      <c r="D11" s="17" t="n">
        <f aca="false">SUM(D6:D10)</f>
        <v>403.484</v>
      </c>
      <c r="E11" s="17" t="n">
        <f aca="false">SUM(E6:E10)</f>
        <v>75.6533</v>
      </c>
      <c r="F11" s="23" t="n">
        <f aca="false">E11/D11</f>
        <v>0.187500123920651</v>
      </c>
      <c r="G11" s="17" t="n">
        <f aca="false">SUM(G6:G10)</f>
        <v>60.0967</v>
      </c>
      <c r="H11" s="17" t="n">
        <f aca="false">SUM(H6:H10)</f>
        <v>15.5562</v>
      </c>
      <c r="I11" s="17" t="n">
        <f aca="false">SUM(I6:I10)</f>
        <v>58.3443</v>
      </c>
      <c r="J11" s="13" t="n">
        <f aca="false">G11/I11-1</f>
        <v>0.0300354961838603</v>
      </c>
      <c r="K11" s="13"/>
    </row>
    <row r="12" customFormat="false" ht="15" hidden="false" customHeight="true" outlineLevel="0" collapsed="false">
      <c r="A12" s="21" t="s">
        <v>178</v>
      </c>
    </row>
    <row r="14" customFormat="false" ht="15" hidden="false" customHeight="true" outlineLevel="0" collapsed="false">
      <c r="A14" s="9" t="s">
        <v>179</v>
      </c>
    </row>
    <row r="15" customFormat="false" ht="34.5" hidden="false" customHeight="true" outlineLevel="0" collapsed="false">
      <c r="A15" s="3" t="s">
        <v>105</v>
      </c>
      <c r="B15" s="3" t="s">
        <v>180</v>
      </c>
      <c r="C15" s="3" t="s">
        <v>181</v>
      </c>
      <c r="D15" s="3" t="s">
        <v>182</v>
      </c>
    </row>
    <row r="16" customFormat="false" ht="15" hidden="false" customHeight="true" outlineLevel="0" collapsed="false">
      <c r="A16" s="7" t="s">
        <v>115</v>
      </c>
      <c r="B16" s="11" t="n">
        <v>693088</v>
      </c>
      <c r="C16" s="20" t="n">
        <v>7.5754</v>
      </c>
      <c r="D16" s="20" t="n">
        <v>6.0603</v>
      </c>
    </row>
    <row r="17" customFormat="false" ht="15" hidden="false" customHeight="true" outlineLevel="0" collapsed="false">
      <c r="A17" s="7" t="s">
        <v>116</v>
      </c>
      <c r="B17" s="11" t="n">
        <v>616589</v>
      </c>
      <c r="C17" s="20" t="n">
        <v>6.4621</v>
      </c>
      <c r="D17" s="20" t="n">
        <v>5.1696</v>
      </c>
    </row>
    <row r="18" customFormat="false" ht="15" hidden="false" customHeight="true" outlineLevel="0" collapsed="false">
      <c r="A18" s="7" t="s">
        <v>117</v>
      </c>
      <c r="B18" s="11" t="n">
        <v>712644</v>
      </c>
      <c r="C18" s="20" t="n">
        <v>7.012</v>
      </c>
      <c r="D18" s="20" t="n">
        <v>5.6096</v>
      </c>
    </row>
    <row r="19" customFormat="false" ht="15" hidden="false" customHeight="true" outlineLevel="0" collapsed="false">
      <c r="A19" s="7" t="s">
        <v>118</v>
      </c>
      <c r="B19" s="11" t="n">
        <v>664157</v>
      </c>
      <c r="C19" s="20" t="n">
        <v>5.9004</v>
      </c>
      <c r="D19" s="20" t="n">
        <v>4.7203</v>
      </c>
    </row>
    <row r="20" customFormat="false" ht="15" hidden="false" customHeight="true" outlineLevel="0" collapsed="false">
      <c r="A20" s="7" t="s">
        <v>119</v>
      </c>
      <c r="B20" s="11" t="n">
        <v>610125</v>
      </c>
      <c r="C20" s="20" t="n">
        <v>5.1934</v>
      </c>
      <c r="D20" s="20" t="n">
        <v>4.1547</v>
      </c>
    </row>
    <row r="21" customFormat="false" ht="15" hidden="false" customHeight="true" outlineLevel="0" collapsed="false">
      <c r="A21" s="7" t="s">
        <v>120</v>
      </c>
      <c r="B21" s="11" t="n">
        <v>544775</v>
      </c>
      <c r="C21" s="20" t="n">
        <v>5.1241</v>
      </c>
      <c r="D21" s="20" t="n">
        <v>4.0993</v>
      </c>
    </row>
    <row r="22" customFormat="false" ht="15" hidden="false" customHeight="true" outlineLevel="0" collapsed="false">
      <c r="A22" s="7" t="s">
        <v>121</v>
      </c>
      <c r="B22" s="11" t="n">
        <v>603205</v>
      </c>
      <c r="C22" s="20" t="n">
        <v>5.7408</v>
      </c>
      <c r="D22" s="20" t="n">
        <v>4.5926</v>
      </c>
    </row>
    <row r="23" customFormat="false" ht="15" hidden="false" customHeight="true" outlineLevel="0" collapsed="false">
      <c r="A23" s="7" t="s">
        <v>122</v>
      </c>
      <c r="B23" s="11" t="n">
        <v>538590</v>
      </c>
      <c r="C23" s="20" t="n">
        <v>4.8964</v>
      </c>
      <c r="D23" s="20" t="n">
        <v>3.9171</v>
      </c>
    </row>
    <row r="24" customFormat="false" ht="15" hidden="false" customHeight="true" outlineLevel="0" collapsed="false">
      <c r="A24" s="7" t="s">
        <v>123</v>
      </c>
      <c r="B24" s="11" t="n">
        <v>485392</v>
      </c>
      <c r="C24" s="20" t="n">
        <v>4.4131</v>
      </c>
      <c r="D24" s="20" t="n">
        <v>3.5304</v>
      </c>
    </row>
    <row r="25" customFormat="false" ht="15" hidden="false" customHeight="true" outlineLevel="0" collapsed="false">
      <c r="A25" s="7" t="s">
        <v>124</v>
      </c>
      <c r="B25" s="11" t="n">
        <v>438777</v>
      </c>
      <c r="C25" s="20" t="n">
        <v>3.6593</v>
      </c>
      <c r="D25" s="20" t="n">
        <v>2.9274</v>
      </c>
    </row>
    <row r="26" customFormat="false" ht="15" hidden="false" customHeight="true" outlineLevel="0" collapsed="false">
      <c r="A26" s="7" t="s">
        <v>125</v>
      </c>
      <c r="B26" s="11" t="n">
        <v>412338</v>
      </c>
      <c r="C26" s="20" t="n">
        <v>3.3715</v>
      </c>
      <c r="D26" s="20" t="n">
        <v>2.6972</v>
      </c>
    </row>
    <row r="27" customFormat="false" ht="15" hidden="false" customHeight="true" outlineLevel="0" collapsed="false">
      <c r="A27" s="7" t="s">
        <v>126</v>
      </c>
      <c r="B27" s="11" t="n">
        <v>455375</v>
      </c>
      <c r="C27" s="20" t="n">
        <v>3.5531</v>
      </c>
      <c r="D27" s="20" t="n">
        <v>2.8425</v>
      </c>
    </row>
    <row r="28" customFormat="false" ht="15" hidden="false" customHeight="true" outlineLevel="0" collapsed="false">
      <c r="A28" s="9" t="s">
        <v>183</v>
      </c>
      <c r="B28" s="10" t="n">
        <f aca="false">SUM(B16:B27)</f>
        <v>6775055</v>
      </c>
      <c r="C28" s="17" t="n">
        <f aca="false">SUM(C16:C27)</f>
        <v>62.9016</v>
      </c>
      <c r="D28" s="17" t="n">
        <f aca="false">SUM(D16:D27)</f>
        <v>50.321</v>
      </c>
    </row>
    <row r="29" customFormat="false" ht="15" hidden="false" customHeight="true" outlineLevel="0" collapsed="false">
      <c r="A29" s="7" t="s">
        <v>128</v>
      </c>
      <c r="B29" s="7"/>
      <c r="C29" s="7"/>
      <c r="D29" s="20" t="n">
        <f aca="false">SUM(D16:D21)</f>
        <v>29.8138</v>
      </c>
    </row>
    <row r="30" customFormat="false" ht="15" hidden="false" customHeight="true" outlineLevel="0" collapsed="false">
      <c r="A30" s="7" t="s">
        <v>129</v>
      </c>
      <c r="B30" s="7"/>
      <c r="C30" s="7"/>
      <c r="D30" s="20" t="n">
        <f aca="false">SUM(D22:D27)</f>
        <v>20.5072</v>
      </c>
    </row>
    <row r="31" customFormat="false" ht="15" hidden="false" customHeight="true" outlineLevel="0" collapsed="false">
      <c r="A31" s="9" t="s">
        <v>130</v>
      </c>
      <c r="B31" s="9"/>
      <c r="C31" s="9"/>
      <c r="D31" s="13" t="n">
        <f aca="false">D30/D29-1</f>
        <v>-0.312157457284881</v>
      </c>
    </row>
    <row r="33" customFormat="false" ht="15" hidden="false" customHeight="true" outlineLevel="0" collapsed="false">
      <c r="A33" s="9" t="s">
        <v>184</v>
      </c>
    </row>
    <row r="34" customFormat="false" ht="23.25" hidden="false" customHeight="true" outlineLevel="0" collapsed="false">
      <c r="A34" s="3" t="s">
        <v>185</v>
      </c>
      <c r="B34" s="3" t="s">
        <v>186</v>
      </c>
      <c r="C34" s="3" t="s">
        <v>187</v>
      </c>
      <c r="D34" s="3" t="s">
        <v>36</v>
      </c>
      <c r="E34" s="3" t="s">
        <v>188</v>
      </c>
      <c r="F34" s="3" t="s">
        <v>37</v>
      </c>
      <c r="G34" s="3" t="s">
        <v>38</v>
      </c>
      <c r="H34" s="3" t="s">
        <v>64</v>
      </c>
    </row>
    <row r="35" customFormat="false" ht="15" hidden="false" customHeight="true" outlineLevel="0" collapsed="false">
      <c r="A35" s="7" t="s">
        <v>189</v>
      </c>
      <c r="B35" s="7" t="s">
        <v>190</v>
      </c>
      <c r="C35" s="24" t="n">
        <v>0.4</v>
      </c>
      <c r="D35" s="20" t="n">
        <v>67.0323</v>
      </c>
      <c r="E35" s="24" t="n">
        <v>0.7</v>
      </c>
      <c r="F35" s="20" t="n">
        <v>152.9394</v>
      </c>
      <c r="G35" s="20" t="n">
        <v>149.5375</v>
      </c>
      <c r="H35" s="12" t="n">
        <f aca="false">G35/G$43</f>
        <v>0.699293913646934</v>
      </c>
    </row>
    <row r="36" customFormat="false" ht="15" hidden="false" customHeight="true" outlineLevel="0" collapsed="false">
      <c r="A36" s="7" t="s">
        <v>191</v>
      </c>
      <c r="B36" s="7" t="s">
        <v>192</v>
      </c>
      <c r="C36" s="24" t="n">
        <v>0.52</v>
      </c>
      <c r="D36" s="20" t="n">
        <v>87.142</v>
      </c>
      <c r="E36" s="24" t="n">
        <v>0.2</v>
      </c>
      <c r="F36" s="20" t="n">
        <v>44.3124</v>
      </c>
      <c r="G36" s="20" t="n">
        <v>42.9293</v>
      </c>
      <c r="H36" s="12" t="n">
        <f aca="false">G36/G$43</f>
        <v>0.200753645119942</v>
      </c>
    </row>
    <row r="37" customFormat="false" ht="15" hidden="false" customHeight="true" outlineLevel="0" collapsed="false">
      <c r="A37" s="7" t="s">
        <v>193</v>
      </c>
      <c r="B37" s="7" t="s">
        <v>194</v>
      </c>
      <c r="C37" s="24" t="n">
        <v>0.025</v>
      </c>
      <c r="D37" s="20" t="n">
        <v>4.1895</v>
      </c>
      <c r="E37" s="24" t="n">
        <v>0.025</v>
      </c>
      <c r="F37" s="20" t="n">
        <v>5.4784</v>
      </c>
      <c r="G37" s="20" t="n">
        <v>5.346</v>
      </c>
      <c r="H37" s="12" t="n">
        <f aca="false">G37/G$43</f>
        <v>0.0249999181633805</v>
      </c>
    </row>
    <row r="38" customFormat="false" ht="15" hidden="false" customHeight="true" outlineLevel="0" collapsed="false">
      <c r="A38" s="7" t="s">
        <v>195</v>
      </c>
      <c r="B38" s="7" t="s">
        <v>194</v>
      </c>
      <c r="C38" s="24" t="n">
        <v>0.025</v>
      </c>
      <c r="D38" s="20" t="n">
        <v>4.1895</v>
      </c>
      <c r="E38" s="24" t="n">
        <v>0.025</v>
      </c>
      <c r="F38" s="20" t="n">
        <v>5.4784</v>
      </c>
      <c r="G38" s="20" t="n">
        <v>5.346</v>
      </c>
      <c r="H38" s="12" t="n">
        <f aca="false">G38/G$43</f>
        <v>0.0249999181633805</v>
      </c>
    </row>
    <row r="39" customFormat="false" ht="15" hidden="false" customHeight="true" outlineLevel="0" collapsed="false">
      <c r="A39" s="7" t="s">
        <v>196</v>
      </c>
      <c r="B39" s="7" t="s">
        <v>197</v>
      </c>
      <c r="C39" s="24" t="n">
        <v>0.03</v>
      </c>
      <c r="D39" s="20" t="n">
        <v>5.0274</v>
      </c>
      <c r="E39" s="24" t="n">
        <v>0.03</v>
      </c>
      <c r="F39" s="20" t="n">
        <v>6.574</v>
      </c>
      <c r="G39" s="20" t="n">
        <v>6.4152</v>
      </c>
      <c r="H39" s="12" t="n">
        <f aca="false">G39/G$43</f>
        <v>0.0299999017960566</v>
      </c>
    </row>
    <row r="40" customFormat="false" ht="15" hidden="false" customHeight="true" outlineLevel="0" collapsed="false">
      <c r="A40" s="7" t="s">
        <v>198</v>
      </c>
      <c r="B40" s="7" t="s">
        <v>199</v>
      </c>
      <c r="C40" s="24"/>
      <c r="D40" s="20" t="n">
        <v>0</v>
      </c>
      <c r="E40" s="24" t="n">
        <v>0.02</v>
      </c>
      <c r="F40" s="20" t="n">
        <v>4.3524</v>
      </c>
      <c r="G40" s="20" t="n">
        <v>4.2667</v>
      </c>
      <c r="H40" s="12" t="n">
        <f aca="false">G40/G$43</f>
        <v>0.0199527031103059</v>
      </c>
    </row>
    <row r="41" customFormat="false" ht="15" hidden="false" customHeight="true" outlineLevel="0" collapsed="false">
      <c r="A41" s="7" t="s">
        <v>200</v>
      </c>
      <c r="B41" s="7" t="s">
        <v>201</v>
      </c>
      <c r="C41" s="24"/>
      <c r="D41" s="20" t="n">
        <v>0</v>
      </c>
      <c r="E41" s="24"/>
      <c r="F41" s="20" t="n">
        <v>0</v>
      </c>
      <c r="G41" s="20" t="n">
        <v>0</v>
      </c>
      <c r="H41" s="12" t="n">
        <f aca="false">G41/G$43</f>
        <v>0</v>
      </c>
    </row>
    <row r="42" customFormat="false" ht="15" hidden="false" customHeight="true" outlineLevel="0" collapsed="false">
      <c r="A42" s="7" t="s">
        <v>202</v>
      </c>
      <c r="B42" s="7" t="s">
        <v>201</v>
      </c>
      <c r="C42" s="24"/>
      <c r="D42" s="20" t="n">
        <v>11.2</v>
      </c>
      <c r="E42" s="24"/>
      <c r="F42" s="20" t="n">
        <v>0</v>
      </c>
      <c r="G42" s="20" t="n">
        <v>0</v>
      </c>
      <c r="H42" s="12" t="n">
        <f aca="false">G42/G$43</f>
        <v>0</v>
      </c>
    </row>
    <row r="43" customFormat="false" ht="15" hidden="false" customHeight="true" outlineLevel="0" collapsed="false">
      <c r="A43" s="9" t="s">
        <v>177</v>
      </c>
      <c r="B43" s="9"/>
      <c r="C43" s="9"/>
      <c r="D43" s="17" t="n">
        <f aca="false">SUM(D35:D42)</f>
        <v>178.7807</v>
      </c>
      <c r="E43" s="9"/>
      <c r="F43" s="17" t="n">
        <f aca="false">SUM(F35:F42)</f>
        <v>219.135</v>
      </c>
      <c r="G43" s="17" t="n">
        <f aca="false">SUM(G35:G42)</f>
        <v>213.8407</v>
      </c>
      <c r="H43" s="9"/>
    </row>
    <row r="44" customFormat="false" ht="15" hidden="false" customHeight="true" outlineLevel="0" collapsed="false">
      <c r="A44" s="21" t="s">
        <v>203</v>
      </c>
    </row>
    <row r="46" customFormat="false" ht="15" hidden="false" customHeight="true" outlineLevel="0" collapsed="false">
      <c r="A46" s="9" t="s">
        <v>204</v>
      </c>
    </row>
    <row r="47" customFormat="false" ht="34.5" hidden="false" customHeight="true" outlineLevel="0" collapsed="false">
      <c r="A47" s="3" t="s">
        <v>205</v>
      </c>
      <c r="B47" s="3" t="s">
        <v>206</v>
      </c>
      <c r="C47" s="3" t="s">
        <v>207</v>
      </c>
      <c r="D47" s="3" t="s">
        <v>208</v>
      </c>
      <c r="E47" s="3" t="s">
        <v>209</v>
      </c>
      <c r="F47" s="3" t="s">
        <v>210</v>
      </c>
    </row>
    <row r="48" customFormat="false" ht="15" hidden="false" customHeight="true" outlineLevel="0" collapsed="false">
      <c r="A48" s="7" t="s">
        <v>211</v>
      </c>
      <c r="B48" s="7" t="s">
        <v>212</v>
      </c>
      <c r="C48" s="7" t="s">
        <v>213</v>
      </c>
      <c r="D48" s="20" t="n">
        <v>19.9643</v>
      </c>
      <c r="E48" s="12" t="n">
        <f aca="false">D48/D$101</f>
        <v>0.161640900913447</v>
      </c>
      <c r="F48" s="24" t="n">
        <v>0.11</v>
      </c>
    </row>
    <row r="49" customFormat="false" ht="15" hidden="false" customHeight="true" outlineLevel="0" collapsed="false">
      <c r="A49" s="7" t="s">
        <v>213</v>
      </c>
      <c r="B49" s="7" t="s">
        <v>214</v>
      </c>
      <c r="C49" s="7" t="s">
        <v>213</v>
      </c>
      <c r="D49" s="20" t="n">
        <v>17.9159</v>
      </c>
      <c r="E49" s="12" t="n">
        <f aca="false">D49/D$101</f>
        <v>0.145056035857767</v>
      </c>
      <c r="F49" s="24"/>
    </row>
    <row r="50" customFormat="false" ht="15" hidden="false" customHeight="true" outlineLevel="0" collapsed="false">
      <c r="A50" s="7" t="s">
        <v>215</v>
      </c>
      <c r="B50" s="7" t="s">
        <v>212</v>
      </c>
      <c r="C50" s="7" t="s">
        <v>216</v>
      </c>
      <c r="D50" s="20" t="n">
        <v>10.3183</v>
      </c>
      <c r="E50" s="12" t="n">
        <f aca="false">D50/D$101</f>
        <v>0.08354208802188</v>
      </c>
      <c r="F50" s="24"/>
    </row>
    <row r="51" customFormat="false" ht="15" hidden="false" customHeight="true" outlineLevel="0" collapsed="false">
      <c r="A51" s="7" t="s">
        <v>217</v>
      </c>
      <c r="B51" s="7" t="s">
        <v>214</v>
      </c>
      <c r="C51" s="7" t="s">
        <v>218</v>
      </c>
      <c r="D51" s="20" t="n">
        <v>7.6048</v>
      </c>
      <c r="E51" s="12" t="n">
        <f aca="false">D51/D$101</f>
        <v>0.0615722426163993</v>
      </c>
      <c r="F51" s="24"/>
    </row>
    <row r="52" customFormat="false" ht="15" hidden="false" customHeight="true" outlineLevel="0" collapsed="false">
      <c r="A52" s="7" t="s">
        <v>219</v>
      </c>
      <c r="B52" s="7" t="s">
        <v>212</v>
      </c>
      <c r="C52" s="7" t="s">
        <v>213</v>
      </c>
      <c r="D52" s="20" t="n">
        <v>6.038</v>
      </c>
      <c r="E52" s="12" t="n">
        <f aca="false">D52/D$101</f>
        <v>0.0488866506571927</v>
      </c>
      <c r="F52" s="24"/>
    </row>
    <row r="53" customFormat="false" ht="15" hidden="false" customHeight="true" outlineLevel="0" collapsed="false">
      <c r="A53" s="7" t="s">
        <v>220</v>
      </c>
      <c r="B53" s="7" t="s">
        <v>212</v>
      </c>
      <c r="C53" s="7" t="s">
        <v>213</v>
      </c>
      <c r="D53" s="20" t="n">
        <v>4.6093</v>
      </c>
      <c r="E53" s="12" t="n">
        <f aca="false">D53/D$101</f>
        <v>0.0373191849741965</v>
      </c>
      <c r="F53" s="24" t="n">
        <v>0.16</v>
      </c>
    </row>
    <row r="54" customFormat="false" ht="15" hidden="false" customHeight="true" outlineLevel="0" collapsed="false">
      <c r="A54" s="7" t="s">
        <v>221</v>
      </c>
      <c r="B54" s="7" t="s">
        <v>212</v>
      </c>
      <c r="C54" s="7" t="s">
        <v>216</v>
      </c>
      <c r="D54" s="20" t="n">
        <v>4.5946</v>
      </c>
      <c r="E54" s="12" t="n">
        <f aca="false">D54/D$101</f>
        <v>0.0372001664639844</v>
      </c>
      <c r="F54" s="24"/>
    </row>
    <row r="55" customFormat="false" ht="15" hidden="false" customHeight="true" outlineLevel="0" collapsed="false">
      <c r="A55" s="7" t="s">
        <v>222</v>
      </c>
      <c r="B55" s="7" t="s">
        <v>214</v>
      </c>
      <c r="C55" s="7" t="s">
        <v>216</v>
      </c>
      <c r="D55" s="20" t="n">
        <v>4.3192</v>
      </c>
      <c r="E55" s="12" t="n">
        <f aca="false">D55/D$101</f>
        <v>0.0349703911093983</v>
      </c>
      <c r="F55" s="24"/>
    </row>
    <row r="56" customFormat="false" ht="15" hidden="false" customHeight="true" outlineLevel="0" collapsed="false">
      <c r="A56" s="7" t="s">
        <v>223</v>
      </c>
      <c r="B56" s="7" t="s">
        <v>212</v>
      </c>
      <c r="C56" s="7" t="s">
        <v>216</v>
      </c>
      <c r="D56" s="20" t="n">
        <v>4.1261</v>
      </c>
      <c r="E56" s="12" t="n">
        <f aca="false">D56/D$101</f>
        <v>0.0334069574820541</v>
      </c>
      <c r="F56" s="24"/>
    </row>
    <row r="57" customFormat="false" ht="15" hidden="false" customHeight="true" outlineLevel="0" collapsed="false">
      <c r="A57" s="7" t="s">
        <v>224</v>
      </c>
      <c r="B57" s="7" t="s">
        <v>212</v>
      </c>
      <c r="C57" s="7" t="s">
        <v>213</v>
      </c>
      <c r="D57" s="20" t="n">
        <v>3.5628</v>
      </c>
      <c r="E57" s="12" t="n">
        <f aca="false">D57/D$101</f>
        <v>0.0288462005567152</v>
      </c>
      <c r="F57" s="24"/>
    </row>
    <row r="58" customFormat="false" ht="15" hidden="false" customHeight="true" outlineLevel="0" collapsed="false">
      <c r="A58" s="7" t="s">
        <v>225</v>
      </c>
      <c r="B58" s="7" t="s">
        <v>214</v>
      </c>
      <c r="C58" s="7" t="s">
        <v>226</v>
      </c>
      <c r="D58" s="20" t="n">
        <v>2.8702</v>
      </c>
      <c r="E58" s="12" t="n">
        <f aca="false">D58/D$101</f>
        <v>0.0232385665313472</v>
      </c>
      <c r="F58" s="24"/>
    </row>
    <row r="59" customFormat="false" ht="15" hidden="false" customHeight="true" outlineLevel="0" collapsed="false">
      <c r="A59" s="7" t="s">
        <v>227</v>
      </c>
      <c r="B59" s="7" t="s">
        <v>212</v>
      </c>
      <c r="C59" s="7" t="s">
        <v>218</v>
      </c>
      <c r="D59" s="20" t="n">
        <v>2.0846</v>
      </c>
      <c r="E59" s="12" t="n">
        <f aca="false">D59/D$101</f>
        <v>0.0168779582576986</v>
      </c>
      <c r="F59" s="24"/>
    </row>
    <row r="60" customFormat="false" ht="15" hidden="false" customHeight="true" outlineLevel="0" collapsed="false">
      <c r="A60" s="7" t="s">
        <v>228</v>
      </c>
      <c r="B60" s="7" t="s">
        <v>214</v>
      </c>
      <c r="C60" s="7" t="s">
        <v>229</v>
      </c>
      <c r="D60" s="20" t="n">
        <v>2.0108</v>
      </c>
      <c r="E60" s="12" t="n">
        <f aca="false">D60/D$101</f>
        <v>0.01628043675745</v>
      </c>
      <c r="F60" s="24"/>
    </row>
    <row r="61" customFormat="false" ht="15" hidden="false" customHeight="true" outlineLevel="0" collapsed="false">
      <c r="A61" s="7" t="s">
        <v>230</v>
      </c>
      <c r="B61" s="7" t="s">
        <v>214</v>
      </c>
      <c r="C61" s="7" t="s">
        <v>231</v>
      </c>
      <c r="D61" s="20" t="n">
        <v>2.0009</v>
      </c>
      <c r="E61" s="12" t="n">
        <f aca="false">D61/D$101</f>
        <v>0.0162002814342459</v>
      </c>
      <c r="F61" s="24"/>
    </row>
    <row r="62" customFormat="false" ht="15" hidden="false" customHeight="true" outlineLevel="0" collapsed="false">
      <c r="A62" s="7" t="s">
        <v>232</v>
      </c>
      <c r="B62" s="7" t="s">
        <v>212</v>
      </c>
      <c r="C62" s="7" t="s">
        <v>233</v>
      </c>
      <c r="D62" s="20" t="n">
        <v>1.9096</v>
      </c>
      <c r="E62" s="12" t="n">
        <f aca="false">D62/D$101</f>
        <v>0.0154610712313639</v>
      </c>
      <c r="F62" s="24"/>
    </row>
    <row r="63" customFormat="false" ht="15" hidden="false" customHeight="true" outlineLevel="0" collapsed="false">
      <c r="A63" s="7" t="s">
        <v>234</v>
      </c>
      <c r="B63" s="7" t="s">
        <v>212</v>
      </c>
      <c r="C63" s="7" t="s">
        <v>216</v>
      </c>
      <c r="D63" s="20" t="n">
        <v>1.8148</v>
      </c>
      <c r="E63" s="12" t="n">
        <f aca="false">D63/D$101</f>
        <v>0.0146935232879552</v>
      </c>
      <c r="F63" s="24"/>
    </row>
    <row r="64" customFormat="false" ht="15" hidden="false" customHeight="true" outlineLevel="0" collapsed="false">
      <c r="A64" s="7" t="s">
        <v>235</v>
      </c>
      <c r="B64" s="7" t="s">
        <v>214</v>
      </c>
      <c r="C64" s="7" t="s">
        <v>233</v>
      </c>
      <c r="D64" s="20" t="n">
        <v>1.4791</v>
      </c>
      <c r="E64" s="12" t="n">
        <f aca="false">D64/D$101</f>
        <v>0.0119755291465806</v>
      </c>
      <c r="F64" s="24"/>
    </row>
    <row r="65" customFormat="false" ht="15" hidden="false" customHeight="true" outlineLevel="0" collapsed="false">
      <c r="A65" s="7" t="s">
        <v>236</v>
      </c>
      <c r="B65" s="7" t="s">
        <v>212</v>
      </c>
      <c r="C65" s="7" t="s">
        <v>216</v>
      </c>
      <c r="D65" s="20" t="n">
        <v>1.3764</v>
      </c>
      <c r="E65" s="12" t="n">
        <f aca="false">D65/D$101</f>
        <v>0.0111440188745545</v>
      </c>
      <c r="F65" s="24"/>
    </row>
    <row r="66" customFormat="false" ht="15" hidden="false" customHeight="true" outlineLevel="0" collapsed="false">
      <c r="A66" s="7" t="s">
        <v>237</v>
      </c>
      <c r="B66" s="7" t="s">
        <v>212</v>
      </c>
      <c r="C66" s="7" t="s">
        <v>218</v>
      </c>
      <c r="D66" s="20" t="n">
        <v>1.376</v>
      </c>
      <c r="E66" s="12" t="n">
        <f aca="false">D66/D$101</f>
        <v>0.0111407802756372</v>
      </c>
      <c r="F66" s="24"/>
    </row>
    <row r="67" customFormat="false" ht="15" hidden="false" customHeight="true" outlineLevel="0" collapsed="false">
      <c r="A67" s="7" t="s">
        <v>238</v>
      </c>
      <c r="B67" s="7" t="s">
        <v>212</v>
      </c>
      <c r="C67" s="7" t="s">
        <v>213</v>
      </c>
      <c r="D67" s="20" t="n">
        <v>1.31</v>
      </c>
      <c r="E67" s="12" t="n">
        <f aca="false">D67/D$101</f>
        <v>0.0106064114542767</v>
      </c>
      <c r="F67" s="24"/>
    </row>
    <row r="68" customFormat="false" ht="15" hidden="false" customHeight="true" outlineLevel="0" collapsed="false">
      <c r="A68" s="7" t="s">
        <v>239</v>
      </c>
      <c r="B68" s="7" t="s">
        <v>212</v>
      </c>
      <c r="C68" s="7" t="s">
        <v>213</v>
      </c>
      <c r="D68" s="20" t="n">
        <v>1.2988</v>
      </c>
      <c r="E68" s="12" t="n">
        <f aca="false">D68/D$101</f>
        <v>0.0105157306845912</v>
      </c>
      <c r="F68" s="24"/>
    </row>
    <row r="69" customFormat="false" ht="15" hidden="false" customHeight="true" outlineLevel="0" collapsed="false">
      <c r="A69" s="7" t="s">
        <v>240</v>
      </c>
      <c r="B69" s="7" t="s">
        <v>212</v>
      </c>
      <c r="C69" s="7" t="s">
        <v>226</v>
      </c>
      <c r="D69" s="20" t="n">
        <v>1.2802</v>
      </c>
      <c r="E69" s="12" t="n">
        <f aca="false">D69/D$101</f>
        <v>0.0103651358349351</v>
      </c>
      <c r="F69" s="24"/>
    </row>
    <row r="70" customFormat="false" ht="15" hidden="false" customHeight="true" outlineLevel="0" collapsed="false">
      <c r="A70" s="7" t="s">
        <v>241</v>
      </c>
      <c r="B70" s="7" t="s">
        <v>212</v>
      </c>
      <c r="C70" s="7" t="s">
        <v>213</v>
      </c>
      <c r="D70" s="20" t="n">
        <v>1.2184</v>
      </c>
      <c r="E70" s="12" t="n">
        <f aca="false">D70/D$101</f>
        <v>0.00986477230220662</v>
      </c>
      <c r="F70" s="24" t="n">
        <v>0.027</v>
      </c>
    </row>
    <row r="71" customFormat="false" ht="15" hidden="false" customHeight="true" outlineLevel="0" collapsed="false">
      <c r="A71" s="7" t="s">
        <v>242</v>
      </c>
      <c r="B71" s="7" t="s">
        <v>212</v>
      </c>
      <c r="C71" s="7" t="s">
        <v>216</v>
      </c>
      <c r="D71" s="20" t="n">
        <v>1.1951</v>
      </c>
      <c r="E71" s="12" t="n">
        <f aca="false">D71/D$101</f>
        <v>0.00967612391527178</v>
      </c>
      <c r="F71" s="24"/>
    </row>
    <row r="72" customFormat="false" ht="15" hidden="false" customHeight="true" outlineLevel="0" collapsed="false">
      <c r="A72" s="7" t="s">
        <v>243</v>
      </c>
      <c r="B72" s="7" t="s">
        <v>212</v>
      </c>
      <c r="C72" s="7" t="s">
        <v>226</v>
      </c>
      <c r="D72" s="20" t="n">
        <v>1.1697</v>
      </c>
      <c r="E72" s="12" t="n">
        <f aca="false">D72/D$101</f>
        <v>0.00947047288402091</v>
      </c>
      <c r="F72" s="24"/>
    </row>
    <row r="73" customFormat="false" ht="15" hidden="false" customHeight="true" outlineLevel="0" collapsed="false">
      <c r="A73" s="7" t="s">
        <v>244</v>
      </c>
      <c r="B73" s="7" t="s">
        <v>212</v>
      </c>
      <c r="C73" s="7" t="s">
        <v>229</v>
      </c>
      <c r="D73" s="20" t="n">
        <v>1.1531</v>
      </c>
      <c r="E73" s="12" t="n">
        <f aca="false">D73/D$101</f>
        <v>0.00933607102895146</v>
      </c>
      <c r="F73" s="24"/>
    </row>
    <row r="74" customFormat="false" ht="15" hidden="false" customHeight="true" outlineLevel="0" collapsed="false">
      <c r="A74" s="7" t="s">
        <v>245</v>
      </c>
      <c r="B74" s="7" t="s">
        <v>212</v>
      </c>
      <c r="C74" s="7" t="s">
        <v>231</v>
      </c>
      <c r="D74" s="20" t="n">
        <v>1.0533</v>
      </c>
      <c r="E74" s="12" t="n">
        <f aca="false">D74/D$101</f>
        <v>0.00852804059907603</v>
      </c>
      <c r="F74" s="24"/>
    </row>
    <row r="75" customFormat="false" ht="15" hidden="false" customHeight="true" outlineLevel="0" collapsed="false">
      <c r="A75" s="7" t="s">
        <v>246</v>
      </c>
      <c r="B75" s="7" t="s">
        <v>212</v>
      </c>
      <c r="C75" s="7" t="s">
        <v>213</v>
      </c>
      <c r="D75" s="20" t="n">
        <v>1.039</v>
      </c>
      <c r="E75" s="12" t="n">
        <f aca="false">D75/D$101</f>
        <v>0.00841226068778125</v>
      </c>
      <c r="F75" s="24" t="n">
        <v>0.086</v>
      </c>
    </row>
    <row r="76" customFormat="false" ht="15" hidden="false" customHeight="true" outlineLevel="0" collapsed="false">
      <c r="A76" s="7" t="s">
        <v>247</v>
      </c>
      <c r="B76" s="7" t="s">
        <v>212</v>
      </c>
      <c r="C76" s="7" t="s">
        <v>231</v>
      </c>
      <c r="D76" s="20" t="n">
        <v>1.0378</v>
      </c>
      <c r="E76" s="12" t="n">
        <f aca="false">D76/D$101</f>
        <v>0.00840254489102924</v>
      </c>
      <c r="F76" s="24"/>
    </row>
    <row r="77" customFormat="false" ht="15" hidden="false" customHeight="true" outlineLevel="0" collapsed="false">
      <c r="A77" s="7" t="s">
        <v>248</v>
      </c>
      <c r="B77" s="7" t="s">
        <v>212</v>
      </c>
      <c r="C77" s="7" t="s">
        <v>233</v>
      </c>
      <c r="D77" s="20" t="n">
        <v>0.9904</v>
      </c>
      <c r="E77" s="12" t="n">
        <f aca="false">D77/D$101</f>
        <v>0.00801877091932488</v>
      </c>
      <c r="F77" s="24"/>
    </row>
    <row r="78" customFormat="false" ht="15" hidden="false" customHeight="true" outlineLevel="0" collapsed="false">
      <c r="A78" s="7" t="s">
        <v>249</v>
      </c>
      <c r="B78" s="7" t="s">
        <v>212</v>
      </c>
      <c r="C78" s="7" t="s">
        <v>216</v>
      </c>
      <c r="D78" s="20" t="n">
        <v>0.9029</v>
      </c>
      <c r="E78" s="12" t="n">
        <f aca="false">D78/D$101</f>
        <v>0.00731032740615755</v>
      </c>
      <c r="F78" s="24"/>
    </row>
    <row r="79" customFormat="false" ht="15" hidden="false" customHeight="true" outlineLevel="0" collapsed="false">
      <c r="A79" s="7" t="s">
        <v>250</v>
      </c>
      <c r="B79" s="7" t="s">
        <v>212</v>
      </c>
      <c r="C79" s="7" t="s">
        <v>233</v>
      </c>
      <c r="D79" s="20" t="n">
        <v>0.8645</v>
      </c>
      <c r="E79" s="12" t="n">
        <f aca="false">D79/D$101</f>
        <v>0.00699942191009326</v>
      </c>
      <c r="F79" s="24"/>
    </row>
    <row r="80" customFormat="false" ht="15" hidden="false" customHeight="true" outlineLevel="0" collapsed="false">
      <c r="A80" s="7" t="s">
        <v>251</v>
      </c>
      <c r="B80" s="7" t="s">
        <v>212</v>
      </c>
      <c r="C80" s="7" t="s">
        <v>216</v>
      </c>
      <c r="D80" s="20" t="n">
        <v>0.6987</v>
      </c>
      <c r="E80" s="12" t="n">
        <f aca="false">D80/D$101</f>
        <v>0.00565702265885733</v>
      </c>
      <c r="F80" s="24"/>
    </row>
    <row r="81" customFormat="false" ht="15" hidden="false" customHeight="true" outlineLevel="0" collapsed="false">
      <c r="A81" s="7" t="s">
        <v>252</v>
      </c>
      <c r="B81" s="7" t="s">
        <v>212</v>
      </c>
      <c r="C81" s="7" t="s">
        <v>218</v>
      </c>
      <c r="D81" s="20" t="n">
        <v>0.6691</v>
      </c>
      <c r="E81" s="12" t="n">
        <f aca="false">D81/D$101</f>
        <v>0.00541736633897443</v>
      </c>
      <c r="F81" s="24"/>
    </row>
    <row r="82" customFormat="false" ht="15" hidden="false" customHeight="true" outlineLevel="0" collapsed="false">
      <c r="A82" s="7" t="s">
        <v>253</v>
      </c>
      <c r="B82" s="7" t="s">
        <v>212</v>
      </c>
      <c r="C82" s="7" t="s">
        <v>226</v>
      </c>
      <c r="D82" s="20" t="n">
        <v>0.6425</v>
      </c>
      <c r="E82" s="12" t="n">
        <f aca="false">D82/D$101</f>
        <v>0.00520199951097156</v>
      </c>
      <c r="F82" s="24"/>
    </row>
    <row r="83" customFormat="false" ht="15" hidden="false" customHeight="true" outlineLevel="0" collapsed="false">
      <c r="A83" s="7" t="s">
        <v>254</v>
      </c>
      <c r="B83" s="7" t="s">
        <v>212</v>
      </c>
      <c r="C83" s="7" t="s">
        <v>213</v>
      </c>
      <c r="D83" s="20" t="n">
        <v>0.6204</v>
      </c>
      <c r="E83" s="12" t="n">
        <f aca="false">D83/D$101</f>
        <v>0.00502306692078873</v>
      </c>
      <c r="F83" s="24" t="n">
        <v>0.38</v>
      </c>
    </row>
    <row r="84" customFormat="false" ht="15" hidden="false" customHeight="true" outlineLevel="0" collapsed="false">
      <c r="A84" s="7" t="s">
        <v>255</v>
      </c>
      <c r="B84" s="7" t="s">
        <v>212</v>
      </c>
      <c r="C84" s="7" t="s">
        <v>231</v>
      </c>
      <c r="D84" s="20" t="n">
        <v>0.6049</v>
      </c>
      <c r="E84" s="12" t="n">
        <f aca="false">D84/D$101</f>
        <v>0.00489757121274194</v>
      </c>
      <c r="F84" s="24"/>
    </row>
    <row r="85" customFormat="false" ht="15" hidden="false" customHeight="true" outlineLevel="0" collapsed="false">
      <c r="A85" s="7" t="s">
        <v>256</v>
      </c>
      <c r="B85" s="7" t="s">
        <v>212</v>
      </c>
      <c r="C85" s="7" t="s">
        <v>216</v>
      </c>
      <c r="D85" s="20" t="n">
        <v>0.5732</v>
      </c>
      <c r="E85" s="12" t="n">
        <f aca="false">D85/D$101</f>
        <v>0.00464091224854304</v>
      </c>
      <c r="F85" s="24"/>
    </row>
    <row r="86" customFormat="false" ht="15" hidden="false" customHeight="true" outlineLevel="0" collapsed="false">
      <c r="A86" s="7" t="s">
        <v>257</v>
      </c>
      <c r="B86" s="7" t="s">
        <v>212</v>
      </c>
      <c r="C86" s="7" t="s">
        <v>229</v>
      </c>
      <c r="D86" s="20" t="n">
        <v>0.5369</v>
      </c>
      <c r="E86" s="12" t="n">
        <f aca="false">D86/D$101</f>
        <v>0.00434700939679476</v>
      </c>
      <c r="F86" s="24"/>
    </row>
    <row r="87" customFormat="false" ht="15" hidden="false" customHeight="true" outlineLevel="0" collapsed="false">
      <c r="A87" s="7" t="s">
        <v>258</v>
      </c>
      <c r="B87" s="7" t="s">
        <v>212</v>
      </c>
      <c r="C87" s="7" t="s">
        <v>233</v>
      </c>
      <c r="D87" s="20" t="n">
        <v>0.5362</v>
      </c>
      <c r="E87" s="12" t="n">
        <f aca="false">D87/D$101</f>
        <v>0.00434134184868942</v>
      </c>
      <c r="F87" s="24"/>
    </row>
    <row r="88" customFormat="false" ht="15" hidden="false" customHeight="true" outlineLevel="0" collapsed="false">
      <c r="A88" s="7" t="s">
        <v>259</v>
      </c>
      <c r="B88" s="7" t="s">
        <v>212</v>
      </c>
      <c r="C88" s="7" t="s">
        <v>229</v>
      </c>
      <c r="D88" s="20" t="n">
        <v>0.5333</v>
      </c>
      <c r="E88" s="12" t="n">
        <f aca="false">D88/D$101</f>
        <v>0.00431786200653873</v>
      </c>
      <c r="F88" s="24"/>
    </row>
    <row r="89" customFormat="false" ht="15" hidden="false" customHeight="true" outlineLevel="0" collapsed="false">
      <c r="A89" s="7" t="s">
        <v>260</v>
      </c>
      <c r="B89" s="7" t="s">
        <v>212</v>
      </c>
      <c r="C89" s="7" t="s">
        <v>218</v>
      </c>
      <c r="D89" s="20" t="n">
        <v>0.5083</v>
      </c>
      <c r="E89" s="12" t="n">
        <f aca="false">D89/D$101</f>
        <v>0.00411544957420521</v>
      </c>
      <c r="F89" s="24"/>
    </row>
    <row r="90" customFormat="false" ht="15" hidden="false" customHeight="true" outlineLevel="0" collapsed="false">
      <c r="A90" s="7" t="s">
        <v>261</v>
      </c>
      <c r="B90" s="7" t="s">
        <v>212</v>
      </c>
      <c r="C90" s="7" t="s">
        <v>213</v>
      </c>
      <c r="D90" s="20" t="n">
        <v>0.4784</v>
      </c>
      <c r="E90" s="12" t="n">
        <f aca="false">D90/D$101</f>
        <v>0.00387336430513431</v>
      </c>
      <c r="F90" s="24" t="n">
        <v>0.23</v>
      </c>
    </row>
    <row r="91" customFormat="false" ht="15" hidden="false" customHeight="true" outlineLevel="0" collapsed="false">
      <c r="A91" s="7" t="s">
        <v>262</v>
      </c>
      <c r="B91" s="7" t="s">
        <v>212</v>
      </c>
      <c r="C91" s="7" t="s">
        <v>218</v>
      </c>
      <c r="D91" s="20" t="n">
        <v>0.4521</v>
      </c>
      <c r="E91" s="12" t="n">
        <f aca="false">D91/D$101</f>
        <v>0.00366042642631945</v>
      </c>
      <c r="F91" s="24"/>
    </row>
    <row r="92" customFormat="false" ht="15" hidden="false" customHeight="true" outlineLevel="0" collapsed="false">
      <c r="A92" s="7" t="s">
        <v>263</v>
      </c>
      <c r="B92" s="7" t="s">
        <v>212</v>
      </c>
      <c r="C92" s="7" t="s">
        <v>233</v>
      </c>
      <c r="D92" s="20" t="n">
        <v>0.4105</v>
      </c>
      <c r="E92" s="12" t="n">
        <f aca="false">D92/D$101</f>
        <v>0.00332361213891646</v>
      </c>
      <c r="F92" s="24"/>
    </row>
    <row r="93" customFormat="false" ht="15" hidden="false" customHeight="true" outlineLevel="0" collapsed="false">
      <c r="A93" s="7" t="s">
        <v>264</v>
      </c>
      <c r="B93" s="7" t="s">
        <v>212</v>
      </c>
      <c r="C93" s="7" t="s">
        <v>226</v>
      </c>
      <c r="D93" s="20" t="n">
        <v>0.3822</v>
      </c>
      <c r="E93" s="12" t="n">
        <f aca="false">D93/D$101</f>
        <v>0.00309448126551491</v>
      </c>
      <c r="F93" s="24"/>
    </row>
    <row r="94" customFormat="false" ht="15" hidden="false" customHeight="true" outlineLevel="0" collapsed="false">
      <c r="A94" s="7" t="s">
        <v>265</v>
      </c>
      <c r="B94" s="7" t="s">
        <v>212</v>
      </c>
      <c r="C94" s="7" t="s">
        <v>216</v>
      </c>
      <c r="D94" s="20" t="n">
        <v>0.3406</v>
      </c>
      <c r="E94" s="12" t="n">
        <f aca="false">D94/D$101</f>
        <v>0.00275766697811193</v>
      </c>
      <c r="F94" s="24"/>
    </row>
    <row r="95" customFormat="false" ht="15" hidden="false" customHeight="true" outlineLevel="0" collapsed="false">
      <c r="A95" s="7" t="s">
        <v>266</v>
      </c>
      <c r="B95" s="7" t="s">
        <v>214</v>
      </c>
      <c r="C95" s="7" t="s">
        <v>266</v>
      </c>
      <c r="D95" s="20" t="n">
        <v>0.2957</v>
      </c>
      <c r="E95" s="12" t="n">
        <f aca="false">D95/D$101</f>
        <v>0.00239413424964092</v>
      </c>
      <c r="F95" s="24"/>
    </row>
    <row r="96" customFormat="false" ht="15" hidden="false" customHeight="true" outlineLevel="0" collapsed="false">
      <c r="A96" s="7" t="s">
        <v>267</v>
      </c>
      <c r="B96" s="7" t="s">
        <v>212</v>
      </c>
      <c r="C96" s="7" t="s">
        <v>229</v>
      </c>
      <c r="D96" s="20" t="n">
        <v>0.2195</v>
      </c>
      <c r="E96" s="12" t="n">
        <f aca="false">D96/D$101</f>
        <v>0.00177718115588834</v>
      </c>
      <c r="F96" s="24"/>
    </row>
    <row r="97" customFormat="false" ht="15" hidden="false" customHeight="true" outlineLevel="0" collapsed="false">
      <c r="A97" s="7" t="s">
        <v>268</v>
      </c>
      <c r="B97" s="7" t="s">
        <v>212</v>
      </c>
      <c r="C97" s="7" t="s">
        <v>266</v>
      </c>
      <c r="D97" s="20" t="n">
        <v>0.1958</v>
      </c>
      <c r="E97" s="12" t="n">
        <f aca="false">D97/D$101</f>
        <v>0.00158529417003616</v>
      </c>
      <c r="F97" s="24"/>
    </row>
    <row r="98" customFormat="false" ht="15" hidden="false" customHeight="true" outlineLevel="0" collapsed="false">
      <c r="A98" s="7" t="s">
        <v>269</v>
      </c>
      <c r="B98" s="7" t="s">
        <v>212</v>
      </c>
      <c r="C98" s="7" t="s">
        <v>266</v>
      </c>
      <c r="D98" s="20" t="n">
        <v>0.1361</v>
      </c>
      <c r="E98" s="12" t="n">
        <f aca="false">D98/D$101</f>
        <v>0.0011019332816237</v>
      </c>
      <c r="F98" s="24"/>
    </row>
    <row r="99" customFormat="false" ht="15" hidden="false" customHeight="true" outlineLevel="0" collapsed="false">
      <c r="A99" s="7" t="s">
        <v>270</v>
      </c>
      <c r="B99" s="7" t="s">
        <v>212</v>
      </c>
      <c r="C99" s="7" t="s">
        <v>229</v>
      </c>
      <c r="D99" s="20" t="n">
        <v>0.1336</v>
      </c>
      <c r="E99" s="12" t="n">
        <f aca="false">D99/D$101</f>
        <v>0.00108169203839035</v>
      </c>
      <c r="F99" s="24"/>
    </row>
    <row r="100" customFormat="false" ht="15" hidden="false" customHeight="true" outlineLevel="0" collapsed="false">
      <c r="A100" s="7" t="s">
        <v>271</v>
      </c>
      <c r="B100" s="7" t="s">
        <v>212</v>
      </c>
      <c r="C100" s="7" t="s">
        <v>266</v>
      </c>
      <c r="D100" s="20" t="n">
        <v>0.0533</v>
      </c>
      <c r="E100" s="12" t="n">
        <f aca="false">D100/D$101</f>
        <v>0.000431543305735073</v>
      </c>
      <c r="F100" s="24"/>
    </row>
    <row r="101" customFormat="false" ht="15" hidden="false" customHeight="true" outlineLevel="0" collapsed="false">
      <c r="A101" s="9" t="s">
        <v>272</v>
      </c>
      <c r="B101" s="9"/>
      <c r="C101" s="9"/>
      <c r="D101" s="17" t="n">
        <f aca="false">SUM(D48:D100)</f>
        <v>123.5102</v>
      </c>
      <c r="E101" s="9"/>
      <c r="F101" s="9"/>
    </row>
    <row r="102" customFormat="false" ht="15" hidden="false" customHeight="true" outlineLevel="0" collapsed="false">
      <c r="A102" s="9" t="s">
        <v>273</v>
      </c>
      <c r="B102" s="9"/>
      <c r="C102" s="9"/>
      <c r="D102" s="17" t="n">
        <f aca="false">SUMIF(C48:C100,"Requena",D48:D100)</f>
        <v>58.0553</v>
      </c>
      <c r="E102" s="13" t="n">
        <f aca="false">D102/D101</f>
        <v>0.470044579314097</v>
      </c>
      <c r="F102" s="9"/>
    </row>
    <row r="103" customFormat="false" ht="15" hidden="false" customHeight="true" outlineLevel="0" collapsed="false">
      <c r="A103" s="7" t="s">
        <v>274</v>
      </c>
      <c r="B103" s="7"/>
      <c r="C103" s="7"/>
      <c r="D103" s="20" t="n">
        <v>123.9718</v>
      </c>
    </row>
    <row r="104" customFormat="false" ht="15" hidden="false" customHeight="true" outlineLevel="0" collapsed="false">
      <c r="A104" s="7" t="s">
        <v>275</v>
      </c>
      <c r="B104" s="7"/>
      <c r="C104" s="7"/>
      <c r="D104" s="20" t="n">
        <v>0.4614</v>
      </c>
    </row>
    <row r="105" customFormat="false" ht="15" hidden="false" customHeight="true" outlineLevel="0" collapsed="false">
      <c r="A105" s="21" t="s">
        <v>276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22"/>
    <col collapsed="false" customWidth="true" hidden="false" outlineLevel="0" max="6" min="4" style="1" width="16"/>
  </cols>
  <sheetData>
    <row r="1" customFormat="false" ht="15" hidden="false" customHeight="true" outlineLevel="0" collapsed="false">
      <c r="A1" s="2" t="s">
        <v>277</v>
      </c>
    </row>
    <row r="2" customFormat="false" ht="15" hidden="false" customHeight="true" outlineLevel="0" collapsed="false">
      <c r="A2" s="5" t="s">
        <v>278</v>
      </c>
    </row>
    <row r="4" customFormat="false" ht="23.25" hidden="false" customHeight="true" outlineLevel="0" collapsed="false">
      <c r="A4" s="6" t="s">
        <v>183</v>
      </c>
      <c r="B4" s="6" t="s">
        <v>279</v>
      </c>
      <c r="C4" s="6" t="s">
        <v>280</v>
      </c>
      <c r="D4" s="6" t="s">
        <v>281</v>
      </c>
      <c r="E4" s="6" t="s">
        <v>282</v>
      </c>
      <c r="F4" s="6" t="s">
        <v>283</v>
      </c>
    </row>
    <row r="5" customFormat="false" ht="15" hidden="false" customHeight="true" outlineLevel="0" collapsed="false">
      <c r="A5" s="7" t="s">
        <v>34</v>
      </c>
      <c r="B5" s="8" t="n">
        <v>3</v>
      </c>
      <c r="C5" s="8" t="n">
        <v>0</v>
      </c>
      <c r="D5" s="8" t="n">
        <v>109</v>
      </c>
      <c r="E5" s="8" t="n">
        <v>1</v>
      </c>
      <c r="F5" s="8" t="n">
        <v>0</v>
      </c>
    </row>
    <row r="6" customFormat="false" ht="15" hidden="false" customHeight="true" outlineLevel="0" collapsed="false">
      <c r="A6" s="7" t="s">
        <v>35</v>
      </c>
      <c r="B6" s="8" t="n">
        <v>4</v>
      </c>
      <c r="C6" s="8" t="n">
        <v>0</v>
      </c>
      <c r="D6" s="8" t="n">
        <v>91</v>
      </c>
      <c r="E6" s="8" t="n">
        <v>0</v>
      </c>
      <c r="F6" s="8" t="n">
        <v>0</v>
      </c>
    </row>
    <row r="7" customFormat="false" ht="15" hidden="false" customHeight="true" outlineLevel="0" collapsed="false">
      <c r="A7" s="7" t="s">
        <v>36</v>
      </c>
      <c r="B7" s="8" t="n">
        <v>3</v>
      </c>
      <c r="C7" s="8" t="n">
        <v>0</v>
      </c>
      <c r="D7" s="8" t="n">
        <v>41</v>
      </c>
      <c r="E7" s="8" t="n">
        <v>0</v>
      </c>
      <c r="F7" s="8" t="n">
        <v>0</v>
      </c>
    </row>
    <row r="8" customFormat="false" ht="15" hidden="false" customHeight="true" outlineLevel="0" collapsed="false">
      <c r="A8" s="7" t="s">
        <v>37</v>
      </c>
      <c r="B8" s="8" t="n">
        <v>6</v>
      </c>
      <c r="C8" s="8" t="n">
        <v>0</v>
      </c>
      <c r="D8" s="8" t="n">
        <v>58</v>
      </c>
      <c r="E8" s="8" t="n">
        <v>2</v>
      </c>
      <c r="F8" s="8" t="n">
        <v>2</v>
      </c>
    </row>
    <row r="9" customFormat="false" ht="15" hidden="false" customHeight="true" outlineLevel="0" collapsed="false">
      <c r="A9" s="7" t="s">
        <v>38</v>
      </c>
      <c r="B9" s="8" t="n">
        <v>1</v>
      </c>
      <c r="C9" s="8" t="n">
        <v>0</v>
      </c>
      <c r="D9" s="8" t="n">
        <v>69</v>
      </c>
      <c r="E9" s="8" t="n">
        <v>0</v>
      </c>
      <c r="F9" s="8"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3" min="3" style="1" width="10"/>
    <col collapsed="false" customWidth="true" hidden="false" outlineLevel="0" max="4" min="4" style="1" width="16"/>
    <col collapsed="false" customWidth="true" hidden="false" outlineLevel="0" max="5" min="5" style="1" width="10"/>
    <col collapsed="false" customWidth="true" hidden="false" outlineLevel="0" max="6" min="6" style="1" width="16"/>
  </cols>
  <sheetData>
    <row r="1" customFormat="false" ht="15" hidden="false" customHeight="true" outlineLevel="0" collapsed="false">
      <c r="A1" s="2" t="s">
        <v>284</v>
      </c>
    </row>
    <row r="2" customFormat="false" ht="15" hidden="false" customHeight="true" outlineLevel="0" collapsed="false">
      <c r="A2" s="5" t="s">
        <v>285</v>
      </c>
    </row>
    <row r="4" customFormat="false" ht="34.5" hidden="false" customHeight="true" outlineLevel="0" collapsed="false">
      <c r="A4" s="6" t="s">
        <v>183</v>
      </c>
      <c r="B4" s="6" t="s">
        <v>286</v>
      </c>
      <c r="C4" s="6" t="s">
        <v>287</v>
      </c>
      <c r="D4" s="6" t="s">
        <v>288</v>
      </c>
      <c r="E4" s="6" t="s">
        <v>287</v>
      </c>
      <c r="F4" s="6" t="s">
        <v>289</v>
      </c>
    </row>
    <row r="5" customFormat="false" ht="15" hidden="false" customHeight="true" outlineLevel="0" collapsed="false">
      <c r="A5" s="7" t="s">
        <v>290</v>
      </c>
      <c r="B5" s="8" t="n">
        <v>2397351</v>
      </c>
      <c r="D5" s="8" t="n">
        <v>8779305</v>
      </c>
      <c r="F5" s="12" t="n">
        <f aca="false">B5/D5</f>
        <v>0.273068426259254</v>
      </c>
    </row>
    <row r="6" customFormat="false" ht="15" hidden="false" customHeight="true" outlineLevel="0" collapsed="false">
      <c r="A6" s="7" t="s">
        <v>291</v>
      </c>
      <c r="B6" s="8" t="n">
        <v>1942568</v>
      </c>
      <c r="C6" s="12" t="n">
        <f aca="false">B6/B5-1</f>
        <v>-0.189702300580933</v>
      </c>
      <c r="D6" s="8" t="n">
        <v>8584514</v>
      </c>
      <c r="E6" s="12" t="n">
        <f aca="false">D6/D5-1</f>
        <v>-0.0221875193993146</v>
      </c>
      <c r="F6" s="12" t="n">
        <f aca="false">B6/D6</f>
        <v>0.226287475330578</v>
      </c>
    </row>
    <row r="7" customFormat="false" ht="15" hidden="false" customHeight="true" outlineLevel="0" collapsed="false">
      <c r="A7" s="7" t="s">
        <v>29</v>
      </c>
      <c r="B7" s="8" t="n">
        <v>799378</v>
      </c>
      <c r="C7" s="12" t="n">
        <f aca="false">B7/B6-1</f>
        <v>-0.588494199430857</v>
      </c>
      <c r="D7" s="8" t="n">
        <v>7602217</v>
      </c>
      <c r="E7" s="12" t="n">
        <f aca="false">D7/D6-1</f>
        <v>-0.11442662916037</v>
      </c>
      <c r="F7" s="12" t="n">
        <f aca="false">B7/D7</f>
        <v>0.105150642240283</v>
      </c>
    </row>
    <row r="8" customFormat="false" ht="15" hidden="false" customHeight="true" outlineLevel="0" collapsed="false">
      <c r="A8" s="7" t="s">
        <v>30</v>
      </c>
      <c r="B8" s="8" t="n">
        <v>1050413</v>
      </c>
      <c r="C8" s="12" t="n">
        <f aca="false">B8/B7-1</f>
        <v>0.314037914478507</v>
      </c>
      <c r="D8" s="8" t="n">
        <v>8087444</v>
      </c>
      <c r="E8" s="12" t="n">
        <f aca="false">D8/D7-1</f>
        <v>0.0638270388756332</v>
      </c>
      <c r="F8" s="12" t="n">
        <f aca="false">B8/D8</f>
        <v>0.129881950341789</v>
      </c>
    </row>
    <row r="9" customFormat="false" ht="15" hidden="false" customHeight="true" outlineLevel="0" collapsed="false">
      <c r="A9" s="7" t="s">
        <v>31</v>
      </c>
      <c r="B9" s="8" t="n">
        <v>1643302</v>
      </c>
      <c r="C9" s="12" t="n">
        <f aca="false">B9/B8-1</f>
        <v>0.564434179698842</v>
      </c>
      <c r="D9" s="8" t="n">
        <v>8932782</v>
      </c>
      <c r="E9" s="12" t="n">
        <f aca="false">D9/D8-1</f>
        <v>0.104524742304243</v>
      </c>
      <c r="F9" s="12" t="n">
        <f aca="false">B9/D9</f>
        <v>0.183963069959616</v>
      </c>
    </row>
    <row r="10" customFormat="false" ht="15" hidden="false" customHeight="true" outlineLevel="0" collapsed="false">
      <c r="A10" s="7" t="s">
        <v>32</v>
      </c>
      <c r="B10" s="8" t="n">
        <v>1864313</v>
      </c>
      <c r="C10" s="12" t="n">
        <f aca="false">B10/B9-1</f>
        <v>0.134492016683482</v>
      </c>
      <c r="D10" s="8" t="n">
        <v>9336037</v>
      </c>
      <c r="E10" s="12" t="n">
        <f aca="false">D10/D9-1</f>
        <v>0.0451432711556155</v>
      </c>
      <c r="F10" s="12" t="n">
        <f aca="false">B10/D10</f>
        <v>0.199689975521734</v>
      </c>
    </row>
    <row r="11" customFormat="false" ht="15" hidden="false" customHeight="true" outlineLevel="0" collapsed="false">
      <c r="A11" s="7" t="s">
        <v>33</v>
      </c>
      <c r="B11" s="8" t="n">
        <v>1350736</v>
      </c>
      <c r="C11" s="12" t="n">
        <f aca="false">B11/B10-1</f>
        <v>-0.275477883810283</v>
      </c>
      <c r="D11" s="8" t="n">
        <v>8031794</v>
      </c>
      <c r="E11" s="12" t="n">
        <f aca="false">D11/D10-1</f>
        <v>-0.139699853374617</v>
      </c>
      <c r="F11" s="12" t="n">
        <f aca="false">B11/D11</f>
        <v>0.168173635927415</v>
      </c>
    </row>
    <row r="12" customFormat="false" ht="15" hidden="false" customHeight="true" outlineLevel="0" collapsed="false">
      <c r="A12" s="7" t="s">
        <v>34</v>
      </c>
      <c r="B12" s="8" t="n">
        <v>1457632</v>
      </c>
      <c r="C12" s="12" t="n">
        <f aca="false">B12/B11-1</f>
        <v>0.079139076769998</v>
      </c>
      <c r="D12" s="8" t="n">
        <v>8905322</v>
      </c>
      <c r="E12" s="12" t="n">
        <f aca="false">D12/D11-1</f>
        <v>0.108758765476306</v>
      </c>
      <c r="F12" s="12" t="n">
        <f aca="false">B12/D12</f>
        <v>0.16368099884541</v>
      </c>
    </row>
    <row r="13" customFormat="false" ht="15" hidden="false" customHeight="true" outlineLevel="0" collapsed="false">
      <c r="A13" s="7" t="s">
        <v>35</v>
      </c>
      <c r="B13" s="8" t="n">
        <v>1763674</v>
      </c>
      <c r="C13" s="12" t="n">
        <f aca="false">B13/B12-1</f>
        <v>0.209958343395315</v>
      </c>
      <c r="D13" s="8" t="n">
        <v>9379151</v>
      </c>
      <c r="E13" s="12" t="n">
        <f aca="false">D13/D12-1</f>
        <v>0.0532073966556179</v>
      </c>
      <c r="F13" s="12" t="n">
        <f aca="false">B13/D13</f>
        <v>0.188041966698265</v>
      </c>
    </row>
    <row r="14" customFormat="false" ht="15" hidden="false" customHeight="true" outlineLevel="0" collapsed="false">
      <c r="A14" s="7" t="s">
        <v>292</v>
      </c>
      <c r="B14" s="8" t="n">
        <v>1917961</v>
      </c>
      <c r="C14" s="12" t="n">
        <f aca="false">B14/B13-1</f>
        <v>0.0874804527367303</v>
      </c>
      <c r="D14" s="8" t="n">
        <v>9610208</v>
      </c>
      <c r="E14" s="12" t="n">
        <f aca="false">D14/D13-1</f>
        <v>0.0246351722026865</v>
      </c>
      <c r="F14" s="12" t="n">
        <f aca="false">B14/D14</f>
        <v>0.199575389003027</v>
      </c>
    </row>
    <row r="15" customFormat="false" ht="15" hidden="false" customHeight="true" outlineLevel="0" collapsed="false">
      <c r="A15" s="7" t="s">
        <v>293</v>
      </c>
      <c r="B15" s="8" t="n">
        <v>2241750</v>
      </c>
      <c r="C15" s="12" t="n">
        <f aca="false">B15/B14-1</f>
        <v>0.168819386838418</v>
      </c>
      <c r="D15" s="8" t="n">
        <v>10248568</v>
      </c>
      <c r="E15" s="12" t="n">
        <f aca="false">D15/D14-1</f>
        <v>0.0664252012027211</v>
      </c>
      <c r="F15" s="12" t="n">
        <f aca="false">B15/D15</f>
        <v>0.218737876355019</v>
      </c>
    </row>
    <row r="16" customFormat="false" ht="15" hidden="false" customHeight="true" outlineLevel="0" collapsed="false">
      <c r="A16" s="7" t="s">
        <v>294</v>
      </c>
      <c r="B16" s="8" t="n">
        <v>2493578</v>
      </c>
      <c r="C16" s="12" t="n">
        <f aca="false">B16/B15-1</f>
        <v>0.112335452213672</v>
      </c>
      <c r="D16" s="8" t="n">
        <v>10755581</v>
      </c>
      <c r="E16" s="12" t="n">
        <f aca="false">D16/D15-1</f>
        <v>0.0494715944705642</v>
      </c>
      <c r="F16" s="12" t="n">
        <f aca="false">B16/D16</f>
        <v>0.231840381286701</v>
      </c>
    </row>
    <row r="18" customFormat="false" ht="15" hidden="false" customHeight="true" outlineLevel="0" collapsed="false">
      <c r="A18" s="9" t="s">
        <v>295</v>
      </c>
      <c r="B18" s="13" t="n">
        <f aca="false">(B16/B6)^(1/10)-1</f>
        <v>0.0252851630756605</v>
      </c>
      <c r="D18" s="13" t="n">
        <f aca="false">(D16/D6)^(1/10)-1</f>
        <v>0.0228025831784482</v>
      </c>
    </row>
    <row r="20" customFormat="false" ht="15" hidden="false" customHeight="true" outlineLevel="0" collapsed="false">
      <c r="A20" s="5" t="s">
        <v>296</v>
      </c>
    </row>
    <row r="21" customFormat="false" ht="15" hidden="false" customHeight="true" outlineLevel="0" collapsed="false">
      <c r="A21" s="5" t="s">
        <v>297</v>
      </c>
    </row>
    <row r="23" customFormat="false" ht="15" hidden="false" customHeight="true" outlineLevel="0" collapsed="false">
      <c r="A23" s="9" t="s">
        <v>298</v>
      </c>
    </row>
    <row r="24" customFormat="false" ht="34.5" hidden="false" customHeight="true" outlineLevel="0" collapsed="false">
      <c r="A24" s="6" t="s">
        <v>183</v>
      </c>
      <c r="B24" s="6" t="s">
        <v>286</v>
      </c>
      <c r="C24" s="6"/>
      <c r="D24" s="6" t="s">
        <v>299</v>
      </c>
    </row>
    <row r="25" customFormat="false" ht="15" hidden="false" customHeight="true" outlineLevel="0" collapsed="false">
      <c r="A25" s="7" t="s">
        <v>300</v>
      </c>
      <c r="B25" s="25" t="n">
        <v>5.3</v>
      </c>
      <c r="D25" s="25" t="n">
        <v>2.2</v>
      </c>
    </row>
    <row r="26" customFormat="false" ht="15" hidden="false" customHeight="true" outlineLevel="0" collapsed="false">
      <c r="A26" s="7" t="s">
        <v>301</v>
      </c>
      <c r="B26" s="25" t="n">
        <v>3.5</v>
      </c>
      <c r="D26" s="25" t="n">
        <v>1.8</v>
      </c>
    </row>
    <row r="27" customFormat="false" ht="15" hidden="false" customHeight="true" outlineLevel="0" collapsed="false">
      <c r="A27" s="5" t="s">
        <v>302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3" min="2" style="1" width="13"/>
    <col collapsed="false" customWidth="true" hidden="false" outlineLevel="0" max="5" min="4" style="1" width="12"/>
    <col collapsed="false" customWidth="true" hidden="false" outlineLevel="0" max="6" min="6" style="1" width="13"/>
    <col collapsed="false" customWidth="true" hidden="false" outlineLevel="0" max="10" min="7" style="1" width="11"/>
    <col collapsed="false" customWidth="true" hidden="false" outlineLevel="0" max="12" min="11" style="1" width="14"/>
  </cols>
  <sheetData>
    <row r="1" customFormat="false" ht="15" hidden="false" customHeight="true" outlineLevel="0" collapsed="false">
      <c r="A1" s="2" t="s">
        <v>303</v>
      </c>
    </row>
    <row r="2" customFormat="false" ht="15" hidden="false" customHeight="true" outlineLevel="0" collapsed="false">
      <c r="A2" s="5" t="s">
        <v>304</v>
      </c>
    </row>
    <row r="4" customFormat="false" ht="45" hidden="false" customHeight="true" outlineLevel="0" collapsed="false">
      <c r="A4" s="6" t="s">
        <v>305</v>
      </c>
      <c r="B4" s="6" t="s">
        <v>293</v>
      </c>
      <c r="C4" s="6" t="s">
        <v>294</v>
      </c>
      <c r="D4" s="6" t="s">
        <v>306</v>
      </c>
      <c r="E4" s="6" t="s">
        <v>307</v>
      </c>
      <c r="F4" s="6" t="s">
        <v>308</v>
      </c>
      <c r="G4" s="6" t="s">
        <v>309</v>
      </c>
      <c r="H4" s="6" t="s">
        <v>310</v>
      </c>
      <c r="I4" s="6" t="s">
        <v>311</v>
      </c>
      <c r="J4" s="6" t="s">
        <v>312</v>
      </c>
      <c r="K4" s="6" t="s">
        <v>313</v>
      </c>
      <c r="L4" s="6" t="s">
        <v>314</v>
      </c>
    </row>
    <row r="5" customFormat="false" ht="15" hidden="false" customHeight="true" outlineLevel="0" collapsed="false">
      <c r="A5" s="7" t="s">
        <v>315</v>
      </c>
      <c r="B5" s="8" t="n">
        <v>904206</v>
      </c>
      <c r="C5" s="8" t="n">
        <v>888572</v>
      </c>
      <c r="D5" s="12" t="n">
        <f aca="false">C5/B5-1</f>
        <v>-0.017290307739608</v>
      </c>
      <c r="E5" s="25" t="n">
        <v>-1.7</v>
      </c>
      <c r="F5" s="16" t="n">
        <v>1.69</v>
      </c>
      <c r="G5" s="12" t="n">
        <f aca="false">B5/B$16</f>
        <v>0.0882275455458753</v>
      </c>
      <c r="H5" s="12" t="n">
        <f aca="false">C5/C$16</f>
        <v>0.0826149698468172</v>
      </c>
      <c r="I5" s="25" t="n">
        <v>8.8</v>
      </c>
      <c r="J5" s="25" t="n">
        <v>8.3</v>
      </c>
      <c r="K5" s="20" t="n">
        <f aca="false">(C5-B5)/B$16*100</f>
        <v>-0.152548141359847</v>
      </c>
      <c r="L5" s="12" t="n">
        <f aca="false">(C5-B5)/(C$16-B$16)</f>
        <v>-0.0308355012593365</v>
      </c>
    </row>
    <row r="6" customFormat="false" ht="15" hidden="false" customHeight="true" outlineLevel="0" collapsed="false">
      <c r="A6" s="9" t="s">
        <v>286</v>
      </c>
      <c r="B6" s="8" t="n">
        <v>2241750</v>
      </c>
      <c r="C6" s="8" t="n">
        <v>2493578</v>
      </c>
      <c r="D6" s="12" t="n">
        <f aca="false">C6/B6-1</f>
        <v>0.112335452213672</v>
      </c>
      <c r="E6" s="25" t="n">
        <v>11.2</v>
      </c>
      <c r="F6" s="16" t="n">
        <v>13.47</v>
      </c>
      <c r="G6" s="12" t="n">
        <f aca="false">B6/B$16</f>
        <v>0.218737876355019</v>
      </c>
      <c r="H6" s="12" t="n">
        <f aca="false">C6/C$16</f>
        <v>0.231840381286701</v>
      </c>
      <c r="I6" s="25" t="n">
        <v>21.9</v>
      </c>
      <c r="J6" s="25" t="n">
        <v>23.2</v>
      </c>
      <c r="K6" s="20" t="n">
        <f aca="false">(C6-B6)/B$16*100</f>
        <v>2.45720182565994</v>
      </c>
      <c r="L6" s="12" t="n">
        <f aca="false">(C6-B6)/(C$16-B$16)</f>
        <v>0.496689433998734</v>
      </c>
    </row>
    <row r="7" customFormat="false" ht="15" hidden="false" customHeight="true" outlineLevel="0" collapsed="false">
      <c r="A7" s="7" t="s">
        <v>316</v>
      </c>
      <c r="B7" s="8" t="n">
        <v>596816</v>
      </c>
      <c r="C7" s="8" t="n">
        <v>657521</v>
      </c>
      <c r="D7" s="12" t="n">
        <f aca="false">C7/B7-1</f>
        <v>0.101714766360151</v>
      </c>
      <c r="E7" s="25" t="n">
        <v>10.2</v>
      </c>
      <c r="F7" s="16" t="n">
        <v>0.2</v>
      </c>
      <c r="G7" s="12" t="n">
        <f aca="false">B7/B$16</f>
        <v>0.0582340869475618</v>
      </c>
      <c r="H7" s="12" t="n">
        <f aca="false">C7/C$16</f>
        <v>0.0611330062039419</v>
      </c>
      <c r="I7" s="25" t="n">
        <v>5.8</v>
      </c>
      <c r="J7" s="25" t="n">
        <v>6.1</v>
      </c>
      <c r="K7" s="20" t="n">
        <f aca="false">(C7-B7)/B$16*100</f>
        <v>0.592326654806799</v>
      </c>
      <c r="L7" s="12" t="n">
        <f aca="false">(C7-B7)/(C$16-B$16)</f>
        <v>0.119730657793784</v>
      </c>
    </row>
    <row r="8" customFormat="false" ht="15" hidden="false" customHeight="true" outlineLevel="0" collapsed="false">
      <c r="A8" s="7" t="s">
        <v>317</v>
      </c>
      <c r="B8" s="8" t="n">
        <v>135328</v>
      </c>
      <c r="C8" s="8" t="n">
        <v>135246</v>
      </c>
      <c r="D8" s="12" t="n">
        <f aca="false">C8/B8-1</f>
        <v>-0.000605935209269326</v>
      </c>
      <c r="E8" s="25" t="n">
        <v>-0.1</v>
      </c>
      <c r="F8" s="16" t="n">
        <v>2.94</v>
      </c>
      <c r="G8" s="12" t="n">
        <f aca="false">B8/B$16</f>
        <v>0.0132045764832706</v>
      </c>
      <c r="H8" s="12" t="n">
        <f aca="false">C8/C$16</f>
        <v>0.0125744950458743</v>
      </c>
      <c r="I8" s="25" t="n">
        <v>1.3</v>
      </c>
      <c r="J8" s="25" t="n">
        <v>1.3</v>
      </c>
      <c r="K8" s="20" t="n">
        <f aca="false">(C8-B8)/B$16*100</f>
        <v>-0.000800111781470348</v>
      </c>
      <c r="L8" s="12" t="n">
        <f aca="false">(C8-B8)/(C$16-B$16)</f>
        <v>-0.000161731553234335</v>
      </c>
    </row>
    <row r="9" customFormat="false" ht="15" hidden="false" customHeight="true" outlineLevel="0" collapsed="false">
      <c r="A9" s="7" t="s">
        <v>318</v>
      </c>
      <c r="B9" s="8" t="n">
        <v>439501</v>
      </c>
      <c r="C9" s="8" t="n">
        <v>436723</v>
      </c>
      <c r="D9" s="12" t="n">
        <f aca="false">C9/B9-1</f>
        <v>-0.00632080473081975</v>
      </c>
      <c r="E9" s="25" t="n">
        <v>-0.6</v>
      </c>
      <c r="F9" s="16" t="n">
        <v>7.47</v>
      </c>
      <c r="G9" s="12" t="n">
        <f aca="false">B9/B$16</f>
        <v>0.0428841375692682</v>
      </c>
      <c r="H9" s="12" t="n">
        <f aca="false">C9/C$16</f>
        <v>0.0406043150992959</v>
      </c>
      <c r="I9" s="25" t="n">
        <v>4.3</v>
      </c>
      <c r="J9" s="25" t="n">
        <v>4.1</v>
      </c>
      <c r="K9" s="20" t="n">
        <f aca="false">(C9-B9)/B$16*100</f>
        <v>-0.0271062259624954</v>
      </c>
      <c r="L9" s="12" t="n">
        <f aca="false">(C9-B9)/(C$16-B$16)</f>
        <v>-0.00547914944981687</v>
      </c>
    </row>
    <row r="10" customFormat="false" ht="15" hidden="false" customHeight="true" outlineLevel="0" collapsed="false">
      <c r="A10" s="7" t="s">
        <v>319</v>
      </c>
      <c r="B10" s="8" t="n">
        <v>1644118</v>
      </c>
      <c r="C10" s="8" t="n">
        <v>1679365</v>
      </c>
      <c r="D10" s="12" t="n">
        <f aca="false">C10/B10-1</f>
        <v>0.0214382422672825</v>
      </c>
      <c r="E10" s="25" t="n">
        <v>2.1</v>
      </c>
      <c r="F10" s="16" t="n">
        <v>1.55</v>
      </c>
      <c r="G10" s="12" t="n">
        <f aca="false">B10/B$16</f>
        <v>0.16042416852774</v>
      </c>
      <c r="H10" s="12" t="n">
        <f aca="false">C10/C$16</f>
        <v>0.156138938472966</v>
      </c>
      <c r="I10" s="25" t="n">
        <v>16</v>
      </c>
      <c r="J10" s="25" t="n">
        <v>15.6</v>
      </c>
      <c r="K10" s="20" t="n">
        <f aca="false">(C10-B10)/B$16*100</f>
        <v>0.343921219042504</v>
      </c>
      <c r="L10" s="12" t="n">
        <f aca="false">(C10-B10)/(C$16-B$16)</f>
        <v>0.0695189275225685</v>
      </c>
    </row>
    <row r="11" customFormat="false" ht="15" hidden="false" customHeight="true" outlineLevel="0" collapsed="false">
      <c r="A11" s="7" t="s">
        <v>320</v>
      </c>
      <c r="B11" s="8" t="n">
        <v>400416</v>
      </c>
      <c r="C11" s="8" t="n">
        <v>427016</v>
      </c>
      <c r="D11" s="12" t="n">
        <f aca="false">C11/B11-1</f>
        <v>0.0664309118516742</v>
      </c>
      <c r="E11" s="25" t="n">
        <v>6.6</v>
      </c>
      <c r="F11" s="16" t="n">
        <v>-0.05</v>
      </c>
      <c r="G11" s="12" t="n">
        <f aca="false">B11/B$16</f>
        <v>0.0390704340352721</v>
      </c>
      <c r="H11" s="12" t="n">
        <f aca="false">C11/C$16</f>
        <v>0.0397018069037833</v>
      </c>
      <c r="I11" s="25" t="n">
        <v>3.9</v>
      </c>
      <c r="J11" s="25" t="n">
        <v>4</v>
      </c>
      <c r="K11" s="20" t="n">
        <f aca="false">(C11-B11)/B$16*100</f>
        <v>0.259548455940381</v>
      </c>
      <c r="L11" s="12" t="n">
        <f aca="false">(C11-B11)/(C$16-B$16)</f>
        <v>0.0524641380004063</v>
      </c>
    </row>
    <row r="12" customFormat="false" ht="15" hidden="false" customHeight="true" outlineLevel="0" collapsed="false">
      <c r="A12" s="7" t="s">
        <v>321</v>
      </c>
      <c r="B12" s="8" t="n">
        <v>278792</v>
      </c>
      <c r="C12" s="8" t="n">
        <v>283676</v>
      </c>
      <c r="D12" s="12" t="n">
        <f aca="false">C12/B12-1</f>
        <v>0.0175184366839793</v>
      </c>
      <c r="E12" s="25" t="n">
        <v>1.8</v>
      </c>
      <c r="F12" s="16" t="n">
        <v>0.29</v>
      </c>
      <c r="G12" s="12" t="n">
        <f aca="false">B12/B$16</f>
        <v>0.0272030199731319</v>
      </c>
      <c r="H12" s="12" t="n">
        <f aca="false">C12/C$16</f>
        <v>0.0263747723158795</v>
      </c>
      <c r="I12" s="25" t="n">
        <v>2.7</v>
      </c>
      <c r="J12" s="25" t="n">
        <v>2.6</v>
      </c>
      <c r="K12" s="20" t="n">
        <f aca="false">(C12-B12)/B$16*100</f>
        <v>0.0476554383012339</v>
      </c>
      <c r="L12" s="12" t="n">
        <f aca="false">(C12-B12)/(C$16-B$16)</f>
        <v>0.00963288909751821</v>
      </c>
    </row>
    <row r="13" customFormat="false" ht="15" hidden="false" customHeight="true" outlineLevel="0" collapsed="false">
      <c r="A13" s="7" t="s">
        <v>322</v>
      </c>
      <c r="B13" s="8" t="n">
        <v>428622</v>
      </c>
      <c r="C13" s="8" t="n">
        <v>440395</v>
      </c>
      <c r="D13" s="12" t="n">
        <f aca="false">C13/B13-1</f>
        <v>0.0274670922164517</v>
      </c>
      <c r="E13" s="25" t="n">
        <v>2.7</v>
      </c>
      <c r="F13" s="16" t="n">
        <v>5.84</v>
      </c>
      <c r="G13" s="12" t="n">
        <f aca="false">B13/B$16</f>
        <v>0.0418226234143151</v>
      </c>
      <c r="H13" s="12" t="n">
        <f aca="false">C13/C$16</f>
        <v>0.0409457192503129</v>
      </c>
      <c r="I13" s="25" t="n">
        <v>4.2</v>
      </c>
      <c r="J13" s="25" t="n">
        <v>4.1</v>
      </c>
      <c r="K13" s="20" t="n">
        <f aca="false">(C13-B13)/B$16*100</f>
        <v>0.114874585405493</v>
      </c>
      <c r="L13" s="12" t="n">
        <f aca="false">(C13-B13)/(C$16-B$16)</f>
        <v>0.0232203119052174</v>
      </c>
    </row>
    <row r="14" customFormat="false" ht="15" hidden="false" customHeight="true" outlineLevel="0" collapsed="false">
      <c r="A14" s="7" t="s">
        <v>323</v>
      </c>
      <c r="B14" s="8" t="n">
        <v>868851</v>
      </c>
      <c r="C14" s="8" t="n">
        <v>933780</v>
      </c>
      <c r="D14" s="12" t="n">
        <f aca="false">C14/B14-1</f>
        <v>0.0747297292631304</v>
      </c>
      <c r="E14" s="25" t="n">
        <v>7.5</v>
      </c>
      <c r="F14" s="16" t="n">
        <v>4.09</v>
      </c>
      <c r="G14" s="12" t="n">
        <f aca="false">B14/B$16</f>
        <v>0.0847777952978406</v>
      </c>
      <c r="H14" s="12" t="n">
        <f aca="false">C14/C$16</f>
        <v>0.0868181830437612</v>
      </c>
      <c r="I14" s="25" t="n">
        <v>8.5</v>
      </c>
      <c r="J14" s="25" t="n">
        <v>8.7</v>
      </c>
      <c r="K14" s="20" t="n">
        <f aca="false">(C14-B14)/B$16*100</f>
        <v>0.633542169013271</v>
      </c>
      <c r="L14" s="12" t="n">
        <f aca="false">(C14-B14)/(C$16-B$16)</f>
        <v>0.128061805121368</v>
      </c>
    </row>
    <row r="15" customFormat="false" ht="15" hidden="false" customHeight="true" outlineLevel="0" collapsed="false">
      <c r="A15" s="7" t="s">
        <v>324</v>
      </c>
      <c r="B15" s="8" t="n">
        <v>2310168</v>
      </c>
      <c r="C15" s="8" t="n">
        <v>2379709</v>
      </c>
      <c r="D15" s="12" t="n">
        <f aca="false">C15/B15-1</f>
        <v>0.0301021397578012</v>
      </c>
      <c r="E15" s="25" t="n">
        <v>3</v>
      </c>
      <c r="F15" s="16" t="n">
        <v>2.08</v>
      </c>
      <c r="G15" s="12" t="n">
        <f aca="false">B15/B$16</f>
        <v>0.225413735850706</v>
      </c>
      <c r="H15" s="12" t="n">
        <f aca="false">C15/C$16</f>
        <v>0.221253412530667</v>
      </c>
      <c r="I15" s="25" t="n">
        <v>22.5</v>
      </c>
      <c r="J15" s="25" t="n">
        <v>22.1</v>
      </c>
      <c r="K15" s="20" t="n">
        <f aca="false">(C15-B15)/B$16*100</f>
        <v>0.678543577990603</v>
      </c>
      <c r="L15" s="12" t="n">
        <f aca="false">(C15-B15)/(C$16-B$16)</f>
        <v>0.137158218822792</v>
      </c>
    </row>
    <row r="16" customFormat="false" ht="15" hidden="false" customHeight="true" outlineLevel="0" collapsed="false">
      <c r="A16" s="9" t="s">
        <v>325</v>
      </c>
      <c r="B16" s="10" t="n">
        <f aca="false">SUM(B5:B15)</f>
        <v>10248568</v>
      </c>
      <c r="C16" s="10" t="n">
        <f aca="false">SUM(C5:C15)</f>
        <v>10755581</v>
      </c>
      <c r="D16" s="13" t="n">
        <f aca="false">C16/B16-1</f>
        <v>0.0494715944705642</v>
      </c>
      <c r="E16" s="25" t="n">
        <v>4.9</v>
      </c>
      <c r="F16" s="16" t="n">
        <v>4</v>
      </c>
      <c r="G16" s="13" t="n">
        <f aca="false">B16/B$16</f>
        <v>1</v>
      </c>
      <c r="H16" s="13" t="n">
        <f aca="false">C16/C$16</f>
        <v>1</v>
      </c>
      <c r="I16" s="25" t="n">
        <v>100</v>
      </c>
      <c r="J16" s="25" t="n">
        <v>100</v>
      </c>
      <c r="K16" s="17" t="n">
        <f aca="false">SUM(K5:K15)</f>
        <v>4.94715944705641</v>
      </c>
      <c r="L16" s="13" t="n">
        <f aca="false">SUM(L5:L15)</f>
        <v>1</v>
      </c>
    </row>
    <row r="18" customFormat="false" ht="15" hidden="false" customHeight="true" outlineLevel="0" collapsed="false">
      <c r="A18" s="7" t="s">
        <v>326</v>
      </c>
      <c r="B18" s="8" t="n">
        <v>10248568</v>
      </c>
      <c r="C18" s="8" t="n">
        <v>10755581</v>
      </c>
    </row>
    <row r="19" customFormat="false" ht="15" hidden="false" customHeight="true" outlineLevel="0" collapsed="false">
      <c r="A19" s="7" t="s">
        <v>327</v>
      </c>
      <c r="B19" s="11" t="n">
        <f aca="false">B16-B18</f>
        <v>0</v>
      </c>
      <c r="C19" s="11" t="n">
        <f aca="false">C16-C18</f>
        <v>0</v>
      </c>
    </row>
    <row r="21" customFormat="false" ht="15" hidden="false" customHeight="true" outlineLevel="0" collapsed="false">
      <c r="A21" s="5" t="s">
        <v>328</v>
      </c>
    </row>
    <row r="22" customFormat="false" ht="15" hidden="false" customHeight="true" outlineLevel="0" collapsed="false">
      <c r="A22" s="5" t="s">
        <v>329</v>
      </c>
    </row>
    <row r="23" customFormat="false" ht="15" hidden="false" customHeight="true" outlineLevel="0" collapsed="false">
      <c r="A23" s="5" t="s">
        <v>330</v>
      </c>
    </row>
    <row r="24" customFormat="false" ht="15" hidden="false" customHeight="true" outlineLevel="0" collapsed="false">
      <c r="A24" s="5" t="s">
        <v>331</v>
      </c>
    </row>
    <row r="25" customFormat="false" ht="15" hidden="false" customHeight="true" outlineLevel="0" collapsed="false">
      <c r="A25" s="5"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4"/>
    <col collapsed="false" customWidth="true" hidden="false" outlineLevel="0" max="3" min="3" style="1" width="12"/>
    <col collapsed="false" customWidth="true" hidden="false" outlineLevel="0" max="5" min="4" style="1" width="14"/>
  </cols>
  <sheetData>
    <row r="1" customFormat="false" ht="15" hidden="false" customHeight="true" outlineLevel="0" collapsed="false">
      <c r="A1" s="2" t="s">
        <v>333</v>
      </c>
    </row>
    <row r="2" customFormat="false" ht="15" hidden="false" customHeight="true" outlineLevel="0" collapsed="false">
      <c r="A2" s="5" t="s">
        <v>334</v>
      </c>
    </row>
    <row r="4" customFormat="false" ht="23.25" hidden="false" customHeight="true" outlineLevel="0" collapsed="false">
      <c r="A4" s="6" t="s">
        <v>183</v>
      </c>
      <c r="B4" s="6" t="s">
        <v>335</v>
      </c>
      <c r="C4" s="6" t="s">
        <v>336</v>
      </c>
      <c r="D4" s="6" t="s">
        <v>337</v>
      </c>
      <c r="E4" s="6" t="s">
        <v>139</v>
      </c>
    </row>
    <row r="5" customFormat="false" ht="15" hidden="false" customHeight="true" outlineLevel="0" collapsed="false">
      <c r="A5" s="7" t="s">
        <v>338</v>
      </c>
      <c r="B5" s="8" t="n">
        <v>16426461</v>
      </c>
    </row>
    <row r="6" customFormat="false" ht="15" hidden="false" customHeight="true" outlineLevel="0" collapsed="false">
      <c r="A6" s="7" t="s">
        <v>339</v>
      </c>
      <c r="B6" s="8" t="n">
        <v>15953149</v>
      </c>
      <c r="C6" s="12" t="n">
        <f aca="false">B6/B5-1</f>
        <v>-0.0288139971233</v>
      </c>
      <c r="D6" s="8" t="n">
        <v>28146437</v>
      </c>
      <c r="E6" s="12" t="n">
        <f aca="false">B6/D6</f>
        <v>0.566791064886827</v>
      </c>
    </row>
    <row r="7" customFormat="false" ht="15" hidden="false" customHeight="true" outlineLevel="0" collapsed="false">
      <c r="A7" s="7" t="s">
        <v>340</v>
      </c>
      <c r="B7" s="8" t="n">
        <v>13885691</v>
      </c>
      <c r="C7" s="12" t="n">
        <f aca="false">B7/B6-1</f>
        <v>-0.129595605231293</v>
      </c>
      <c r="D7" s="8" t="n">
        <v>28027081</v>
      </c>
      <c r="E7" s="12" t="n">
        <f aca="false">B7/D7</f>
        <v>0.495438358350625</v>
      </c>
    </row>
    <row r="8" customFormat="false" ht="15" hidden="false" customHeight="true" outlineLevel="0" collapsed="false">
      <c r="A8" s="7" t="s">
        <v>341</v>
      </c>
      <c r="B8" s="8" t="n">
        <v>10956801</v>
      </c>
      <c r="C8" s="12" t="n">
        <f aca="false">B8/B7-1</f>
        <v>-0.210928645898861</v>
      </c>
      <c r="D8" s="8" t="n">
        <v>25926862</v>
      </c>
      <c r="E8" s="12" t="n">
        <f aca="false">B8/D8</f>
        <v>0.422604208716041</v>
      </c>
    </row>
    <row r="9" customFormat="false" ht="15" hidden="false" customHeight="true" outlineLevel="0" collapsed="false">
      <c r="A9" s="7" t="s">
        <v>342</v>
      </c>
      <c r="B9" s="8" t="n">
        <v>11099386</v>
      </c>
      <c r="C9" s="12" t="n">
        <f aca="false">B9/B8-1</f>
        <v>0.0130133786312263</v>
      </c>
      <c r="D9" s="8" t="n">
        <v>26531261</v>
      </c>
      <c r="E9" s="12" t="n">
        <f aca="false">B9/D9</f>
        <v>0.418351242332583</v>
      </c>
    </row>
    <row r="10" customFormat="false" ht="15" hidden="false" customHeight="true" outlineLevel="0" collapsed="false">
      <c r="A10" s="7" t="s">
        <v>343</v>
      </c>
      <c r="B10" s="8" t="n">
        <v>10081373</v>
      </c>
      <c r="C10" s="12" t="n">
        <f aca="false">B10/B9-1</f>
        <v>-0.0917179562905551</v>
      </c>
      <c r="D10" s="8" t="n">
        <v>25386804</v>
      </c>
      <c r="E10" s="12" t="n">
        <f aca="false">B10/D10</f>
        <v>0.397110758802093</v>
      </c>
    </row>
    <row r="11" customFormat="false" ht="15" hidden="false" customHeight="true" outlineLevel="0" collapsed="false">
      <c r="A11" s="7" t="s">
        <v>344</v>
      </c>
      <c r="B11" s="8" t="n">
        <v>9168412</v>
      </c>
      <c r="C11" s="12" t="n">
        <f aca="false">B11/B10-1</f>
        <v>-0.0905591926813937</v>
      </c>
      <c r="D11" s="8" t="n">
        <v>24395576</v>
      </c>
      <c r="E11" s="12" t="n">
        <f aca="false">B11/D11</f>
        <v>0.37582273113781</v>
      </c>
    </row>
    <row r="12" customFormat="false" ht="15" hidden="false" customHeight="true" outlineLevel="0" collapsed="false">
      <c r="A12" s="7" t="s">
        <v>345</v>
      </c>
      <c r="B12" s="8" t="n">
        <v>8961455</v>
      </c>
      <c r="C12" s="12" t="n">
        <f aca="false">B12/B11-1</f>
        <v>-0.0225728294060084</v>
      </c>
      <c r="D12" s="8" t="n">
        <v>22956028</v>
      </c>
      <c r="E12" s="12" t="n">
        <f aca="false">B12/D12</f>
        <v>0.390374807000584</v>
      </c>
    </row>
    <row r="13" customFormat="false" ht="15" hidden="false" customHeight="true" outlineLevel="0" collapsed="false">
      <c r="A13" s="7" t="s">
        <v>290</v>
      </c>
      <c r="B13" s="8" t="n">
        <v>10070480</v>
      </c>
      <c r="C13" s="12" t="n">
        <f aca="false">B13/B12-1</f>
        <v>0.123755015229112</v>
      </c>
    </row>
    <row r="14" customFormat="false" ht="15" hidden="false" customHeight="true" outlineLevel="0" collapsed="false">
      <c r="A14" s="7" t="s">
        <v>291</v>
      </c>
      <c r="B14" s="8" t="n">
        <v>6833821</v>
      </c>
      <c r="C14" s="12" t="n">
        <f aca="false">B14/B13-1</f>
        <v>-0.321400668091293</v>
      </c>
      <c r="D14" s="8" t="n">
        <v>21172793</v>
      </c>
      <c r="E14" s="12" t="n">
        <f aca="false">B14/D14</f>
        <v>0.322764266386584</v>
      </c>
    </row>
    <row r="15" customFormat="false" ht="15" hidden="false" customHeight="true" outlineLevel="0" collapsed="false">
      <c r="A15" s="7" t="s">
        <v>29</v>
      </c>
      <c r="B15" s="8" t="n">
        <v>2147719</v>
      </c>
      <c r="C15" s="12" t="n">
        <f aca="false">B15/B14-1</f>
        <v>-0.685722087248115</v>
      </c>
      <c r="D15" s="8" t="n">
        <v>14773051</v>
      </c>
      <c r="E15" s="12" t="n">
        <f aca="false">B15/D15</f>
        <v>0.145380869530607</v>
      </c>
    </row>
    <row r="16" customFormat="false" ht="15" hidden="false" customHeight="true" outlineLevel="0" collapsed="false">
      <c r="A16" s="7" t="s">
        <v>30</v>
      </c>
      <c r="B16" s="8" t="n">
        <v>3519754</v>
      </c>
      <c r="C16" s="12" t="n">
        <f aca="false">B16/B15-1</f>
        <v>0.638833571803388</v>
      </c>
      <c r="D16" s="8" t="n">
        <v>15900305</v>
      </c>
      <c r="E16" s="12" t="n">
        <f aca="false">B16/D16</f>
        <v>0.221363929811409</v>
      </c>
    </row>
    <row r="17" customFormat="false" ht="15" hidden="false" customHeight="true" outlineLevel="0" collapsed="false">
      <c r="A17" s="7" t="s">
        <v>31</v>
      </c>
      <c r="B17" s="8" t="n">
        <v>5005547</v>
      </c>
      <c r="C17" s="12" t="n">
        <f aca="false">B17/B16-1</f>
        <v>0.42212978520658</v>
      </c>
      <c r="D17" s="8" t="n">
        <v>17837088</v>
      </c>
      <c r="E17" s="12" t="n">
        <f aca="false">B17/D17</f>
        <v>0.280625794972812</v>
      </c>
    </row>
    <row r="18" customFormat="false" ht="15" hidden="false" customHeight="true" outlineLevel="0" collapsed="false">
      <c r="A18" s="7" t="s">
        <v>32</v>
      </c>
      <c r="B18" s="8" t="n">
        <v>6073476</v>
      </c>
      <c r="C18" s="12" t="n">
        <f aca="false">B18/B17-1</f>
        <v>0.213349110496815</v>
      </c>
    </row>
    <row r="19" customFormat="false" ht="15" hidden="false" customHeight="true" outlineLevel="0" collapsed="false">
      <c r="A19" s="7" t="s">
        <v>33</v>
      </c>
      <c r="B19" s="8" t="n">
        <v>3381638</v>
      </c>
      <c r="C19" s="12" t="n">
        <f aca="false">B19/B18-1</f>
        <v>-0.443212091395438</v>
      </c>
      <c r="D19" s="8" t="n">
        <v>14521840</v>
      </c>
      <c r="E19" s="12" t="n">
        <f aca="false">B19/D19</f>
        <v>0.232865669915107</v>
      </c>
    </row>
    <row r="20" customFormat="false" ht="15" hidden="false" customHeight="true" outlineLevel="0" collapsed="false">
      <c r="A20" s="7" t="s">
        <v>34</v>
      </c>
      <c r="B20" s="8" t="n">
        <v>3745832</v>
      </c>
      <c r="C20" s="12" t="n">
        <f aca="false">B20/B19-1</f>
        <v>0.107697512270681</v>
      </c>
      <c r="D20" s="8" t="n">
        <v>14012650</v>
      </c>
      <c r="E20" s="12" t="n">
        <f aca="false">B20/D20</f>
        <v>0.267317887765697</v>
      </c>
    </row>
    <row r="21" customFormat="false" ht="15" hidden="false" customHeight="true" outlineLevel="0" collapsed="false">
      <c r="A21" s="7" t="s">
        <v>35</v>
      </c>
      <c r="B21" s="8" t="n">
        <v>4774081</v>
      </c>
      <c r="C21" s="12" t="n">
        <f aca="false">B21/B20-1</f>
        <v>0.274504836308729</v>
      </c>
    </row>
    <row r="22" customFormat="false" ht="15" hidden="false" customHeight="true" outlineLevel="0" collapsed="false">
      <c r="A22" s="7" t="s">
        <v>36</v>
      </c>
      <c r="B22" s="8" t="n">
        <v>5180925</v>
      </c>
      <c r="C22" s="12" t="n">
        <f aca="false">B22/B21-1</f>
        <v>0.0852193333125266</v>
      </c>
    </row>
    <row r="23" customFormat="false" ht="15" hidden="false" customHeight="true" outlineLevel="0" collapsed="false">
      <c r="A23" s="7" t="s">
        <v>37</v>
      </c>
      <c r="B23" s="8" t="n">
        <v>6430905</v>
      </c>
      <c r="C23" s="12" t="n">
        <f aca="false">B23/B22-1</f>
        <v>0.241265797130821</v>
      </c>
      <c r="D23" s="8" t="n">
        <v>14871015</v>
      </c>
      <c r="E23" s="12" t="n">
        <f aca="false">B23/D23</f>
        <v>0.432445599711923</v>
      </c>
    </row>
    <row r="24" customFormat="false" ht="15" hidden="false" customHeight="true" outlineLevel="0" collapsed="false">
      <c r="A24" s="7" t="s">
        <v>38</v>
      </c>
      <c r="B24" s="8" t="n">
        <v>7904793</v>
      </c>
      <c r="C24" s="12" t="n">
        <f aca="false">B24/B23-1</f>
        <v>0.229188271324176</v>
      </c>
      <c r="D24" s="8" t="n">
        <v>16115725</v>
      </c>
      <c r="E24" s="12" t="n">
        <f aca="false">B24/D24</f>
        <v>0.490501854555101</v>
      </c>
    </row>
    <row r="26" customFormat="false" ht="15" hidden="false" customHeight="true" outlineLevel="0" collapsed="false">
      <c r="A26" s="9" t="s">
        <v>295</v>
      </c>
      <c r="B26" s="13" t="n">
        <f aca="false">(B24/B14)^(1/10)-1</f>
        <v>0.0146650239494033</v>
      </c>
    </row>
    <row r="28" customFormat="false" ht="15" hidden="false" customHeight="true" outlineLevel="0" collapsed="false">
      <c r="A28" s="9" t="s">
        <v>346</v>
      </c>
    </row>
    <row r="29" customFormat="false" ht="15" hidden="false" customHeight="true" outlineLevel="0" collapsed="false">
      <c r="A29" s="7" t="s">
        <v>347</v>
      </c>
      <c r="B29" s="8" t="n">
        <v>209819</v>
      </c>
    </row>
    <row r="30" customFormat="false" ht="15" hidden="false" customHeight="true" outlineLevel="0" collapsed="false">
      <c r="A30" s="7" t="s">
        <v>348</v>
      </c>
      <c r="B30" s="8" t="n">
        <v>248702</v>
      </c>
    </row>
    <row r="31" customFormat="false" ht="15" hidden="false" customHeight="true" outlineLevel="0" collapsed="false">
      <c r="A31" s="7" t="s">
        <v>63</v>
      </c>
      <c r="B31" s="12" t="n">
        <f aca="false">B30/B29-1</f>
        <v>0.185316868348434</v>
      </c>
    </row>
    <row r="33" customFormat="false" ht="15" hidden="false" customHeight="true" outlineLevel="0" collapsed="false">
      <c r="A33" s="5" t="s">
        <v>349</v>
      </c>
    </row>
    <row r="34" customFormat="false" ht="15" hidden="false" customHeight="true" outlineLevel="0" collapsed="false">
      <c r="A34" s="5" t="s">
        <v>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46"/>
    <col collapsed="false" customWidth="true" hidden="false" outlineLevel="0" max="23" min="3" style="1" width="12"/>
  </cols>
  <sheetData>
    <row r="1" customFormat="false" ht="15" hidden="false" customHeight="true" outlineLevel="0" collapsed="false">
      <c r="A1" s="2" t="s">
        <v>351</v>
      </c>
    </row>
    <row r="2" customFormat="false" ht="15" hidden="false" customHeight="true" outlineLevel="0" collapsed="false">
      <c r="A2" s="5" t="s">
        <v>352</v>
      </c>
    </row>
    <row r="4" customFormat="false" ht="15" hidden="false" customHeight="true" outlineLevel="0" collapsed="false">
      <c r="A4" s="9" t="s">
        <v>353</v>
      </c>
    </row>
    <row r="5" customFormat="false" ht="23.25" hidden="false" customHeight="true" outlineLevel="0" collapsed="false">
      <c r="A5" s="6" t="s">
        <v>28</v>
      </c>
      <c r="B5" s="6" t="s">
        <v>354</v>
      </c>
      <c r="C5" s="6" t="s">
        <v>355</v>
      </c>
      <c r="D5" s="6" t="s">
        <v>356</v>
      </c>
      <c r="E5" s="6" t="s">
        <v>357</v>
      </c>
      <c r="F5" s="6" t="s">
        <v>358</v>
      </c>
      <c r="G5" s="6" t="s">
        <v>27</v>
      </c>
      <c r="H5" s="6" t="s">
        <v>359</v>
      </c>
    </row>
    <row r="6" customFormat="false" ht="15" hidden="false" customHeight="true" outlineLevel="0" collapsed="false">
      <c r="A6" s="7" t="s">
        <v>49</v>
      </c>
      <c r="B6" s="7" t="s">
        <v>360</v>
      </c>
      <c r="C6" s="16" t="n">
        <v>100</v>
      </c>
      <c r="D6" s="26" t="s">
        <v>361</v>
      </c>
      <c r="E6" s="26" t="s">
        <v>362</v>
      </c>
      <c r="F6" s="8" t="n">
        <v>345281.667</v>
      </c>
      <c r="G6" s="7" t="s">
        <v>363</v>
      </c>
      <c r="H6" s="8" t="n">
        <v>6775055</v>
      </c>
    </row>
    <row r="7" customFormat="false" ht="15" hidden="false" customHeight="true" outlineLevel="0" collapsed="false">
      <c r="A7" s="7" t="s">
        <v>43</v>
      </c>
      <c r="B7" s="7" t="s">
        <v>364</v>
      </c>
      <c r="C7" s="16" t="n">
        <v>100</v>
      </c>
      <c r="D7" s="26" t="s">
        <v>365</v>
      </c>
      <c r="E7" s="26" t="s">
        <v>366</v>
      </c>
      <c r="F7" s="8" t="n">
        <v>182347.3</v>
      </c>
      <c r="G7" s="7" t="s">
        <v>367</v>
      </c>
      <c r="H7" s="8" t="n">
        <v>985720</v>
      </c>
    </row>
    <row r="8" customFormat="false" ht="15" hidden="false" customHeight="true" outlineLevel="0" collapsed="false">
      <c r="A8" s="7" t="s">
        <v>40</v>
      </c>
      <c r="B8" s="7" t="s">
        <v>368</v>
      </c>
      <c r="C8" s="16" t="n">
        <v>100</v>
      </c>
      <c r="D8" s="26" t="s">
        <v>369</v>
      </c>
      <c r="E8" s="26" t="s">
        <v>370</v>
      </c>
      <c r="F8" s="8" t="n">
        <v>512347.241</v>
      </c>
      <c r="G8" s="7" t="s">
        <v>371</v>
      </c>
      <c r="H8" s="8" t="n">
        <v>0</v>
      </c>
    </row>
    <row r="9" customFormat="false" ht="15" hidden="false" customHeight="true" outlineLevel="0" collapsed="false">
      <c r="A9" s="7" t="s">
        <v>372</v>
      </c>
      <c r="B9" s="7" t="s">
        <v>368</v>
      </c>
      <c r="C9" s="16" t="n">
        <v>100</v>
      </c>
      <c r="D9" s="26" t="s">
        <v>373</v>
      </c>
      <c r="E9" s="26" t="s">
        <v>374</v>
      </c>
      <c r="F9" s="8" t="n">
        <v>761501.001</v>
      </c>
      <c r="G9" s="7" t="s">
        <v>371</v>
      </c>
      <c r="H9" s="8" t="n">
        <v>0</v>
      </c>
    </row>
    <row r="10" customFormat="false" ht="15" hidden="false" customHeight="true" outlineLevel="0" collapsed="false">
      <c r="A10" s="7" t="s">
        <v>47</v>
      </c>
      <c r="B10" s="7" t="s">
        <v>375</v>
      </c>
      <c r="C10" s="16" t="n">
        <v>5</v>
      </c>
      <c r="D10" s="26" t="s">
        <v>376</v>
      </c>
      <c r="E10" s="26" t="s">
        <v>377</v>
      </c>
      <c r="F10" s="8" t="n">
        <v>101931.686</v>
      </c>
      <c r="G10" s="7" t="s">
        <v>46</v>
      </c>
      <c r="H10" s="8" t="n">
        <v>0</v>
      </c>
    </row>
    <row r="11" customFormat="false" ht="15" hidden="false" customHeight="true" outlineLevel="0" collapsed="false">
      <c r="A11" s="7" t="s">
        <v>47</v>
      </c>
      <c r="B11" s="7" t="s">
        <v>378</v>
      </c>
      <c r="C11" s="16" t="n">
        <v>95</v>
      </c>
      <c r="D11" s="26" t="s">
        <v>376</v>
      </c>
      <c r="E11" s="26" t="s">
        <v>377</v>
      </c>
      <c r="G11" s="7" t="s">
        <v>46</v>
      </c>
    </row>
    <row r="12" customFormat="false" ht="15" hidden="false" customHeight="true" outlineLevel="0" collapsed="false">
      <c r="A12" s="7" t="s">
        <v>97</v>
      </c>
      <c r="B12" s="7" t="s">
        <v>375</v>
      </c>
      <c r="C12" s="16" t="n">
        <v>23.63</v>
      </c>
      <c r="D12" s="26" t="s">
        <v>379</v>
      </c>
      <c r="E12" s="26" t="s">
        <v>380</v>
      </c>
      <c r="F12" s="8" t="n">
        <v>79164.497</v>
      </c>
      <c r="G12" s="7" t="s">
        <v>46</v>
      </c>
      <c r="H12" s="8" t="n">
        <v>0</v>
      </c>
    </row>
    <row r="13" customFormat="false" ht="15" hidden="false" customHeight="true" outlineLevel="0" collapsed="false">
      <c r="A13" s="7" t="s">
        <v>97</v>
      </c>
      <c r="B13" s="7" t="s">
        <v>381</v>
      </c>
      <c r="C13" s="16" t="n">
        <v>11.23</v>
      </c>
      <c r="D13" s="26" t="s">
        <v>379</v>
      </c>
      <c r="E13" s="26" t="s">
        <v>380</v>
      </c>
      <c r="G13" s="7" t="s">
        <v>46</v>
      </c>
    </row>
    <row r="14" customFormat="false" ht="15" hidden="false" customHeight="true" outlineLevel="0" collapsed="false">
      <c r="A14" s="7" t="s">
        <v>97</v>
      </c>
      <c r="B14" s="7" t="s">
        <v>382</v>
      </c>
      <c r="C14" s="16" t="n">
        <v>30.14</v>
      </c>
      <c r="D14" s="26" t="s">
        <v>379</v>
      </c>
      <c r="E14" s="26" t="s">
        <v>380</v>
      </c>
      <c r="G14" s="7" t="s">
        <v>46</v>
      </c>
    </row>
    <row r="15" customFormat="false" ht="15" hidden="false" customHeight="true" outlineLevel="0" collapsed="false">
      <c r="A15" s="7" t="s">
        <v>97</v>
      </c>
      <c r="B15" s="7" t="s">
        <v>383</v>
      </c>
      <c r="C15" s="16" t="n">
        <v>35</v>
      </c>
      <c r="D15" s="26" t="s">
        <v>379</v>
      </c>
      <c r="E15" s="26" t="s">
        <v>380</v>
      </c>
      <c r="G15" s="7" t="s">
        <v>46</v>
      </c>
    </row>
    <row r="16" customFormat="false" ht="15" hidden="false" customHeight="true" outlineLevel="0" collapsed="false">
      <c r="A16" s="9" t="s">
        <v>384</v>
      </c>
      <c r="H16" s="10" t="n">
        <f aca="false">Loreto_lotes_2016_2025!L12</f>
        <v>7904793</v>
      </c>
    </row>
    <row r="17" customFormat="false" ht="15" hidden="false" customHeight="true" outlineLevel="0" collapsed="false">
      <c r="A17" s="7" t="s">
        <v>385</v>
      </c>
      <c r="H17" s="12" t="n">
        <f aca="false">H6/H16</f>
        <v>0.857081899551323</v>
      </c>
    </row>
    <row r="18" customFormat="false" ht="15" hidden="false" customHeight="true" outlineLevel="0" collapsed="false">
      <c r="A18" s="7" t="s">
        <v>386</v>
      </c>
      <c r="H18" s="12" t="n">
        <f aca="false">H7/H16</f>
        <v>0.124699027539368</v>
      </c>
    </row>
    <row r="19" customFormat="false" ht="15" hidden="false" customHeight="true" outlineLevel="0" collapsed="false">
      <c r="A19" s="7" t="s">
        <v>387</v>
      </c>
      <c r="H19" s="11" t="n">
        <f aca="false">SUM(H6:H15)</f>
        <v>7760775</v>
      </c>
    </row>
    <row r="21" customFormat="false" ht="15" hidden="false" customHeight="true" outlineLevel="0" collapsed="false">
      <c r="A21" s="5" t="s">
        <v>388</v>
      </c>
    </row>
    <row r="22" customFormat="false" ht="15" hidden="false" customHeight="true" outlineLevel="0" collapsed="false">
      <c r="A22" s="5" t="s">
        <v>389</v>
      </c>
    </row>
    <row r="23" customFormat="false" ht="15" hidden="false" customHeight="true" outlineLevel="0" collapsed="false">
      <c r="A23" s="5" t="s">
        <v>390</v>
      </c>
    </row>
    <row r="24" customFormat="false" ht="15" hidden="false" customHeight="true" outlineLevel="0" collapsed="false">
      <c r="A24" s="5" t="s">
        <v>391</v>
      </c>
    </row>
    <row r="25" customFormat="false" ht="15" hidden="false" customHeight="true" outlineLevel="0" collapsed="false">
      <c r="A25" s="5" t="s">
        <v>392</v>
      </c>
    </row>
    <row r="27" customFormat="false" ht="15" hidden="false" customHeight="true" outlineLevel="0" collapsed="false">
      <c r="A27" s="9" t="s">
        <v>393</v>
      </c>
    </row>
    <row r="28" customFormat="false" ht="23.25" hidden="false" customHeight="true" outlineLevel="0" collapsed="false">
      <c r="A28" s="6" t="s">
        <v>27</v>
      </c>
      <c r="B28" s="6" t="s">
        <v>28</v>
      </c>
      <c r="C28" s="6" t="s">
        <v>338</v>
      </c>
      <c r="D28" s="6" t="s">
        <v>339</v>
      </c>
      <c r="E28" s="6" t="s">
        <v>340</v>
      </c>
      <c r="F28" s="6" t="s">
        <v>341</v>
      </c>
      <c r="G28" s="6" t="s">
        <v>342</v>
      </c>
      <c r="H28" s="6" t="s">
        <v>343</v>
      </c>
      <c r="I28" s="6" t="s">
        <v>344</v>
      </c>
      <c r="J28" s="6" t="s">
        <v>345</v>
      </c>
      <c r="K28" s="6" t="s">
        <v>290</v>
      </c>
      <c r="L28" s="6" t="s">
        <v>291</v>
      </c>
      <c r="M28" s="6" t="s">
        <v>29</v>
      </c>
      <c r="N28" s="6" t="s">
        <v>30</v>
      </c>
      <c r="O28" s="6" t="s">
        <v>31</v>
      </c>
      <c r="P28" s="6" t="s">
        <v>32</v>
      </c>
      <c r="Q28" s="6" t="s">
        <v>33</v>
      </c>
      <c r="R28" s="6" t="s">
        <v>34</v>
      </c>
      <c r="S28" s="6" t="s">
        <v>35</v>
      </c>
      <c r="T28" s="6" t="s">
        <v>36</v>
      </c>
      <c r="U28" s="6" t="s">
        <v>37</v>
      </c>
      <c r="V28" s="6" t="s">
        <v>38</v>
      </c>
      <c r="W28" s="6" t="s">
        <v>394</v>
      </c>
    </row>
    <row r="29" customFormat="false" ht="15" hidden="false" customHeight="true" outlineLevel="0" collapsed="false">
      <c r="A29" s="7" t="s">
        <v>42</v>
      </c>
      <c r="B29" s="7" t="s">
        <v>395</v>
      </c>
      <c r="C29" s="8" t="n">
        <v>10219175</v>
      </c>
      <c r="D29" s="8" t="n">
        <v>9731501</v>
      </c>
      <c r="E29" s="8" t="n">
        <v>8233410</v>
      </c>
      <c r="F29" s="8" t="n">
        <v>5980758</v>
      </c>
      <c r="G29" s="8" t="n">
        <v>6826281</v>
      </c>
      <c r="H29" s="8" t="n">
        <v>6440418</v>
      </c>
      <c r="I29" s="8" t="n">
        <v>5626366</v>
      </c>
      <c r="J29" s="8" t="n">
        <v>5407338</v>
      </c>
      <c r="K29" s="8" t="n">
        <v>4734891</v>
      </c>
      <c r="L29" s="8" t="n">
        <v>2594615</v>
      </c>
      <c r="M29" s="8" t="n">
        <v>0</v>
      </c>
      <c r="N29" s="8" t="n">
        <v>0</v>
      </c>
      <c r="O29" s="8" t="n">
        <v>0</v>
      </c>
      <c r="P29" s="8" t="n">
        <v>0</v>
      </c>
      <c r="Q29" s="8" t="n">
        <v>0</v>
      </c>
      <c r="R29" s="8" t="n">
        <v>0</v>
      </c>
      <c r="S29" s="8" t="n">
        <v>0</v>
      </c>
      <c r="T29" s="8" t="n">
        <v>0</v>
      </c>
      <c r="U29" s="8" t="n">
        <v>0</v>
      </c>
      <c r="V29" s="8" t="n">
        <v>0</v>
      </c>
      <c r="W29" s="10" t="n">
        <f aca="false">SUM(C29:V29)</f>
        <v>65794753</v>
      </c>
    </row>
    <row r="30" customFormat="false" ht="15" hidden="false" customHeight="true" outlineLevel="0" collapsed="false">
      <c r="A30" s="7" t="s">
        <v>396</v>
      </c>
      <c r="B30" s="7" t="s">
        <v>40</v>
      </c>
      <c r="C30" s="8" t="n">
        <v>0</v>
      </c>
      <c r="D30" s="8" t="n">
        <v>0</v>
      </c>
      <c r="E30" s="8" t="n">
        <v>0</v>
      </c>
      <c r="F30" s="8" t="n">
        <v>0</v>
      </c>
      <c r="G30" s="8" t="n">
        <v>0</v>
      </c>
      <c r="H30" s="8" t="n">
        <v>0</v>
      </c>
      <c r="I30" s="8" t="n">
        <v>0</v>
      </c>
      <c r="J30" s="8" t="n">
        <v>0</v>
      </c>
      <c r="K30" s="8" t="n">
        <v>0</v>
      </c>
      <c r="L30" s="8" t="n">
        <v>877689</v>
      </c>
      <c r="M30" s="8" t="n">
        <v>414875</v>
      </c>
      <c r="N30" s="8" t="n">
        <v>1387722</v>
      </c>
      <c r="O30" s="8" t="n">
        <v>2641976</v>
      </c>
      <c r="P30" s="8" t="n">
        <v>2458983</v>
      </c>
      <c r="Q30" s="8" t="n">
        <v>475535</v>
      </c>
      <c r="R30" s="8" t="n">
        <v>0</v>
      </c>
      <c r="S30" s="8" t="n">
        <v>0</v>
      </c>
      <c r="T30" s="8" t="n">
        <v>0</v>
      </c>
      <c r="U30" s="8" t="n">
        <v>0</v>
      </c>
      <c r="V30" s="8" t="n">
        <v>0</v>
      </c>
      <c r="W30" s="10" t="n">
        <f aca="false">SUM(C30:V30)</f>
        <v>8256780</v>
      </c>
    </row>
    <row r="31" customFormat="false" ht="15" hidden="false" customHeight="true" outlineLevel="0" collapsed="false">
      <c r="A31" s="7" t="s">
        <v>42</v>
      </c>
      <c r="B31" s="7" t="s">
        <v>43</v>
      </c>
      <c r="C31" s="8" t="n">
        <v>6207286</v>
      </c>
      <c r="D31" s="8" t="n">
        <v>6221648</v>
      </c>
      <c r="E31" s="8" t="n">
        <v>5652281</v>
      </c>
      <c r="F31" s="8" t="n">
        <v>4976043</v>
      </c>
      <c r="G31" s="8" t="n">
        <v>4273105</v>
      </c>
      <c r="H31" s="8" t="n">
        <v>3640955</v>
      </c>
      <c r="I31" s="8" t="n">
        <v>3542046</v>
      </c>
      <c r="J31" s="8" t="n">
        <v>3482738</v>
      </c>
      <c r="K31" s="8" t="n">
        <v>3489099</v>
      </c>
      <c r="L31" s="8" t="n">
        <v>2806403</v>
      </c>
      <c r="M31" s="8" t="n">
        <v>1601265</v>
      </c>
      <c r="N31" s="8" t="n">
        <v>2132032</v>
      </c>
      <c r="O31" s="8" t="n">
        <v>2058440</v>
      </c>
      <c r="P31" s="8" t="n">
        <v>1611000</v>
      </c>
      <c r="Q31" s="8" t="n">
        <v>593933</v>
      </c>
      <c r="R31" s="8" t="n">
        <v>0</v>
      </c>
      <c r="S31" s="8" t="n">
        <v>0</v>
      </c>
      <c r="T31" s="8" t="n">
        <v>0</v>
      </c>
      <c r="U31" s="8" t="n">
        <v>0</v>
      </c>
      <c r="V31" s="8" t="n">
        <v>0</v>
      </c>
      <c r="W31" s="10" t="n">
        <f aca="false">SUM(C31:V31)</f>
        <v>52288274</v>
      </c>
    </row>
    <row r="32" customFormat="false" ht="15" hidden="false" customHeight="true" outlineLevel="0" collapsed="false">
      <c r="A32" s="7" t="s">
        <v>44</v>
      </c>
      <c r="B32" s="7" t="s">
        <v>43</v>
      </c>
      <c r="C32" s="8" t="n">
        <v>0</v>
      </c>
      <c r="D32" s="8" t="n">
        <v>0</v>
      </c>
      <c r="E32" s="8" t="n">
        <v>0</v>
      </c>
      <c r="F32" s="8" t="n">
        <v>0</v>
      </c>
      <c r="G32" s="8" t="n">
        <v>0</v>
      </c>
      <c r="H32" s="8" t="n">
        <v>0</v>
      </c>
      <c r="I32" s="8" t="n">
        <v>0</v>
      </c>
      <c r="J32" s="8" t="n">
        <v>0</v>
      </c>
      <c r="K32" s="8" t="n">
        <v>0</v>
      </c>
      <c r="L32" s="8" t="n">
        <v>0</v>
      </c>
      <c r="M32" s="8" t="n">
        <v>0</v>
      </c>
      <c r="N32" s="8" t="n">
        <v>0</v>
      </c>
      <c r="O32" s="8" t="n">
        <v>0</v>
      </c>
      <c r="P32" s="8" t="n">
        <v>0</v>
      </c>
      <c r="Q32" s="8" t="n">
        <v>0</v>
      </c>
      <c r="R32" s="8" t="n">
        <v>0</v>
      </c>
      <c r="S32" s="8" t="n">
        <v>0</v>
      </c>
      <c r="T32" s="8" t="n">
        <v>0</v>
      </c>
      <c r="U32" s="8" t="n">
        <v>5279</v>
      </c>
      <c r="V32" s="8" t="n">
        <v>144018</v>
      </c>
      <c r="W32" s="10" t="n">
        <f aca="false">SUM(C32:V32)</f>
        <v>149297</v>
      </c>
    </row>
    <row r="33" customFormat="false" ht="15" hidden="false" customHeight="true" outlineLevel="0" collapsed="false">
      <c r="A33" s="7" t="s">
        <v>367</v>
      </c>
      <c r="B33" s="7" t="s">
        <v>43</v>
      </c>
      <c r="C33" s="8" t="n">
        <v>0</v>
      </c>
      <c r="D33" s="8" t="n">
        <v>0</v>
      </c>
      <c r="E33" s="8" t="n">
        <v>0</v>
      </c>
      <c r="F33" s="8" t="n">
        <v>0</v>
      </c>
      <c r="G33" s="8" t="n">
        <v>0</v>
      </c>
      <c r="H33" s="8" t="n">
        <v>0</v>
      </c>
      <c r="I33" s="8" t="n">
        <v>0</v>
      </c>
      <c r="J33" s="8" t="n">
        <v>0</v>
      </c>
      <c r="K33" s="8" t="n">
        <v>0</v>
      </c>
      <c r="L33" s="8" t="n">
        <v>0</v>
      </c>
      <c r="M33" s="8" t="n">
        <v>0</v>
      </c>
      <c r="N33" s="8" t="n">
        <v>0</v>
      </c>
      <c r="O33" s="8" t="n">
        <v>0</v>
      </c>
      <c r="P33" s="8" t="n">
        <v>0</v>
      </c>
      <c r="Q33" s="8" t="n">
        <v>0</v>
      </c>
      <c r="R33" s="8" t="n">
        <v>0</v>
      </c>
      <c r="S33" s="8" t="n">
        <v>0</v>
      </c>
      <c r="T33" s="8" t="n">
        <v>0</v>
      </c>
      <c r="U33" s="8" t="n">
        <v>29789</v>
      </c>
      <c r="V33" s="8" t="n">
        <v>985720</v>
      </c>
      <c r="W33" s="10" t="n">
        <f aca="false">SUM(C33:V33)</f>
        <v>1015509</v>
      </c>
    </row>
    <row r="34" customFormat="false" ht="15" hidden="false" customHeight="true" outlineLevel="0" collapsed="false">
      <c r="A34" s="7" t="s">
        <v>46</v>
      </c>
      <c r="B34" s="7" t="s">
        <v>47</v>
      </c>
      <c r="C34" s="8" t="n">
        <v>0</v>
      </c>
      <c r="D34" s="8" t="n">
        <v>0</v>
      </c>
      <c r="E34" s="8" t="n">
        <v>0</v>
      </c>
      <c r="F34" s="8" t="n">
        <v>0</v>
      </c>
      <c r="G34" s="8" t="n">
        <v>0</v>
      </c>
      <c r="H34" s="8" t="n">
        <v>0</v>
      </c>
      <c r="I34" s="8" t="n">
        <v>0</v>
      </c>
      <c r="J34" s="8" t="n">
        <v>14363</v>
      </c>
      <c r="K34" s="8" t="n">
        <v>1846490</v>
      </c>
      <c r="L34" s="8" t="n">
        <v>555114</v>
      </c>
      <c r="M34" s="8" t="n">
        <v>131579</v>
      </c>
      <c r="N34" s="8" t="n">
        <v>0</v>
      </c>
      <c r="O34" s="8" t="n">
        <v>134750</v>
      </c>
      <c r="P34" s="8" t="n">
        <v>504668</v>
      </c>
      <c r="Q34" s="8" t="n">
        <v>246729</v>
      </c>
      <c r="R34" s="8" t="n">
        <v>516709</v>
      </c>
      <c r="S34" s="8" t="n">
        <v>366619</v>
      </c>
      <c r="T34" s="8" t="n">
        <v>20029</v>
      </c>
      <c r="U34" s="8" t="n">
        <v>0</v>
      </c>
      <c r="V34" s="8" t="n">
        <v>0</v>
      </c>
      <c r="W34" s="10" t="n">
        <f aca="false">SUM(C34:V34)</f>
        <v>4337050</v>
      </c>
    </row>
    <row r="35" customFormat="false" ht="15" hidden="false" customHeight="true" outlineLevel="0" collapsed="false">
      <c r="A35" s="7" t="s">
        <v>397</v>
      </c>
      <c r="B35" s="7" t="s">
        <v>49</v>
      </c>
      <c r="C35" s="8" t="n">
        <v>0</v>
      </c>
      <c r="D35" s="8" t="n">
        <v>0</v>
      </c>
      <c r="E35" s="8" t="n">
        <v>0</v>
      </c>
      <c r="F35" s="8" t="n">
        <v>0</v>
      </c>
      <c r="G35" s="8" t="n">
        <v>0</v>
      </c>
      <c r="H35" s="8" t="n">
        <v>0</v>
      </c>
      <c r="I35" s="8" t="n">
        <v>0</v>
      </c>
      <c r="J35" s="8" t="n">
        <v>6180</v>
      </c>
      <c r="K35" s="8" t="n">
        <v>0</v>
      </c>
      <c r="L35" s="8" t="n">
        <v>0</v>
      </c>
      <c r="M35" s="8" t="n">
        <v>0</v>
      </c>
      <c r="N35" s="8" t="n">
        <v>0</v>
      </c>
      <c r="O35" s="8" t="n">
        <v>170381</v>
      </c>
      <c r="P35" s="8" t="n">
        <v>1498825</v>
      </c>
      <c r="Q35" s="8" t="n">
        <v>2065441</v>
      </c>
      <c r="R35" s="8" t="n">
        <v>3229123</v>
      </c>
      <c r="S35" s="8" t="n">
        <v>4407462</v>
      </c>
      <c r="T35" s="8" t="n">
        <v>5160896</v>
      </c>
      <c r="U35" s="8" t="n">
        <v>6395837</v>
      </c>
      <c r="V35" s="8" t="n">
        <v>6775055</v>
      </c>
      <c r="W35" s="10" t="n">
        <f aca="false">SUM(C35:V35)</f>
        <v>29709200</v>
      </c>
    </row>
    <row r="36" customFormat="false" ht="15" hidden="false" customHeight="true" outlineLevel="0" collapsed="false">
      <c r="A36" s="7" t="s">
        <v>398</v>
      </c>
      <c r="B36" s="7" t="s">
        <v>399</v>
      </c>
      <c r="C36" s="8" t="n">
        <v>0</v>
      </c>
      <c r="D36" s="8" t="n">
        <v>0</v>
      </c>
      <c r="E36" s="8" t="n">
        <v>0</v>
      </c>
      <c r="F36" s="8" t="n">
        <v>0</v>
      </c>
      <c r="G36" s="8" t="n">
        <v>0</v>
      </c>
      <c r="H36" s="8" t="n">
        <v>0</v>
      </c>
      <c r="I36" s="8" t="n">
        <v>0</v>
      </c>
      <c r="J36" s="8" t="n">
        <v>50836</v>
      </c>
      <c r="K36" s="8" t="n">
        <v>0</v>
      </c>
      <c r="L36" s="8" t="n">
        <v>0</v>
      </c>
      <c r="M36" s="8" t="n">
        <v>0</v>
      </c>
      <c r="N36" s="8" t="n">
        <v>0</v>
      </c>
      <c r="O36" s="8" t="n">
        <v>0</v>
      </c>
      <c r="P36" s="8" t="n">
        <v>0</v>
      </c>
      <c r="Q36" s="8" t="n">
        <v>0</v>
      </c>
      <c r="R36" s="8" t="n">
        <v>0</v>
      </c>
      <c r="S36" s="8" t="n">
        <v>0</v>
      </c>
      <c r="T36" s="8" t="n">
        <v>0</v>
      </c>
      <c r="U36" s="8" t="n">
        <v>0</v>
      </c>
      <c r="V36" s="8" t="n">
        <v>0</v>
      </c>
      <c r="W36" s="10" t="n">
        <f aca="false">SUM(C36:V36)</f>
        <v>50836</v>
      </c>
    </row>
    <row r="37" customFormat="false" ht="15" hidden="false" customHeight="true" outlineLevel="0" collapsed="false">
      <c r="A37" s="9" t="s">
        <v>137</v>
      </c>
      <c r="C37" s="10" t="n">
        <f aca="false">SUM(C29:C36)</f>
        <v>16426461</v>
      </c>
      <c r="D37" s="10" t="n">
        <f aca="false">SUM(D29:D36)</f>
        <v>15953149</v>
      </c>
      <c r="E37" s="10" t="n">
        <f aca="false">SUM(E29:E36)</f>
        <v>13885691</v>
      </c>
      <c r="F37" s="10" t="n">
        <f aca="false">SUM(F29:F36)</f>
        <v>10956801</v>
      </c>
      <c r="G37" s="10" t="n">
        <f aca="false">SUM(G29:G36)</f>
        <v>11099386</v>
      </c>
      <c r="H37" s="10" t="n">
        <f aca="false">SUM(H29:H36)</f>
        <v>10081373</v>
      </c>
      <c r="I37" s="10" t="n">
        <f aca="false">SUM(I29:I36)</f>
        <v>9168412</v>
      </c>
      <c r="J37" s="10" t="n">
        <f aca="false">SUM(J29:J36)</f>
        <v>8961455</v>
      </c>
      <c r="K37" s="10" t="n">
        <f aca="false">SUM(K29:K36)</f>
        <v>10070480</v>
      </c>
      <c r="L37" s="10" t="n">
        <f aca="false">SUM(L29:L36)</f>
        <v>6833821</v>
      </c>
      <c r="M37" s="10" t="n">
        <f aca="false">SUM(M29:M36)</f>
        <v>2147719</v>
      </c>
      <c r="N37" s="10" t="n">
        <f aca="false">SUM(N29:N36)</f>
        <v>3519754</v>
      </c>
      <c r="O37" s="10" t="n">
        <f aca="false">SUM(O29:O36)</f>
        <v>5005547</v>
      </c>
      <c r="P37" s="10" t="n">
        <f aca="false">SUM(P29:P36)</f>
        <v>6073476</v>
      </c>
      <c r="Q37" s="10" t="n">
        <f aca="false">SUM(Q29:Q36)</f>
        <v>3381638</v>
      </c>
      <c r="R37" s="10" t="n">
        <f aca="false">SUM(R29:R36)</f>
        <v>3745832</v>
      </c>
      <c r="S37" s="10" t="n">
        <f aca="false">SUM(S29:S36)</f>
        <v>4774081</v>
      </c>
      <c r="T37" s="10" t="n">
        <f aca="false">SUM(T29:T36)</f>
        <v>5180925</v>
      </c>
      <c r="U37" s="10" t="n">
        <f aca="false">SUM(U29:U36)</f>
        <v>6430905</v>
      </c>
      <c r="V37" s="10" t="n">
        <f aca="false">SUM(V29:V36)</f>
        <v>7904793</v>
      </c>
      <c r="W37" s="10" t="n">
        <f aca="false">SUM(W29:W36)</f>
        <v>161601699</v>
      </c>
    </row>
    <row r="38" customFormat="false" ht="15" hidden="false" customHeight="true" outlineLevel="0" collapsed="false">
      <c r="A38" s="7" t="s">
        <v>400</v>
      </c>
      <c r="C38" s="8" t="n">
        <v>16426461</v>
      </c>
      <c r="D38" s="8" t="n">
        <v>15953149</v>
      </c>
      <c r="E38" s="8" t="n">
        <v>13885691</v>
      </c>
      <c r="F38" s="8" t="n">
        <v>10956801</v>
      </c>
      <c r="G38" s="8" t="n">
        <v>11099386</v>
      </c>
      <c r="H38" s="8" t="n">
        <v>10081373</v>
      </c>
      <c r="I38" s="8" t="n">
        <v>9168412</v>
      </c>
      <c r="J38" s="8" t="n">
        <v>8961455</v>
      </c>
      <c r="K38" s="8" t="n">
        <v>10070480</v>
      </c>
      <c r="L38" s="8" t="n">
        <v>6833821</v>
      </c>
      <c r="M38" s="8" t="n">
        <v>2147719</v>
      </c>
      <c r="N38" s="8" t="n">
        <v>3519754</v>
      </c>
      <c r="O38" s="8" t="n">
        <v>5005547</v>
      </c>
      <c r="P38" s="8" t="n">
        <v>6073476</v>
      </c>
      <c r="Q38" s="8" t="n">
        <v>3381638</v>
      </c>
      <c r="R38" s="8" t="n">
        <v>3745832</v>
      </c>
      <c r="S38" s="8" t="n">
        <v>4774081</v>
      </c>
      <c r="T38" s="8" t="n">
        <v>5180925</v>
      </c>
      <c r="U38" s="8" t="n">
        <v>6430905</v>
      </c>
      <c r="V38" s="8" t="n">
        <v>7904793</v>
      </c>
    </row>
    <row r="39" customFormat="false" ht="15" hidden="false" customHeight="true" outlineLevel="0" collapsed="false">
      <c r="A39" s="7" t="s">
        <v>401</v>
      </c>
      <c r="C39" s="11" t="n">
        <f aca="false">C37-C38</f>
        <v>0</v>
      </c>
      <c r="D39" s="11" t="n">
        <f aca="false">D37-D38</f>
        <v>0</v>
      </c>
      <c r="E39" s="11" t="n">
        <f aca="false">E37-E38</f>
        <v>0</v>
      </c>
      <c r="F39" s="11" t="n">
        <f aca="false">F37-F38</f>
        <v>0</v>
      </c>
      <c r="G39" s="11" t="n">
        <f aca="false">G37-G38</f>
        <v>0</v>
      </c>
      <c r="H39" s="11" t="n">
        <f aca="false">H37-H38</f>
        <v>0</v>
      </c>
      <c r="I39" s="11" t="n">
        <f aca="false">I37-I38</f>
        <v>0</v>
      </c>
      <c r="J39" s="11" t="n">
        <f aca="false">J37-J38</f>
        <v>0</v>
      </c>
      <c r="K39" s="11" t="n">
        <f aca="false">K37-K38</f>
        <v>0</v>
      </c>
      <c r="L39" s="11" t="n">
        <f aca="false">L37-L38</f>
        <v>0</v>
      </c>
      <c r="M39" s="11" t="n">
        <f aca="false">M37-M38</f>
        <v>0</v>
      </c>
      <c r="N39" s="11" t="n">
        <f aca="false">N37-N38</f>
        <v>0</v>
      </c>
      <c r="O39" s="11" t="n">
        <f aca="false">O37-O38</f>
        <v>0</v>
      </c>
      <c r="P39" s="11" t="n">
        <f aca="false">P37-P38</f>
        <v>0</v>
      </c>
      <c r="Q39" s="11" t="n">
        <f aca="false">Q37-Q38</f>
        <v>0</v>
      </c>
      <c r="R39" s="11" t="n">
        <f aca="false">R37-R38</f>
        <v>0</v>
      </c>
      <c r="S39" s="11" t="n">
        <f aca="false">S37-S38</f>
        <v>0</v>
      </c>
      <c r="T39" s="11" t="n">
        <f aca="false">T37-T38</f>
        <v>0</v>
      </c>
      <c r="U39" s="11" t="n">
        <f aca="false">U37-U38</f>
        <v>0</v>
      </c>
      <c r="V39" s="11" t="n">
        <f aca="false">V37-V38</f>
        <v>0</v>
      </c>
    </row>
    <row r="40" customFormat="false" ht="15" hidden="false" customHeight="true" outlineLevel="0" collapsed="false">
      <c r="A40" s="7" t="s">
        <v>402</v>
      </c>
      <c r="C40" s="12" t="n">
        <f aca="false">IF(C37=0,0,(C29+C31)/C37)</f>
        <v>1</v>
      </c>
      <c r="D40" s="12" t="n">
        <f aca="false">IF(D37=0,0,(D29+D31)/D37)</f>
        <v>1</v>
      </c>
      <c r="E40" s="12" t="n">
        <f aca="false">IF(E37=0,0,(E29+E31)/E37)</f>
        <v>1</v>
      </c>
      <c r="F40" s="12" t="n">
        <f aca="false">IF(F37=0,0,(F29+F31)/F37)</f>
        <v>1</v>
      </c>
      <c r="G40" s="12" t="n">
        <f aca="false">IF(G37=0,0,(G29+G31)/G37)</f>
        <v>1</v>
      </c>
      <c r="H40" s="12" t="n">
        <f aca="false">IF(H37=0,0,(H29+H31)/H37)</f>
        <v>1</v>
      </c>
      <c r="I40" s="12" t="n">
        <f aca="false">IF(I37=0,0,(I29+I31)/I37)</f>
        <v>1</v>
      </c>
      <c r="J40" s="12" t="n">
        <f aca="false">IF(J37=0,0,(J29+J31)/J37)</f>
        <v>0.992034887191868</v>
      </c>
      <c r="K40" s="12" t="n">
        <f aca="false">IF(K37=0,0,(K29+K31)/K37)</f>
        <v>0.816643298035446</v>
      </c>
      <c r="L40" s="12" t="n">
        <f aca="false">IF(L37=0,0,(L29+L31)/L37)</f>
        <v>0.790336475011564</v>
      </c>
      <c r="M40" s="12" t="n">
        <f aca="false">IF(M37=0,0,(M29+M31)/M37)</f>
        <v>0.745565411490051</v>
      </c>
      <c r="N40" s="12" t="n">
        <f aca="false">IF(N37=0,0,(N29+N31)/N37)</f>
        <v>0.605733241584497</v>
      </c>
      <c r="O40" s="12" t="n">
        <f aca="false">IF(O37=0,0,(O29+O31)/O37)</f>
        <v>0.411231779463863</v>
      </c>
      <c r="P40" s="12" t="n">
        <f aca="false">IF(P37=0,0,(P29+P31)/P37)</f>
        <v>0.26525172734691</v>
      </c>
      <c r="Q40" s="12" t="n">
        <f aca="false">IF(Q37=0,0,(Q29+Q31)/Q37)</f>
        <v>0.175634707204024</v>
      </c>
      <c r="R40" s="12" t="n">
        <f aca="false">IF(R37=0,0,(R29+R31)/R37)</f>
        <v>0</v>
      </c>
      <c r="S40" s="12" t="n">
        <f aca="false">IF(S37=0,0,(S29+S31)/S37)</f>
        <v>0</v>
      </c>
      <c r="T40" s="12" t="n">
        <f aca="false">IF(T37=0,0,(T29+T31)/T37)</f>
        <v>0</v>
      </c>
      <c r="U40" s="12" t="n">
        <f aca="false">IF(U37=0,0,(U29+U31)/U37)</f>
        <v>0</v>
      </c>
      <c r="V40" s="12" t="n">
        <f aca="false">IF(V37=0,0,(V29+V31)/V37)</f>
        <v>0</v>
      </c>
    </row>
    <row r="41" customFormat="false" ht="15" hidden="false" customHeight="true" outlineLevel="0" collapsed="false">
      <c r="A41" s="7" t="s">
        <v>403</v>
      </c>
      <c r="C41" s="12" t="n">
        <f aca="false">IF(C37=0,0,C35/C37)</f>
        <v>0</v>
      </c>
      <c r="D41" s="12" t="n">
        <f aca="false">IF(D37=0,0,D35/D37)</f>
        <v>0</v>
      </c>
      <c r="E41" s="12" t="n">
        <f aca="false">IF(E37=0,0,E35/E37)</f>
        <v>0</v>
      </c>
      <c r="F41" s="12" t="n">
        <f aca="false">IF(F37=0,0,F35/F37)</f>
        <v>0</v>
      </c>
      <c r="G41" s="12" t="n">
        <f aca="false">IF(G37=0,0,G35/G37)</f>
        <v>0</v>
      </c>
      <c r="H41" s="12" t="n">
        <f aca="false">IF(H37=0,0,H35/H37)</f>
        <v>0</v>
      </c>
      <c r="I41" s="12" t="n">
        <f aca="false">IF(I37=0,0,I35/I37)</f>
        <v>0</v>
      </c>
      <c r="J41" s="12" t="n">
        <f aca="false">IF(J37=0,0,J35/J37)</f>
        <v>0.000689620156548239</v>
      </c>
      <c r="K41" s="12" t="n">
        <f aca="false">IF(K37=0,0,K35/K37)</f>
        <v>0</v>
      </c>
      <c r="L41" s="12" t="n">
        <f aca="false">IF(L37=0,0,L35/L37)</f>
        <v>0</v>
      </c>
      <c r="M41" s="12" t="n">
        <f aca="false">IF(M37=0,0,M35/M37)</f>
        <v>0</v>
      </c>
      <c r="N41" s="12" t="n">
        <f aca="false">IF(N37=0,0,N35/N37)</f>
        <v>0</v>
      </c>
      <c r="O41" s="12" t="n">
        <f aca="false">IF(O37=0,0,O35/O37)</f>
        <v>0.0340384377571522</v>
      </c>
      <c r="P41" s="12" t="n">
        <f aca="false">IF(P37=0,0,P35/P37)</f>
        <v>0.246782073395861</v>
      </c>
      <c r="Q41" s="12" t="n">
        <f aca="false">IF(Q37=0,0,Q35/Q37)</f>
        <v>0.610781224956663</v>
      </c>
      <c r="R41" s="12" t="n">
        <f aca="false">IF(R37=0,0,R35/R37)</f>
        <v>0.862057614970453</v>
      </c>
      <c r="S41" s="12" t="n">
        <f aca="false">IF(S37=0,0,S35/S37)</f>
        <v>0.923206372074542</v>
      </c>
      <c r="T41" s="12" t="n">
        <f aca="false">IF(T37=0,0,T35/T37)</f>
        <v>0.996134088024822</v>
      </c>
      <c r="U41" s="12" t="n">
        <f aca="false">IF(U37=0,0,U35/U37)</f>
        <v>0.994546957232303</v>
      </c>
      <c r="V41" s="12" t="n">
        <f aca="false">IF(V37=0,0,V35/V37)</f>
        <v>0.857081899551323</v>
      </c>
    </row>
    <row r="42" customFormat="false" ht="15" hidden="false" customHeight="true" outlineLevel="0" collapsed="false">
      <c r="A42" s="7" t="s">
        <v>404</v>
      </c>
      <c r="C42" s="11" t="n">
        <f aca="false">SUM(O35:V35)</f>
        <v>29703020</v>
      </c>
    </row>
    <row r="43" customFormat="false" ht="15" hidden="false" customHeight="true" outlineLevel="0" collapsed="false">
      <c r="A43" s="7" t="s">
        <v>405</v>
      </c>
      <c r="C43" s="11" t="n">
        <f aca="false">SUM(J34:T34)</f>
        <v>4337050</v>
      </c>
    </row>
    <row r="45" customFormat="false" ht="15" hidden="false" customHeight="true" outlineLevel="0" collapsed="false">
      <c r="A45" s="9" t="s">
        <v>406</v>
      </c>
    </row>
    <row r="46" customFormat="false" ht="23.25" hidden="false" customHeight="true" outlineLevel="0" collapsed="false">
      <c r="A46" s="6" t="s">
        <v>354</v>
      </c>
      <c r="B46" s="6" t="s">
        <v>407</v>
      </c>
      <c r="C46" s="6" t="s">
        <v>408</v>
      </c>
      <c r="D46" s="6" t="s">
        <v>359</v>
      </c>
      <c r="E46" s="6" t="s">
        <v>409</v>
      </c>
    </row>
    <row r="47" customFormat="false" ht="15" hidden="false" customHeight="true" outlineLevel="0" collapsed="false">
      <c r="A47" s="7" t="s">
        <v>363</v>
      </c>
      <c r="B47" s="7" t="s">
        <v>49</v>
      </c>
      <c r="C47" s="16" t="n">
        <v>24395965.48</v>
      </c>
      <c r="D47" s="11" t="n">
        <f aca="false">V35</f>
        <v>6775055</v>
      </c>
      <c r="E47" s="20" t="n">
        <f aca="false">C47/D47</f>
        <v>3.60085128165011</v>
      </c>
    </row>
    <row r="48" customFormat="false" ht="15" hidden="false" customHeight="true" outlineLevel="0" collapsed="false">
      <c r="A48" s="7" t="s">
        <v>367</v>
      </c>
      <c r="B48" s="7" t="s">
        <v>410</v>
      </c>
      <c r="C48" s="16" t="n">
        <v>7897637.12</v>
      </c>
      <c r="D48" s="11" t="n">
        <f aca="false">V33</f>
        <v>985720</v>
      </c>
      <c r="E48" s="20" t="n">
        <f aca="false">C48/D48</f>
        <v>8.01204918232358</v>
      </c>
    </row>
    <row r="49" customFormat="false" ht="15" hidden="false" customHeight="true" outlineLevel="0" collapsed="false">
      <c r="A49" s="7" t="s">
        <v>44</v>
      </c>
      <c r="B49" s="7" t="s">
        <v>43</v>
      </c>
      <c r="C49" s="16" t="n">
        <v>2094105.9</v>
      </c>
      <c r="D49" s="11" t="n">
        <f aca="false">V32</f>
        <v>144018</v>
      </c>
      <c r="E49" s="20" t="n">
        <f aca="false">C49/D49</f>
        <v>14.5405845102695</v>
      </c>
    </row>
    <row r="50" customFormat="false" ht="15" hidden="false" customHeight="true" outlineLevel="0" collapsed="false">
      <c r="A50" s="9" t="s">
        <v>137</v>
      </c>
      <c r="C50" s="17" t="n">
        <f aca="false">SUM(C47:C49)</f>
        <v>34387708.5</v>
      </c>
      <c r="D50" s="10" t="n">
        <f aca="false">SUM(D47:D49)</f>
        <v>7904793</v>
      </c>
      <c r="E50" s="17" t="n">
        <f aca="false">C50/D50</f>
        <v>4.35023516744841</v>
      </c>
    </row>
    <row r="51" customFormat="false" ht="15" hidden="false" customHeight="true" outlineLevel="0" collapsed="false">
      <c r="A51" s="7" t="s">
        <v>411</v>
      </c>
      <c r="C51" s="20" t="n">
        <f aca="false">C48+C49</f>
        <v>9991743.02</v>
      </c>
      <c r="D51" s="11" t="n">
        <f aca="false">D48+D49</f>
        <v>1129738</v>
      </c>
      <c r="E51" s="20" t="n">
        <f aca="false">C51/D51</f>
        <v>8.84430108573846</v>
      </c>
    </row>
    <row r="52" customFormat="false" ht="15" hidden="false" customHeight="true" outlineLevel="0" collapsed="false">
      <c r="A52" s="5" t="s">
        <v>412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2026-10-18T02:15:57Z</dcterms:created>
  <dc:creator>openpyxl</dc:creator>
  <dc:description/>
  <dc:language>en-US</dc:language>
  <cp:lastModifiedBy/>
  <dcterms:modified xsi:type="dcterms:W3CDTF">2026-10-20T16:38:29Z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