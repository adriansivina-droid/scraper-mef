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U:\ADMI\GFTE\ESTADISTICAS\Canon\Portal\2026\CANON\"/>
    </mc:Choice>
  </mc:AlternateContent>
  <xr:revisionPtr revIDLastSave="0" documentId="13_ncr:1_{E3F60EB7-7630-47E0-8816-D2DE0FECE636}" xr6:coauthVersionLast="47" xr6:coauthVersionMax="47" xr10:uidLastSave="{00000000-0000-0000-0000-000000000000}"/>
  <bookViews>
    <workbookView xWindow="-25320" yWindow="-2100" windowWidth="25440" windowHeight="15270" tabRatio="500" xr2:uid="{00000000-000D-0000-FFFF-FFFF00000000}"/>
  </bookViews>
  <sheets>
    <sheet name="2026" sheetId="40" r:id="rId1"/>
    <sheet name="2025" sheetId="39" r:id="rId2"/>
    <sheet name="2024" sheetId="38" r:id="rId3"/>
    <sheet name="2023" sheetId="37" r:id="rId4"/>
    <sheet name="2022" sheetId="36" r:id="rId5"/>
    <sheet name="2021" sheetId="35" r:id="rId6"/>
    <sheet name="2020" sheetId="34" r:id="rId7"/>
    <sheet name="2019" sheetId="33" r:id="rId8"/>
    <sheet name="2018" sheetId="32" r:id="rId9"/>
    <sheet name="2017" sheetId="31" r:id="rId10"/>
    <sheet name="2016" sheetId="30" r:id="rId11"/>
    <sheet name="2015" sheetId="29" r:id="rId12"/>
    <sheet name="2014" sheetId="28" r:id="rId13"/>
    <sheet name="2013" sheetId="27" r:id="rId14"/>
    <sheet name="2012" sheetId="26" r:id="rId15"/>
    <sheet name="2011" sheetId="25" r:id="rId16"/>
    <sheet name="2010" sheetId="24" r:id="rId17"/>
    <sheet name="2009" sheetId="23" r:id="rId18"/>
    <sheet name="2008" sheetId="22" r:id="rId19"/>
    <sheet name="2007" sheetId="21" r:id="rId20"/>
    <sheet name="2006" sheetId="20" r:id="rId21"/>
    <sheet name="2005" sheetId="19" r:id="rId22"/>
    <sheet name="2004" sheetId="18" r:id="rId23"/>
    <sheet name="2003" sheetId="17" r:id="rId24"/>
    <sheet name="2002" sheetId="15" r:id="rId25"/>
    <sheet name="2001" sheetId="14" r:id="rId26"/>
    <sheet name="2000" sheetId="13" r:id="rId27"/>
    <sheet name="99" sheetId="5" r:id="rId28"/>
    <sheet name="98" sheetId="6" r:id="rId29"/>
    <sheet name="97" sheetId="7" r:id="rId30"/>
    <sheet name="96" sheetId="8" r:id="rId31"/>
    <sheet name="95" sheetId="9" r:id="rId32"/>
    <sheet name="94" sheetId="10" r:id="rId33"/>
    <sheet name="93" sheetId="11" r:id="rId34"/>
  </sheets>
  <definedNames>
    <definedName name="_Order1" hidden="1">255</definedName>
    <definedName name="_Order2" hidden="1">255</definedName>
    <definedName name="_xlnm.Print_Area" localSheetId="26">'2000'!$A$1:$Q$41</definedName>
    <definedName name="_xlnm.Print_Area" localSheetId="25">'2001'!$A$1:$Q$44</definedName>
    <definedName name="_xlnm.Print_Area" localSheetId="24">'2002'!$A$1:$Q$44</definedName>
    <definedName name="_xlnm.Print_Area" localSheetId="23">'2003'!$A$1:$Q$16</definedName>
    <definedName name="_xlnm.Print_Titles" localSheetId="26">'2000'!$1:$7</definedName>
    <definedName name="_xlnm.Print_Titles" localSheetId="25">'2001'!$1:$7</definedName>
    <definedName name="_xlnm.Print_Titles" localSheetId="24">'2002'!$1:$7</definedName>
    <definedName name="_xlnm.Print_Titles" localSheetId="23">'2003'!$1:$7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3" i="40" l="1"/>
  <c r="O13" i="40"/>
  <c r="N13" i="40"/>
  <c r="M13" i="40"/>
  <c r="L13" i="40"/>
  <c r="K13" i="40"/>
  <c r="J13" i="40"/>
  <c r="I13" i="40"/>
  <c r="H13" i="40"/>
  <c r="G13" i="40"/>
  <c r="F13" i="40"/>
  <c r="E13" i="40"/>
  <c r="Q12" i="40"/>
  <c r="Q11" i="40"/>
  <c r="Q10" i="40"/>
  <c r="Q9" i="40"/>
  <c r="Q8" i="40"/>
  <c r="P5" i="40"/>
  <c r="O5" i="40"/>
  <c r="N5" i="40"/>
  <c r="M5" i="40"/>
  <c r="L5" i="40"/>
  <c r="K5" i="40"/>
  <c r="J5" i="40"/>
  <c r="I5" i="40"/>
  <c r="H5" i="40"/>
  <c r="G5" i="40"/>
  <c r="F5" i="40"/>
  <c r="E5" i="40"/>
  <c r="P14" i="39"/>
  <c r="O14" i="39"/>
  <c r="N14" i="39"/>
  <c r="M14" i="39"/>
  <c r="L14" i="39"/>
  <c r="K14" i="39"/>
  <c r="J14" i="39"/>
  <c r="I14" i="39"/>
  <c r="H14" i="39"/>
  <c r="G14" i="39"/>
  <c r="F14" i="39"/>
  <c r="E14" i="39"/>
  <c r="Q13" i="39"/>
  <c r="Q12" i="39"/>
  <c r="Q11" i="39"/>
  <c r="Q10" i="39"/>
  <c r="Q9" i="39"/>
  <c r="Q8" i="39"/>
  <c r="P5" i="39"/>
  <c r="O5" i="39"/>
  <c r="N5" i="39"/>
  <c r="M5" i="39"/>
  <c r="L5" i="39"/>
  <c r="K5" i="39"/>
  <c r="J5" i="39"/>
  <c r="I5" i="39"/>
  <c r="H5" i="39"/>
  <c r="G5" i="39"/>
  <c r="F5" i="39"/>
  <c r="E5" i="39"/>
  <c r="P14" i="38"/>
  <c r="O14" i="38"/>
  <c r="N14" i="38"/>
  <c r="M14" i="38"/>
  <c r="L14" i="38"/>
  <c r="K14" i="38"/>
  <c r="J14" i="38"/>
  <c r="I14" i="38"/>
  <c r="H14" i="38"/>
  <c r="G14" i="38"/>
  <c r="F14" i="38"/>
  <c r="E14" i="38"/>
  <c r="Q13" i="38"/>
  <c r="Q12" i="38"/>
  <c r="Q11" i="38"/>
  <c r="Q10" i="38"/>
  <c r="Q9" i="38"/>
  <c r="Q8" i="38"/>
  <c r="P5" i="38"/>
  <c r="O5" i="38"/>
  <c r="N5" i="38"/>
  <c r="M5" i="38"/>
  <c r="L5" i="38"/>
  <c r="K5" i="38"/>
  <c r="J5" i="38"/>
  <c r="I5" i="38"/>
  <c r="H5" i="38"/>
  <c r="G5" i="38"/>
  <c r="F5" i="38"/>
  <c r="E5" i="38"/>
  <c r="P14" i="37"/>
  <c r="O14" i="37"/>
  <c r="N14" i="37"/>
  <c r="M14" i="37"/>
  <c r="L14" i="37"/>
  <c r="K14" i="37"/>
  <c r="J14" i="37"/>
  <c r="I14" i="37"/>
  <c r="H14" i="37"/>
  <c r="G14" i="37"/>
  <c r="F14" i="37"/>
  <c r="E14" i="37"/>
  <c r="Q13" i="37"/>
  <c r="Q12" i="37"/>
  <c r="Q11" i="37"/>
  <c r="Q10" i="37"/>
  <c r="Q9" i="37"/>
  <c r="Q8" i="37"/>
  <c r="P5" i="37"/>
  <c r="O5" i="37"/>
  <c r="N5" i="37"/>
  <c r="M5" i="37"/>
  <c r="L5" i="37"/>
  <c r="K5" i="37"/>
  <c r="J5" i="37"/>
  <c r="I5" i="37"/>
  <c r="H5" i="37"/>
  <c r="G5" i="37"/>
  <c r="F5" i="37"/>
  <c r="E5" i="37"/>
  <c r="P14" i="36"/>
  <c r="O14" i="36"/>
  <c r="N14" i="36"/>
  <c r="M14" i="36"/>
  <c r="L14" i="36"/>
  <c r="K14" i="36"/>
  <c r="J14" i="36"/>
  <c r="I14" i="36"/>
  <c r="H14" i="36"/>
  <c r="G14" i="36"/>
  <c r="F14" i="36"/>
  <c r="E14" i="36"/>
  <c r="Q13" i="36"/>
  <c r="Q12" i="36"/>
  <c r="Q11" i="36"/>
  <c r="Q10" i="36"/>
  <c r="Q9" i="36"/>
  <c r="Q8" i="36"/>
  <c r="P5" i="36"/>
  <c r="O5" i="36"/>
  <c r="N5" i="36"/>
  <c r="M5" i="36"/>
  <c r="L5" i="36"/>
  <c r="K5" i="36"/>
  <c r="J5" i="36"/>
  <c r="I5" i="36"/>
  <c r="H5" i="36"/>
  <c r="G5" i="36"/>
  <c r="F5" i="36"/>
  <c r="E5" i="36"/>
  <c r="Q13" i="40" l="1"/>
  <c r="Q14" i="39"/>
  <c r="Q14" i="38"/>
  <c r="Q14" i="37"/>
  <c r="Q14" i="36"/>
  <c r="P14" i="35"/>
  <c r="O14" i="35"/>
  <c r="N14" i="35"/>
  <c r="M14" i="35"/>
  <c r="L14" i="35"/>
  <c r="K14" i="35"/>
  <c r="J14" i="35"/>
  <c r="I14" i="35"/>
  <c r="H14" i="35"/>
  <c r="G14" i="35"/>
  <c r="F14" i="35"/>
  <c r="E14" i="35"/>
  <c r="Q13" i="35"/>
  <c r="Q12" i="35"/>
  <c r="Q11" i="35"/>
  <c r="Q10" i="35"/>
  <c r="Q9" i="35"/>
  <c r="Q8" i="35"/>
  <c r="P5" i="35"/>
  <c r="O5" i="35"/>
  <c r="N5" i="35"/>
  <c r="M5" i="35"/>
  <c r="L5" i="35"/>
  <c r="K5" i="35"/>
  <c r="J5" i="35"/>
  <c r="I5" i="35"/>
  <c r="H5" i="35"/>
  <c r="G5" i="35"/>
  <c r="F5" i="35"/>
  <c r="E5" i="35"/>
  <c r="Q14" i="35" l="1"/>
  <c r="P5" i="34"/>
  <c r="O5" i="34"/>
  <c r="N5" i="34"/>
  <c r="M5" i="34"/>
  <c r="L5" i="34"/>
  <c r="K5" i="34"/>
  <c r="J5" i="34"/>
  <c r="I5" i="34"/>
  <c r="H5" i="34"/>
  <c r="G5" i="34"/>
  <c r="F5" i="34"/>
  <c r="E5" i="34"/>
  <c r="P14" i="34"/>
  <c r="O14" i="34"/>
  <c r="N14" i="34"/>
  <c r="M14" i="34"/>
  <c r="L14" i="34"/>
  <c r="K14" i="34"/>
  <c r="J14" i="34"/>
  <c r="I14" i="34"/>
  <c r="H14" i="34"/>
  <c r="G14" i="34"/>
  <c r="F14" i="34"/>
  <c r="E14" i="34"/>
  <c r="Q13" i="34"/>
  <c r="Q12" i="34"/>
  <c r="Q11" i="34"/>
  <c r="Q10" i="34"/>
  <c r="Q9" i="34"/>
  <c r="Q8" i="34"/>
  <c r="Q14" i="34" l="1"/>
  <c r="P14" i="33"/>
  <c r="O14" i="33"/>
  <c r="N14" i="33"/>
  <c r="M14" i="33"/>
  <c r="L14" i="33"/>
  <c r="K14" i="33"/>
  <c r="J14" i="33"/>
  <c r="I14" i="33"/>
  <c r="H14" i="33"/>
  <c r="G14" i="33"/>
  <c r="F14" i="33"/>
  <c r="E14" i="33"/>
  <c r="Q13" i="33"/>
  <c r="Q12" i="33"/>
  <c r="Q11" i="33"/>
  <c r="Q10" i="33"/>
  <c r="Q9" i="33"/>
  <c r="Q8" i="33"/>
  <c r="P5" i="33"/>
  <c r="O5" i="33"/>
  <c r="N5" i="33"/>
  <c r="M5" i="33"/>
  <c r="L5" i="33"/>
  <c r="K5" i="33"/>
  <c r="J5" i="33"/>
  <c r="I5" i="33"/>
  <c r="H5" i="33"/>
  <c r="G5" i="33"/>
  <c r="F5" i="33"/>
  <c r="E5" i="33"/>
  <c r="Q14" i="33" l="1"/>
  <c r="Q8" i="32"/>
  <c r="P14" i="32" l="1"/>
  <c r="O14" i="32"/>
  <c r="N14" i="32"/>
  <c r="M14" i="32"/>
  <c r="L14" i="32"/>
  <c r="K14" i="32"/>
  <c r="J14" i="32"/>
  <c r="I14" i="32"/>
  <c r="H14" i="32"/>
  <c r="G14" i="32"/>
  <c r="F14" i="32"/>
  <c r="E14" i="32"/>
  <c r="Q13" i="32"/>
  <c r="Q12" i="32"/>
  <c r="Q11" i="32"/>
  <c r="Q10" i="32"/>
  <c r="Q9" i="32"/>
  <c r="P5" i="32"/>
  <c r="O5" i="32"/>
  <c r="N5" i="32"/>
  <c r="M5" i="32"/>
  <c r="L5" i="32"/>
  <c r="K5" i="32"/>
  <c r="J5" i="32"/>
  <c r="I5" i="32"/>
  <c r="H5" i="32"/>
  <c r="G5" i="32"/>
  <c r="F5" i="32"/>
  <c r="E5" i="32"/>
  <c r="Q14" i="32" l="1"/>
  <c r="P14" i="30" l="1"/>
  <c r="O14" i="30"/>
  <c r="N14" i="30"/>
  <c r="M14" i="30"/>
  <c r="L14" i="30"/>
  <c r="K14" i="30"/>
  <c r="J14" i="30"/>
  <c r="I14" i="30"/>
  <c r="H14" i="30"/>
  <c r="G14" i="30"/>
  <c r="F14" i="30"/>
  <c r="E14" i="30"/>
  <c r="Q13" i="30"/>
  <c r="Q12" i="30"/>
  <c r="Q11" i="30"/>
  <c r="Q10" i="30"/>
  <c r="Q9" i="30"/>
  <c r="Q8" i="30"/>
  <c r="P5" i="30"/>
  <c r="O5" i="30"/>
  <c r="N5" i="30"/>
  <c r="M5" i="30"/>
  <c r="L5" i="30"/>
  <c r="K5" i="30"/>
  <c r="J5" i="30"/>
  <c r="I5" i="30"/>
  <c r="H5" i="30"/>
  <c r="G5" i="30"/>
  <c r="F5" i="30"/>
  <c r="E5" i="30"/>
  <c r="P14" i="31"/>
  <c r="O14" i="31"/>
  <c r="N14" i="31"/>
  <c r="M14" i="31"/>
  <c r="L14" i="31"/>
  <c r="K14" i="31"/>
  <c r="J14" i="31"/>
  <c r="I14" i="31"/>
  <c r="H14" i="31"/>
  <c r="G14" i="31"/>
  <c r="F14" i="31"/>
  <c r="E14" i="31"/>
  <c r="Q13" i="31"/>
  <c r="Q12" i="31"/>
  <c r="Q11" i="31"/>
  <c r="Q10" i="31"/>
  <c r="Q9" i="31"/>
  <c r="Q8" i="31"/>
  <c r="P5" i="31"/>
  <c r="O5" i="31"/>
  <c r="N5" i="31"/>
  <c r="M5" i="31"/>
  <c r="L5" i="31"/>
  <c r="K5" i="31"/>
  <c r="J5" i="31"/>
  <c r="I5" i="31"/>
  <c r="H5" i="31"/>
  <c r="G5" i="31"/>
  <c r="F5" i="31"/>
  <c r="E5" i="31"/>
  <c r="Q14" i="30" l="1"/>
  <c r="Q14" i="31"/>
  <c r="P5" i="29"/>
  <c r="O5" i="29"/>
  <c r="N5" i="29"/>
  <c r="M5" i="29"/>
  <c r="L5" i="29"/>
  <c r="K5" i="29"/>
  <c r="J5" i="29"/>
  <c r="I5" i="29"/>
  <c r="H5" i="29"/>
  <c r="G5" i="29"/>
  <c r="F5" i="29"/>
  <c r="E5" i="29"/>
  <c r="P14" i="29" l="1"/>
  <c r="O14" i="29"/>
  <c r="N14" i="29"/>
  <c r="M14" i="29"/>
  <c r="L14" i="29"/>
  <c r="K14" i="29"/>
  <c r="J14" i="29"/>
  <c r="I14" i="29"/>
  <c r="H14" i="29"/>
  <c r="G14" i="29"/>
  <c r="F14" i="29"/>
  <c r="E14" i="29"/>
  <c r="Q13" i="29"/>
  <c r="Q12" i="29"/>
  <c r="Q11" i="29"/>
  <c r="Q10" i="29"/>
  <c r="Q9" i="29"/>
  <c r="Q8" i="29"/>
  <c r="Q14" i="29" l="1"/>
  <c r="Q13" i="28"/>
  <c r="Q12" i="28"/>
  <c r="Q11" i="28"/>
  <c r="Q10" i="28"/>
  <c r="Q9" i="28"/>
  <c r="Q8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Q14" i="28" l="1"/>
</calcChain>
</file>

<file path=xl/sharedStrings.xml><?xml version="1.0" encoding="utf-8"?>
<sst xmlns="http://schemas.openxmlformats.org/spreadsheetml/2006/main" count="1060" uniqueCount="340">
  <si>
    <t>PERUPETRO S.A.</t>
  </si>
  <si>
    <t xml:space="preserve">CORDE-UCAYALI </t>
  </si>
  <si>
    <t xml:space="preserve">UNIV. NAC. UCAYALI </t>
  </si>
  <si>
    <t xml:space="preserve">INST. PER. AMAZONIA </t>
  </si>
  <si>
    <t>CONC. MUNICIPALES</t>
  </si>
  <si>
    <t>DISTRIBUCION POR CONCEJOS MUNICIPALES (*)</t>
  </si>
  <si>
    <t>CORONEL PORTILLO (48.47%)</t>
  </si>
  <si>
    <t>CALLARIA</t>
  </si>
  <si>
    <t>CAMPOVERDE</t>
  </si>
  <si>
    <t>IPARIA</t>
  </si>
  <si>
    <t>MASISEA</t>
  </si>
  <si>
    <t>YARINACOCHA</t>
  </si>
  <si>
    <t>PADRE ABAD (13.36%)</t>
  </si>
  <si>
    <t>PADRE ABAD</t>
  </si>
  <si>
    <t>YRAZOLA</t>
  </si>
  <si>
    <t>ATALAYA (23.28%)</t>
  </si>
  <si>
    <t>RAIMONDI</t>
  </si>
  <si>
    <t>SEPAHUA</t>
  </si>
  <si>
    <t>TAHUANIA</t>
  </si>
  <si>
    <t>YURUA</t>
  </si>
  <si>
    <t>PURUS (14.89%)</t>
  </si>
  <si>
    <t>PURUS</t>
  </si>
  <si>
    <t>NUEVA REQUENA</t>
  </si>
  <si>
    <t>CURIMANA</t>
  </si>
  <si>
    <t>TOTAL CONCEJOS MUNICIPALES</t>
  </si>
  <si>
    <t>(52%)</t>
  </si>
  <si>
    <t>( 5%)</t>
  </si>
  <si>
    <t>( 3%)</t>
  </si>
  <si>
    <t>(40%)</t>
  </si>
  <si>
    <t>TOTAL SOBRECANON</t>
  </si>
  <si>
    <t>Cifras expresada en Nuevos Soles</t>
  </si>
  <si>
    <t>CORDE-UCAYALI</t>
  </si>
  <si>
    <t>UNIV. NAC. UCAYALI</t>
  </si>
  <si>
    <t>INST. PER. AMAZONIA</t>
  </si>
  <si>
    <t>CONCEJOS MUNICIPALES</t>
  </si>
  <si>
    <t xml:space="preserve"> CALLARIA</t>
  </si>
  <si>
    <t xml:space="preserve"> CAMPOVERDE</t>
  </si>
  <si>
    <t xml:space="preserve"> IPARIA</t>
  </si>
  <si>
    <t xml:space="preserve"> MASISEA</t>
  </si>
  <si>
    <t xml:space="preserve"> YARINACOCHA</t>
  </si>
  <si>
    <t xml:space="preserve"> NUEVA REQUENA</t>
  </si>
  <si>
    <t xml:space="preserve"> PADRE ABAD</t>
  </si>
  <si>
    <t xml:space="preserve"> YRAZOLA</t>
  </si>
  <si>
    <t xml:space="preserve"> CURIMANA</t>
  </si>
  <si>
    <t>ATALAYA(23.28%)</t>
  </si>
  <si>
    <t>TOTAL CONC. MUNICIPALES</t>
  </si>
  <si>
    <t>PERIODO DE PAGO</t>
  </si>
  <si>
    <t>FECHA DE PAGO</t>
  </si>
  <si>
    <t>TOTAL</t>
  </si>
  <si>
    <t>(**)</t>
  </si>
  <si>
    <t>CONCEJOS MUNICIPALES (*)</t>
  </si>
  <si>
    <t xml:space="preserve">(*) DISTRIBUCION POR CONCEJOS MUNICIPALES </t>
  </si>
  <si>
    <t>%</t>
  </si>
  <si>
    <t>El incremento del Canon y Sobrecanon, se debe a la inclusión en su determinación  la producción de campo del mes de mayo pendiente de fiscalizarse por cambio de modalidad contractual del Lote 1-AB, que pasa de contrato de servicios a licencia.</t>
  </si>
  <si>
    <t>DISTRIBUCION DEL SOBRE CANON (LEY 23350) Y CANON (D.U. 027-98)</t>
  </si>
  <si>
    <t>DEPARTAMENTO UCAYALI</t>
  </si>
  <si>
    <t>2001</t>
  </si>
  <si>
    <t>2000</t>
  </si>
  <si>
    <t>DISTRIBUCION DEL SOBRE CANON (LEY 23350)</t>
  </si>
  <si>
    <t>TOTAL SOBRECANON y CANON</t>
  </si>
  <si>
    <t>2002</t>
  </si>
  <si>
    <t>2003</t>
  </si>
  <si>
    <t>2004</t>
  </si>
  <si>
    <t>REGION UCAYALI</t>
  </si>
  <si>
    <t xml:space="preserve"> * DISTRIBUCION A MUNICIPALIDADES SE REALIZA A TRAVES DEL CONSEJO NACIONAL DE DESCENTRALIZACIÓN</t>
  </si>
  <si>
    <t>UNIVERSIDAD  NACIONAL DE UCAYALI</t>
  </si>
  <si>
    <t>INST. INVEST. AMAZONIA PERUANA</t>
  </si>
  <si>
    <t xml:space="preserve"> * DISTRIBUCION A MUNICIPALIDADES SE REALIZA A TRAVES DEL SECRETARIA DE DESCENTRALIZACIÓN</t>
  </si>
  <si>
    <t>3% - 2%</t>
  </si>
  <si>
    <t xml:space="preserve">40% - 70% </t>
  </si>
  <si>
    <t>REGION UCAYALI - Institutos</t>
  </si>
  <si>
    <t>0% - 3%</t>
  </si>
  <si>
    <t>52% - 20%</t>
  </si>
  <si>
    <t>Ene.2014</t>
  </si>
  <si>
    <t>Feb.2014</t>
  </si>
  <si>
    <t>Mar.2014</t>
  </si>
  <si>
    <t>Abr.2014</t>
  </si>
  <si>
    <t>May.2014</t>
  </si>
  <si>
    <t>Jun.2014</t>
  </si>
  <si>
    <t>Jul.2014</t>
  </si>
  <si>
    <t>Ago.2014</t>
  </si>
  <si>
    <t>Sep.2014</t>
  </si>
  <si>
    <t>Oct.2014</t>
  </si>
  <si>
    <t>Nov.2014</t>
  </si>
  <si>
    <t>Dic.2014</t>
  </si>
  <si>
    <t>U. N. INTERCULTURAL DE LA AMAZONÍA</t>
  </si>
  <si>
    <t>Ene.2013</t>
  </si>
  <si>
    <t>Feb.2013</t>
  </si>
  <si>
    <t>Mar.2013</t>
  </si>
  <si>
    <t>Abr.2013</t>
  </si>
  <si>
    <t>May.2013</t>
  </si>
  <si>
    <t>Jun.2013</t>
  </si>
  <si>
    <t>Jul.2013</t>
  </si>
  <si>
    <t>Ago.2013</t>
  </si>
  <si>
    <t>Sep.2013</t>
  </si>
  <si>
    <t>Oct.2013</t>
  </si>
  <si>
    <t>Nov.2013</t>
  </si>
  <si>
    <t>Dic.2013</t>
  </si>
  <si>
    <t>Ene.2012</t>
  </si>
  <si>
    <t>Feb.2012</t>
  </si>
  <si>
    <t>Mar.2012</t>
  </si>
  <si>
    <t>Abr.2012</t>
  </si>
  <si>
    <t>May.2012</t>
  </si>
  <si>
    <t>Jun.2012</t>
  </si>
  <si>
    <t>Jul.2012</t>
  </si>
  <si>
    <t>Ago.2012</t>
  </si>
  <si>
    <t>Sep.2012</t>
  </si>
  <si>
    <t>Oct.2012</t>
  </si>
  <si>
    <t>Nov.2012</t>
  </si>
  <si>
    <t>Dic.2012</t>
  </si>
  <si>
    <t>Ene.2011</t>
  </si>
  <si>
    <t>Feb.2011</t>
  </si>
  <si>
    <t>Mar.2011</t>
  </si>
  <si>
    <t>Abr.2011</t>
  </si>
  <si>
    <t>May.2011</t>
  </si>
  <si>
    <t>Jun.2011</t>
  </si>
  <si>
    <t>Jul.2011</t>
  </si>
  <si>
    <t>Ago.2011</t>
  </si>
  <si>
    <t>Sep.2011</t>
  </si>
  <si>
    <t>Oct.2011</t>
  </si>
  <si>
    <t>Nov.2011</t>
  </si>
  <si>
    <t>Dic.2011</t>
  </si>
  <si>
    <t>Ene.2010</t>
  </si>
  <si>
    <t>Feb.2010</t>
  </si>
  <si>
    <t>Mar.2010</t>
  </si>
  <si>
    <t>Abr.2010</t>
  </si>
  <si>
    <t>May.2010</t>
  </si>
  <si>
    <t>Jun.2010</t>
  </si>
  <si>
    <t>Jul.2010</t>
  </si>
  <si>
    <t>Ago.2010</t>
  </si>
  <si>
    <t>Sep.2010</t>
  </si>
  <si>
    <t>Oct.2010</t>
  </si>
  <si>
    <t>Nov.2010</t>
  </si>
  <si>
    <t>Dic.2010</t>
  </si>
  <si>
    <t>Ene.2009</t>
  </si>
  <si>
    <t>Feb.2009</t>
  </si>
  <si>
    <t>Mar.2009</t>
  </si>
  <si>
    <t>Abr.2009</t>
  </si>
  <si>
    <t>May.2009</t>
  </si>
  <si>
    <t>Jun.2009</t>
  </si>
  <si>
    <t>Jul.2009</t>
  </si>
  <si>
    <t>Ago.2009</t>
  </si>
  <si>
    <t>Sep.2009</t>
  </si>
  <si>
    <t>Oct.2009</t>
  </si>
  <si>
    <t>Nov.2009</t>
  </si>
  <si>
    <t>Dic.2009</t>
  </si>
  <si>
    <t>Ene.2008</t>
  </si>
  <si>
    <t>Feb.2008</t>
  </si>
  <si>
    <t>Mar.2008</t>
  </si>
  <si>
    <t>Abr.2008</t>
  </si>
  <si>
    <t>May.2008</t>
  </si>
  <si>
    <t>Jun.2008</t>
  </si>
  <si>
    <t>Jul.2008</t>
  </si>
  <si>
    <t>Ago.2008</t>
  </si>
  <si>
    <t>Sep.2008</t>
  </si>
  <si>
    <t>Oct.2008</t>
  </si>
  <si>
    <t>Nov.2008</t>
  </si>
  <si>
    <t>Dic.2008</t>
  </si>
  <si>
    <t>Ene.2007</t>
  </si>
  <si>
    <t>Feb.2007</t>
  </si>
  <si>
    <t>Mar.2007</t>
  </si>
  <si>
    <t>Abr.2007</t>
  </si>
  <si>
    <t>May.2007</t>
  </si>
  <si>
    <t>Jun.2007</t>
  </si>
  <si>
    <t>Jul.2007</t>
  </si>
  <si>
    <t>Ago.2007</t>
  </si>
  <si>
    <t>Sep.2007</t>
  </si>
  <si>
    <t>Oct.2007</t>
  </si>
  <si>
    <t>Nov.2007</t>
  </si>
  <si>
    <t>Dic.2007</t>
  </si>
  <si>
    <t>Ene.2006</t>
  </si>
  <si>
    <t>Feb.2006</t>
  </si>
  <si>
    <t>Mar.2006</t>
  </si>
  <si>
    <t>Abr.2006</t>
  </si>
  <si>
    <t>May.2006</t>
  </si>
  <si>
    <t>Jun.2006</t>
  </si>
  <si>
    <t>Jul.2006</t>
  </si>
  <si>
    <t>Ago.2006</t>
  </si>
  <si>
    <t>Sep.2006</t>
  </si>
  <si>
    <t>Oct.2006</t>
  </si>
  <si>
    <t>Nov.2006</t>
  </si>
  <si>
    <t>Dic.2006</t>
  </si>
  <si>
    <t>Ene.2005</t>
  </si>
  <si>
    <t>Feb.2005</t>
  </si>
  <si>
    <t>Mar.2005</t>
  </si>
  <si>
    <t>Abr.2005</t>
  </si>
  <si>
    <t>May.2005</t>
  </si>
  <si>
    <t>Jun.2005</t>
  </si>
  <si>
    <t>Jul.2005</t>
  </si>
  <si>
    <t>Ago.2005</t>
  </si>
  <si>
    <t>Sep.2005</t>
  </si>
  <si>
    <t>Oct.2005</t>
  </si>
  <si>
    <t>Nov.2005</t>
  </si>
  <si>
    <t>Dic.2005</t>
  </si>
  <si>
    <t>Ene.2004</t>
  </si>
  <si>
    <t>Feb.2004</t>
  </si>
  <si>
    <t>Mar.2004</t>
  </si>
  <si>
    <t>Abr.2004</t>
  </si>
  <si>
    <t>May.2004</t>
  </si>
  <si>
    <t>Jun.2004</t>
  </si>
  <si>
    <t>Jul.2004</t>
  </si>
  <si>
    <t>Ago.2004</t>
  </si>
  <si>
    <t>Sep.2004</t>
  </si>
  <si>
    <t>Oct.2004</t>
  </si>
  <si>
    <t>Nov.2004</t>
  </si>
  <si>
    <t>Dic.2004</t>
  </si>
  <si>
    <t>Ene.2003</t>
  </si>
  <si>
    <t>Feb.2003</t>
  </si>
  <si>
    <t>Mar.2003</t>
  </si>
  <si>
    <t>Abr.2003</t>
  </si>
  <si>
    <t>May.2003</t>
  </si>
  <si>
    <t>Jun.2003</t>
  </si>
  <si>
    <t>Jul.2003</t>
  </si>
  <si>
    <t>Ago.2003</t>
  </si>
  <si>
    <t>Sep.2003</t>
  </si>
  <si>
    <t>Oct.2003</t>
  </si>
  <si>
    <t>Nov.2003</t>
  </si>
  <si>
    <t>Dic.2003</t>
  </si>
  <si>
    <t>Ene.2002</t>
  </si>
  <si>
    <t>Feb.2002</t>
  </si>
  <si>
    <t>Mar.2002</t>
  </si>
  <si>
    <t>Abr.2002</t>
  </si>
  <si>
    <t>May.2002</t>
  </si>
  <si>
    <t>Jun.2002</t>
  </si>
  <si>
    <t>Jul.2002</t>
  </si>
  <si>
    <t>Ago.2002</t>
  </si>
  <si>
    <t>Sep.2002</t>
  </si>
  <si>
    <t>Oct.2002</t>
  </si>
  <si>
    <t>Nov.2002</t>
  </si>
  <si>
    <t>Dic.2002</t>
  </si>
  <si>
    <t>Ene.2001</t>
  </si>
  <si>
    <t>Feb.2001</t>
  </si>
  <si>
    <t>Mar.2001</t>
  </si>
  <si>
    <t>Abr.2001</t>
  </si>
  <si>
    <t>May.2001</t>
  </si>
  <si>
    <t>Jun.2001</t>
  </si>
  <si>
    <t>Jul.2001</t>
  </si>
  <si>
    <t>Ago.2001</t>
  </si>
  <si>
    <t>Sep.2001</t>
  </si>
  <si>
    <t>Oct.2001</t>
  </si>
  <si>
    <t>Nov.2001</t>
  </si>
  <si>
    <t>Dic.2001</t>
  </si>
  <si>
    <t>Ene.2000</t>
  </si>
  <si>
    <t>Feb.2000</t>
  </si>
  <si>
    <t>Mar.2000</t>
  </si>
  <si>
    <t>Abr.2000</t>
  </si>
  <si>
    <t>May.2000</t>
  </si>
  <si>
    <t>Jun.2000</t>
  </si>
  <si>
    <t>Jul.2000</t>
  </si>
  <si>
    <t>Ago.2000</t>
  </si>
  <si>
    <t>Sep.2000</t>
  </si>
  <si>
    <t>Oct.2000</t>
  </si>
  <si>
    <t>Nov.2000</t>
  </si>
  <si>
    <t>Dic.2000</t>
  </si>
  <si>
    <t>Ene.1999</t>
  </si>
  <si>
    <t>Feb.1999</t>
  </si>
  <si>
    <t>Mar.1999</t>
  </si>
  <si>
    <t>Abr.1999</t>
  </si>
  <si>
    <t>May.1999</t>
  </si>
  <si>
    <t>Jun.1999</t>
  </si>
  <si>
    <t>Jul.1999</t>
  </si>
  <si>
    <t>Ago.1999</t>
  </si>
  <si>
    <t>Sep.1999</t>
  </si>
  <si>
    <t>Oct.1999</t>
  </si>
  <si>
    <t>Nov.1999</t>
  </si>
  <si>
    <t>Dic.1999</t>
  </si>
  <si>
    <t>Ene.1998</t>
  </si>
  <si>
    <t>Feb.1998</t>
  </si>
  <si>
    <t>Mar.1998</t>
  </si>
  <si>
    <t>Abr.1998</t>
  </si>
  <si>
    <t>May.1998</t>
  </si>
  <si>
    <t>Jun.1998</t>
  </si>
  <si>
    <t>Jul.1998</t>
  </si>
  <si>
    <t>Ago.1998</t>
  </si>
  <si>
    <t>Sep.1998</t>
  </si>
  <si>
    <t>Oct.1998</t>
  </si>
  <si>
    <t>Nov.1998</t>
  </si>
  <si>
    <t>Dic.1998</t>
  </si>
  <si>
    <t>Ene.1997</t>
  </si>
  <si>
    <t>Feb.1997</t>
  </si>
  <si>
    <t>Mar.1997</t>
  </si>
  <si>
    <t>Abr.1997</t>
  </si>
  <si>
    <t>May.1997</t>
  </si>
  <si>
    <t>Jun.1997</t>
  </si>
  <si>
    <t>Jul.1997</t>
  </si>
  <si>
    <t>Ago.1997</t>
  </si>
  <si>
    <t>Sep.1997</t>
  </si>
  <si>
    <t>Oct.1997</t>
  </si>
  <si>
    <t>Nov.1997</t>
  </si>
  <si>
    <t>Dic.1997</t>
  </si>
  <si>
    <t>Ene.1996</t>
  </si>
  <si>
    <t>Feb.1996</t>
  </si>
  <si>
    <t>Mar.1996</t>
  </si>
  <si>
    <t>Abr.1996</t>
  </si>
  <si>
    <t>May.1996</t>
  </si>
  <si>
    <t>Jun.1996</t>
  </si>
  <si>
    <t>Jul.1996</t>
  </si>
  <si>
    <t>Ago.1996</t>
  </si>
  <si>
    <t>Sep.1996</t>
  </si>
  <si>
    <t>Oct.1996</t>
  </si>
  <si>
    <t>Nov.1996</t>
  </si>
  <si>
    <t>Dic.1996</t>
  </si>
  <si>
    <t>Ene.1995</t>
  </si>
  <si>
    <t>Feb.1995</t>
  </si>
  <si>
    <t>Mar.1995</t>
  </si>
  <si>
    <t>Abr.1995</t>
  </si>
  <si>
    <t>May.1995</t>
  </si>
  <si>
    <t>Jun.1995</t>
  </si>
  <si>
    <t>Jul.1995</t>
  </si>
  <si>
    <t>Ago.1995</t>
  </si>
  <si>
    <t>Sep.1995</t>
  </si>
  <si>
    <t>Oct.1995</t>
  </si>
  <si>
    <t>Nov.1995</t>
  </si>
  <si>
    <t>Dic.1995</t>
  </si>
  <si>
    <t>Ene.1994</t>
  </si>
  <si>
    <t>Feb.1994</t>
  </si>
  <si>
    <t>Mar.1994</t>
  </si>
  <si>
    <t>Abr.1994</t>
  </si>
  <si>
    <t>May.1994</t>
  </si>
  <si>
    <t>Jun.1994</t>
  </si>
  <si>
    <t>Jul.1994</t>
  </si>
  <si>
    <t>Ago.1994</t>
  </si>
  <si>
    <t>Sep.1994</t>
  </si>
  <si>
    <t>Oct.1994</t>
  </si>
  <si>
    <t>Nov.1994</t>
  </si>
  <si>
    <t>Dic.1994</t>
  </si>
  <si>
    <t>Ene.1993</t>
  </si>
  <si>
    <t>Feb.1993</t>
  </si>
  <si>
    <t>Mar.1993</t>
  </si>
  <si>
    <t>Abr.1993</t>
  </si>
  <si>
    <t>May.1993</t>
  </si>
  <si>
    <t>Jun.1993</t>
  </si>
  <si>
    <t>Jul.1993</t>
  </si>
  <si>
    <t>Ago.1993</t>
  </si>
  <si>
    <t>Sep.1993</t>
  </si>
  <si>
    <t>Oct.1993</t>
  </si>
  <si>
    <t>Nov.1993</t>
  </si>
  <si>
    <t>Dic.1993</t>
  </si>
  <si>
    <t>Cifras expresada en Soles</t>
  </si>
  <si>
    <t>UNIVERSIDADES NACIONALES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</si>
</sst>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S/.&quot;\ #,##0_);\(&quot;S/.&quot;\ #,##0\)"/>
    <numFmt numFmtId="165" formatCode="&quot;S/.&quot;\ #,##0.00_);\(&quot;S/.&quot;\ #,##0.00\)"/>
    <numFmt numFmtId="166" formatCode="#,##0.0"/>
    <numFmt numFmtId="167" formatCode="mmmm\ d\,\ yyyy"/>
    <numFmt numFmtId="168" formatCode="0.0000%"/>
    <numFmt numFmtId="169" formatCode="0.0%"/>
  </numFmts>
  <fonts count="11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Helv"/>
    </font>
    <font>
      <sz val="12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</borders>
  <cellStyleXfs count="15">
    <xf numFmtId="0" fontId="0" fillId="0" borderId="0"/>
    <xf numFmtId="166" fontId="1" fillId="0" borderId="0" applyFill="0" applyBorder="0" applyAlignment="0" applyProtection="0"/>
    <xf numFmtId="3" fontId="1" fillId="0" borderId="0" applyFill="0" applyBorder="0" applyAlignment="0" applyProtection="0"/>
    <xf numFmtId="165" fontId="1" fillId="0" borderId="0" applyFill="0" applyBorder="0" applyAlignment="0" applyProtection="0"/>
    <xf numFmtId="164" fontId="1" fillId="0" borderId="0" applyFill="0" applyBorder="0" applyAlignment="0" applyProtection="0"/>
    <xf numFmtId="167" fontId="1" fillId="0" borderId="0" applyFill="0" applyBorder="0" applyAlignment="0" applyProtection="0"/>
    <xf numFmtId="2" fontId="1" fillId="0" borderId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" fillId="0" borderId="0"/>
    <xf numFmtId="0" fontId="4" fillId="0" borderId="0"/>
    <xf numFmtId="9" fontId="3" fillId="0" borderId="0" applyFont="0" applyFill="0" applyBorder="0" applyAlignment="0" applyProtection="0"/>
    <xf numFmtId="0" fontId="1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153">
    <xf numFmtId="0" fontId="0" fillId="0" borderId="0" xfId="0"/>
    <xf numFmtId="0" fontId="5" fillId="0" borderId="0" xfId="10" applyFont="1"/>
    <xf numFmtId="0" fontId="4" fillId="0" borderId="0" xfId="10"/>
    <xf numFmtId="0" fontId="6" fillId="0" borderId="0" xfId="10" applyFont="1" applyAlignment="1">
      <alignment horizontal="centerContinuous"/>
    </xf>
    <xf numFmtId="39" fontId="6" fillId="0" borderId="2" xfId="10" applyNumberFormat="1" applyFont="1" applyBorder="1" applyAlignment="1" applyProtection="1">
      <alignment horizontal="centerContinuous"/>
    </xf>
    <xf numFmtId="0" fontId="5" fillId="0" borderId="3" xfId="10" applyFont="1" applyBorder="1" applyAlignment="1">
      <alignment horizontal="centerContinuous"/>
    </xf>
    <xf numFmtId="0" fontId="5" fillId="0" borderId="4" xfId="10" applyFont="1" applyBorder="1" applyAlignment="1">
      <alignment horizontal="centerContinuous"/>
    </xf>
    <xf numFmtId="0" fontId="5" fillId="0" borderId="5" xfId="10" applyFont="1" applyBorder="1" applyAlignment="1">
      <alignment horizontal="centerContinuous"/>
    </xf>
    <xf numFmtId="0" fontId="5" fillId="0" borderId="6" xfId="10" applyFont="1" applyBorder="1" applyAlignment="1">
      <alignment horizontal="centerContinuous"/>
    </xf>
    <xf numFmtId="0" fontId="5" fillId="0" borderId="2" xfId="10" applyFont="1" applyBorder="1" applyAlignment="1">
      <alignment horizontal="centerContinuous"/>
    </xf>
    <xf numFmtId="0" fontId="5" fillId="0" borderId="7" xfId="10" applyFont="1" applyBorder="1" applyAlignment="1">
      <alignment horizontal="centerContinuous"/>
    </xf>
    <xf numFmtId="15" fontId="5" fillId="0" borderId="7" xfId="10" applyNumberFormat="1" applyFont="1" applyBorder="1" applyAlignment="1">
      <alignment horizontal="center"/>
    </xf>
    <xf numFmtId="0" fontId="5" fillId="0" borderId="3" xfId="10" applyFont="1" applyBorder="1"/>
    <xf numFmtId="0" fontId="5" fillId="0" borderId="4" xfId="10" applyFont="1" applyBorder="1"/>
    <xf numFmtId="0" fontId="5" fillId="0" borderId="5" xfId="10" applyFont="1" applyBorder="1"/>
    <xf numFmtId="0" fontId="5" fillId="0" borderId="8" xfId="10" applyFont="1" applyBorder="1"/>
    <xf numFmtId="0" fontId="5" fillId="0" borderId="9" xfId="10" applyFont="1" applyBorder="1"/>
    <xf numFmtId="0" fontId="5" fillId="0" borderId="0" xfId="10" applyFont="1" applyBorder="1"/>
    <xf numFmtId="0" fontId="5" fillId="0" borderId="10" xfId="10" applyFont="1" applyBorder="1" applyAlignment="1" applyProtection="1">
      <alignment horizontal="right"/>
    </xf>
    <xf numFmtId="0" fontId="5" fillId="0" borderId="10" xfId="10" applyFont="1" applyBorder="1"/>
    <xf numFmtId="0" fontId="5" fillId="0" borderId="11" xfId="10" applyFont="1" applyBorder="1" applyProtection="1"/>
    <xf numFmtId="0" fontId="6" fillId="0" borderId="12" xfId="10" applyFont="1" applyBorder="1" applyProtection="1"/>
    <xf numFmtId="0" fontId="5" fillId="0" borderId="6" xfId="10" applyFont="1" applyBorder="1"/>
    <xf numFmtId="0" fontId="5" fillId="0" borderId="2" xfId="10" applyFont="1" applyBorder="1"/>
    <xf numFmtId="0" fontId="5" fillId="0" borderId="7" xfId="10" applyFont="1" applyBorder="1"/>
    <xf numFmtId="0" fontId="4" fillId="0" borderId="0" xfId="11"/>
    <xf numFmtId="0" fontId="5" fillId="0" borderId="0" xfId="11" applyFont="1"/>
    <xf numFmtId="0" fontId="6" fillId="0" borderId="0" xfId="11" applyFont="1" applyAlignment="1">
      <alignment horizontal="centerContinuous"/>
    </xf>
    <xf numFmtId="39" fontId="6" fillId="0" borderId="2" xfId="11" applyNumberFormat="1" applyFont="1" applyBorder="1" applyAlignment="1" applyProtection="1">
      <alignment horizontal="centerContinuous"/>
    </xf>
    <xf numFmtId="0" fontId="5" fillId="0" borderId="3" xfId="11" applyFont="1" applyBorder="1" applyAlignment="1">
      <alignment horizontal="centerContinuous"/>
    </xf>
    <xf numFmtId="0" fontId="5" fillId="0" borderId="4" xfId="11" applyFont="1" applyBorder="1" applyAlignment="1">
      <alignment horizontal="centerContinuous"/>
    </xf>
    <xf numFmtId="14" fontId="5" fillId="0" borderId="8" xfId="11" applyNumberFormat="1" applyFont="1" applyBorder="1" applyAlignment="1">
      <alignment horizontal="center"/>
    </xf>
    <xf numFmtId="14" fontId="5" fillId="0" borderId="5" xfId="11" applyNumberFormat="1" applyFont="1" applyBorder="1" applyAlignment="1">
      <alignment horizontal="center"/>
    </xf>
    <xf numFmtId="14" fontId="6" fillId="0" borderId="5" xfId="11" applyNumberFormat="1" applyFont="1" applyBorder="1" applyAlignment="1">
      <alignment horizontal="center"/>
    </xf>
    <xf numFmtId="0" fontId="5" fillId="0" borderId="2" xfId="11" applyFont="1" applyBorder="1" applyAlignment="1">
      <alignment horizontal="centerContinuous"/>
    </xf>
    <xf numFmtId="15" fontId="5" fillId="0" borderId="7" xfId="11" applyNumberFormat="1" applyFont="1" applyBorder="1" applyAlignment="1">
      <alignment horizontal="center"/>
    </xf>
    <xf numFmtId="0" fontId="5" fillId="0" borderId="3" xfId="11" applyFont="1" applyBorder="1"/>
    <xf numFmtId="0" fontId="5" fillId="0" borderId="4" xfId="11" applyFont="1" applyBorder="1"/>
    <xf numFmtId="0" fontId="5" fillId="0" borderId="8" xfId="11" applyFont="1" applyBorder="1"/>
    <xf numFmtId="0" fontId="5" fillId="0" borderId="9" xfId="11" applyFont="1" applyBorder="1"/>
    <xf numFmtId="0" fontId="5" fillId="0" borderId="0" xfId="11" applyFont="1" applyBorder="1"/>
    <xf numFmtId="0" fontId="5" fillId="0" borderId="11" xfId="11" applyFont="1" applyBorder="1" applyProtection="1"/>
    <xf numFmtId="0" fontId="6" fillId="0" borderId="12" xfId="11" applyFont="1" applyBorder="1" applyProtection="1"/>
    <xf numFmtId="0" fontId="5" fillId="0" borderId="6" xfId="11" applyFont="1" applyBorder="1"/>
    <xf numFmtId="0" fontId="5" fillId="0" borderId="2" xfId="11" applyFont="1" applyBorder="1"/>
    <xf numFmtId="0" fontId="6" fillId="0" borderId="0" xfId="11" applyFont="1"/>
    <xf numFmtId="0" fontId="6" fillId="0" borderId="0" xfId="10" applyFont="1"/>
    <xf numFmtId="0" fontId="5" fillId="0" borderId="0" xfId="11" applyFont="1" applyAlignment="1">
      <alignment horizontal="right"/>
    </xf>
    <xf numFmtId="0" fontId="4" fillId="0" borderId="0" xfId="11" applyFont="1"/>
    <xf numFmtId="39" fontId="5" fillId="0" borderId="0" xfId="11" quotePrefix="1" applyNumberFormat="1" applyFont="1" applyBorder="1" applyAlignment="1" applyProtection="1">
      <alignment horizontal="center"/>
    </xf>
    <xf numFmtId="0" fontId="6" fillId="0" borderId="9" xfId="11" applyFont="1" applyBorder="1" applyAlignment="1">
      <alignment horizontal="centerContinuous"/>
    </xf>
    <xf numFmtId="0" fontId="6" fillId="0" borderId="0" xfId="11" applyFont="1" applyBorder="1" applyAlignment="1">
      <alignment horizontal="centerContinuous"/>
    </xf>
    <xf numFmtId="0" fontId="5" fillId="0" borderId="0" xfId="11" applyFont="1" applyBorder="1" applyAlignment="1">
      <alignment horizontal="centerContinuous"/>
    </xf>
    <xf numFmtId="0" fontId="5" fillId="0" borderId="5" xfId="11" applyFont="1" applyBorder="1"/>
    <xf numFmtId="0" fontId="5" fillId="0" borderId="10" xfId="11" applyFont="1" applyBorder="1" applyAlignment="1" applyProtection="1">
      <alignment horizontal="right"/>
    </xf>
    <xf numFmtId="0" fontId="5" fillId="0" borderId="10" xfId="11" applyFont="1" applyBorder="1"/>
    <xf numFmtId="0" fontId="5" fillId="0" borderId="7" xfId="11" applyFont="1" applyBorder="1"/>
    <xf numFmtId="0" fontId="5" fillId="0" borderId="9" xfId="11" quotePrefix="1" applyFont="1" applyBorder="1"/>
    <xf numFmtId="15" fontId="5" fillId="0" borderId="7" xfId="11" quotePrefix="1" applyNumberFormat="1" applyFont="1" applyBorder="1" applyAlignment="1">
      <alignment horizontal="center"/>
    </xf>
    <xf numFmtId="0" fontId="5" fillId="0" borderId="7" xfId="10" quotePrefix="1" applyNumberFormat="1" applyFont="1" applyBorder="1" applyAlignment="1">
      <alignment horizontal="center"/>
    </xf>
    <xf numFmtId="0" fontId="5" fillId="0" borderId="0" xfId="0" applyFont="1"/>
    <xf numFmtId="168" fontId="7" fillId="0" borderId="10" xfId="12" applyNumberFormat="1" applyFont="1" applyBorder="1"/>
    <xf numFmtId="168" fontId="7" fillId="0" borderId="10" xfId="11" applyNumberFormat="1" applyFont="1" applyBorder="1"/>
    <xf numFmtId="168" fontId="7" fillId="0" borderId="7" xfId="11" applyNumberFormat="1" applyFont="1" applyBorder="1"/>
    <xf numFmtId="168" fontId="8" fillId="0" borderId="10" xfId="12" applyNumberFormat="1" applyFont="1" applyBorder="1"/>
    <xf numFmtId="168" fontId="8" fillId="0" borderId="10" xfId="11" applyNumberFormat="1" applyFont="1" applyBorder="1"/>
    <xf numFmtId="40" fontId="5" fillId="0" borderId="13" xfId="11" applyNumberFormat="1" applyFont="1" applyBorder="1" applyProtection="1"/>
    <xf numFmtId="40" fontId="5" fillId="0" borderId="14" xfId="11" applyNumberFormat="1" applyFont="1" applyBorder="1" applyProtection="1"/>
    <xf numFmtId="40" fontId="6" fillId="0" borderId="13" xfId="11" applyNumberFormat="1" applyFont="1" applyBorder="1" applyProtection="1"/>
    <xf numFmtId="40" fontId="5" fillId="0" borderId="13" xfId="12" applyNumberFormat="1" applyFont="1" applyBorder="1" applyAlignment="1" applyProtection="1">
      <alignment horizontal="center"/>
    </xf>
    <xf numFmtId="40" fontId="5" fillId="0" borderId="13" xfId="11" quotePrefix="1" applyNumberFormat="1" applyFont="1" applyBorder="1" applyAlignment="1" applyProtection="1">
      <alignment horizontal="center"/>
    </xf>
    <xf numFmtId="40" fontId="5" fillId="0" borderId="13" xfId="12" applyNumberFormat="1" applyFont="1" applyBorder="1" applyProtection="1"/>
    <xf numFmtId="40" fontId="6" fillId="0" borderId="13" xfId="11" applyNumberFormat="1" applyFont="1" applyBorder="1" applyAlignment="1" applyProtection="1">
      <alignment horizontal="center"/>
    </xf>
    <xf numFmtId="40" fontId="5" fillId="0" borderId="15" xfId="11" applyNumberFormat="1" applyFont="1" applyBorder="1" applyProtection="1"/>
    <xf numFmtId="40" fontId="5" fillId="0" borderId="13" xfId="11" applyNumberFormat="1" applyFont="1" applyBorder="1"/>
    <xf numFmtId="40" fontId="6" fillId="0" borderId="16" xfId="11" applyNumberFormat="1" applyFont="1" applyBorder="1" applyProtection="1"/>
    <xf numFmtId="40" fontId="6" fillId="0" borderId="0" xfId="11" applyNumberFormat="1" applyFont="1" applyProtection="1"/>
    <xf numFmtId="40" fontId="4" fillId="0" borderId="0" xfId="11" applyNumberFormat="1"/>
    <xf numFmtId="40" fontId="5" fillId="0" borderId="0" xfId="12" applyNumberFormat="1" applyFont="1" applyBorder="1" applyProtection="1"/>
    <xf numFmtId="40" fontId="5" fillId="0" borderId="13" xfId="10" applyNumberFormat="1" applyFont="1" applyBorder="1" applyProtection="1"/>
    <xf numFmtId="40" fontId="5" fillId="0" borderId="14" xfId="10" applyNumberFormat="1" applyFont="1" applyBorder="1" applyProtection="1"/>
    <xf numFmtId="40" fontId="6" fillId="0" borderId="13" xfId="10" applyNumberFormat="1" applyFont="1" applyBorder="1" applyProtection="1"/>
    <xf numFmtId="40" fontId="6" fillId="0" borderId="13" xfId="10" applyNumberFormat="1" applyFont="1" applyBorder="1" applyAlignment="1" applyProtection="1">
      <alignment horizontal="center"/>
    </xf>
    <xf numFmtId="40" fontId="5" fillId="0" borderId="15" xfId="10" applyNumberFormat="1" applyFont="1" applyBorder="1" applyProtection="1"/>
    <xf numFmtId="40" fontId="5" fillId="0" borderId="13" xfId="10" applyNumberFormat="1" applyFont="1" applyBorder="1"/>
    <xf numFmtId="40" fontId="6" fillId="0" borderId="16" xfId="10" applyNumberFormat="1" applyFont="1" applyBorder="1" applyProtection="1"/>
    <xf numFmtId="40" fontId="6" fillId="0" borderId="0" xfId="10" applyNumberFormat="1" applyFont="1" applyProtection="1"/>
    <xf numFmtId="40" fontId="4" fillId="0" borderId="0" xfId="10" applyNumberFormat="1"/>
    <xf numFmtId="40" fontId="5" fillId="0" borderId="10" xfId="11" applyNumberFormat="1" applyFont="1" applyBorder="1" applyProtection="1"/>
    <xf numFmtId="0" fontId="5" fillId="0" borderId="6" xfId="11" quotePrefix="1" applyFont="1" applyBorder="1"/>
    <xf numFmtId="40" fontId="5" fillId="0" borderId="15" xfId="12" applyNumberFormat="1" applyFont="1" applyBorder="1" applyAlignment="1" applyProtection="1">
      <alignment horizontal="center"/>
    </xf>
    <xf numFmtId="40" fontId="5" fillId="0" borderId="0" xfId="11" applyNumberFormat="1" applyFont="1" applyBorder="1" applyProtection="1"/>
    <xf numFmtId="40" fontId="5" fillId="0" borderId="0" xfId="11" quotePrefix="1" applyNumberFormat="1" applyFont="1" applyBorder="1" applyAlignment="1" applyProtection="1">
      <alignment horizontal="center"/>
    </xf>
    <xf numFmtId="40" fontId="5" fillId="0" borderId="2" xfId="11" applyNumberFormat="1" applyFont="1" applyBorder="1" applyProtection="1"/>
    <xf numFmtId="40" fontId="5" fillId="0" borderId="7" xfId="11" applyNumberFormat="1" applyFont="1" applyBorder="1" applyProtection="1"/>
    <xf numFmtId="169" fontId="5" fillId="0" borderId="10" xfId="11" applyNumberFormat="1" applyFont="1" applyBorder="1" applyAlignment="1" applyProtection="1">
      <alignment horizontal="right"/>
    </xf>
    <xf numFmtId="0" fontId="10" fillId="0" borderId="0" xfId="11" applyFont="1"/>
    <xf numFmtId="0" fontId="10" fillId="0" borderId="0" xfId="11" applyFont="1" applyAlignment="1">
      <alignment horizontal="right"/>
    </xf>
    <xf numFmtId="0" fontId="9" fillId="0" borderId="0" xfId="11" applyFont="1" applyAlignment="1">
      <alignment horizontal="centerContinuous"/>
    </xf>
    <xf numFmtId="39" fontId="9" fillId="0" borderId="2" xfId="11" applyNumberFormat="1" applyFont="1" applyBorder="1" applyAlignment="1" applyProtection="1">
      <alignment horizontal="centerContinuous"/>
    </xf>
    <xf numFmtId="0" fontId="10" fillId="0" borderId="3" xfId="11" applyFont="1" applyBorder="1" applyAlignment="1">
      <alignment horizontal="centerContinuous"/>
    </xf>
    <xf numFmtId="0" fontId="10" fillId="0" borderId="4" xfId="11" applyFont="1" applyBorder="1" applyAlignment="1">
      <alignment horizontal="centerContinuous"/>
    </xf>
    <xf numFmtId="14" fontId="9" fillId="0" borderId="5" xfId="11" applyNumberFormat="1" applyFont="1" applyBorder="1" applyAlignment="1">
      <alignment horizontal="center"/>
    </xf>
    <xf numFmtId="0" fontId="10" fillId="0" borderId="2" xfId="11" applyFont="1" applyBorder="1" applyAlignment="1">
      <alignment horizontal="centerContinuous"/>
    </xf>
    <xf numFmtId="15" fontId="10" fillId="0" borderId="7" xfId="11" applyNumberFormat="1" applyFont="1" applyBorder="1" applyAlignment="1">
      <alignment horizontal="center"/>
    </xf>
    <xf numFmtId="0" fontId="10" fillId="0" borderId="7" xfId="10" quotePrefix="1" applyNumberFormat="1" applyFont="1" applyBorder="1" applyAlignment="1">
      <alignment horizontal="center"/>
    </xf>
    <xf numFmtId="0" fontId="10" fillId="0" borderId="3" xfId="11" applyFont="1" applyBorder="1"/>
    <xf numFmtId="0" fontId="10" fillId="0" borderId="4" xfId="11" applyFont="1" applyBorder="1"/>
    <xf numFmtId="0" fontId="10" fillId="0" borderId="5" xfId="11" applyFont="1" applyBorder="1"/>
    <xf numFmtId="0" fontId="10" fillId="0" borderId="8" xfId="11" applyFont="1" applyBorder="1"/>
    <xf numFmtId="0" fontId="10" fillId="0" borderId="9" xfId="11" applyFont="1" applyBorder="1"/>
    <xf numFmtId="0" fontId="10" fillId="0" borderId="0" xfId="11" applyFont="1" applyBorder="1"/>
    <xf numFmtId="40" fontId="10" fillId="0" borderId="13" xfId="11" applyNumberFormat="1" applyFont="1" applyBorder="1" applyProtection="1"/>
    <xf numFmtId="40" fontId="10" fillId="0" borderId="14" xfId="11" applyNumberFormat="1" applyFont="1" applyBorder="1" applyProtection="1"/>
    <xf numFmtId="0" fontId="9" fillId="0" borderId="9" xfId="11" applyFont="1" applyBorder="1" applyAlignment="1">
      <alignment horizontal="centerContinuous"/>
    </xf>
    <xf numFmtId="0" fontId="10" fillId="0" borderId="0" xfId="10" applyFont="1" applyBorder="1"/>
    <xf numFmtId="0" fontId="10" fillId="0" borderId="0" xfId="11" applyFont="1" applyBorder="1" applyAlignment="1">
      <alignment horizontal="centerContinuous"/>
    </xf>
    <xf numFmtId="0" fontId="10" fillId="0" borderId="10" xfId="11" applyFont="1" applyBorder="1"/>
    <xf numFmtId="40" fontId="9" fillId="0" borderId="13" xfId="11" applyNumberFormat="1" applyFont="1" applyBorder="1" applyProtection="1"/>
    <xf numFmtId="0" fontId="9" fillId="0" borderId="0" xfId="11" applyFont="1" applyBorder="1" applyAlignment="1">
      <alignment horizontal="centerContinuous"/>
    </xf>
    <xf numFmtId="40" fontId="10" fillId="0" borderId="15" xfId="11" applyNumberFormat="1" applyFont="1" applyBorder="1" applyProtection="1"/>
    <xf numFmtId="0" fontId="10" fillId="0" borderId="9" xfId="11" quotePrefix="1" applyFont="1" applyBorder="1"/>
    <xf numFmtId="40" fontId="10" fillId="0" borderId="0" xfId="12" applyNumberFormat="1" applyFont="1" applyBorder="1" applyProtection="1"/>
    <xf numFmtId="0" fontId="10" fillId="0" borderId="2" xfId="11" applyFont="1" applyBorder="1"/>
    <xf numFmtId="14" fontId="10" fillId="0" borderId="8" xfId="11" applyNumberFormat="1" applyFont="1" applyBorder="1" applyAlignment="1">
      <alignment horizontal="center"/>
    </xf>
    <xf numFmtId="14" fontId="10" fillId="0" borderId="5" xfId="11" applyNumberFormat="1" applyFont="1" applyBorder="1" applyAlignment="1">
      <alignment horizontal="center"/>
    </xf>
    <xf numFmtId="0" fontId="10" fillId="0" borderId="6" xfId="10" applyFont="1" applyBorder="1" applyAlignment="1">
      <alignment horizontal="centerContinuous"/>
    </xf>
    <xf numFmtId="169" fontId="10" fillId="0" borderId="10" xfId="11" applyNumberFormat="1" applyFont="1" applyBorder="1" applyAlignment="1" applyProtection="1">
      <alignment horizontal="right"/>
    </xf>
    <xf numFmtId="40" fontId="10" fillId="0" borderId="15" xfId="12" applyNumberFormat="1" applyFont="1" applyBorder="1" applyAlignment="1" applyProtection="1">
      <alignment horizontal="center"/>
    </xf>
    <xf numFmtId="40" fontId="10" fillId="0" borderId="0" xfId="11" applyNumberFormat="1" applyFont="1" applyBorder="1" applyProtection="1"/>
    <xf numFmtId="40" fontId="10" fillId="0" borderId="0" xfId="11" quotePrefix="1" applyNumberFormat="1" applyFont="1" applyBorder="1" applyAlignment="1" applyProtection="1">
      <alignment horizontal="center"/>
    </xf>
    <xf numFmtId="40" fontId="10" fillId="0" borderId="10" xfId="11" applyNumberFormat="1" applyFont="1" applyBorder="1" applyProtection="1"/>
    <xf numFmtId="0" fontId="10" fillId="0" borderId="6" xfId="11" quotePrefix="1" applyFont="1" applyBorder="1"/>
    <xf numFmtId="40" fontId="10" fillId="0" borderId="2" xfId="11" applyNumberFormat="1" applyFont="1" applyBorder="1" applyProtection="1"/>
    <xf numFmtId="40" fontId="10" fillId="0" borderId="7" xfId="11" applyNumberFormat="1" applyFont="1" applyBorder="1" applyProtection="1"/>
    <xf numFmtId="0" fontId="7" fillId="0" borderId="0" xfId="11" applyFont="1" applyBorder="1"/>
    <xf numFmtId="169" fontId="7" fillId="0" borderId="10" xfId="11" applyNumberFormat="1" applyFont="1" applyBorder="1" applyAlignment="1" applyProtection="1">
      <alignment horizontal="right"/>
    </xf>
    <xf numFmtId="0" fontId="7" fillId="0" borderId="0" xfId="11" applyFont="1" applyBorder="1" applyAlignment="1">
      <alignment horizontal="centerContinuous"/>
    </xf>
    <xf numFmtId="0" fontId="7" fillId="0" borderId="10" xfId="11" applyFont="1" applyBorder="1"/>
    <xf numFmtId="0" fontId="7" fillId="0" borderId="2" xfId="11" applyFont="1" applyBorder="1"/>
    <xf numFmtId="0" fontId="2" fillId="0" borderId="0" xfId="11" applyFont="1"/>
    <xf numFmtId="14" fontId="1" fillId="0" borderId="8" xfId="14" applyNumberFormat="1" applyFont="1" applyBorder="1" applyAlignment="1">
      <alignment horizontal="center"/>
    </xf>
    <xf numFmtId="14" fontId="1" fillId="0" borderId="4" xfId="14" applyNumberFormat="1" applyFont="1" applyBorder="1" applyAlignment="1">
      <alignment horizontal="center"/>
    </xf>
    <xf numFmtId="15" fontId="10" fillId="0" borderId="15" xfId="11" applyNumberFormat="1" applyFont="1" applyBorder="1" applyAlignment="1">
      <alignment horizontal="center"/>
    </xf>
    <xf numFmtId="0" fontId="1" fillId="0" borderId="15" xfId="14" applyNumberFormat="1" applyFont="1" applyBorder="1" applyAlignment="1">
      <alignment horizontal="center"/>
    </xf>
    <xf numFmtId="4" fontId="0" fillId="0" borderId="0" xfId="0" applyNumberFormat="1" applyBorder="1"/>
    <xf numFmtId="4" fontId="0" fillId="0" borderId="0" xfId="0" applyNumberFormat="1"/>
    <xf numFmtId="40" fontId="9" fillId="0" borderId="17" xfId="11" applyNumberFormat="1" applyFont="1" applyBorder="1" applyProtection="1"/>
    <xf numFmtId="40" fontId="10" fillId="0" borderId="18" xfId="11" applyNumberFormat="1" applyFont="1" applyBorder="1" applyProtection="1"/>
    <xf numFmtId="0" fontId="10" fillId="0" borderId="5" xfId="11" applyFont="1" applyBorder="1" applyAlignment="1">
      <alignment horizontal="center"/>
    </xf>
    <xf numFmtId="0" fontId="10" fillId="0" borderId="7" xfId="11" applyFont="1" applyBorder="1" applyAlignment="1">
      <alignment horizontal="center"/>
    </xf>
    <xf numFmtId="0" fontId="5" fillId="0" borderId="5" xfId="11" applyFont="1" applyBorder="1" applyAlignment="1">
      <alignment horizontal="center"/>
    </xf>
    <xf numFmtId="0" fontId="5" fillId="0" borderId="7" xfId="11" applyFont="1" applyBorder="1" applyAlignment="1">
      <alignment horizontal="center"/>
    </xf>
  </cellXfs>
  <cellStyles count="15">
    <cellStyle name="Comma" xfId="1" xr:uid="{00000000-0005-0000-0000-000000000000}"/>
    <cellStyle name="Comma0" xfId="2" xr:uid="{00000000-0005-0000-0000-000001000000}"/>
    <cellStyle name="Currency" xfId="3" xr:uid="{00000000-0005-0000-0000-000002000000}"/>
    <cellStyle name="Currency0" xfId="4" xr:uid="{00000000-0005-0000-0000-000003000000}"/>
    <cellStyle name="Date" xfId="5" xr:uid="{00000000-0005-0000-0000-000004000000}"/>
    <cellStyle name="Fixed" xfId="6" xr:uid="{00000000-0005-0000-0000-000005000000}"/>
    <cellStyle name="Heading 1" xfId="7" xr:uid="{00000000-0005-0000-0000-000006000000}"/>
    <cellStyle name="Heading 2" xfId="8" xr:uid="{00000000-0005-0000-0000-000007000000}"/>
    <cellStyle name="Normal" xfId="0" builtinId="0"/>
    <cellStyle name="normal 2" xfId="9" xr:uid="{00000000-0005-0000-0000-000009000000}"/>
    <cellStyle name="Normal_CANON 2000" xfId="10" xr:uid="{00000000-0005-0000-0000-00000A000000}"/>
    <cellStyle name="Normal_CANON 2001" xfId="11" xr:uid="{00000000-0005-0000-0000-00000B000000}"/>
    <cellStyle name="normal_CANON POR AÑO PIURA" xfId="14" xr:uid="{00000000-0005-0000-0000-00000C000000}"/>
    <cellStyle name="Percent" xfId="12" xr:uid="{00000000-0005-0000-0000-00000D000000}"/>
    <cellStyle name="Total" xfId="13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zoomScale="115" zoomScaleNormal="115" workbookViewId="0">
      <selection activeCell="A10" sqref="A10"/>
    </sheetView>
  </sheetViews>
  <sheetFormatPr baseColWidth="10" defaultColWidth="12.5703125" defaultRowHeight="14.25" x14ac:dyDescent="0.2"/>
  <cols>
    <col min="1" max="2" width="17.5703125" style="96" customWidth="1"/>
    <col min="3" max="3" width="11" style="96" customWidth="1"/>
    <col min="4" max="4" width="9.42578125" style="96" customWidth="1"/>
    <col min="5" max="17" width="17.5703125" style="96" customWidth="1"/>
    <col min="18" max="16384" width="12.5703125" style="96"/>
  </cols>
  <sheetData>
    <row r="1" spans="1:17" ht="15.75" x14ac:dyDescent="0.25">
      <c r="A1" s="45" t="s">
        <v>0</v>
      </c>
      <c r="Q1" s="97"/>
    </row>
    <row r="2" spans="1:17" ht="15" x14ac:dyDescent="0.25">
      <c r="A2" s="98" t="s">
        <v>54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</row>
    <row r="3" spans="1:17" ht="15" x14ac:dyDescent="0.25">
      <c r="A3" s="98" t="s">
        <v>55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</row>
    <row r="4" spans="1:17" ht="15" x14ac:dyDescent="0.25">
      <c r="A4" s="99" t="s">
        <v>338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</row>
    <row r="5" spans="1:17" ht="15" x14ac:dyDescent="0.2">
      <c r="A5" s="100" t="s">
        <v>46</v>
      </c>
      <c r="B5" s="101"/>
      <c r="C5" s="101"/>
      <c r="D5" s="149" t="s">
        <v>52</v>
      </c>
      <c r="E5" s="141" t="str">
        <f>"Ene."&amp;Q6</f>
        <v>Ene.2026</v>
      </c>
      <c r="F5" s="142" t="str">
        <f>"Feb."&amp;Q6</f>
        <v>Feb.2026</v>
      </c>
      <c r="G5" s="141" t="str">
        <f>"Mar."&amp;Q6</f>
        <v>Mar.2026</v>
      </c>
      <c r="H5" s="141" t="str">
        <f>"Abr."&amp;Q6</f>
        <v>Abr.2026</v>
      </c>
      <c r="I5" s="141" t="str">
        <f>"May."&amp;Q6</f>
        <v>May.2026</v>
      </c>
      <c r="J5" s="141" t="str">
        <f>"Jun."&amp;Q6</f>
        <v>Jun.2026</v>
      </c>
      <c r="K5" s="141" t="str">
        <f>"Jul."&amp;Q6</f>
        <v>Jul.2026</v>
      </c>
      <c r="L5" s="141" t="str">
        <f>"Ago."&amp;Q6</f>
        <v>Ago.2026</v>
      </c>
      <c r="M5" s="141" t="str">
        <f>"Sep."&amp;Q6</f>
        <v>Sep.2026</v>
      </c>
      <c r="N5" s="141" t="str">
        <f>"Oct."&amp;Q6</f>
        <v>Oct.2026</v>
      </c>
      <c r="O5" s="141" t="str">
        <f>"Nov."&amp;Q6</f>
        <v>Nov.2026</v>
      </c>
      <c r="P5" s="141" t="str">
        <f>"Dic."&amp;Q6</f>
        <v>Dic.2026</v>
      </c>
      <c r="Q5" s="141" t="s">
        <v>48</v>
      </c>
    </row>
    <row r="6" spans="1:17" ht="15" x14ac:dyDescent="0.2">
      <c r="A6" s="126" t="s">
        <v>47</v>
      </c>
      <c r="B6" s="103"/>
      <c r="C6" s="103"/>
      <c r="D6" s="150"/>
      <c r="E6" s="143">
        <v>46072</v>
      </c>
      <c r="F6" s="104">
        <v>46101</v>
      </c>
      <c r="G6" s="104">
        <v>46134</v>
      </c>
      <c r="H6" s="104">
        <v>46163</v>
      </c>
      <c r="I6" s="104">
        <v>46191</v>
      </c>
      <c r="J6" s="104">
        <v>46224</v>
      </c>
      <c r="K6" s="104">
        <v>46254</v>
      </c>
      <c r="L6" s="104"/>
      <c r="M6" s="104"/>
      <c r="N6" s="104"/>
      <c r="O6" s="104"/>
      <c r="P6" s="104"/>
      <c r="Q6" s="144">
        <v>2026</v>
      </c>
    </row>
    <row r="7" spans="1:17" x14ac:dyDescent="0.2">
      <c r="A7" s="106"/>
      <c r="B7" s="107"/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</row>
    <row r="8" spans="1:17" x14ac:dyDescent="0.2">
      <c r="A8" s="110" t="s">
        <v>63</v>
      </c>
      <c r="B8" s="111"/>
      <c r="C8" s="111"/>
      <c r="D8" s="127" t="s">
        <v>72</v>
      </c>
      <c r="E8" s="112">
        <v>1549199.47</v>
      </c>
      <c r="F8" s="112">
        <v>1595985.84</v>
      </c>
      <c r="G8" s="146">
        <v>2567516.0100000002</v>
      </c>
      <c r="H8" s="112">
        <v>2484622.7999999998</v>
      </c>
      <c r="I8" s="112">
        <v>2590138.1</v>
      </c>
      <c r="J8" s="112">
        <v>1925172.2000000002</v>
      </c>
      <c r="K8" s="112">
        <v>1732891.14</v>
      </c>
      <c r="L8" s="112"/>
      <c r="M8" s="112"/>
      <c r="N8" s="112"/>
      <c r="O8" s="112"/>
      <c r="P8" s="112"/>
      <c r="Q8" s="112">
        <f>SUM(E8:P8)</f>
        <v>14445525.560000002</v>
      </c>
    </row>
    <row r="9" spans="1:17" x14ac:dyDescent="0.2">
      <c r="A9" s="110" t="s">
        <v>70</v>
      </c>
      <c r="B9" s="111"/>
      <c r="C9" s="111"/>
      <c r="D9" s="127" t="s">
        <v>71</v>
      </c>
      <c r="E9" s="112">
        <v>27807.66</v>
      </c>
      <c r="F9" s="112">
        <v>27142.38</v>
      </c>
      <c r="G9" s="146">
        <v>27504.87</v>
      </c>
      <c r="H9" s="112">
        <v>61696.55</v>
      </c>
      <c r="I9" s="112">
        <v>55801.82</v>
      </c>
      <c r="J9" s="112">
        <v>35924.71</v>
      </c>
      <c r="K9" s="112">
        <v>33820.559999999998</v>
      </c>
      <c r="L9" s="112"/>
      <c r="M9" s="112"/>
      <c r="N9" s="112"/>
      <c r="O9" s="112"/>
      <c r="P9" s="112"/>
      <c r="Q9" s="112">
        <f t="shared" ref="Q9:Q12" si="0">SUM(E9:P9)</f>
        <v>269698.55000000005</v>
      </c>
    </row>
    <row r="10" spans="1:17" x14ac:dyDescent="0.2">
      <c r="A10" s="110" t="s">
        <v>339</v>
      </c>
      <c r="B10" s="111"/>
      <c r="C10" s="111"/>
      <c r="D10" s="127">
        <v>0.05</v>
      </c>
      <c r="E10" s="112">
        <v>177482.16</v>
      </c>
      <c r="F10" s="112">
        <v>181298.51999999996</v>
      </c>
      <c r="G10" s="146">
        <v>275086.65999999997</v>
      </c>
      <c r="H10" s="112">
        <v>302184.56</v>
      </c>
      <c r="I10" s="112">
        <v>306284.36</v>
      </c>
      <c r="J10" s="112">
        <v>221958.56</v>
      </c>
      <c r="K10" s="112">
        <v>201311.92</v>
      </c>
      <c r="L10" s="112"/>
      <c r="M10" s="112"/>
      <c r="N10" s="112"/>
      <c r="O10" s="112"/>
      <c r="P10" s="112"/>
      <c r="Q10" s="112">
        <f t="shared" si="0"/>
        <v>1665606.7399999998</v>
      </c>
    </row>
    <row r="11" spans="1:17" x14ac:dyDescent="0.2">
      <c r="A11" s="110" t="s">
        <v>66</v>
      </c>
      <c r="B11" s="111"/>
      <c r="C11" s="111"/>
      <c r="D11" s="127" t="s">
        <v>68</v>
      </c>
      <c r="E11" s="112">
        <v>97220.08</v>
      </c>
      <c r="F11" s="112">
        <v>99731.65</v>
      </c>
      <c r="G11" s="146">
        <v>155883.71000000002</v>
      </c>
      <c r="H11" s="112">
        <v>160745.21</v>
      </c>
      <c r="I11" s="112">
        <v>165170.02000000002</v>
      </c>
      <c r="J11" s="112">
        <v>121200.23999999999</v>
      </c>
      <c r="K11" s="112">
        <v>109513.62</v>
      </c>
      <c r="L11" s="112"/>
      <c r="M11" s="112"/>
      <c r="N11" s="112"/>
      <c r="O11" s="112"/>
      <c r="P11" s="112"/>
      <c r="Q11" s="112">
        <f t="shared" si="0"/>
        <v>909464.53</v>
      </c>
    </row>
    <row r="12" spans="1:17" ht="15" thickBot="1" x14ac:dyDescent="0.25">
      <c r="A12" s="110" t="s">
        <v>50</v>
      </c>
      <c r="B12" s="111"/>
      <c r="C12" s="111"/>
      <c r="D12" s="127" t="s">
        <v>69</v>
      </c>
      <c r="E12" s="148">
        <v>1697933.8899999997</v>
      </c>
      <c r="F12" s="148">
        <v>1721811.9499999995</v>
      </c>
      <c r="G12" s="146">
        <v>2475741.9700000016</v>
      </c>
      <c r="H12" s="113">
        <v>3034441.94</v>
      </c>
      <c r="I12" s="113">
        <v>3008293.2700000005</v>
      </c>
      <c r="J12" s="113">
        <v>2134915.7400000012</v>
      </c>
      <c r="K12" s="113">
        <v>1948700.8599999994</v>
      </c>
      <c r="L12" s="113"/>
      <c r="M12" s="113"/>
      <c r="N12" s="113"/>
      <c r="O12" s="113"/>
      <c r="P12" s="113"/>
      <c r="Q12" s="113">
        <f t="shared" si="0"/>
        <v>16021839.620000001</v>
      </c>
    </row>
    <row r="13" spans="1:17" ht="15.75" thickTop="1" x14ac:dyDescent="0.25">
      <c r="A13" s="114"/>
      <c r="B13" s="115" t="s">
        <v>59</v>
      </c>
      <c r="C13" s="116"/>
      <c r="D13" s="117"/>
      <c r="E13" s="118">
        <f t="shared" ref="E13:Q13" si="1">SUM(E8:E12)</f>
        <v>3549643.26</v>
      </c>
      <c r="F13" s="118">
        <f t="shared" si="1"/>
        <v>3625970.3399999994</v>
      </c>
      <c r="G13" s="147">
        <f t="shared" si="1"/>
        <v>5501733.2200000025</v>
      </c>
      <c r="H13" s="118">
        <f t="shared" si="1"/>
        <v>6043691.0599999996</v>
      </c>
      <c r="I13" s="118">
        <f t="shared" si="1"/>
        <v>6125687.5700000003</v>
      </c>
      <c r="J13" s="118">
        <f t="shared" si="1"/>
        <v>4439171.4500000011</v>
      </c>
      <c r="K13" s="118">
        <f t="shared" si="1"/>
        <v>4026238.0999999992</v>
      </c>
      <c r="L13" s="118">
        <f t="shared" si="1"/>
        <v>0</v>
      </c>
      <c r="M13" s="118">
        <f t="shared" si="1"/>
        <v>0</v>
      </c>
      <c r="N13" s="118">
        <f t="shared" si="1"/>
        <v>0</v>
      </c>
      <c r="O13" s="118">
        <f t="shared" si="1"/>
        <v>0</v>
      </c>
      <c r="P13" s="118">
        <f t="shared" si="1"/>
        <v>0</v>
      </c>
      <c r="Q13" s="118">
        <f t="shared" si="1"/>
        <v>33312135.000000004</v>
      </c>
    </row>
    <row r="14" spans="1:17" ht="15" x14ac:dyDescent="0.25">
      <c r="A14" s="114"/>
      <c r="B14" s="119"/>
      <c r="C14" s="116"/>
      <c r="D14" s="117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0"/>
    </row>
    <row r="15" spans="1:17" x14ac:dyDescent="0.2">
      <c r="A15" s="121" t="s">
        <v>67</v>
      </c>
      <c r="B15" s="111"/>
      <c r="C15" s="111"/>
      <c r="D15" s="111"/>
      <c r="E15" s="129"/>
      <c r="F15" s="129"/>
      <c r="G15" s="129"/>
      <c r="H15" s="129"/>
      <c r="I15" s="129"/>
      <c r="J15" s="130"/>
      <c r="K15" s="129"/>
      <c r="L15" s="129"/>
      <c r="M15" s="129"/>
      <c r="N15" s="129"/>
      <c r="O15" s="129"/>
      <c r="P15" s="122"/>
      <c r="Q15" s="131"/>
    </row>
    <row r="16" spans="1:17" x14ac:dyDescent="0.2">
      <c r="A16" s="132"/>
      <c r="B16" s="123"/>
      <c r="C16" s="123"/>
      <c r="D16" s="12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4"/>
    </row>
  </sheetData>
  <mergeCells count="1">
    <mergeCell ref="D5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7"/>
  <sheetViews>
    <sheetView topLeftCell="M1" zoomScale="115" zoomScaleNormal="115" workbookViewId="0">
      <selection activeCell="M30" sqref="M30"/>
    </sheetView>
  </sheetViews>
  <sheetFormatPr baseColWidth="10" defaultColWidth="12.5703125" defaultRowHeight="14.25" x14ac:dyDescent="0.2"/>
  <cols>
    <col min="1" max="2" width="17.5703125" style="96" customWidth="1"/>
    <col min="3" max="3" width="11" style="96" customWidth="1"/>
    <col min="4" max="4" width="9.42578125" style="96" customWidth="1"/>
    <col min="5" max="17" width="17.5703125" style="96" customWidth="1"/>
    <col min="18" max="16384" width="12.5703125" style="96"/>
  </cols>
  <sheetData>
    <row r="1" spans="1:17" ht="15.75" x14ac:dyDescent="0.25">
      <c r="A1" s="45" t="s">
        <v>0</v>
      </c>
      <c r="Q1" s="97"/>
    </row>
    <row r="2" spans="1:17" ht="15" x14ac:dyDescent="0.25">
      <c r="A2" s="98" t="s">
        <v>54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</row>
    <row r="3" spans="1:17" ht="15" x14ac:dyDescent="0.25">
      <c r="A3" s="98" t="s">
        <v>55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</row>
    <row r="4" spans="1:17" ht="15" x14ac:dyDescent="0.25">
      <c r="A4" s="99" t="s">
        <v>338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</row>
    <row r="5" spans="1:17" ht="15" x14ac:dyDescent="0.2">
      <c r="A5" s="100" t="s">
        <v>46</v>
      </c>
      <c r="B5" s="101"/>
      <c r="C5" s="101"/>
      <c r="D5" s="149" t="s">
        <v>52</v>
      </c>
      <c r="E5" s="141" t="str">
        <f>"Ene."&amp;Q6</f>
        <v>Ene.2025</v>
      </c>
      <c r="F5" s="142" t="str">
        <f>"Feb."&amp;Q6</f>
        <v>Feb.2025</v>
      </c>
      <c r="G5" s="141" t="str">
        <f>"Mar."&amp;Q6</f>
        <v>Mar.2025</v>
      </c>
      <c r="H5" s="141" t="str">
        <f>"Abr."&amp;Q6</f>
        <v>Abr.2025</v>
      </c>
      <c r="I5" s="141" t="str">
        <f>"May."&amp;Q6</f>
        <v>May.2025</v>
      </c>
      <c r="J5" s="141" t="str">
        <f>"Jun."&amp;Q6</f>
        <v>Jun.2025</v>
      </c>
      <c r="K5" s="141" t="str">
        <f>"Jul."&amp;Q6</f>
        <v>Jul.2025</v>
      </c>
      <c r="L5" s="141" t="str">
        <f>"Ago."&amp;Q6</f>
        <v>Ago.2025</v>
      </c>
      <c r="M5" s="141" t="str">
        <f>"Sep."&amp;Q6</f>
        <v>Sep.2025</v>
      </c>
      <c r="N5" s="141" t="str">
        <f>"Oct."&amp;Q6</f>
        <v>Oct.2025</v>
      </c>
      <c r="O5" s="141" t="str">
        <f>"Nov."&amp;Q6</f>
        <v>Nov.2025</v>
      </c>
      <c r="P5" s="141" t="str">
        <f>"Dic."&amp;Q6</f>
        <v>Dic.2025</v>
      </c>
      <c r="Q5" s="141" t="s">
        <v>48</v>
      </c>
    </row>
    <row r="6" spans="1:17" ht="15" x14ac:dyDescent="0.2">
      <c r="A6" s="126" t="s">
        <v>47</v>
      </c>
      <c r="B6" s="103"/>
      <c r="C6" s="103"/>
      <c r="D6" s="150"/>
      <c r="E6" s="143">
        <v>45708</v>
      </c>
      <c r="F6" s="104">
        <v>45736</v>
      </c>
      <c r="G6" s="104">
        <v>45769</v>
      </c>
      <c r="H6" s="104">
        <v>45798</v>
      </c>
      <c r="I6" s="104">
        <v>45827</v>
      </c>
      <c r="J6" s="104">
        <v>45856</v>
      </c>
      <c r="K6" s="104">
        <v>45890</v>
      </c>
      <c r="L6" s="104">
        <v>45918</v>
      </c>
      <c r="M6" s="104">
        <v>45951</v>
      </c>
      <c r="N6" s="104">
        <v>45981</v>
      </c>
      <c r="O6" s="104">
        <v>46013</v>
      </c>
      <c r="P6" s="104">
        <v>46045</v>
      </c>
      <c r="Q6" s="144">
        <v>2025</v>
      </c>
    </row>
    <row r="7" spans="1:17" x14ac:dyDescent="0.2">
      <c r="A7" s="106"/>
      <c r="B7" s="107"/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</row>
    <row r="8" spans="1:17" x14ac:dyDescent="0.2">
      <c r="A8" s="110" t="s">
        <v>63</v>
      </c>
      <c r="B8" s="111"/>
      <c r="C8" s="111"/>
      <c r="D8" s="127" t="s">
        <v>72</v>
      </c>
      <c r="E8" s="112">
        <v>3015415.8</v>
      </c>
      <c r="F8" s="112">
        <v>2764589.48</v>
      </c>
      <c r="G8" s="112">
        <v>2971247.76</v>
      </c>
      <c r="H8" s="112">
        <v>2599517.67</v>
      </c>
      <c r="I8" s="112">
        <v>2054644.16</v>
      </c>
      <c r="J8" s="112">
        <v>2120649.0499999998</v>
      </c>
      <c r="K8" s="112">
        <v>2377640.9500000002</v>
      </c>
      <c r="L8" s="112">
        <v>2028789.72</v>
      </c>
      <c r="M8" s="112">
        <v>1764103.87</v>
      </c>
      <c r="N8" s="112">
        <v>1510638.83</v>
      </c>
      <c r="O8" s="112">
        <v>1274019.73</v>
      </c>
      <c r="P8" s="112">
        <v>1538771.2</v>
      </c>
      <c r="Q8" s="112">
        <f>SUM(E8:P8)</f>
        <v>26020028.219999999</v>
      </c>
    </row>
    <row r="9" spans="1:17" x14ac:dyDescent="0.2">
      <c r="A9" s="110" t="s">
        <v>70</v>
      </c>
      <c r="B9" s="111"/>
      <c r="C9" s="111"/>
      <c r="D9" s="127" t="s">
        <v>71</v>
      </c>
      <c r="E9" s="112">
        <v>5693.4</v>
      </c>
      <c r="F9" s="112">
        <v>20969.27</v>
      </c>
      <c r="G9" s="112">
        <v>23331.17</v>
      </c>
      <c r="H9" s="112">
        <v>38470.980000000003</v>
      </c>
      <c r="I9" s="112">
        <v>15353.39</v>
      </c>
      <c r="J9" s="112">
        <v>17011.240000000002</v>
      </c>
      <c r="K9" s="112">
        <v>31134.02</v>
      </c>
      <c r="L9" s="112">
        <v>24396.17</v>
      </c>
      <c r="M9" s="112">
        <v>23188.74</v>
      </c>
      <c r="N9" s="112">
        <v>28240.97</v>
      </c>
      <c r="O9" s="112">
        <v>13703.33</v>
      </c>
      <c r="P9" s="112">
        <v>17325.93</v>
      </c>
      <c r="Q9" s="112">
        <f t="shared" ref="Q9:Q13" si="0">SUM(E9:P9)</f>
        <v>258818.61</v>
      </c>
    </row>
    <row r="10" spans="1:17" x14ac:dyDescent="0.2">
      <c r="A10" s="110" t="s">
        <v>65</v>
      </c>
      <c r="B10" s="111"/>
      <c r="C10" s="111"/>
      <c r="D10" s="127">
        <v>2.5000000000000001E-2</v>
      </c>
      <c r="E10" s="112">
        <v>147891.60999999999</v>
      </c>
      <c r="F10" s="112">
        <v>143666.43</v>
      </c>
      <c r="G10" s="112">
        <v>154813.15</v>
      </c>
      <c r="H10" s="112">
        <v>144705.51999999999</v>
      </c>
      <c r="I10" s="112">
        <v>106654.5</v>
      </c>
      <c r="J10" s="112">
        <v>110677.99</v>
      </c>
      <c r="K10" s="112">
        <v>130275.82</v>
      </c>
      <c r="L10" s="112">
        <v>110048.82</v>
      </c>
      <c r="M10" s="112">
        <v>96704.35</v>
      </c>
      <c r="N10" s="112">
        <v>87109.41</v>
      </c>
      <c r="O10" s="112">
        <v>68278.3</v>
      </c>
      <c r="P10" s="112">
        <v>82864.479999999996</v>
      </c>
      <c r="Q10" s="112">
        <f t="shared" si="0"/>
        <v>1383690.3800000001</v>
      </c>
    </row>
    <row r="11" spans="1:17" x14ac:dyDescent="0.2">
      <c r="A11" s="110" t="s">
        <v>85</v>
      </c>
      <c r="B11" s="111"/>
      <c r="C11" s="111"/>
      <c r="D11" s="127">
        <v>2.5000000000000001E-2</v>
      </c>
      <c r="E11" s="112">
        <v>147891.60999999999</v>
      </c>
      <c r="F11" s="112">
        <v>143666.43</v>
      </c>
      <c r="G11" s="112">
        <v>154813.15</v>
      </c>
      <c r="H11" s="112">
        <v>144705.51999999999</v>
      </c>
      <c r="I11" s="112">
        <v>106654.5</v>
      </c>
      <c r="J11" s="112">
        <v>110677.99</v>
      </c>
      <c r="K11" s="112">
        <v>130275.82</v>
      </c>
      <c r="L11" s="112">
        <v>110048.82</v>
      </c>
      <c r="M11" s="112">
        <v>96704.35</v>
      </c>
      <c r="N11" s="112">
        <v>87109.41</v>
      </c>
      <c r="O11" s="112">
        <v>68278.3</v>
      </c>
      <c r="P11" s="112">
        <v>82864.479999999996</v>
      </c>
      <c r="Q11" s="112">
        <f t="shared" si="0"/>
        <v>1383690.3800000001</v>
      </c>
    </row>
    <row r="12" spans="1:17" x14ac:dyDescent="0.2">
      <c r="A12" s="110" t="s">
        <v>66</v>
      </c>
      <c r="B12" s="111"/>
      <c r="C12" s="111"/>
      <c r="D12" s="127" t="s">
        <v>68</v>
      </c>
      <c r="E12" s="112">
        <v>175572.13</v>
      </c>
      <c r="F12" s="112">
        <v>165409.95000000001</v>
      </c>
      <c r="G12" s="112">
        <v>177998.73</v>
      </c>
      <c r="H12" s="112">
        <v>160822.96</v>
      </c>
      <c r="I12" s="112">
        <v>122867.61</v>
      </c>
      <c r="J12" s="112">
        <v>127143.18</v>
      </c>
      <c r="K12" s="112">
        <v>145952.98000000001</v>
      </c>
      <c r="L12" s="112">
        <v>123926.53</v>
      </c>
      <c r="M12" s="112">
        <v>108315.64</v>
      </c>
      <c r="N12" s="112">
        <v>95117.64</v>
      </c>
      <c r="O12" s="112">
        <v>77366.180000000008</v>
      </c>
      <c r="P12" s="112">
        <v>93662.06</v>
      </c>
      <c r="Q12" s="112">
        <f t="shared" si="0"/>
        <v>1574155.5899999999</v>
      </c>
    </row>
    <row r="13" spans="1:17" ht="15" thickBot="1" x14ac:dyDescent="0.25">
      <c r="A13" s="110" t="s">
        <v>50</v>
      </c>
      <c r="B13" s="111"/>
      <c r="C13" s="111"/>
      <c r="D13" s="127" t="s">
        <v>69</v>
      </c>
      <c r="E13" s="113">
        <v>2423199.7299999995</v>
      </c>
      <c r="F13" s="113">
        <v>2508355.52</v>
      </c>
      <c r="G13" s="113">
        <v>2710322.07</v>
      </c>
      <c r="H13" s="113">
        <v>2699998.15</v>
      </c>
      <c r="I13" s="113">
        <v>1860005.84</v>
      </c>
      <c r="J13" s="113">
        <v>1940960.34</v>
      </c>
      <c r="K13" s="113">
        <v>2395753.37</v>
      </c>
      <c r="L13" s="113">
        <v>2004742.86</v>
      </c>
      <c r="M13" s="113">
        <v>1779156.92</v>
      </c>
      <c r="N13" s="113">
        <v>1676160.31</v>
      </c>
      <c r="O13" s="113">
        <v>1229486.0699999998</v>
      </c>
      <c r="P13" s="113">
        <v>1499090.8899999994</v>
      </c>
      <c r="Q13" s="113">
        <f t="shared" si="0"/>
        <v>24727232.069999997</v>
      </c>
    </row>
    <row r="14" spans="1:17" ht="15" x14ac:dyDescent="0.25">
      <c r="A14" s="114"/>
      <c r="B14" s="115" t="s">
        <v>59</v>
      </c>
      <c r="C14" s="116"/>
      <c r="D14" s="117"/>
      <c r="E14" s="118">
        <f>SUM(E8:E13)</f>
        <v>5915664.2799999993</v>
      </c>
      <c r="F14" s="118">
        <f t="shared" ref="F14:Q14" si="1">SUM(F8:F13)</f>
        <v>5746657.0800000001</v>
      </c>
      <c r="G14" s="118">
        <f t="shared" si="1"/>
        <v>6192526.0299999993</v>
      </c>
      <c r="H14" s="118">
        <f t="shared" si="1"/>
        <v>5788220.7999999998</v>
      </c>
      <c r="I14" s="118">
        <f t="shared" si="1"/>
        <v>4266180</v>
      </c>
      <c r="J14" s="118">
        <f t="shared" si="1"/>
        <v>4427119.790000001</v>
      </c>
      <c r="K14" s="118">
        <f t="shared" si="1"/>
        <v>5211032.96</v>
      </c>
      <c r="L14" s="118">
        <f t="shared" si="1"/>
        <v>4401952.92</v>
      </c>
      <c r="M14" s="118">
        <f t="shared" si="1"/>
        <v>3868173.87</v>
      </c>
      <c r="N14" s="118">
        <f t="shared" si="1"/>
        <v>3484376.57</v>
      </c>
      <c r="O14" s="118">
        <f t="shared" si="1"/>
        <v>2731131.91</v>
      </c>
      <c r="P14" s="118">
        <f t="shared" si="1"/>
        <v>3314579.0399999991</v>
      </c>
      <c r="Q14" s="118">
        <f t="shared" si="1"/>
        <v>55347615.249999993</v>
      </c>
    </row>
    <row r="15" spans="1:17" ht="15" x14ac:dyDescent="0.25">
      <c r="A15" s="114"/>
      <c r="B15" s="119"/>
      <c r="C15" s="116"/>
      <c r="D15" s="117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0"/>
    </row>
    <row r="16" spans="1:17" x14ac:dyDescent="0.2">
      <c r="A16" s="121" t="s">
        <v>67</v>
      </c>
      <c r="B16" s="111"/>
      <c r="C16" s="111"/>
      <c r="D16" s="111"/>
      <c r="E16" s="129"/>
      <c r="F16" s="129"/>
      <c r="G16" s="129"/>
      <c r="H16" s="129"/>
      <c r="I16" s="129"/>
      <c r="J16" s="130"/>
      <c r="K16" s="129"/>
      <c r="L16" s="129"/>
      <c r="M16" s="129"/>
      <c r="N16" s="129"/>
      <c r="O16" s="129"/>
      <c r="P16" s="122"/>
      <c r="Q16" s="131"/>
    </row>
    <row r="17" spans="1:17" x14ac:dyDescent="0.2">
      <c r="A17" s="132"/>
      <c r="B17" s="123"/>
      <c r="C17" s="123"/>
      <c r="D17" s="12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4"/>
    </row>
  </sheetData>
  <mergeCells count="1">
    <mergeCell ref="D5:D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7"/>
  <sheetViews>
    <sheetView zoomScale="115" zoomScaleNormal="115" workbookViewId="0">
      <selection activeCell="A7" sqref="A7"/>
    </sheetView>
  </sheetViews>
  <sheetFormatPr baseColWidth="10" defaultColWidth="12.5703125" defaultRowHeight="14.25" x14ac:dyDescent="0.2"/>
  <cols>
    <col min="1" max="2" width="17.5703125" style="96" customWidth="1"/>
    <col min="3" max="3" width="11" style="96" customWidth="1"/>
    <col min="4" max="4" width="9.42578125" style="96" customWidth="1"/>
    <col min="5" max="17" width="17.5703125" style="96" customWidth="1"/>
    <col min="18" max="16384" width="12.5703125" style="96"/>
  </cols>
  <sheetData>
    <row r="1" spans="1:17" ht="15.75" x14ac:dyDescent="0.25">
      <c r="A1" s="45" t="s">
        <v>0</v>
      </c>
      <c r="Q1" s="97"/>
    </row>
    <row r="2" spans="1:17" ht="15" x14ac:dyDescent="0.25">
      <c r="A2" s="98" t="s">
        <v>54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</row>
    <row r="3" spans="1:17" ht="15" x14ac:dyDescent="0.25">
      <c r="A3" s="98" t="s">
        <v>55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</row>
    <row r="4" spans="1:17" ht="15" x14ac:dyDescent="0.25">
      <c r="A4" s="99" t="s">
        <v>338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</row>
    <row r="5" spans="1:17" ht="15" x14ac:dyDescent="0.2">
      <c r="A5" s="100" t="s">
        <v>46</v>
      </c>
      <c r="B5" s="101"/>
      <c r="C5" s="101"/>
      <c r="D5" s="149" t="s">
        <v>52</v>
      </c>
      <c r="E5" s="141" t="str">
        <f>"Ene."&amp;Q6</f>
        <v>Ene.2025</v>
      </c>
      <c r="F5" s="142" t="str">
        <f>"Feb."&amp;Q6</f>
        <v>Feb.2025</v>
      </c>
      <c r="G5" s="141" t="str">
        <f>"Mar."&amp;Q6</f>
        <v>Mar.2025</v>
      </c>
      <c r="H5" s="141" t="str">
        <f>"Abr."&amp;Q6</f>
        <v>Abr.2025</v>
      </c>
      <c r="I5" s="141" t="str">
        <f>"May."&amp;Q6</f>
        <v>May.2025</v>
      </c>
      <c r="J5" s="141" t="str">
        <f>"Jun."&amp;Q6</f>
        <v>Jun.2025</v>
      </c>
      <c r="K5" s="141" t="str">
        <f>"Jul."&amp;Q6</f>
        <v>Jul.2025</v>
      </c>
      <c r="L5" s="141" t="str">
        <f>"Ago."&amp;Q6</f>
        <v>Ago.2025</v>
      </c>
      <c r="M5" s="141" t="str">
        <f>"Sep."&amp;Q6</f>
        <v>Sep.2025</v>
      </c>
      <c r="N5" s="141" t="str">
        <f>"Oct."&amp;Q6</f>
        <v>Oct.2025</v>
      </c>
      <c r="O5" s="141" t="str">
        <f>"Nov."&amp;Q6</f>
        <v>Nov.2025</v>
      </c>
      <c r="P5" s="141" t="str">
        <f>"Dic."&amp;Q6</f>
        <v>Dic.2025</v>
      </c>
      <c r="Q5" s="141" t="s">
        <v>48</v>
      </c>
    </row>
    <row r="6" spans="1:17" ht="15" x14ac:dyDescent="0.2">
      <c r="A6" s="126" t="s">
        <v>47</v>
      </c>
      <c r="B6" s="103"/>
      <c r="C6" s="103"/>
      <c r="D6" s="150"/>
      <c r="E6" s="143">
        <v>45342</v>
      </c>
      <c r="F6" s="104">
        <v>45371</v>
      </c>
      <c r="G6" s="104">
        <v>45401</v>
      </c>
      <c r="H6" s="104">
        <v>45433</v>
      </c>
      <c r="I6" s="104">
        <v>45464</v>
      </c>
      <c r="J6" s="104">
        <v>45493</v>
      </c>
      <c r="K6" s="104">
        <v>45525</v>
      </c>
      <c r="L6" s="104">
        <v>45554</v>
      </c>
      <c r="M6" s="104">
        <v>45586</v>
      </c>
      <c r="N6" s="104">
        <v>45617</v>
      </c>
      <c r="O6" s="104">
        <v>45646</v>
      </c>
      <c r="P6" s="104">
        <v>45678</v>
      </c>
      <c r="Q6" s="144">
        <v>2025</v>
      </c>
    </row>
    <row r="7" spans="1:17" x14ac:dyDescent="0.2">
      <c r="A7" s="106"/>
      <c r="B7" s="107"/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</row>
    <row r="8" spans="1:17" x14ac:dyDescent="0.2">
      <c r="A8" s="110" t="s">
        <v>63</v>
      </c>
      <c r="B8" s="111"/>
      <c r="C8" s="111"/>
      <c r="D8" s="127" t="s">
        <v>72</v>
      </c>
      <c r="E8" s="112">
        <v>2860311.91</v>
      </c>
      <c r="F8" s="112">
        <v>2526369.4600000004</v>
      </c>
      <c r="G8" s="112">
        <v>2706253.42</v>
      </c>
      <c r="H8" s="112">
        <v>2854905.86</v>
      </c>
      <c r="I8" s="112">
        <v>2330789.62</v>
      </c>
      <c r="J8" s="112">
        <v>2907910.68</v>
      </c>
      <c r="K8" s="112">
        <v>3387179.15</v>
      </c>
      <c r="L8" s="112">
        <v>2323683.66</v>
      </c>
      <c r="M8" s="112">
        <v>1642981.66</v>
      </c>
      <c r="N8" s="112">
        <v>2337350.96</v>
      </c>
      <c r="O8" s="112">
        <v>2581816.56</v>
      </c>
      <c r="P8" s="112">
        <v>2546824.15</v>
      </c>
      <c r="Q8" s="112">
        <f>SUM(E8:P8)</f>
        <v>31006377.089999996</v>
      </c>
    </row>
    <row r="9" spans="1:17" x14ac:dyDescent="0.2">
      <c r="A9" s="110" t="s">
        <v>70</v>
      </c>
      <c r="B9" s="111"/>
      <c r="C9" s="111"/>
      <c r="D9" s="127" t="s">
        <v>71</v>
      </c>
      <c r="E9" s="112">
        <v>2611.9499999999998</v>
      </c>
      <c r="F9" s="112">
        <v>2056.46</v>
      </c>
      <c r="G9" s="112">
        <v>4727.3</v>
      </c>
      <c r="H9" s="112">
        <v>3645.82</v>
      </c>
      <c r="I9" s="112">
        <v>1995.76</v>
      </c>
      <c r="J9" s="112">
        <v>3159.71</v>
      </c>
      <c r="K9" s="112">
        <v>3780.13</v>
      </c>
      <c r="L9" s="112">
        <v>3459.37</v>
      </c>
      <c r="M9" s="112">
        <v>2727.69</v>
      </c>
      <c r="N9" s="112">
        <v>2832.97</v>
      </c>
      <c r="O9" s="112">
        <v>1148.76</v>
      </c>
      <c r="P9" s="112">
        <v>9000.92</v>
      </c>
      <c r="Q9" s="112">
        <f t="shared" ref="Q9:Q13" si="0">SUM(E9:P9)</f>
        <v>41146.839999999997</v>
      </c>
    </row>
    <row r="10" spans="1:17" x14ac:dyDescent="0.2">
      <c r="A10" s="110" t="s">
        <v>65</v>
      </c>
      <c r="B10" s="111"/>
      <c r="C10" s="111"/>
      <c r="D10" s="127">
        <v>2.5000000000000001E-2</v>
      </c>
      <c r="E10" s="112">
        <v>138854.46</v>
      </c>
      <c r="F10" s="112">
        <v>122514.67</v>
      </c>
      <c r="G10" s="112">
        <v>132532.59</v>
      </c>
      <c r="H10" s="112">
        <v>139124.74</v>
      </c>
      <c r="I10" s="112">
        <v>113080.66</v>
      </c>
      <c r="J10" s="112">
        <v>141423.76</v>
      </c>
      <c r="K10" s="112">
        <v>164783.67999999999</v>
      </c>
      <c r="L10" s="112">
        <v>113489.60000000001</v>
      </c>
      <c r="M10" s="112">
        <v>80388.320000000007</v>
      </c>
      <c r="N10" s="112">
        <v>113825.45</v>
      </c>
      <c r="O10" s="112">
        <v>124714.91</v>
      </c>
      <c r="P10" s="112">
        <v>127059.32</v>
      </c>
      <c r="Q10" s="112">
        <f t="shared" si="0"/>
        <v>1511792.1600000001</v>
      </c>
    </row>
    <row r="11" spans="1:17" x14ac:dyDescent="0.2">
      <c r="A11" s="110" t="s">
        <v>85</v>
      </c>
      <c r="B11" s="111"/>
      <c r="C11" s="111"/>
      <c r="D11" s="127">
        <v>2.5000000000000001E-2</v>
      </c>
      <c r="E11" s="112">
        <v>138854.46</v>
      </c>
      <c r="F11" s="112">
        <v>122514.67</v>
      </c>
      <c r="G11" s="112">
        <v>132532.59</v>
      </c>
      <c r="H11" s="112">
        <v>139124.74</v>
      </c>
      <c r="I11" s="112">
        <v>113080.66</v>
      </c>
      <c r="J11" s="112">
        <v>141423.76</v>
      </c>
      <c r="K11" s="112">
        <v>164783.67999999999</v>
      </c>
      <c r="L11" s="112">
        <v>113489.60000000001</v>
      </c>
      <c r="M11" s="112">
        <v>80388.320000000007</v>
      </c>
      <c r="N11" s="112">
        <v>113825.45</v>
      </c>
      <c r="O11" s="112">
        <v>124714.91</v>
      </c>
      <c r="P11" s="112">
        <v>127059.32</v>
      </c>
      <c r="Q11" s="112">
        <f t="shared" si="0"/>
        <v>1511792.1600000001</v>
      </c>
    </row>
    <row r="12" spans="1:17" x14ac:dyDescent="0.2">
      <c r="A12" s="110" t="s">
        <v>66</v>
      </c>
      <c r="B12" s="111"/>
      <c r="C12" s="111"/>
      <c r="D12" s="127" t="s">
        <v>68</v>
      </c>
      <c r="E12" s="112">
        <v>165754.69999999998</v>
      </c>
      <c r="F12" s="112">
        <v>146332.11000000002</v>
      </c>
      <c r="G12" s="112">
        <v>157463.34</v>
      </c>
      <c r="H12" s="112">
        <v>165734.41</v>
      </c>
      <c r="I12" s="112">
        <v>135031.54</v>
      </c>
      <c r="J12" s="112">
        <v>168655.27</v>
      </c>
      <c r="K12" s="112">
        <v>196480.37</v>
      </c>
      <c r="L12" s="112">
        <v>135034.4</v>
      </c>
      <c r="M12" s="112">
        <v>95556.75</v>
      </c>
      <c r="N12" s="112">
        <v>135646.22</v>
      </c>
      <c r="O12" s="112">
        <v>149274.96</v>
      </c>
      <c r="P12" s="112">
        <v>149470.87999999998</v>
      </c>
      <c r="Q12" s="112">
        <f t="shared" si="0"/>
        <v>1800434.95</v>
      </c>
    </row>
    <row r="13" spans="1:17" ht="15" thickBot="1" x14ac:dyDescent="0.25">
      <c r="A13" s="110" t="s">
        <v>50</v>
      </c>
      <c r="B13" s="111"/>
      <c r="C13" s="111"/>
      <c r="D13" s="127" t="s">
        <v>69</v>
      </c>
      <c r="E13" s="113">
        <v>2247790.7999999989</v>
      </c>
      <c r="F13" s="113">
        <v>1980799.2700000009</v>
      </c>
      <c r="G13" s="113">
        <v>2167794.5200000005</v>
      </c>
      <c r="H13" s="113">
        <v>2262454.0099999998</v>
      </c>
      <c r="I13" s="113">
        <v>1829248.1399999994</v>
      </c>
      <c r="J13" s="113">
        <v>2294377.2799999989</v>
      </c>
      <c r="K13" s="113">
        <v>2674340.2299999991</v>
      </c>
      <c r="L13" s="113">
        <v>1850427.2800000014</v>
      </c>
      <c r="M13" s="113">
        <v>1313490.050000001</v>
      </c>
      <c r="N13" s="113">
        <v>1849536.9399999995</v>
      </c>
      <c r="O13" s="113">
        <v>2006926.1400000001</v>
      </c>
      <c r="P13" s="113">
        <v>2122958.350000001</v>
      </c>
      <c r="Q13" s="113">
        <f t="shared" si="0"/>
        <v>24600143.010000005</v>
      </c>
    </row>
    <row r="14" spans="1:17" ht="15" x14ac:dyDescent="0.25">
      <c r="A14" s="114"/>
      <c r="B14" s="115" t="s">
        <v>59</v>
      </c>
      <c r="C14" s="116"/>
      <c r="D14" s="117"/>
      <c r="E14" s="118">
        <f>SUM(E8:E13)</f>
        <v>5554178.2799999993</v>
      </c>
      <c r="F14" s="118">
        <f t="shared" ref="F14:Q14" si="1">SUM(F8:F13)</f>
        <v>4900586.6400000006</v>
      </c>
      <c r="G14" s="118">
        <f t="shared" si="1"/>
        <v>5301303.76</v>
      </c>
      <c r="H14" s="118">
        <f t="shared" si="1"/>
        <v>5564989.5800000001</v>
      </c>
      <c r="I14" s="118">
        <f t="shared" si="1"/>
        <v>4523226.38</v>
      </c>
      <c r="J14" s="118">
        <f t="shared" si="1"/>
        <v>5656950.459999999</v>
      </c>
      <c r="K14" s="118">
        <f t="shared" si="1"/>
        <v>6591347.2399999993</v>
      </c>
      <c r="L14" s="118">
        <f t="shared" si="1"/>
        <v>4539583.910000002</v>
      </c>
      <c r="M14" s="118">
        <f t="shared" si="1"/>
        <v>3215532.790000001</v>
      </c>
      <c r="N14" s="118">
        <f t="shared" si="1"/>
        <v>4553017.99</v>
      </c>
      <c r="O14" s="118">
        <f t="shared" si="1"/>
        <v>4988596.24</v>
      </c>
      <c r="P14" s="118">
        <f t="shared" si="1"/>
        <v>5082372.9400000004</v>
      </c>
      <c r="Q14" s="118">
        <f t="shared" si="1"/>
        <v>60471686.210000008</v>
      </c>
    </row>
    <row r="15" spans="1:17" ht="15" x14ac:dyDescent="0.25">
      <c r="A15" s="114"/>
      <c r="B15" s="119"/>
      <c r="C15" s="116"/>
      <c r="D15" s="117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0"/>
    </row>
    <row r="16" spans="1:17" x14ac:dyDescent="0.2">
      <c r="A16" s="121" t="s">
        <v>67</v>
      </c>
      <c r="B16" s="111"/>
      <c r="C16" s="111"/>
      <c r="D16" s="111"/>
      <c r="E16" s="129"/>
      <c r="F16" s="129"/>
      <c r="G16" s="129"/>
      <c r="H16" s="129"/>
      <c r="I16" s="129"/>
      <c r="J16" s="130"/>
      <c r="K16" s="129"/>
      <c r="L16" s="129"/>
      <c r="M16" s="129"/>
      <c r="N16" s="129"/>
      <c r="O16" s="129"/>
      <c r="P16" s="122"/>
      <c r="Q16" s="131"/>
    </row>
    <row r="17" spans="1:17" x14ac:dyDescent="0.2">
      <c r="A17" s="132"/>
      <c r="B17" s="123"/>
      <c r="C17" s="123"/>
      <c r="D17" s="12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4"/>
    </row>
  </sheetData>
  <mergeCells count="1">
    <mergeCell ref="D5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1"/>
  <sheetViews>
    <sheetView topLeftCell="M1" zoomScaleNormal="100" workbookViewId="0">
      <selection activeCell="N33" sqref="N33"/>
    </sheetView>
  </sheetViews>
  <sheetFormatPr baseColWidth="10" defaultColWidth="12.5703125" defaultRowHeight="14.25" x14ac:dyDescent="0.2"/>
  <cols>
    <col min="1" max="2" width="17.5703125" style="96" customWidth="1"/>
    <col min="3" max="3" width="11" style="96" customWidth="1"/>
    <col min="4" max="4" width="9.42578125" style="96" customWidth="1"/>
    <col min="5" max="17" width="17.5703125" style="96" customWidth="1"/>
    <col min="18" max="16384" width="12.5703125" style="96"/>
  </cols>
  <sheetData>
    <row r="1" spans="1:17" ht="15.75" x14ac:dyDescent="0.25">
      <c r="A1" s="45" t="s">
        <v>0</v>
      </c>
      <c r="Q1" s="97"/>
    </row>
    <row r="2" spans="1:17" ht="15" x14ac:dyDescent="0.25">
      <c r="A2" s="98" t="s">
        <v>54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</row>
    <row r="3" spans="1:17" ht="15" x14ac:dyDescent="0.25">
      <c r="A3" s="98" t="s">
        <v>55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</row>
    <row r="4" spans="1:17" ht="15" x14ac:dyDescent="0.25">
      <c r="A4" s="99" t="s">
        <v>338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</row>
    <row r="5" spans="1:17" ht="15" x14ac:dyDescent="0.2">
      <c r="A5" s="100" t="s">
        <v>46</v>
      </c>
      <c r="B5" s="101"/>
      <c r="C5" s="101"/>
      <c r="D5" s="149" t="s">
        <v>52</v>
      </c>
      <c r="E5" s="141" t="str">
        <f>"Ene."&amp;Q6</f>
        <v>Ene.2023</v>
      </c>
      <c r="F5" s="142" t="str">
        <f>"Feb."&amp;Q6</f>
        <v>Feb.2023</v>
      </c>
      <c r="G5" s="141" t="str">
        <f>"Mar."&amp;Q6</f>
        <v>Mar.2023</v>
      </c>
      <c r="H5" s="141" t="str">
        <f>"Abr."&amp;Q6</f>
        <v>Abr.2023</v>
      </c>
      <c r="I5" s="141" t="str">
        <f>"May."&amp;Q6</f>
        <v>May.2023</v>
      </c>
      <c r="J5" s="141" t="str">
        <f>"Jun."&amp;Q6</f>
        <v>Jun.2023</v>
      </c>
      <c r="K5" s="141" t="str">
        <f>"Jul."&amp;Q6</f>
        <v>Jul.2023</v>
      </c>
      <c r="L5" s="141" t="str">
        <f>"Ago."&amp;Q6</f>
        <v>Ago.2023</v>
      </c>
      <c r="M5" s="141" t="str">
        <f>"Sep."&amp;Q6</f>
        <v>Sep.2023</v>
      </c>
      <c r="N5" s="141" t="str">
        <f>"Oct."&amp;Q6</f>
        <v>Oct.2023</v>
      </c>
      <c r="O5" s="141" t="str">
        <f>"Nov."&amp;Q6</f>
        <v>Nov.2023</v>
      </c>
      <c r="P5" s="141" t="str">
        <f>"Dic."&amp;Q6</f>
        <v>Dic.2023</v>
      </c>
      <c r="Q5" s="141" t="s">
        <v>48</v>
      </c>
    </row>
    <row r="6" spans="1:17" ht="15" x14ac:dyDescent="0.2">
      <c r="A6" s="126" t="s">
        <v>47</v>
      </c>
      <c r="B6" s="103"/>
      <c r="C6" s="103"/>
      <c r="D6" s="150"/>
      <c r="E6" s="143">
        <v>44977</v>
      </c>
      <c r="F6" s="104">
        <v>45005</v>
      </c>
      <c r="G6" s="104">
        <v>45040</v>
      </c>
      <c r="H6" s="104">
        <v>45065</v>
      </c>
      <c r="I6" s="104">
        <v>45097</v>
      </c>
      <c r="J6" s="104">
        <v>45127</v>
      </c>
      <c r="K6" s="104">
        <v>45156</v>
      </c>
      <c r="L6" s="104">
        <v>45189</v>
      </c>
      <c r="M6" s="104">
        <v>45219</v>
      </c>
      <c r="N6" s="104">
        <v>45251</v>
      </c>
      <c r="O6" s="104">
        <v>45281</v>
      </c>
      <c r="P6" s="104">
        <v>45310</v>
      </c>
      <c r="Q6" s="144">
        <v>2023</v>
      </c>
    </row>
    <row r="7" spans="1:17" x14ac:dyDescent="0.2">
      <c r="A7" s="106"/>
      <c r="B7" s="107"/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</row>
    <row r="8" spans="1:17" x14ac:dyDescent="0.2">
      <c r="A8" s="110" t="s">
        <v>63</v>
      </c>
      <c r="B8" s="111"/>
      <c r="C8" s="111"/>
      <c r="D8" s="127" t="s">
        <v>72</v>
      </c>
      <c r="E8" s="112">
        <v>1388896.72</v>
      </c>
      <c r="F8" s="112">
        <v>922878.5</v>
      </c>
      <c r="G8" s="145">
        <v>2811822.64</v>
      </c>
      <c r="H8" s="112">
        <v>3003183.5500000003</v>
      </c>
      <c r="I8" s="112">
        <v>2395465</v>
      </c>
      <c r="J8" s="112">
        <v>2252129.27</v>
      </c>
      <c r="K8" s="112">
        <v>1804193.89</v>
      </c>
      <c r="L8" s="112">
        <v>1957100.29</v>
      </c>
      <c r="M8" s="112">
        <v>1833580.6099999999</v>
      </c>
      <c r="N8" s="112">
        <v>1979637.94</v>
      </c>
      <c r="O8" s="112">
        <v>2062453.97</v>
      </c>
      <c r="P8" s="112">
        <v>2930481.31</v>
      </c>
      <c r="Q8" s="112">
        <f>SUM(E8:P8)</f>
        <v>25341823.689999998</v>
      </c>
    </row>
    <row r="9" spans="1:17" x14ac:dyDescent="0.2">
      <c r="A9" s="110" t="s">
        <v>70</v>
      </c>
      <c r="B9" s="111"/>
      <c r="C9" s="111"/>
      <c r="D9" s="127" t="s">
        <v>71</v>
      </c>
      <c r="E9" s="112">
        <v>18189.28</v>
      </c>
      <c r="F9" s="112">
        <v>5204.7700000000004</v>
      </c>
      <c r="G9" s="145">
        <v>22156.44</v>
      </c>
      <c r="H9" s="112">
        <v>14583.73</v>
      </c>
      <c r="I9" s="112">
        <v>28605</v>
      </c>
      <c r="J9" s="112">
        <v>48240.28</v>
      </c>
      <c r="K9" s="112">
        <v>38468.51</v>
      </c>
      <c r="L9" s="112">
        <v>33151.96</v>
      </c>
      <c r="M9" s="112">
        <v>48334.64</v>
      </c>
      <c r="N9" s="112">
        <v>16661.32</v>
      </c>
      <c r="O9" s="112">
        <v>4262.29</v>
      </c>
      <c r="P9" s="112">
        <v>4219.7700000000004</v>
      </c>
      <c r="Q9" s="112">
        <f t="shared" ref="Q9:Q13" si="0">SUM(E9:P9)</f>
        <v>282077.99</v>
      </c>
    </row>
    <row r="10" spans="1:17" x14ac:dyDescent="0.2">
      <c r="A10" s="110" t="s">
        <v>65</v>
      </c>
      <c r="B10" s="111"/>
      <c r="C10" s="111"/>
      <c r="D10" s="127">
        <v>2.5000000000000001E-2</v>
      </c>
      <c r="E10" s="112">
        <v>76101.710000000006</v>
      </c>
      <c r="F10" s="112">
        <v>47038.27</v>
      </c>
      <c r="G10" s="145">
        <v>146546.06</v>
      </c>
      <c r="H10" s="112">
        <v>151862.65999999997</v>
      </c>
      <c r="I10" s="112">
        <v>129835.82</v>
      </c>
      <c r="J10" s="112">
        <v>133014.04999999999</v>
      </c>
      <c r="K10" s="112">
        <v>106467.53</v>
      </c>
      <c r="L10" s="112">
        <v>111092.37</v>
      </c>
      <c r="M10" s="112">
        <v>112939.91</v>
      </c>
      <c r="N10" s="112">
        <v>103719.16999999998</v>
      </c>
      <c r="O10" s="112">
        <v>101342.23</v>
      </c>
      <c r="P10" s="112">
        <v>143052.51</v>
      </c>
      <c r="Q10" s="112">
        <f t="shared" si="0"/>
        <v>1363012.29</v>
      </c>
    </row>
    <row r="11" spans="1:17" x14ac:dyDescent="0.2">
      <c r="A11" s="110" t="s">
        <v>85</v>
      </c>
      <c r="B11" s="111"/>
      <c r="C11" s="111"/>
      <c r="D11" s="127">
        <v>2.5000000000000001E-2</v>
      </c>
      <c r="E11" s="112">
        <v>76101.710000000006</v>
      </c>
      <c r="F11" s="112">
        <v>47038.27</v>
      </c>
      <c r="G11" s="145">
        <v>146546.06</v>
      </c>
      <c r="H11" s="112">
        <v>151862.65999999997</v>
      </c>
      <c r="I11" s="112">
        <v>129835.82</v>
      </c>
      <c r="J11" s="112">
        <v>133014.04999999999</v>
      </c>
      <c r="K11" s="112">
        <v>106467.53</v>
      </c>
      <c r="L11" s="112">
        <v>111092.37</v>
      </c>
      <c r="M11" s="112">
        <v>112939.91</v>
      </c>
      <c r="N11" s="112">
        <v>103719.16999999998</v>
      </c>
      <c r="O11" s="112">
        <v>101342.23</v>
      </c>
      <c r="P11" s="112">
        <v>143052.51</v>
      </c>
      <c r="Q11" s="112">
        <f t="shared" si="0"/>
        <v>1363012.29</v>
      </c>
    </row>
    <row r="12" spans="1:17" x14ac:dyDescent="0.2">
      <c r="A12" s="110" t="s">
        <v>66</v>
      </c>
      <c r="B12" s="111"/>
      <c r="C12" s="111"/>
      <c r="D12" s="127" t="s">
        <v>68</v>
      </c>
      <c r="E12" s="112">
        <v>85258.959999999992</v>
      </c>
      <c r="F12" s="112">
        <v>54711</v>
      </c>
      <c r="G12" s="145">
        <v>168469.78999999998</v>
      </c>
      <c r="H12" s="112">
        <v>177373.94999999998</v>
      </c>
      <c r="I12" s="112">
        <v>146267.97999999998</v>
      </c>
      <c r="J12" s="112">
        <v>143536.76999999999</v>
      </c>
      <c r="K12" s="112">
        <v>114938.2</v>
      </c>
      <c r="L12" s="112">
        <v>122260.19</v>
      </c>
      <c r="M12" s="112">
        <v>119416.34</v>
      </c>
      <c r="N12" s="112">
        <v>118909.23</v>
      </c>
      <c r="O12" s="112">
        <v>120189.92</v>
      </c>
      <c r="P12" s="112">
        <v>170256.41999999998</v>
      </c>
      <c r="Q12" s="112">
        <f t="shared" si="0"/>
        <v>1541588.7499999998</v>
      </c>
    </row>
    <row r="13" spans="1:17" ht="15" thickBot="1" x14ac:dyDescent="0.25">
      <c r="A13" s="110" t="s">
        <v>50</v>
      </c>
      <c r="B13" s="111"/>
      <c r="C13" s="111"/>
      <c r="D13" s="127" t="s">
        <v>69</v>
      </c>
      <c r="E13" s="113">
        <v>1399520.2000000007</v>
      </c>
      <c r="F13" s="113">
        <v>804659.99000000022</v>
      </c>
      <c r="G13" s="113">
        <v>2566301.3600000013</v>
      </c>
      <c r="H13" s="113">
        <v>2575639.839999998</v>
      </c>
      <c r="I13" s="113">
        <v>2363423.0999999987</v>
      </c>
      <c r="J13" s="113">
        <v>2610627.6100000003</v>
      </c>
      <c r="K13" s="113">
        <v>2088165.55</v>
      </c>
      <c r="L13" s="113">
        <v>2108997.4899999998</v>
      </c>
      <c r="M13" s="113">
        <v>2290384.9200000009</v>
      </c>
      <c r="N13" s="113">
        <v>1826119.8400000005</v>
      </c>
      <c r="O13" s="113">
        <v>1664098.6300000006</v>
      </c>
      <c r="P13" s="113">
        <v>2331037.8999999994</v>
      </c>
      <c r="Q13" s="113">
        <f t="shared" si="0"/>
        <v>24628976.429999996</v>
      </c>
    </row>
    <row r="14" spans="1:17" ht="15" x14ac:dyDescent="0.25">
      <c r="A14" s="114"/>
      <c r="B14" s="115" t="s">
        <v>59</v>
      </c>
      <c r="C14" s="116"/>
      <c r="D14" s="117"/>
      <c r="E14" s="118">
        <f>SUM(E8:E13)</f>
        <v>3044068.5800000005</v>
      </c>
      <c r="F14" s="118">
        <f t="shared" ref="F14:Q14" si="1">SUM(F8:F13)</f>
        <v>1881530.8000000003</v>
      </c>
      <c r="G14" s="118">
        <f t="shared" si="1"/>
        <v>5861842.3500000015</v>
      </c>
      <c r="H14" s="118">
        <f t="shared" si="1"/>
        <v>6074506.3899999987</v>
      </c>
      <c r="I14" s="118">
        <f t="shared" si="1"/>
        <v>5193432.7199999988</v>
      </c>
      <c r="J14" s="118">
        <f t="shared" si="1"/>
        <v>5320562.0299999993</v>
      </c>
      <c r="K14" s="118">
        <f t="shared" si="1"/>
        <v>4258701.21</v>
      </c>
      <c r="L14" s="118">
        <f t="shared" si="1"/>
        <v>4443694.67</v>
      </c>
      <c r="M14" s="118">
        <f t="shared" si="1"/>
        <v>4517596.33</v>
      </c>
      <c r="N14" s="118">
        <f t="shared" si="1"/>
        <v>4148766.6700000009</v>
      </c>
      <c r="O14" s="118">
        <f t="shared" si="1"/>
        <v>4053689.2700000005</v>
      </c>
      <c r="P14" s="118">
        <f t="shared" si="1"/>
        <v>5722100.419999999</v>
      </c>
      <c r="Q14" s="118">
        <f t="shared" si="1"/>
        <v>54520491.43999999</v>
      </c>
    </row>
    <row r="15" spans="1:17" ht="15" x14ac:dyDescent="0.25">
      <c r="A15" s="114"/>
      <c r="B15" s="119"/>
      <c r="C15" s="116"/>
      <c r="D15" s="117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0"/>
    </row>
    <row r="16" spans="1:17" x14ac:dyDescent="0.2">
      <c r="A16" s="121" t="s">
        <v>67</v>
      </c>
      <c r="B16" s="111"/>
      <c r="C16" s="111"/>
      <c r="D16" s="111"/>
      <c r="E16" s="129"/>
      <c r="F16" s="129"/>
      <c r="G16" s="129"/>
      <c r="H16" s="129"/>
      <c r="I16" s="129"/>
      <c r="J16" s="130"/>
      <c r="K16" s="129"/>
      <c r="L16" s="129"/>
      <c r="M16" s="129"/>
      <c r="N16" s="129"/>
      <c r="O16" s="129"/>
      <c r="P16" s="122"/>
      <c r="Q16" s="131"/>
    </row>
    <row r="17" spans="1:17" x14ac:dyDescent="0.2">
      <c r="A17" s="132"/>
      <c r="B17" s="123"/>
      <c r="C17" s="123"/>
      <c r="D17" s="12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4"/>
    </row>
    <row r="18" spans="1:17" ht="15" thickBot="1" x14ac:dyDescent="0.25">
      <c r="H18" s="113"/>
    </row>
    <row r="20" spans="1:17" ht="15" thickBot="1" x14ac:dyDescent="0.25">
      <c r="A20" s="113"/>
    </row>
    <row r="21" spans="1:17" ht="15" thickBot="1" x14ac:dyDescent="0.25">
      <c r="A21" s="113"/>
    </row>
  </sheetData>
  <mergeCells count="1">
    <mergeCell ref="D5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1"/>
  <sheetViews>
    <sheetView topLeftCell="I1" zoomScaleNormal="100" workbookViewId="0">
      <selection activeCell="S15" sqref="S15"/>
    </sheetView>
  </sheetViews>
  <sheetFormatPr baseColWidth="10" defaultColWidth="12.5703125" defaultRowHeight="14.25" x14ac:dyDescent="0.2"/>
  <cols>
    <col min="1" max="2" width="17.5703125" style="96" customWidth="1"/>
    <col min="3" max="3" width="11" style="96" customWidth="1"/>
    <col min="4" max="4" width="9.42578125" style="96" customWidth="1"/>
    <col min="5" max="17" width="17.5703125" style="96" customWidth="1"/>
    <col min="18" max="16384" width="12.5703125" style="96"/>
  </cols>
  <sheetData>
    <row r="1" spans="1:17" ht="15.75" x14ac:dyDescent="0.25">
      <c r="A1" s="45" t="s">
        <v>0</v>
      </c>
      <c r="Q1" s="97"/>
    </row>
    <row r="2" spans="1:17" ht="15" x14ac:dyDescent="0.25">
      <c r="A2" s="98" t="s">
        <v>54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</row>
    <row r="3" spans="1:17" ht="15" x14ac:dyDescent="0.25">
      <c r="A3" s="98" t="s">
        <v>55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</row>
    <row r="4" spans="1:17" ht="15" x14ac:dyDescent="0.25">
      <c r="A4" s="99" t="s">
        <v>338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</row>
    <row r="5" spans="1:17" ht="15" x14ac:dyDescent="0.2">
      <c r="A5" s="100" t="s">
        <v>46</v>
      </c>
      <c r="B5" s="101"/>
      <c r="C5" s="101"/>
      <c r="D5" s="149" t="s">
        <v>52</v>
      </c>
      <c r="E5" s="141" t="str">
        <f>"Ene."&amp;Q6</f>
        <v>Ene.2022</v>
      </c>
      <c r="F5" s="142" t="str">
        <f>"Feb."&amp;Q6</f>
        <v>Feb.2022</v>
      </c>
      <c r="G5" s="141" t="str">
        <f>"Mar."&amp;Q6</f>
        <v>Mar.2022</v>
      </c>
      <c r="H5" s="141" t="str">
        <f>"Abr."&amp;Q6</f>
        <v>Abr.2022</v>
      </c>
      <c r="I5" s="141" t="str">
        <f>"May."&amp;Q6</f>
        <v>May.2022</v>
      </c>
      <c r="J5" s="141" t="str">
        <f>"Jun."&amp;Q6</f>
        <v>Jun.2022</v>
      </c>
      <c r="K5" s="141" t="str">
        <f>"Jul."&amp;Q6</f>
        <v>Jul.2022</v>
      </c>
      <c r="L5" s="141" t="str">
        <f>"Ago."&amp;Q6</f>
        <v>Ago.2022</v>
      </c>
      <c r="M5" s="141" t="str">
        <f>"Sep."&amp;Q6</f>
        <v>Sep.2022</v>
      </c>
      <c r="N5" s="141" t="str">
        <f>"Oct."&amp;Q6</f>
        <v>Oct.2022</v>
      </c>
      <c r="O5" s="141" t="str">
        <f>"Nov."&amp;Q6</f>
        <v>Nov.2022</v>
      </c>
      <c r="P5" s="141" t="str">
        <f>"Dic."&amp;Q6</f>
        <v>Dic.2022</v>
      </c>
      <c r="Q5" s="141" t="s">
        <v>48</v>
      </c>
    </row>
    <row r="6" spans="1:17" ht="15" x14ac:dyDescent="0.2">
      <c r="A6" s="126" t="s">
        <v>47</v>
      </c>
      <c r="B6" s="103"/>
      <c r="C6" s="103"/>
      <c r="D6" s="150"/>
      <c r="E6" s="143">
        <v>44610</v>
      </c>
      <c r="F6" s="104">
        <v>44638</v>
      </c>
      <c r="G6" s="104">
        <v>44672</v>
      </c>
      <c r="H6" s="104">
        <v>44700</v>
      </c>
      <c r="I6" s="104">
        <v>44732</v>
      </c>
      <c r="J6" s="104">
        <v>44762</v>
      </c>
      <c r="K6" s="104">
        <v>44791</v>
      </c>
      <c r="L6" s="104">
        <v>44824</v>
      </c>
      <c r="M6" s="104">
        <v>44854</v>
      </c>
      <c r="N6" s="104">
        <v>44886</v>
      </c>
      <c r="O6" s="104">
        <v>44916</v>
      </c>
      <c r="P6" s="104">
        <v>44946</v>
      </c>
      <c r="Q6" s="144">
        <v>2022</v>
      </c>
    </row>
    <row r="7" spans="1:17" x14ac:dyDescent="0.2">
      <c r="A7" s="106"/>
      <c r="B7" s="107"/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</row>
    <row r="8" spans="1:17" x14ac:dyDescent="0.2">
      <c r="A8" s="110" t="s">
        <v>63</v>
      </c>
      <c r="B8" s="111"/>
      <c r="C8" s="111"/>
      <c r="D8" s="127" t="s">
        <v>72</v>
      </c>
      <c r="E8" s="112">
        <v>2207985.1799999997</v>
      </c>
      <c r="F8" s="112">
        <v>3384979.36</v>
      </c>
      <c r="G8" s="145">
        <v>318359.27</v>
      </c>
      <c r="H8" s="112">
        <v>2780289.67</v>
      </c>
      <c r="I8" s="146">
        <v>3606402.95</v>
      </c>
      <c r="J8" s="112">
        <v>4045759.9</v>
      </c>
      <c r="K8" s="145">
        <v>2643127.19</v>
      </c>
      <c r="L8" s="112">
        <v>3192721.98</v>
      </c>
      <c r="M8" s="112">
        <v>2296890.96</v>
      </c>
      <c r="N8" s="112">
        <v>1180441.2400000002</v>
      </c>
      <c r="O8" s="112">
        <v>2085352.69</v>
      </c>
      <c r="P8" s="112">
        <v>2052666.4400000002</v>
      </c>
      <c r="Q8" s="112">
        <f>SUM(E8:P8)</f>
        <v>29794976.830000006</v>
      </c>
    </row>
    <row r="9" spans="1:17" x14ac:dyDescent="0.2">
      <c r="A9" s="110" t="s">
        <v>70</v>
      </c>
      <c r="B9" s="111"/>
      <c r="C9" s="111"/>
      <c r="D9" s="127" t="s">
        <v>71</v>
      </c>
      <c r="E9" s="112">
        <v>5466.47</v>
      </c>
      <c r="F9" s="112">
        <v>14606.8</v>
      </c>
      <c r="G9" s="145">
        <v>18273.66</v>
      </c>
      <c r="H9" s="112">
        <v>17833.7</v>
      </c>
      <c r="I9" s="146">
        <v>17352.03</v>
      </c>
      <c r="J9" s="112">
        <v>37431.660000000003</v>
      </c>
      <c r="K9" s="145">
        <v>42816.72</v>
      </c>
      <c r="L9" s="112">
        <v>34562.18</v>
      </c>
      <c r="M9" s="112">
        <v>45289.53</v>
      </c>
      <c r="N9" s="112">
        <v>10530.17</v>
      </c>
      <c r="O9" s="112">
        <v>48651.11</v>
      </c>
      <c r="P9" s="112">
        <v>36902.519999999997</v>
      </c>
      <c r="Q9" s="112">
        <f t="shared" ref="Q9:Q13" si="0">SUM(E9:P9)</f>
        <v>329716.55000000005</v>
      </c>
    </row>
    <row r="10" spans="1:17" x14ac:dyDescent="0.2">
      <c r="A10" s="110" t="s">
        <v>65</v>
      </c>
      <c r="B10" s="111"/>
      <c r="C10" s="111"/>
      <c r="D10" s="127">
        <v>2.5000000000000001E-2</v>
      </c>
      <c r="E10" s="112">
        <v>108956.45</v>
      </c>
      <c r="F10" s="112">
        <v>170230.06</v>
      </c>
      <c r="G10" s="145">
        <v>24676.84</v>
      </c>
      <c r="H10" s="112">
        <v>142813.26</v>
      </c>
      <c r="I10" s="146">
        <v>182283.23</v>
      </c>
      <c r="J10" s="112">
        <v>213703.41</v>
      </c>
      <c r="K10" s="145">
        <v>149030.71</v>
      </c>
      <c r="L10" s="112">
        <v>171220.45</v>
      </c>
      <c r="M10" s="112">
        <v>133652.85</v>
      </c>
      <c r="N10" s="112">
        <v>62152.07</v>
      </c>
      <c r="O10" s="112">
        <v>125206.63</v>
      </c>
      <c r="P10" s="112">
        <v>117610.26000000001</v>
      </c>
      <c r="Q10" s="112">
        <f t="shared" si="0"/>
        <v>1601536.2200000004</v>
      </c>
    </row>
    <row r="11" spans="1:17" x14ac:dyDescent="0.2">
      <c r="A11" s="110" t="s">
        <v>85</v>
      </c>
      <c r="B11" s="111"/>
      <c r="C11" s="111"/>
      <c r="D11" s="127">
        <v>2.5000000000000001E-2</v>
      </c>
      <c r="E11" s="112">
        <v>108956.45</v>
      </c>
      <c r="F11" s="112">
        <v>170230.06</v>
      </c>
      <c r="G11" s="145">
        <v>24676.84</v>
      </c>
      <c r="H11" s="112">
        <v>142813.26</v>
      </c>
      <c r="I11" s="146">
        <v>182283.23</v>
      </c>
      <c r="J11" s="112">
        <v>213703.41</v>
      </c>
      <c r="K11" s="145">
        <v>149030.71</v>
      </c>
      <c r="L11" s="112">
        <v>171220.45</v>
      </c>
      <c r="M11" s="112">
        <v>133652.85</v>
      </c>
      <c r="N11" s="112">
        <v>62152.07</v>
      </c>
      <c r="O11" s="112">
        <v>125206.63</v>
      </c>
      <c r="P11" s="112">
        <v>117610.26000000001</v>
      </c>
      <c r="Q11" s="112">
        <f t="shared" si="0"/>
        <v>1601536.2200000004</v>
      </c>
    </row>
    <row r="12" spans="1:17" x14ac:dyDescent="0.2">
      <c r="A12" s="110" t="s">
        <v>66</v>
      </c>
      <c r="B12" s="111"/>
      <c r="C12" s="111"/>
      <c r="D12" s="127" t="s">
        <v>68</v>
      </c>
      <c r="E12" s="112">
        <v>128925.58</v>
      </c>
      <c r="F12" s="112">
        <v>199407.13999999998</v>
      </c>
      <c r="G12" s="145">
        <v>23520.989999999998</v>
      </c>
      <c r="H12" s="112">
        <v>165431.34999999998</v>
      </c>
      <c r="I12" s="146">
        <v>212955.87</v>
      </c>
      <c r="J12" s="112">
        <v>243966.87</v>
      </c>
      <c r="K12" s="145">
        <v>164564.62000000002</v>
      </c>
      <c r="L12" s="112">
        <v>193943.81</v>
      </c>
      <c r="M12" s="112">
        <v>145286.91</v>
      </c>
      <c r="N12" s="112">
        <v>71072.42</v>
      </c>
      <c r="O12" s="112">
        <v>134030.92000000001</v>
      </c>
      <c r="P12" s="112">
        <v>128831.47</v>
      </c>
      <c r="Q12" s="112">
        <f t="shared" si="0"/>
        <v>1811937.9499999997</v>
      </c>
    </row>
    <row r="13" spans="1:17" ht="15" thickBot="1" x14ac:dyDescent="0.25">
      <c r="A13" s="110" t="s">
        <v>50</v>
      </c>
      <c r="B13" s="111"/>
      <c r="C13" s="111"/>
      <c r="D13" s="127" t="s">
        <v>69</v>
      </c>
      <c r="E13" s="113">
        <v>1797967.92</v>
      </c>
      <c r="F13" s="113">
        <v>2869748.9299999978</v>
      </c>
      <c r="G13" s="113">
        <v>577566.0199999999</v>
      </c>
      <c r="H13" s="113">
        <v>2463349.2299999981</v>
      </c>
      <c r="I13" s="113">
        <v>3090052.060000001</v>
      </c>
      <c r="J13" s="113">
        <v>3793571.120000001</v>
      </c>
      <c r="K13" s="113">
        <v>2812658.62</v>
      </c>
      <c r="L13" s="113">
        <v>3085148.9899999993</v>
      </c>
      <c r="M13" s="113">
        <v>2591340.9399999985</v>
      </c>
      <c r="N13" s="113">
        <v>1099734.8099999994</v>
      </c>
      <c r="O13" s="113">
        <v>2489817.0800000005</v>
      </c>
      <c r="P13" s="113">
        <v>2250789.34</v>
      </c>
      <c r="Q13" s="113">
        <f t="shared" si="0"/>
        <v>28921745.059999995</v>
      </c>
    </row>
    <row r="14" spans="1:17" ht="15" x14ac:dyDescent="0.25">
      <c r="A14" s="114"/>
      <c r="B14" s="115" t="s">
        <v>59</v>
      </c>
      <c r="C14" s="116"/>
      <c r="D14" s="117"/>
      <c r="E14" s="118">
        <f>SUM(E8:E13)</f>
        <v>4358258.0500000007</v>
      </c>
      <c r="F14" s="118">
        <f t="shared" ref="F14:Q14" si="1">SUM(F8:F13)</f>
        <v>6809202.3499999978</v>
      </c>
      <c r="G14" s="118">
        <f t="shared" si="1"/>
        <v>987073.61999999988</v>
      </c>
      <c r="H14" s="118">
        <f t="shared" si="1"/>
        <v>5712530.4699999979</v>
      </c>
      <c r="I14" s="118">
        <f t="shared" si="1"/>
        <v>7291329.370000001</v>
      </c>
      <c r="J14" s="118">
        <f t="shared" si="1"/>
        <v>8548136.370000001</v>
      </c>
      <c r="K14" s="118">
        <f t="shared" si="1"/>
        <v>5961228.5700000003</v>
      </c>
      <c r="L14" s="118">
        <f t="shared" si="1"/>
        <v>6848817.8599999994</v>
      </c>
      <c r="M14" s="118">
        <f t="shared" si="1"/>
        <v>5346114.0399999991</v>
      </c>
      <c r="N14" s="118">
        <f t="shared" si="1"/>
        <v>2486082.7799999993</v>
      </c>
      <c r="O14" s="118">
        <f t="shared" si="1"/>
        <v>5008265.0600000005</v>
      </c>
      <c r="P14" s="118">
        <f t="shared" si="1"/>
        <v>4704410.290000001</v>
      </c>
      <c r="Q14" s="118">
        <f t="shared" si="1"/>
        <v>64061448.829999998</v>
      </c>
    </row>
    <row r="15" spans="1:17" ht="15" x14ac:dyDescent="0.25">
      <c r="A15" s="114"/>
      <c r="B15" s="119"/>
      <c r="C15" s="116"/>
      <c r="D15" s="117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0"/>
    </row>
    <row r="16" spans="1:17" x14ac:dyDescent="0.2">
      <c r="A16" s="121" t="s">
        <v>67</v>
      </c>
      <c r="B16" s="111"/>
      <c r="C16" s="111"/>
      <c r="D16" s="111"/>
      <c r="E16" s="129"/>
      <c r="F16" s="129"/>
      <c r="G16" s="129"/>
      <c r="H16" s="129"/>
      <c r="I16" s="129"/>
      <c r="J16" s="130"/>
      <c r="K16" s="129"/>
      <c r="L16" s="129"/>
      <c r="M16" s="129"/>
      <c r="N16" s="129"/>
      <c r="O16" s="129"/>
      <c r="P16" s="122"/>
      <c r="Q16" s="131"/>
    </row>
    <row r="17" spans="1:17" x14ac:dyDescent="0.2">
      <c r="A17" s="132"/>
      <c r="B17" s="123"/>
      <c r="C17" s="123"/>
      <c r="D17" s="12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4"/>
    </row>
    <row r="18" spans="1:17" ht="15" thickBot="1" x14ac:dyDescent="0.25">
      <c r="H18" s="113"/>
    </row>
    <row r="20" spans="1:17" ht="15" thickBot="1" x14ac:dyDescent="0.25">
      <c r="A20" s="113"/>
    </row>
    <row r="21" spans="1:17" ht="15" thickBot="1" x14ac:dyDescent="0.25">
      <c r="A21" s="113"/>
    </row>
  </sheetData>
  <mergeCells count="1">
    <mergeCell ref="D5:D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7"/>
  <sheetViews>
    <sheetView topLeftCell="J1" zoomScaleNormal="100" workbookViewId="0">
      <selection activeCell="P21" sqref="P21"/>
    </sheetView>
  </sheetViews>
  <sheetFormatPr baseColWidth="10" defaultColWidth="12.5703125" defaultRowHeight="14.25" x14ac:dyDescent="0.2"/>
  <cols>
    <col min="1" max="2" width="17.5703125" style="96" customWidth="1"/>
    <col min="3" max="3" width="11" style="96" customWidth="1"/>
    <col min="4" max="4" width="9.42578125" style="96" customWidth="1"/>
    <col min="5" max="17" width="17.5703125" style="96" customWidth="1"/>
    <col min="18" max="16384" width="12.5703125" style="96"/>
  </cols>
  <sheetData>
    <row r="1" spans="1:17" ht="15.75" x14ac:dyDescent="0.25">
      <c r="A1" s="45" t="s">
        <v>0</v>
      </c>
      <c r="Q1" s="97"/>
    </row>
    <row r="2" spans="1:17" ht="15" x14ac:dyDescent="0.25">
      <c r="A2" s="98" t="s">
        <v>54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</row>
    <row r="3" spans="1:17" ht="15" x14ac:dyDescent="0.25">
      <c r="A3" s="98" t="s">
        <v>55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</row>
    <row r="4" spans="1:17" ht="15" x14ac:dyDescent="0.25">
      <c r="A4" s="99" t="s">
        <v>338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</row>
    <row r="5" spans="1:17" ht="15" x14ac:dyDescent="0.2">
      <c r="A5" s="100" t="s">
        <v>46</v>
      </c>
      <c r="B5" s="101"/>
      <c r="C5" s="101"/>
      <c r="D5" s="149" t="s">
        <v>52</v>
      </c>
      <c r="E5" s="141" t="str">
        <f>"Ene."&amp;Q6</f>
        <v>Ene.2021</v>
      </c>
      <c r="F5" s="142" t="str">
        <f>"Feb."&amp;Q6</f>
        <v>Feb.2021</v>
      </c>
      <c r="G5" s="141" t="str">
        <f>"Mar."&amp;Q6</f>
        <v>Mar.2021</v>
      </c>
      <c r="H5" s="141" t="str">
        <f>"Abr."&amp;Q6</f>
        <v>Abr.2021</v>
      </c>
      <c r="I5" s="141" t="str">
        <f>"May."&amp;Q6</f>
        <v>May.2021</v>
      </c>
      <c r="J5" s="141" t="str">
        <f>"Jun."&amp;Q6</f>
        <v>Jun.2021</v>
      </c>
      <c r="K5" s="141" t="str">
        <f>"Jul."&amp;Q6</f>
        <v>Jul.2021</v>
      </c>
      <c r="L5" s="141" t="str">
        <f>"Ago."&amp;Q6</f>
        <v>Ago.2021</v>
      </c>
      <c r="M5" s="141" t="str">
        <f>"Sep."&amp;Q6</f>
        <v>Sep.2021</v>
      </c>
      <c r="N5" s="141" t="str">
        <f>"Oct."&amp;Q6</f>
        <v>Oct.2021</v>
      </c>
      <c r="O5" s="141" t="str">
        <f>"Nov."&amp;Q6</f>
        <v>Nov.2021</v>
      </c>
      <c r="P5" s="141" t="str">
        <f>"Dic."&amp;Q6</f>
        <v>Dic.2021</v>
      </c>
      <c r="Q5" s="141" t="s">
        <v>48</v>
      </c>
    </row>
    <row r="6" spans="1:17" ht="15" x14ac:dyDescent="0.2">
      <c r="A6" s="126" t="s">
        <v>47</v>
      </c>
      <c r="B6" s="103"/>
      <c r="C6" s="103"/>
      <c r="D6" s="150"/>
      <c r="E6" s="143">
        <v>44245</v>
      </c>
      <c r="F6" s="104">
        <v>44273</v>
      </c>
      <c r="G6" s="104">
        <v>44308</v>
      </c>
      <c r="H6" s="104">
        <v>44336</v>
      </c>
      <c r="I6" s="104">
        <v>44365</v>
      </c>
      <c r="J6" s="104">
        <v>44397</v>
      </c>
      <c r="K6" s="104">
        <v>44427</v>
      </c>
      <c r="L6" s="104">
        <v>44459</v>
      </c>
      <c r="M6" s="104">
        <v>44490</v>
      </c>
      <c r="N6" s="104">
        <v>44519</v>
      </c>
      <c r="O6" s="104">
        <v>44550</v>
      </c>
      <c r="P6" s="104">
        <v>44580</v>
      </c>
      <c r="Q6" s="144">
        <v>2021</v>
      </c>
    </row>
    <row r="7" spans="1:17" x14ac:dyDescent="0.2">
      <c r="A7" s="106"/>
      <c r="B7" s="107"/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</row>
    <row r="8" spans="1:17" x14ac:dyDescent="0.2">
      <c r="A8" s="110" t="s">
        <v>63</v>
      </c>
      <c r="B8" s="111"/>
      <c r="C8" s="111"/>
      <c r="D8" s="127" t="s">
        <v>72</v>
      </c>
      <c r="E8" s="112">
        <v>754242.64</v>
      </c>
      <c r="F8" s="112">
        <v>1074585.04</v>
      </c>
      <c r="G8" s="112">
        <v>1008155</v>
      </c>
      <c r="H8" s="112">
        <v>1451746.57</v>
      </c>
      <c r="I8" s="112">
        <v>1622504.67</v>
      </c>
      <c r="J8" s="112">
        <v>1562822.4700000002</v>
      </c>
      <c r="K8" s="145">
        <v>1536047.51</v>
      </c>
      <c r="L8" s="112">
        <v>1370002.3800000001</v>
      </c>
      <c r="M8" s="112">
        <v>1942392.31</v>
      </c>
      <c r="N8" s="112">
        <v>2439787.9900000002</v>
      </c>
      <c r="O8" s="112">
        <v>1222004.9200000002</v>
      </c>
      <c r="P8" s="112">
        <v>1303167.49</v>
      </c>
      <c r="Q8" s="112">
        <f>SUM(E8:P8)</f>
        <v>17287458.990000002</v>
      </c>
    </row>
    <row r="9" spans="1:17" x14ac:dyDescent="0.2">
      <c r="A9" s="110" t="s">
        <v>70</v>
      </c>
      <c r="B9" s="111"/>
      <c r="C9" s="111"/>
      <c r="D9" s="127" t="s">
        <v>71</v>
      </c>
      <c r="E9" s="112">
        <v>13669.22</v>
      </c>
      <c r="F9" s="112">
        <v>20998.09</v>
      </c>
      <c r="G9" s="112">
        <v>21183.89</v>
      </c>
      <c r="H9" s="112">
        <v>10196.969999999999</v>
      </c>
      <c r="I9" s="112">
        <v>18422.36</v>
      </c>
      <c r="J9" s="112">
        <v>22925.83</v>
      </c>
      <c r="K9" s="145">
        <v>3641.14</v>
      </c>
      <c r="L9" s="112">
        <v>38827.4</v>
      </c>
      <c r="M9" s="112">
        <v>40088.71</v>
      </c>
      <c r="N9" s="112">
        <v>20388.009999999998</v>
      </c>
      <c r="O9" s="112">
        <v>3438.2</v>
      </c>
      <c r="P9" s="112">
        <v>3087.05</v>
      </c>
      <c r="Q9" s="112">
        <f t="shared" ref="Q9:Q13" si="0">SUM(E9:P9)</f>
        <v>216866.87</v>
      </c>
    </row>
    <row r="10" spans="1:17" x14ac:dyDescent="0.2">
      <c r="A10" s="110" t="s">
        <v>65</v>
      </c>
      <c r="B10" s="111"/>
      <c r="C10" s="111"/>
      <c r="D10" s="127">
        <v>2.5000000000000001E-2</v>
      </c>
      <c r="E10" s="112">
        <v>43271.519999999997</v>
      </c>
      <c r="F10" s="112">
        <v>62430.990000000005</v>
      </c>
      <c r="G10" s="112">
        <v>59332.520000000004</v>
      </c>
      <c r="H10" s="112">
        <v>75024.73</v>
      </c>
      <c r="I10" s="112">
        <v>87452.4</v>
      </c>
      <c r="J10" s="112">
        <v>86892.53</v>
      </c>
      <c r="K10" s="145">
        <v>75715.69</v>
      </c>
      <c r="L10" s="112">
        <v>85776.99</v>
      </c>
      <c r="M10" s="112">
        <v>113942.56</v>
      </c>
      <c r="N10" s="112">
        <v>127752.89</v>
      </c>
      <c r="O10" s="112">
        <v>60513.41</v>
      </c>
      <c r="P10" s="112">
        <v>64235.39</v>
      </c>
      <c r="Q10" s="112">
        <f t="shared" si="0"/>
        <v>942341.62000000023</v>
      </c>
    </row>
    <row r="11" spans="1:17" x14ac:dyDescent="0.2">
      <c r="A11" s="110" t="s">
        <v>85</v>
      </c>
      <c r="B11" s="111"/>
      <c r="C11" s="111"/>
      <c r="D11" s="127">
        <v>2.5000000000000001E-2</v>
      </c>
      <c r="E11" s="112">
        <v>43271.519999999997</v>
      </c>
      <c r="F11" s="112">
        <v>62430.990000000005</v>
      </c>
      <c r="G11" s="112">
        <v>59332.520000000004</v>
      </c>
      <c r="H11" s="112">
        <v>75024.73</v>
      </c>
      <c r="I11" s="112">
        <v>87452.4</v>
      </c>
      <c r="J11" s="112">
        <v>86892.53</v>
      </c>
      <c r="K11" s="145">
        <v>75715.69</v>
      </c>
      <c r="L11" s="112">
        <v>85776.99</v>
      </c>
      <c r="M11" s="112">
        <v>113942.56</v>
      </c>
      <c r="N11" s="112">
        <v>127752.89</v>
      </c>
      <c r="O11" s="112">
        <v>60513.41</v>
      </c>
      <c r="P11" s="112">
        <v>64235.39</v>
      </c>
      <c r="Q11" s="112">
        <f t="shared" si="0"/>
        <v>942341.62000000023</v>
      </c>
    </row>
    <row r="12" spans="1:17" x14ac:dyDescent="0.2">
      <c r="A12" s="110" t="s">
        <v>66</v>
      </c>
      <c r="B12" s="111"/>
      <c r="C12" s="111"/>
      <c r="D12" s="127" t="s">
        <v>68</v>
      </c>
      <c r="E12" s="112">
        <v>47369.42</v>
      </c>
      <c r="F12" s="112">
        <v>67917.83</v>
      </c>
      <c r="G12" s="112">
        <v>64137.729999999996</v>
      </c>
      <c r="H12" s="112">
        <v>86630.68</v>
      </c>
      <c r="I12" s="112">
        <v>98802.09</v>
      </c>
      <c r="J12" s="112">
        <v>96629.1</v>
      </c>
      <c r="K12" s="145">
        <v>89645.11</v>
      </c>
      <c r="L12" s="112">
        <v>89989.92</v>
      </c>
      <c r="M12" s="112">
        <v>123368.16</v>
      </c>
      <c r="N12" s="112">
        <v>146507.46</v>
      </c>
      <c r="O12" s="112">
        <v>71470.03</v>
      </c>
      <c r="P12" s="112">
        <v>76053.440000000002</v>
      </c>
      <c r="Q12" s="112">
        <f t="shared" si="0"/>
        <v>1058520.97</v>
      </c>
    </row>
    <row r="13" spans="1:17" ht="15" thickBot="1" x14ac:dyDescent="0.25">
      <c r="A13" s="110" t="s">
        <v>50</v>
      </c>
      <c r="B13" s="111"/>
      <c r="C13" s="111"/>
      <c r="D13" s="127" t="s">
        <v>69</v>
      </c>
      <c r="E13" s="113">
        <v>829036.47999999975</v>
      </c>
      <c r="F13" s="113">
        <v>1208876.7500000005</v>
      </c>
      <c r="G13" s="113">
        <v>1161159.2999999998</v>
      </c>
      <c r="H13" s="113">
        <v>1302365.3500000003</v>
      </c>
      <c r="I13" s="113">
        <v>1583461.9399999995</v>
      </c>
      <c r="J13" s="113">
        <v>1619538.81</v>
      </c>
      <c r="K13" s="113">
        <v>1247862.3399999999</v>
      </c>
      <c r="L13" s="113">
        <v>1760705.8600000003</v>
      </c>
      <c r="M13" s="113">
        <v>2223967.959999999</v>
      </c>
      <c r="N13" s="113">
        <v>2247926.2700000019</v>
      </c>
      <c r="O13" s="113">
        <v>1002596.580000001</v>
      </c>
      <c r="P13" s="113">
        <v>1058636.6899999995</v>
      </c>
      <c r="Q13" s="113">
        <f t="shared" si="0"/>
        <v>17246134.330000006</v>
      </c>
    </row>
    <row r="14" spans="1:17" ht="15" x14ac:dyDescent="0.25">
      <c r="A14" s="114"/>
      <c r="B14" s="115" t="s">
        <v>59</v>
      </c>
      <c r="C14" s="116"/>
      <c r="D14" s="117"/>
      <c r="E14" s="118">
        <f>SUM(E8:E13)</f>
        <v>1730860.7999999998</v>
      </c>
      <c r="F14" s="118">
        <f t="shared" ref="F14:Q14" si="1">SUM(F8:F13)</f>
        <v>2497239.6900000004</v>
      </c>
      <c r="G14" s="118">
        <f t="shared" si="1"/>
        <v>2373300.96</v>
      </c>
      <c r="H14" s="118">
        <f t="shared" si="1"/>
        <v>3000989.0300000003</v>
      </c>
      <c r="I14" s="118">
        <f t="shared" si="1"/>
        <v>3498095.8599999994</v>
      </c>
      <c r="J14" s="118">
        <f t="shared" si="1"/>
        <v>3475701.2700000005</v>
      </c>
      <c r="K14" s="118">
        <f t="shared" si="1"/>
        <v>3028627.4799999995</v>
      </c>
      <c r="L14" s="118">
        <f t="shared" si="1"/>
        <v>3431079.54</v>
      </c>
      <c r="M14" s="118">
        <f t="shared" si="1"/>
        <v>4557702.26</v>
      </c>
      <c r="N14" s="118">
        <f t="shared" si="1"/>
        <v>5110115.5100000016</v>
      </c>
      <c r="O14" s="118">
        <f t="shared" si="1"/>
        <v>2420536.5500000007</v>
      </c>
      <c r="P14" s="118">
        <f t="shared" si="1"/>
        <v>2569415.4499999993</v>
      </c>
      <c r="Q14" s="118">
        <f t="shared" si="1"/>
        <v>37693664.400000006</v>
      </c>
    </row>
    <row r="15" spans="1:17" ht="15" x14ac:dyDescent="0.25">
      <c r="A15" s="114"/>
      <c r="B15" s="119"/>
      <c r="C15" s="116"/>
      <c r="D15" s="117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0"/>
    </row>
    <row r="16" spans="1:17" x14ac:dyDescent="0.2">
      <c r="A16" s="121" t="s">
        <v>67</v>
      </c>
      <c r="B16" s="111"/>
      <c r="C16" s="111"/>
      <c r="D16" s="111"/>
      <c r="E16" s="129"/>
      <c r="F16" s="129"/>
      <c r="G16" s="129"/>
      <c r="H16" s="129"/>
      <c r="I16" s="129"/>
      <c r="J16" s="130"/>
      <c r="K16" s="129"/>
      <c r="L16" s="129"/>
      <c r="M16" s="129"/>
      <c r="N16" s="129"/>
      <c r="O16" s="129"/>
      <c r="P16" s="122"/>
      <c r="Q16" s="131"/>
    </row>
    <row r="17" spans="1:17" x14ac:dyDescent="0.2">
      <c r="A17" s="132"/>
      <c r="B17" s="123"/>
      <c r="C17" s="123"/>
      <c r="D17" s="12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4"/>
    </row>
  </sheetData>
  <mergeCells count="1">
    <mergeCell ref="D5:D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7"/>
  <sheetViews>
    <sheetView topLeftCell="I1" zoomScaleNormal="100" workbookViewId="0">
      <selection activeCell="O23" sqref="O23"/>
    </sheetView>
  </sheetViews>
  <sheetFormatPr baseColWidth="10" defaultColWidth="12.5703125" defaultRowHeight="14.25" x14ac:dyDescent="0.2"/>
  <cols>
    <col min="1" max="2" width="17.5703125" style="96" customWidth="1"/>
    <col min="3" max="3" width="11" style="96" customWidth="1"/>
    <col min="4" max="4" width="9.42578125" style="96" customWidth="1"/>
    <col min="5" max="17" width="17.5703125" style="96" customWidth="1"/>
    <col min="18" max="16384" width="12.5703125" style="96"/>
  </cols>
  <sheetData>
    <row r="1" spans="1:17" ht="15.75" x14ac:dyDescent="0.25">
      <c r="A1" s="45" t="s">
        <v>0</v>
      </c>
      <c r="Q1" s="97"/>
    </row>
    <row r="2" spans="1:17" ht="15" x14ac:dyDescent="0.25">
      <c r="A2" s="98" t="s">
        <v>54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</row>
    <row r="3" spans="1:17" ht="15" x14ac:dyDescent="0.25">
      <c r="A3" s="98" t="s">
        <v>55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</row>
    <row r="4" spans="1:17" ht="15" x14ac:dyDescent="0.25">
      <c r="A4" s="99" t="s">
        <v>338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</row>
    <row r="5" spans="1:17" ht="15" x14ac:dyDescent="0.2">
      <c r="A5" s="100" t="s">
        <v>46</v>
      </c>
      <c r="B5" s="101"/>
      <c r="C5" s="101"/>
      <c r="D5" s="149" t="s">
        <v>52</v>
      </c>
      <c r="E5" s="141" t="str">
        <f>"Ene."&amp;Q6</f>
        <v>Ene.2020</v>
      </c>
      <c r="F5" s="142" t="str">
        <f>"Feb."&amp;Q6</f>
        <v>Feb.2020</v>
      </c>
      <c r="G5" s="141" t="str">
        <f>"Mar."&amp;Q6</f>
        <v>Mar.2020</v>
      </c>
      <c r="H5" s="141" t="str">
        <f>"Abr."&amp;Q6</f>
        <v>Abr.2020</v>
      </c>
      <c r="I5" s="141" t="str">
        <f>"May."&amp;Q6</f>
        <v>May.2020</v>
      </c>
      <c r="J5" s="141" t="str">
        <f>"Jun."&amp;Q6</f>
        <v>Jun.2020</v>
      </c>
      <c r="K5" s="141" t="str">
        <f>"Jul."&amp;Q6</f>
        <v>Jul.2020</v>
      </c>
      <c r="L5" s="141" t="str">
        <f>"Ago."&amp;Q6</f>
        <v>Ago.2020</v>
      </c>
      <c r="M5" s="141" t="str">
        <f>"Sep."&amp;Q6</f>
        <v>Sep.2020</v>
      </c>
      <c r="N5" s="141" t="str">
        <f>"Oct."&amp;Q6</f>
        <v>Oct.2020</v>
      </c>
      <c r="O5" s="141" t="str">
        <f>"Nov."&amp;Q6</f>
        <v>Nov.2020</v>
      </c>
      <c r="P5" s="141" t="str">
        <f>"Dic."&amp;Q6</f>
        <v>Dic.2020</v>
      </c>
      <c r="Q5" s="141" t="s">
        <v>48</v>
      </c>
    </row>
    <row r="6" spans="1:17" ht="15" x14ac:dyDescent="0.2">
      <c r="A6" s="126" t="s">
        <v>47</v>
      </c>
      <c r="B6" s="103"/>
      <c r="C6" s="103"/>
      <c r="D6" s="150"/>
      <c r="E6" s="143">
        <v>43880</v>
      </c>
      <c r="F6" s="104">
        <v>43908</v>
      </c>
      <c r="G6" s="104">
        <v>43942</v>
      </c>
      <c r="H6" s="104">
        <v>43971</v>
      </c>
      <c r="I6" s="104">
        <v>44000</v>
      </c>
      <c r="J6" s="104">
        <v>44032</v>
      </c>
      <c r="K6" s="104">
        <v>44063</v>
      </c>
      <c r="L6" s="104">
        <v>44092</v>
      </c>
      <c r="M6" s="104">
        <v>44124</v>
      </c>
      <c r="N6" s="104">
        <v>44154</v>
      </c>
      <c r="O6" s="104">
        <v>44186</v>
      </c>
      <c r="P6" s="104">
        <v>44217</v>
      </c>
      <c r="Q6" s="144">
        <v>2020</v>
      </c>
    </row>
    <row r="7" spans="1:17" x14ac:dyDescent="0.2">
      <c r="A7" s="106"/>
      <c r="B7" s="107"/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</row>
    <row r="8" spans="1:17" x14ac:dyDescent="0.2">
      <c r="A8" s="110" t="s">
        <v>63</v>
      </c>
      <c r="B8" s="111"/>
      <c r="C8" s="111"/>
      <c r="D8" s="127" t="s">
        <v>72</v>
      </c>
      <c r="E8" s="112">
        <v>2331350.25</v>
      </c>
      <c r="F8" s="112">
        <v>2095072.49</v>
      </c>
      <c r="G8" s="112">
        <v>676275.94</v>
      </c>
      <c r="H8" s="112">
        <v>269640.39</v>
      </c>
      <c r="I8" s="112">
        <v>77149.070000000007</v>
      </c>
      <c r="J8" s="112">
        <v>164558.34</v>
      </c>
      <c r="K8" s="112">
        <v>319717.05</v>
      </c>
      <c r="L8" s="112">
        <v>155902.39000000001</v>
      </c>
      <c r="M8" s="112">
        <v>104010.25999999998</v>
      </c>
      <c r="N8" s="112">
        <v>906627</v>
      </c>
      <c r="O8" s="112">
        <v>895401.88</v>
      </c>
      <c r="P8" s="112">
        <v>399132.67000000004</v>
      </c>
      <c r="Q8" s="112">
        <f>SUM(E8:P8)</f>
        <v>8394837.7299999986</v>
      </c>
    </row>
    <row r="9" spans="1:17" x14ac:dyDescent="0.2">
      <c r="A9" s="110" t="s">
        <v>70</v>
      </c>
      <c r="B9" s="111"/>
      <c r="C9" s="111"/>
      <c r="D9" s="127" t="s">
        <v>71</v>
      </c>
      <c r="E9" s="112">
        <v>18807.150000000001</v>
      </c>
      <c r="F9" s="112">
        <v>20684.28</v>
      </c>
      <c r="G9" s="112">
        <v>8681</v>
      </c>
      <c r="H9" s="112">
        <v>6160.73</v>
      </c>
      <c r="I9" s="112">
        <v>8648.39</v>
      </c>
      <c r="J9" s="112">
        <v>9514.92</v>
      </c>
      <c r="K9" s="112">
        <v>6252.74</v>
      </c>
      <c r="L9" s="112">
        <v>8549.59</v>
      </c>
      <c r="M9" s="112">
        <v>10151.18</v>
      </c>
      <c r="N9" s="112">
        <v>10316.43</v>
      </c>
      <c r="O9" s="112">
        <v>39177.65</v>
      </c>
      <c r="P9" s="112">
        <v>10046.98</v>
      </c>
      <c r="Q9" s="112">
        <f t="shared" ref="Q9:Q13" si="0">SUM(E9:P9)</f>
        <v>156991.04000000001</v>
      </c>
    </row>
    <row r="10" spans="1:17" x14ac:dyDescent="0.2">
      <c r="A10" s="110" t="s">
        <v>65</v>
      </c>
      <c r="B10" s="111"/>
      <c r="C10" s="111"/>
      <c r="D10" s="127">
        <v>2.5000000000000001E-2</v>
      </c>
      <c r="E10" s="112">
        <v>121728.84</v>
      </c>
      <c r="F10" s="112">
        <v>111331.95999999999</v>
      </c>
      <c r="G10" s="112">
        <v>36965.06</v>
      </c>
      <c r="H10" s="112">
        <v>16122.829999999998</v>
      </c>
      <c r="I10" s="112">
        <v>8144.16</v>
      </c>
      <c r="J10" s="112">
        <v>12790.91</v>
      </c>
      <c r="K10" s="112">
        <v>18577.55</v>
      </c>
      <c r="L10" s="112">
        <v>11879.71</v>
      </c>
      <c r="M10" s="112">
        <v>10206.23</v>
      </c>
      <c r="N10" s="112">
        <v>48878.31</v>
      </c>
      <c r="O10" s="112">
        <v>63139.27</v>
      </c>
      <c r="P10" s="112">
        <v>24341.37</v>
      </c>
      <c r="Q10" s="112">
        <f t="shared" si="0"/>
        <v>484106.19999999995</v>
      </c>
    </row>
    <row r="11" spans="1:17" x14ac:dyDescent="0.2">
      <c r="A11" s="110" t="s">
        <v>85</v>
      </c>
      <c r="B11" s="111"/>
      <c r="C11" s="111"/>
      <c r="D11" s="127">
        <v>2.5000000000000001E-2</v>
      </c>
      <c r="E11" s="112">
        <v>121728.84</v>
      </c>
      <c r="F11" s="112">
        <v>111331.95999999999</v>
      </c>
      <c r="G11" s="112">
        <v>36965.06</v>
      </c>
      <c r="H11" s="112">
        <v>16122.829999999998</v>
      </c>
      <c r="I11" s="112">
        <v>8144.16</v>
      </c>
      <c r="J11" s="112">
        <v>12790.91</v>
      </c>
      <c r="K11" s="112">
        <v>18577.55</v>
      </c>
      <c r="L11" s="112">
        <v>11879.71</v>
      </c>
      <c r="M11" s="112">
        <v>10206.23</v>
      </c>
      <c r="N11" s="112">
        <v>48878.31</v>
      </c>
      <c r="O11" s="112">
        <v>63139.27</v>
      </c>
      <c r="P11" s="112">
        <v>24341.37</v>
      </c>
      <c r="Q11" s="112">
        <f t="shared" si="0"/>
        <v>484106.19999999995</v>
      </c>
    </row>
    <row r="12" spans="1:17" x14ac:dyDescent="0.2">
      <c r="A12" s="110" t="s">
        <v>66</v>
      </c>
      <c r="B12" s="111"/>
      <c r="C12" s="111"/>
      <c r="D12" s="127" t="s">
        <v>68</v>
      </c>
      <c r="E12" s="112">
        <v>139805.56</v>
      </c>
      <c r="F12" s="112">
        <v>126703.6</v>
      </c>
      <c r="G12" s="112">
        <v>41464.410000000003</v>
      </c>
      <c r="H12" s="112">
        <v>17293.82</v>
      </c>
      <c r="I12" s="112">
        <v>6890.1900000000005</v>
      </c>
      <c r="J12" s="112">
        <v>12177.45</v>
      </c>
      <c r="K12" s="112">
        <v>20208.809999999998</v>
      </c>
      <c r="L12" s="112">
        <v>11405.8</v>
      </c>
      <c r="M12" s="112">
        <v>8863.75</v>
      </c>
      <c r="N12" s="112">
        <v>55215.170000000006</v>
      </c>
      <c r="O12" s="112">
        <v>62707.91</v>
      </c>
      <c r="P12" s="112">
        <v>25860.639999999999</v>
      </c>
      <c r="Q12" s="112">
        <f t="shared" si="0"/>
        <v>528597.1100000001</v>
      </c>
    </row>
    <row r="13" spans="1:17" ht="15" thickBot="1" x14ac:dyDescent="0.25">
      <c r="A13" s="110" t="s">
        <v>50</v>
      </c>
      <c r="B13" s="111"/>
      <c r="C13" s="111"/>
      <c r="D13" s="127" t="s">
        <v>69</v>
      </c>
      <c r="E13" s="113">
        <v>2135732.8699999992</v>
      </c>
      <c r="F13" s="113">
        <v>1988154.1500000006</v>
      </c>
      <c r="G13" s="113">
        <v>678251.07000000007</v>
      </c>
      <c r="H13" s="113">
        <v>319572.63000000006</v>
      </c>
      <c r="I13" s="113">
        <v>216790.48000000007</v>
      </c>
      <c r="J13" s="113">
        <v>299803.68</v>
      </c>
      <c r="K13" s="113">
        <v>359768.18000000005</v>
      </c>
      <c r="L13" s="113">
        <v>275571.27000000008</v>
      </c>
      <c r="M13" s="113">
        <v>264811.46999999997</v>
      </c>
      <c r="N13" s="113">
        <v>885217.28999999946</v>
      </c>
      <c r="O13" s="113">
        <v>1402004.8999999994</v>
      </c>
      <c r="P13" s="113">
        <v>489931.61000000022</v>
      </c>
      <c r="Q13" s="113">
        <f t="shared" si="0"/>
        <v>9315609.5999999978</v>
      </c>
    </row>
    <row r="14" spans="1:17" ht="15" x14ac:dyDescent="0.25">
      <c r="A14" s="114"/>
      <c r="B14" s="115" t="s">
        <v>59</v>
      </c>
      <c r="C14" s="116"/>
      <c r="D14" s="117"/>
      <c r="E14" s="118">
        <f>SUM(E8:E13)</f>
        <v>4869153.5099999988</v>
      </c>
      <c r="F14" s="118">
        <f t="shared" ref="F14:Q14" si="1">SUM(F8:F13)</f>
        <v>4453278.4400000004</v>
      </c>
      <c r="G14" s="118">
        <f t="shared" si="1"/>
        <v>1478602.54</v>
      </c>
      <c r="H14" s="118">
        <f t="shared" si="1"/>
        <v>644913.2300000001</v>
      </c>
      <c r="I14" s="118">
        <f t="shared" si="1"/>
        <v>325766.45000000007</v>
      </c>
      <c r="J14" s="118">
        <f t="shared" si="1"/>
        <v>511636.21</v>
      </c>
      <c r="K14" s="118">
        <f t="shared" si="1"/>
        <v>743101.88</v>
      </c>
      <c r="L14" s="118">
        <f t="shared" si="1"/>
        <v>475188.47000000009</v>
      </c>
      <c r="M14" s="118">
        <f t="shared" si="1"/>
        <v>408249.11999999994</v>
      </c>
      <c r="N14" s="118">
        <f t="shared" si="1"/>
        <v>1955132.5099999993</v>
      </c>
      <c r="O14" s="118">
        <f t="shared" si="1"/>
        <v>2525570.8799999994</v>
      </c>
      <c r="P14" s="118">
        <f t="shared" si="1"/>
        <v>973654.64000000025</v>
      </c>
      <c r="Q14" s="118">
        <f t="shared" si="1"/>
        <v>19364247.879999995</v>
      </c>
    </row>
    <row r="15" spans="1:17" ht="15" x14ac:dyDescent="0.25">
      <c r="A15" s="114"/>
      <c r="B15" s="119"/>
      <c r="C15" s="116"/>
      <c r="D15" s="117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0"/>
    </row>
    <row r="16" spans="1:17" x14ac:dyDescent="0.2">
      <c r="A16" s="121" t="s">
        <v>67</v>
      </c>
      <c r="B16" s="111"/>
      <c r="C16" s="111"/>
      <c r="D16" s="111"/>
      <c r="E16" s="129"/>
      <c r="F16" s="129"/>
      <c r="G16" s="129"/>
      <c r="H16" s="129"/>
      <c r="I16" s="129"/>
      <c r="J16" s="130"/>
      <c r="K16" s="129"/>
      <c r="L16" s="129"/>
      <c r="M16" s="129"/>
      <c r="N16" s="129"/>
      <c r="O16" s="129"/>
      <c r="P16" s="122"/>
      <c r="Q16" s="131"/>
    </row>
    <row r="17" spans="1:17" x14ac:dyDescent="0.2">
      <c r="A17" s="132"/>
      <c r="B17" s="123"/>
      <c r="C17" s="123"/>
      <c r="D17" s="12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4"/>
    </row>
  </sheetData>
  <mergeCells count="1">
    <mergeCell ref="D5:D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7"/>
  <sheetViews>
    <sheetView topLeftCell="L1" zoomScaleNormal="100" workbookViewId="0">
      <selection activeCell="R10" sqref="R10"/>
    </sheetView>
  </sheetViews>
  <sheetFormatPr baseColWidth="10" defaultColWidth="12.5703125" defaultRowHeight="14.25" x14ac:dyDescent="0.2"/>
  <cols>
    <col min="1" max="2" width="17.5703125" style="96" customWidth="1"/>
    <col min="3" max="3" width="11" style="96" customWidth="1"/>
    <col min="4" max="4" width="9.42578125" style="96" customWidth="1"/>
    <col min="5" max="17" width="17.5703125" style="96" customWidth="1"/>
    <col min="18" max="16384" width="12.5703125" style="96"/>
  </cols>
  <sheetData>
    <row r="1" spans="1:17" ht="15.75" x14ac:dyDescent="0.25">
      <c r="A1" s="45" t="s">
        <v>0</v>
      </c>
      <c r="Q1" s="97"/>
    </row>
    <row r="2" spans="1:17" ht="15" x14ac:dyDescent="0.25">
      <c r="A2" s="98" t="s">
        <v>54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</row>
    <row r="3" spans="1:17" ht="15" x14ac:dyDescent="0.25">
      <c r="A3" s="98" t="s">
        <v>55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</row>
    <row r="4" spans="1:17" ht="15" x14ac:dyDescent="0.25">
      <c r="A4" s="99" t="s">
        <v>338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</row>
    <row r="5" spans="1:17" ht="15" x14ac:dyDescent="0.25">
      <c r="A5" s="100" t="s">
        <v>46</v>
      </c>
      <c r="B5" s="101"/>
      <c r="C5" s="101"/>
      <c r="D5" s="149" t="s">
        <v>52</v>
      </c>
      <c r="E5" s="124" t="str">
        <f>"Ene."&amp;Q6</f>
        <v>Ene.2019</v>
      </c>
      <c r="F5" s="125" t="str">
        <f>"Feb."&amp;Q6</f>
        <v>Feb.2019</v>
      </c>
      <c r="G5" s="125" t="str">
        <f>"Mar."&amp;Q6</f>
        <v>Mar.2019</v>
      </c>
      <c r="H5" s="125" t="str">
        <f>"Abr."&amp;Q6</f>
        <v>Abr.2019</v>
      </c>
      <c r="I5" s="125" t="str">
        <f>"May."&amp;Q6</f>
        <v>May.2019</v>
      </c>
      <c r="J5" s="125" t="str">
        <f>"Jun."&amp;Q6</f>
        <v>Jun.2019</v>
      </c>
      <c r="K5" s="125" t="str">
        <f>"Jul."&amp;Q6</f>
        <v>Jul.2019</v>
      </c>
      <c r="L5" s="125" t="str">
        <f>"Ago."&amp;Q6</f>
        <v>Ago.2019</v>
      </c>
      <c r="M5" s="125" t="str">
        <f>"Sep."&amp;Q6</f>
        <v>Sep.2019</v>
      </c>
      <c r="N5" s="125" t="str">
        <f>"Oct."&amp;Q6</f>
        <v>Oct.2019</v>
      </c>
      <c r="O5" s="125" t="str">
        <f>"Nov."&amp;Q6</f>
        <v>Nov.2019</v>
      </c>
      <c r="P5" s="125" t="str">
        <f>"Dic."&amp;Q6</f>
        <v>Dic.2019</v>
      </c>
      <c r="Q5" s="102" t="s">
        <v>48</v>
      </c>
    </row>
    <row r="6" spans="1:17" x14ac:dyDescent="0.2">
      <c r="A6" s="126" t="s">
        <v>47</v>
      </c>
      <c r="B6" s="103"/>
      <c r="C6" s="103"/>
      <c r="D6" s="150"/>
      <c r="E6" s="104">
        <v>43515</v>
      </c>
      <c r="F6" s="104">
        <v>43543</v>
      </c>
      <c r="G6" s="104">
        <v>43572</v>
      </c>
      <c r="H6" s="104">
        <v>43605</v>
      </c>
      <c r="I6" s="104">
        <v>43635</v>
      </c>
      <c r="J6" s="104">
        <v>43663</v>
      </c>
      <c r="K6" s="104">
        <v>43696</v>
      </c>
      <c r="L6" s="104">
        <v>43726</v>
      </c>
      <c r="M6" s="104">
        <v>43756</v>
      </c>
      <c r="N6" s="104">
        <v>43789</v>
      </c>
      <c r="O6" s="104">
        <v>43817</v>
      </c>
      <c r="P6" s="104">
        <v>43850</v>
      </c>
      <c r="Q6" s="105">
        <v>2019</v>
      </c>
    </row>
    <row r="7" spans="1:17" x14ac:dyDescent="0.2">
      <c r="A7" s="106"/>
      <c r="B7" s="107"/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</row>
    <row r="8" spans="1:17" x14ac:dyDescent="0.2">
      <c r="A8" s="110" t="s">
        <v>63</v>
      </c>
      <c r="B8" s="111"/>
      <c r="C8" s="111"/>
      <c r="D8" s="127" t="s">
        <v>72</v>
      </c>
      <c r="E8" s="112">
        <v>486732.54999999993</v>
      </c>
      <c r="F8" s="112">
        <v>975153.74</v>
      </c>
      <c r="G8" s="112">
        <v>1568998.17</v>
      </c>
      <c r="H8" s="112">
        <v>2224944.8000000003</v>
      </c>
      <c r="I8" s="112">
        <v>2211396.35</v>
      </c>
      <c r="J8" s="112">
        <v>1554630.66</v>
      </c>
      <c r="K8" s="112">
        <v>1117239.8600000001</v>
      </c>
      <c r="L8" s="112">
        <v>2158055.7000000002</v>
      </c>
      <c r="M8" s="112">
        <v>2213322.4499999997</v>
      </c>
      <c r="N8" s="112">
        <v>2092388.82</v>
      </c>
      <c r="O8" s="112">
        <v>2798996.93</v>
      </c>
      <c r="P8" s="112">
        <v>2020519.31</v>
      </c>
      <c r="Q8" s="112">
        <f>SUM(E8:P8)</f>
        <v>21422379.339999996</v>
      </c>
    </row>
    <row r="9" spans="1:17" x14ac:dyDescent="0.2">
      <c r="A9" s="110" t="s">
        <v>70</v>
      </c>
      <c r="B9" s="111"/>
      <c r="C9" s="111"/>
      <c r="D9" s="127" t="s">
        <v>71</v>
      </c>
      <c r="E9" s="112">
        <v>35971.599999999999</v>
      </c>
      <c r="F9" s="112">
        <v>30271.01</v>
      </c>
      <c r="G9" s="112">
        <v>26882.77</v>
      </c>
      <c r="H9" s="112">
        <v>25522.75</v>
      </c>
      <c r="I9" s="112">
        <v>41651.129999999997</v>
      </c>
      <c r="J9" s="112">
        <v>29031.63</v>
      </c>
      <c r="K9" s="112">
        <v>37264.42</v>
      </c>
      <c r="L9" s="112">
        <v>65511.05</v>
      </c>
      <c r="M9" s="112">
        <v>50170.62</v>
      </c>
      <c r="N9" s="112">
        <v>47847.44</v>
      </c>
      <c r="O9" s="112">
        <v>24795.13</v>
      </c>
      <c r="P9" s="112">
        <v>16238.1</v>
      </c>
      <c r="Q9" s="112">
        <f t="shared" ref="Q9:Q13" si="0">SUM(E9:P9)</f>
        <v>431157.64999999997</v>
      </c>
    </row>
    <row r="10" spans="1:17" x14ac:dyDescent="0.2">
      <c r="A10" s="110" t="s">
        <v>65</v>
      </c>
      <c r="B10" s="111"/>
      <c r="C10" s="111"/>
      <c r="D10" s="127">
        <v>2.5000000000000001E-2</v>
      </c>
      <c r="E10" s="112">
        <v>41847.58</v>
      </c>
      <c r="F10" s="112">
        <v>62405.989999999991</v>
      </c>
      <c r="G10" s="112">
        <v>89218.64</v>
      </c>
      <c r="H10" s="112">
        <v>120057.09</v>
      </c>
      <c r="I10" s="112">
        <v>127676.69</v>
      </c>
      <c r="J10" s="112">
        <v>89629.87</v>
      </c>
      <c r="K10" s="112">
        <v>72823.41</v>
      </c>
      <c r="L10" s="112">
        <v>137348.09</v>
      </c>
      <c r="M10" s="112">
        <v>132138.26</v>
      </c>
      <c r="N10" s="112">
        <v>125132.76999999999</v>
      </c>
      <c r="O10" s="112">
        <v>147282.60999999999</v>
      </c>
      <c r="P10" s="112">
        <v>105467.58</v>
      </c>
      <c r="Q10" s="112">
        <f t="shared" si="0"/>
        <v>1251028.58</v>
      </c>
    </row>
    <row r="11" spans="1:17" x14ac:dyDescent="0.2">
      <c r="A11" s="110" t="s">
        <v>85</v>
      </c>
      <c r="B11" s="111"/>
      <c r="C11" s="111"/>
      <c r="D11" s="127">
        <v>2.5000000000000001E-2</v>
      </c>
      <c r="E11" s="112">
        <v>41847.58</v>
      </c>
      <c r="F11" s="112">
        <v>62405.989999999991</v>
      </c>
      <c r="G11" s="112">
        <v>89218.64</v>
      </c>
      <c r="H11" s="112">
        <v>120057.09</v>
      </c>
      <c r="I11" s="112">
        <v>127676.69</v>
      </c>
      <c r="J11" s="112">
        <v>89629.87</v>
      </c>
      <c r="K11" s="112">
        <v>72823.41</v>
      </c>
      <c r="L11" s="112">
        <v>137348.09</v>
      </c>
      <c r="M11" s="112">
        <v>132138.26</v>
      </c>
      <c r="N11" s="112">
        <v>125132.76999999999</v>
      </c>
      <c r="O11" s="112">
        <v>147282.60999999999</v>
      </c>
      <c r="P11" s="112">
        <v>105467.58</v>
      </c>
      <c r="Q11" s="112">
        <f t="shared" si="0"/>
        <v>1251028.58</v>
      </c>
    </row>
    <row r="12" spans="1:17" x14ac:dyDescent="0.2">
      <c r="A12" s="110" t="s">
        <v>66</v>
      </c>
      <c r="B12" s="111"/>
      <c r="C12" s="111"/>
      <c r="D12" s="127" t="s">
        <v>68</v>
      </c>
      <c r="E12" s="112">
        <v>38226.559999999998</v>
      </c>
      <c r="F12" s="112">
        <v>64796.84</v>
      </c>
      <c r="G12" s="112">
        <v>98101.450000000012</v>
      </c>
      <c r="H12" s="112">
        <v>135560.93</v>
      </c>
      <c r="I12" s="112">
        <v>139328.31</v>
      </c>
      <c r="J12" s="112">
        <v>97878.64</v>
      </c>
      <c r="K12" s="112">
        <v>74966.63</v>
      </c>
      <c r="L12" s="112">
        <v>142980.68</v>
      </c>
      <c r="M12" s="112">
        <v>141842.37</v>
      </c>
      <c r="N12" s="112">
        <v>134210.17000000001</v>
      </c>
      <c r="O12" s="112">
        <v>168474.09</v>
      </c>
      <c r="P12" s="112">
        <v>121148.4</v>
      </c>
      <c r="Q12" s="112">
        <f t="shared" si="0"/>
        <v>1357515.07</v>
      </c>
    </row>
    <row r="13" spans="1:17" ht="15" thickBot="1" x14ac:dyDescent="0.25">
      <c r="A13" s="110" t="s">
        <v>50</v>
      </c>
      <c r="B13" s="111"/>
      <c r="C13" s="111"/>
      <c r="D13" s="127" t="s">
        <v>69</v>
      </c>
      <c r="E13" s="113">
        <v>1029277.3099999995</v>
      </c>
      <c r="F13" s="113">
        <v>1301205.8599999994</v>
      </c>
      <c r="G13" s="113">
        <v>1696325.9299999997</v>
      </c>
      <c r="H13" s="113">
        <v>2176140.9699999988</v>
      </c>
      <c r="I13" s="113">
        <v>2459338.3600000003</v>
      </c>
      <c r="J13" s="113">
        <v>1724394.25</v>
      </c>
      <c r="K13" s="113">
        <v>1537818.8299999996</v>
      </c>
      <c r="L13" s="113">
        <v>2852679.9499999993</v>
      </c>
      <c r="M13" s="113">
        <v>2615918.2699999977</v>
      </c>
      <c r="N13" s="113">
        <v>2480598.67</v>
      </c>
      <c r="O13" s="113">
        <v>2604473.0699999984</v>
      </c>
      <c r="P13" s="113">
        <v>1849862.3100000003</v>
      </c>
      <c r="Q13" s="113">
        <f t="shared" si="0"/>
        <v>24328033.779999997</v>
      </c>
    </row>
    <row r="14" spans="1:17" ht="15" x14ac:dyDescent="0.25">
      <c r="A14" s="114"/>
      <c r="B14" s="115" t="s">
        <v>59</v>
      </c>
      <c r="C14" s="116"/>
      <c r="D14" s="117"/>
      <c r="E14" s="118">
        <f>SUM(E8:E13)</f>
        <v>1673903.1799999992</v>
      </c>
      <c r="F14" s="118">
        <f t="shared" ref="F14:Q14" si="1">SUM(F8:F13)</f>
        <v>2496239.4299999997</v>
      </c>
      <c r="G14" s="118">
        <f t="shared" si="1"/>
        <v>3568745.5999999996</v>
      </c>
      <c r="H14" s="118">
        <f t="shared" si="1"/>
        <v>4802283.629999999</v>
      </c>
      <c r="I14" s="118">
        <f t="shared" si="1"/>
        <v>5107067.53</v>
      </c>
      <c r="J14" s="118">
        <f t="shared" si="1"/>
        <v>3585194.92</v>
      </c>
      <c r="K14" s="118">
        <f t="shared" si="1"/>
        <v>2912936.5599999996</v>
      </c>
      <c r="L14" s="118">
        <f t="shared" si="1"/>
        <v>5493923.5599999987</v>
      </c>
      <c r="M14" s="118">
        <f t="shared" si="1"/>
        <v>5285530.2299999977</v>
      </c>
      <c r="N14" s="118">
        <f t="shared" si="1"/>
        <v>5005310.6400000006</v>
      </c>
      <c r="O14" s="118">
        <f t="shared" si="1"/>
        <v>5891304.4399999976</v>
      </c>
      <c r="P14" s="118">
        <f t="shared" si="1"/>
        <v>4218703.28</v>
      </c>
      <c r="Q14" s="118">
        <f t="shared" si="1"/>
        <v>50041142.999999985</v>
      </c>
    </row>
    <row r="15" spans="1:17" ht="15" x14ac:dyDescent="0.25">
      <c r="A15" s="114"/>
      <c r="B15" s="119"/>
      <c r="C15" s="116"/>
      <c r="D15" s="117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0"/>
    </row>
    <row r="16" spans="1:17" x14ac:dyDescent="0.2">
      <c r="A16" s="121" t="s">
        <v>67</v>
      </c>
      <c r="B16" s="111"/>
      <c r="C16" s="111"/>
      <c r="D16" s="111"/>
      <c r="E16" s="129"/>
      <c r="F16" s="129"/>
      <c r="G16" s="129"/>
      <c r="H16" s="129"/>
      <c r="I16" s="129"/>
      <c r="J16" s="130"/>
      <c r="K16" s="129"/>
      <c r="L16" s="129"/>
      <c r="M16" s="129"/>
      <c r="N16" s="129"/>
      <c r="O16" s="129"/>
      <c r="P16" s="122"/>
      <c r="Q16" s="131"/>
    </row>
    <row r="17" spans="1:17" x14ac:dyDescent="0.2">
      <c r="A17" s="132"/>
      <c r="B17" s="123"/>
      <c r="C17" s="123"/>
      <c r="D17" s="12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4"/>
    </row>
  </sheetData>
  <mergeCells count="1">
    <mergeCell ref="D5:D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7"/>
  <sheetViews>
    <sheetView zoomScale="85" zoomScaleNormal="85" workbookViewId="0">
      <selection activeCell="A23" sqref="A23"/>
    </sheetView>
  </sheetViews>
  <sheetFormatPr baseColWidth="10" defaultColWidth="12.5703125" defaultRowHeight="14.25" x14ac:dyDescent="0.2"/>
  <cols>
    <col min="1" max="2" width="17.5703125" style="96" customWidth="1"/>
    <col min="3" max="3" width="11" style="96" customWidth="1"/>
    <col min="4" max="4" width="9.42578125" style="96" customWidth="1"/>
    <col min="5" max="17" width="17.5703125" style="96" customWidth="1"/>
    <col min="18" max="16384" width="12.5703125" style="96"/>
  </cols>
  <sheetData>
    <row r="1" spans="1:17" ht="15.75" x14ac:dyDescent="0.25">
      <c r="A1" s="45" t="s">
        <v>0</v>
      </c>
      <c r="Q1" s="97"/>
    </row>
    <row r="2" spans="1:17" ht="15" x14ac:dyDescent="0.25">
      <c r="A2" s="98" t="s">
        <v>54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</row>
    <row r="3" spans="1:17" ht="15" x14ac:dyDescent="0.25">
      <c r="A3" s="98" t="s">
        <v>55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</row>
    <row r="4" spans="1:17" ht="15" x14ac:dyDescent="0.25">
      <c r="A4" s="99" t="s">
        <v>338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</row>
    <row r="5" spans="1:17" ht="15" x14ac:dyDescent="0.25">
      <c r="A5" s="100" t="s">
        <v>46</v>
      </c>
      <c r="B5" s="101"/>
      <c r="C5" s="101"/>
      <c r="D5" s="149" t="s">
        <v>52</v>
      </c>
      <c r="E5" s="124" t="str">
        <f>"Ene."&amp;Q6</f>
        <v>Ene.2018</v>
      </c>
      <c r="F5" s="125" t="str">
        <f>"Feb."&amp;Q6</f>
        <v>Feb.2018</v>
      </c>
      <c r="G5" s="125" t="str">
        <f>"Mar."&amp;Q6</f>
        <v>Mar.2018</v>
      </c>
      <c r="H5" s="125" t="str">
        <f>"Abr."&amp;Q6</f>
        <v>Abr.2018</v>
      </c>
      <c r="I5" s="125" t="str">
        <f>"May."&amp;Q6</f>
        <v>May.2018</v>
      </c>
      <c r="J5" s="125" t="str">
        <f>"Jun."&amp;Q6</f>
        <v>Jun.2018</v>
      </c>
      <c r="K5" s="125" t="str">
        <f>"Jul."&amp;Q6</f>
        <v>Jul.2018</v>
      </c>
      <c r="L5" s="125" t="str">
        <f>"Ago."&amp;Q6</f>
        <v>Ago.2018</v>
      </c>
      <c r="M5" s="125" t="str">
        <f>"Sep."&amp;Q6</f>
        <v>Sep.2018</v>
      </c>
      <c r="N5" s="125" t="str">
        <f>"Oct."&amp;Q6</f>
        <v>Oct.2018</v>
      </c>
      <c r="O5" s="125" t="str">
        <f>"Nov."&amp;Q6</f>
        <v>Nov.2018</v>
      </c>
      <c r="P5" s="125" t="str">
        <f>"Dic."&amp;Q6</f>
        <v>Dic.2018</v>
      </c>
      <c r="Q5" s="102" t="s">
        <v>48</v>
      </c>
    </row>
    <row r="6" spans="1:17" x14ac:dyDescent="0.2">
      <c r="A6" s="126" t="s">
        <v>47</v>
      </c>
      <c r="B6" s="103"/>
      <c r="C6" s="103"/>
      <c r="D6" s="150"/>
      <c r="E6" s="104">
        <v>43150</v>
      </c>
      <c r="F6" s="104">
        <v>43178</v>
      </c>
      <c r="G6" s="104">
        <v>43209</v>
      </c>
      <c r="H6" s="104">
        <v>43228</v>
      </c>
      <c r="I6" s="104">
        <v>43270</v>
      </c>
      <c r="J6" s="104">
        <v>43299</v>
      </c>
      <c r="K6" s="104">
        <v>43329</v>
      </c>
      <c r="L6" s="104">
        <v>43362</v>
      </c>
      <c r="M6" s="104">
        <v>43391</v>
      </c>
      <c r="N6" s="104">
        <v>43425</v>
      </c>
      <c r="O6" s="104">
        <v>43453</v>
      </c>
      <c r="P6" s="104">
        <v>43483</v>
      </c>
      <c r="Q6" s="105">
        <v>2018</v>
      </c>
    </row>
    <row r="7" spans="1:17" x14ac:dyDescent="0.2">
      <c r="A7" s="106"/>
      <c r="B7" s="107"/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</row>
    <row r="8" spans="1:17" x14ac:dyDescent="0.2">
      <c r="A8" s="110" t="s">
        <v>63</v>
      </c>
      <c r="B8" s="111"/>
      <c r="C8" s="111"/>
      <c r="D8" s="127" t="s">
        <v>72</v>
      </c>
      <c r="E8" s="112">
        <v>1246821.8699999999</v>
      </c>
      <c r="F8" s="112">
        <v>1030031.2</v>
      </c>
      <c r="G8" s="112">
        <v>1173259.17</v>
      </c>
      <c r="H8" s="112">
        <v>1243181.6000000001</v>
      </c>
      <c r="I8" s="112">
        <v>1579384.38</v>
      </c>
      <c r="J8" s="112">
        <v>1042559.9099999999</v>
      </c>
      <c r="K8" s="112">
        <v>1375913.44</v>
      </c>
      <c r="L8" s="112">
        <v>1234631.01</v>
      </c>
      <c r="M8" s="112">
        <v>2664157.73</v>
      </c>
      <c r="N8" s="112">
        <v>2543459.09</v>
      </c>
      <c r="O8" s="112">
        <v>1516281.2200000002</v>
      </c>
      <c r="P8" s="112">
        <v>1401646.3</v>
      </c>
      <c r="Q8" s="112">
        <f>SUM(E8:P8)</f>
        <v>18051326.920000002</v>
      </c>
    </row>
    <row r="9" spans="1:17" x14ac:dyDescent="0.2">
      <c r="A9" s="110" t="s">
        <v>70</v>
      </c>
      <c r="B9" s="111"/>
      <c r="C9" s="111"/>
      <c r="D9" s="127" t="s">
        <v>71</v>
      </c>
      <c r="E9" s="112">
        <v>94803.03</v>
      </c>
      <c r="F9" s="112">
        <v>94239.62</v>
      </c>
      <c r="G9" s="112">
        <v>95960.33</v>
      </c>
      <c r="H9" s="112">
        <v>84287.31</v>
      </c>
      <c r="I9" s="112">
        <v>101743.58</v>
      </c>
      <c r="J9" s="112">
        <v>41579.07</v>
      </c>
      <c r="K9" s="112">
        <v>67718.539999999994</v>
      </c>
      <c r="L9" s="112">
        <v>67168.460000000006</v>
      </c>
      <c r="M9" s="112">
        <v>85967.27</v>
      </c>
      <c r="N9" s="112">
        <v>34529.269999999997</v>
      </c>
      <c r="O9" s="112">
        <v>22568.87</v>
      </c>
      <c r="P9" s="112">
        <v>36390.97</v>
      </c>
      <c r="Q9" s="112">
        <f t="shared" ref="Q9:Q13" si="0">SUM(E9:P9)</f>
        <v>826956.32</v>
      </c>
    </row>
    <row r="10" spans="1:17" x14ac:dyDescent="0.2">
      <c r="A10" s="110" t="s">
        <v>65</v>
      </c>
      <c r="B10" s="111"/>
      <c r="C10" s="111"/>
      <c r="D10" s="127">
        <v>2.5000000000000001E-2</v>
      </c>
      <c r="E10" s="112">
        <v>108564.11</v>
      </c>
      <c r="F10" s="112">
        <v>97845.630008493885</v>
      </c>
      <c r="G10" s="112">
        <v>105815.4</v>
      </c>
      <c r="H10" s="112">
        <v>102992.61</v>
      </c>
      <c r="I10" s="112">
        <v>128108.14</v>
      </c>
      <c r="J10" s="112">
        <v>71445.67</v>
      </c>
      <c r="K10" s="112">
        <v>100877.14</v>
      </c>
      <c r="L10" s="112">
        <v>93802.62</v>
      </c>
      <c r="M10" s="112">
        <v>172170.28</v>
      </c>
      <c r="N10" s="112">
        <v>139989</v>
      </c>
      <c r="O10" s="112">
        <v>84471.91</v>
      </c>
      <c r="P10" s="112">
        <v>86048.88</v>
      </c>
      <c r="Q10" s="112">
        <f t="shared" si="0"/>
        <v>1292131.3900084938</v>
      </c>
    </row>
    <row r="11" spans="1:17" x14ac:dyDescent="0.2">
      <c r="A11" s="110" t="s">
        <v>85</v>
      </c>
      <c r="B11" s="111"/>
      <c r="C11" s="111"/>
      <c r="D11" s="127">
        <v>2.5000000000000001E-2</v>
      </c>
      <c r="E11" s="112">
        <v>108564.11</v>
      </c>
      <c r="F11" s="112">
        <v>97845.630008493885</v>
      </c>
      <c r="G11" s="112">
        <v>105815.4</v>
      </c>
      <c r="H11" s="112">
        <v>102992.61</v>
      </c>
      <c r="I11" s="112">
        <v>128108.14</v>
      </c>
      <c r="J11" s="112">
        <v>71445.67</v>
      </c>
      <c r="K11" s="112">
        <v>100877.14</v>
      </c>
      <c r="L11" s="112">
        <v>93802.62</v>
      </c>
      <c r="M11" s="112">
        <v>172170.28</v>
      </c>
      <c r="N11" s="112">
        <v>139989</v>
      </c>
      <c r="O11" s="112">
        <v>84471.91</v>
      </c>
      <c r="P11" s="112">
        <v>86048.88</v>
      </c>
      <c r="Q11" s="112">
        <f t="shared" si="0"/>
        <v>1292131.3900084938</v>
      </c>
    </row>
    <row r="12" spans="1:17" x14ac:dyDescent="0.2">
      <c r="A12" s="110" t="s">
        <v>66</v>
      </c>
      <c r="B12" s="111"/>
      <c r="C12" s="111"/>
      <c r="D12" s="127" t="s">
        <v>68</v>
      </c>
      <c r="E12" s="112">
        <v>98675.92</v>
      </c>
      <c r="F12" s="112">
        <v>86001.540000000008</v>
      </c>
      <c r="G12" s="112">
        <v>94991.709999999992</v>
      </c>
      <c r="H12" s="112">
        <v>95495.360000000001</v>
      </c>
      <c r="I12" s="112">
        <v>119815.23000000001</v>
      </c>
      <c r="J12" s="112">
        <v>71875.12</v>
      </c>
      <c r="K12" s="112">
        <v>98479.72</v>
      </c>
      <c r="L12" s="112">
        <v>90173.66</v>
      </c>
      <c r="M12" s="112">
        <v>177948.58000000002</v>
      </c>
      <c r="N12" s="112">
        <v>156477.05000000002</v>
      </c>
      <c r="O12" s="112">
        <v>93843.34</v>
      </c>
      <c r="P12" s="112">
        <v>91128.329999999987</v>
      </c>
      <c r="Q12" s="112">
        <f t="shared" si="0"/>
        <v>1274905.5600000003</v>
      </c>
    </row>
    <row r="13" spans="1:17" ht="15" thickBot="1" x14ac:dyDescent="0.25">
      <c r="A13" s="110" t="s">
        <v>50</v>
      </c>
      <c r="B13" s="111"/>
      <c r="C13" s="111"/>
      <c r="D13" s="127" t="s">
        <v>69</v>
      </c>
      <c r="E13" s="113">
        <v>2685135.2499999991</v>
      </c>
      <c r="F13" s="113">
        <v>2507861.4812000003</v>
      </c>
      <c r="G13" s="113">
        <v>2656774.1600000006</v>
      </c>
      <c r="H13" s="113">
        <v>2490754.8599999994</v>
      </c>
      <c r="I13" s="113">
        <v>3067166.0100000002</v>
      </c>
      <c r="J13" s="113">
        <v>1558921.4700000007</v>
      </c>
      <c r="K13" s="113">
        <v>2291219.5900000008</v>
      </c>
      <c r="L13" s="113">
        <v>2172526.58</v>
      </c>
      <c r="M13" s="113">
        <v>3614397.1999999997</v>
      </c>
      <c r="N13" s="113">
        <v>2585116.7899999982</v>
      </c>
      <c r="O13" s="113">
        <v>1577239.3099999996</v>
      </c>
      <c r="P13" s="113">
        <v>1740691.6799999997</v>
      </c>
      <c r="Q13" s="113">
        <f t="shared" si="0"/>
        <v>28947804.381200001</v>
      </c>
    </row>
    <row r="14" spans="1:17" ht="15" x14ac:dyDescent="0.25">
      <c r="A14" s="114"/>
      <c r="B14" s="115" t="s">
        <v>59</v>
      </c>
      <c r="C14" s="116"/>
      <c r="D14" s="117"/>
      <c r="E14" s="118">
        <f>SUM(E8:E13)</f>
        <v>4342564.2899999991</v>
      </c>
      <c r="F14" s="118">
        <f t="shared" ref="F14:Q14" si="1">SUM(F8:F13)</f>
        <v>3913825.1012169877</v>
      </c>
      <c r="G14" s="118">
        <f t="shared" si="1"/>
        <v>4232616.17</v>
      </c>
      <c r="H14" s="118">
        <f t="shared" si="1"/>
        <v>4119704.3499999996</v>
      </c>
      <c r="I14" s="118">
        <f t="shared" si="1"/>
        <v>5124325.4800000004</v>
      </c>
      <c r="J14" s="118">
        <f t="shared" si="1"/>
        <v>2857826.9100000006</v>
      </c>
      <c r="K14" s="118">
        <f t="shared" si="1"/>
        <v>4035085.5700000003</v>
      </c>
      <c r="L14" s="118">
        <f t="shared" si="1"/>
        <v>3752104.95</v>
      </c>
      <c r="M14" s="118">
        <f t="shared" si="1"/>
        <v>6886811.3399999999</v>
      </c>
      <c r="N14" s="118">
        <f t="shared" si="1"/>
        <v>5599560.1999999974</v>
      </c>
      <c r="O14" s="118">
        <f t="shared" si="1"/>
        <v>3378876.5599999996</v>
      </c>
      <c r="P14" s="118">
        <f t="shared" si="1"/>
        <v>3441955.0399999996</v>
      </c>
      <c r="Q14" s="118">
        <f t="shared" si="1"/>
        <v>51685255.961216986</v>
      </c>
    </row>
    <row r="15" spans="1:17" ht="15" x14ac:dyDescent="0.25">
      <c r="A15" s="114"/>
      <c r="B15" s="119"/>
      <c r="C15" s="116"/>
      <c r="D15" s="117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0"/>
    </row>
    <row r="16" spans="1:17" x14ac:dyDescent="0.2">
      <c r="A16" s="121" t="s">
        <v>67</v>
      </c>
      <c r="B16" s="111"/>
      <c r="C16" s="111"/>
      <c r="D16" s="111"/>
      <c r="E16" s="129"/>
      <c r="F16" s="129"/>
      <c r="G16" s="129"/>
      <c r="H16" s="129"/>
      <c r="I16" s="129"/>
      <c r="J16" s="130"/>
      <c r="K16" s="129"/>
      <c r="L16" s="129"/>
      <c r="M16" s="129"/>
      <c r="N16" s="129"/>
      <c r="O16" s="129"/>
      <c r="P16" s="122"/>
      <c r="Q16" s="131"/>
    </row>
    <row r="17" spans="1:17" x14ac:dyDescent="0.2">
      <c r="A17" s="132"/>
      <c r="B17" s="123"/>
      <c r="C17" s="123"/>
      <c r="D17" s="12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4"/>
    </row>
  </sheetData>
  <mergeCells count="1">
    <mergeCell ref="D5:D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7"/>
  <sheetViews>
    <sheetView topLeftCell="M1" zoomScale="85" zoomScaleNormal="85" workbookViewId="0">
      <selection activeCell="O12" sqref="O12"/>
    </sheetView>
  </sheetViews>
  <sheetFormatPr baseColWidth="10" defaultColWidth="12.5703125" defaultRowHeight="14.25" x14ac:dyDescent="0.2"/>
  <cols>
    <col min="1" max="2" width="17.5703125" style="96" customWidth="1"/>
    <col min="3" max="3" width="11" style="96" customWidth="1"/>
    <col min="4" max="4" width="9.42578125" style="96" customWidth="1"/>
    <col min="5" max="17" width="17.5703125" style="96" customWidth="1"/>
    <col min="18" max="16384" width="12.5703125" style="96"/>
  </cols>
  <sheetData>
    <row r="1" spans="1:17" ht="15.75" x14ac:dyDescent="0.25">
      <c r="A1" s="45" t="s">
        <v>0</v>
      </c>
      <c r="Q1" s="97"/>
    </row>
    <row r="2" spans="1:17" ht="15" x14ac:dyDescent="0.25">
      <c r="A2" s="98" t="s">
        <v>54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</row>
    <row r="3" spans="1:17" ht="15" x14ac:dyDescent="0.25">
      <c r="A3" s="98" t="s">
        <v>55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</row>
    <row r="4" spans="1:17" ht="15" x14ac:dyDescent="0.25">
      <c r="A4" s="99" t="s">
        <v>30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</row>
    <row r="5" spans="1:17" ht="15" x14ac:dyDescent="0.25">
      <c r="A5" s="100" t="s">
        <v>46</v>
      </c>
      <c r="B5" s="101"/>
      <c r="C5" s="101"/>
      <c r="D5" s="149" t="s">
        <v>52</v>
      </c>
      <c r="E5" s="124" t="str">
        <f>"Ene."&amp;Q6</f>
        <v>Ene.2017</v>
      </c>
      <c r="F5" s="125" t="str">
        <f>"Feb."&amp;Q6</f>
        <v>Feb.2017</v>
      </c>
      <c r="G5" s="125" t="str">
        <f>"Mar."&amp;Q6</f>
        <v>Mar.2017</v>
      </c>
      <c r="H5" s="125" t="str">
        <f>"Abr."&amp;Q6</f>
        <v>Abr.2017</v>
      </c>
      <c r="I5" s="125" t="str">
        <f>"May."&amp;Q6</f>
        <v>May.2017</v>
      </c>
      <c r="J5" s="125" t="str">
        <f>"Jun."&amp;Q6</f>
        <v>Jun.2017</v>
      </c>
      <c r="K5" s="125" t="str">
        <f>"Jul."&amp;Q6</f>
        <v>Jul.2017</v>
      </c>
      <c r="L5" s="125" t="str">
        <f>"Ago."&amp;Q6</f>
        <v>Ago.2017</v>
      </c>
      <c r="M5" s="125" t="str">
        <f>"Sep."&amp;Q6</f>
        <v>Sep.2017</v>
      </c>
      <c r="N5" s="125" t="str">
        <f>"Oct."&amp;Q6</f>
        <v>Oct.2017</v>
      </c>
      <c r="O5" s="125" t="str">
        <f>"Nov."&amp;Q6</f>
        <v>Nov.2017</v>
      </c>
      <c r="P5" s="125" t="str">
        <f>"Dic."&amp;Q6</f>
        <v>Dic.2017</v>
      </c>
      <c r="Q5" s="102" t="s">
        <v>48</v>
      </c>
    </row>
    <row r="6" spans="1:17" x14ac:dyDescent="0.2">
      <c r="A6" s="126" t="s">
        <v>47</v>
      </c>
      <c r="B6" s="103"/>
      <c r="C6" s="103"/>
      <c r="D6" s="150"/>
      <c r="E6" s="104">
        <v>42783</v>
      </c>
      <c r="F6" s="104">
        <v>42811</v>
      </c>
      <c r="G6" s="104">
        <v>42846</v>
      </c>
      <c r="H6" s="104">
        <v>42873</v>
      </c>
      <c r="I6" s="104">
        <v>42905</v>
      </c>
      <c r="J6" s="104">
        <v>42935</v>
      </c>
      <c r="K6" s="104">
        <v>42964</v>
      </c>
      <c r="L6" s="104">
        <v>42997</v>
      </c>
      <c r="M6" s="104">
        <v>43026</v>
      </c>
      <c r="N6" s="104">
        <v>43059</v>
      </c>
      <c r="O6" s="104">
        <v>43089</v>
      </c>
      <c r="P6" s="104">
        <v>43118</v>
      </c>
      <c r="Q6" s="105">
        <v>2017</v>
      </c>
    </row>
    <row r="7" spans="1:17" x14ac:dyDescent="0.2">
      <c r="A7" s="106"/>
      <c r="B7" s="107"/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</row>
    <row r="8" spans="1:17" x14ac:dyDescent="0.2">
      <c r="A8" s="110" t="s">
        <v>63</v>
      </c>
      <c r="B8" s="111"/>
      <c r="C8" s="111"/>
      <c r="D8" s="127" t="s">
        <v>72</v>
      </c>
      <c r="E8" s="112">
        <v>645029.89</v>
      </c>
      <c r="F8" s="112">
        <v>702622.5</v>
      </c>
      <c r="G8" s="112">
        <v>855965.56</v>
      </c>
      <c r="H8" s="112">
        <v>704118.85</v>
      </c>
      <c r="I8" s="112">
        <v>601801.44999999995</v>
      </c>
      <c r="J8" s="112">
        <v>483743.44000000006</v>
      </c>
      <c r="K8" s="112">
        <v>583881.41</v>
      </c>
      <c r="L8" s="112">
        <v>934947.53</v>
      </c>
      <c r="M8" s="112">
        <v>786986.14</v>
      </c>
      <c r="N8" s="112">
        <v>687100.25</v>
      </c>
      <c r="O8" s="112">
        <v>972728.69</v>
      </c>
      <c r="P8" s="112">
        <v>1001834.4100000001</v>
      </c>
      <c r="Q8" s="112">
        <f>SUM(E8:P8)</f>
        <v>8960760.1199999992</v>
      </c>
    </row>
    <row r="9" spans="1:17" x14ac:dyDescent="0.2">
      <c r="A9" s="110" t="s">
        <v>70</v>
      </c>
      <c r="B9" s="111"/>
      <c r="C9" s="111"/>
      <c r="D9" s="127" t="s">
        <v>71</v>
      </c>
      <c r="E9" s="112">
        <v>29495.439999999999</v>
      </c>
      <c r="F9" s="112">
        <v>35907.879999999997</v>
      </c>
      <c r="G9" s="112">
        <v>63786.39</v>
      </c>
      <c r="H9" s="112">
        <v>39383.72</v>
      </c>
      <c r="I9" s="112">
        <v>31988.6</v>
      </c>
      <c r="J9" s="112">
        <v>32857.93</v>
      </c>
      <c r="K9" s="112">
        <v>46211.57</v>
      </c>
      <c r="L9" s="112">
        <v>82414.42</v>
      </c>
      <c r="M9" s="112">
        <v>63106.48</v>
      </c>
      <c r="N9" s="112">
        <v>20039.03</v>
      </c>
      <c r="O9" s="112">
        <v>34294.43</v>
      </c>
      <c r="P9" s="112">
        <v>57101.11</v>
      </c>
      <c r="Q9" s="112">
        <f t="shared" ref="Q9:Q13" si="0">SUM(E9:P9)</f>
        <v>536587</v>
      </c>
    </row>
    <row r="10" spans="1:17" x14ac:dyDescent="0.2">
      <c r="A10" s="110" t="s">
        <v>65</v>
      </c>
      <c r="B10" s="111"/>
      <c r="C10" s="111"/>
      <c r="D10" s="127">
        <v>2.5000000000000001E-2</v>
      </c>
      <c r="E10" s="112">
        <v>46133.06</v>
      </c>
      <c r="F10" s="112">
        <v>52375.24</v>
      </c>
      <c r="G10" s="112">
        <v>74056.2</v>
      </c>
      <c r="H10" s="112">
        <v>54235.03</v>
      </c>
      <c r="I10" s="112">
        <v>45532.49</v>
      </c>
      <c r="J10" s="112">
        <v>40105.65</v>
      </c>
      <c r="K10" s="112">
        <v>51770.559999999998</v>
      </c>
      <c r="L10" s="112">
        <v>87295.23</v>
      </c>
      <c r="M10" s="112">
        <v>70384.25</v>
      </c>
      <c r="N10" s="112">
        <v>43308.55</v>
      </c>
      <c r="O10" s="112">
        <v>64566.95</v>
      </c>
      <c r="P10" s="112">
        <v>77657.010438510915</v>
      </c>
      <c r="Q10" s="112">
        <f t="shared" si="0"/>
        <v>707420.22043851088</v>
      </c>
    </row>
    <row r="11" spans="1:17" x14ac:dyDescent="0.2">
      <c r="A11" s="110" t="s">
        <v>85</v>
      </c>
      <c r="B11" s="111"/>
      <c r="C11" s="111"/>
      <c r="D11" s="127">
        <v>2.5000000000000001E-2</v>
      </c>
      <c r="E11" s="112">
        <v>46133.06</v>
      </c>
      <c r="F11" s="112">
        <v>52375.24</v>
      </c>
      <c r="G11" s="112">
        <v>74056.2</v>
      </c>
      <c r="H11" s="112">
        <v>54235.03</v>
      </c>
      <c r="I11" s="112">
        <v>45532.49</v>
      </c>
      <c r="J11" s="112">
        <v>40105.65</v>
      </c>
      <c r="K11" s="112">
        <v>51770.559999999998</v>
      </c>
      <c r="L11" s="112">
        <v>87295.23</v>
      </c>
      <c r="M11" s="112">
        <v>70384.25</v>
      </c>
      <c r="N11" s="112">
        <v>43308.55</v>
      </c>
      <c r="O11" s="112">
        <v>64566.95</v>
      </c>
      <c r="P11" s="112">
        <v>77657.010438510915</v>
      </c>
      <c r="Q11" s="112">
        <f t="shared" si="0"/>
        <v>707420.22043851088</v>
      </c>
    </row>
    <row r="12" spans="1:17" x14ac:dyDescent="0.2">
      <c r="A12" s="110" t="s">
        <v>66</v>
      </c>
      <c r="B12" s="111"/>
      <c r="C12" s="111"/>
      <c r="D12" s="127" t="s">
        <v>68</v>
      </c>
      <c r="E12" s="112">
        <v>45527.85</v>
      </c>
      <c r="F12" s="112">
        <v>50880.990000000005</v>
      </c>
      <c r="G12" s="112">
        <v>67605.31</v>
      </c>
      <c r="H12" s="112">
        <v>51954.130000000005</v>
      </c>
      <c r="I12" s="112">
        <v>43976.12</v>
      </c>
      <c r="J12" s="112">
        <v>37174.14</v>
      </c>
      <c r="K12" s="112">
        <v>46720.81</v>
      </c>
      <c r="L12" s="112">
        <v>77282.8</v>
      </c>
      <c r="M12" s="112">
        <v>63425.599999999999</v>
      </c>
      <c r="N12" s="112">
        <v>45290.58</v>
      </c>
      <c r="O12" s="112">
        <v>66048.86</v>
      </c>
      <c r="P12" s="112">
        <v>74154.700000000012</v>
      </c>
      <c r="Q12" s="112">
        <f t="shared" si="0"/>
        <v>670041.8899999999</v>
      </c>
    </row>
    <row r="13" spans="1:17" ht="15" thickBot="1" x14ac:dyDescent="0.25">
      <c r="A13" s="110" t="s">
        <v>50</v>
      </c>
      <c r="B13" s="111"/>
      <c r="C13" s="111"/>
      <c r="D13" s="127" t="s">
        <v>69</v>
      </c>
      <c r="E13" s="113">
        <v>1033002.9999999999</v>
      </c>
      <c r="F13" s="113">
        <v>1200847.56</v>
      </c>
      <c r="G13" s="113">
        <v>1826778.5100000002</v>
      </c>
      <c r="H13" s="113">
        <v>1265474.3599999999</v>
      </c>
      <c r="I13" s="113">
        <v>1052468.3000000003</v>
      </c>
      <c r="J13" s="113">
        <v>970239.26000000024</v>
      </c>
      <c r="K13" s="113">
        <v>1290467.4199999997</v>
      </c>
      <c r="L13" s="113">
        <v>2222573.8899999997</v>
      </c>
      <c r="M13" s="113">
        <v>1761083.1400000008</v>
      </c>
      <c r="N13" s="113">
        <v>893295</v>
      </c>
      <c r="O13" s="113">
        <v>1380471.969999999</v>
      </c>
      <c r="P13" s="113">
        <v>1817875.9971300005</v>
      </c>
      <c r="Q13" s="113">
        <f t="shared" si="0"/>
        <v>16714578.407130001</v>
      </c>
    </row>
    <row r="14" spans="1:17" ht="15" x14ac:dyDescent="0.25">
      <c r="A14" s="114"/>
      <c r="B14" s="115" t="s">
        <v>59</v>
      </c>
      <c r="C14" s="116"/>
      <c r="D14" s="117"/>
      <c r="E14" s="118">
        <f>SUM(E8:E13)</f>
        <v>1845322.2999999998</v>
      </c>
      <c r="F14" s="118">
        <f t="shared" ref="F14:Q14" si="1">SUM(F8:F13)</f>
        <v>2095009.4100000001</v>
      </c>
      <c r="G14" s="118">
        <f t="shared" si="1"/>
        <v>2962248.1700000004</v>
      </c>
      <c r="H14" s="118">
        <f t="shared" si="1"/>
        <v>2169401.12</v>
      </c>
      <c r="I14" s="118">
        <f t="shared" si="1"/>
        <v>1821299.4500000002</v>
      </c>
      <c r="J14" s="118">
        <f t="shared" si="1"/>
        <v>1604226.0700000003</v>
      </c>
      <c r="K14" s="118">
        <f t="shared" si="1"/>
        <v>2070822.3299999998</v>
      </c>
      <c r="L14" s="118">
        <f t="shared" si="1"/>
        <v>3491809.0999999996</v>
      </c>
      <c r="M14" s="118">
        <f t="shared" si="1"/>
        <v>2815369.8600000008</v>
      </c>
      <c r="N14" s="118">
        <f t="shared" si="1"/>
        <v>1732341.96</v>
      </c>
      <c r="O14" s="118">
        <f t="shared" si="1"/>
        <v>2582677.8499999992</v>
      </c>
      <c r="P14" s="118">
        <f t="shared" si="1"/>
        <v>3106280.2380070225</v>
      </c>
      <c r="Q14" s="118">
        <f t="shared" si="1"/>
        <v>28296807.858007021</v>
      </c>
    </row>
    <row r="15" spans="1:17" ht="15" x14ac:dyDescent="0.25">
      <c r="A15" s="114"/>
      <c r="B15" s="119"/>
      <c r="C15" s="116"/>
      <c r="D15" s="117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0"/>
    </row>
    <row r="16" spans="1:17" x14ac:dyDescent="0.2">
      <c r="A16" s="121" t="s">
        <v>67</v>
      </c>
      <c r="B16" s="111"/>
      <c r="C16" s="111"/>
      <c r="D16" s="111"/>
      <c r="E16" s="129"/>
      <c r="F16" s="129"/>
      <c r="G16" s="129"/>
      <c r="H16" s="129"/>
      <c r="I16" s="129"/>
      <c r="J16" s="130"/>
      <c r="K16" s="129"/>
      <c r="L16" s="129"/>
      <c r="M16" s="129"/>
      <c r="N16" s="129"/>
      <c r="O16" s="129"/>
      <c r="P16" s="122"/>
      <c r="Q16" s="131"/>
    </row>
    <row r="17" spans="1:17" x14ac:dyDescent="0.2">
      <c r="A17" s="132"/>
      <c r="B17" s="123"/>
      <c r="C17" s="123"/>
      <c r="D17" s="12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4"/>
    </row>
  </sheetData>
  <mergeCells count="1">
    <mergeCell ref="D5:D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7"/>
  <sheetViews>
    <sheetView zoomScale="80" zoomScaleNormal="80" workbookViewId="0">
      <selection activeCell="E43" sqref="E43"/>
    </sheetView>
  </sheetViews>
  <sheetFormatPr baseColWidth="10" defaultColWidth="12.5703125" defaultRowHeight="14.25" x14ac:dyDescent="0.2"/>
  <cols>
    <col min="1" max="2" width="17.5703125" style="96" customWidth="1"/>
    <col min="3" max="3" width="11" style="96" customWidth="1"/>
    <col min="4" max="4" width="9.42578125" style="96" customWidth="1"/>
    <col min="5" max="17" width="17.5703125" style="96" customWidth="1"/>
    <col min="18" max="16384" width="12.5703125" style="96"/>
  </cols>
  <sheetData>
    <row r="1" spans="1:17" ht="15.75" x14ac:dyDescent="0.25">
      <c r="A1" s="140" t="s">
        <v>0</v>
      </c>
      <c r="Q1" s="97"/>
    </row>
    <row r="2" spans="1:17" ht="15" x14ac:dyDescent="0.25">
      <c r="A2" s="98" t="s">
        <v>54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</row>
    <row r="3" spans="1:17" ht="15" x14ac:dyDescent="0.25">
      <c r="A3" s="98" t="s">
        <v>55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</row>
    <row r="4" spans="1:17" ht="15" x14ac:dyDescent="0.25">
      <c r="A4" s="99" t="s">
        <v>30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</row>
    <row r="5" spans="1:17" ht="15" x14ac:dyDescent="0.25">
      <c r="A5" s="100" t="s">
        <v>46</v>
      </c>
      <c r="B5" s="101"/>
      <c r="C5" s="101"/>
      <c r="D5" s="149" t="s">
        <v>52</v>
      </c>
      <c r="E5" s="124" t="str">
        <f>"Ene."&amp;Q6</f>
        <v>Ene.2016</v>
      </c>
      <c r="F5" s="125" t="str">
        <f>"Feb."&amp;Q6</f>
        <v>Feb.2016</v>
      </c>
      <c r="G5" s="125" t="str">
        <f>"Mar."&amp;Q6</f>
        <v>Mar.2016</v>
      </c>
      <c r="H5" s="125" t="str">
        <f>"Abr."&amp;Q6</f>
        <v>Abr.2016</v>
      </c>
      <c r="I5" s="125" t="str">
        <f>"May."&amp;Q6</f>
        <v>May.2016</v>
      </c>
      <c r="J5" s="125" t="str">
        <f>"Jun."&amp;Q6</f>
        <v>Jun.2016</v>
      </c>
      <c r="K5" s="125" t="str">
        <f>"Jul."&amp;Q6</f>
        <v>Jul.2016</v>
      </c>
      <c r="L5" s="125" t="str">
        <f>"Ago."&amp;Q6</f>
        <v>Ago.2016</v>
      </c>
      <c r="M5" s="125" t="str">
        <f>"Sep."&amp;Q6</f>
        <v>Sep.2016</v>
      </c>
      <c r="N5" s="125" t="str">
        <f>"Oct."&amp;Q6</f>
        <v>Oct.2016</v>
      </c>
      <c r="O5" s="125" t="str">
        <f>"Nov."&amp;Q6</f>
        <v>Nov.2016</v>
      </c>
      <c r="P5" s="125" t="str">
        <f>"Dic."&amp;Q6</f>
        <v>Dic.2016</v>
      </c>
      <c r="Q5" s="102" t="s">
        <v>48</v>
      </c>
    </row>
    <row r="6" spans="1:17" x14ac:dyDescent="0.2">
      <c r="A6" s="126" t="s">
        <v>47</v>
      </c>
      <c r="B6" s="103"/>
      <c r="C6" s="103"/>
      <c r="D6" s="150"/>
      <c r="E6" s="104">
        <v>42417</v>
      </c>
      <c r="F6" s="104">
        <v>42446</v>
      </c>
      <c r="G6" s="104">
        <v>42479</v>
      </c>
      <c r="H6" s="104">
        <v>42508</v>
      </c>
      <c r="I6" s="104">
        <v>42538</v>
      </c>
      <c r="J6" s="104">
        <v>42570</v>
      </c>
      <c r="K6" s="104">
        <v>42599</v>
      </c>
      <c r="L6" s="104">
        <v>42632</v>
      </c>
      <c r="M6" s="104">
        <v>42662</v>
      </c>
      <c r="N6" s="104">
        <v>42696</v>
      </c>
      <c r="O6" s="104">
        <v>42724</v>
      </c>
      <c r="P6" s="104">
        <v>42753</v>
      </c>
      <c r="Q6" s="105">
        <v>2016</v>
      </c>
    </row>
    <row r="7" spans="1:17" x14ac:dyDescent="0.2">
      <c r="A7" s="106"/>
      <c r="B7" s="107"/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</row>
    <row r="8" spans="1:17" x14ac:dyDescent="0.2">
      <c r="A8" s="110" t="s">
        <v>63</v>
      </c>
      <c r="B8" s="111"/>
      <c r="C8" s="111"/>
      <c r="D8" s="127" t="s">
        <v>72</v>
      </c>
      <c r="E8" s="112">
        <v>1052680.72</v>
      </c>
      <c r="F8" s="112">
        <v>797445.83000000007</v>
      </c>
      <c r="G8" s="112">
        <v>695634.07000000007</v>
      </c>
      <c r="H8" s="112">
        <v>706036.23</v>
      </c>
      <c r="I8" s="112">
        <v>734334.76</v>
      </c>
      <c r="J8" s="112">
        <v>773327.49</v>
      </c>
      <c r="K8" s="112">
        <v>588195.37</v>
      </c>
      <c r="L8" s="112">
        <v>612442.57000000007</v>
      </c>
      <c r="M8" s="112">
        <v>248897.34000000003</v>
      </c>
      <c r="N8" s="112">
        <v>398317.93</v>
      </c>
      <c r="O8" s="112">
        <v>221789.57</v>
      </c>
      <c r="P8" s="112">
        <v>427683.53</v>
      </c>
      <c r="Q8" s="112">
        <f>SUM(E8:P8)</f>
        <v>7256785.4100000011</v>
      </c>
    </row>
    <row r="9" spans="1:17" x14ac:dyDescent="0.2">
      <c r="A9" s="110" t="s">
        <v>70</v>
      </c>
      <c r="B9" s="111"/>
      <c r="C9" s="111"/>
      <c r="D9" s="127" t="s">
        <v>71</v>
      </c>
      <c r="E9" s="112">
        <v>125773.5</v>
      </c>
      <c r="F9" s="112">
        <v>84931.36</v>
      </c>
      <c r="G9" s="112">
        <v>66401.789999999994</v>
      </c>
      <c r="H9" s="112">
        <v>70156.429999999993</v>
      </c>
      <c r="I9" s="112">
        <v>54260.46</v>
      </c>
      <c r="J9" s="112">
        <v>78913.11</v>
      </c>
      <c r="K9" s="112">
        <v>36174.65</v>
      </c>
      <c r="L9" s="112">
        <v>36262.800000000003</v>
      </c>
      <c r="M9" s="112">
        <v>37042.85</v>
      </c>
      <c r="N9" s="112">
        <v>59087.95</v>
      </c>
      <c r="O9" s="112">
        <v>32734.81</v>
      </c>
      <c r="P9" s="112">
        <v>17068.919999999998</v>
      </c>
      <c r="Q9" s="112">
        <f t="shared" ref="Q9:Q13" si="0">SUM(E9:P9)</f>
        <v>698808.63</v>
      </c>
    </row>
    <row r="10" spans="1:17" x14ac:dyDescent="0.2">
      <c r="A10" s="110" t="s">
        <v>65</v>
      </c>
      <c r="B10" s="111"/>
      <c r="C10" s="111"/>
      <c r="D10" s="127">
        <v>2.5000000000000001E-2</v>
      </c>
      <c r="E10" s="112">
        <v>115295.1</v>
      </c>
      <c r="F10" s="112">
        <v>82079.47</v>
      </c>
      <c r="G10" s="112">
        <v>67675.12</v>
      </c>
      <c r="H10" s="112">
        <v>69917.75</v>
      </c>
      <c r="I10" s="112">
        <v>63289.54</v>
      </c>
      <c r="J10" s="112">
        <v>77643.48</v>
      </c>
      <c r="K10" s="112">
        <v>46964.28</v>
      </c>
      <c r="L10" s="112">
        <v>48232.89</v>
      </c>
      <c r="M10" s="112">
        <v>31125.48</v>
      </c>
      <c r="N10" s="112">
        <v>49621.74</v>
      </c>
      <c r="O10" s="112">
        <v>27603.56</v>
      </c>
      <c r="P10" s="112">
        <v>29495.66</v>
      </c>
      <c r="Q10" s="112">
        <f t="shared" si="0"/>
        <v>708944.07000000007</v>
      </c>
    </row>
    <row r="11" spans="1:17" x14ac:dyDescent="0.2">
      <c r="A11" s="110" t="s">
        <v>85</v>
      </c>
      <c r="B11" s="111"/>
      <c r="C11" s="111"/>
      <c r="D11" s="127">
        <v>2.5000000000000001E-2</v>
      </c>
      <c r="E11" s="112">
        <v>115295.1</v>
      </c>
      <c r="F11" s="112">
        <v>82079.47</v>
      </c>
      <c r="G11" s="112">
        <v>67675.12</v>
      </c>
      <c r="H11" s="112">
        <v>69917.75</v>
      </c>
      <c r="I11" s="112">
        <v>63289.54</v>
      </c>
      <c r="J11" s="112">
        <v>77643.48</v>
      </c>
      <c r="K11" s="112">
        <v>46964.28</v>
      </c>
      <c r="L11" s="112">
        <v>48232.89</v>
      </c>
      <c r="M11" s="112">
        <v>31125.48</v>
      </c>
      <c r="N11" s="112">
        <v>49621.74</v>
      </c>
      <c r="O11" s="112">
        <v>27603.56</v>
      </c>
      <c r="P11" s="112">
        <v>29495.66</v>
      </c>
      <c r="Q11" s="112">
        <f t="shared" si="0"/>
        <v>708944.07000000007</v>
      </c>
    </row>
    <row r="12" spans="1:17" x14ac:dyDescent="0.2">
      <c r="A12" s="110" t="s">
        <v>66</v>
      </c>
      <c r="B12" s="111"/>
      <c r="C12" s="111"/>
      <c r="D12" s="127" t="s">
        <v>68</v>
      </c>
      <c r="E12" s="112">
        <v>96429.62</v>
      </c>
      <c r="F12" s="112">
        <v>70184.92</v>
      </c>
      <c r="G12" s="112">
        <v>59076.21</v>
      </c>
      <c r="H12" s="112">
        <v>60515.82</v>
      </c>
      <c r="I12" s="112">
        <v>57860.630000000005</v>
      </c>
      <c r="J12" s="112">
        <v>66867.81</v>
      </c>
      <c r="K12" s="112">
        <v>44298.92</v>
      </c>
      <c r="L12" s="112">
        <v>45791.869999999995</v>
      </c>
      <c r="M12" s="112">
        <v>25002.97</v>
      </c>
      <c r="N12" s="112">
        <v>39850.11</v>
      </c>
      <c r="O12" s="112">
        <v>22212.66</v>
      </c>
      <c r="P12" s="112">
        <v>29705.15</v>
      </c>
      <c r="Q12" s="112">
        <f t="shared" si="0"/>
        <v>617796.68999999994</v>
      </c>
    </row>
    <row r="13" spans="1:17" ht="15" thickBot="1" x14ac:dyDescent="0.25">
      <c r="A13" s="110" t="s">
        <v>50</v>
      </c>
      <c r="B13" s="111"/>
      <c r="C13" s="111"/>
      <c r="D13" s="127" t="s">
        <v>69</v>
      </c>
      <c r="E13" s="113">
        <v>3106330.0300000003</v>
      </c>
      <c r="F13" s="113">
        <v>2166457.8299999996</v>
      </c>
      <c r="G13" s="113">
        <v>1750542.35</v>
      </c>
      <c r="H13" s="113">
        <v>1820166.1500000011</v>
      </c>
      <c r="I13" s="113">
        <v>1558546.74</v>
      </c>
      <c r="J13" s="113">
        <v>2031343.85</v>
      </c>
      <c r="K13" s="113">
        <v>1115973.8799999997</v>
      </c>
      <c r="L13" s="113">
        <v>1138352.6000000001</v>
      </c>
      <c r="M13" s="113">
        <v>871825.2</v>
      </c>
      <c r="N13" s="113">
        <v>1388370.2</v>
      </c>
      <c r="O13" s="113">
        <v>772198.05000000016</v>
      </c>
      <c r="P13" s="113">
        <v>646377.5199999999</v>
      </c>
      <c r="Q13" s="113">
        <f t="shared" si="0"/>
        <v>18366484.399999999</v>
      </c>
    </row>
    <row r="14" spans="1:17" ht="15" x14ac:dyDescent="0.25">
      <c r="A14" s="114"/>
      <c r="B14" s="115" t="s">
        <v>59</v>
      </c>
      <c r="C14" s="116"/>
      <c r="D14" s="117"/>
      <c r="E14" s="118">
        <f>SUM(E8:E13)</f>
        <v>4611804.07</v>
      </c>
      <c r="F14" s="118">
        <f t="shared" ref="F14:Q14" si="1">SUM(F8:F13)</f>
        <v>3283178.88</v>
      </c>
      <c r="G14" s="118">
        <f t="shared" si="1"/>
        <v>2707004.66</v>
      </c>
      <c r="H14" s="118">
        <f t="shared" si="1"/>
        <v>2796710.1300000008</v>
      </c>
      <c r="I14" s="118">
        <f t="shared" si="1"/>
        <v>2531581.67</v>
      </c>
      <c r="J14" s="118">
        <f t="shared" si="1"/>
        <v>3105739.2199999997</v>
      </c>
      <c r="K14" s="118">
        <f t="shared" si="1"/>
        <v>1878571.38</v>
      </c>
      <c r="L14" s="118">
        <f t="shared" si="1"/>
        <v>1929315.62</v>
      </c>
      <c r="M14" s="118">
        <f t="shared" si="1"/>
        <v>1245019.3199999998</v>
      </c>
      <c r="N14" s="118">
        <f t="shared" si="1"/>
        <v>1984869.67</v>
      </c>
      <c r="O14" s="118">
        <f t="shared" si="1"/>
        <v>1104142.2100000002</v>
      </c>
      <c r="P14" s="118">
        <f t="shared" si="1"/>
        <v>1179826.44</v>
      </c>
      <c r="Q14" s="118">
        <f t="shared" si="1"/>
        <v>28357763.27</v>
      </c>
    </row>
    <row r="15" spans="1:17" ht="15" x14ac:dyDescent="0.25">
      <c r="A15" s="114"/>
      <c r="B15" s="119"/>
      <c r="C15" s="116"/>
      <c r="D15" s="117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0"/>
    </row>
    <row r="16" spans="1:17" x14ac:dyDescent="0.2">
      <c r="A16" s="121" t="s">
        <v>67</v>
      </c>
      <c r="B16" s="111"/>
      <c r="C16" s="111"/>
      <c r="D16" s="111"/>
      <c r="E16" s="129"/>
      <c r="F16" s="129"/>
      <c r="G16" s="129"/>
      <c r="H16" s="129"/>
      <c r="I16" s="129"/>
      <c r="J16" s="130"/>
      <c r="K16" s="129"/>
      <c r="L16" s="129"/>
      <c r="M16" s="129"/>
      <c r="N16" s="129"/>
      <c r="O16" s="129"/>
      <c r="P16" s="122"/>
      <c r="Q16" s="131"/>
    </row>
    <row r="17" spans="1:17" x14ac:dyDescent="0.2">
      <c r="A17" s="132"/>
      <c r="B17" s="123"/>
      <c r="C17" s="123"/>
      <c r="D17" s="12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4"/>
    </row>
  </sheetData>
  <mergeCells count="1">
    <mergeCell ref="D5:D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7"/>
  <sheetViews>
    <sheetView zoomScale="80" zoomScaleNormal="80" workbookViewId="0">
      <selection activeCell="E11" sqref="E11"/>
    </sheetView>
  </sheetViews>
  <sheetFormatPr baseColWidth="10" defaultColWidth="12.5703125" defaultRowHeight="14.25" x14ac:dyDescent="0.2"/>
  <cols>
    <col min="1" max="2" width="17.5703125" style="96" customWidth="1"/>
    <col min="3" max="3" width="11" style="96" customWidth="1"/>
    <col min="4" max="4" width="9.42578125" style="96" customWidth="1"/>
    <col min="5" max="17" width="17.5703125" style="96" customWidth="1"/>
    <col min="18" max="16384" width="12.5703125" style="96"/>
  </cols>
  <sheetData>
    <row r="1" spans="1:17" ht="15.75" x14ac:dyDescent="0.25">
      <c r="A1" s="45" t="s">
        <v>0</v>
      </c>
      <c r="Q1" s="97"/>
    </row>
    <row r="2" spans="1:17" ht="15" x14ac:dyDescent="0.25">
      <c r="A2" s="98" t="s">
        <v>54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</row>
    <row r="3" spans="1:17" ht="15" x14ac:dyDescent="0.25">
      <c r="A3" s="98" t="s">
        <v>55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</row>
    <row r="4" spans="1:17" ht="15" x14ac:dyDescent="0.25">
      <c r="A4" s="99" t="s">
        <v>30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</row>
    <row r="5" spans="1:17" ht="15" x14ac:dyDescent="0.25">
      <c r="A5" s="100" t="s">
        <v>46</v>
      </c>
      <c r="B5" s="101"/>
      <c r="C5" s="101"/>
      <c r="D5" s="149" t="s">
        <v>52</v>
      </c>
      <c r="E5" s="124" t="str">
        <f>"Ene."&amp;Q6</f>
        <v>Ene.2015</v>
      </c>
      <c r="F5" s="125" t="str">
        <f>"Feb."&amp;Q6</f>
        <v>Feb.2015</v>
      </c>
      <c r="G5" s="125" t="str">
        <f>"Mar."&amp;Q6</f>
        <v>Mar.2015</v>
      </c>
      <c r="H5" s="125" t="str">
        <f>"Abr."&amp;Q6</f>
        <v>Abr.2015</v>
      </c>
      <c r="I5" s="125" t="str">
        <f>"May."&amp;Q6</f>
        <v>May.2015</v>
      </c>
      <c r="J5" s="125" t="str">
        <f>"Jun."&amp;Q6</f>
        <v>Jun.2015</v>
      </c>
      <c r="K5" s="125" t="str">
        <f>"Jul."&amp;Q6</f>
        <v>Jul.2015</v>
      </c>
      <c r="L5" s="125" t="str">
        <f>"Ago."&amp;Q6</f>
        <v>Ago.2015</v>
      </c>
      <c r="M5" s="125" t="str">
        <f>"Sep."&amp;Q6</f>
        <v>Sep.2015</v>
      </c>
      <c r="N5" s="125" t="str">
        <f>"Oct."&amp;Q6</f>
        <v>Oct.2015</v>
      </c>
      <c r="O5" s="125" t="str">
        <f>"Nov."&amp;Q6</f>
        <v>Nov.2015</v>
      </c>
      <c r="P5" s="125" t="str">
        <f>"Dic."&amp;Q6</f>
        <v>Dic.2015</v>
      </c>
      <c r="Q5" s="102" t="s">
        <v>48</v>
      </c>
    </row>
    <row r="6" spans="1:17" x14ac:dyDescent="0.2">
      <c r="A6" s="126" t="s">
        <v>47</v>
      </c>
      <c r="B6" s="103"/>
      <c r="C6" s="103"/>
      <c r="D6" s="150"/>
      <c r="E6" s="104">
        <v>42053</v>
      </c>
      <c r="F6" s="104">
        <v>42081</v>
      </c>
      <c r="G6" s="104">
        <v>42115</v>
      </c>
      <c r="H6" s="104">
        <v>42144</v>
      </c>
      <c r="I6" s="104">
        <v>42172</v>
      </c>
      <c r="J6" s="104">
        <v>42202</v>
      </c>
      <c r="K6" s="104">
        <v>42235</v>
      </c>
      <c r="L6" s="104">
        <v>42264</v>
      </c>
      <c r="M6" s="104">
        <v>42297</v>
      </c>
      <c r="N6" s="104">
        <v>42326</v>
      </c>
      <c r="O6" s="104">
        <v>42356</v>
      </c>
      <c r="P6" s="104">
        <v>42389</v>
      </c>
      <c r="Q6" s="105">
        <v>2015</v>
      </c>
    </row>
    <row r="7" spans="1:17" x14ac:dyDescent="0.2">
      <c r="A7" s="106"/>
      <c r="B7" s="107"/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</row>
    <row r="8" spans="1:17" x14ac:dyDescent="0.2">
      <c r="A8" s="110" t="s">
        <v>63</v>
      </c>
      <c r="B8" s="111"/>
      <c r="C8" s="111"/>
      <c r="D8" s="127" t="s">
        <v>72</v>
      </c>
      <c r="E8" s="112">
        <v>1728847.45</v>
      </c>
      <c r="F8" s="112">
        <v>1539298.24</v>
      </c>
      <c r="G8" s="112">
        <v>2065006.52</v>
      </c>
      <c r="H8" s="112">
        <v>2105616.25</v>
      </c>
      <c r="I8" s="112">
        <v>2353341.21</v>
      </c>
      <c r="J8" s="112">
        <v>2095367.85</v>
      </c>
      <c r="K8" s="112">
        <v>1888422.58</v>
      </c>
      <c r="L8" s="112">
        <v>1668221.1</v>
      </c>
      <c r="M8" s="112">
        <v>1163557.95</v>
      </c>
      <c r="N8" s="112">
        <v>1233532.31</v>
      </c>
      <c r="O8" s="112">
        <v>1097246.1599999999</v>
      </c>
      <c r="P8" s="112">
        <v>1040855.0700000001</v>
      </c>
      <c r="Q8" s="112">
        <f>SUM(E8:P8)</f>
        <v>19979312.689999998</v>
      </c>
    </row>
    <row r="9" spans="1:17" x14ac:dyDescent="0.2">
      <c r="A9" s="110" t="s">
        <v>70</v>
      </c>
      <c r="B9" s="111"/>
      <c r="C9" s="111"/>
      <c r="D9" s="127" t="s">
        <v>71</v>
      </c>
      <c r="E9" s="112">
        <v>71449.16</v>
      </c>
      <c r="F9" s="112">
        <v>67499.990000000005</v>
      </c>
      <c r="G9" s="112">
        <v>84970.63</v>
      </c>
      <c r="H9" s="112">
        <v>80342.91</v>
      </c>
      <c r="I9" s="112">
        <v>91432.18</v>
      </c>
      <c r="J9" s="112">
        <v>72860.3</v>
      </c>
      <c r="K9" s="112">
        <v>74006.16</v>
      </c>
      <c r="L9" s="112">
        <v>108160.69</v>
      </c>
      <c r="M9" s="112">
        <v>87611.41</v>
      </c>
      <c r="N9" s="112">
        <v>117872.63</v>
      </c>
      <c r="O9" s="112">
        <v>97112.21</v>
      </c>
      <c r="P9" s="112">
        <v>108348.11</v>
      </c>
      <c r="Q9" s="112">
        <f t="shared" ref="Q9:Q13" si="0">SUM(E9:P9)</f>
        <v>1061666.3800000001</v>
      </c>
    </row>
    <row r="10" spans="1:17" x14ac:dyDescent="0.2">
      <c r="A10" s="110" t="s">
        <v>65</v>
      </c>
      <c r="B10" s="111"/>
      <c r="C10" s="111"/>
      <c r="D10" s="127">
        <v>2.5000000000000001E-2</v>
      </c>
      <c r="E10" s="112">
        <v>119989.95</v>
      </c>
      <c r="F10" s="112">
        <v>108878.1</v>
      </c>
      <c r="G10" s="112">
        <v>143292.37</v>
      </c>
      <c r="H10" s="112">
        <v>142718.1</v>
      </c>
      <c r="I10" s="112">
        <v>160399.89000000001</v>
      </c>
      <c r="J10" s="112">
        <v>138366.57999999999</v>
      </c>
      <c r="K10" s="112">
        <v>129317.25</v>
      </c>
      <c r="L10" s="112">
        <v>135703.64000000001</v>
      </c>
      <c r="M10" s="112">
        <v>101371.15</v>
      </c>
      <c r="N10" s="112">
        <v>119785.24</v>
      </c>
      <c r="O10" s="112">
        <v>103020.11</v>
      </c>
      <c r="P10" s="112">
        <v>105719.2</v>
      </c>
      <c r="Q10" s="112">
        <f t="shared" si="0"/>
        <v>1508561.5799999998</v>
      </c>
    </row>
    <row r="11" spans="1:17" x14ac:dyDescent="0.2">
      <c r="A11" s="110" t="s">
        <v>85</v>
      </c>
      <c r="B11" s="111"/>
      <c r="C11" s="111"/>
      <c r="D11" s="127">
        <v>2.5000000000000001E-2</v>
      </c>
      <c r="E11" s="112">
        <v>119989.95</v>
      </c>
      <c r="F11" s="112">
        <v>108878.1</v>
      </c>
      <c r="G11" s="112">
        <v>143292.37</v>
      </c>
      <c r="H11" s="112">
        <v>142718.1</v>
      </c>
      <c r="I11" s="112">
        <v>160399.89000000001</v>
      </c>
      <c r="J11" s="112">
        <v>138366.57999999999</v>
      </c>
      <c r="K11" s="112">
        <v>129317.25</v>
      </c>
      <c r="L11" s="112">
        <v>135703.64000000001</v>
      </c>
      <c r="M11" s="112">
        <v>101371.15</v>
      </c>
      <c r="N11" s="112">
        <v>119785.24</v>
      </c>
      <c r="O11" s="112">
        <v>103020.11</v>
      </c>
      <c r="P11" s="112">
        <v>105719.2</v>
      </c>
      <c r="Q11" s="112">
        <f t="shared" si="0"/>
        <v>1508561.5799999998</v>
      </c>
    </row>
    <row r="12" spans="1:17" x14ac:dyDescent="0.2">
      <c r="A12" s="110" t="s">
        <v>66</v>
      </c>
      <c r="B12" s="111"/>
      <c r="C12" s="111"/>
      <c r="D12" s="127" t="s">
        <v>68</v>
      </c>
      <c r="E12" s="112">
        <v>120171.55</v>
      </c>
      <c r="F12" s="112">
        <v>108153.72</v>
      </c>
      <c r="G12" s="112">
        <v>143627.29999999999</v>
      </c>
      <c r="H12" s="112">
        <v>144480.75</v>
      </c>
      <c r="I12" s="112">
        <v>162002.47</v>
      </c>
      <c r="J12" s="112">
        <v>141753.12</v>
      </c>
      <c r="K12" s="112">
        <v>130511.98</v>
      </c>
      <c r="L12" s="112">
        <v>126790.81</v>
      </c>
      <c r="M12" s="112">
        <v>92441.58</v>
      </c>
      <c r="N12" s="112">
        <v>104451.41</v>
      </c>
      <c r="O12" s="112">
        <v>91253.39</v>
      </c>
      <c r="P12" s="112">
        <v>90747</v>
      </c>
      <c r="Q12" s="112">
        <f t="shared" si="0"/>
        <v>1456385.0799999998</v>
      </c>
    </row>
    <row r="13" spans="1:17" ht="15" thickBot="1" x14ac:dyDescent="0.25">
      <c r="A13" s="110" t="s">
        <v>50</v>
      </c>
      <c r="B13" s="111"/>
      <c r="C13" s="111"/>
      <c r="D13" s="127" t="s">
        <v>69</v>
      </c>
      <c r="E13" s="113">
        <v>2639149.88</v>
      </c>
      <c r="F13" s="113">
        <v>2422415.7400000007</v>
      </c>
      <c r="G13" s="113">
        <v>3151505.4799999995</v>
      </c>
      <c r="H13" s="113">
        <v>3092847.8200000003</v>
      </c>
      <c r="I13" s="113">
        <v>3488419.8200000008</v>
      </c>
      <c r="J13" s="113">
        <v>2947948.68</v>
      </c>
      <c r="K13" s="113">
        <v>2821114.8400000008</v>
      </c>
      <c r="L13" s="113">
        <v>3253565.8800000008</v>
      </c>
      <c r="M13" s="113">
        <v>2508492.9399999995</v>
      </c>
      <c r="N13" s="113">
        <v>3095982.6499999994</v>
      </c>
      <c r="O13" s="113">
        <v>2629152.3699999992</v>
      </c>
      <c r="P13" s="113">
        <v>2777379.5300000003</v>
      </c>
      <c r="Q13" s="113">
        <f t="shared" si="0"/>
        <v>34827975.629999995</v>
      </c>
    </row>
    <row r="14" spans="1:17" ht="15" x14ac:dyDescent="0.25">
      <c r="A14" s="114"/>
      <c r="B14" s="115" t="s">
        <v>59</v>
      </c>
      <c r="C14" s="116"/>
      <c r="D14" s="117"/>
      <c r="E14" s="118">
        <f>SUM(E8:E13)</f>
        <v>4799597.9399999995</v>
      </c>
      <c r="F14" s="118">
        <f t="shared" ref="F14:Q14" si="1">SUM(F8:F13)</f>
        <v>4355123.8900000006</v>
      </c>
      <c r="G14" s="118">
        <f t="shared" si="1"/>
        <v>5731694.6699999999</v>
      </c>
      <c r="H14" s="118">
        <f t="shared" si="1"/>
        <v>5708723.9300000006</v>
      </c>
      <c r="I14" s="118">
        <f t="shared" si="1"/>
        <v>6415995.4600000009</v>
      </c>
      <c r="J14" s="118">
        <f t="shared" si="1"/>
        <v>5534663.1100000003</v>
      </c>
      <c r="K14" s="118">
        <f t="shared" si="1"/>
        <v>5172690.0600000005</v>
      </c>
      <c r="L14" s="118">
        <f t="shared" si="1"/>
        <v>5428145.7600000016</v>
      </c>
      <c r="M14" s="118">
        <f t="shared" si="1"/>
        <v>4054846.1799999992</v>
      </c>
      <c r="N14" s="118">
        <f t="shared" si="1"/>
        <v>4791409.4799999995</v>
      </c>
      <c r="O14" s="118">
        <f t="shared" si="1"/>
        <v>4120804.3499999992</v>
      </c>
      <c r="P14" s="118">
        <f t="shared" si="1"/>
        <v>4228768.1100000003</v>
      </c>
      <c r="Q14" s="118">
        <f t="shared" si="1"/>
        <v>60342462.939999983</v>
      </c>
    </row>
    <row r="15" spans="1:17" ht="15" x14ac:dyDescent="0.25">
      <c r="A15" s="114"/>
      <c r="B15" s="119"/>
      <c r="C15" s="116"/>
      <c r="D15" s="117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0"/>
    </row>
    <row r="16" spans="1:17" x14ac:dyDescent="0.2">
      <c r="A16" s="121" t="s">
        <v>67</v>
      </c>
      <c r="B16" s="111"/>
      <c r="C16" s="111"/>
      <c r="D16" s="111"/>
      <c r="E16" s="129"/>
      <c r="F16" s="129"/>
      <c r="G16" s="129"/>
      <c r="H16" s="129"/>
      <c r="I16" s="129"/>
      <c r="J16" s="130"/>
      <c r="K16" s="129"/>
      <c r="L16" s="129"/>
      <c r="M16" s="129"/>
      <c r="N16" s="129"/>
      <c r="O16" s="129"/>
      <c r="P16" s="122"/>
      <c r="Q16" s="131"/>
    </row>
    <row r="17" spans="1:17" x14ac:dyDescent="0.2">
      <c r="A17" s="132"/>
      <c r="B17" s="123"/>
      <c r="C17" s="123"/>
      <c r="D17" s="12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4"/>
    </row>
  </sheetData>
  <mergeCells count="1">
    <mergeCell ref="D5:D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7"/>
  <sheetViews>
    <sheetView zoomScale="80" zoomScaleNormal="80" workbookViewId="0"/>
  </sheetViews>
  <sheetFormatPr baseColWidth="10" defaultColWidth="12.5703125" defaultRowHeight="14.25" x14ac:dyDescent="0.2"/>
  <cols>
    <col min="1" max="2" width="17.5703125" style="96" customWidth="1"/>
    <col min="3" max="3" width="11" style="96" customWidth="1"/>
    <col min="4" max="4" width="9.42578125" style="96" customWidth="1"/>
    <col min="5" max="17" width="17.5703125" style="96" customWidth="1"/>
    <col min="18" max="16384" width="12.5703125" style="96"/>
  </cols>
  <sheetData>
    <row r="1" spans="1:17" ht="15.75" x14ac:dyDescent="0.25">
      <c r="A1" s="45" t="s">
        <v>0</v>
      </c>
      <c r="Q1" s="97"/>
    </row>
    <row r="2" spans="1:17" ht="15" x14ac:dyDescent="0.25">
      <c r="A2" s="98" t="s">
        <v>54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</row>
    <row r="3" spans="1:17" ht="15" x14ac:dyDescent="0.25">
      <c r="A3" s="98" t="s">
        <v>55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</row>
    <row r="4" spans="1:17" ht="15" x14ac:dyDescent="0.25">
      <c r="A4" s="99" t="s">
        <v>30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</row>
    <row r="5" spans="1:17" ht="15" x14ac:dyDescent="0.25">
      <c r="A5" s="100" t="s">
        <v>46</v>
      </c>
      <c r="B5" s="101"/>
      <c r="C5" s="101"/>
      <c r="D5" s="149" t="s">
        <v>52</v>
      </c>
      <c r="E5" s="124" t="s">
        <v>73</v>
      </c>
      <c r="F5" s="125" t="s">
        <v>74</v>
      </c>
      <c r="G5" s="125" t="s">
        <v>75</v>
      </c>
      <c r="H5" s="125" t="s">
        <v>76</v>
      </c>
      <c r="I5" s="125" t="s">
        <v>77</v>
      </c>
      <c r="J5" s="125" t="s">
        <v>78</v>
      </c>
      <c r="K5" s="125" t="s">
        <v>79</v>
      </c>
      <c r="L5" s="125" t="s">
        <v>80</v>
      </c>
      <c r="M5" s="125" t="s">
        <v>81</v>
      </c>
      <c r="N5" s="125" t="s">
        <v>82</v>
      </c>
      <c r="O5" s="125" t="s">
        <v>83</v>
      </c>
      <c r="P5" s="125" t="s">
        <v>84</v>
      </c>
      <c r="Q5" s="102" t="s">
        <v>48</v>
      </c>
    </row>
    <row r="6" spans="1:17" x14ac:dyDescent="0.2">
      <c r="A6" s="126" t="s">
        <v>47</v>
      </c>
      <c r="B6" s="103"/>
      <c r="C6" s="103"/>
      <c r="D6" s="150"/>
      <c r="E6" s="104">
        <v>41689</v>
      </c>
      <c r="F6" s="104">
        <v>41717</v>
      </c>
      <c r="G6" s="104">
        <v>41750</v>
      </c>
      <c r="H6" s="104">
        <v>41779</v>
      </c>
      <c r="I6" s="104">
        <v>41808</v>
      </c>
      <c r="J6" s="104">
        <v>41837</v>
      </c>
      <c r="K6" s="104">
        <v>41870</v>
      </c>
      <c r="L6" s="104">
        <v>41899</v>
      </c>
      <c r="M6" s="104">
        <v>41932</v>
      </c>
      <c r="N6" s="104">
        <v>41962</v>
      </c>
      <c r="O6" s="104">
        <v>41991</v>
      </c>
      <c r="P6" s="104">
        <v>42024</v>
      </c>
      <c r="Q6" s="105">
        <v>2014</v>
      </c>
    </row>
    <row r="7" spans="1:17" x14ac:dyDescent="0.2">
      <c r="A7" s="106"/>
      <c r="B7" s="107"/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</row>
    <row r="8" spans="1:17" x14ac:dyDescent="0.2">
      <c r="A8" s="110" t="s">
        <v>63</v>
      </c>
      <c r="B8" s="111"/>
      <c r="C8" s="111"/>
      <c r="D8" s="127" t="s">
        <v>72</v>
      </c>
      <c r="E8" s="112">
        <v>4204459.42</v>
      </c>
      <c r="F8" s="112">
        <v>4081862.69</v>
      </c>
      <c r="G8" s="112">
        <v>4724612.21</v>
      </c>
      <c r="H8" s="112">
        <v>3999525.06</v>
      </c>
      <c r="I8" s="112">
        <v>4552800.46</v>
      </c>
      <c r="J8" s="112">
        <v>4523276.26</v>
      </c>
      <c r="K8" s="112">
        <v>4116236.67</v>
      </c>
      <c r="L8" s="112">
        <v>4204221.76</v>
      </c>
      <c r="M8" s="112">
        <v>4092805.3499999996</v>
      </c>
      <c r="N8" s="112">
        <v>3462064.06</v>
      </c>
      <c r="O8" s="112">
        <v>2889465.28</v>
      </c>
      <c r="P8" s="112">
        <v>2083497</v>
      </c>
      <c r="Q8" s="112">
        <f>SUM(E8:P8)</f>
        <v>46934826.220000006</v>
      </c>
    </row>
    <row r="9" spans="1:17" x14ac:dyDescent="0.2">
      <c r="A9" s="110" t="s">
        <v>70</v>
      </c>
      <c r="B9" s="111"/>
      <c r="C9" s="111"/>
      <c r="D9" s="127" t="s">
        <v>71</v>
      </c>
      <c r="E9" s="112">
        <v>104627.72</v>
      </c>
      <c r="F9" s="112">
        <v>119461.98</v>
      </c>
      <c r="G9" s="112">
        <v>139588.07999999999</v>
      </c>
      <c r="H9" s="112">
        <v>123709.46</v>
      </c>
      <c r="I9" s="112">
        <v>136969.51999999999</v>
      </c>
      <c r="J9" s="112">
        <v>144692.88</v>
      </c>
      <c r="K9" s="112">
        <v>99371.33</v>
      </c>
      <c r="L9" s="112">
        <v>116852.92</v>
      </c>
      <c r="M9" s="112">
        <v>123172.81</v>
      </c>
      <c r="N9" s="112">
        <v>105870.72</v>
      </c>
      <c r="O9" s="112">
        <v>102840.38</v>
      </c>
      <c r="P9" s="112">
        <v>73469.39</v>
      </c>
      <c r="Q9" s="112">
        <f t="shared" ref="Q9:Q13" si="0">SUM(E9:P9)</f>
        <v>1390627.1899999997</v>
      </c>
    </row>
    <row r="10" spans="1:17" x14ac:dyDescent="0.2">
      <c r="A10" s="110" t="s">
        <v>65</v>
      </c>
      <c r="B10" s="111"/>
      <c r="C10" s="111"/>
      <c r="D10" s="127">
        <v>2.5000000000000001E-2</v>
      </c>
      <c r="E10" s="112">
        <v>256363.44</v>
      </c>
      <c r="F10" s="112">
        <v>257940.38</v>
      </c>
      <c r="G10" s="112">
        <v>299215.75</v>
      </c>
      <c r="H10" s="112">
        <v>256361.59000000003</v>
      </c>
      <c r="I10" s="112">
        <v>289732.40999999997</v>
      </c>
      <c r="J10" s="112">
        <v>291928.01</v>
      </c>
      <c r="K10" s="112">
        <v>249596.17</v>
      </c>
      <c r="L10" s="112">
        <v>262568.90000000002</v>
      </c>
      <c r="M10" s="112">
        <v>260439.81</v>
      </c>
      <c r="N10" s="112">
        <v>221484.42</v>
      </c>
      <c r="O10" s="112">
        <v>191898.23999999999</v>
      </c>
      <c r="P10" s="112">
        <v>138362.25</v>
      </c>
      <c r="Q10" s="112">
        <f t="shared" si="0"/>
        <v>2975891.37</v>
      </c>
    </row>
    <row r="11" spans="1:17" x14ac:dyDescent="0.2">
      <c r="A11" s="110" t="s">
        <v>85</v>
      </c>
      <c r="B11" s="111"/>
      <c r="C11" s="111"/>
      <c r="D11" s="127">
        <v>2.5000000000000001E-2</v>
      </c>
      <c r="E11" s="112">
        <v>256363.44</v>
      </c>
      <c r="F11" s="112">
        <v>257940.38</v>
      </c>
      <c r="G11" s="112">
        <v>299215.75</v>
      </c>
      <c r="H11" s="112">
        <v>256361.59000000003</v>
      </c>
      <c r="I11" s="112">
        <v>289732.40999999997</v>
      </c>
      <c r="J11" s="112">
        <v>291928.01</v>
      </c>
      <c r="K11" s="112">
        <v>249596.17</v>
      </c>
      <c r="L11" s="112">
        <v>262568.90000000002</v>
      </c>
      <c r="M11" s="112">
        <v>260439.81</v>
      </c>
      <c r="N11" s="112">
        <v>221484.42</v>
      </c>
      <c r="O11" s="112">
        <v>191898.23999999999</v>
      </c>
      <c r="P11" s="112">
        <v>138362.25</v>
      </c>
      <c r="Q11" s="112">
        <f t="shared" si="0"/>
        <v>2975891.37</v>
      </c>
    </row>
    <row r="12" spans="1:17" x14ac:dyDescent="0.2">
      <c r="A12" s="110" t="s">
        <v>66</v>
      </c>
      <c r="B12" s="111"/>
      <c r="C12" s="111"/>
      <c r="D12" s="127" t="s">
        <v>68</v>
      </c>
      <c r="E12" s="112">
        <v>272760.21999999997</v>
      </c>
      <c r="F12" s="112">
        <v>269707.80000000005</v>
      </c>
      <c r="G12" s="112">
        <v>312529.55</v>
      </c>
      <c r="H12" s="112">
        <v>266397.42000000004</v>
      </c>
      <c r="I12" s="112">
        <v>302022.38</v>
      </c>
      <c r="J12" s="112">
        <v>302082.65000000002</v>
      </c>
      <c r="K12" s="112">
        <v>266391.62</v>
      </c>
      <c r="L12" s="112">
        <v>276131.7</v>
      </c>
      <c r="M12" s="112">
        <v>271470.17</v>
      </c>
      <c r="N12" s="112">
        <v>230491.07</v>
      </c>
      <c r="O12" s="112">
        <v>195997.75</v>
      </c>
      <c r="P12" s="112">
        <v>141544.9</v>
      </c>
      <c r="Q12" s="112">
        <f t="shared" si="0"/>
        <v>3107527.23</v>
      </c>
    </row>
    <row r="13" spans="1:17" ht="15" thickBot="1" x14ac:dyDescent="0.25">
      <c r="A13" s="110" t="s">
        <v>50</v>
      </c>
      <c r="B13" s="111"/>
      <c r="C13" s="111"/>
      <c r="D13" s="127" t="s">
        <v>69</v>
      </c>
      <c r="E13" s="113">
        <v>5159963.54</v>
      </c>
      <c r="F13" s="113">
        <v>5330702.09</v>
      </c>
      <c r="G13" s="113">
        <v>6193468.8299999982</v>
      </c>
      <c r="H13" s="113">
        <v>5352108.3500000006</v>
      </c>
      <c r="I13" s="113">
        <v>6018039.1099999985</v>
      </c>
      <c r="J13" s="113">
        <v>6123212.7400000002</v>
      </c>
      <c r="K13" s="113">
        <v>5002654.7300000004</v>
      </c>
      <c r="L13" s="113">
        <v>5380411.7099999981</v>
      </c>
      <c r="M13" s="113">
        <v>5409264.4000000013</v>
      </c>
      <c r="N13" s="113">
        <v>4617982.2</v>
      </c>
      <c r="O13" s="113">
        <v>4103829.53</v>
      </c>
      <c r="P13" s="113">
        <v>2959254.2</v>
      </c>
      <c r="Q13" s="113">
        <f t="shared" si="0"/>
        <v>61650891.430000007</v>
      </c>
    </row>
    <row r="14" spans="1:17" ht="15" x14ac:dyDescent="0.25">
      <c r="A14" s="114"/>
      <c r="B14" s="115" t="s">
        <v>59</v>
      </c>
      <c r="C14" s="116"/>
      <c r="D14" s="117"/>
      <c r="E14" s="118">
        <f>SUM(E8:E13)</f>
        <v>10254537.780000001</v>
      </c>
      <c r="F14" s="118">
        <f t="shared" ref="F14:Q14" si="1">SUM(F8:F13)</f>
        <v>10317615.32</v>
      </c>
      <c r="G14" s="118">
        <f t="shared" si="1"/>
        <v>11968630.169999998</v>
      </c>
      <c r="H14" s="118">
        <f t="shared" si="1"/>
        <v>10254463.470000001</v>
      </c>
      <c r="I14" s="118">
        <f t="shared" si="1"/>
        <v>11589296.289999999</v>
      </c>
      <c r="J14" s="118">
        <f t="shared" si="1"/>
        <v>11677120.550000001</v>
      </c>
      <c r="K14" s="118">
        <f t="shared" si="1"/>
        <v>9983846.6900000013</v>
      </c>
      <c r="L14" s="118">
        <f t="shared" si="1"/>
        <v>10502755.889999999</v>
      </c>
      <c r="M14" s="118">
        <f t="shared" si="1"/>
        <v>10417592.35</v>
      </c>
      <c r="N14" s="118">
        <f t="shared" si="1"/>
        <v>8859376.8900000006</v>
      </c>
      <c r="O14" s="118">
        <f t="shared" si="1"/>
        <v>7675929.4199999999</v>
      </c>
      <c r="P14" s="118">
        <f t="shared" si="1"/>
        <v>5534489.9900000002</v>
      </c>
      <c r="Q14" s="118">
        <f t="shared" si="1"/>
        <v>119035654.81</v>
      </c>
    </row>
    <row r="15" spans="1:17" ht="15" x14ac:dyDescent="0.25">
      <c r="A15" s="114"/>
      <c r="B15" s="119"/>
      <c r="C15" s="116"/>
      <c r="D15" s="117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0"/>
    </row>
    <row r="16" spans="1:17" x14ac:dyDescent="0.2">
      <c r="A16" s="121" t="s">
        <v>67</v>
      </c>
      <c r="B16" s="111"/>
      <c r="C16" s="111"/>
      <c r="D16" s="111"/>
      <c r="E16" s="129"/>
      <c r="F16" s="129"/>
      <c r="G16" s="129"/>
      <c r="H16" s="129"/>
      <c r="I16" s="129"/>
      <c r="J16" s="130"/>
      <c r="K16" s="129"/>
      <c r="L16" s="129"/>
      <c r="M16" s="129"/>
      <c r="N16" s="129"/>
      <c r="O16" s="129"/>
      <c r="P16" s="122"/>
      <c r="Q16" s="131"/>
    </row>
    <row r="17" spans="1:17" x14ac:dyDescent="0.2">
      <c r="A17" s="132"/>
      <c r="B17" s="123"/>
      <c r="C17" s="123"/>
      <c r="D17" s="12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4"/>
    </row>
  </sheetData>
  <mergeCells count="1">
    <mergeCell ref="D5:D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17"/>
  <sheetViews>
    <sheetView zoomScale="80" zoomScaleNormal="80" workbookViewId="0"/>
  </sheetViews>
  <sheetFormatPr baseColWidth="10" defaultColWidth="12.5703125" defaultRowHeight="14.25" x14ac:dyDescent="0.2"/>
  <cols>
    <col min="1" max="2" width="17.5703125" style="96" customWidth="1"/>
    <col min="3" max="3" width="11" style="96" customWidth="1"/>
    <col min="4" max="4" width="9.42578125" style="96" customWidth="1"/>
    <col min="5" max="17" width="17.5703125" style="96" customWidth="1"/>
    <col min="18" max="16384" width="12.5703125" style="96"/>
  </cols>
  <sheetData>
    <row r="1" spans="1:17" ht="15.75" x14ac:dyDescent="0.25">
      <c r="A1" s="45" t="s">
        <v>0</v>
      </c>
      <c r="Q1" s="97"/>
    </row>
    <row r="2" spans="1:17" ht="15" x14ac:dyDescent="0.25">
      <c r="A2" s="98" t="s">
        <v>54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</row>
    <row r="3" spans="1:17" ht="15" x14ac:dyDescent="0.25">
      <c r="A3" s="98" t="s">
        <v>55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</row>
    <row r="4" spans="1:17" ht="15" x14ac:dyDescent="0.25">
      <c r="A4" s="99" t="s">
        <v>30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</row>
    <row r="5" spans="1:17" ht="15" x14ac:dyDescent="0.25">
      <c r="A5" s="100" t="s">
        <v>46</v>
      </c>
      <c r="B5" s="101"/>
      <c r="C5" s="101"/>
      <c r="D5" s="149" t="s">
        <v>52</v>
      </c>
      <c r="E5" s="124" t="s">
        <v>86</v>
      </c>
      <c r="F5" s="125" t="s">
        <v>87</v>
      </c>
      <c r="G5" s="125" t="s">
        <v>88</v>
      </c>
      <c r="H5" s="125" t="s">
        <v>89</v>
      </c>
      <c r="I5" s="125" t="s">
        <v>90</v>
      </c>
      <c r="J5" s="125" t="s">
        <v>91</v>
      </c>
      <c r="K5" s="125" t="s">
        <v>92</v>
      </c>
      <c r="L5" s="125" t="s">
        <v>93</v>
      </c>
      <c r="M5" s="125" t="s">
        <v>94</v>
      </c>
      <c r="N5" s="125" t="s">
        <v>95</v>
      </c>
      <c r="O5" s="125" t="s">
        <v>96</v>
      </c>
      <c r="P5" s="125" t="s">
        <v>97</v>
      </c>
      <c r="Q5" s="102" t="s">
        <v>48</v>
      </c>
    </row>
    <row r="6" spans="1:17" x14ac:dyDescent="0.2">
      <c r="A6" s="126" t="s">
        <v>47</v>
      </c>
      <c r="B6" s="103"/>
      <c r="C6" s="103"/>
      <c r="D6" s="150"/>
      <c r="E6" s="104">
        <v>41324</v>
      </c>
      <c r="F6" s="104">
        <v>41352</v>
      </c>
      <c r="G6" s="104">
        <v>41381</v>
      </c>
      <c r="H6" s="104">
        <v>41414</v>
      </c>
      <c r="I6" s="104">
        <v>41444</v>
      </c>
      <c r="J6" s="104">
        <v>41472</v>
      </c>
      <c r="K6" s="104">
        <v>41505</v>
      </c>
      <c r="L6" s="104">
        <v>41535</v>
      </c>
      <c r="M6" s="104">
        <v>41565</v>
      </c>
      <c r="N6" s="104">
        <v>41598</v>
      </c>
      <c r="O6" s="104">
        <v>41626</v>
      </c>
      <c r="P6" s="104">
        <v>41659</v>
      </c>
      <c r="Q6" s="105">
        <v>2013</v>
      </c>
    </row>
    <row r="7" spans="1:17" x14ac:dyDescent="0.2">
      <c r="A7" s="106"/>
      <c r="B7" s="107"/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</row>
    <row r="8" spans="1:17" x14ac:dyDescent="0.2">
      <c r="A8" s="110" t="s">
        <v>63</v>
      </c>
      <c r="B8" s="111"/>
      <c r="C8" s="111"/>
      <c r="D8" s="127" t="s">
        <v>72</v>
      </c>
      <c r="E8" s="112">
        <v>4328623</v>
      </c>
      <c r="F8" s="112">
        <v>4284248.05</v>
      </c>
      <c r="G8" s="112">
        <v>4246589.04</v>
      </c>
      <c r="H8" s="112">
        <v>3904129.84</v>
      </c>
      <c r="I8" s="112">
        <v>4405610.3099999996</v>
      </c>
      <c r="J8" s="112">
        <v>4207328.17</v>
      </c>
      <c r="K8" s="112">
        <v>4509524.54</v>
      </c>
      <c r="L8" s="112">
        <v>4360932.74</v>
      </c>
      <c r="M8" s="112">
        <v>4016054.8200000003</v>
      </c>
      <c r="N8" s="112">
        <v>4158421.54</v>
      </c>
      <c r="O8" s="112">
        <v>3995344.97</v>
      </c>
      <c r="P8" s="112">
        <v>4397536.47</v>
      </c>
      <c r="Q8" s="112">
        <v>50814343.489999995</v>
      </c>
    </row>
    <row r="9" spans="1:17" x14ac:dyDescent="0.2">
      <c r="A9" s="110" t="s">
        <v>70</v>
      </c>
      <c r="B9" s="111"/>
      <c r="C9" s="111"/>
      <c r="D9" s="127" t="s">
        <v>71</v>
      </c>
      <c r="E9" s="112">
        <v>89444.9</v>
      </c>
      <c r="F9" s="112">
        <v>107858.79</v>
      </c>
      <c r="G9" s="112">
        <v>96154.98</v>
      </c>
      <c r="H9" s="112">
        <v>82259.289999999994</v>
      </c>
      <c r="I9" s="112">
        <v>100967.99</v>
      </c>
      <c r="J9" s="112">
        <v>99213.55</v>
      </c>
      <c r="K9" s="112">
        <v>122728.28</v>
      </c>
      <c r="L9" s="112">
        <v>113584.51</v>
      </c>
      <c r="M9" s="112">
        <v>99189.34</v>
      </c>
      <c r="N9" s="112">
        <v>85071.54</v>
      </c>
      <c r="O9" s="112">
        <v>88146.11</v>
      </c>
      <c r="P9" s="112">
        <v>101398.83</v>
      </c>
      <c r="Q9" s="112">
        <v>1186018.1100000001</v>
      </c>
    </row>
    <row r="10" spans="1:17" x14ac:dyDescent="0.2">
      <c r="A10" s="110" t="s">
        <v>65</v>
      </c>
      <c r="B10" s="111"/>
      <c r="C10" s="111"/>
      <c r="D10" s="127">
        <v>2.5000000000000001E-2</v>
      </c>
      <c r="E10" s="112">
        <v>254679.64999999997</v>
      </c>
      <c r="F10" s="112">
        <v>261804.81</v>
      </c>
      <c r="G10" s="112">
        <v>254588.45</v>
      </c>
      <c r="H10" s="112">
        <v>230467.33</v>
      </c>
      <c r="I10" s="112">
        <v>264416.65000000002</v>
      </c>
      <c r="J10" s="112">
        <v>254164.49</v>
      </c>
      <c r="K10" s="112">
        <v>280527.7</v>
      </c>
      <c r="L10" s="112">
        <v>269075.68</v>
      </c>
      <c r="M10" s="112">
        <v>244762.45</v>
      </c>
      <c r="N10" s="112">
        <v>244390.53000000003</v>
      </c>
      <c r="O10" s="112">
        <v>238015.1</v>
      </c>
      <c r="P10" s="112">
        <v>264494.93</v>
      </c>
      <c r="Q10" s="112">
        <v>3061387.7700000005</v>
      </c>
    </row>
    <row r="11" spans="1:17" x14ac:dyDescent="0.2">
      <c r="A11" s="110" t="s">
        <v>85</v>
      </c>
      <c r="B11" s="111"/>
      <c r="C11" s="111"/>
      <c r="D11" s="127">
        <v>2.5000000000000001E-2</v>
      </c>
      <c r="E11" s="112">
        <v>254679.64999999997</v>
      </c>
      <c r="F11" s="112">
        <v>261804.81</v>
      </c>
      <c r="G11" s="112">
        <v>254588.45</v>
      </c>
      <c r="H11" s="112">
        <v>230467.33</v>
      </c>
      <c r="I11" s="112">
        <v>264416.65000000002</v>
      </c>
      <c r="J11" s="112">
        <v>254164.49</v>
      </c>
      <c r="K11" s="112">
        <v>280527.7</v>
      </c>
      <c r="L11" s="112">
        <v>269075.68</v>
      </c>
      <c r="M11" s="112">
        <v>244762.45</v>
      </c>
      <c r="N11" s="112">
        <v>244390.53000000003</v>
      </c>
      <c r="O11" s="112">
        <v>238015.1</v>
      </c>
      <c r="P11" s="112">
        <v>264494.93</v>
      </c>
      <c r="Q11" s="112">
        <v>3061387.7700000005</v>
      </c>
    </row>
    <row r="12" spans="1:17" x14ac:dyDescent="0.2">
      <c r="A12" s="110" t="s">
        <v>66</v>
      </c>
      <c r="B12" s="111"/>
      <c r="C12" s="111"/>
      <c r="D12" s="127" t="s">
        <v>68</v>
      </c>
      <c r="E12" s="112">
        <v>275800.61</v>
      </c>
      <c r="F12" s="112">
        <v>278212.84999999998</v>
      </c>
      <c r="G12" s="112">
        <v>273454.48</v>
      </c>
      <c r="H12" s="112">
        <v>249141.03</v>
      </c>
      <c r="I12" s="112">
        <v>283643.99</v>
      </c>
      <c r="J12" s="112">
        <v>271926.20999999996</v>
      </c>
      <c r="K12" s="112">
        <v>295723.81</v>
      </c>
      <c r="L12" s="112">
        <v>285029.31</v>
      </c>
      <c r="M12" s="112">
        <v>260651.83000000002</v>
      </c>
      <c r="N12" s="112">
        <v>264911.46000000002</v>
      </c>
      <c r="O12" s="112">
        <v>256236.07</v>
      </c>
      <c r="P12" s="112">
        <v>283594.3</v>
      </c>
      <c r="Q12" s="112">
        <v>3278325.9499999997</v>
      </c>
    </row>
    <row r="13" spans="1:17" ht="15" thickBot="1" x14ac:dyDescent="0.25">
      <c r="A13" s="110" t="s">
        <v>50</v>
      </c>
      <c r="B13" s="111"/>
      <c r="C13" s="111"/>
      <c r="D13" s="127" t="s">
        <v>69</v>
      </c>
      <c r="E13" s="113">
        <v>4983958.2799999993</v>
      </c>
      <c r="F13" s="113">
        <v>5278263.0799999963</v>
      </c>
      <c r="G13" s="113">
        <v>5058162.54</v>
      </c>
      <c r="H13" s="113">
        <v>4522228.25</v>
      </c>
      <c r="I13" s="113">
        <v>5257610.5</v>
      </c>
      <c r="J13" s="113">
        <v>5079782.5600000005</v>
      </c>
      <c r="K13" s="113">
        <v>5732075.9000000004</v>
      </c>
      <c r="L13" s="113">
        <v>5465329.3300000001</v>
      </c>
      <c r="M13" s="113">
        <v>4925077.1900000004</v>
      </c>
      <c r="N13" s="113">
        <v>4778435.66</v>
      </c>
      <c r="O13" s="113">
        <v>4704846.51</v>
      </c>
      <c r="P13" s="113">
        <v>5268277.5799999982</v>
      </c>
      <c r="Q13" s="113">
        <v>61054047.379999988</v>
      </c>
    </row>
    <row r="14" spans="1:17" ht="15" x14ac:dyDescent="0.25">
      <c r="A14" s="114"/>
      <c r="B14" s="115" t="s">
        <v>59</v>
      </c>
      <c r="C14" s="116"/>
      <c r="D14" s="117"/>
      <c r="E14" s="118">
        <v>10187186.09</v>
      </c>
      <c r="F14" s="118">
        <v>10472192.389999995</v>
      </c>
      <c r="G14" s="118">
        <v>10183537.940000001</v>
      </c>
      <c r="H14" s="118">
        <v>9218693.0700000003</v>
      </c>
      <c r="I14" s="118">
        <v>10576666.09</v>
      </c>
      <c r="J14" s="118">
        <v>10166579.470000001</v>
      </c>
      <c r="K14" s="118">
        <v>11221107.93</v>
      </c>
      <c r="L14" s="118">
        <v>10763027.25</v>
      </c>
      <c r="M14" s="118">
        <v>9790498.0800000019</v>
      </c>
      <c r="N14" s="118">
        <v>9775621.2600000016</v>
      </c>
      <c r="O14" s="118">
        <v>9520603.8599999994</v>
      </c>
      <c r="P14" s="118">
        <v>10579797.039999997</v>
      </c>
      <c r="Q14" s="118">
        <v>122455510.46999998</v>
      </c>
    </row>
    <row r="15" spans="1:17" ht="15" x14ac:dyDescent="0.25">
      <c r="A15" s="114"/>
      <c r="B15" s="119"/>
      <c r="C15" s="116"/>
      <c r="D15" s="117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0"/>
    </row>
    <row r="16" spans="1:17" x14ac:dyDescent="0.2">
      <c r="A16" s="121" t="s">
        <v>67</v>
      </c>
      <c r="B16" s="111"/>
      <c r="C16" s="111"/>
      <c r="D16" s="111"/>
      <c r="E16" s="129"/>
      <c r="F16" s="129"/>
      <c r="G16" s="129"/>
      <c r="H16" s="129"/>
      <c r="I16" s="129"/>
      <c r="J16" s="130"/>
      <c r="K16" s="129"/>
      <c r="L16" s="129"/>
      <c r="M16" s="129"/>
      <c r="N16" s="129"/>
      <c r="O16" s="129"/>
      <c r="P16" s="122"/>
      <c r="Q16" s="131"/>
    </row>
    <row r="17" spans="1:17" x14ac:dyDescent="0.2">
      <c r="A17" s="132"/>
      <c r="B17" s="123"/>
      <c r="C17" s="123"/>
      <c r="D17" s="12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4"/>
    </row>
  </sheetData>
  <mergeCells count="1">
    <mergeCell ref="D5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17"/>
  <sheetViews>
    <sheetView zoomScale="80" zoomScaleNormal="80" workbookViewId="0"/>
  </sheetViews>
  <sheetFormatPr baseColWidth="10" defaultColWidth="12.5703125" defaultRowHeight="14.25" x14ac:dyDescent="0.2"/>
  <cols>
    <col min="1" max="2" width="17.5703125" style="96" customWidth="1"/>
    <col min="3" max="3" width="11" style="96" customWidth="1"/>
    <col min="4" max="4" width="9.42578125" style="96" customWidth="1"/>
    <col min="5" max="17" width="17.5703125" style="96" customWidth="1"/>
    <col min="18" max="16384" width="12.5703125" style="96"/>
  </cols>
  <sheetData>
    <row r="1" spans="1:17" ht="15.75" x14ac:dyDescent="0.25">
      <c r="A1" s="45" t="s">
        <v>0</v>
      </c>
      <c r="Q1" s="97"/>
    </row>
    <row r="2" spans="1:17" ht="15" x14ac:dyDescent="0.25">
      <c r="A2" s="98" t="s">
        <v>54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</row>
    <row r="3" spans="1:17" ht="15" x14ac:dyDescent="0.25">
      <c r="A3" s="98" t="s">
        <v>55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</row>
    <row r="4" spans="1:17" ht="15" x14ac:dyDescent="0.25">
      <c r="A4" s="99" t="s">
        <v>30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</row>
    <row r="5" spans="1:17" ht="15" x14ac:dyDescent="0.25">
      <c r="A5" s="100" t="s">
        <v>46</v>
      </c>
      <c r="B5" s="101"/>
      <c r="C5" s="101"/>
      <c r="D5" s="149" t="s">
        <v>52</v>
      </c>
      <c r="E5" s="124" t="s">
        <v>98</v>
      </c>
      <c r="F5" s="125" t="s">
        <v>99</v>
      </c>
      <c r="G5" s="125" t="s">
        <v>100</v>
      </c>
      <c r="H5" s="125" t="s">
        <v>101</v>
      </c>
      <c r="I5" s="125" t="s">
        <v>102</v>
      </c>
      <c r="J5" s="125" t="s">
        <v>103</v>
      </c>
      <c r="K5" s="125" t="s">
        <v>104</v>
      </c>
      <c r="L5" s="125" t="s">
        <v>105</v>
      </c>
      <c r="M5" s="125" t="s">
        <v>106</v>
      </c>
      <c r="N5" s="125" t="s">
        <v>107</v>
      </c>
      <c r="O5" s="125" t="s">
        <v>108</v>
      </c>
      <c r="P5" s="125" t="s">
        <v>109</v>
      </c>
      <c r="Q5" s="102" t="s">
        <v>48</v>
      </c>
    </row>
    <row r="6" spans="1:17" x14ac:dyDescent="0.2">
      <c r="A6" s="126" t="s">
        <v>47</v>
      </c>
      <c r="B6" s="103"/>
      <c r="C6" s="103"/>
      <c r="D6" s="150"/>
      <c r="E6" s="104">
        <v>40956</v>
      </c>
      <c r="F6" s="104">
        <v>40987</v>
      </c>
      <c r="G6" s="104">
        <v>41019</v>
      </c>
      <c r="H6" s="104">
        <v>41047</v>
      </c>
      <c r="I6" s="104">
        <v>41079</v>
      </c>
      <c r="J6" s="104">
        <v>41108</v>
      </c>
      <c r="K6" s="104">
        <v>41138</v>
      </c>
      <c r="L6" s="104">
        <v>41171</v>
      </c>
      <c r="M6" s="104">
        <v>41200</v>
      </c>
      <c r="N6" s="104">
        <v>41233</v>
      </c>
      <c r="O6" s="104">
        <v>41262</v>
      </c>
      <c r="P6" s="104">
        <v>41292</v>
      </c>
      <c r="Q6" s="105">
        <v>2012</v>
      </c>
    </row>
    <row r="7" spans="1:17" x14ac:dyDescent="0.2">
      <c r="A7" s="106"/>
      <c r="B7" s="107"/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</row>
    <row r="8" spans="1:17" x14ac:dyDescent="0.2">
      <c r="A8" s="110" t="s">
        <v>63</v>
      </c>
      <c r="B8" s="111"/>
      <c r="C8" s="111"/>
      <c r="D8" s="127" t="s">
        <v>72</v>
      </c>
      <c r="E8" s="112">
        <v>4933277.92</v>
      </c>
      <c r="F8" s="112">
        <v>5065001.43</v>
      </c>
      <c r="G8" s="112">
        <v>5582234.1699999999</v>
      </c>
      <c r="H8" s="112">
        <v>5398224.4700000007</v>
      </c>
      <c r="I8" s="112">
        <v>4960483.67</v>
      </c>
      <c r="J8" s="112">
        <v>4347032.1399999997</v>
      </c>
      <c r="K8" s="112">
        <v>4919333.43</v>
      </c>
      <c r="L8" s="112">
        <v>5146934.1899999995</v>
      </c>
      <c r="M8" s="112">
        <v>4410306.84</v>
      </c>
      <c r="N8" s="112">
        <v>4660536.22</v>
      </c>
      <c r="O8" s="112">
        <v>4327094.01</v>
      </c>
      <c r="P8" s="112">
        <v>4050604.06</v>
      </c>
      <c r="Q8" s="112">
        <v>57801062.550000004</v>
      </c>
    </row>
    <row r="9" spans="1:17" x14ac:dyDescent="0.2">
      <c r="A9" s="110" t="s">
        <v>70</v>
      </c>
      <c r="B9" s="111"/>
      <c r="C9" s="111"/>
      <c r="D9" s="127" t="s">
        <v>71</v>
      </c>
      <c r="E9" s="112">
        <v>107829.39</v>
      </c>
      <c r="F9" s="112">
        <v>102946.88</v>
      </c>
      <c r="G9" s="112">
        <v>132122.32999999999</v>
      </c>
      <c r="H9" s="112">
        <v>119239.54</v>
      </c>
      <c r="I9" s="112">
        <v>125123.51</v>
      </c>
      <c r="J9" s="112">
        <v>151062.65</v>
      </c>
      <c r="K9" s="112">
        <v>157387.01999999999</v>
      </c>
      <c r="L9" s="112">
        <v>167260.14000000001</v>
      </c>
      <c r="M9" s="112">
        <v>161115.70000000001</v>
      </c>
      <c r="N9" s="112">
        <v>149786.18</v>
      </c>
      <c r="O9" s="112">
        <v>124491.96</v>
      </c>
      <c r="P9" s="112">
        <v>89491.14</v>
      </c>
      <c r="Q9" s="112">
        <v>1587856.4399999997</v>
      </c>
    </row>
    <row r="10" spans="1:17" x14ac:dyDescent="0.2">
      <c r="A10" s="110" t="s">
        <v>65</v>
      </c>
      <c r="B10" s="111"/>
      <c r="C10" s="111"/>
      <c r="D10" s="127">
        <v>2.5000000000000001E-2</v>
      </c>
      <c r="E10" s="112">
        <v>293169.45</v>
      </c>
      <c r="F10" s="112">
        <v>296842.59999999998</v>
      </c>
      <c r="G10" s="112">
        <v>336898.16</v>
      </c>
      <c r="H10" s="112">
        <v>321638.81</v>
      </c>
      <c r="I10" s="112">
        <v>303378.59999999998</v>
      </c>
      <c r="J10" s="112">
        <v>287258.39</v>
      </c>
      <c r="K10" s="112">
        <v>318048.94</v>
      </c>
      <c r="L10" s="112">
        <v>333665.19</v>
      </c>
      <c r="M10" s="112">
        <v>295673.81</v>
      </c>
      <c r="N10" s="112">
        <v>301656.23</v>
      </c>
      <c r="O10" s="112">
        <v>272522.42</v>
      </c>
      <c r="P10" s="112">
        <v>241465.38</v>
      </c>
      <c r="Q10" s="112">
        <v>3602217.98</v>
      </c>
    </row>
    <row r="11" spans="1:17" x14ac:dyDescent="0.2">
      <c r="A11" s="110" t="s">
        <v>85</v>
      </c>
      <c r="B11" s="111"/>
      <c r="C11" s="111"/>
      <c r="D11" s="127">
        <v>2.5000000000000001E-2</v>
      </c>
      <c r="E11" s="112">
        <v>293169.45</v>
      </c>
      <c r="F11" s="112">
        <v>296842.59999999998</v>
      </c>
      <c r="G11" s="112">
        <v>336898.16</v>
      </c>
      <c r="H11" s="112">
        <v>321638.81</v>
      </c>
      <c r="I11" s="112">
        <v>303378.59999999998</v>
      </c>
      <c r="J11" s="112">
        <v>287258.39</v>
      </c>
      <c r="K11" s="112">
        <v>318048.94</v>
      </c>
      <c r="L11" s="112">
        <v>333665.19</v>
      </c>
      <c r="M11" s="112">
        <v>295673.81</v>
      </c>
      <c r="N11" s="112">
        <v>301656.23</v>
      </c>
      <c r="O11" s="112">
        <v>272522.42</v>
      </c>
      <c r="P11" s="112">
        <v>241465.38</v>
      </c>
      <c r="Q11" s="112">
        <v>3602217.98</v>
      </c>
    </row>
    <row r="12" spans="1:17" x14ac:dyDescent="0.2">
      <c r="A12" s="110" t="s">
        <v>66</v>
      </c>
      <c r="B12" s="111"/>
      <c r="C12" s="111"/>
      <c r="D12" s="127" t="s">
        <v>68</v>
      </c>
      <c r="E12" s="112">
        <v>315860.21000000002</v>
      </c>
      <c r="F12" s="112">
        <v>321895.5</v>
      </c>
      <c r="G12" s="112">
        <v>360237.01</v>
      </c>
      <c r="H12" s="112">
        <v>346220.06</v>
      </c>
      <c r="I12" s="112">
        <v>322346.48</v>
      </c>
      <c r="J12" s="112">
        <v>294355.86</v>
      </c>
      <c r="K12" s="112">
        <v>329196.39</v>
      </c>
      <c r="L12" s="112">
        <v>344644.83999999997</v>
      </c>
      <c r="M12" s="112">
        <v>301103.34999999998</v>
      </c>
      <c r="N12" s="112">
        <v>312058.74</v>
      </c>
      <c r="O12" s="112">
        <v>285529.59000000003</v>
      </c>
      <c r="P12" s="112">
        <v>259928.08000000002</v>
      </c>
      <c r="Q12" s="112">
        <v>3793376.1100000003</v>
      </c>
    </row>
    <row r="13" spans="1:17" ht="15" thickBot="1" x14ac:dyDescent="0.25">
      <c r="A13" s="110" t="s">
        <v>50</v>
      </c>
      <c r="B13" s="111"/>
      <c r="C13" s="111"/>
      <c r="D13" s="127" t="s">
        <v>69</v>
      </c>
      <c r="E13" s="113">
        <v>5783471.5899999999</v>
      </c>
      <c r="F13" s="113">
        <v>5790175.129999999</v>
      </c>
      <c r="G13" s="113">
        <v>6727536.5399999972</v>
      </c>
      <c r="H13" s="113">
        <v>6358590.7400000012</v>
      </c>
      <c r="I13" s="113">
        <v>6120433.1099999957</v>
      </c>
      <c r="J13" s="113">
        <v>6123368.2699999996</v>
      </c>
      <c r="K13" s="113">
        <v>6679942.9400000004</v>
      </c>
      <c r="L13" s="113">
        <v>7020438.0700000003</v>
      </c>
      <c r="M13" s="113">
        <v>6363079.0699999994</v>
      </c>
      <c r="N13" s="113">
        <v>6340555.5199999996</v>
      </c>
      <c r="O13" s="113">
        <v>5618736.5199999996</v>
      </c>
      <c r="P13" s="113">
        <v>4775661.17</v>
      </c>
      <c r="Q13" s="113">
        <v>73701988.669999987</v>
      </c>
    </row>
    <row r="14" spans="1:17" ht="15" x14ac:dyDescent="0.25">
      <c r="A14" s="114"/>
      <c r="B14" s="115" t="s">
        <v>59</v>
      </c>
      <c r="C14" s="116"/>
      <c r="D14" s="117"/>
      <c r="E14" s="118">
        <v>11726778.01</v>
      </c>
      <c r="F14" s="118">
        <v>11873704.139999997</v>
      </c>
      <c r="G14" s="118">
        <v>13475926.369999997</v>
      </c>
      <c r="H14" s="118">
        <v>12865552.43</v>
      </c>
      <c r="I14" s="118">
        <v>12135143.969999995</v>
      </c>
      <c r="J14" s="118">
        <v>11490335.699999999</v>
      </c>
      <c r="K14" s="118">
        <v>12721957.66</v>
      </c>
      <c r="L14" s="118">
        <v>13346607.620000001</v>
      </c>
      <c r="M14" s="118">
        <v>11826952.579999998</v>
      </c>
      <c r="N14" s="118">
        <v>12066249.119999999</v>
      </c>
      <c r="O14" s="118">
        <v>10900896.919999998</v>
      </c>
      <c r="P14" s="118">
        <v>9658615.2100000009</v>
      </c>
      <c r="Q14" s="118">
        <v>144088719.72999999</v>
      </c>
    </row>
    <row r="15" spans="1:17" ht="15" x14ac:dyDescent="0.25">
      <c r="A15" s="114"/>
      <c r="B15" s="119"/>
      <c r="C15" s="116"/>
      <c r="D15" s="117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0"/>
    </row>
    <row r="16" spans="1:17" x14ac:dyDescent="0.2">
      <c r="A16" s="121" t="s">
        <v>67</v>
      </c>
      <c r="B16" s="111"/>
      <c r="C16" s="111"/>
      <c r="D16" s="111"/>
      <c r="E16" s="129"/>
      <c r="F16" s="129"/>
      <c r="G16" s="129"/>
      <c r="H16" s="129"/>
      <c r="I16" s="129"/>
      <c r="J16" s="130"/>
      <c r="K16" s="129"/>
      <c r="L16" s="129"/>
      <c r="M16" s="129"/>
      <c r="N16" s="129"/>
      <c r="O16" s="129"/>
      <c r="P16" s="122"/>
      <c r="Q16" s="131"/>
    </row>
    <row r="17" spans="1:17" x14ac:dyDescent="0.2">
      <c r="A17" s="132"/>
      <c r="B17" s="123"/>
      <c r="C17" s="123"/>
      <c r="D17" s="12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4"/>
    </row>
  </sheetData>
  <mergeCells count="1">
    <mergeCell ref="D5:D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17"/>
  <sheetViews>
    <sheetView zoomScale="80" zoomScaleNormal="80" workbookViewId="0"/>
  </sheetViews>
  <sheetFormatPr baseColWidth="10" defaultColWidth="12.5703125" defaultRowHeight="14.25" x14ac:dyDescent="0.2"/>
  <cols>
    <col min="1" max="2" width="17.5703125" style="96" customWidth="1"/>
    <col min="3" max="3" width="11" style="96" customWidth="1"/>
    <col min="4" max="4" width="9.42578125" style="96" customWidth="1"/>
    <col min="5" max="17" width="17.5703125" style="96" customWidth="1"/>
    <col min="18" max="16384" width="12.5703125" style="96"/>
  </cols>
  <sheetData>
    <row r="1" spans="1:17" ht="15.75" x14ac:dyDescent="0.25">
      <c r="A1" s="45" t="s">
        <v>0</v>
      </c>
      <c r="Q1" s="97"/>
    </row>
    <row r="2" spans="1:17" ht="15" x14ac:dyDescent="0.25">
      <c r="A2" s="98" t="s">
        <v>54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</row>
    <row r="3" spans="1:17" ht="15" x14ac:dyDescent="0.25">
      <c r="A3" s="98" t="s">
        <v>55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</row>
    <row r="4" spans="1:17" ht="15" x14ac:dyDescent="0.25">
      <c r="A4" s="99" t="s">
        <v>30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</row>
    <row r="5" spans="1:17" ht="15" x14ac:dyDescent="0.25">
      <c r="A5" s="100" t="s">
        <v>46</v>
      </c>
      <c r="B5" s="101"/>
      <c r="C5" s="101"/>
      <c r="D5" s="149" t="s">
        <v>52</v>
      </c>
      <c r="E5" s="124" t="s">
        <v>110</v>
      </c>
      <c r="F5" s="125" t="s">
        <v>111</v>
      </c>
      <c r="G5" s="125" t="s">
        <v>112</v>
      </c>
      <c r="H5" s="125" t="s">
        <v>113</v>
      </c>
      <c r="I5" s="125" t="s">
        <v>114</v>
      </c>
      <c r="J5" s="125" t="s">
        <v>115</v>
      </c>
      <c r="K5" s="125" t="s">
        <v>116</v>
      </c>
      <c r="L5" s="125" t="s">
        <v>117</v>
      </c>
      <c r="M5" s="125" t="s">
        <v>118</v>
      </c>
      <c r="N5" s="125" t="s">
        <v>119</v>
      </c>
      <c r="O5" s="125" t="s">
        <v>120</v>
      </c>
      <c r="P5" s="125" t="s">
        <v>121</v>
      </c>
      <c r="Q5" s="102" t="s">
        <v>48</v>
      </c>
    </row>
    <row r="6" spans="1:17" x14ac:dyDescent="0.2">
      <c r="A6" s="126" t="s">
        <v>47</v>
      </c>
      <c r="B6" s="103"/>
      <c r="C6" s="103"/>
      <c r="D6" s="150"/>
      <c r="E6" s="104">
        <v>40591</v>
      </c>
      <c r="F6" s="104">
        <v>40619</v>
      </c>
      <c r="G6" s="104">
        <v>40652</v>
      </c>
      <c r="H6" s="104">
        <v>40681</v>
      </c>
      <c r="I6" s="104">
        <v>40711</v>
      </c>
      <c r="J6" s="104">
        <v>40743</v>
      </c>
      <c r="K6" s="104">
        <v>40772</v>
      </c>
      <c r="L6" s="104">
        <v>40805</v>
      </c>
      <c r="M6" s="104">
        <v>40835</v>
      </c>
      <c r="N6" s="104">
        <v>40865</v>
      </c>
      <c r="O6" s="104">
        <v>40897</v>
      </c>
      <c r="P6" s="104">
        <v>40926</v>
      </c>
      <c r="Q6" s="105">
        <v>2011</v>
      </c>
    </row>
    <row r="7" spans="1:17" x14ac:dyDescent="0.2">
      <c r="A7" s="106"/>
      <c r="B7" s="107"/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</row>
    <row r="8" spans="1:17" x14ac:dyDescent="0.2">
      <c r="A8" s="110" t="s">
        <v>63</v>
      </c>
      <c r="B8" s="111"/>
      <c r="C8" s="111"/>
      <c r="D8" s="127" t="s">
        <v>72</v>
      </c>
      <c r="E8" s="112">
        <v>3085259.49</v>
      </c>
      <c r="F8" s="112">
        <v>2879172.62</v>
      </c>
      <c r="G8" s="112">
        <v>3862531.63</v>
      </c>
      <c r="H8" s="112">
        <v>3734504.3000000003</v>
      </c>
      <c r="I8" s="112">
        <v>3682595.1399999997</v>
      </c>
      <c r="J8" s="112">
        <v>3582189.6399999997</v>
      </c>
      <c r="K8" s="112">
        <v>3770668.14</v>
      </c>
      <c r="L8" s="112">
        <v>3120614.37</v>
      </c>
      <c r="M8" s="112">
        <v>3383091.0999999996</v>
      </c>
      <c r="N8" s="112">
        <v>3661494.0199999996</v>
      </c>
      <c r="O8" s="112">
        <v>3332668.44</v>
      </c>
      <c r="P8" s="112">
        <v>3349679.4499999997</v>
      </c>
      <c r="Q8" s="112">
        <v>41444468.340000004</v>
      </c>
    </row>
    <row r="9" spans="1:17" x14ac:dyDescent="0.2">
      <c r="A9" s="110" t="s">
        <v>70</v>
      </c>
      <c r="B9" s="111"/>
      <c r="C9" s="111"/>
      <c r="D9" s="127" t="s">
        <v>71</v>
      </c>
      <c r="E9" s="112">
        <v>69799.179999999993</v>
      </c>
      <c r="F9" s="112">
        <v>69224.84</v>
      </c>
      <c r="G9" s="112">
        <v>68277.52</v>
      </c>
      <c r="H9" s="112">
        <v>68151.14</v>
      </c>
      <c r="I9" s="112">
        <v>74077.509999999995</v>
      </c>
      <c r="J9" s="112">
        <v>75244.62</v>
      </c>
      <c r="K9" s="112">
        <v>71460.86</v>
      </c>
      <c r="L9" s="112">
        <v>74048.479999999996</v>
      </c>
      <c r="M9" s="112">
        <v>87448.7</v>
      </c>
      <c r="N9" s="112">
        <v>88505.89</v>
      </c>
      <c r="O9" s="112">
        <v>77457.27</v>
      </c>
      <c r="P9" s="112">
        <v>77068.600000000006</v>
      </c>
      <c r="Q9" s="112">
        <v>900764.61</v>
      </c>
    </row>
    <row r="10" spans="1:17" x14ac:dyDescent="0.2">
      <c r="A10" s="110" t="s">
        <v>65</v>
      </c>
      <c r="B10" s="111"/>
      <c r="C10" s="111"/>
      <c r="D10" s="127">
        <v>2.5000000000000001E-2</v>
      </c>
      <c r="E10" s="112">
        <v>184638.77</v>
      </c>
      <c r="F10" s="112">
        <v>174302.65</v>
      </c>
      <c r="G10" s="112">
        <v>221344.04</v>
      </c>
      <c r="H10" s="112">
        <v>214784.47999999998</v>
      </c>
      <c r="I10" s="112">
        <v>215671.83</v>
      </c>
      <c r="J10" s="112">
        <v>211189.18</v>
      </c>
      <c r="K10" s="112">
        <v>218392.66</v>
      </c>
      <c r="L10" s="112">
        <v>188684.63</v>
      </c>
      <c r="M10" s="112">
        <v>207901.52</v>
      </c>
      <c r="N10" s="112">
        <v>222011.6</v>
      </c>
      <c r="O10" s="112">
        <v>200283.81</v>
      </c>
      <c r="P10" s="112">
        <v>201193.34000000003</v>
      </c>
      <c r="Q10" s="112">
        <v>2460398.5099999998</v>
      </c>
    </row>
    <row r="11" spans="1:17" x14ac:dyDescent="0.2">
      <c r="A11" s="110" t="s">
        <v>85</v>
      </c>
      <c r="B11" s="111"/>
      <c r="C11" s="111"/>
      <c r="D11" s="127">
        <v>2.5000000000000001E-2</v>
      </c>
      <c r="E11" s="112">
        <v>184638.77</v>
      </c>
      <c r="F11" s="112">
        <v>174302.65</v>
      </c>
      <c r="G11" s="112">
        <v>221344.04</v>
      </c>
      <c r="H11" s="112">
        <v>214784.47999999998</v>
      </c>
      <c r="I11" s="112">
        <v>215671.83</v>
      </c>
      <c r="J11" s="112">
        <v>211189.18</v>
      </c>
      <c r="K11" s="112">
        <v>218392.66</v>
      </c>
      <c r="L11" s="112">
        <v>188684.63</v>
      </c>
      <c r="M11" s="112">
        <v>207901.52</v>
      </c>
      <c r="N11" s="112">
        <v>222011.6</v>
      </c>
      <c r="O11" s="112">
        <v>200283.81</v>
      </c>
      <c r="P11" s="112">
        <v>201193.34000000003</v>
      </c>
      <c r="Q11" s="112">
        <v>2460398.5099999998</v>
      </c>
    </row>
    <row r="12" spans="1:17" x14ac:dyDescent="0.2">
      <c r="A12" s="110" t="s">
        <v>66</v>
      </c>
      <c r="B12" s="111"/>
      <c r="C12" s="111"/>
      <c r="D12" s="127" t="s">
        <v>68</v>
      </c>
      <c r="E12" s="112">
        <v>198300.14</v>
      </c>
      <c r="F12" s="112">
        <v>186088.22999999998</v>
      </c>
      <c r="G12" s="112">
        <v>242853.68</v>
      </c>
      <c r="H12" s="112">
        <v>235024.33</v>
      </c>
      <c r="I12" s="112">
        <v>234113.7</v>
      </c>
      <c r="J12" s="112">
        <v>228345.47999999998</v>
      </c>
      <c r="K12" s="112">
        <v>238250.90000000002</v>
      </c>
      <c r="L12" s="112">
        <v>201738.72999999998</v>
      </c>
      <c r="M12" s="112">
        <v>220332.26</v>
      </c>
      <c r="N12" s="112">
        <v>236911.96</v>
      </c>
      <c r="O12" s="112">
        <v>214521.47999999998</v>
      </c>
      <c r="P12" s="112">
        <v>215742.48</v>
      </c>
      <c r="Q12" s="112">
        <v>2652223.37</v>
      </c>
    </row>
    <row r="13" spans="1:17" ht="15" thickBot="1" x14ac:dyDescent="0.25">
      <c r="A13" s="110" t="s">
        <v>50</v>
      </c>
      <c r="B13" s="111"/>
      <c r="C13" s="111"/>
      <c r="D13" s="127" t="s">
        <v>69</v>
      </c>
      <c r="E13" s="113">
        <v>3662914.589999998</v>
      </c>
      <c r="F13" s="113">
        <v>3489015.0099999979</v>
      </c>
      <c r="G13" s="113">
        <v>4237410.7900000019</v>
      </c>
      <c r="H13" s="113">
        <v>4124130.370000001</v>
      </c>
      <c r="I13" s="113">
        <v>4204743.3500000015</v>
      </c>
      <c r="J13" s="113">
        <v>4139409.1800000016</v>
      </c>
      <c r="K13" s="113">
        <v>4218541.05</v>
      </c>
      <c r="L13" s="113">
        <v>3773614.5199999996</v>
      </c>
      <c r="M13" s="113">
        <v>4209385.8199999975</v>
      </c>
      <c r="N13" s="113">
        <v>4449529.0399999972</v>
      </c>
      <c r="O13" s="113">
        <v>3986137.4000000022</v>
      </c>
      <c r="P13" s="113">
        <v>4002856.549999998</v>
      </c>
      <c r="Q13" s="113">
        <v>48497687.670000002</v>
      </c>
    </row>
    <row r="14" spans="1:17" ht="15" x14ac:dyDescent="0.25">
      <c r="A14" s="114"/>
      <c r="B14" s="115" t="s">
        <v>59</v>
      </c>
      <c r="C14" s="116"/>
      <c r="D14" s="117"/>
      <c r="E14" s="118">
        <v>7385550.9399999985</v>
      </c>
      <c r="F14" s="118">
        <v>6972105.9999999981</v>
      </c>
      <c r="G14" s="118">
        <v>8853761.7000000011</v>
      </c>
      <c r="H14" s="118">
        <v>8591379.1000000015</v>
      </c>
      <c r="I14" s="118">
        <v>8626873.3600000013</v>
      </c>
      <c r="J14" s="118">
        <v>8447567.2800000012</v>
      </c>
      <c r="K14" s="118">
        <v>8735706.2699999996</v>
      </c>
      <c r="L14" s="118">
        <v>7547385.3599999994</v>
      </c>
      <c r="M14" s="118">
        <v>8316060.9199999971</v>
      </c>
      <c r="N14" s="118">
        <v>8880464.1099999975</v>
      </c>
      <c r="O14" s="118">
        <v>8011352.2100000028</v>
      </c>
      <c r="P14" s="118">
        <v>8047733.7599999979</v>
      </c>
      <c r="Q14" s="118">
        <v>98415941.01000002</v>
      </c>
    </row>
    <row r="15" spans="1:17" ht="15" x14ac:dyDescent="0.25">
      <c r="A15" s="114"/>
      <c r="B15" s="119"/>
      <c r="C15" s="116"/>
      <c r="D15" s="117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0"/>
    </row>
    <row r="16" spans="1:17" x14ac:dyDescent="0.2">
      <c r="A16" s="121" t="s">
        <v>67</v>
      </c>
      <c r="B16" s="111"/>
      <c r="C16" s="111"/>
      <c r="D16" s="111"/>
      <c r="E16" s="129"/>
      <c r="F16" s="129"/>
      <c r="G16" s="129"/>
      <c r="H16" s="129"/>
      <c r="I16" s="129"/>
      <c r="J16" s="130"/>
      <c r="K16" s="129"/>
      <c r="L16" s="129"/>
      <c r="M16" s="129"/>
      <c r="N16" s="129"/>
      <c r="O16" s="129"/>
      <c r="P16" s="122"/>
      <c r="Q16" s="131"/>
    </row>
    <row r="17" spans="1:17" x14ac:dyDescent="0.2">
      <c r="A17" s="132"/>
      <c r="B17" s="123"/>
      <c r="C17" s="123"/>
      <c r="D17" s="12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4"/>
    </row>
  </sheetData>
  <mergeCells count="1">
    <mergeCell ref="D5:D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Q17"/>
  <sheetViews>
    <sheetView zoomScale="80" zoomScaleNormal="80" zoomScaleSheetLayoutView="75" workbookViewId="0"/>
  </sheetViews>
  <sheetFormatPr baseColWidth="10" defaultColWidth="12.5703125" defaultRowHeight="14.25" x14ac:dyDescent="0.2"/>
  <cols>
    <col min="1" max="2" width="17.5703125" style="96" customWidth="1"/>
    <col min="3" max="3" width="11" style="96" customWidth="1"/>
    <col min="4" max="4" width="9.42578125" style="96" customWidth="1"/>
    <col min="5" max="17" width="17.5703125" style="96" customWidth="1"/>
    <col min="18" max="16384" width="12.5703125" style="96"/>
  </cols>
  <sheetData>
    <row r="1" spans="1:17" ht="15.75" x14ac:dyDescent="0.25">
      <c r="A1" s="45" t="s">
        <v>0</v>
      </c>
      <c r="Q1" s="97"/>
    </row>
    <row r="2" spans="1:17" ht="15" x14ac:dyDescent="0.25">
      <c r="A2" s="98" t="s">
        <v>54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</row>
    <row r="3" spans="1:17" ht="15" x14ac:dyDescent="0.25">
      <c r="A3" s="98" t="s">
        <v>55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</row>
    <row r="4" spans="1:17" ht="15" x14ac:dyDescent="0.25">
      <c r="A4" s="99" t="s">
        <v>30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</row>
    <row r="5" spans="1:17" ht="15" x14ac:dyDescent="0.25">
      <c r="A5" s="100" t="s">
        <v>46</v>
      </c>
      <c r="B5" s="101"/>
      <c r="C5" s="101"/>
      <c r="D5" s="149" t="s">
        <v>52</v>
      </c>
      <c r="E5" s="124" t="s">
        <v>122</v>
      </c>
      <c r="F5" s="125" t="s">
        <v>123</v>
      </c>
      <c r="G5" s="125" t="s">
        <v>124</v>
      </c>
      <c r="H5" s="125" t="s">
        <v>125</v>
      </c>
      <c r="I5" s="125" t="s">
        <v>126</v>
      </c>
      <c r="J5" s="125" t="s">
        <v>127</v>
      </c>
      <c r="K5" s="125" t="s">
        <v>128</v>
      </c>
      <c r="L5" s="125" t="s">
        <v>129</v>
      </c>
      <c r="M5" s="125" t="s">
        <v>130</v>
      </c>
      <c r="N5" s="125" t="s">
        <v>131</v>
      </c>
      <c r="O5" s="125" t="s">
        <v>132</v>
      </c>
      <c r="P5" s="125" t="s">
        <v>133</v>
      </c>
      <c r="Q5" s="102" t="s">
        <v>48</v>
      </c>
    </row>
    <row r="6" spans="1:17" x14ac:dyDescent="0.2">
      <c r="A6" s="126" t="s">
        <v>47</v>
      </c>
      <c r="B6" s="103"/>
      <c r="C6" s="103"/>
      <c r="D6" s="150"/>
      <c r="E6" s="104">
        <v>40226</v>
      </c>
      <c r="F6" s="104">
        <v>40254</v>
      </c>
      <c r="G6" s="104">
        <v>40289</v>
      </c>
      <c r="H6" s="104">
        <v>40317</v>
      </c>
      <c r="I6" s="104">
        <v>40346</v>
      </c>
      <c r="J6" s="104">
        <v>40378</v>
      </c>
      <c r="K6" s="104">
        <v>40408</v>
      </c>
      <c r="L6" s="104">
        <v>40438</v>
      </c>
      <c r="M6" s="104">
        <v>40471</v>
      </c>
      <c r="N6" s="104">
        <v>40500</v>
      </c>
      <c r="O6" s="104">
        <v>40532</v>
      </c>
      <c r="P6" s="104">
        <v>40562</v>
      </c>
      <c r="Q6" s="105">
        <v>2010</v>
      </c>
    </row>
    <row r="7" spans="1:17" x14ac:dyDescent="0.2">
      <c r="A7" s="106"/>
      <c r="B7" s="107"/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</row>
    <row r="8" spans="1:17" x14ac:dyDescent="0.2">
      <c r="A8" s="110" t="s">
        <v>63</v>
      </c>
      <c r="B8" s="111"/>
      <c r="C8" s="111"/>
      <c r="D8" s="127" t="s">
        <v>72</v>
      </c>
      <c r="E8" s="112">
        <v>3028978.97</v>
      </c>
      <c r="F8" s="112">
        <v>2626503.1100000003</v>
      </c>
      <c r="G8" s="112">
        <v>2838287.8000000003</v>
      </c>
      <c r="H8" s="112">
        <v>2907310.4</v>
      </c>
      <c r="I8" s="112">
        <v>2803142.25</v>
      </c>
      <c r="J8" s="112">
        <v>2831702.5</v>
      </c>
      <c r="K8" s="112">
        <v>2790723.9899999998</v>
      </c>
      <c r="L8" s="112">
        <v>2869179.67</v>
      </c>
      <c r="M8" s="112">
        <v>2590255.7217000001</v>
      </c>
      <c r="N8" s="112">
        <v>2953136.75</v>
      </c>
      <c r="O8" s="112">
        <v>2805067.4899999998</v>
      </c>
      <c r="P8" s="112">
        <v>2990172.36</v>
      </c>
      <c r="Q8" s="112">
        <v>34034461.011699997</v>
      </c>
    </row>
    <row r="9" spans="1:17" x14ac:dyDescent="0.2">
      <c r="A9" s="110" t="s">
        <v>70</v>
      </c>
      <c r="B9" s="111"/>
      <c r="C9" s="111"/>
      <c r="D9" s="127" t="s">
        <v>71</v>
      </c>
      <c r="E9" s="112">
        <v>88260.08</v>
      </c>
      <c r="F9" s="112">
        <v>78392.36</v>
      </c>
      <c r="G9" s="112">
        <v>86514.86</v>
      </c>
      <c r="H9" s="112">
        <v>68759.83</v>
      </c>
      <c r="I9" s="112">
        <v>75898.7</v>
      </c>
      <c r="J9" s="112">
        <v>88012.73</v>
      </c>
      <c r="K9" s="112">
        <v>71285.119999999995</v>
      </c>
      <c r="L9" s="112">
        <v>88719.88</v>
      </c>
      <c r="M9" s="112">
        <v>62849.08830000001</v>
      </c>
      <c r="N9" s="112">
        <v>81353.59</v>
      </c>
      <c r="O9" s="112">
        <v>68956.27</v>
      </c>
      <c r="P9" s="112">
        <v>60272.81</v>
      </c>
      <c r="Q9" s="112">
        <v>919275.31829999993</v>
      </c>
    </row>
    <row r="10" spans="1:17" x14ac:dyDescent="0.2">
      <c r="A10" s="110" t="s">
        <v>65</v>
      </c>
      <c r="B10" s="111"/>
      <c r="C10" s="111"/>
      <c r="D10" s="127">
        <v>2.5000000000000001E-2</v>
      </c>
      <c r="E10" s="112">
        <v>191394.51</v>
      </c>
      <c r="F10" s="112">
        <v>166916.07999999999</v>
      </c>
      <c r="G10" s="112">
        <v>181360.39</v>
      </c>
      <c r="H10" s="112">
        <v>175380.81</v>
      </c>
      <c r="I10" s="112">
        <v>174102.96</v>
      </c>
      <c r="J10" s="112">
        <v>181684.71</v>
      </c>
      <c r="K10" s="112">
        <v>171170.18</v>
      </c>
      <c r="L10" s="112">
        <v>183841.09</v>
      </c>
      <c r="M10" s="112">
        <v>157149.23000000001</v>
      </c>
      <c r="N10" s="112">
        <v>184179.55</v>
      </c>
      <c r="O10" s="112">
        <v>170445.59</v>
      </c>
      <c r="P10" s="112">
        <v>175124.67</v>
      </c>
      <c r="Q10" s="112">
        <v>2112749.77</v>
      </c>
    </row>
    <row r="11" spans="1:17" x14ac:dyDescent="0.2">
      <c r="A11" s="110" t="s">
        <v>85</v>
      </c>
      <c r="B11" s="111"/>
      <c r="C11" s="111"/>
      <c r="D11" s="127">
        <v>2.5000000000000001E-2</v>
      </c>
      <c r="E11" s="112">
        <v>191394.51</v>
      </c>
      <c r="F11" s="112">
        <v>166916.07999999999</v>
      </c>
      <c r="G11" s="112">
        <v>181360.39</v>
      </c>
      <c r="H11" s="112">
        <v>175380.81</v>
      </c>
      <c r="I11" s="112">
        <v>174102.96</v>
      </c>
      <c r="J11" s="112">
        <v>181684.71</v>
      </c>
      <c r="K11" s="112">
        <v>171170.18</v>
      </c>
      <c r="L11" s="112">
        <v>183841.09</v>
      </c>
      <c r="M11" s="112">
        <v>157149.23000000001</v>
      </c>
      <c r="N11" s="112">
        <v>184179.55</v>
      </c>
      <c r="O11" s="112">
        <v>170445.59</v>
      </c>
      <c r="P11" s="112">
        <v>175124.67</v>
      </c>
      <c r="Q11" s="112">
        <v>2112749.77</v>
      </c>
    </row>
    <row r="12" spans="1:17" x14ac:dyDescent="0.2">
      <c r="A12" s="110" t="s">
        <v>66</v>
      </c>
      <c r="B12" s="111"/>
      <c r="C12" s="111"/>
      <c r="D12" s="127" t="s">
        <v>68</v>
      </c>
      <c r="E12" s="112">
        <v>200253.39</v>
      </c>
      <c r="F12" s="112">
        <v>174168.51</v>
      </c>
      <c r="G12" s="112">
        <v>188794.19</v>
      </c>
      <c r="H12" s="112">
        <v>187537.03</v>
      </c>
      <c r="I12" s="112">
        <v>183623.98</v>
      </c>
      <c r="J12" s="112">
        <v>188684.07</v>
      </c>
      <c r="K12" s="112">
        <v>181642.51</v>
      </c>
      <c r="L12" s="112">
        <v>191036.02</v>
      </c>
      <c r="M12" s="112">
        <v>167629.38</v>
      </c>
      <c r="N12" s="112">
        <v>193897.60000000001</v>
      </c>
      <c r="O12" s="112">
        <v>181549.29</v>
      </c>
      <c r="P12" s="112">
        <v>190058.66999999998</v>
      </c>
      <c r="Q12" s="112">
        <v>2228874.64</v>
      </c>
    </row>
    <row r="13" spans="1:17" ht="15" thickBot="1" x14ac:dyDescent="0.25">
      <c r="A13" s="110" t="s">
        <v>50</v>
      </c>
      <c r="B13" s="111"/>
      <c r="C13" s="111"/>
      <c r="D13" s="127" t="s">
        <v>69</v>
      </c>
      <c r="E13" s="113">
        <v>3955499.13</v>
      </c>
      <c r="F13" s="113">
        <v>3463747.13</v>
      </c>
      <c r="G13" s="113">
        <v>3778098.03</v>
      </c>
      <c r="H13" s="113">
        <v>3500863.58</v>
      </c>
      <c r="I13" s="113">
        <v>3553247.51</v>
      </c>
      <c r="J13" s="113">
        <v>3795619.57</v>
      </c>
      <c r="K13" s="113">
        <v>3460815.24</v>
      </c>
      <c r="L13" s="113">
        <v>3837025.99</v>
      </c>
      <c r="M13" s="113">
        <v>3150936.62</v>
      </c>
      <c r="N13" s="113">
        <v>3770434.89</v>
      </c>
      <c r="O13" s="113">
        <v>3421359.51</v>
      </c>
      <c r="P13" s="113">
        <v>3414233.55</v>
      </c>
      <c r="Q13" s="113">
        <v>43101880.749999993</v>
      </c>
    </row>
    <row r="14" spans="1:17" ht="15" x14ac:dyDescent="0.25">
      <c r="A14" s="114"/>
      <c r="B14" s="115" t="s">
        <v>59</v>
      </c>
      <c r="C14" s="116"/>
      <c r="D14" s="117"/>
      <c r="E14" s="118">
        <v>7655780.5899999999</v>
      </c>
      <c r="F14" s="118">
        <v>6676643.2700000005</v>
      </c>
      <c r="G14" s="118">
        <v>7254415.6600000001</v>
      </c>
      <c r="H14" s="118">
        <v>7015232.46</v>
      </c>
      <c r="I14" s="118">
        <v>6964118.3599999994</v>
      </c>
      <c r="J14" s="118">
        <v>7267388.2899999991</v>
      </c>
      <c r="K14" s="118">
        <v>6846807.2200000007</v>
      </c>
      <c r="L14" s="118">
        <v>7353643.7400000002</v>
      </c>
      <c r="M14" s="118">
        <v>6285969.2699999996</v>
      </c>
      <c r="N14" s="118">
        <v>7367181.9299999997</v>
      </c>
      <c r="O14" s="118">
        <v>6817823.7399999993</v>
      </c>
      <c r="P14" s="118">
        <v>7004986.7299999995</v>
      </c>
      <c r="Q14" s="118">
        <v>84509991.25999999</v>
      </c>
    </row>
    <row r="15" spans="1:17" ht="15" x14ac:dyDescent="0.25">
      <c r="A15" s="114"/>
      <c r="B15" s="119"/>
      <c r="C15" s="116"/>
      <c r="D15" s="117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0"/>
    </row>
    <row r="16" spans="1:17" x14ac:dyDescent="0.2">
      <c r="A16" s="121" t="s">
        <v>67</v>
      </c>
      <c r="B16" s="111"/>
      <c r="C16" s="111"/>
      <c r="D16" s="111"/>
      <c r="E16" s="129"/>
      <c r="F16" s="129"/>
      <c r="G16" s="129"/>
      <c r="H16" s="129"/>
      <c r="I16" s="129"/>
      <c r="J16" s="130"/>
      <c r="K16" s="129"/>
      <c r="L16" s="129"/>
      <c r="M16" s="129"/>
      <c r="N16" s="129"/>
      <c r="O16" s="129"/>
      <c r="P16" s="122"/>
      <c r="Q16" s="131"/>
    </row>
    <row r="17" spans="1:17" x14ac:dyDescent="0.2">
      <c r="A17" s="132"/>
      <c r="B17" s="123"/>
      <c r="C17" s="123"/>
      <c r="D17" s="12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4"/>
    </row>
  </sheetData>
  <mergeCells count="1">
    <mergeCell ref="D5:D6"/>
  </mergeCells>
  <phoneticPr fontId="0" type="noConversion"/>
  <printOptions horizontalCentered="1" verticalCentered="1"/>
  <pageMargins left="0.59055118110236227" right="0.59055118110236227" top="0.59055118110236227" bottom="1" header="0" footer="0"/>
  <pageSetup paperSize="9" scale="47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Q17"/>
  <sheetViews>
    <sheetView zoomScale="80" zoomScaleNormal="80" zoomScaleSheetLayoutView="75" workbookViewId="0"/>
  </sheetViews>
  <sheetFormatPr baseColWidth="10" defaultColWidth="12.5703125" defaultRowHeight="14.25" x14ac:dyDescent="0.2"/>
  <cols>
    <col min="1" max="2" width="17.5703125" style="96" customWidth="1"/>
    <col min="3" max="3" width="11" style="96" customWidth="1"/>
    <col min="4" max="4" width="9.42578125" style="96" customWidth="1"/>
    <col min="5" max="17" width="17.5703125" style="96" customWidth="1"/>
    <col min="18" max="16384" width="12.5703125" style="96"/>
  </cols>
  <sheetData>
    <row r="1" spans="1:17" ht="15.75" x14ac:dyDescent="0.25">
      <c r="A1" s="45" t="s">
        <v>0</v>
      </c>
      <c r="Q1" s="97"/>
    </row>
    <row r="2" spans="1:17" ht="15" x14ac:dyDescent="0.25">
      <c r="A2" s="98" t="s">
        <v>54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</row>
    <row r="3" spans="1:17" ht="15" x14ac:dyDescent="0.25">
      <c r="A3" s="98" t="s">
        <v>55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</row>
    <row r="4" spans="1:17" ht="15" x14ac:dyDescent="0.25">
      <c r="A4" s="99" t="s">
        <v>30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</row>
    <row r="5" spans="1:17" ht="15" x14ac:dyDescent="0.25">
      <c r="A5" s="100" t="s">
        <v>46</v>
      </c>
      <c r="B5" s="101"/>
      <c r="C5" s="101"/>
      <c r="D5" s="149" t="s">
        <v>52</v>
      </c>
      <c r="E5" s="124" t="s">
        <v>134</v>
      </c>
      <c r="F5" s="125" t="s">
        <v>135</v>
      </c>
      <c r="G5" s="125" t="s">
        <v>136</v>
      </c>
      <c r="H5" s="125" t="s">
        <v>137</v>
      </c>
      <c r="I5" s="125" t="s">
        <v>138</v>
      </c>
      <c r="J5" s="125" t="s">
        <v>139</v>
      </c>
      <c r="K5" s="125" t="s">
        <v>140</v>
      </c>
      <c r="L5" s="125" t="s">
        <v>141</v>
      </c>
      <c r="M5" s="125" t="s">
        <v>142</v>
      </c>
      <c r="N5" s="125" t="s">
        <v>143</v>
      </c>
      <c r="O5" s="125" t="s">
        <v>144</v>
      </c>
      <c r="P5" s="125" t="s">
        <v>145</v>
      </c>
      <c r="Q5" s="102" t="s">
        <v>48</v>
      </c>
    </row>
    <row r="6" spans="1:17" x14ac:dyDescent="0.2">
      <c r="A6" s="126" t="s">
        <v>47</v>
      </c>
      <c r="B6" s="103"/>
      <c r="C6" s="103"/>
      <c r="D6" s="150"/>
      <c r="E6" s="104">
        <v>39864</v>
      </c>
      <c r="F6" s="104">
        <v>39892</v>
      </c>
      <c r="G6" s="104">
        <v>39926</v>
      </c>
      <c r="H6" s="104">
        <v>39955</v>
      </c>
      <c r="I6" s="104">
        <v>39983</v>
      </c>
      <c r="J6" s="104">
        <v>40015</v>
      </c>
      <c r="K6" s="104">
        <v>40046</v>
      </c>
      <c r="L6" s="104">
        <v>40077</v>
      </c>
      <c r="M6" s="104">
        <v>40107</v>
      </c>
      <c r="N6" s="104">
        <v>40137</v>
      </c>
      <c r="O6" s="104">
        <v>40169</v>
      </c>
      <c r="P6" s="104">
        <v>40200</v>
      </c>
      <c r="Q6" s="105">
        <v>2009</v>
      </c>
    </row>
    <row r="7" spans="1:17" x14ac:dyDescent="0.2">
      <c r="A7" s="106"/>
      <c r="B7" s="107"/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</row>
    <row r="8" spans="1:17" x14ac:dyDescent="0.2">
      <c r="A8" s="110" t="s">
        <v>63</v>
      </c>
      <c r="B8" s="111"/>
      <c r="C8" s="111"/>
      <c r="D8" s="127" t="s">
        <v>72</v>
      </c>
      <c r="E8" s="112">
        <v>1919791.1500000001</v>
      </c>
      <c r="F8" s="112">
        <v>1650052.52</v>
      </c>
      <c r="G8" s="112">
        <v>1920350.31</v>
      </c>
      <c r="H8" s="112">
        <v>1847552.71</v>
      </c>
      <c r="I8" s="112">
        <v>1862708.3599999999</v>
      </c>
      <c r="J8" s="112">
        <v>2230688.38</v>
      </c>
      <c r="K8" s="112">
        <v>2730770.96</v>
      </c>
      <c r="L8" s="112">
        <v>2899902.29</v>
      </c>
      <c r="M8" s="112">
        <v>2693238.02</v>
      </c>
      <c r="N8" s="112">
        <v>2970764.97</v>
      </c>
      <c r="O8" s="112">
        <v>2770187.79</v>
      </c>
      <c r="P8" s="112">
        <v>2880943.29</v>
      </c>
      <c r="Q8" s="112">
        <v>28376950.749999996</v>
      </c>
    </row>
    <row r="9" spans="1:17" x14ac:dyDescent="0.2">
      <c r="A9" s="110" t="s">
        <v>70</v>
      </c>
      <c r="B9" s="111"/>
      <c r="C9" s="111"/>
      <c r="D9" s="127" t="s">
        <v>71</v>
      </c>
      <c r="E9" s="112">
        <v>74527.360000000001</v>
      </c>
      <c r="F9" s="112">
        <v>64393.61</v>
      </c>
      <c r="G9" s="112">
        <v>67830.48</v>
      </c>
      <c r="H9" s="112">
        <v>58065.56</v>
      </c>
      <c r="I9" s="112">
        <v>74891.28</v>
      </c>
      <c r="J9" s="112">
        <v>86243.41</v>
      </c>
      <c r="K9" s="112">
        <v>94313.78</v>
      </c>
      <c r="L9" s="112">
        <v>100959.8</v>
      </c>
      <c r="M9" s="112">
        <v>90999.57</v>
      </c>
      <c r="N9" s="112">
        <v>98445.8</v>
      </c>
      <c r="O9" s="112">
        <v>79418.740000000005</v>
      </c>
      <c r="P9" s="112">
        <v>73697.64</v>
      </c>
      <c r="Q9" s="112">
        <v>963787.03000000014</v>
      </c>
    </row>
    <row r="10" spans="1:17" x14ac:dyDescent="0.2">
      <c r="A10" s="110" t="s">
        <v>65</v>
      </c>
      <c r="B10" s="111"/>
      <c r="C10" s="111"/>
      <c r="D10" s="127">
        <v>2.5000000000000001E-2</v>
      </c>
      <c r="E10" s="112">
        <v>130641.04</v>
      </c>
      <c r="F10" s="112">
        <v>112657.8</v>
      </c>
      <c r="G10" s="112">
        <v>127381.78</v>
      </c>
      <c r="H10" s="112">
        <v>118813.24</v>
      </c>
      <c r="I10" s="112">
        <v>128379.88</v>
      </c>
      <c r="J10" s="112">
        <v>151658.07</v>
      </c>
      <c r="K10" s="112">
        <v>180206.4</v>
      </c>
      <c r="L10" s="112">
        <v>191701.92</v>
      </c>
      <c r="M10" s="112">
        <v>176480.3</v>
      </c>
      <c r="N10" s="112">
        <v>193828.5</v>
      </c>
      <c r="O10" s="112">
        <v>174384.17</v>
      </c>
      <c r="P10" s="112">
        <v>176631.55</v>
      </c>
      <c r="Q10" s="112">
        <v>1862764.6500000001</v>
      </c>
    </row>
    <row r="11" spans="1:17" x14ac:dyDescent="0.2">
      <c r="A11" s="110" t="s">
        <v>85</v>
      </c>
      <c r="B11" s="111"/>
      <c r="C11" s="111"/>
      <c r="D11" s="127">
        <v>2.5000000000000001E-2</v>
      </c>
      <c r="E11" s="112">
        <v>130641.04</v>
      </c>
      <c r="F11" s="112">
        <v>112657.8</v>
      </c>
      <c r="G11" s="112">
        <v>127381.78</v>
      </c>
      <c r="H11" s="112">
        <v>118813.24</v>
      </c>
      <c r="I11" s="112">
        <v>128379.88</v>
      </c>
      <c r="J11" s="112">
        <v>151658.07</v>
      </c>
      <c r="K11" s="112">
        <v>180206.4</v>
      </c>
      <c r="L11" s="112">
        <v>191701.92</v>
      </c>
      <c r="M11" s="112">
        <v>176480.3</v>
      </c>
      <c r="N11" s="112">
        <v>193828.5</v>
      </c>
      <c r="O11" s="112">
        <v>174384.17</v>
      </c>
      <c r="P11" s="112">
        <v>176631.55</v>
      </c>
      <c r="Q11" s="112">
        <v>1862764.6500000001</v>
      </c>
    </row>
    <row r="12" spans="1:17" x14ac:dyDescent="0.2">
      <c r="A12" s="110" t="s">
        <v>66</v>
      </c>
      <c r="B12" s="111"/>
      <c r="C12" s="111"/>
      <c r="D12" s="127" t="s">
        <v>68</v>
      </c>
      <c r="E12" s="112">
        <v>131926.79999999999</v>
      </c>
      <c r="F12" s="112">
        <v>113724.83</v>
      </c>
      <c r="G12" s="112">
        <v>130247.98</v>
      </c>
      <c r="H12" s="112">
        <v>123220.7</v>
      </c>
      <c r="I12" s="112">
        <v>129092.1</v>
      </c>
      <c r="J12" s="112">
        <v>153241.89000000001</v>
      </c>
      <c r="K12" s="112">
        <v>184809.75</v>
      </c>
      <c r="L12" s="112">
        <v>196389.03</v>
      </c>
      <c r="M12" s="112">
        <v>181443.18</v>
      </c>
      <c r="N12" s="112">
        <v>199778.94</v>
      </c>
      <c r="O12" s="112">
        <v>182788.09</v>
      </c>
      <c r="P12" s="112">
        <v>187391.98</v>
      </c>
      <c r="Q12" s="112">
        <v>1914055.27</v>
      </c>
    </row>
    <row r="13" spans="1:17" ht="15" thickBot="1" x14ac:dyDescent="0.25">
      <c r="A13" s="110" t="s">
        <v>50</v>
      </c>
      <c r="B13" s="111"/>
      <c r="C13" s="111"/>
      <c r="D13" s="127" t="s">
        <v>69</v>
      </c>
      <c r="E13" s="113">
        <v>2838114.37</v>
      </c>
      <c r="F13" s="113">
        <v>2452825.4900000002</v>
      </c>
      <c r="G13" s="113">
        <v>2722079.01</v>
      </c>
      <c r="H13" s="113">
        <v>2486064.2200000002</v>
      </c>
      <c r="I13" s="113">
        <v>2811743.68</v>
      </c>
      <c r="J13" s="113">
        <v>3292833.1</v>
      </c>
      <c r="K13" s="113">
        <v>3837948.69</v>
      </c>
      <c r="L13" s="113">
        <v>4087421.65</v>
      </c>
      <c r="M13" s="113">
        <v>3740570.7</v>
      </c>
      <c r="N13" s="113">
        <v>4096493.46</v>
      </c>
      <c r="O13" s="113">
        <v>3594204.01</v>
      </c>
      <c r="P13" s="113">
        <v>3569965.85</v>
      </c>
      <c r="Q13" s="113">
        <v>39530264.229999997</v>
      </c>
    </row>
    <row r="14" spans="1:17" ht="15" x14ac:dyDescent="0.25">
      <c r="A14" s="114"/>
      <c r="B14" s="115" t="s">
        <v>59</v>
      </c>
      <c r="C14" s="116"/>
      <c r="D14" s="117"/>
      <c r="E14" s="118">
        <v>5225641.76</v>
      </c>
      <c r="F14" s="118">
        <v>4506312.0500000007</v>
      </c>
      <c r="G14" s="118">
        <v>5095271.34</v>
      </c>
      <c r="H14" s="118">
        <v>4752529.67</v>
      </c>
      <c r="I14" s="118">
        <v>5135195.18</v>
      </c>
      <c r="J14" s="118">
        <v>6066322.9199999999</v>
      </c>
      <c r="K14" s="118">
        <v>7208255.9799999995</v>
      </c>
      <c r="L14" s="118">
        <v>7668076.6099999994</v>
      </c>
      <c r="M14" s="118">
        <v>7059212.0700000003</v>
      </c>
      <c r="N14" s="118">
        <v>7753140.1699999999</v>
      </c>
      <c r="O14" s="118">
        <v>6975366.9699999997</v>
      </c>
      <c r="P14" s="118">
        <v>7065261.8599999994</v>
      </c>
      <c r="Q14" s="118">
        <v>74510586.579999998</v>
      </c>
    </row>
    <row r="15" spans="1:17" ht="15" x14ac:dyDescent="0.25">
      <c r="A15" s="114"/>
      <c r="B15" s="119"/>
      <c r="C15" s="116"/>
      <c r="D15" s="117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0"/>
    </row>
    <row r="16" spans="1:17" x14ac:dyDescent="0.2">
      <c r="A16" s="121" t="s">
        <v>67</v>
      </c>
      <c r="B16" s="111"/>
      <c r="C16" s="111"/>
      <c r="D16" s="111"/>
      <c r="E16" s="129"/>
      <c r="F16" s="129"/>
      <c r="G16" s="129"/>
      <c r="H16" s="129"/>
      <c r="I16" s="129"/>
      <c r="J16" s="130"/>
      <c r="K16" s="129"/>
      <c r="L16" s="129"/>
      <c r="M16" s="129"/>
      <c r="N16" s="129"/>
      <c r="O16" s="129"/>
      <c r="P16" s="122"/>
      <c r="Q16" s="131"/>
    </row>
    <row r="17" spans="1:17" x14ac:dyDescent="0.2">
      <c r="A17" s="132"/>
      <c r="B17" s="123"/>
      <c r="C17" s="123"/>
      <c r="D17" s="12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4"/>
    </row>
  </sheetData>
  <mergeCells count="1">
    <mergeCell ref="D5:D6"/>
  </mergeCells>
  <phoneticPr fontId="0" type="noConversion"/>
  <printOptions horizontalCentered="1" verticalCentered="1"/>
  <pageMargins left="0.59055118110236227" right="0.59055118110236227" top="0.59055118110236227" bottom="1" header="0" footer="0"/>
  <pageSetup paperSize="9" scale="47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Q17"/>
  <sheetViews>
    <sheetView zoomScale="80" zoomScaleNormal="80" zoomScaleSheetLayoutView="75" workbookViewId="0"/>
  </sheetViews>
  <sheetFormatPr baseColWidth="10" defaultColWidth="12.5703125" defaultRowHeight="14.25" x14ac:dyDescent="0.2"/>
  <cols>
    <col min="1" max="2" width="17.5703125" style="96" customWidth="1"/>
    <col min="3" max="3" width="11" style="96" customWidth="1"/>
    <col min="4" max="4" width="9.42578125" style="96" customWidth="1"/>
    <col min="5" max="17" width="17.5703125" style="96" customWidth="1"/>
    <col min="18" max="16384" width="12.5703125" style="96"/>
  </cols>
  <sheetData>
    <row r="1" spans="1:17" ht="15.75" x14ac:dyDescent="0.25">
      <c r="A1" s="45" t="s">
        <v>0</v>
      </c>
      <c r="Q1" s="97"/>
    </row>
    <row r="2" spans="1:17" ht="15" x14ac:dyDescent="0.25">
      <c r="A2" s="98" t="s">
        <v>54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</row>
    <row r="3" spans="1:17" ht="15" x14ac:dyDescent="0.25">
      <c r="A3" s="98" t="s">
        <v>55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</row>
    <row r="4" spans="1:17" ht="15" x14ac:dyDescent="0.25">
      <c r="A4" s="99" t="s">
        <v>30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</row>
    <row r="5" spans="1:17" ht="15" x14ac:dyDescent="0.25">
      <c r="A5" s="100" t="s">
        <v>46</v>
      </c>
      <c r="B5" s="101"/>
      <c r="C5" s="101"/>
      <c r="D5" s="149" t="s">
        <v>52</v>
      </c>
      <c r="E5" s="124" t="s">
        <v>146</v>
      </c>
      <c r="F5" s="125" t="s">
        <v>147</v>
      </c>
      <c r="G5" s="125" t="s">
        <v>148</v>
      </c>
      <c r="H5" s="125" t="s">
        <v>149</v>
      </c>
      <c r="I5" s="125" t="s">
        <v>150</v>
      </c>
      <c r="J5" s="125" t="s">
        <v>151</v>
      </c>
      <c r="K5" s="125" t="s">
        <v>152</v>
      </c>
      <c r="L5" s="125" t="s">
        <v>153</v>
      </c>
      <c r="M5" s="125" t="s">
        <v>154</v>
      </c>
      <c r="N5" s="125" t="s">
        <v>155</v>
      </c>
      <c r="O5" s="125" t="s">
        <v>156</v>
      </c>
      <c r="P5" s="125" t="s">
        <v>157</v>
      </c>
      <c r="Q5" s="102" t="s">
        <v>48</v>
      </c>
    </row>
    <row r="6" spans="1:17" x14ac:dyDescent="0.2">
      <c r="A6" s="126" t="s">
        <v>47</v>
      </c>
      <c r="B6" s="103"/>
      <c r="C6" s="103"/>
      <c r="D6" s="150"/>
      <c r="E6" s="104">
        <v>39499</v>
      </c>
      <c r="F6" s="104">
        <v>39532</v>
      </c>
      <c r="G6" s="104">
        <v>39559</v>
      </c>
      <c r="H6" s="104">
        <v>39590</v>
      </c>
      <c r="I6" s="104">
        <v>39619</v>
      </c>
      <c r="J6" s="104">
        <v>39650</v>
      </c>
      <c r="K6" s="104">
        <v>39681</v>
      </c>
      <c r="L6" s="104">
        <v>39710</v>
      </c>
      <c r="M6" s="104">
        <v>39743</v>
      </c>
      <c r="N6" s="104">
        <v>39771</v>
      </c>
      <c r="O6" s="104">
        <v>39804</v>
      </c>
      <c r="P6" s="104">
        <v>39835</v>
      </c>
      <c r="Q6" s="105">
        <v>2008</v>
      </c>
    </row>
    <row r="7" spans="1:17" x14ac:dyDescent="0.2">
      <c r="A7" s="106"/>
      <c r="B7" s="107"/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</row>
    <row r="8" spans="1:17" x14ac:dyDescent="0.2">
      <c r="A8" s="110" t="s">
        <v>63</v>
      </c>
      <c r="B8" s="111"/>
      <c r="C8" s="111"/>
      <c r="D8" s="127" t="s">
        <v>72</v>
      </c>
      <c r="E8" s="112">
        <v>4153318.03</v>
      </c>
      <c r="F8" s="112">
        <v>3865502.54</v>
      </c>
      <c r="G8" s="112">
        <v>3607327.95</v>
      </c>
      <c r="H8" s="112">
        <v>4612001.26</v>
      </c>
      <c r="I8" s="112">
        <v>5398773.9299999997</v>
      </c>
      <c r="J8" s="112">
        <v>5469132.3200000003</v>
      </c>
      <c r="K8" s="112">
        <v>6008869.2999999998</v>
      </c>
      <c r="L8" s="112">
        <v>5258832.57</v>
      </c>
      <c r="M8" s="112">
        <v>4672502.3</v>
      </c>
      <c r="N8" s="112">
        <v>3219566.7199999997</v>
      </c>
      <c r="O8" s="112">
        <v>2265633.73</v>
      </c>
      <c r="P8" s="112">
        <v>1934436.4</v>
      </c>
      <c r="Q8" s="112">
        <v>50465897.049999997</v>
      </c>
    </row>
    <row r="9" spans="1:17" x14ac:dyDescent="0.2">
      <c r="A9" s="110" t="s">
        <v>70</v>
      </c>
      <c r="B9" s="111"/>
      <c r="C9" s="111"/>
      <c r="D9" s="127" t="s">
        <v>71</v>
      </c>
      <c r="E9" s="112">
        <v>95121.09</v>
      </c>
      <c r="F9" s="112">
        <v>84022.37</v>
      </c>
      <c r="G9" s="112">
        <v>90945.83</v>
      </c>
      <c r="H9" s="112">
        <v>99215.95</v>
      </c>
      <c r="I9" s="112">
        <v>127070.43</v>
      </c>
      <c r="J9" s="112">
        <v>119819.26</v>
      </c>
      <c r="K9" s="112">
        <v>138040.20000000001</v>
      </c>
      <c r="L9" s="112">
        <v>128509.11</v>
      </c>
      <c r="M9" s="112">
        <v>118409.13</v>
      </c>
      <c r="N9" s="112">
        <v>103314.79</v>
      </c>
      <c r="O9" s="112">
        <v>83506.55</v>
      </c>
      <c r="P9" s="112">
        <v>75419.77</v>
      </c>
      <c r="Q9" s="112">
        <v>1263394.48</v>
      </c>
    </row>
    <row r="10" spans="1:17" x14ac:dyDescent="0.2">
      <c r="A10" s="110" t="s">
        <v>65</v>
      </c>
      <c r="B10" s="111"/>
      <c r="C10" s="111"/>
      <c r="D10" s="127">
        <v>2.5000000000000001E-2</v>
      </c>
      <c r="E10" s="112">
        <v>248458.8</v>
      </c>
      <c r="F10" s="112">
        <v>228929.86</v>
      </c>
      <c r="G10" s="112">
        <v>220068.11</v>
      </c>
      <c r="H10" s="112">
        <v>272610.81</v>
      </c>
      <c r="I10" s="112">
        <v>325708.98</v>
      </c>
      <c r="J10" s="112">
        <v>325426.92</v>
      </c>
      <c r="K10" s="112">
        <v>360470.24</v>
      </c>
      <c r="L10" s="112">
        <v>319496.92</v>
      </c>
      <c r="M10" s="112">
        <v>286027.37</v>
      </c>
      <c r="N10" s="112">
        <v>208243.23</v>
      </c>
      <c r="O10" s="112">
        <v>151963.75</v>
      </c>
      <c r="P10" s="112">
        <v>131985.09</v>
      </c>
      <c r="Q10" s="112">
        <v>3079390.08</v>
      </c>
    </row>
    <row r="11" spans="1:17" x14ac:dyDescent="0.2">
      <c r="A11" s="110" t="s">
        <v>85</v>
      </c>
      <c r="B11" s="111"/>
      <c r="C11" s="111"/>
      <c r="D11" s="127">
        <v>2.5000000000000001E-2</v>
      </c>
      <c r="E11" s="112">
        <v>248458.8</v>
      </c>
      <c r="F11" s="112">
        <v>228929.86</v>
      </c>
      <c r="G11" s="112">
        <v>220068.11</v>
      </c>
      <c r="H11" s="112">
        <v>272610.81</v>
      </c>
      <c r="I11" s="112">
        <v>325708.98</v>
      </c>
      <c r="J11" s="112">
        <v>325426.92</v>
      </c>
      <c r="K11" s="112">
        <v>360470.24</v>
      </c>
      <c r="L11" s="112">
        <v>319496.92</v>
      </c>
      <c r="M11" s="112">
        <v>286027.37</v>
      </c>
      <c r="N11" s="112">
        <v>208243.23</v>
      </c>
      <c r="O11" s="112">
        <v>151963.75</v>
      </c>
      <c r="P11" s="112">
        <v>131985.09</v>
      </c>
      <c r="Q11" s="112">
        <v>3079390.08</v>
      </c>
    </row>
    <row r="12" spans="1:17" x14ac:dyDescent="0.2">
      <c r="A12" s="110" t="s">
        <v>66</v>
      </c>
      <c r="B12" s="111"/>
      <c r="C12" s="111"/>
      <c r="D12" s="127" t="s">
        <v>68</v>
      </c>
      <c r="E12" s="112">
        <v>266443.53000000003</v>
      </c>
      <c r="F12" s="112">
        <v>246708.37</v>
      </c>
      <c r="G12" s="112">
        <v>233766.46000000002</v>
      </c>
      <c r="H12" s="112">
        <v>294060.98</v>
      </c>
      <c r="I12" s="112">
        <v>348493.96</v>
      </c>
      <c r="J12" s="112">
        <v>350572.56</v>
      </c>
      <c r="K12" s="112">
        <v>386550.9</v>
      </c>
      <c r="L12" s="112">
        <v>340559.93</v>
      </c>
      <c r="M12" s="112">
        <v>303763.13</v>
      </c>
      <c r="N12" s="112">
        <v>215453.62</v>
      </c>
      <c r="O12" s="112">
        <v>154520.99</v>
      </c>
      <c r="P12" s="112">
        <v>133242.18</v>
      </c>
      <c r="Q12" s="112">
        <v>3274136.6100000008</v>
      </c>
    </row>
    <row r="13" spans="1:17" ht="15" thickBot="1" x14ac:dyDescent="0.25">
      <c r="A13" s="110" t="s">
        <v>50</v>
      </c>
      <c r="B13" s="111"/>
      <c r="C13" s="111"/>
      <c r="D13" s="127" t="s">
        <v>69</v>
      </c>
      <c r="E13" s="113">
        <v>4926551.66</v>
      </c>
      <c r="F13" s="113">
        <v>4503101.53</v>
      </c>
      <c r="G13" s="113">
        <v>4430548.09</v>
      </c>
      <c r="H13" s="113">
        <v>5353932.43</v>
      </c>
      <c r="I13" s="113">
        <v>6502602.7799999984</v>
      </c>
      <c r="J13" s="113">
        <v>6426698.8400000017</v>
      </c>
      <c r="K13" s="113">
        <v>7164408.8899999997</v>
      </c>
      <c r="L13" s="113">
        <v>6412981.2400000021</v>
      </c>
      <c r="M13" s="113">
        <v>5774365.3600000003</v>
      </c>
      <c r="N13" s="113">
        <v>4374907.7</v>
      </c>
      <c r="O13" s="113">
        <v>3270961.32</v>
      </c>
      <c r="P13" s="113">
        <v>2872335.11</v>
      </c>
      <c r="Q13" s="113">
        <v>62013394.950000003</v>
      </c>
    </row>
    <row r="14" spans="1:17" ht="15" x14ac:dyDescent="0.25">
      <c r="A14" s="114"/>
      <c r="B14" s="115" t="s">
        <v>59</v>
      </c>
      <c r="C14" s="116"/>
      <c r="D14" s="117"/>
      <c r="E14" s="118">
        <v>9938351.9100000001</v>
      </c>
      <c r="F14" s="118">
        <v>9157194.5300000012</v>
      </c>
      <c r="G14" s="118">
        <v>8802724.5500000007</v>
      </c>
      <c r="H14" s="118">
        <v>10904432.239999998</v>
      </c>
      <c r="I14" s="118">
        <v>13028359.059999999</v>
      </c>
      <c r="J14" s="118">
        <v>13017076.82</v>
      </c>
      <c r="K14" s="118">
        <v>14418809.77</v>
      </c>
      <c r="L14" s="118">
        <v>12779876.690000001</v>
      </c>
      <c r="M14" s="118">
        <v>11441094.66</v>
      </c>
      <c r="N14" s="118">
        <v>8329729.29</v>
      </c>
      <c r="O14" s="118">
        <v>6078550.0899999999</v>
      </c>
      <c r="P14" s="118">
        <v>5279403.6399999997</v>
      </c>
      <c r="Q14" s="118">
        <v>123175603.25000001</v>
      </c>
    </row>
    <row r="15" spans="1:17" ht="15" x14ac:dyDescent="0.25">
      <c r="A15" s="114"/>
      <c r="B15" s="119"/>
      <c r="C15" s="116"/>
      <c r="D15" s="117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0"/>
    </row>
    <row r="16" spans="1:17" x14ac:dyDescent="0.2">
      <c r="A16" s="121" t="s">
        <v>67</v>
      </c>
      <c r="B16" s="111"/>
      <c r="C16" s="111"/>
      <c r="D16" s="111"/>
      <c r="E16" s="129"/>
      <c r="F16" s="129"/>
      <c r="G16" s="129"/>
      <c r="H16" s="129"/>
      <c r="I16" s="129"/>
      <c r="J16" s="130"/>
      <c r="K16" s="129"/>
      <c r="L16" s="129"/>
      <c r="M16" s="129"/>
      <c r="N16" s="129"/>
      <c r="O16" s="129"/>
      <c r="P16" s="122"/>
      <c r="Q16" s="131"/>
    </row>
    <row r="17" spans="1:17" x14ac:dyDescent="0.2">
      <c r="A17" s="132"/>
      <c r="B17" s="123"/>
      <c r="C17" s="123"/>
      <c r="D17" s="12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4"/>
    </row>
  </sheetData>
  <mergeCells count="1">
    <mergeCell ref="D5:D6"/>
  </mergeCells>
  <phoneticPr fontId="0" type="noConversion"/>
  <printOptions horizontalCentered="1" verticalCentered="1"/>
  <pageMargins left="0.59055118110236227" right="0.59055118110236227" top="0.59055118110236227" bottom="1" header="0" footer="0"/>
  <pageSetup paperSize="9" scale="4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Q17"/>
  <sheetViews>
    <sheetView zoomScale="80" zoomScaleNormal="80" zoomScaleSheetLayoutView="75" workbookViewId="0"/>
  </sheetViews>
  <sheetFormatPr baseColWidth="10" defaultColWidth="12.5703125" defaultRowHeight="14.25" x14ac:dyDescent="0.2"/>
  <cols>
    <col min="1" max="2" width="17.5703125" style="96" customWidth="1"/>
    <col min="3" max="3" width="11" style="96" customWidth="1"/>
    <col min="4" max="4" width="9.42578125" style="96" customWidth="1"/>
    <col min="5" max="17" width="17.5703125" style="96" customWidth="1"/>
    <col min="18" max="16384" width="12.5703125" style="96"/>
  </cols>
  <sheetData>
    <row r="1" spans="1:17" ht="15.75" x14ac:dyDescent="0.25">
      <c r="A1" s="45" t="s">
        <v>0</v>
      </c>
      <c r="Q1" s="97"/>
    </row>
    <row r="2" spans="1:17" ht="15" x14ac:dyDescent="0.25">
      <c r="A2" s="98" t="s">
        <v>54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</row>
    <row r="3" spans="1:17" ht="15" x14ac:dyDescent="0.25">
      <c r="A3" s="98" t="s">
        <v>55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</row>
    <row r="4" spans="1:17" ht="15" x14ac:dyDescent="0.25">
      <c r="A4" s="99" t="s">
        <v>30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</row>
    <row r="5" spans="1:17" ht="15" x14ac:dyDescent="0.25">
      <c r="A5" s="100" t="s">
        <v>46</v>
      </c>
      <c r="B5" s="101"/>
      <c r="C5" s="101"/>
      <c r="D5" s="149" t="s">
        <v>52</v>
      </c>
      <c r="E5" s="124" t="s">
        <v>158</v>
      </c>
      <c r="F5" s="125" t="s">
        <v>159</v>
      </c>
      <c r="G5" s="125" t="s">
        <v>160</v>
      </c>
      <c r="H5" s="125" t="s">
        <v>161</v>
      </c>
      <c r="I5" s="125" t="s">
        <v>162</v>
      </c>
      <c r="J5" s="125" t="s">
        <v>163</v>
      </c>
      <c r="K5" s="125" t="s">
        <v>164</v>
      </c>
      <c r="L5" s="125" t="s">
        <v>165</v>
      </c>
      <c r="M5" s="125" t="s">
        <v>166</v>
      </c>
      <c r="N5" s="125" t="s">
        <v>167</v>
      </c>
      <c r="O5" s="125" t="s">
        <v>168</v>
      </c>
      <c r="P5" s="125" t="s">
        <v>169</v>
      </c>
      <c r="Q5" s="102" t="s">
        <v>48</v>
      </c>
    </row>
    <row r="6" spans="1:17" x14ac:dyDescent="0.2">
      <c r="A6" s="126" t="s">
        <v>47</v>
      </c>
      <c r="B6" s="103"/>
      <c r="C6" s="103"/>
      <c r="D6" s="150"/>
      <c r="E6" s="104">
        <v>39134</v>
      </c>
      <c r="F6" s="104">
        <v>39162</v>
      </c>
      <c r="G6" s="104">
        <v>39196</v>
      </c>
      <c r="H6" s="104">
        <v>39224</v>
      </c>
      <c r="I6" s="104">
        <v>39254</v>
      </c>
      <c r="J6" s="104">
        <v>39283</v>
      </c>
      <c r="K6" s="104">
        <v>39315</v>
      </c>
      <c r="L6" s="104">
        <v>39346</v>
      </c>
      <c r="M6" s="104">
        <v>39377</v>
      </c>
      <c r="N6" s="104">
        <v>39408</v>
      </c>
      <c r="O6" s="104">
        <v>39437</v>
      </c>
      <c r="P6" s="104">
        <v>39469</v>
      </c>
      <c r="Q6" s="105">
        <v>2007</v>
      </c>
    </row>
    <row r="7" spans="1:17" x14ac:dyDescent="0.2">
      <c r="A7" s="106"/>
      <c r="B7" s="107"/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</row>
    <row r="8" spans="1:17" x14ac:dyDescent="0.2">
      <c r="A8" s="110" t="s">
        <v>63</v>
      </c>
      <c r="B8" s="111"/>
      <c r="C8" s="111"/>
      <c r="D8" s="127" t="s">
        <v>72</v>
      </c>
      <c r="E8" s="112">
        <v>2863761.53</v>
      </c>
      <c r="F8" s="112">
        <v>2844228.92</v>
      </c>
      <c r="G8" s="112">
        <v>3333985.81</v>
      </c>
      <c r="H8" s="112">
        <v>3629194.32</v>
      </c>
      <c r="I8" s="112">
        <v>3730912.32</v>
      </c>
      <c r="J8" s="112">
        <v>3762223.53</v>
      </c>
      <c r="K8" s="112">
        <v>4133494.43</v>
      </c>
      <c r="L8" s="112">
        <v>3955269.65</v>
      </c>
      <c r="M8" s="112">
        <v>3657845.33</v>
      </c>
      <c r="N8" s="112">
        <v>4033645.17</v>
      </c>
      <c r="O8" s="112">
        <v>4226019.8499999996</v>
      </c>
      <c r="P8" s="112">
        <v>4274463.53</v>
      </c>
      <c r="Q8" s="112">
        <v>44445044.390000001</v>
      </c>
    </row>
    <row r="9" spans="1:17" x14ac:dyDescent="0.2">
      <c r="A9" s="110" t="s">
        <v>70</v>
      </c>
      <c r="B9" s="111"/>
      <c r="C9" s="111"/>
      <c r="D9" s="127" t="s">
        <v>71</v>
      </c>
      <c r="E9" s="112">
        <v>64265.2</v>
      </c>
      <c r="F9" s="112">
        <v>63375.29</v>
      </c>
      <c r="G9" s="112">
        <v>83143.78</v>
      </c>
      <c r="H9" s="112">
        <v>85265.61</v>
      </c>
      <c r="I9" s="112">
        <v>93697.71</v>
      </c>
      <c r="J9" s="112">
        <v>98366.9</v>
      </c>
      <c r="K9" s="112">
        <v>98816.55</v>
      </c>
      <c r="L9" s="112">
        <v>99327.03</v>
      </c>
      <c r="M9" s="112">
        <v>95518.47</v>
      </c>
      <c r="N9" s="112">
        <v>104792.02</v>
      </c>
      <c r="O9" s="112">
        <v>104588.49</v>
      </c>
      <c r="P9" s="112">
        <v>99629.25</v>
      </c>
      <c r="Q9" s="112">
        <v>1090786.3</v>
      </c>
    </row>
    <row r="10" spans="1:17" x14ac:dyDescent="0.2">
      <c r="A10" s="110" t="s">
        <v>65</v>
      </c>
      <c r="B10" s="111"/>
      <c r="C10" s="111"/>
      <c r="D10" s="127">
        <v>2.5000000000000001E-2</v>
      </c>
      <c r="E10" s="112">
        <v>170637.35</v>
      </c>
      <c r="F10" s="112">
        <v>169241.93</v>
      </c>
      <c r="G10" s="112">
        <v>202925.62</v>
      </c>
      <c r="H10" s="112">
        <v>218206.45</v>
      </c>
      <c r="I10" s="112">
        <v>227420.89</v>
      </c>
      <c r="J10" s="112">
        <v>231320.7</v>
      </c>
      <c r="K10" s="112">
        <v>249400.85</v>
      </c>
      <c r="L10" s="112">
        <v>241094.13</v>
      </c>
      <c r="M10" s="112">
        <v>224841.78</v>
      </c>
      <c r="N10" s="112">
        <v>247664.75</v>
      </c>
      <c r="O10" s="112">
        <v>256809.16</v>
      </c>
      <c r="P10" s="112">
        <v>256594.98</v>
      </c>
      <c r="Q10" s="112">
        <v>2696158.5900000003</v>
      </c>
    </row>
    <row r="11" spans="1:17" x14ac:dyDescent="0.2">
      <c r="A11" s="110" t="s">
        <v>85</v>
      </c>
      <c r="B11" s="111"/>
      <c r="C11" s="111"/>
      <c r="D11" s="127">
        <v>2.5000000000000001E-2</v>
      </c>
      <c r="E11" s="112">
        <v>170637.35</v>
      </c>
      <c r="F11" s="112">
        <v>169241.93</v>
      </c>
      <c r="G11" s="112">
        <v>202925.62</v>
      </c>
      <c r="H11" s="112">
        <v>218206.45</v>
      </c>
      <c r="I11" s="112">
        <v>227420.89</v>
      </c>
      <c r="J11" s="112">
        <v>231320.7</v>
      </c>
      <c r="K11" s="112">
        <v>249400.85</v>
      </c>
      <c r="L11" s="112">
        <v>241094.13</v>
      </c>
      <c r="M11" s="112">
        <v>224841.78</v>
      </c>
      <c r="N11" s="112">
        <v>247664.75</v>
      </c>
      <c r="O11" s="112">
        <v>256809.16</v>
      </c>
      <c r="P11" s="112">
        <v>256594.98</v>
      </c>
      <c r="Q11" s="112">
        <v>2696158.5900000003</v>
      </c>
    </row>
    <row r="12" spans="1:17" x14ac:dyDescent="0.2">
      <c r="A12" s="110" t="s">
        <v>66</v>
      </c>
      <c r="B12" s="111"/>
      <c r="C12" s="111"/>
      <c r="D12" s="127" t="s">
        <v>68</v>
      </c>
      <c r="E12" s="112">
        <v>183343.09</v>
      </c>
      <c r="F12" s="112">
        <v>181965.22</v>
      </c>
      <c r="G12" s="112">
        <v>215796.15</v>
      </c>
      <c r="H12" s="112">
        <v>233425.87</v>
      </c>
      <c r="I12" s="112">
        <v>241672.5</v>
      </c>
      <c r="J12" s="112">
        <v>244795.87</v>
      </c>
      <c r="K12" s="112">
        <v>266342.17</v>
      </c>
      <c r="L12" s="112">
        <v>256203.95</v>
      </c>
      <c r="M12" s="112">
        <v>237970.65</v>
      </c>
      <c r="N12" s="112">
        <v>262267.02</v>
      </c>
      <c r="O12" s="112">
        <v>273308.15000000002</v>
      </c>
      <c r="P12" s="112">
        <v>274704.21999999997</v>
      </c>
      <c r="Q12" s="112">
        <v>2871794.8600000003</v>
      </c>
    </row>
    <row r="13" spans="1:17" ht="15" thickBot="1" x14ac:dyDescent="0.25">
      <c r="A13" s="110" t="s">
        <v>50</v>
      </c>
      <c r="B13" s="111"/>
      <c r="C13" s="111"/>
      <c r="D13" s="127" t="s">
        <v>69</v>
      </c>
      <c r="E13" s="113">
        <v>3372849.63</v>
      </c>
      <c r="F13" s="113">
        <v>3341623.74</v>
      </c>
      <c r="G13" s="113">
        <v>4078247.66</v>
      </c>
      <c r="H13" s="113">
        <v>4343959.28</v>
      </c>
      <c r="I13" s="113">
        <v>4575711.41</v>
      </c>
      <c r="J13" s="113">
        <v>4684800.2</v>
      </c>
      <c r="K13" s="113">
        <v>4978579.04</v>
      </c>
      <c r="L13" s="113">
        <v>4850776.3899999997</v>
      </c>
      <c r="M13" s="113">
        <v>4552653.08</v>
      </c>
      <c r="N13" s="113">
        <v>5010556.16</v>
      </c>
      <c r="O13" s="113">
        <v>5154831.41</v>
      </c>
      <c r="P13" s="113">
        <v>5101812.1100000003</v>
      </c>
      <c r="Q13" s="113">
        <v>54046400.109999999</v>
      </c>
    </row>
    <row r="14" spans="1:17" ht="15" x14ac:dyDescent="0.25">
      <c r="A14" s="114"/>
      <c r="B14" s="115" t="s">
        <v>59</v>
      </c>
      <c r="C14" s="116"/>
      <c r="D14" s="117"/>
      <c r="E14" s="118">
        <v>6825494.1500000004</v>
      </c>
      <c r="F14" s="118">
        <v>6769677.0300000012</v>
      </c>
      <c r="G14" s="118">
        <v>8117024.6400000006</v>
      </c>
      <c r="H14" s="118">
        <v>8728257.9800000004</v>
      </c>
      <c r="I14" s="118">
        <v>9096835.7199999988</v>
      </c>
      <c r="J14" s="118">
        <v>9252827.9000000004</v>
      </c>
      <c r="K14" s="118">
        <v>9976033.8900000006</v>
      </c>
      <c r="L14" s="118">
        <v>9643765.2799999993</v>
      </c>
      <c r="M14" s="118">
        <v>8993671.0899999999</v>
      </c>
      <c r="N14" s="118">
        <v>9906589.8699999992</v>
      </c>
      <c r="O14" s="118">
        <v>10272366.220000001</v>
      </c>
      <c r="P14" s="118">
        <v>10263799.07</v>
      </c>
      <c r="Q14" s="118">
        <v>107846342.84</v>
      </c>
    </row>
    <row r="15" spans="1:17" ht="15" x14ac:dyDescent="0.25">
      <c r="A15" s="114"/>
      <c r="B15" s="119"/>
      <c r="C15" s="116"/>
      <c r="D15" s="117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0"/>
    </row>
    <row r="16" spans="1:17" x14ac:dyDescent="0.2">
      <c r="A16" s="121" t="s">
        <v>67</v>
      </c>
      <c r="B16" s="111"/>
      <c r="C16" s="111"/>
      <c r="D16" s="111"/>
      <c r="E16" s="129"/>
      <c r="F16" s="129"/>
      <c r="G16" s="129"/>
      <c r="H16" s="129"/>
      <c r="I16" s="129"/>
      <c r="J16" s="130"/>
      <c r="K16" s="129"/>
      <c r="L16" s="129"/>
      <c r="M16" s="129"/>
      <c r="N16" s="129"/>
      <c r="O16" s="129"/>
      <c r="P16" s="122"/>
      <c r="Q16" s="131"/>
    </row>
    <row r="17" spans="1:17" x14ac:dyDescent="0.2">
      <c r="A17" s="132"/>
      <c r="B17" s="123"/>
      <c r="C17" s="123"/>
      <c r="D17" s="12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4"/>
    </row>
  </sheetData>
  <mergeCells count="1">
    <mergeCell ref="D5:D6"/>
  </mergeCells>
  <phoneticPr fontId="0" type="noConversion"/>
  <printOptions horizontalCentered="1" verticalCentered="1"/>
  <pageMargins left="0.59055118110236227" right="0.59055118110236227" top="0.59055118110236227" bottom="1" header="0" footer="0"/>
  <pageSetup paperSize="9" scale="47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16"/>
  <sheetViews>
    <sheetView zoomScale="80" zoomScaleNormal="80" workbookViewId="0"/>
  </sheetViews>
  <sheetFormatPr baseColWidth="10" defaultColWidth="12.5703125" defaultRowHeight="14.25" x14ac:dyDescent="0.2"/>
  <cols>
    <col min="1" max="2" width="17.5703125" style="96" customWidth="1"/>
    <col min="3" max="3" width="11" style="96" customWidth="1"/>
    <col min="4" max="4" width="9.42578125" style="96" customWidth="1"/>
    <col min="5" max="16" width="17.5703125" style="96" customWidth="1"/>
    <col min="17" max="17" width="18.5703125" style="96" customWidth="1"/>
    <col min="18" max="16384" width="12.5703125" style="96"/>
  </cols>
  <sheetData>
    <row r="1" spans="1:17" ht="15.75" x14ac:dyDescent="0.25">
      <c r="A1" s="45" t="s">
        <v>0</v>
      </c>
      <c r="Q1" s="97"/>
    </row>
    <row r="2" spans="1:17" ht="15" x14ac:dyDescent="0.25">
      <c r="A2" s="98" t="s">
        <v>54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</row>
    <row r="3" spans="1:17" ht="15" x14ac:dyDescent="0.25">
      <c r="A3" s="98" t="s">
        <v>55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</row>
    <row r="4" spans="1:17" ht="15" x14ac:dyDescent="0.25">
      <c r="A4" s="99" t="s">
        <v>30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</row>
    <row r="5" spans="1:17" ht="15" x14ac:dyDescent="0.25">
      <c r="A5" s="100" t="s">
        <v>46</v>
      </c>
      <c r="B5" s="101"/>
      <c r="C5" s="101"/>
      <c r="D5" s="149" t="s">
        <v>52</v>
      </c>
      <c r="E5" s="124" t="s">
        <v>170</v>
      </c>
      <c r="F5" s="125" t="s">
        <v>171</v>
      </c>
      <c r="G5" s="125" t="s">
        <v>172</v>
      </c>
      <c r="H5" s="125" t="s">
        <v>173</v>
      </c>
      <c r="I5" s="125" t="s">
        <v>174</v>
      </c>
      <c r="J5" s="125" t="s">
        <v>175</v>
      </c>
      <c r="K5" s="125" t="s">
        <v>176</v>
      </c>
      <c r="L5" s="125" t="s">
        <v>177</v>
      </c>
      <c r="M5" s="125" t="s">
        <v>178</v>
      </c>
      <c r="N5" s="125" t="s">
        <v>179</v>
      </c>
      <c r="O5" s="125" t="s">
        <v>180</v>
      </c>
      <c r="P5" s="125" t="s">
        <v>181</v>
      </c>
      <c r="Q5" s="102" t="s">
        <v>48</v>
      </c>
    </row>
    <row r="6" spans="1:17" x14ac:dyDescent="0.2">
      <c r="A6" s="126" t="s">
        <v>47</v>
      </c>
      <c r="B6" s="103"/>
      <c r="C6" s="103"/>
      <c r="D6" s="150"/>
      <c r="E6" s="104">
        <v>38769</v>
      </c>
      <c r="F6" s="104">
        <v>38797</v>
      </c>
      <c r="G6" s="104">
        <v>38832</v>
      </c>
      <c r="H6" s="104">
        <v>38859</v>
      </c>
      <c r="I6" s="104">
        <v>38889</v>
      </c>
      <c r="J6" s="104">
        <v>38919</v>
      </c>
      <c r="K6" s="104">
        <v>38950</v>
      </c>
      <c r="L6" s="104">
        <v>38981</v>
      </c>
      <c r="M6" s="104">
        <v>39010</v>
      </c>
      <c r="N6" s="104">
        <v>39043</v>
      </c>
      <c r="O6" s="104">
        <v>39073</v>
      </c>
      <c r="P6" s="104">
        <v>39104</v>
      </c>
      <c r="Q6" s="105">
        <v>2006</v>
      </c>
    </row>
    <row r="7" spans="1:17" x14ac:dyDescent="0.2">
      <c r="A7" s="106"/>
      <c r="B7" s="107"/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</row>
    <row r="8" spans="1:17" x14ac:dyDescent="0.2">
      <c r="A8" s="110" t="s">
        <v>63</v>
      </c>
      <c r="B8" s="111"/>
      <c r="C8" s="135"/>
      <c r="D8" s="136">
        <v>0.52</v>
      </c>
      <c r="E8" s="112">
        <v>4472587.04</v>
      </c>
      <c r="F8" s="112">
        <v>3992841.48</v>
      </c>
      <c r="G8" s="112">
        <v>4482674.1100000003</v>
      </c>
      <c r="H8" s="112">
        <v>4465003.09</v>
      </c>
      <c r="I8" s="112">
        <v>4899288.97</v>
      </c>
      <c r="J8" s="112">
        <v>4958236.47</v>
      </c>
      <c r="K8" s="112">
        <v>5353871.03</v>
      </c>
      <c r="L8" s="112">
        <v>5252574.13</v>
      </c>
      <c r="M8" s="112">
        <v>4196527.33</v>
      </c>
      <c r="N8" s="112">
        <v>3409872.37</v>
      </c>
      <c r="O8" s="112">
        <v>4216657.53</v>
      </c>
      <c r="P8" s="112">
        <v>4408759.47</v>
      </c>
      <c r="Q8" s="112">
        <v>54108893.019999996</v>
      </c>
    </row>
    <row r="9" spans="1:17" x14ac:dyDescent="0.2">
      <c r="A9" s="110" t="s">
        <v>65</v>
      </c>
      <c r="B9" s="111"/>
      <c r="C9" s="135"/>
      <c r="D9" s="136">
        <v>2.5000000000000001E-2</v>
      </c>
      <c r="E9" s="112">
        <v>215028.22</v>
      </c>
      <c r="F9" s="112">
        <v>191963.53</v>
      </c>
      <c r="G9" s="112">
        <v>215513.18</v>
      </c>
      <c r="H9" s="112">
        <v>214663.61</v>
      </c>
      <c r="I9" s="112">
        <v>235542.74</v>
      </c>
      <c r="J9" s="112">
        <v>238376.75</v>
      </c>
      <c r="K9" s="112">
        <v>257397.65</v>
      </c>
      <c r="L9" s="112">
        <v>252527.6</v>
      </c>
      <c r="M9" s="112">
        <v>201756.12</v>
      </c>
      <c r="N9" s="112">
        <v>163936.17000000001</v>
      </c>
      <c r="O9" s="112">
        <v>202723.92</v>
      </c>
      <c r="P9" s="112">
        <v>211959.59</v>
      </c>
      <c r="Q9" s="112">
        <v>2601389.0799999996</v>
      </c>
    </row>
    <row r="10" spans="1:17" x14ac:dyDescent="0.2">
      <c r="A10" s="110" t="s">
        <v>85</v>
      </c>
      <c r="B10" s="111"/>
      <c r="C10" s="135"/>
      <c r="D10" s="136">
        <v>2.5000000000000001E-2</v>
      </c>
      <c r="E10" s="112">
        <v>215028.22</v>
      </c>
      <c r="F10" s="112">
        <v>191963.53</v>
      </c>
      <c r="G10" s="112">
        <v>215513.18</v>
      </c>
      <c r="H10" s="112">
        <v>214663.61</v>
      </c>
      <c r="I10" s="112">
        <v>235542.74</v>
      </c>
      <c r="J10" s="112">
        <v>238376.75</v>
      </c>
      <c r="K10" s="112">
        <v>257397.65</v>
      </c>
      <c r="L10" s="112">
        <v>252527.6</v>
      </c>
      <c r="M10" s="112">
        <v>201756.12</v>
      </c>
      <c r="N10" s="112">
        <v>163936.17000000001</v>
      </c>
      <c r="O10" s="112">
        <v>202723.92</v>
      </c>
      <c r="P10" s="112">
        <v>211959.59</v>
      </c>
      <c r="Q10" s="112">
        <v>2601389.0799999996</v>
      </c>
    </row>
    <row r="11" spans="1:17" x14ac:dyDescent="0.2">
      <c r="A11" s="110" t="s">
        <v>66</v>
      </c>
      <c r="B11" s="111"/>
      <c r="C11" s="135"/>
      <c r="D11" s="136">
        <v>0.03</v>
      </c>
      <c r="E11" s="112">
        <v>258033.87</v>
      </c>
      <c r="F11" s="112">
        <v>230356.24</v>
      </c>
      <c r="G11" s="112">
        <v>258615.81</v>
      </c>
      <c r="H11" s="112">
        <v>257596.33</v>
      </c>
      <c r="I11" s="112">
        <v>282651.28999999998</v>
      </c>
      <c r="J11" s="112">
        <v>286052.09999999998</v>
      </c>
      <c r="K11" s="112">
        <v>308877.17</v>
      </c>
      <c r="L11" s="112">
        <v>303033.12</v>
      </c>
      <c r="M11" s="112">
        <v>242107.35</v>
      </c>
      <c r="N11" s="112">
        <v>196723.41</v>
      </c>
      <c r="O11" s="112">
        <v>243268.7</v>
      </c>
      <c r="P11" s="112">
        <v>254351.51</v>
      </c>
      <c r="Q11" s="112">
        <v>3121666.9000000004</v>
      </c>
    </row>
    <row r="12" spans="1:17" ht="15" thickBot="1" x14ac:dyDescent="0.25">
      <c r="A12" s="110" t="s">
        <v>50</v>
      </c>
      <c r="B12" s="111"/>
      <c r="C12" s="135"/>
      <c r="D12" s="136">
        <v>0.4</v>
      </c>
      <c r="E12" s="113">
        <v>3440451.58</v>
      </c>
      <c r="F12" s="113">
        <v>3071416.53</v>
      </c>
      <c r="G12" s="113">
        <v>3448210.86</v>
      </c>
      <c r="H12" s="113">
        <v>3434617.75</v>
      </c>
      <c r="I12" s="113">
        <v>3768683.83</v>
      </c>
      <c r="J12" s="113">
        <v>3814028.06</v>
      </c>
      <c r="K12" s="113">
        <v>4118362.33</v>
      </c>
      <c r="L12" s="113">
        <v>4040441.63</v>
      </c>
      <c r="M12" s="113">
        <v>3228097.95</v>
      </c>
      <c r="N12" s="113">
        <v>2622978.7400000002</v>
      </c>
      <c r="O12" s="113">
        <v>3243582.71</v>
      </c>
      <c r="P12" s="113">
        <v>3391353.44</v>
      </c>
      <c r="Q12" s="113">
        <v>41622225.409999996</v>
      </c>
    </row>
    <row r="13" spans="1:17" ht="15" x14ac:dyDescent="0.25">
      <c r="A13" s="114"/>
      <c r="B13" s="115" t="s">
        <v>59</v>
      </c>
      <c r="C13" s="137"/>
      <c r="D13" s="138"/>
      <c r="E13" s="118">
        <v>8601128.9299999997</v>
      </c>
      <c r="F13" s="118">
        <v>7678541.3100000005</v>
      </c>
      <c r="G13" s="118">
        <v>8620527.1399999987</v>
      </c>
      <c r="H13" s="118">
        <v>8586544.3900000006</v>
      </c>
      <c r="I13" s="118">
        <v>9421709.5700000003</v>
      </c>
      <c r="J13" s="118">
        <v>9535070.129999999</v>
      </c>
      <c r="K13" s="118">
        <v>10295905.830000002</v>
      </c>
      <c r="L13" s="118">
        <v>10101104.079999998</v>
      </c>
      <c r="M13" s="118">
        <v>8070244.8700000001</v>
      </c>
      <c r="N13" s="118">
        <v>6557446.8600000003</v>
      </c>
      <c r="O13" s="118">
        <v>8108956.7800000003</v>
      </c>
      <c r="P13" s="118">
        <v>8478383.5999999996</v>
      </c>
      <c r="Q13" s="118">
        <v>104055563.48999999</v>
      </c>
    </row>
    <row r="14" spans="1:17" ht="15" x14ac:dyDescent="0.25">
      <c r="A14" s="114"/>
      <c r="B14" s="119"/>
      <c r="C14" s="137"/>
      <c r="D14" s="13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0"/>
    </row>
    <row r="15" spans="1:17" x14ac:dyDescent="0.2">
      <c r="A15" s="121" t="s">
        <v>64</v>
      </c>
      <c r="B15" s="111"/>
      <c r="C15" s="135"/>
      <c r="D15" s="135"/>
      <c r="E15" s="129"/>
      <c r="F15" s="129"/>
      <c r="G15" s="129"/>
      <c r="H15" s="129"/>
      <c r="I15" s="129"/>
      <c r="J15" s="130"/>
      <c r="K15" s="129"/>
      <c r="L15" s="129"/>
      <c r="M15" s="129"/>
      <c r="N15" s="129"/>
      <c r="O15" s="129"/>
      <c r="P15" s="122"/>
      <c r="Q15" s="131"/>
    </row>
    <row r="16" spans="1:17" x14ac:dyDescent="0.2">
      <c r="A16" s="132"/>
      <c r="B16" s="123"/>
      <c r="C16" s="139"/>
      <c r="D16" s="139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4"/>
    </row>
  </sheetData>
  <mergeCells count="1">
    <mergeCell ref="D5:D6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Q16"/>
  <sheetViews>
    <sheetView zoomScale="80" zoomScaleNormal="80" workbookViewId="0"/>
  </sheetViews>
  <sheetFormatPr baseColWidth="10" defaultColWidth="12.5703125" defaultRowHeight="15.75" x14ac:dyDescent="0.25"/>
  <cols>
    <col min="1" max="2" width="17.5703125" style="25" customWidth="1"/>
    <col min="3" max="3" width="11" style="25" customWidth="1"/>
    <col min="4" max="4" width="9.42578125" style="25" customWidth="1"/>
    <col min="5" max="17" width="17.5703125" style="25" customWidth="1"/>
    <col min="18" max="16384" width="12.5703125" style="25"/>
  </cols>
  <sheetData>
    <row r="1" spans="1:17" x14ac:dyDescent="0.25">
      <c r="A1" s="4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47"/>
    </row>
    <row r="2" spans="1:17" x14ac:dyDescent="0.25">
      <c r="A2" s="27" t="s">
        <v>54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17" x14ac:dyDescent="0.25">
      <c r="A3" s="27" t="s">
        <v>55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x14ac:dyDescent="0.25">
      <c r="A4" s="28" t="s">
        <v>30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</row>
    <row r="5" spans="1:17" x14ac:dyDescent="0.25">
      <c r="A5" s="29" t="s">
        <v>46</v>
      </c>
      <c r="B5" s="30"/>
      <c r="C5" s="30"/>
      <c r="D5" s="151" t="s">
        <v>52</v>
      </c>
      <c r="E5" s="31" t="s">
        <v>182</v>
      </c>
      <c r="F5" s="32" t="s">
        <v>183</v>
      </c>
      <c r="G5" s="32" t="s">
        <v>184</v>
      </c>
      <c r="H5" s="32" t="s">
        <v>185</v>
      </c>
      <c r="I5" s="32" t="s">
        <v>186</v>
      </c>
      <c r="J5" s="32" t="s">
        <v>187</v>
      </c>
      <c r="K5" s="32" t="s">
        <v>188</v>
      </c>
      <c r="L5" s="32" t="s">
        <v>189</v>
      </c>
      <c r="M5" s="32" t="s">
        <v>190</v>
      </c>
      <c r="N5" s="32" t="s">
        <v>191</v>
      </c>
      <c r="O5" s="32" t="s">
        <v>192</v>
      </c>
      <c r="P5" s="32" t="s">
        <v>193</v>
      </c>
      <c r="Q5" s="33" t="s">
        <v>48</v>
      </c>
    </row>
    <row r="6" spans="1:17" x14ac:dyDescent="0.25">
      <c r="A6" s="8" t="s">
        <v>47</v>
      </c>
      <c r="B6" s="34"/>
      <c r="C6" s="34"/>
      <c r="D6" s="152"/>
      <c r="E6" s="35">
        <v>38404</v>
      </c>
      <c r="F6" s="35">
        <v>38432</v>
      </c>
      <c r="G6" s="35">
        <v>38463</v>
      </c>
      <c r="H6" s="35">
        <v>38492</v>
      </c>
      <c r="I6" s="35">
        <v>38524</v>
      </c>
      <c r="J6" s="35">
        <v>38554</v>
      </c>
      <c r="K6" s="35">
        <v>38583</v>
      </c>
      <c r="L6" s="35">
        <v>38616</v>
      </c>
      <c r="M6" s="35">
        <v>38646</v>
      </c>
      <c r="N6" s="35">
        <v>38678</v>
      </c>
      <c r="O6" s="35">
        <v>38708</v>
      </c>
      <c r="P6" s="35">
        <v>38737</v>
      </c>
      <c r="Q6" s="59">
        <v>2005</v>
      </c>
    </row>
    <row r="7" spans="1:17" x14ac:dyDescent="0.25">
      <c r="A7" s="36"/>
      <c r="B7" s="37"/>
      <c r="C7" s="37"/>
      <c r="D7" s="53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</row>
    <row r="8" spans="1:17" x14ac:dyDescent="0.25">
      <c r="A8" s="39" t="s">
        <v>63</v>
      </c>
      <c r="B8" s="40"/>
      <c r="C8" s="40"/>
      <c r="D8" s="95">
        <v>0.52</v>
      </c>
      <c r="E8" s="66">
        <v>3289501.19</v>
      </c>
      <c r="F8" s="66">
        <v>3064271.81</v>
      </c>
      <c r="G8" s="66">
        <v>3836298.23</v>
      </c>
      <c r="H8" s="66">
        <v>3928789.73</v>
      </c>
      <c r="I8" s="66">
        <v>3867123.75</v>
      </c>
      <c r="J8" s="66">
        <v>3993200.46</v>
      </c>
      <c r="K8" s="66">
        <v>4247575.66</v>
      </c>
      <c r="L8" s="66">
        <v>4690122.83</v>
      </c>
      <c r="M8" s="66">
        <v>5007172.3499999996</v>
      </c>
      <c r="N8" s="66">
        <v>4760950.1399999997</v>
      </c>
      <c r="O8" s="66">
        <v>4200542.51</v>
      </c>
      <c r="P8" s="66">
        <v>4271650.8499999996</v>
      </c>
      <c r="Q8" s="66">
        <v>49157199.510000005</v>
      </c>
    </row>
    <row r="9" spans="1:17" x14ac:dyDescent="0.25">
      <c r="A9" s="39" t="s">
        <v>65</v>
      </c>
      <c r="B9" s="40"/>
      <c r="C9" s="40"/>
      <c r="D9" s="95">
        <v>2.5000000000000001E-2</v>
      </c>
      <c r="E9" s="66">
        <v>158149.1</v>
      </c>
      <c r="F9" s="66">
        <v>147320.76</v>
      </c>
      <c r="G9" s="66">
        <v>184437.42</v>
      </c>
      <c r="H9" s="66">
        <v>188884.12</v>
      </c>
      <c r="I9" s="66">
        <v>185919.41</v>
      </c>
      <c r="J9" s="66">
        <v>191980.79</v>
      </c>
      <c r="K9" s="66">
        <v>204210.37</v>
      </c>
      <c r="L9" s="66">
        <v>225486.67</v>
      </c>
      <c r="M9" s="66">
        <v>240729.44</v>
      </c>
      <c r="N9" s="66">
        <v>228891.83</v>
      </c>
      <c r="O9" s="66">
        <v>201949.16</v>
      </c>
      <c r="P9" s="66">
        <v>205367.83</v>
      </c>
      <c r="Q9" s="66">
        <v>2363326.9000000004</v>
      </c>
    </row>
    <row r="10" spans="1:17" x14ac:dyDescent="0.25">
      <c r="A10" s="39" t="s">
        <v>85</v>
      </c>
      <c r="B10" s="40"/>
      <c r="C10" s="40"/>
      <c r="D10" s="95">
        <v>2.5000000000000001E-2</v>
      </c>
      <c r="E10" s="66">
        <v>158149.1</v>
      </c>
      <c r="F10" s="66">
        <v>147320.76</v>
      </c>
      <c r="G10" s="66">
        <v>184437.42</v>
      </c>
      <c r="H10" s="66">
        <v>188884.12</v>
      </c>
      <c r="I10" s="66">
        <v>185919.41</v>
      </c>
      <c r="J10" s="66">
        <v>191980.79</v>
      </c>
      <c r="K10" s="66">
        <v>204210.37</v>
      </c>
      <c r="L10" s="66">
        <v>225486.67</v>
      </c>
      <c r="M10" s="66">
        <v>240729.44</v>
      </c>
      <c r="N10" s="66">
        <v>228891.83</v>
      </c>
      <c r="O10" s="66">
        <v>201949.16</v>
      </c>
      <c r="P10" s="66">
        <v>205367.83</v>
      </c>
      <c r="Q10" s="66">
        <v>2363326.9000000004</v>
      </c>
    </row>
    <row r="11" spans="1:17" x14ac:dyDescent="0.25">
      <c r="A11" s="39" t="s">
        <v>66</v>
      </c>
      <c r="B11" s="40"/>
      <c r="C11" s="40"/>
      <c r="D11" s="95">
        <v>0.03</v>
      </c>
      <c r="E11" s="66">
        <v>189778.91</v>
      </c>
      <c r="F11" s="66">
        <v>176784.91</v>
      </c>
      <c r="G11" s="66">
        <v>221324.9</v>
      </c>
      <c r="H11" s="66">
        <v>226660.95</v>
      </c>
      <c r="I11" s="66">
        <v>223103.29</v>
      </c>
      <c r="J11" s="66">
        <v>230376.95</v>
      </c>
      <c r="K11" s="66">
        <v>245052.44</v>
      </c>
      <c r="L11" s="66">
        <v>270584.01</v>
      </c>
      <c r="M11" s="66">
        <v>288875.33</v>
      </c>
      <c r="N11" s="66">
        <v>274670.2</v>
      </c>
      <c r="O11" s="66">
        <v>242338.99</v>
      </c>
      <c r="P11" s="66">
        <v>246441.4</v>
      </c>
      <c r="Q11" s="66">
        <v>2835992.28</v>
      </c>
    </row>
    <row r="12" spans="1:17" ht="16.5" thickBot="1" x14ac:dyDescent="0.3">
      <c r="A12" s="39" t="s">
        <v>50</v>
      </c>
      <c r="B12" s="40"/>
      <c r="C12" s="40"/>
      <c r="D12" s="95">
        <v>0.4</v>
      </c>
      <c r="E12" s="67">
        <v>2530385.54</v>
      </c>
      <c r="F12" s="67">
        <v>2357132.17</v>
      </c>
      <c r="G12" s="67">
        <v>2950998.64</v>
      </c>
      <c r="H12" s="67">
        <v>3022145.94</v>
      </c>
      <c r="I12" s="67">
        <v>2974710.58</v>
      </c>
      <c r="J12" s="67">
        <v>3071692.66</v>
      </c>
      <c r="K12" s="67">
        <v>3267365.89</v>
      </c>
      <c r="L12" s="67">
        <v>3607786.8</v>
      </c>
      <c r="M12" s="67">
        <v>3851671.04</v>
      </c>
      <c r="N12" s="67">
        <v>3662269.33</v>
      </c>
      <c r="O12" s="67">
        <v>3231186.55</v>
      </c>
      <c r="P12" s="67">
        <v>3285885.27</v>
      </c>
      <c r="Q12" s="67">
        <v>37813230.410000004</v>
      </c>
    </row>
    <row r="13" spans="1:17" x14ac:dyDescent="0.25">
      <c r="A13" s="50"/>
      <c r="B13" s="17" t="s">
        <v>59</v>
      </c>
      <c r="C13" s="52"/>
      <c r="D13" s="55"/>
      <c r="E13" s="68">
        <v>6325963.8399999999</v>
      </c>
      <c r="F13" s="68">
        <v>5892830.4100000001</v>
      </c>
      <c r="G13" s="68">
        <v>7377496.6100000013</v>
      </c>
      <c r="H13" s="68">
        <v>7555364.8599999994</v>
      </c>
      <c r="I13" s="68">
        <v>7436776.4400000004</v>
      </c>
      <c r="J13" s="68">
        <v>7679231.6500000004</v>
      </c>
      <c r="K13" s="68">
        <v>8168414.7300000004</v>
      </c>
      <c r="L13" s="68">
        <v>9019466.9800000004</v>
      </c>
      <c r="M13" s="68">
        <v>9629177.6000000015</v>
      </c>
      <c r="N13" s="68">
        <v>9155673.3300000001</v>
      </c>
      <c r="O13" s="68">
        <v>8077966.3700000001</v>
      </c>
      <c r="P13" s="68">
        <v>8214713.1799999997</v>
      </c>
      <c r="Q13" s="68">
        <v>94533076</v>
      </c>
    </row>
    <row r="14" spans="1:17" x14ac:dyDescent="0.25">
      <c r="A14" s="50"/>
      <c r="B14" s="51"/>
      <c r="C14" s="52"/>
      <c r="D14" s="55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73"/>
    </row>
    <row r="15" spans="1:17" x14ac:dyDescent="0.25">
      <c r="A15" s="57" t="s">
        <v>64</v>
      </c>
      <c r="B15" s="40"/>
      <c r="C15" s="40"/>
      <c r="D15" s="40"/>
      <c r="E15" s="91"/>
      <c r="F15" s="91"/>
      <c r="G15" s="91"/>
      <c r="H15" s="91"/>
      <c r="I15" s="91"/>
      <c r="J15" s="92"/>
      <c r="K15" s="91"/>
      <c r="L15" s="91"/>
      <c r="M15" s="91"/>
      <c r="N15" s="91"/>
      <c r="O15" s="91"/>
      <c r="P15" s="78"/>
      <c r="Q15" s="88"/>
    </row>
    <row r="16" spans="1:17" x14ac:dyDescent="0.25">
      <c r="A16" s="89"/>
      <c r="B16" s="44"/>
      <c r="C16" s="44"/>
      <c r="D16" s="44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4"/>
    </row>
  </sheetData>
  <mergeCells count="1">
    <mergeCell ref="D5:D6"/>
  </mergeCells>
  <phoneticPr fontId="0" type="noConversion"/>
  <printOptions horizontalCentered="1" verticalCentered="1"/>
  <pageMargins left="0.59055118110236227" right="0.59055118110236227" top="0.59055118110236227" bottom="1" header="0" footer="0"/>
  <pageSetup paperSize="9" scale="47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Q16"/>
  <sheetViews>
    <sheetView zoomScale="80" zoomScaleNormal="80" workbookViewId="0"/>
  </sheetViews>
  <sheetFormatPr baseColWidth="10" defaultColWidth="12.5703125" defaultRowHeight="15.75" x14ac:dyDescent="0.25"/>
  <cols>
    <col min="1" max="2" width="17.5703125" style="25" customWidth="1"/>
    <col min="3" max="3" width="11" style="25" customWidth="1"/>
    <col min="4" max="4" width="9.42578125" style="25" customWidth="1"/>
    <col min="5" max="17" width="17.5703125" style="25" customWidth="1"/>
    <col min="18" max="16384" width="12.5703125" style="25"/>
  </cols>
  <sheetData>
    <row r="1" spans="1:17" x14ac:dyDescent="0.25">
      <c r="A1" s="4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47"/>
    </row>
    <row r="2" spans="1:17" x14ac:dyDescent="0.25">
      <c r="A2" s="27" t="s">
        <v>54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17" x14ac:dyDescent="0.25">
      <c r="A3" s="27" t="s">
        <v>55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x14ac:dyDescent="0.25">
      <c r="A4" s="28" t="s">
        <v>30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</row>
    <row r="5" spans="1:17" x14ac:dyDescent="0.25">
      <c r="A5" s="29" t="s">
        <v>46</v>
      </c>
      <c r="B5" s="30"/>
      <c r="C5" s="30"/>
      <c r="D5" s="151" t="s">
        <v>52</v>
      </c>
      <c r="E5" s="31" t="s">
        <v>194</v>
      </c>
      <c r="F5" s="32" t="s">
        <v>195</v>
      </c>
      <c r="G5" s="32" t="s">
        <v>196</v>
      </c>
      <c r="H5" s="32" t="s">
        <v>197</v>
      </c>
      <c r="I5" s="32" t="s">
        <v>198</v>
      </c>
      <c r="J5" s="32" t="s">
        <v>199</v>
      </c>
      <c r="K5" s="32" t="s">
        <v>200</v>
      </c>
      <c r="L5" s="32" t="s">
        <v>201</v>
      </c>
      <c r="M5" s="32" t="s">
        <v>202</v>
      </c>
      <c r="N5" s="32" t="s">
        <v>203</v>
      </c>
      <c r="O5" s="32" t="s">
        <v>204</v>
      </c>
      <c r="P5" s="32" t="s">
        <v>205</v>
      </c>
      <c r="Q5" s="33" t="s">
        <v>48</v>
      </c>
    </row>
    <row r="6" spans="1:17" x14ac:dyDescent="0.25">
      <c r="A6" s="8" t="s">
        <v>47</v>
      </c>
      <c r="B6" s="34"/>
      <c r="C6" s="34"/>
      <c r="D6" s="152"/>
      <c r="E6" s="35">
        <v>38037</v>
      </c>
      <c r="F6" s="35">
        <v>38065</v>
      </c>
      <c r="G6" s="35">
        <v>38100</v>
      </c>
      <c r="H6" s="35">
        <v>38128</v>
      </c>
      <c r="I6" s="35">
        <v>38159</v>
      </c>
      <c r="J6" s="35">
        <v>38189</v>
      </c>
      <c r="K6" s="35">
        <v>38219</v>
      </c>
      <c r="L6" s="35">
        <v>38251</v>
      </c>
      <c r="M6" s="35">
        <v>38282</v>
      </c>
      <c r="N6" s="35">
        <v>38313</v>
      </c>
      <c r="O6" s="35">
        <v>38343</v>
      </c>
      <c r="P6" s="35">
        <v>38373</v>
      </c>
      <c r="Q6" s="59" t="s">
        <v>62</v>
      </c>
    </row>
    <row r="7" spans="1:17" x14ac:dyDescent="0.25">
      <c r="A7" s="36"/>
      <c r="B7" s="37"/>
      <c r="C7" s="37"/>
      <c r="D7" s="53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</row>
    <row r="8" spans="1:17" x14ac:dyDescent="0.25">
      <c r="A8" s="39" t="s">
        <v>63</v>
      </c>
      <c r="B8" s="40"/>
      <c r="C8" s="40"/>
      <c r="D8" s="54" t="s">
        <v>25</v>
      </c>
      <c r="E8" s="66">
        <v>2802915.7199999997</v>
      </c>
      <c r="F8" s="66">
        <v>2459585.4900000002</v>
      </c>
      <c r="G8" s="66">
        <v>2925599.9999999995</v>
      </c>
      <c r="H8" s="66">
        <v>3086362.4000000004</v>
      </c>
      <c r="I8" s="66">
        <v>3459261.2600000007</v>
      </c>
      <c r="J8" s="66">
        <v>3122183.0800000005</v>
      </c>
      <c r="K8" s="66">
        <v>3397305.95</v>
      </c>
      <c r="L8" s="66">
        <v>3680418.3299999987</v>
      </c>
      <c r="M8" s="66">
        <v>3984085.2899999996</v>
      </c>
      <c r="N8" s="66">
        <v>3961310.63</v>
      </c>
      <c r="O8" s="66">
        <v>3051679.14</v>
      </c>
      <c r="P8" s="66">
        <v>2827253.0699999994</v>
      </c>
      <c r="Q8" s="66">
        <v>38757960.359999999</v>
      </c>
    </row>
    <row r="9" spans="1:17" x14ac:dyDescent="0.25">
      <c r="A9" s="39" t="s">
        <v>65</v>
      </c>
      <c r="B9" s="40"/>
      <c r="C9" s="40"/>
      <c r="D9" s="54"/>
      <c r="E9" s="66">
        <v>269511.13</v>
      </c>
      <c r="F9" s="66">
        <v>236498.6</v>
      </c>
      <c r="G9" s="66">
        <v>281307.69</v>
      </c>
      <c r="H9" s="66">
        <v>296765.62</v>
      </c>
      <c r="I9" s="66">
        <v>332621.28000000003</v>
      </c>
      <c r="J9" s="66">
        <v>300209.90999999997</v>
      </c>
      <c r="K9" s="66">
        <v>326664.03000000003</v>
      </c>
      <c r="L9" s="66">
        <v>353886.38</v>
      </c>
      <c r="M9" s="66">
        <v>383085.12</v>
      </c>
      <c r="N9" s="66">
        <v>380895.25</v>
      </c>
      <c r="O9" s="66">
        <v>220073.01</v>
      </c>
      <c r="P9" s="66">
        <v>135925.63</v>
      </c>
      <c r="Q9" s="66">
        <v>3517443.6500000004</v>
      </c>
    </row>
    <row r="10" spans="1:17" x14ac:dyDescent="0.25">
      <c r="A10" s="39" t="s">
        <v>85</v>
      </c>
      <c r="B10" s="40"/>
      <c r="C10" s="40"/>
      <c r="D10" s="54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>
        <v>73357.67</v>
      </c>
      <c r="P10" s="66">
        <v>135925.63</v>
      </c>
      <c r="Q10" s="66">
        <v>209283.3</v>
      </c>
    </row>
    <row r="11" spans="1:17" x14ac:dyDescent="0.25">
      <c r="A11" s="39" t="s">
        <v>66</v>
      </c>
      <c r="B11" s="40"/>
      <c r="C11" s="40"/>
      <c r="D11" s="54" t="s">
        <v>27</v>
      </c>
      <c r="E11" s="66">
        <v>161706.68</v>
      </c>
      <c r="F11" s="66">
        <v>141899.16</v>
      </c>
      <c r="G11" s="66">
        <v>168784.62</v>
      </c>
      <c r="H11" s="66">
        <v>178059.37</v>
      </c>
      <c r="I11" s="66">
        <v>199572.77</v>
      </c>
      <c r="J11" s="66">
        <v>180125.95</v>
      </c>
      <c r="K11" s="66">
        <v>195998.42</v>
      </c>
      <c r="L11" s="66">
        <v>212331.83</v>
      </c>
      <c r="M11" s="66">
        <v>229851.07</v>
      </c>
      <c r="N11" s="66">
        <v>228537.15</v>
      </c>
      <c r="O11" s="66">
        <v>176058.41</v>
      </c>
      <c r="P11" s="66">
        <v>163110.75</v>
      </c>
      <c r="Q11" s="66">
        <v>2236036.1799999997</v>
      </c>
    </row>
    <row r="12" spans="1:17" ht="16.5" thickBot="1" x14ac:dyDescent="0.3">
      <c r="A12" s="39" t="s">
        <v>50</v>
      </c>
      <c r="B12" s="40"/>
      <c r="C12" s="40"/>
      <c r="D12" s="54" t="s">
        <v>28</v>
      </c>
      <c r="E12" s="67">
        <v>2156089.02</v>
      </c>
      <c r="F12" s="67">
        <v>1891988.83</v>
      </c>
      <c r="G12" s="67">
        <v>2250461.54</v>
      </c>
      <c r="H12" s="67">
        <v>2374124.9300000002</v>
      </c>
      <c r="I12" s="67">
        <v>2660970.21</v>
      </c>
      <c r="J12" s="67">
        <v>2401679.2999999998</v>
      </c>
      <c r="K12" s="67">
        <v>2613312.2599999998</v>
      </c>
      <c r="L12" s="67">
        <v>2831091.03</v>
      </c>
      <c r="M12" s="67">
        <v>3064680.99</v>
      </c>
      <c r="N12" s="67">
        <v>3047162.02</v>
      </c>
      <c r="O12" s="67">
        <v>2347445.48</v>
      </c>
      <c r="P12" s="67">
        <v>2174810.06</v>
      </c>
      <c r="Q12" s="67">
        <v>29813815.669999998</v>
      </c>
    </row>
    <row r="13" spans="1:17" x14ac:dyDescent="0.25">
      <c r="A13" s="50"/>
      <c r="B13" s="17" t="s">
        <v>59</v>
      </c>
      <c r="C13" s="52"/>
      <c r="D13" s="55"/>
      <c r="E13" s="68">
        <v>5390222.5499999998</v>
      </c>
      <c r="F13" s="68">
        <v>4729972.08</v>
      </c>
      <c r="G13" s="68">
        <v>5626153.8499999996</v>
      </c>
      <c r="H13" s="68">
        <v>5935312.3200000003</v>
      </c>
      <c r="I13" s="68">
        <v>6652425.5200000005</v>
      </c>
      <c r="J13" s="68">
        <v>6004198.2400000002</v>
      </c>
      <c r="K13" s="68">
        <v>6533280.6600000001</v>
      </c>
      <c r="L13" s="68">
        <v>7077727.5699999984</v>
      </c>
      <c r="M13" s="68">
        <v>7661702.4699999997</v>
      </c>
      <c r="N13" s="68">
        <v>7617905.0499999998</v>
      </c>
      <c r="O13" s="68">
        <v>5868613.71</v>
      </c>
      <c r="P13" s="68">
        <v>5437025.1399999997</v>
      </c>
      <c r="Q13" s="68">
        <v>74534539.159999996</v>
      </c>
    </row>
    <row r="14" spans="1:17" x14ac:dyDescent="0.25">
      <c r="A14" s="50"/>
      <c r="B14" s="51"/>
      <c r="C14" s="52"/>
      <c r="D14" s="55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73"/>
    </row>
    <row r="15" spans="1:17" x14ac:dyDescent="0.25">
      <c r="A15" s="57" t="s">
        <v>64</v>
      </c>
      <c r="B15" s="40"/>
      <c r="C15" s="40"/>
      <c r="D15" s="40"/>
      <c r="E15" s="91"/>
      <c r="F15" s="91"/>
      <c r="G15" s="91"/>
      <c r="H15" s="91"/>
      <c r="I15" s="91"/>
      <c r="J15" s="92"/>
      <c r="K15" s="91"/>
      <c r="L15" s="91"/>
      <c r="M15" s="91"/>
      <c r="N15" s="91"/>
      <c r="O15" s="91"/>
      <c r="P15" s="78"/>
      <c r="Q15" s="88"/>
    </row>
    <row r="16" spans="1:17" x14ac:dyDescent="0.25">
      <c r="A16" s="89"/>
      <c r="B16" s="44"/>
      <c r="C16" s="44"/>
      <c r="D16" s="44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4"/>
    </row>
  </sheetData>
  <mergeCells count="1">
    <mergeCell ref="D5:D6"/>
  </mergeCells>
  <phoneticPr fontId="0" type="noConversion"/>
  <printOptions horizontalCentered="1" verticalCentered="1"/>
  <pageMargins left="0.59055118110236227" right="0.59055118110236227" top="0.59055118110236227" bottom="1" header="0" footer="0"/>
  <pageSetup paperSize="9" scale="4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transitionEvaluation="1">
    <pageSetUpPr fitToPage="1"/>
  </sheetPr>
  <dimension ref="A1:Q15"/>
  <sheetViews>
    <sheetView showGridLines="0" zoomScale="80" zoomScaleNormal="80" workbookViewId="0"/>
  </sheetViews>
  <sheetFormatPr baseColWidth="10" defaultColWidth="12.5703125" defaultRowHeight="15.75" x14ac:dyDescent="0.25"/>
  <cols>
    <col min="1" max="2" width="17.5703125" style="25" customWidth="1"/>
    <col min="3" max="3" width="11" style="25" customWidth="1"/>
    <col min="4" max="4" width="9.42578125" style="25" customWidth="1"/>
    <col min="5" max="17" width="17.5703125" style="25" customWidth="1"/>
    <col min="18" max="16384" width="12.5703125" style="25"/>
  </cols>
  <sheetData>
    <row r="1" spans="1:17" x14ac:dyDescent="0.25">
      <c r="A1" s="4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47"/>
    </row>
    <row r="2" spans="1:17" x14ac:dyDescent="0.25">
      <c r="A2" s="27" t="s">
        <v>54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17" x14ac:dyDescent="0.25">
      <c r="A3" s="27" t="s">
        <v>55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x14ac:dyDescent="0.25">
      <c r="A4" s="28" t="s">
        <v>30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</row>
    <row r="5" spans="1:17" x14ac:dyDescent="0.25">
      <c r="A5" s="29" t="s">
        <v>46</v>
      </c>
      <c r="B5" s="30"/>
      <c r="C5" s="30"/>
      <c r="D5" s="151" t="s">
        <v>52</v>
      </c>
      <c r="E5" s="31" t="s">
        <v>206</v>
      </c>
      <c r="F5" s="32" t="s">
        <v>207</v>
      </c>
      <c r="G5" s="32" t="s">
        <v>208</v>
      </c>
      <c r="H5" s="32" t="s">
        <v>209</v>
      </c>
      <c r="I5" s="32" t="s">
        <v>210</v>
      </c>
      <c r="J5" s="32" t="s">
        <v>211</v>
      </c>
      <c r="K5" s="32" t="s">
        <v>212</v>
      </c>
      <c r="L5" s="32" t="s">
        <v>213</v>
      </c>
      <c r="M5" s="32" t="s">
        <v>214</v>
      </c>
      <c r="N5" s="32" t="s">
        <v>215</v>
      </c>
      <c r="O5" s="32" t="s">
        <v>216</v>
      </c>
      <c r="P5" s="32" t="s">
        <v>217</v>
      </c>
      <c r="Q5" s="33" t="s">
        <v>48</v>
      </c>
    </row>
    <row r="6" spans="1:17" x14ac:dyDescent="0.25">
      <c r="A6" s="8" t="s">
        <v>47</v>
      </c>
      <c r="B6" s="34"/>
      <c r="C6" s="34"/>
      <c r="D6" s="152"/>
      <c r="E6" s="35">
        <v>37673</v>
      </c>
      <c r="F6" s="35">
        <v>37701</v>
      </c>
      <c r="G6" s="35">
        <v>37734</v>
      </c>
      <c r="H6" s="35">
        <v>37763</v>
      </c>
      <c r="I6" s="35">
        <v>37792</v>
      </c>
      <c r="J6" s="35">
        <v>37823</v>
      </c>
      <c r="K6" s="35">
        <v>37854</v>
      </c>
      <c r="L6" s="35">
        <v>37883</v>
      </c>
      <c r="M6" s="35">
        <v>37916</v>
      </c>
      <c r="N6" s="35">
        <v>37946</v>
      </c>
      <c r="O6" s="35">
        <v>37977</v>
      </c>
      <c r="P6" s="35">
        <v>38008</v>
      </c>
      <c r="Q6" s="59" t="s">
        <v>61</v>
      </c>
    </row>
    <row r="7" spans="1:17" x14ac:dyDescent="0.25">
      <c r="A7" s="36"/>
      <c r="B7" s="37"/>
      <c r="C7" s="37"/>
      <c r="D7" s="53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</row>
    <row r="8" spans="1:17" x14ac:dyDescent="0.25">
      <c r="A8" s="39" t="s">
        <v>31</v>
      </c>
      <c r="B8" s="40"/>
      <c r="C8" s="40"/>
      <c r="D8" s="54" t="s">
        <v>25</v>
      </c>
      <c r="E8" s="66">
        <v>3185941.12</v>
      </c>
      <c r="F8" s="66">
        <v>3103658.7700000005</v>
      </c>
      <c r="G8" s="66">
        <v>3270515.86</v>
      </c>
      <c r="H8" s="66">
        <v>2683398.04</v>
      </c>
      <c r="I8" s="66">
        <v>2999656.1500000004</v>
      </c>
      <c r="J8" s="66">
        <v>3077531.1000000006</v>
      </c>
      <c r="K8" s="66">
        <v>2975033.08</v>
      </c>
      <c r="L8" s="66">
        <v>2697754.5</v>
      </c>
      <c r="M8" s="66">
        <v>2564181.9099999997</v>
      </c>
      <c r="N8" s="66">
        <v>3064732.2299999995</v>
      </c>
      <c r="O8" s="66">
        <v>2909781.7600000002</v>
      </c>
      <c r="P8" s="66">
        <v>2899068.66</v>
      </c>
      <c r="Q8" s="66">
        <v>35431253.18</v>
      </c>
    </row>
    <row r="9" spans="1:17" x14ac:dyDescent="0.25">
      <c r="A9" s="39" t="s">
        <v>32</v>
      </c>
      <c r="B9" s="40"/>
      <c r="C9" s="40"/>
      <c r="D9" s="54" t="s">
        <v>26</v>
      </c>
      <c r="E9" s="66">
        <v>306340.49</v>
      </c>
      <c r="F9" s="66">
        <v>298428.73</v>
      </c>
      <c r="G9" s="66">
        <v>314472.68</v>
      </c>
      <c r="H9" s="66">
        <v>258019.04</v>
      </c>
      <c r="I9" s="66">
        <v>288428.48</v>
      </c>
      <c r="J9" s="66">
        <v>295916.45</v>
      </c>
      <c r="K9" s="66">
        <v>286060.87</v>
      </c>
      <c r="L9" s="66">
        <v>259399.47</v>
      </c>
      <c r="M9" s="66">
        <v>246555.95</v>
      </c>
      <c r="N9" s="66">
        <v>294685.78999999998</v>
      </c>
      <c r="O9" s="66">
        <v>279786.71000000002</v>
      </c>
      <c r="P9" s="66">
        <v>278756.59999999998</v>
      </c>
      <c r="Q9" s="66">
        <v>3406851.2600000002</v>
      </c>
    </row>
    <row r="10" spans="1:17" x14ac:dyDescent="0.25">
      <c r="A10" s="39" t="s">
        <v>33</v>
      </c>
      <c r="B10" s="40"/>
      <c r="C10" s="40"/>
      <c r="D10" s="54" t="s">
        <v>27</v>
      </c>
      <c r="E10" s="66">
        <v>183804.29</v>
      </c>
      <c r="F10" s="66">
        <v>179057.24</v>
      </c>
      <c r="G10" s="66">
        <v>188683.61</v>
      </c>
      <c r="H10" s="66">
        <v>154811.42000000001</v>
      </c>
      <c r="I10" s="66">
        <v>173057.09</v>
      </c>
      <c r="J10" s="66">
        <v>177549.87</v>
      </c>
      <c r="K10" s="66">
        <v>171636.52</v>
      </c>
      <c r="L10" s="66">
        <v>155639.67999999999</v>
      </c>
      <c r="M10" s="66">
        <v>147933.57</v>
      </c>
      <c r="N10" s="66">
        <v>176811.47</v>
      </c>
      <c r="O10" s="66">
        <v>167872.02</v>
      </c>
      <c r="P10" s="66">
        <v>167253.96</v>
      </c>
      <c r="Q10" s="66">
        <v>2044110.74</v>
      </c>
    </row>
    <row r="11" spans="1:17" ht="16.5" thickBot="1" x14ac:dyDescent="0.3">
      <c r="A11" s="39" t="s">
        <v>50</v>
      </c>
      <c r="B11" s="40"/>
      <c r="C11" s="40"/>
      <c r="D11" s="54" t="s">
        <v>28</v>
      </c>
      <c r="E11" s="67">
        <v>2450723.9300000002</v>
      </c>
      <c r="F11" s="67">
        <v>2387429.83</v>
      </c>
      <c r="G11" s="67">
        <v>2515781.4300000002</v>
      </c>
      <c r="H11" s="67">
        <v>2064152.33</v>
      </c>
      <c r="I11" s="67">
        <v>2307427.8199999998</v>
      </c>
      <c r="J11" s="67">
        <v>2367331.61</v>
      </c>
      <c r="K11" s="67">
        <v>2288486.98</v>
      </c>
      <c r="L11" s="67">
        <v>2075195.76</v>
      </c>
      <c r="M11" s="67">
        <v>1972447.62</v>
      </c>
      <c r="N11" s="67">
        <v>2357486.3199999998</v>
      </c>
      <c r="O11" s="67">
        <v>2238293.66</v>
      </c>
      <c r="P11" s="67">
        <v>2230052.81</v>
      </c>
      <c r="Q11" s="67">
        <v>27254810.100000001</v>
      </c>
    </row>
    <row r="12" spans="1:17" x14ac:dyDescent="0.25">
      <c r="A12" s="50"/>
      <c r="B12" s="17" t="s">
        <v>59</v>
      </c>
      <c r="C12" s="52"/>
      <c r="D12" s="55"/>
      <c r="E12" s="68">
        <v>6126809.8300000001</v>
      </c>
      <c r="F12" s="68">
        <v>5968574.5700000003</v>
      </c>
      <c r="G12" s="68">
        <v>6289453.5800000001</v>
      </c>
      <c r="H12" s="68">
        <v>5160380.83</v>
      </c>
      <c r="I12" s="68">
        <v>5768569.54</v>
      </c>
      <c r="J12" s="68">
        <v>5918329.0300000003</v>
      </c>
      <c r="K12" s="68">
        <v>5721217.4500000002</v>
      </c>
      <c r="L12" s="68">
        <v>5187989.41</v>
      </c>
      <c r="M12" s="68">
        <v>4931119.05</v>
      </c>
      <c r="N12" s="68">
        <v>5893715.8099999996</v>
      </c>
      <c r="O12" s="68">
        <v>5595734.1500000004</v>
      </c>
      <c r="P12" s="68">
        <v>5575132.0300000003</v>
      </c>
      <c r="Q12" s="68">
        <v>68137025.280000001</v>
      </c>
    </row>
    <row r="13" spans="1:17" x14ac:dyDescent="0.25">
      <c r="A13" s="50"/>
      <c r="B13" s="51"/>
      <c r="C13" s="52"/>
      <c r="D13" s="55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73"/>
    </row>
    <row r="14" spans="1:17" x14ac:dyDescent="0.25">
      <c r="A14" s="57" t="s">
        <v>64</v>
      </c>
      <c r="B14" s="40"/>
      <c r="C14" s="40"/>
      <c r="D14" s="40"/>
      <c r="E14" s="91"/>
      <c r="F14" s="91"/>
      <c r="G14" s="91"/>
      <c r="H14" s="91"/>
      <c r="I14" s="91"/>
      <c r="J14" s="92"/>
      <c r="K14" s="91"/>
      <c r="L14" s="91"/>
      <c r="M14" s="91"/>
      <c r="N14" s="91"/>
      <c r="O14" s="91"/>
      <c r="P14" s="78"/>
      <c r="Q14" s="88"/>
    </row>
    <row r="15" spans="1:17" x14ac:dyDescent="0.25">
      <c r="A15" s="89"/>
      <c r="B15" s="44"/>
      <c r="C15" s="44"/>
      <c r="D15" s="44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4"/>
    </row>
  </sheetData>
  <mergeCells count="1">
    <mergeCell ref="D5:D6"/>
  </mergeCells>
  <phoneticPr fontId="0" type="noConversion"/>
  <printOptions horizontalCentered="1"/>
  <pageMargins left="0.39370078740157483" right="0.39370078740157483" top="0.98425196850393704" bottom="0.62992125984251968" header="0" footer="0"/>
  <pageSetup paperSize="9" scale="49" orientation="landscape" horizontalDpi="360" verticalDpi="36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transitionEvaluation="1">
    <pageSetUpPr fitToPage="1"/>
  </sheetPr>
  <dimension ref="A1:Q43"/>
  <sheetViews>
    <sheetView showGridLines="0" zoomScale="80" zoomScaleNormal="80" workbookViewId="0"/>
  </sheetViews>
  <sheetFormatPr baseColWidth="10" defaultColWidth="12.5703125" defaultRowHeight="15.75" x14ac:dyDescent="0.25"/>
  <cols>
    <col min="1" max="2" width="17.5703125" style="25" customWidth="1"/>
    <col min="3" max="3" width="11" style="25" customWidth="1"/>
    <col min="4" max="4" width="9.42578125" style="25" customWidth="1"/>
    <col min="5" max="17" width="17.5703125" style="25" customWidth="1"/>
    <col min="18" max="16384" width="12.5703125" style="25"/>
  </cols>
  <sheetData>
    <row r="1" spans="1:17" x14ac:dyDescent="0.25">
      <c r="A1" s="4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47"/>
    </row>
    <row r="2" spans="1:17" x14ac:dyDescent="0.25">
      <c r="A2" s="27" t="s">
        <v>54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17" x14ac:dyDescent="0.25">
      <c r="A3" s="27" t="s">
        <v>55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x14ac:dyDescent="0.25">
      <c r="A4" s="28" t="s">
        <v>30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</row>
    <row r="5" spans="1:17" x14ac:dyDescent="0.25">
      <c r="A5" s="29" t="s">
        <v>46</v>
      </c>
      <c r="B5" s="30"/>
      <c r="C5" s="30"/>
      <c r="D5" s="151" t="s">
        <v>52</v>
      </c>
      <c r="E5" s="31" t="s">
        <v>218</v>
      </c>
      <c r="F5" s="32" t="s">
        <v>219</v>
      </c>
      <c r="G5" s="32" t="s">
        <v>220</v>
      </c>
      <c r="H5" s="32" t="s">
        <v>221</v>
      </c>
      <c r="I5" s="32" t="s">
        <v>222</v>
      </c>
      <c r="J5" s="32" t="s">
        <v>223</v>
      </c>
      <c r="K5" s="32" t="s">
        <v>224</v>
      </c>
      <c r="L5" s="32" t="s">
        <v>225</v>
      </c>
      <c r="M5" s="32" t="s">
        <v>226</v>
      </c>
      <c r="N5" s="32" t="s">
        <v>227</v>
      </c>
      <c r="O5" s="32" t="s">
        <v>228</v>
      </c>
      <c r="P5" s="32" t="s">
        <v>229</v>
      </c>
      <c r="Q5" s="33" t="s">
        <v>48</v>
      </c>
    </row>
    <row r="6" spans="1:17" x14ac:dyDescent="0.25">
      <c r="A6" s="8" t="s">
        <v>47</v>
      </c>
      <c r="B6" s="34"/>
      <c r="C6" s="34"/>
      <c r="D6" s="152"/>
      <c r="E6" s="35">
        <v>37308</v>
      </c>
      <c r="F6" s="35">
        <v>37336</v>
      </c>
      <c r="G6" s="35">
        <v>37365</v>
      </c>
      <c r="H6" s="35">
        <v>37398</v>
      </c>
      <c r="I6" s="35">
        <v>37428</v>
      </c>
      <c r="J6" s="35">
        <v>37456</v>
      </c>
      <c r="K6" s="35">
        <v>37489</v>
      </c>
      <c r="L6" s="35">
        <v>37519</v>
      </c>
      <c r="M6" s="35">
        <v>37551</v>
      </c>
      <c r="N6" s="35">
        <v>37582</v>
      </c>
      <c r="O6" s="35">
        <v>37610</v>
      </c>
      <c r="P6" s="35">
        <v>37643</v>
      </c>
      <c r="Q6" s="59" t="s">
        <v>60</v>
      </c>
    </row>
    <row r="7" spans="1:17" x14ac:dyDescent="0.25">
      <c r="A7" s="36"/>
      <c r="B7" s="37"/>
      <c r="C7" s="37"/>
      <c r="D7" s="53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</row>
    <row r="8" spans="1:17" x14ac:dyDescent="0.25">
      <c r="A8" s="39" t="s">
        <v>31</v>
      </c>
      <c r="B8" s="40"/>
      <c r="C8" s="40"/>
      <c r="D8" s="54" t="s">
        <v>25</v>
      </c>
      <c r="E8" s="66">
        <v>1845954.4900000002</v>
      </c>
      <c r="F8" s="66">
        <v>1705670</v>
      </c>
      <c r="G8" s="66">
        <v>2412497.1000000006</v>
      </c>
      <c r="H8" s="66">
        <v>2395311.2800000003</v>
      </c>
      <c r="I8" s="66">
        <v>2819973.9200000004</v>
      </c>
      <c r="J8" s="66">
        <v>2792485.3000000003</v>
      </c>
      <c r="K8" s="66">
        <v>2945819.5199999996</v>
      </c>
      <c r="L8" s="66">
        <v>3221318.8899999997</v>
      </c>
      <c r="M8" s="66">
        <v>3223225.5900000003</v>
      </c>
      <c r="N8" s="66">
        <v>3201169.1500000004</v>
      </c>
      <c r="O8" s="66">
        <v>2434654.3800000004</v>
      </c>
      <c r="P8" s="66">
        <v>2951671.69</v>
      </c>
      <c r="Q8" s="66">
        <v>31949751.310000002</v>
      </c>
    </row>
    <row r="9" spans="1:17" x14ac:dyDescent="0.25">
      <c r="A9" s="39" t="s">
        <v>32</v>
      </c>
      <c r="B9" s="40"/>
      <c r="C9" s="40"/>
      <c r="D9" s="54" t="s">
        <v>26</v>
      </c>
      <c r="E9" s="66">
        <v>177495.62</v>
      </c>
      <c r="F9" s="66">
        <v>164006.73000000001</v>
      </c>
      <c r="G9" s="66">
        <v>231970.87</v>
      </c>
      <c r="H9" s="66">
        <v>230318.39</v>
      </c>
      <c r="I9" s="66">
        <v>271151.34000000003</v>
      </c>
      <c r="J9" s="66">
        <v>268508.2</v>
      </c>
      <c r="K9" s="66">
        <v>283251.88</v>
      </c>
      <c r="L9" s="66">
        <v>309742.2</v>
      </c>
      <c r="M9" s="66">
        <v>309925.53999999998</v>
      </c>
      <c r="N9" s="66">
        <v>307804.73</v>
      </c>
      <c r="O9" s="66">
        <v>234101.38</v>
      </c>
      <c r="P9" s="66">
        <v>283814.59000000003</v>
      </c>
      <c r="Q9" s="66">
        <v>3072091.4699999993</v>
      </c>
    </row>
    <row r="10" spans="1:17" x14ac:dyDescent="0.25">
      <c r="A10" s="39" t="s">
        <v>33</v>
      </c>
      <c r="B10" s="40"/>
      <c r="C10" s="40"/>
      <c r="D10" s="54" t="s">
        <v>27</v>
      </c>
      <c r="E10" s="66">
        <v>106497.37</v>
      </c>
      <c r="F10" s="66">
        <v>98404.04</v>
      </c>
      <c r="G10" s="66">
        <v>139182.51999999999</v>
      </c>
      <c r="H10" s="66">
        <v>138191.03</v>
      </c>
      <c r="I10" s="66">
        <v>162690.79999999999</v>
      </c>
      <c r="J10" s="66">
        <v>161104.92000000001</v>
      </c>
      <c r="K10" s="66">
        <v>169951.13</v>
      </c>
      <c r="L10" s="66">
        <v>185845.32</v>
      </c>
      <c r="M10" s="66">
        <v>185955.32</v>
      </c>
      <c r="N10" s="66">
        <v>184682.84</v>
      </c>
      <c r="O10" s="66">
        <v>140460.82999999999</v>
      </c>
      <c r="P10" s="66">
        <v>170288.75</v>
      </c>
      <c r="Q10" s="66">
        <v>1843254.8700000003</v>
      </c>
    </row>
    <row r="11" spans="1:17" ht="16.5" thickBot="1" x14ac:dyDescent="0.3">
      <c r="A11" s="39" t="s">
        <v>50</v>
      </c>
      <c r="B11" s="40"/>
      <c r="C11" s="40"/>
      <c r="D11" s="54" t="s">
        <v>28</v>
      </c>
      <c r="E11" s="67">
        <v>1419964.99</v>
      </c>
      <c r="F11" s="67">
        <v>1312053.8500000001</v>
      </c>
      <c r="G11" s="67">
        <v>1855766.99</v>
      </c>
      <c r="H11" s="67">
        <v>1842547.13</v>
      </c>
      <c r="I11" s="67">
        <v>2169210.7000000002</v>
      </c>
      <c r="J11" s="67">
        <v>2148065.61</v>
      </c>
      <c r="K11" s="67">
        <v>2266015.02</v>
      </c>
      <c r="L11" s="67">
        <v>2477937.61</v>
      </c>
      <c r="M11" s="67">
        <v>2479404.2999999998</v>
      </c>
      <c r="N11" s="67">
        <v>2462437.8199999998</v>
      </c>
      <c r="O11" s="67">
        <v>1872811.06</v>
      </c>
      <c r="P11" s="67">
        <v>2270516.69</v>
      </c>
      <c r="Q11" s="67">
        <v>24576731.77</v>
      </c>
    </row>
    <row r="12" spans="1:17" x14ac:dyDescent="0.25">
      <c r="A12" s="50"/>
      <c r="B12" s="17" t="s">
        <v>59</v>
      </c>
      <c r="C12" s="52"/>
      <c r="D12" s="55"/>
      <c r="E12" s="68">
        <v>3549912.47</v>
      </c>
      <c r="F12" s="68">
        <v>3280134.62</v>
      </c>
      <c r="G12" s="68">
        <v>4639417.4800000004</v>
      </c>
      <c r="H12" s="68">
        <v>4606367.83</v>
      </c>
      <c r="I12" s="68">
        <v>5423026.7600000007</v>
      </c>
      <c r="J12" s="68">
        <v>5370164.0300000003</v>
      </c>
      <c r="K12" s="68">
        <v>5665037.5499999998</v>
      </c>
      <c r="L12" s="68">
        <v>6194844.0199999996</v>
      </c>
      <c r="M12" s="68">
        <v>6198510.75</v>
      </c>
      <c r="N12" s="68">
        <v>6156094.54</v>
      </c>
      <c r="O12" s="68">
        <v>4682027.6500000004</v>
      </c>
      <c r="P12" s="68">
        <v>5676291.7199999997</v>
      </c>
      <c r="Q12" s="68">
        <v>61441829.420000002</v>
      </c>
    </row>
    <row r="13" spans="1:17" x14ac:dyDescent="0.25">
      <c r="A13" s="50"/>
      <c r="B13" s="51"/>
      <c r="C13" s="52"/>
      <c r="D13" s="55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6"/>
    </row>
    <row r="14" spans="1:17" x14ac:dyDescent="0.25">
      <c r="A14" s="57" t="s">
        <v>51</v>
      </c>
      <c r="B14" s="40"/>
      <c r="C14" s="40"/>
      <c r="D14" s="55"/>
      <c r="E14" s="66"/>
      <c r="F14" s="66"/>
      <c r="G14" s="66"/>
      <c r="H14" s="66"/>
      <c r="I14" s="66"/>
      <c r="J14" s="70"/>
      <c r="K14" s="66"/>
      <c r="L14" s="66"/>
      <c r="M14" s="66"/>
      <c r="N14" s="66"/>
      <c r="O14" s="66"/>
      <c r="P14" s="71"/>
      <c r="Q14" s="66"/>
    </row>
    <row r="15" spans="1:17" x14ac:dyDescent="0.25">
      <c r="A15" s="57"/>
      <c r="B15" s="40"/>
      <c r="C15" s="40"/>
      <c r="D15" s="55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</row>
    <row r="16" spans="1:17" ht="16.5" thickBot="1" x14ac:dyDescent="0.3">
      <c r="A16" s="42" t="s">
        <v>6</v>
      </c>
      <c r="B16" s="41"/>
      <c r="C16" s="40"/>
      <c r="D16" s="55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</row>
    <row r="17" spans="1:17" x14ac:dyDescent="0.25">
      <c r="A17" s="39" t="s">
        <v>35</v>
      </c>
      <c r="B17" s="40"/>
      <c r="C17" s="40"/>
      <c r="D17" s="61"/>
      <c r="E17" s="66">
        <v>497866.7</v>
      </c>
      <c r="F17" s="66">
        <v>460031</v>
      </c>
      <c r="G17" s="66">
        <v>650667.17000000004</v>
      </c>
      <c r="H17" s="66">
        <v>646032.03</v>
      </c>
      <c r="I17" s="66">
        <v>760566.48</v>
      </c>
      <c r="J17" s="66">
        <v>753152.6</v>
      </c>
      <c r="K17" s="66">
        <v>794507.91999999993</v>
      </c>
      <c r="L17" s="66">
        <v>868812.01000000013</v>
      </c>
      <c r="M17" s="66">
        <v>869326.26</v>
      </c>
      <c r="N17" s="66">
        <v>863377.49000000022</v>
      </c>
      <c r="O17" s="66">
        <v>656643.15</v>
      </c>
      <c r="P17" s="66">
        <v>796086.28999999992</v>
      </c>
      <c r="Q17" s="66">
        <v>8617069.0999999996</v>
      </c>
    </row>
    <row r="18" spans="1:17" x14ac:dyDescent="0.25">
      <c r="A18" s="39" t="s">
        <v>36</v>
      </c>
      <c r="B18" s="40"/>
      <c r="C18" s="40"/>
      <c r="D18" s="61"/>
      <c r="E18" s="66">
        <v>31971.93</v>
      </c>
      <c r="F18" s="66">
        <v>29542.2</v>
      </c>
      <c r="G18" s="66">
        <v>41784.449999999997</v>
      </c>
      <c r="H18" s="66">
        <v>41486.79</v>
      </c>
      <c r="I18" s="66">
        <v>48841.95</v>
      </c>
      <c r="J18" s="66">
        <v>48365.85</v>
      </c>
      <c r="K18" s="66">
        <v>51021.59</v>
      </c>
      <c r="L18" s="66">
        <v>55793.24</v>
      </c>
      <c r="M18" s="66">
        <v>55826.27</v>
      </c>
      <c r="N18" s="66">
        <v>55444.25</v>
      </c>
      <c r="O18" s="66">
        <v>42168.21</v>
      </c>
      <c r="P18" s="66">
        <v>51122.95</v>
      </c>
      <c r="Q18" s="66">
        <v>553369.68000000005</v>
      </c>
    </row>
    <row r="19" spans="1:17" x14ac:dyDescent="0.25">
      <c r="A19" s="39" t="s">
        <v>37</v>
      </c>
      <c r="B19" s="40"/>
      <c r="C19" s="40"/>
      <c r="D19" s="61"/>
      <c r="E19" s="66">
        <v>40250.33</v>
      </c>
      <c r="F19" s="66">
        <v>37191.480000000003</v>
      </c>
      <c r="G19" s="66">
        <v>52603.57</v>
      </c>
      <c r="H19" s="66">
        <v>52228.84</v>
      </c>
      <c r="I19" s="66">
        <v>61488.45</v>
      </c>
      <c r="J19" s="66">
        <v>60889.07</v>
      </c>
      <c r="K19" s="66">
        <v>64232.46</v>
      </c>
      <c r="L19" s="66">
        <v>70239.62</v>
      </c>
      <c r="M19" s="66">
        <v>70281.19</v>
      </c>
      <c r="N19" s="66">
        <v>69800.259999999995</v>
      </c>
      <c r="O19" s="66">
        <v>53086.7</v>
      </c>
      <c r="P19" s="66">
        <v>64360.07</v>
      </c>
      <c r="Q19" s="66">
        <v>696652.03999999992</v>
      </c>
    </row>
    <row r="20" spans="1:17" x14ac:dyDescent="0.25">
      <c r="A20" s="39" t="s">
        <v>38</v>
      </c>
      <c r="B20" s="40"/>
      <c r="C20" s="40"/>
      <c r="D20" s="61"/>
      <c r="E20" s="66">
        <v>42123.26</v>
      </c>
      <c r="F20" s="66">
        <v>38922.080000000002</v>
      </c>
      <c r="G20" s="66">
        <v>55051.33</v>
      </c>
      <c r="H20" s="66">
        <v>54659.16</v>
      </c>
      <c r="I20" s="66">
        <v>64349.64</v>
      </c>
      <c r="J20" s="66">
        <v>63722.37</v>
      </c>
      <c r="K20" s="66">
        <v>67221.34</v>
      </c>
      <c r="L20" s="66">
        <v>73508.02</v>
      </c>
      <c r="M20" s="66">
        <v>73551.53</v>
      </c>
      <c r="N20" s="66">
        <v>73048.22</v>
      </c>
      <c r="O20" s="66">
        <v>55556.94</v>
      </c>
      <c r="P20" s="66">
        <v>67354.880000000005</v>
      </c>
      <c r="Q20" s="66">
        <v>729068.7699999999</v>
      </c>
    </row>
    <row r="21" spans="1:17" x14ac:dyDescent="0.25">
      <c r="A21" s="39" t="s">
        <v>39</v>
      </c>
      <c r="B21" s="40"/>
      <c r="C21" s="40"/>
      <c r="D21" s="61"/>
      <c r="E21" s="66">
        <v>60561.51</v>
      </c>
      <c r="F21" s="66">
        <v>55959.1</v>
      </c>
      <c r="G21" s="66">
        <v>79148.460000000006</v>
      </c>
      <c r="H21" s="66">
        <v>78584.639999999999</v>
      </c>
      <c r="I21" s="66">
        <v>92516.84</v>
      </c>
      <c r="J21" s="66">
        <v>91615</v>
      </c>
      <c r="K21" s="66">
        <v>96645.54</v>
      </c>
      <c r="L21" s="66">
        <v>105684.04</v>
      </c>
      <c r="M21" s="66">
        <v>105746.59</v>
      </c>
      <c r="N21" s="66">
        <v>105022.97</v>
      </c>
      <c r="O21" s="66">
        <v>79875.39</v>
      </c>
      <c r="P21" s="66">
        <v>96837.54</v>
      </c>
      <c r="Q21" s="66">
        <v>1048197.6200000001</v>
      </c>
    </row>
    <row r="22" spans="1:17" x14ac:dyDescent="0.25">
      <c r="A22" s="39" t="s">
        <v>40</v>
      </c>
      <c r="B22" s="40"/>
      <c r="C22" s="40"/>
      <c r="D22" s="61"/>
      <c r="E22" s="73">
        <v>15483.3</v>
      </c>
      <c r="F22" s="73">
        <v>14306.64</v>
      </c>
      <c r="G22" s="73">
        <v>20235.28</v>
      </c>
      <c r="H22" s="73">
        <v>20091.13</v>
      </c>
      <c r="I22" s="73">
        <v>23653.07</v>
      </c>
      <c r="J22" s="73">
        <v>23422.51</v>
      </c>
      <c r="K22" s="73">
        <v>24708.63</v>
      </c>
      <c r="L22" s="73">
        <v>27019.43</v>
      </c>
      <c r="M22" s="73">
        <v>27035.42</v>
      </c>
      <c r="N22" s="73">
        <v>26850.42</v>
      </c>
      <c r="O22" s="73">
        <v>20421.13</v>
      </c>
      <c r="P22" s="73">
        <v>24757.71</v>
      </c>
      <c r="Q22" s="73">
        <v>267984.67</v>
      </c>
    </row>
    <row r="23" spans="1:17" x14ac:dyDescent="0.25">
      <c r="A23" s="39"/>
      <c r="B23" s="40"/>
      <c r="C23" s="40"/>
      <c r="D23" s="62"/>
      <c r="E23" s="68">
        <v>688257.03</v>
      </c>
      <c r="F23" s="68">
        <v>635952.5</v>
      </c>
      <c r="G23" s="68">
        <v>899490.26</v>
      </c>
      <c r="H23" s="68">
        <v>893082.59</v>
      </c>
      <c r="I23" s="68">
        <v>1051416.43</v>
      </c>
      <c r="J23" s="68">
        <v>1041167.4</v>
      </c>
      <c r="K23" s="68">
        <v>1098337.48</v>
      </c>
      <c r="L23" s="68">
        <v>1201056.3600000001</v>
      </c>
      <c r="M23" s="68">
        <v>1201767.26</v>
      </c>
      <c r="N23" s="68">
        <v>1193543.6100000001</v>
      </c>
      <c r="O23" s="68">
        <v>907751.52</v>
      </c>
      <c r="P23" s="68">
        <v>1100519.44</v>
      </c>
      <c r="Q23" s="68">
        <v>11912341.879999999</v>
      </c>
    </row>
    <row r="24" spans="1:17" x14ac:dyDescent="0.25">
      <c r="A24" s="39"/>
      <c r="B24" s="40"/>
      <c r="C24" s="40"/>
      <c r="D24" s="62"/>
      <c r="E24" s="66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66"/>
    </row>
    <row r="25" spans="1:17" ht="16.5" thickBot="1" x14ac:dyDescent="0.3">
      <c r="A25" s="42" t="s">
        <v>12</v>
      </c>
      <c r="B25" s="41"/>
      <c r="C25" s="40"/>
      <c r="D25" s="6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</row>
    <row r="26" spans="1:17" x14ac:dyDescent="0.25">
      <c r="A26" s="39" t="s">
        <v>41</v>
      </c>
      <c r="B26" s="40"/>
      <c r="C26" s="40"/>
      <c r="D26" s="61"/>
      <c r="E26" s="66">
        <v>139676.27000000002</v>
      </c>
      <c r="F26" s="66">
        <v>129061.48000000001</v>
      </c>
      <c r="G26" s="66">
        <v>182544.38</v>
      </c>
      <c r="H26" s="66">
        <v>181244</v>
      </c>
      <c r="I26" s="66">
        <v>213376.58</v>
      </c>
      <c r="J26" s="66">
        <v>211296.62</v>
      </c>
      <c r="K26" s="66">
        <v>222898.83</v>
      </c>
      <c r="L26" s="66">
        <v>243744.80000000002</v>
      </c>
      <c r="M26" s="66">
        <v>243889.07999999996</v>
      </c>
      <c r="N26" s="66">
        <v>242220.16</v>
      </c>
      <c r="O26" s="66">
        <v>184220.94</v>
      </c>
      <c r="P26" s="66">
        <v>223341.64</v>
      </c>
      <c r="Q26" s="66">
        <v>2417514.7800000003</v>
      </c>
    </row>
    <row r="27" spans="1:17" x14ac:dyDescent="0.25">
      <c r="A27" s="39" t="s">
        <v>42</v>
      </c>
      <c r="B27" s="40"/>
      <c r="C27" s="40"/>
      <c r="D27" s="61"/>
      <c r="E27" s="66">
        <v>38958.160000000003</v>
      </c>
      <c r="F27" s="66">
        <v>35997.51</v>
      </c>
      <c r="G27" s="66">
        <v>50914.82</v>
      </c>
      <c r="H27" s="66">
        <v>50552.12</v>
      </c>
      <c r="I27" s="66">
        <v>59514.46</v>
      </c>
      <c r="J27" s="66">
        <v>58934.33</v>
      </c>
      <c r="K27" s="66">
        <v>62170.39</v>
      </c>
      <c r="L27" s="66">
        <v>67984.7</v>
      </c>
      <c r="M27" s="66">
        <v>68024.94</v>
      </c>
      <c r="N27" s="66">
        <v>67559.44</v>
      </c>
      <c r="O27" s="66">
        <v>51382.44</v>
      </c>
      <c r="P27" s="66">
        <v>62293.9</v>
      </c>
      <c r="Q27" s="66">
        <v>674287.21000000008</v>
      </c>
    </row>
    <row r="28" spans="1:17" x14ac:dyDescent="0.25">
      <c r="A28" s="39" t="s">
        <v>43</v>
      </c>
      <c r="B28" s="40"/>
      <c r="C28" s="40"/>
      <c r="D28" s="61"/>
      <c r="E28" s="73">
        <v>11072.89</v>
      </c>
      <c r="F28" s="73">
        <v>10231.4</v>
      </c>
      <c r="G28" s="73">
        <v>14471.27</v>
      </c>
      <c r="H28" s="73">
        <v>14368.18</v>
      </c>
      <c r="I28" s="73">
        <v>16915.509999999998</v>
      </c>
      <c r="J28" s="73">
        <v>16750.62</v>
      </c>
      <c r="K28" s="73">
        <v>17670.39</v>
      </c>
      <c r="L28" s="73">
        <v>19322.96</v>
      </c>
      <c r="M28" s="73">
        <v>19334.39</v>
      </c>
      <c r="N28" s="73">
        <v>19202.09</v>
      </c>
      <c r="O28" s="73">
        <v>14604.18</v>
      </c>
      <c r="P28" s="73">
        <v>17705.490000000002</v>
      </c>
      <c r="Q28" s="73">
        <v>191649.36999999997</v>
      </c>
    </row>
    <row r="29" spans="1:17" x14ac:dyDescent="0.25">
      <c r="A29" s="39"/>
      <c r="B29" s="40"/>
      <c r="C29" s="40"/>
      <c r="D29" s="62"/>
      <c r="E29" s="68">
        <v>189707.32</v>
      </c>
      <c r="F29" s="68">
        <v>175290.39</v>
      </c>
      <c r="G29" s="68">
        <v>247930.47</v>
      </c>
      <c r="H29" s="68">
        <v>246164.3</v>
      </c>
      <c r="I29" s="68">
        <v>289806.55</v>
      </c>
      <c r="J29" s="68">
        <v>286981.57</v>
      </c>
      <c r="K29" s="68">
        <v>302739.61</v>
      </c>
      <c r="L29" s="68">
        <v>331052.46000000002</v>
      </c>
      <c r="M29" s="68">
        <v>331248.40999999997</v>
      </c>
      <c r="N29" s="68">
        <v>328981.69</v>
      </c>
      <c r="O29" s="68">
        <v>250207.56</v>
      </c>
      <c r="P29" s="68">
        <v>303341.03000000003</v>
      </c>
      <c r="Q29" s="68">
        <v>3283451.3600000003</v>
      </c>
    </row>
    <row r="30" spans="1:17" x14ac:dyDescent="0.25">
      <c r="A30" s="39"/>
      <c r="B30" s="40"/>
      <c r="C30" s="40"/>
      <c r="D30" s="62"/>
      <c r="E30" s="74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4"/>
    </row>
    <row r="31" spans="1:17" ht="16.5" thickBot="1" x14ac:dyDescent="0.3">
      <c r="A31" s="42" t="s">
        <v>44</v>
      </c>
      <c r="B31" s="41"/>
      <c r="C31" s="40"/>
      <c r="D31" s="6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</row>
    <row r="32" spans="1:17" x14ac:dyDescent="0.25">
      <c r="A32" s="39" t="s">
        <v>16</v>
      </c>
      <c r="B32" s="40"/>
      <c r="C32" s="40"/>
      <c r="D32" s="61"/>
      <c r="E32" s="66">
        <v>142608.5</v>
      </c>
      <c r="F32" s="66">
        <v>131770.88</v>
      </c>
      <c r="G32" s="66">
        <v>186376.54</v>
      </c>
      <c r="H32" s="66">
        <v>185048.84999999998</v>
      </c>
      <c r="I32" s="66">
        <v>217856</v>
      </c>
      <c r="J32" s="66">
        <v>215732.38</v>
      </c>
      <c r="K32" s="66">
        <v>227578.15000000002</v>
      </c>
      <c r="L32" s="66">
        <v>248861.75</v>
      </c>
      <c r="M32" s="66">
        <v>249009.04999999993</v>
      </c>
      <c r="N32" s="66">
        <v>247305.08999999997</v>
      </c>
      <c r="O32" s="66">
        <v>188088.27999999997</v>
      </c>
      <c r="P32" s="66">
        <v>228030.27000000002</v>
      </c>
      <c r="Q32" s="66">
        <v>2468265.7399999993</v>
      </c>
    </row>
    <row r="33" spans="1:17" x14ac:dyDescent="0.25">
      <c r="A33" s="39" t="s">
        <v>17</v>
      </c>
      <c r="B33" s="40"/>
      <c r="C33" s="40"/>
      <c r="D33" s="61"/>
      <c r="E33" s="66">
        <v>61176.35</v>
      </c>
      <c r="F33" s="66">
        <v>56527.22</v>
      </c>
      <c r="G33" s="66">
        <v>79952.009999999995</v>
      </c>
      <c r="H33" s="66">
        <v>79382.460000000006</v>
      </c>
      <c r="I33" s="66">
        <v>93456.1</v>
      </c>
      <c r="J33" s="66">
        <v>92545.11</v>
      </c>
      <c r="K33" s="66">
        <v>97626.73</v>
      </c>
      <c r="L33" s="66">
        <v>106756.99</v>
      </c>
      <c r="M33" s="66">
        <v>106820.18</v>
      </c>
      <c r="N33" s="66">
        <v>106089.21</v>
      </c>
      <c r="O33" s="66">
        <v>80686.320000000007</v>
      </c>
      <c r="P33" s="66">
        <v>97820.67</v>
      </c>
      <c r="Q33" s="66">
        <v>1058839.3499999999</v>
      </c>
    </row>
    <row r="34" spans="1:17" x14ac:dyDescent="0.25">
      <c r="A34" s="39" t="s">
        <v>18</v>
      </c>
      <c r="B34" s="40"/>
      <c r="C34" s="40"/>
      <c r="D34" s="61"/>
      <c r="E34" s="66">
        <v>69954.58</v>
      </c>
      <c r="F34" s="66">
        <v>64638.33</v>
      </c>
      <c r="G34" s="66">
        <v>91424.36</v>
      </c>
      <c r="H34" s="66">
        <v>90773.08</v>
      </c>
      <c r="I34" s="66">
        <v>106866.17</v>
      </c>
      <c r="J34" s="66">
        <v>105824.45</v>
      </c>
      <c r="K34" s="66">
        <v>111635.23</v>
      </c>
      <c r="L34" s="66">
        <v>122075.6</v>
      </c>
      <c r="M34" s="66">
        <v>122147.85</v>
      </c>
      <c r="N34" s="66">
        <v>121312</v>
      </c>
      <c r="O34" s="66">
        <v>92264.04</v>
      </c>
      <c r="P34" s="66">
        <v>111857</v>
      </c>
      <c r="Q34" s="66">
        <v>1210772.69</v>
      </c>
    </row>
    <row r="35" spans="1:17" x14ac:dyDescent="0.25">
      <c r="A35" s="39" t="s">
        <v>19</v>
      </c>
      <c r="B35" s="40"/>
      <c r="C35" s="40"/>
      <c r="D35" s="61"/>
      <c r="E35" s="73">
        <v>56828.42</v>
      </c>
      <c r="F35" s="73">
        <v>52509.71</v>
      </c>
      <c r="G35" s="73">
        <v>74269.649999999994</v>
      </c>
      <c r="H35" s="73">
        <v>73740.58</v>
      </c>
      <c r="I35" s="73">
        <v>86813.98</v>
      </c>
      <c r="J35" s="73">
        <v>85967.73</v>
      </c>
      <c r="K35" s="73">
        <v>90688.19</v>
      </c>
      <c r="L35" s="73">
        <v>99169.54</v>
      </c>
      <c r="M35" s="73">
        <v>99228.24</v>
      </c>
      <c r="N35" s="73">
        <v>98549.22</v>
      </c>
      <c r="O35" s="73">
        <v>74951.77</v>
      </c>
      <c r="P35" s="73">
        <v>90868.35</v>
      </c>
      <c r="Q35" s="73">
        <v>983585.37999999989</v>
      </c>
    </row>
    <row r="36" spans="1:17" x14ac:dyDescent="0.25">
      <c r="A36" s="39"/>
      <c r="B36" s="40"/>
      <c r="C36" s="40"/>
      <c r="D36" s="62"/>
      <c r="E36" s="68">
        <v>330567.84999999998</v>
      </c>
      <c r="F36" s="68">
        <v>305446.14</v>
      </c>
      <c r="G36" s="68">
        <v>432022.56</v>
      </c>
      <c r="H36" s="68">
        <v>428944.97</v>
      </c>
      <c r="I36" s="68">
        <v>504992.25</v>
      </c>
      <c r="J36" s="68">
        <v>500069.67</v>
      </c>
      <c r="K36" s="68">
        <v>527528.30000000005</v>
      </c>
      <c r="L36" s="68">
        <v>576863.88</v>
      </c>
      <c r="M36" s="68">
        <v>577205.31999999995</v>
      </c>
      <c r="N36" s="68">
        <v>573255.52</v>
      </c>
      <c r="O36" s="68">
        <v>435990.41</v>
      </c>
      <c r="P36" s="68">
        <v>528576.29</v>
      </c>
      <c r="Q36" s="68">
        <v>5721463.1600000001</v>
      </c>
    </row>
    <row r="37" spans="1:17" x14ac:dyDescent="0.25">
      <c r="A37" s="39"/>
      <c r="B37" s="40"/>
      <c r="C37" s="40"/>
      <c r="D37" s="62"/>
      <c r="E37" s="74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4"/>
    </row>
    <row r="38" spans="1:17" ht="16.5" thickBot="1" x14ac:dyDescent="0.3">
      <c r="A38" s="42" t="s">
        <v>20</v>
      </c>
      <c r="B38" s="41"/>
      <c r="C38" s="40"/>
      <c r="D38" s="6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</row>
    <row r="39" spans="1:17" x14ac:dyDescent="0.25">
      <c r="A39" s="39" t="s">
        <v>21</v>
      </c>
      <c r="B39" s="40"/>
      <c r="C39" s="40"/>
      <c r="D39" s="61"/>
      <c r="E39" s="73">
        <v>211432.79000000004</v>
      </c>
      <c r="F39" s="73">
        <v>195364.82000000007</v>
      </c>
      <c r="G39" s="73">
        <v>276323.69999999995</v>
      </c>
      <c r="H39" s="73">
        <v>274355.2699999999</v>
      </c>
      <c r="I39" s="73">
        <v>322995.4700000002</v>
      </c>
      <c r="J39" s="73">
        <v>319846.96999999986</v>
      </c>
      <c r="K39" s="73">
        <v>337409.62999999989</v>
      </c>
      <c r="L39" s="73">
        <v>368964.90999999992</v>
      </c>
      <c r="M39" s="73">
        <v>369183.31000000006</v>
      </c>
      <c r="N39" s="73">
        <v>366656.99999999977</v>
      </c>
      <c r="O39" s="73">
        <v>278861.57000000007</v>
      </c>
      <c r="P39" s="73">
        <v>338079.92999999993</v>
      </c>
      <c r="Q39" s="73">
        <v>3659475.3699999992</v>
      </c>
    </row>
    <row r="40" spans="1:17" ht="16.5" thickBot="1" x14ac:dyDescent="0.3">
      <c r="A40" s="43"/>
      <c r="B40" s="44"/>
      <c r="C40" s="44"/>
      <c r="D40" s="63"/>
      <c r="E40" s="75">
        <v>211432.79000000004</v>
      </c>
      <c r="F40" s="75">
        <v>195364.82000000007</v>
      </c>
      <c r="G40" s="75">
        <v>276323.69999999995</v>
      </c>
      <c r="H40" s="75">
        <v>274355.2699999999</v>
      </c>
      <c r="I40" s="75">
        <v>322995.4700000002</v>
      </c>
      <c r="J40" s="75">
        <v>319846.96999999986</v>
      </c>
      <c r="K40" s="75">
        <v>337409.62999999989</v>
      </c>
      <c r="L40" s="75">
        <v>368964.90999999992</v>
      </c>
      <c r="M40" s="75">
        <v>369183.31000000006</v>
      </c>
      <c r="N40" s="75">
        <v>366656.99999999977</v>
      </c>
      <c r="O40" s="75">
        <v>278861.57000000007</v>
      </c>
      <c r="P40" s="75">
        <v>338079.92999999993</v>
      </c>
      <c r="Q40" s="75">
        <v>3659475.3699999992</v>
      </c>
    </row>
    <row r="41" spans="1:17" ht="16.5" thickTop="1" x14ac:dyDescent="0.25">
      <c r="A41" s="26"/>
      <c r="B41" s="26" t="s">
        <v>45</v>
      </c>
      <c r="C41" s="26"/>
      <c r="D41" s="26"/>
      <c r="E41" s="76">
        <v>1419964.9900000002</v>
      </c>
      <c r="F41" s="76">
        <v>1312053.8500000001</v>
      </c>
      <c r="G41" s="76">
        <v>1855766.99</v>
      </c>
      <c r="H41" s="76">
        <v>1842547.13</v>
      </c>
      <c r="I41" s="76">
        <v>2169210.7000000002</v>
      </c>
      <c r="J41" s="76">
        <v>2148065.61</v>
      </c>
      <c r="K41" s="76">
        <v>2266015.0199999996</v>
      </c>
      <c r="L41" s="76">
        <v>2477937.6100000003</v>
      </c>
      <c r="M41" s="76">
        <v>2479404.2999999998</v>
      </c>
      <c r="N41" s="76">
        <v>2462437.8199999998</v>
      </c>
      <c r="O41" s="76">
        <v>1872811.06</v>
      </c>
      <c r="P41" s="76">
        <v>2270516.69</v>
      </c>
      <c r="Q41" s="76">
        <v>24576731.77</v>
      </c>
    </row>
    <row r="42" spans="1:17" x14ac:dyDescent="0.25">
      <c r="E42" s="77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7"/>
    </row>
    <row r="43" spans="1:17" x14ac:dyDescent="0.25">
      <c r="A43" s="49"/>
      <c r="B43" s="48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</row>
  </sheetData>
  <mergeCells count="1">
    <mergeCell ref="D5:D6"/>
  </mergeCells>
  <phoneticPr fontId="0" type="noConversion"/>
  <printOptions horizontalCentered="1"/>
  <pageMargins left="0.39370078740157483" right="0.39370078740157483" top="0.98425196850393704" bottom="0.62992125984251968" header="0" footer="0"/>
  <pageSetup paperSize="9" scale="49" orientation="landscape" horizontalDpi="360" verticalDpi="36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transitionEvaluation="1">
    <pageSetUpPr fitToPage="1"/>
  </sheetPr>
  <dimension ref="A1:Q43"/>
  <sheetViews>
    <sheetView showGridLines="0" zoomScale="80" zoomScaleNormal="80" workbookViewId="0"/>
  </sheetViews>
  <sheetFormatPr baseColWidth="10" defaultColWidth="12.5703125" defaultRowHeight="15.75" x14ac:dyDescent="0.25"/>
  <cols>
    <col min="1" max="2" width="17.5703125" style="25" customWidth="1"/>
    <col min="3" max="3" width="12.5703125" style="25"/>
    <col min="4" max="4" width="9.42578125" style="25" bestFit="1" customWidth="1"/>
    <col min="5" max="17" width="17.5703125" style="25" customWidth="1"/>
    <col min="18" max="16384" width="12.5703125" style="25"/>
  </cols>
  <sheetData>
    <row r="1" spans="1:17" x14ac:dyDescent="0.25">
      <c r="A1" s="4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47"/>
    </row>
    <row r="2" spans="1:17" x14ac:dyDescent="0.25">
      <c r="A2" s="27" t="s">
        <v>54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17" x14ac:dyDescent="0.25">
      <c r="A3" s="27" t="s">
        <v>55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x14ac:dyDescent="0.25">
      <c r="A4" s="28" t="s">
        <v>30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</row>
    <row r="5" spans="1:17" x14ac:dyDescent="0.25">
      <c r="A5" s="29" t="s">
        <v>46</v>
      </c>
      <c r="B5" s="30"/>
      <c r="C5" s="30"/>
      <c r="D5" s="151" t="s">
        <v>52</v>
      </c>
      <c r="E5" s="31" t="s">
        <v>230</v>
      </c>
      <c r="F5" s="32" t="s">
        <v>231</v>
      </c>
      <c r="G5" s="32" t="s">
        <v>232</v>
      </c>
      <c r="H5" s="32" t="s">
        <v>233</v>
      </c>
      <c r="I5" s="32" t="s">
        <v>234</v>
      </c>
      <c r="J5" s="32" t="s">
        <v>235</v>
      </c>
      <c r="K5" s="32" t="s">
        <v>236</v>
      </c>
      <c r="L5" s="32" t="s">
        <v>237</v>
      </c>
      <c r="M5" s="32" t="s">
        <v>238</v>
      </c>
      <c r="N5" s="32" t="s">
        <v>239</v>
      </c>
      <c r="O5" s="32" t="s">
        <v>240</v>
      </c>
      <c r="P5" s="32" t="s">
        <v>241</v>
      </c>
      <c r="Q5" s="33" t="s">
        <v>48</v>
      </c>
    </row>
    <row r="6" spans="1:17" x14ac:dyDescent="0.25">
      <c r="A6" s="8" t="s">
        <v>47</v>
      </c>
      <c r="B6" s="34"/>
      <c r="C6" s="34"/>
      <c r="D6" s="152"/>
      <c r="E6" s="35">
        <v>36943</v>
      </c>
      <c r="F6" s="35">
        <v>36971</v>
      </c>
      <c r="G6" s="35">
        <v>37005</v>
      </c>
      <c r="H6" s="35">
        <v>37033</v>
      </c>
      <c r="I6" s="35">
        <v>37063</v>
      </c>
      <c r="J6" s="35">
        <v>37092</v>
      </c>
      <c r="K6" s="35">
        <v>37124</v>
      </c>
      <c r="L6" s="35">
        <v>37155</v>
      </c>
      <c r="M6" s="35">
        <v>37186</v>
      </c>
      <c r="N6" s="35">
        <v>37218</v>
      </c>
      <c r="O6" s="35">
        <v>37246</v>
      </c>
      <c r="P6" s="35">
        <v>37278</v>
      </c>
      <c r="Q6" s="58" t="s">
        <v>56</v>
      </c>
    </row>
    <row r="7" spans="1:17" x14ac:dyDescent="0.25">
      <c r="A7" s="36"/>
      <c r="B7" s="37"/>
      <c r="C7" s="37"/>
      <c r="D7" s="53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</row>
    <row r="8" spans="1:17" x14ac:dyDescent="0.25">
      <c r="A8" s="39" t="s">
        <v>31</v>
      </c>
      <c r="B8" s="40"/>
      <c r="C8" s="40"/>
      <c r="D8" s="54" t="s">
        <v>25</v>
      </c>
      <c r="E8" s="66">
        <v>2406098.2000000002</v>
      </c>
      <c r="F8" s="66">
        <v>2198230.7599999998</v>
      </c>
      <c r="G8" s="66">
        <v>2130955.7000000002</v>
      </c>
      <c r="H8" s="66">
        <v>2184386.37</v>
      </c>
      <c r="I8" s="66">
        <v>2349604.37</v>
      </c>
      <c r="J8" s="66">
        <v>3093597.6099999994</v>
      </c>
      <c r="K8" s="66">
        <v>2568573.15</v>
      </c>
      <c r="L8" s="66">
        <v>2680843.0999999996</v>
      </c>
      <c r="M8" s="66">
        <v>2500881.6000000006</v>
      </c>
      <c r="N8" s="66">
        <v>1994290.8500000003</v>
      </c>
      <c r="O8" s="66">
        <v>1567860.9600000004</v>
      </c>
      <c r="P8" s="66">
        <v>1666902.0199999998</v>
      </c>
      <c r="Q8" s="66">
        <v>27342224.690000001</v>
      </c>
    </row>
    <row r="9" spans="1:17" x14ac:dyDescent="0.25">
      <c r="A9" s="39" t="s">
        <v>32</v>
      </c>
      <c r="B9" s="40"/>
      <c r="C9" s="40"/>
      <c r="D9" s="54" t="s">
        <v>26</v>
      </c>
      <c r="E9" s="66">
        <v>231355.6</v>
      </c>
      <c r="F9" s="66">
        <v>211368.34</v>
      </c>
      <c r="G9" s="66">
        <v>204899.59</v>
      </c>
      <c r="H9" s="66">
        <v>210037.15</v>
      </c>
      <c r="I9" s="66">
        <v>225923.5</v>
      </c>
      <c r="J9" s="66">
        <v>297461.31</v>
      </c>
      <c r="K9" s="66">
        <v>246978.19</v>
      </c>
      <c r="L9" s="66">
        <v>257773.38</v>
      </c>
      <c r="M9" s="66">
        <v>240469.38</v>
      </c>
      <c r="N9" s="66">
        <v>191758.74</v>
      </c>
      <c r="O9" s="66">
        <v>150755.85999999999</v>
      </c>
      <c r="P9" s="66">
        <v>160279.04000000001</v>
      </c>
      <c r="Q9" s="66">
        <v>2629060.0799999996</v>
      </c>
    </row>
    <row r="10" spans="1:17" x14ac:dyDescent="0.25">
      <c r="A10" s="39" t="s">
        <v>33</v>
      </c>
      <c r="B10" s="40"/>
      <c r="C10" s="40"/>
      <c r="D10" s="54" t="s">
        <v>27</v>
      </c>
      <c r="E10" s="66">
        <v>138813.35999999999</v>
      </c>
      <c r="F10" s="66">
        <v>126821.01</v>
      </c>
      <c r="G10" s="66">
        <v>122939.75</v>
      </c>
      <c r="H10" s="66">
        <v>126022.29</v>
      </c>
      <c r="I10" s="66">
        <v>135554.1</v>
      </c>
      <c r="J10" s="66">
        <v>178476.79</v>
      </c>
      <c r="K10" s="66">
        <v>148186.91</v>
      </c>
      <c r="L10" s="66">
        <v>154664.03</v>
      </c>
      <c r="M10" s="66">
        <v>144281.63</v>
      </c>
      <c r="N10" s="66">
        <v>115055.24</v>
      </c>
      <c r="O10" s="66">
        <v>90453.52</v>
      </c>
      <c r="P10" s="66">
        <v>96167.42</v>
      </c>
      <c r="Q10" s="66">
        <v>1577436.05</v>
      </c>
    </row>
    <row r="11" spans="1:17" ht="16.5" thickBot="1" x14ac:dyDescent="0.3">
      <c r="A11" s="39" t="s">
        <v>50</v>
      </c>
      <c r="B11" s="40"/>
      <c r="C11" s="40"/>
      <c r="D11" s="54" t="s">
        <v>28</v>
      </c>
      <c r="E11" s="67">
        <v>1850844.78</v>
      </c>
      <c r="F11" s="67">
        <v>1690946.74</v>
      </c>
      <c r="G11" s="67">
        <v>1639196.69</v>
      </c>
      <c r="H11" s="67">
        <v>1680297.2</v>
      </c>
      <c r="I11" s="67">
        <v>1807387.98</v>
      </c>
      <c r="J11" s="67">
        <v>2379690.4700000002</v>
      </c>
      <c r="K11" s="67">
        <v>1975825.5</v>
      </c>
      <c r="L11" s="67">
        <v>2062187</v>
      </c>
      <c r="M11" s="67">
        <v>1923755.08</v>
      </c>
      <c r="N11" s="67">
        <v>1534069.89</v>
      </c>
      <c r="O11" s="67">
        <v>1206046.8999999999</v>
      </c>
      <c r="P11" s="67">
        <v>1282232.3200000001</v>
      </c>
      <c r="Q11" s="67">
        <v>21032480.550000001</v>
      </c>
    </row>
    <row r="12" spans="1:17" x14ac:dyDescent="0.25">
      <c r="A12" s="50"/>
      <c r="B12" s="17" t="s">
        <v>59</v>
      </c>
      <c r="C12" s="52"/>
      <c r="D12" s="55"/>
      <c r="E12" s="68">
        <v>4627111.9400000004</v>
      </c>
      <c r="F12" s="68">
        <v>4227366.8499999996</v>
      </c>
      <c r="G12" s="68">
        <v>4097991.73</v>
      </c>
      <c r="H12" s="68">
        <v>4200743.01</v>
      </c>
      <c r="I12" s="68">
        <v>4518469.95</v>
      </c>
      <c r="J12" s="68">
        <v>5949226.1799999997</v>
      </c>
      <c r="K12" s="68">
        <v>4939563.75</v>
      </c>
      <c r="L12" s="68">
        <v>5155467.51</v>
      </c>
      <c r="M12" s="68">
        <v>4809387.6900000004</v>
      </c>
      <c r="N12" s="68">
        <v>3835174.72</v>
      </c>
      <c r="O12" s="68">
        <v>3015117.24</v>
      </c>
      <c r="P12" s="68">
        <v>3205580.7999999998</v>
      </c>
      <c r="Q12" s="68">
        <v>52581201.369999997</v>
      </c>
    </row>
    <row r="13" spans="1:17" x14ac:dyDescent="0.25">
      <c r="A13" s="50"/>
      <c r="B13" s="51"/>
      <c r="C13" s="52"/>
      <c r="D13" s="55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6"/>
    </row>
    <row r="14" spans="1:17" x14ac:dyDescent="0.25">
      <c r="A14" s="57" t="s">
        <v>51</v>
      </c>
      <c r="B14" s="40"/>
      <c r="C14" s="40"/>
      <c r="D14" s="55"/>
      <c r="E14" s="66"/>
      <c r="F14" s="66"/>
      <c r="G14" s="66"/>
      <c r="H14" s="66"/>
      <c r="I14" s="66"/>
      <c r="J14" s="70" t="s">
        <v>49</v>
      </c>
      <c r="K14" s="66"/>
      <c r="L14" s="66"/>
      <c r="M14" s="66"/>
      <c r="N14" s="66"/>
      <c r="O14" s="66"/>
      <c r="P14" s="71"/>
      <c r="Q14" s="66"/>
    </row>
    <row r="15" spans="1:17" x14ac:dyDescent="0.25">
      <c r="A15" s="57"/>
      <c r="B15" s="40"/>
      <c r="C15" s="40"/>
      <c r="D15" s="55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</row>
    <row r="16" spans="1:17" ht="16.5" thickBot="1" x14ac:dyDescent="0.3">
      <c r="A16" s="42" t="s">
        <v>6</v>
      </c>
      <c r="B16" s="41"/>
      <c r="C16" s="40"/>
      <c r="D16" s="55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</row>
    <row r="17" spans="1:17" x14ac:dyDescent="0.25">
      <c r="A17" s="39" t="s">
        <v>35</v>
      </c>
      <c r="B17" s="40"/>
      <c r="C17" s="40"/>
      <c r="D17" s="64"/>
      <c r="E17" s="66">
        <v>648941.34</v>
      </c>
      <c r="F17" s="66">
        <v>592878.04</v>
      </c>
      <c r="G17" s="66">
        <v>574733.51</v>
      </c>
      <c r="H17" s="66">
        <v>589144.12000000011</v>
      </c>
      <c r="I17" s="66">
        <v>633704.55999999994</v>
      </c>
      <c r="J17" s="66">
        <v>834364.69</v>
      </c>
      <c r="K17" s="66">
        <v>692761.96</v>
      </c>
      <c r="L17" s="66">
        <v>723041.94000000006</v>
      </c>
      <c r="M17" s="66">
        <v>674505.09</v>
      </c>
      <c r="N17" s="66">
        <v>537874.05000000005</v>
      </c>
      <c r="O17" s="66">
        <v>422862.95000000007</v>
      </c>
      <c r="P17" s="66">
        <v>449575.02</v>
      </c>
      <c r="Q17" s="66">
        <v>7374387.2699999996</v>
      </c>
    </row>
    <row r="18" spans="1:17" x14ac:dyDescent="0.25">
      <c r="A18" s="39" t="s">
        <v>36</v>
      </c>
      <c r="B18" s="40"/>
      <c r="C18" s="40"/>
      <c r="D18" s="64"/>
      <c r="E18" s="66">
        <v>41673.620000000003</v>
      </c>
      <c r="F18" s="66">
        <v>38073.360000000001</v>
      </c>
      <c r="G18" s="66">
        <v>36908.15</v>
      </c>
      <c r="H18" s="66">
        <v>37833.57</v>
      </c>
      <c r="I18" s="66">
        <v>40695.15</v>
      </c>
      <c r="J18" s="66">
        <v>53581.11</v>
      </c>
      <c r="K18" s="66">
        <v>44487.69</v>
      </c>
      <c r="L18" s="66">
        <v>46432.2</v>
      </c>
      <c r="M18" s="66">
        <v>43315.27</v>
      </c>
      <c r="N18" s="66">
        <v>34541.120000000003</v>
      </c>
      <c r="O18" s="66">
        <v>27155.35</v>
      </c>
      <c r="P18" s="66">
        <v>28870.74</v>
      </c>
      <c r="Q18" s="66">
        <v>473567.33</v>
      </c>
    </row>
    <row r="19" spans="1:17" x14ac:dyDescent="0.25">
      <c r="A19" s="39" t="s">
        <v>37</v>
      </c>
      <c r="B19" s="40"/>
      <c r="C19" s="40"/>
      <c r="D19" s="64"/>
      <c r="E19" s="66">
        <v>52464.05</v>
      </c>
      <c r="F19" s="66">
        <v>47931.58</v>
      </c>
      <c r="G19" s="66">
        <v>46464.67</v>
      </c>
      <c r="H19" s="66">
        <v>47629.7</v>
      </c>
      <c r="I19" s="66">
        <v>51232.22</v>
      </c>
      <c r="J19" s="66">
        <v>67454.710000000006</v>
      </c>
      <c r="K19" s="66">
        <v>56006.75</v>
      </c>
      <c r="L19" s="66">
        <v>58454.75</v>
      </c>
      <c r="M19" s="66">
        <v>54530.76</v>
      </c>
      <c r="N19" s="66">
        <v>43484.75</v>
      </c>
      <c r="O19" s="66">
        <v>34186.61</v>
      </c>
      <c r="P19" s="66">
        <v>36346.160000000003</v>
      </c>
      <c r="Q19" s="66">
        <v>596186.71</v>
      </c>
    </row>
    <row r="20" spans="1:17" x14ac:dyDescent="0.25">
      <c r="A20" s="39" t="s">
        <v>38</v>
      </c>
      <c r="B20" s="40"/>
      <c r="C20" s="40"/>
      <c r="D20" s="64"/>
      <c r="E20" s="66">
        <v>54905.31</v>
      </c>
      <c r="F20" s="66">
        <v>50161.94</v>
      </c>
      <c r="G20" s="66">
        <v>48626.77</v>
      </c>
      <c r="H20" s="66">
        <v>49846.02</v>
      </c>
      <c r="I20" s="66">
        <v>53616.160000000003</v>
      </c>
      <c r="J20" s="66">
        <v>70593.52</v>
      </c>
      <c r="K20" s="66">
        <v>58612.86</v>
      </c>
      <c r="L20" s="66">
        <v>61174.78</v>
      </c>
      <c r="M20" s="66">
        <v>57068.19</v>
      </c>
      <c r="N20" s="66">
        <v>45508.18</v>
      </c>
      <c r="O20" s="66">
        <v>35777.379999999997</v>
      </c>
      <c r="P20" s="66">
        <v>38037.42</v>
      </c>
      <c r="Q20" s="66">
        <v>623928.53</v>
      </c>
    </row>
    <row r="21" spans="1:17" x14ac:dyDescent="0.25">
      <c r="A21" s="39" t="s">
        <v>39</v>
      </c>
      <c r="B21" s="40"/>
      <c r="C21" s="40"/>
      <c r="D21" s="64"/>
      <c r="E21" s="66">
        <v>78938.53</v>
      </c>
      <c r="F21" s="66">
        <v>72118.880000000005</v>
      </c>
      <c r="G21" s="66">
        <v>69911.740000000005</v>
      </c>
      <c r="H21" s="66">
        <v>71664.679999999993</v>
      </c>
      <c r="I21" s="66">
        <v>77085.100000000006</v>
      </c>
      <c r="J21" s="66">
        <v>101493.8</v>
      </c>
      <c r="K21" s="66">
        <v>84268.96</v>
      </c>
      <c r="L21" s="66">
        <v>87952.28</v>
      </c>
      <c r="M21" s="66">
        <v>82048.149999999994</v>
      </c>
      <c r="N21" s="66">
        <v>65428.08</v>
      </c>
      <c r="O21" s="66">
        <v>51437.9</v>
      </c>
      <c r="P21" s="66">
        <v>54687.21</v>
      </c>
      <c r="Q21" s="66">
        <v>897035.31</v>
      </c>
    </row>
    <row r="22" spans="1:17" x14ac:dyDescent="0.25">
      <c r="A22" s="39" t="s">
        <v>40</v>
      </c>
      <c r="B22" s="40"/>
      <c r="C22" s="40"/>
      <c r="D22" s="64"/>
      <c r="E22" s="73">
        <v>20181.61</v>
      </c>
      <c r="F22" s="73">
        <v>18438.080000000002</v>
      </c>
      <c r="G22" s="73">
        <v>17873.8</v>
      </c>
      <c r="H22" s="73">
        <v>18321.96</v>
      </c>
      <c r="I22" s="73">
        <v>19707.759999999998</v>
      </c>
      <c r="J22" s="73">
        <v>25948.14</v>
      </c>
      <c r="K22" s="73">
        <v>21544.400000000001</v>
      </c>
      <c r="L22" s="73">
        <v>22486.09</v>
      </c>
      <c r="M22" s="73">
        <v>20976.63</v>
      </c>
      <c r="N22" s="73">
        <v>16727.5</v>
      </c>
      <c r="O22" s="73">
        <v>13150.74</v>
      </c>
      <c r="P22" s="73">
        <v>13981.46</v>
      </c>
      <c r="Q22" s="73">
        <v>229338.16999999998</v>
      </c>
    </row>
    <row r="23" spans="1:17" x14ac:dyDescent="0.25">
      <c r="A23" s="39"/>
      <c r="B23" s="40"/>
      <c r="C23" s="40"/>
      <c r="D23" s="65"/>
      <c r="E23" s="68">
        <v>897104.46</v>
      </c>
      <c r="F23" s="68">
        <v>819601.88</v>
      </c>
      <c r="G23" s="68">
        <v>794518.64</v>
      </c>
      <c r="H23" s="68">
        <v>814440.05</v>
      </c>
      <c r="I23" s="68">
        <v>876040.95</v>
      </c>
      <c r="J23" s="68">
        <v>1153435.97</v>
      </c>
      <c r="K23" s="68">
        <v>957682.62</v>
      </c>
      <c r="L23" s="68">
        <v>999542.04</v>
      </c>
      <c r="M23" s="68">
        <v>932444.09</v>
      </c>
      <c r="N23" s="68">
        <v>743563.68</v>
      </c>
      <c r="O23" s="68">
        <v>584570.93000000005</v>
      </c>
      <c r="P23" s="68">
        <v>621498.01</v>
      </c>
      <c r="Q23" s="68">
        <v>10194443.32</v>
      </c>
    </row>
    <row r="24" spans="1:17" x14ac:dyDescent="0.25">
      <c r="A24" s="39"/>
      <c r="B24" s="40"/>
      <c r="C24" s="40"/>
      <c r="D24" s="65"/>
      <c r="E24" s="66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66"/>
    </row>
    <row r="25" spans="1:17" ht="16.5" thickBot="1" x14ac:dyDescent="0.3">
      <c r="A25" s="42" t="s">
        <v>12</v>
      </c>
      <c r="B25" s="41"/>
      <c r="C25" s="40"/>
      <c r="D25" s="65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</row>
    <row r="26" spans="1:17" x14ac:dyDescent="0.25">
      <c r="A26" s="39" t="s">
        <v>41</v>
      </c>
      <c r="B26" s="40"/>
      <c r="C26" s="40"/>
      <c r="D26" s="64"/>
      <c r="E26" s="66">
        <v>182060.19</v>
      </c>
      <c r="F26" s="66">
        <v>166331.67000000001</v>
      </c>
      <c r="G26" s="66">
        <v>161241.22</v>
      </c>
      <c r="H26" s="66">
        <v>165284.12</v>
      </c>
      <c r="I26" s="66">
        <v>177785.52</v>
      </c>
      <c r="J26" s="66">
        <v>234080.63</v>
      </c>
      <c r="K26" s="66">
        <v>194354.05</v>
      </c>
      <c r="L26" s="66">
        <v>202849.09</v>
      </c>
      <c r="M26" s="66">
        <v>189232.09999999998</v>
      </c>
      <c r="N26" s="66">
        <v>150900.32</v>
      </c>
      <c r="O26" s="66">
        <v>118634.01999999999</v>
      </c>
      <c r="P26" s="66">
        <v>126128.06</v>
      </c>
      <c r="Q26" s="66">
        <v>2068880.9900000005</v>
      </c>
    </row>
    <row r="27" spans="1:17" x14ac:dyDescent="0.25">
      <c r="A27" s="39" t="s">
        <v>42</v>
      </c>
      <c r="B27" s="40"/>
      <c r="C27" s="40"/>
      <c r="D27" s="64"/>
      <c r="E27" s="66">
        <v>50779.78</v>
      </c>
      <c r="F27" s="66">
        <v>46392.81</v>
      </c>
      <c r="G27" s="66">
        <v>44973</v>
      </c>
      <c r="H27" s="66">
        <v>46100.63</v>
      </c>
      <c r="I27" s="66">
        <v>49587.5</v>
      </c>
      <c r="J27" s="66">
        <v>65289.19</v>
      </c>
      <c r="K27" s="66">
        <v>54208.75</v>
      </c>
      <c r="L27" s="66">
        <v>56578.16</v>
      </c>
      <c r="M27" s="66">
        <v>52780.14</v>
      </c>
      <c r="N27" s="66">
        <v>42088.74</v>
      </c>
      <c r="O27" s="66">
        <v>33089.1</v>
      </c>
      <c r="P27" s="66">
        <v>35179.33</v>
      </c>
      <c r="Q27" s="66">
        <v>577047.13</v>
      </c>
    </row>
    <row r="28" spans="1:17" x14ac:dyDescent="0.25">
      <c r="A28" s="39" t="s">
        <v>43</v>
      </c>
      <c r="B28" s="40"/>
      <c r="C28" s="40"/>
      <c r="D28" s="64"/>
      <c r="E28" s="73">
        <v>14432.89</v>
      </c>
      <c r="F28" s="73">
        <v>13186</v>
      </c>
      <c r="G28" s="73">
        <v>12782.46</v>
      </c>
      <c r="H28" s="73">
        <v>13102.96</v>
      </c>
      <c r="I28" s="73">
        <v>14094.01</v>
      </c>
      <c r="J28" s="73">
        <v>18556.830000000002</v>
      </c>
      <c r="K28" s="73">
        <v>15407.49</v>
      </c>
      <c r="L28" s="73">
        <v>16080.93</v>
      </c>
      <c r="M28" s="73">
        <v>15001.44</v>
      </c>
      <c r="N28" s="73">
        <v>11962.68</v>
      </c>
      <c r="O28" s="73">
        <v>9404.75</v>
      </c>
      <c r="P28" s="73">
        <v>9998.85</v>
      </c>
      <c r="Q28" s="73">
        <v>164011.29</v>
      </c>
    </row>
    <row r="29" spans="1:17" x14ac:dyDescent="0.25">
      <c r="A29" s="39"/>
      <c r="B29" s="40"/>
      <c r="C29" s="40"/>
      <c r="D29" s="65"/>
      <c r="E29" s="68">
        <v>247272.86</v>
      </c>
      <c r="F29" s="68">
        <v>225910.48</v>
      </c>
      <c r="G29" s="68">
        <v>218996.68</v>
      </c>
      <c r="H29" s="68">
        <v>224487.71</v>
      </c>
      <c r="I29" s="68">
        <v>241467.03</v>
      </c>
      <c r="J29" s="68">
        <v>317926.65000000002</v>
      </c>
      <c r="K29" s="68">
        <v>263970.28999999998</v>
      </c>
      <c r="L29" s="68">
        <v>275508.18</v>
      </c>
      <c r="M29" s="68">
        <v>257013.68</v>
      </c>
      <c r="N29" s="68">
        <v>204951.74</v>
      </c>
      <c r="O29" s="68">
        <v>161127.87</v>
      </c>
      <c r="P29" s="68">
        <v>171306.23999999999</v>
      </c>
      <c r="Q29" s="68">
        <v>2809939.41</v>
      </c>
    </row>
    <row r="30" spans="1:17" x14ac:dyDescent="0.25">
      <c r="A30" s="39"/>
      <c r="B30" s="40"/>
      <c r="C30" s="40"/>
      <c r="D30" s="65"/>
      <c r="E30" s="74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4"/>
    </row>
    <row r="31" spans="1:17" ht="16.5" thickBot="1" x14ac:dyDescent="0.3">
      <c r="A31" s="42" t="s">
        <v>44</v>
      </c>
      <c r="B31" s="41"/>
      <c r="C31" s="40"/>
      <c r="D31" s="65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</row>
    <row r="32" spans="1:17" x14ac:dyDescent="0.25">
      <c r="A32" s="39" t="s">
        <v>16</v>
      </c>
      <c r="B32" s="40"/>
      <c r="C32" s="40"/>
      <c r="D32" s="64"/>
      <c r="E32" s="66">
        <v>185882.17999999996</v>
      </c>
      <c r="F32" s="66">
        <v>169823.47000000003</v>
      </c>
      <c r="G32" s="66">
        <v>164626.16999999998</v>
      </c>
      <c r="H32" s="66">
        <v>168753.94</v>
      </c>
      <c r="I32" s="66">
        <v>181517.78</v>
      </c>
      <c r="J32" s="66">
        <v>238994.69999999995</v>
      </c>
      <c r="K32" s="66">
        <v>198434.14</v>
      </c>
      <c r="L32" s="66">
        <v>207107.5</v>
      </c>
      <c r="M32" s="66">
        <v>193204.65</v>
      </c>
      <c r="N32" s="66">
        <v>154068.17999999996</v>
      </c>
      <c r="O32" s="66">
        <v>121124.49999999997</v>
      </c>
      <c r="P32" s="66">
        <v>128775.85999999999</v>
      </c>
      <c r="Q32" s="66">
        <v>2112313.0699999998</v>
      </c>
    </row>
    <row r="33" spans="1:17" x14ac:dyDescent="0.25">
      <c r="A33" s="39" t="s">
        <v>17</v>
      </c>
      <c r="B33" s="40"/>
      <c r="C33" s="40"/>
      <c r="D33" s="64"/>
      <c r="E33" s="66">
        <v>79739.95</v>
      </c>
      <c r="F33" s="66">
        <v>72851.06</v>
      </c>
      <c r="G33" s="66">
        <v>70621.509999999995</v>
      </c>
      <c r="H33" s="66">
        <v>72392.240000000005</v>
      </c>
      <c r="I33" s="66">
        <v>77867.7</v>
      </c>
      <c r="J33" s="66">
        <v>102524.2</v>
      </c>
      <c r="K33" s="66">
        <v>85124.49</v>
      </c>
      <c r="L33" s="66">
        <v>88845.2</v>
      </c>
      <c r="M33" s="66">
        <v>82881.14</v>
      </c>
      <c r="N33" s="66">
        <v>66092.33</v>
      </c>
      <c r="O33" s="66">
        <v>51960.12</v>
      </c>
      <c r="P33" s="66">
        <v>55242.42</v>
      </c>
      <c r="Q33" s="66">
        <v>906142.36</v>
      </c>
    </row>
    <row r="34" spans="1:17" x14ac:dyDescent="0.25">
      <c r="A34" s="39" t="s">
        <v>18</v>
      </c>
      <c r="B34" s="40"/>
      <c r="C34" s="40"/>
      <c r="D34" s="64"/>
      <c r="E34" s="66">
        <v>91181.87</v>
      </c>
      <c r="F34" s="66">
        <v>83304.490000000005</v>
      </c>
      <c r="G34" s="66">
        <v>80755.02</v>
      </c>
      <c r="H34" s="66">
        <v>82779.839999999997</v>
      </c>
      <c r="I34" s="66">
        <v>89040.97</v>
      </c>
      <c r="J34" s="66">
        <v>117235.45</v>
      </c>
      <c r="K34" s="66">
        <v>97339.04</v>
      </c>
      <c r="L34" s="66">
        <v>101593.64</v>
      </c>
      <c r="M34" s="66">
        <v>94773.79</v>
      </c>
      <c r="N34" s="66">
        <v>75575.95</v>
      </c>
      <c r="O34" s="66">
        <v>59415.9</v>
      </c>
      <c r="P34" s="66">
        <v>63169.18</v>
      </c>
      <c r="Q34" s="66">
        <v>1036165.14</v>
      </c>
    </row>
    <row r="35" spans="1:17" x14ac:dyDescent="0.25">
      <c r="A35" s="39" t="s">
        <v>19</v>
      </c>
      <c r="B35" s="40"/>
      <c r="C35" s="40"/>
      <c r="D35" s="64"/>
      <c r="E35" s="73">
        <v>74072.66</v>
      </c>
      <c r="F35" s="73">
        <v>67673.38</v>
      </c>
      <c r="G35" s="73">
        <v>65602.289999999994</v>
      </c>
      <c r="H35" s="73">
        <v>67247.17</v>
      </c>
      <c r="I35" s="73">
        <v>72333.47</v>
      </c>
      <c r="J35" s="73">
        <v>95237.59</v>
      </c>
      <c r="K35" s="73">
        <v>79074.509999999995</v>
      </c>
      <c r="L35" s="73">
        <v>82530.789999999994</v>
      </c>
      <c r="M35" s="73">
        <v>76990.600000000006</v>
      </c>
      <c r="N35" s="73">
        <v>61395.01</v>
      </c>
      <c r="O35" s="73">
        <v>48267.199999999997</v>
      </c>
      <c r="P35" s="73">
        <v>51316.22</v>
      </c>
      <c r="Q35" s="73">
        <v>841740.8899999999</v>
      </c>
    </row>
    <row r="36" spans="1:17" x14ac:dyDescent="0.25">
      <c r="A36" s="39"/>
      <c r="B36" s="40"/>
      <c r="C36" s="40"/>
      <c r="D36" s="65"/>
      <c r="E36" s="68">
        <v>430876.66</v>
      </c>
      <c r="F36" s="68">
        <v>393652.4</v>
      </c>
      <c r="G36" s="68">
        <v>381604.99</v>
      </c>
      <c r="H36" s="68">
        <v>391173.19</v>
      </c>
      <c r="I36" s="68">
        <v>420759.92</v>
      </c>
      <c r="J36" s="68">
        <v>553991.93999999994</v>
      </c>
      <c r="K36" s="68">
        <v>459972.18</v>
      </c>
      <c r="L36" s="68">
        <v>480077.13</v>
      </c>
      <c r="M36" s="68">
        <v>447850.18</v>
      </c>
      <c r="N36" s="68">
        <v>357131.47</v>
      </c>
      <c r="O36" s="68">
        <v>280767.71999999997</v>
      </c>
      <c r="P36" s="68">
        <v>298503.67999999999</v>
      </c>
      <c r="Q36" s="68">
        <v>4896361.459999999</v>
      </c>
    </row>
    <row r="37" spans="1:17" x14ac:dyDescent="0.25">
      <c r="A37" s="39"/>
      <c r="B37" s="40"/>
      <c r="C37" s="40"/>
      <c r="D37" s="65"/>
      <c r="E37" s="74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4"/>
    </row>
    <row r="38" spans="1:17" ht="16.5" thickBot="1" x14ac:dyDescent="0.3">
      <c r="A38" s="42" t="s">
        <v>20</v>
      </c>
      <c r="B38" s="41"/>
      <c r="C38" s="40"/>
      <c r="D38" s="65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</row>
    <row r="39" spans="1:17" x14ac:dyDescent="0.25">
      <c r="A39" s="39" t="s">
        <v>21</v>
      </c>
      <c r="B39" s="40"/>
      <c r="C39" s="40"/>
      <c r="D39" s="64"/>
      <c r="E39" s="73">
        <v>275590.80000000028</v>
      </c>
      <c r="F39" s="73">
        <v>251781.97999999986</v>
      </c>
      <c r="G39" s="73">
        <v>244076.38</v>
      </c>
      <c r="H39" s="73">
        <v>250196.25</v>
      </c>
      <c r="I39" s="73">
        <v>269120.08000000007</v>
      </c>
      <c r="J39" s="73">
        <v>354335.91000000038</v>
      </c>
      <c r="K39" s="73">
        <v>294200.41000000003</v>
      </c>
      <c r="L39" s="73">
        <v>307059.65000000014</v>
      </c>
      <c r="M39" s="73">
        <v>286447.13000000024</v>
      </c>
      <c r="N39" s="73">
        <v>228422.99999999988</v>
      </c>
      <c r="O39" s="73">
        <v>179580.37999999989</v>
      </c>
      <c r="P39" s="73">
        <v>190924.39000000013</v>
      </c>
      <c r="Q39" s="73">
        <v>3131736.3600000013</v>
      </c>
    </row>
    <row r="40" spans="1:17" ht="16.5" thickBot="1" x14ac:dyDescent="0.3">
      <c r="A40" s="43"/>
      <c r="B40" s="44"/>
      <c r="C40" s="44"/>
      <c r="D40" s="56"/>
      <c r="E40" s="75">
        <v>275590.80000000028</v>
      </c>
      <c r="F40" s="75">
        <v>251781.97999999986</v>
      </c>
      <c r="G40" s="75">
        <v>244076.38</v>
      </c>
      <c r="H40" s="75">
        <v>250196.25</v>
      </c>
      <c r="I40" s="75">
        <v>269120.08000000007</v>
      </c>
      <c r="J40" s="75">
        <v>354335.91000000038</v>
      </c>
      <c r="K40" s="75">
        <v>294200.41000000003</v>
      </c>
      <c r="L40" s="75">
        <v>307059.65000000014</v>
      </c>
      <c r="M40" s="75">
        <v>286447.13000000024</v>
      </c>
      <c r="N40" s="75">
        <v>228422.99999999988</v>
      </c>
      <c r="O40" s="75">
        <v>179580.37999999989</v>
      </c>
      <c r="P40" s="75">
        <v>190924.39000000013</v>
      </c>
      <c r="Q40" s="75">
        <v>3131736.3600000013</v>
      </c>
    </row>
    <row r="41" spans="1:17" ht="16.5" thickTop="1" x14ac:dyDescent="0.25">
      <c r="A41" s="26"/>
      <c r="B41" s="26" t="s">
        <v>45</v>
      </c>
      <c r="C41" s="26"/>
      <c r="D41" s="26"/>
      <c r="E41" s="76">
        <v>1850844.78</v>
      </c>
      <c r="F41" s="76">
        <v>1690946.7399999998</v>
      </c>
      <c r="G41" s="76">
        <v>1639196.69</v>
      </c>
      <c r="H41" s="76">
        <v>1680297.2</v>
      </c>
      <c r="I41" s="76">
        <v>1807387.98</v>
      </c>
      <c r="J41" s="76">
        <v>2379690.4700000007</v>
      </c>
      <c r="K41" s="76">
        <v>1975825.5</v>
      </c>
      <c r="L41" s="76">
        <v>2062187.0000000002</v>
      </c>
      <c r="M41" s="76">
        <v>1923755.08</v>
      </c>
      <c r="N41" s="76">
        <v>1534069.8900000001</v>
      </c>
      <c r="O41" s="76">
        <v>1206046.8999999999</v>
      </c>
      <c r="P41" s="76">
        <v>1282232.3200000001</v>
      </c>
      <c r="Q41" s="76">
        <v>21032480.549999997</v>
      </c>
    </row>
    <row r="42" spans="1:17" x14ac:dyDescent="0.25">
      <c r="E42" s="77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7"/>
    </row>
    <row r="43" spans="1:17" x14ac:dyDescent="0.25">
      <c r="A43" s="49" t="s">
        <v>49</v>
      </c>
      <c r="B43" s="48" t="s">
        <v>53</v>
      </c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</row>
  </sheetData>
  <mergeCells count="1">
    <mergeCell ref="D5:D6"/>
  </mergeCells>
  <phoneticPr fontId="0" type="noConversion"/>
  <printOptions horizontalCentered="1"/>
  <pageMargins left="0.39370078740157483" right="0.39370078740157483" top="0.98425196850393704" bottom="0.62992125984251968" header="0" footer="0"/>
  <pageSetup paperSize="9" scale="48" orientation="landscape" horizontalDpi="360" verticalDpi="36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transitionEvaluation="1">
    <pageSetUpPr fitToPage="1"/>
  </sheetPr>
  <dimension ref="A1:Q41"/>
  <sheetViews>
    <sheetView showGridLines="0" zoomScale="80" zoomScaleNormal="80" workbookViewId="0"/>
  </sheetViews>
  <sheetFormatPr baseColWidth="10" defaultColWidth="12.5703125" defaultRowHeight="15.75" x14ac:dyDescent="0.25"/>
  <cols>
    <col min="1" max="2" width="17.5703125" style="2" customWidth="1"/>
    <col min="3" max="3" width="12.5703125" style="2"/>
    <col min="4" max="4" width="8.5703125" style="2" customWidth="1"/>
    <col min="5" max="17" width="17.5703125" style="2" customWidth="1"/>
    <col min="18" max="16384" width="12.5703125" style="2"/>
  </cols>
  <sheetData>
    <row r="1" spans="1:17" x14ac:dyDescent="0.25">
      <c r="A1" s="4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27" t="s">
        <v>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7" t="s">
        <v>55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4" t="s">
        <v>30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x14ac:dyDescent="0.25">
      <c r="A5" s="5" t="s">
        <v>46</v>
      </c>
      <c r="B5" s="6"/>
      <c r="C5" s="6"/>
      <c r="D5" s="7"/>
      <c r="E5" s="31" t="s">
        <v>242</v>
      </c>
      <c r="F5" s="32" t="s">
        <v>243</v>
      </c>
      <c r="G5" s="32" t="s">
        <v>244</v>
      </c>
      <c r="H5" s="32" t="s">
        <v>245</v>
      </c>
      <c r="I5" s="32" t="s">
        <v>246</v>
      </c>
      <c r="J5" s="32" t="s">
        <v>247</v>
      </c>
      <c r="K5" s="32" t="s">
        <v>248</v>
      </c>
      <c r="L5" s="32" t="s">
        <v>249</v>
      </c>
      <c r="M5" s="32" t="s">
        <v>250</v>
      </c>
      <c r="N5" s="32" t="s">
        <v>251</v>
      </c>
      <c r="O5" s="32" t="s">
        <v>252</v>
      </c>
      <c r="P5" s="32" t="s">
        <v>253</v>
      </c>
      <c r="Q5" s="33" t="s">
        <v>48</v>
      </c>
    </row>
    <row r="6" spans="1:17" x14ac:dyDescent="0.25">
      <c r="A6" s="8" t="s">
        <v>47</v>
      </c>
      <c r="B6" s="9"/>
      <c r="C6" s="9"/>
      <c r="D6" s="10"/>
      <c r="E6" s="11">
        <v>36577</v>
      </c>
      <c r="F6" s="11">
        <v>36606</v>
      </c>
      <c r="G6" s="11">
        <v>36641</v>
      </c>
      <c r="H6" s="11">
        <v>36668</v>
      </c>
      <c r="I6" s="11">
        <v>36698</v>
      </c>
      <c r="J6" s="11">
        <v>36728</v>
      </c>
      <c r="K6" s="11">
        <v>36759</v>
      </c>
      <c r="L6" s="11">
        <v>36790</v>
      </c>
      <c r="M6" s="11">
        <v>36819</v>
      </c>
      <c r="N6" s="11">
        <v>36852</v>
      </c>
      <c r="O6" s="11">
        <v>36882</v>
      </c>
      <c r="P6" s="11">
        <v>36913</v>
      </c>
      <c r="Q6" s="59" t="s">
        <v>57</v>
      </c>
    </row>
    <row r="7" spans="1:17" x14ac:dyDescent="0.25">
      <c r="A7" s="12"/>
      <c r="B7" s="13"/>
      <c r="C7" s="13"/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7" x14ac:dyDescent="0.25">
      <c r="A8" s="16" t="s">
        <v>31</v>
      </c>
      <c r="B8" s="17"/>
      <c r="C8" s="17"/>
      <c r="D8" s="18" t="s">
        <v>25</v>
      </c>
      <c r="E8" s="79">
        <v>2010543.0099999998</v>
      </c>
      <c r="F8" s="79">
        <v>2643365.9599999995</v>
      </c>
      <c r="G8" s="79">
        <v>2767049.3700000006</v>
      </c>
      <c r="H8" s="79">
        <v>1772001.4299999997</v>
      </c>
      <c r="I8" s="79">
        <v>2549033.79</v>
      </c>
      <c r="J8" s="79">
        <v>2633678.1</v>
      </c>
      <c r="K8" s="79">
        <v>2901011.2699999996</v>
      </c>
      <c r="L8" s="79">
        <v>3466261.1500000004</v>
      </c>
      <c r="M8" s="79">
        <v>3095094.1200000006</v>
      </c>
      <c r="N8" s="79">
        <v>3111241.0300000003</v>
      </c>
      <c r="O8" s="79">
        <v>2858974.2799999993</v>
      </c>
      <c r="P8" s="79">
        <v>2303644.6100000003</v>
      </c>
      <c r="Q8" s="79">
        <v>32111898.119999997</v>
      </c>
    </row>
    <row r="9" spans="1:17" x14ac:dyDescent="0.25">
      <c r="A9" s="16" t="s">
        <v>32</v>
      </c>
      <c r="B9" s="17"/>
      <c r="C9" s="17"/>
      <c r="D9" s="18" t="s">
        <v>26</v>
      </c>
      <c r="E9" s="79">
        <v>193321.44</v>
      </c>
      <c r="F9" s="79">
        <v>254169.8</v>
      </c>
      <c r="G9" s="79">
        <v>266062.44</v>
      </c>
      <c r="H9" s="79">
        <v>170384.75</v>
      </c>
      <c r="I9" s="79">
        <v>245099.4</v>
      </c>
      <c r="J9" s="79">
        <v>253238.28</v>
      </c>
      <c r="K9" s="79">
        <v>278943.39</v>
      </c>
      <c r="L9" s="79">
        <v>333294.34000000003</v>
      </c>
      <c r="M9" s="79">
        <v>297605.2</v>
      </c>
      <c r="N9" s="79">
        <v>299157.78999999998</v>
      </c>
      <c r="O9" s="79">
        <v>274901.37</v>
      </c>
      <c r="P9" s="79">
        <v>221504.29</v>
      </c>
      <c r="Q9" s="79">
        <v>3087682.49</v>
      </c>
    </row>
    <row r="10" spans="1:17" x14ac:dyDescent="0.25">
      <c r="A10" s="16" t="s">
        <v>33</v>
      </c>
      <c r="B10" s="17"/>
      <c r="C10" s="17"/>
      <c r="D10" s="18" t="s">
        <v>27</v>
      </c>
      <c r="E10" s="79">
        <v>115992.87</v>
      </c>
      <c r="F10" s="79">
        <v>152501.88</v>
      </c>
      <c r="G10" s="79">
        <v>159637.46</v>
      </c>
      <c r="H10" s="79">
        <v>102230.85</v>
      </c>
      <c r="I10" s="79">
        <v>147059.64000000001</v>
      </c>
      <c r="J10" s="79">
        <v>151942.97</v>
      </c>
      <c r="K10" s="79">
        <v>167366.04</v>
      </c>
      <c r="L10" s="79">
        <v>199976.6</v>
      </c>
      <c r="M10" s="79">
        <v>178563.12</v>
      </c>
      <c r="N10" s="79">
        <v>179494.67</v>
      </c>
      <c r="O10" s="79">
        <v>164940.82</v>
      </c>
      <c r="P10" s="79">
        <v>132902.57</v>
      </c>
      <c r="Q10" s="79">
        <v>1852609.4900000002</v>
      </c>
    </row>
    <row r="11" spans="1:17" ht="16.5" thickBot="1" x14ac:dyDescent="0.3">
      <c r="A11" s="16" t="s">
        <v>34</v>
      </c>
      <c r="B11" s="17"/>
      <c r="C11" s="17"/>
      <c r="D11" s="18" t="s">
        <v>28</v>
      </c>
      <c r="E11" s="80">
        <v>1546571.54</v>
      </c>
      <c r="F11" s="80">
        <v>2033358.42</v>
      </c>
      <c r="G11" s="80">
        <v>2128499.5099999998</v>
      </c>
      <c r="H11" s="80">
        <v>1363078.02</v>
      </c>
      <c r="I11" s="80">
        <v>1960795.22</v>
      </c>
      <c r="J11" s="80">
        <v>2025906.23</v>
      </c>
      <c r="K11" s="80">
        <v>2231547.14</v>
      </c>
      <c r="L11" s="80">
        <v>2666354.73</v>
      </c>
      <c r="M11" s="80">
        <v>2380841.63</v>
      </c>
      <c r="N11" s="80">
        <v>2393262.33</v>
      </c>
      <c r="O11" s="80">
        <v>2199210.98</v>
      </c>
      <c r="P11" s="80">
        <v>1772034.31</v>
      </c>
      <c r="Q11" s="80">
        <v>24701460.060000002</v>
      </c>
    </row>
    <row r="12" spans="1:17" x14ac:dyDescent="0.25">
      <c r="A12" s="16"/>
      <c r="B12" s="17" t="s">
        <v>59</v>
      </c>
      <c r="C12" s="17"/>
      <c r="D12" s="19"/>
      <c r="E12" s="81">
        <v>3866428.86</v>
      </c>
      <c r="F12" s="81">
        <v>5083396.0599999996</v>
      </c>
      <c r="G12" s="81">
        <v>5321248.78</v>
      </c>
      <c r="H12" s="81">
        <v>3407695.05</v>
      </c>
      <c r="I12" s="81">
        <v>4901988.05</v>
      </c>
      <c r="J12" s="81">
        <v>5064765.58</v>
      </c>
      <c r="K12" s="81">
        <v>5578867.8399999999</v>
      </c>
      <c r="L12" s="81">
        <v>6665886.8200000003</v>
      </c>
      <c r="M12" s="81">
        <v>5952104.0700000003</v>
      </c>
      <c r="N12" s="81">
        <v>5983155.8200000003</v>
      </c>
      <c r="O12" s="81">
        <v>5498027.4499999993</v>
      </c>
      <c r="P12" s="81">
        <v>4430085.78</v>
      </c>
      <c r="Q12" s="81">
        <v>61753650.160000011</v>
      </c>
    </row>
    <row r="13" spans="1:17" x14ac:dyDescent="0.25">
      <c r="A13" s="16"/>
      <c r="B13" s="17"/>
      <c r="C13" s="17"/>
      <c r="D13" s="1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</row>
    <row r="14" spans="1:17" x14ac:dyDescent="0.25">
      <c r="A14" s="16" t="s">
        <v>5</v>
      </c>
      <c r="B14" s="17"/>
      <c r="C14" s="17"/>
      <c r="D14" s="1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</row>
    <row r="15" spans="1:17" x14ac:dyDescent="0.25">
      <c r="A15" s="16"/>
      <c r="B15" s="17"/>
      <c r="C15" s="17"/>
      <c r="D15" s="1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</row>
    <row r="16" spans="1:17" ht="16.5" thickBot="1" x14ac:dyDescent="0.3">
      <c r="A16" s="21" t="s">
        <v>6</v>
      </c>
      <c r="B16" s="20"/>
      <c r="C16" s="20"/>
      <c r="D16" s="19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</row>
    <row r="17" spans="1:17" x14ac:dyDescent="0.25">
      <c r="A17" s="16" t="s">
        <v>35</v>
      </c>
      <c r="B17" s="17"/>
      <c r="C17" s="17"/>
      <c r="D17" s="64"/>
      <c r="E17" s="79">
        <v>542257.37</v>
      </c>
      <c r="F17" s="79">
        <v>712934.09</v>
      </c>
      <c r="G17" s="79">
        <v>746292.37</v>
      </c>
      <c r="H17" s="79">
        <v>477921.06000000006</v>
      </c>
      <c r="I17" s="79">
        <v>687492.04999999993</v>
      </c>
      <c r="J17" s="79">
        <v>710321.22</v>
      </c>
      <c r="K17" s="79">
        <v>782422.80999999994</v>
      </c>
      <c r="L17" s="79">
        <v>934874.6399999999</v>
      </c>
      <c r="M17" s="79">
        <v>834768.3</v>
      </c>
      <c r="N17" s="79">
        <v>839123.25</v>
      </c>
      <c r="O17" s="79">
        <v>771085.16</v>
      </c>
      <c r="P17" s="79">
        <v>621308.91</v>
      </c>
      <c r="Q17" s="79">
        <v>8660801.2299999986</v>
      </c>
    </row>
    <row r="18" spans="1:17" x14ac:dyDescent="0.25">
      <c r="A18" s="16" t="s">
        <v>36</v>
      </c>
      <c r="B18" s="17"/>
      <c r="C18" s="17"/>
      <c r="D18" s="64"/>
      <c r="E18" s="79">
        <v>34822.6</v>
      </c>
      <c r="F18" s="79">
        <v>45783.1</v>
      </c>
      <c r="G18" s="79">
        <v>47925.29</v>
      </c>
      <c r="H18" s="79">
        <v>30691.06</v>
      </c>
      <c r="I18" s="79">
        <v>44149.27</v>
      </c>
      <c r="J18" s="79">
        <v>45615.3</v>
      </c>
      <c r="K18" s="79">
        <v>50245.52</v>
      </c>
      <c r="L18" s="79">
        <v>60035.64</v>
      </c>
      <c r="M18" s="79">
        <v>53607.03</v>
      </c>
      <c r="N18" s="79">
        <v>53886.69</v>
      </c>
      <c r="O18" s="79">
        <v>49517.43</v>
      </c>
      <c r="P18" s="79">
        <v>39899.120000000003</v>
      </c>
      <c r="Q18" s="79">
        <v>556178.05000000005</v>
      </c>
    </row>
    <row r="19" spans="1:17" x14ac:dyDescent="0.25">
      <c r="A19" s="16" t="s">
        <v>37</v>
      </c>
      <c r="B19" s="17"/>
      <c r="C19" s="17"/>
      <c r="D19" s="64"/>
      <c r="E19" s="79">
        <v>43839.12</v>
      </c>
      <c r="F19" s="79">
        <v>57637.58</v>
      </c>
      <c r="G19" s="79">
        <v>60334.45</v>
      </c>
      <c r="H19" s="79">
        <v>38637.81</v>
      </c>
      <c r="I19" s="79">
        <v>55580.7</v>
      </c>
      <c r="J19" s="79">
        <v>57426.34</v>
      </c>
      <c r="K19" s="79">
        <v>63255.44</v>
      </c>
      <c r="L19" s="79">
        <v>75580.490000000005</v>
      </c>
      <c r="M19" s="79">
        <v>67487.34</v>
      </c>
      <c r="N19" s="79">
        <v>67839.41</v>
      </c>
      <c r="O19" s="79">
        <v>62338.83</v>
      </c>
      <c r="P19" s="79">
        <v>50230.080000000002</v>
      </c>
      <c r="Q19" s="79">
        <v>700187.59</v>
      </c>
    </row>
    <row r="20" spans="1:17" x14ac:dyDescent="0.25">
      <c r="A20" s="16" t="s">
        <v>38</v>
      </c>
      <c r="B20" s="17"/>
      <c r="C20" s="17"/>
      <c r="D20" s="64"/>
      <c r="E20" s="79">
        <v>45879.040000000001</v>
      </c>
      <c r="F20" s="79">
        <v>60319.58</v>
      </c>
      <c r="G20" s="79">
        <v>63141.94</v>
      </c>
      <c r="H20" s="79">
        <v>40435.71</v>
      </c>
      <c r="I20" s="79">
        <v>58166.99</v>
      </c>
      <c r="J20" s="79">
        <v>60098.51</v>
      </c>
      <c r="K20" s="79">
        <v>66198.850000000006</v>
      </c>
      <c r="L20" s="79">
        <v>79097.41</v>
      </c>
      <c r="M20" s="79">
        <v>70627.67</v>
      </c>
      <c r="N20" s="79">
        <v>70996.13</v>
      </c>
      <c r="O20" s="79">
        <v>65239.59</v>
      </c>
      <c r="P20" s="79">
        <v>52567.4</v>
      </c>
      <c r="Q20" s="79">
        <v>732768.82000000007</v>
      </c>
    </row>
    <row r="21" spans="1:17" x14ac:dyDescent="0.25">
      <c r="A21" s="16" t="s">
        <v>39</v>
      </c>
      <c r="B21" s="17"/>
      <c r="C21" s="17"/>
      <c r="D21" s="64"/>
      <c r="E21" s="79">
        <v>65961.279999999999</v>
      </c>
      <c r="F21" s="79">
        <v>86722.74</v>
      </c>
      <c r="G21" s="79">
        <v>90780.5</v>
      </c>
      <c r="H21" s="79">
        <v>58135.28</v>
      </c>
      <c r="I21" s="79">
        <v>83627.92</v>
      </c>
      <c r="J21" s="79">
        <v>86404.9</v>
      </c>
      <c r="K21" s="79">
        <v>95175.49</v>
      </c>
      <c r="L21" s="79">
        <v>113720.03</v>
      </c>
      <c r="M21" s="79">
        <v>101542.9</v>
      </c>
      <c r="N21" s="79">
        <v>102072.64</v>
      </c>
      <c r="O21" s="79">
        <v>93796.35</v>
      </c>
      <c r="P21" s="79">
        <v>75577.259999999995</v>
      </c>
      <c r="Q21" s="79">
        <v>1053517.29</v>
      </c>
    </row>
    <row r="22" spans="1:17" x14ac:dyDescent="0.25">
      <c r="A22" s="16" t="s">
        <v>40</v>
      </c>
      <c r="B22" s="17"/>
      <c r="C22" s="17"/>
      <c r="D22" s="64"/>
      <c r="E22" s="83">
        <v>16863.82</v>
      </c>
      <c r="F22" s="83">
        <v>22171.74</v>
      </c>
      <c r="G22" s="83">
        <v>23209.16</v>
      </c>
      <c r="H22" s="83">
        <v>14863</v>
      </c>
      <c r="I22" s="83">
        <v>21380.51</v>
      </c>
      <c r="J22" s="83">
        <v>22090.48</v>
      </c>
      <c r="K22" s="83">
        <v>24332.79</v>
      </c>
      <c r="L22" s="83">
        <v>29073.93</v>
      </c>
      <c r="M22" s="83">
        <v>25960.7</v>
      </c>
      <c r="N22" s="83">
        <v>26096.13</v>
      </c>
      <c r="O22" s="83">
        <v>23980.2</v>
      </c>
      <c r="P22" s="83">
        <v>19322.259999999998</v>
      </c>
      <c r="Q22" s="83">
        <v>269344.72000000003</v>
      </c>
    </row>
    <row r="23" spans="1:17" x14ac:dyDescent="0.25">
      <c r="A23" s="16"/>
      <c r="B23" s="17"/>
      <c r="C23" s="17"/>
      <c r="D23" s="19"/>
      <c r="E23" s="81">
        <v>749623.23</v>
      </c>
      <c r="F23" s="81">
        <v>985568.83</v>
      </c>
      <c r="G23" s="81">
        <v>1031683.71</v>
      </c>
      <c r="H23" s="81">
        <v>660683.92000000004</v>
      </c>
      <c r="I23" s="81">
        <v>950397.43999999994</v>
      </c>
      <c r="J23" s="81">
        <v>981956.75</v>
      </c>
      <c r="K23" s="81">
        <v>1081630.8999999999</v>
      </c>
      <c r="L23" s="81">
        <v>1292382.1399999999</v>
      </c>
      <c r="M23" s="81">
        <v>1153993.94</v>
      </c>
      <c r="N23" s="81">
        <v>1160014.25</v>
      </c>
      <c r="O23" s="81">
        <v>1065957.56</v>
      </c>
      <c r="P23" s="81">
        <v>858905.03</v>
      </c>
      <c r="Q23" s="81">
        <v>11972797.699999999</v>
      </c>
    </row>
    <row r="24" spans="1:17" x14ac:dyDescent="0.25">
      <c r="A24" s="16"/>
      <c r="B24" s="17"/>
      <c r="C24" s="17"/>
      <c r="D24" s="1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</row>
    <row r="25" spans="1:17" ht="16.5" thickBot="1" x14ac:dyDescent="0.3">
      <c r="A25" s="21" t="s">
        <v>12</v>
      </c>
      <c r="B25" s="20"/>
      <c r="C25" s="20"/>
      <c r="D25" s="19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</row>
    <row r="26" spans="1:17" x14ac:dyDescent="0.25">
      <c r="A26" s="16" t="s">
        <v>41</v>
      </c>
      <c r="B26" s="17"/>
      <c r="C26" s="17"/>
      <c r="D26" s="64"/>
      <c r="E26" s="79">
        <v>152130.06</v>
      </c>
      <c r="F26" s="79">
        <v>200013.33</v>
      </c>
      <c r="G26" s="79">
        <v>209371.98000000004</v>
      </c>
      <c r="H26" s="79">
        <v>134080.53</v>
      </c>
      <c r="I26" s="79">
        <v>192875.58</v>
      </c>
      <c r="J26" s="79">
        <v>199280.29</v>
      </c>
      <c r="K26" s="79">
        <v>219508.37</v>
      </c>
      <c r="L26" s="79">
        <v>262278.65000000002</v>
      </c>
      <c r="M26" s="79">
        <v>234193.87</v>
      </c>
      <c r="N26" s="79">
        <v>235415.63999999996</v>
      </c>
      <c r="O26" s="79">
        <v>216327.59000000003</v>
      </c>
      <c r="P26" s="79">
        <v>174307.93</v>
      </c>
      <c r="Q26" s="79">
        <v>2429783.8200000003</v>
      </c>
    </row>
    <row r="27" spans="1:17" x14ac:dyDescent="0.25">
      <c r="A27" s="16" t="s">
        <v>42</v>
      </c>
      <c r="B27" s="17"/>
      <c r="C27" s="17"/>
      <c r="D27" s="64"/>
      <c r="E27" s="79">
        <v>42431.74</v>
      </c>
      <c r="F27" s="79">
        <v>55787.22</v>
      </c>
      <c r="G27" s="79">
        <v>58397.51</v>
      </c>
      <c r="H27" s="79">
        <v>37397.410000000003</v>
      </c>
      <c r="I27" s="79">
        <v>53796.38</v>
      </c>
      <c r="J27" s="79">
        <v>55582.76</v>
      </c>
      <c r="K27" s="79">
        <v>61224.73</v>
      </c>
      <c r="L27" s="79">
        <v>73154.11</v>
      </c>
      <c r="M27" s="79">
        <v>65320.77</v>
      </c>
      <c r="N27" s="79">
        <v>65661.55</v>
      </c>
      <c r="O27" s="79">
        <v>60337.55</v>
      </c>
      <c r="P27" s="79">
        <v>48617.53</v>
      </c>
      <c r="Q27" s="79">
        <v>677709.26000000013</v>
      </c>
    </row>
    <row r="28" spans="1:17" x14ac:dyDescent="0.25">
      <c r="A28" s="16" t="s">
        <v>43</v>
      </c>
      <c r="B28" s="17"/>
      <c r="C28" s="17"/>
      <c r="D28" s="64"/>
      <c r="E28" s="83">
        <v>12060.16</v>
      </c>
      <c r="F28" s="83">
        <v>15856.13</v>
      </c>
      <c r="G28" s="83">
        <v>16598.04</v>
      </c>
      <c r="H28" s="83">
        <v>10629.28</v>
      </c>
      <c r="I28" s="83">
        <v>15290.28</v>
      </c>
      <c r="J28" s="83">
        <v>15798.02</v>
      </c>
      <c r="K28" s="83">
        <v>17401.599999999999</v>
      </c>
      <c r="L28" s="83">
        <v>20792.23</v>
      </c>
      <c r="M28" s="83">
        <v>18565.8</v>
      </c>
      <c r="N28" s="83">
        <v>18662.66</v>
      </c>
      <c r="O28" s="83">
        <v>17149.45</v>
      </c>
      <c r="P28" s="83">
        <v>13818.32</v>
      </c>
      <c r="Q28" s="83">
        <v>192621.97000000003</v>
      </c>
    </row>
    <row r="29" spans="1:17" x14ac:dyDescent="0.25">
      <c r="A29" s="16"/>
      <c r="B29" s="17"/>
      <c r="C29" s="17"/>
      <c r="D29" s="19"/>
      <c r="E29" s="81">
        <v>206621.96</v>
      </c>
      <c r="F29" s="81">
        <v>271656.68</v>
      </c>
      <c r="G29" s="81">
        <v>284367.53000000003</v>
      </c>
      <c r="H29" s="81">
        <v>182107.22</v>
      </c>
      <c r="I29" s="81">
        <v>261962.23999999999</v>
      </c>
      <c r="J29" s="81">
        <v>270661.07</v>
      </c>
      <c r="K29" s="81">
        <v>298134.7</v>
      </c>
      <c r="L29" s="81">
        <v>356224.99</v>
      </c>
      <c r="M29" s="81">
        <v>318080.44</v>
      </c>
      <c r="N29" s="81">
        <v>319739.84999999998</v>
      </c>
      <c r="O29" s="81">
        <v>293814.59000000003</v>
      </c>
      <c r="P29" s="81">
        <v>236743.78</v>
      </c>
      <c r="Q29" s="81">
        <v>3300115.0499999993</v>
      </c>
    </row>
    <row r="30" spans="1:17" x14ac:dyDescent="0.25">
      <c r="A30" s="16"/>
      <c r="B30" s="17"/>
      <c r="C30" s="17"/>
      <c r="D30" s="19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</row>
    <row r="31" spans="1:17" ht="16.5" thickBot="1" x14ac:dyDescent="0.3">
      <c r="A31" s="21" t="s">
        <v>44</v>
      </c>
      <c r="B31" s="20"/>
      <c r="C31" s="20"/>
      <c r="D31" s="19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</row>
    <row r="32" spans="1:17" x14ac:dyDescent="0.25">
      <c r="A32" s="16" t="s">
        <v>16</v>
      </c>
      <c r="B32" s="17"/>
      <c r="C32" s="17"/>
      <c r="D32" s="64"/>
      <c r="E32" s="79">
        <v>155323.71999999997</v>
      </c>
      <c r="F32" s="79">
        <v>204212.22000000003</v>
      </c>
      <c r="G32" s="79">
        <v>213767.34000000003</v>
      </c>
      <c r="H32" s="79">
        <v>136895.28</v>
      </c>
      <c r="I32" s="79">
        <v>196924.62</v>
      </c>
      <c r="J32" s="79">
        <v>203463.78999999998</v>
      </c>
      <c r="K32" s="79">
        <v>224116.5</v>
      </c>
      <c r="L32" s="79">
        <v>267784.67000000004</v>
      </c>
      <c r="M32" s="79">
        <v>239110.31000000006</v>
      </c>
      <c r="N32" s="79">
        <v>240357.72999999998</v>
      </c>
      <c r="O32" s="79">
        <v>220868.96000000002</v>
      </c>
      <c r="P32" s="79">
        <v>177967.18000000002</v>
      </c>
      <c r="Q32" s="79">
        <v>2480792.3200000003</v>
      </c>
    </row>
    <row r="33" spans="1:17" x14ac:dyDescent="0.25">
      <c r="A33" s="16" t="s">
        <v>17</v>
      </c>
      <c r="B33" s="17"/>
      <c r="C33" s="17"/>
      <c r="D33" s="64"/>
      <c r="E33" s="79">
        <v>66630.94</v>
      </c>
      <c r="F33" s="79">
        <v>87603.18</v>
      </c>
      <c r="G33" s="79">
        <v>91702.14</v>
      </c>
      <c r="H33" s="79">
        <v>58725.49</v>
      </c>
      <c r="I33" s="79">
        <v>84476.94</v>
      </c>
      <c r="J33" s="79">
        <v>87282.12</v>
      </c>
      <c r="K33" s="79">
        <v>96141.75</v>
      </c>
      <c r="L33" s="79">
        <v>114874.56</v>
      </c>
      <c r="M33" s="79">
        <v>102573.8</v>
      </c>
      <c r="N33" s="79">
        <v>103108.92</v>
      </c>
      <c r="O33" s="79">
        <v>94748.61</v>
      </c>
      <c r="P33" s="79">
        <v>76344.55</v>
      </c>
      <c r="Q33" s="79">
        <v>1064213.0000000002</v>
      </c>
    </row>
    <row r="34" spans="1:17" x14ac:dyDescent="0.25">
      <c r="A34" s="16" t="s">
        <v>18</v>
      </c>
      <c r="B34" s="17"/>
      <c r="C34" s="17"/>
      <c r="D34" s="64"/>
      <c r="E34" s="79">
        <v>76191.850000000006</v>
      </c>
      <c r="F34" s="79">
        <v>100173.4</v>
      </c>
      <c r="G34" s="79">
        <v>104860.53</v>
      </c>
      <c r="H34" s="79">
        <v>67152.039999999994</v>
      </c>
      <c r="I34" s="79">
        <v>96598.58</v>
      </c>
      <c r="J34" s="79">
        <v>99806.27</v>
      </c>
      <c r="K34" s="79">
        <v>109937.17</v>
      </c>
      <c r="L34" s="79">
        <v>131357.97</v>
      </c>
      <c r="M34" s="79">
        <v>117292.16</v>
      </c>
      <c r="N34" s="79">
        <v>117904.07</v>
      </c>
      <c r="O34" s="79">
        <v>108344.13</v>
      </c>
      <c r="P34" s="79">
        <v>87299.27</v>
      </c>
      <c r="Q34" s="79">
        <v>1216917.44</v>
      </c>
    </row>
    <row r="35" spans="1:17" x14ac:dyDescent="0.25">
      <c r="A35" s="16" t="s">
        <v>19</v>
      </c>
      <c r="B35" s="17"/>
      <c r="C35" s="17"/>
      <c r="D35" s="64"/>
      <c r="E35" s="83">
        <v>61895.34</v>
      </c>
      <c r="F35" s="83">
        <v>81377.039999999994</v>
      </c>
      <c r="G35" s="83">
        <v>85184.68</v>
      </c>
      <c r="H35" s="83">
        <v>54551.75</v>
      </c>
      <c r="I35" s="83">
        <v>78472.990000000005</v>
      </c>
      <c r="J35" s="83">
        <v>81078.789999999994</v>
      </c>
      <c r="K35" s="83">
        <v>89308.75</v>
      </c>
      <c r="L35" s="83">
        <v>106710.18</v>
      </c>
      <c r="M35" s="83">
        <v>95283.66</v>
      </c>
      <c r="N35" s="83">
        <v>95780.75</v>
      </c>
      <c r="O35" s="83">
        <v>88014.62</v>
      </c>
      <c r="P35" s="83">
        <v>70918.59</v>
      </c>
      <c r="Q35" s="83">
        <v>988577.14</v>
      </c>
    </row>
    <row r="36" spans="1:17" x14ac:dyDescent="0.25">
      <c r="A36" s="16"/>
      <c r="B36" s="17"/>
      <c r="C36" s="17"/>
      <c r="D36" s="19"/>
      <c r="E36" s="81">
        <v>360041.85</v>
      </c>
      <c r="F36" s="81">
        <v>473365.84</v>
      </c>
      <c r="G36" s="81">
        <v>495514.69</v>
      </c>
      <c r="H36" s="81">
        <v>317324.56</v>
      </c>
      <c r="I36" s="81">
        <v>456473.13</v>
      </c>
      <c r="J36" s="81">
        <v>471630.97</v>
      </c>
      <c r="K36" s="81">
        <v>519504.17</v>
      </c>
      <c r="L36" s="81">
        <v>620727.38</v>
      </c>
      <c r="M36" s="81">
        <v>554259.93000000005</v>
      </c>
      <c r="N36" s="81">
        <v>557151.47</v>
      </c>
      <c r="O36" s="81">
        <v>511976.32</v>
      </c>
      <c r="P36" s="81">
        <v>412529.59</v>
      </c>
      <c r="Q36" s="81">
        <v>5750499.8999999994</v>
      </c>
    </row>
    <row r="37" spans="1:17" x14ac:dyDescent="0.25">
      <c r="A37" s="16"/>
      <c r="B37" s="17"/>
      <c r="C37" s="17"/>
      <c r="D37" s="19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</row>
    <row r="38" spans="1:17" ht="16.5" thickBot="1" x14ac:dyDescent="0.3">
      <c r="A38" s="21" t="s">
        <v>20</v>
      </c>
      <c r="B38" s="20"/>
      <c r="C38" s="20"/>
      <c r="D38" s="19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</row>
    <row r="39" spans="1:17" x14ac:dyDescent="0.25">
      <c r="A39" s="16" t="s">
        <v>21</v>
      </c>
      <c r="B39" s="17"/>
      <c r="C39" s="17"/>
      <c r="D39" s="64"/>
      <c r="E39" s="83">
        <v>230284.5</v>
      </c>
      <c r="F39" s="83">
        <v>302767.06999999995</v>
      </c>
      <c r="G39" s="83">
        <v>316933.57999999984</v>
      </c>
      <c r="H39" s="83">
        <v>202962.31999999995</v>
      </c>
      <c r="I39" s="83">
        <v>291962.40999999992</v>
      </c>
      <c r="J39" s="83">
        <v>301657.43999999994</v>
      </c>
      <c r="K39" s="83">
        <v>332277.37000000034</v>
      </c>
      <c r="L39" s="83">
        <v>397020.2200000002</v>
      </c>
      <c r="M39" s="83">
        <v>354507.31999999983</v>
      </c>
      <c r="N39" s="83">
        <v>356356.76000000024</v>
      </c>
      <c r="O39" s="83">
        <v>327462.50999999978</v>
      </c>
      <c r="P39" s="83">
        <v>263855.90999999992</v>
      </c>
      <c r="Q39" s="83">
        <v>3678047.41</v>
      </c>
    </row>
    <row r="40" spans="1:17" ht="16.5" thickBot="1" x14ac:dyDescent="0.3">
      <c r="A40" s="22"/>
      <c r="B40" s="23"/>
      <c r="C40" s="23"/>
      <c r="D40" s="24"/>
      <c r="E40" s="85">
        <v>230284.5</v>
      </c>
      <c r="F40" s="85">
        <v>302767.06999999995</v>
      </c>
      <c r="G40" s="85">
        <v>316933.57999999984</v>
      </c>
      <c r="H40" s="85">
        <v>202962.31999999995</v>
      </c>
      <c r="I40" s="85">
        <v>291962.40999999992</v>
      </c>
      <c r="J40" s="85">
        <v>301657.43999999994</v>
      </c>
      <c r="K40" s="85">
        <v>332277.37000000034</v>
      </c>
      <c r="L40" s="85">
        <v>397020.2200000002</v>
      </c>
      <c r="M40" s="85">
        <v>354507.31999999983</v>
      </c>
      <c r="N40" s="85">
        <v>356356.76000000024</v>
      </c>
      <c r="O40" s="85">
        <v>327462.50999999978</v>
      </c>
      <c r="P40" s="85">
        <v>263855.90999999992</v>
      </c>
      <c r="Q40" s="85">
        <v>3678047.41</v>
      </c>
    </row>
    <row r="41" spans="1:17" ht="16.5" thickTop="1" x14ac:dyDescent="0.25">
      <c r="A41" s="1"/>
      <c r="B41" s="1" t="s">
        <v>45</v>
      </c>
      <c r="C41" s="1"/>
      <c r="D41" s="1"/>
      <c r="E41" s="86">
        <v>1546571.54</v>
      </c>
      <c r="F41" s="86">
        <v>2033358.42</v>
      </c>
      <c r="G41" s="86">
        <v>2128499.5099999998</v>
      </c>
      <c r="H41" s="86">
        <v>1363078.02</v>
      </c>
      <c r="I41" s="86">
        <v>1960795.22</v>
      </c>
      <c r="J41" s="86">
        <v>2025906.23</v>
      </c>
      <c r="K41" s="86">
        <v>2231547.14</v>
      </c>
      <c r="L41" s="86">
        <v>2666354.73</v>
      </c>
      <c r="M41" s="86">
        <v>2380841.63</v>
      </c>
      <c r="N41" s="86">
        <v>2393262.33</v>
      </c>
      <c r="O41" s="86">
        <v>2199210.98</v>
      </c>
      <c r="P41" s="86">
        <v>1772034.31</v>
      </c>
      <c r="Q41" s="86">
        <v>24701460.059999999</v>
      </c>
    </row>
  </sheetData>
  <phoneticPr fontId="0" type="noConversion"/>
  <printOptions horizontalCentered="1"/>
  <pageMargins left="0.39370078740157483" right="0.39370078740157483" top="0.98425196850393704" bottom="0.62992125984251968" header="0.39370078740157483" footer="0.35433070866141736"/>
  <pageSetup paperSize="9" scale="48" orientation="landscape" horizontalDpi="360" verticalDpi="360" r:id="rId1"/>
  <headerFooter alignWithMargins="0">
    <oddHeader>&amp;R&amp;"Arial,Normal"&amp;8&amp;UADM-GFTE-0554-2000</oddHeader>
    <oddFooter>&amp;L&amp;"Arial,Normal"&amp;8J. Herrera / G. Vásquez
&amp;D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Q42"/>
  <sheetViews>
    <sheetView zoomScale="80" zoomScaleNormal="80" workbookViewId="0"/>
  </sheetViews>
  <sheetFormatPr baseColWidth="10" defaultColWidth="11.42578125" defaultRowHeight="15" x14ac:dyDescent="0.2"/>
  <cols>
    <col min="1" max="2" width="17.5703125" style="60" customWidth="1"/>
    <col min="3" max="4" width="11.42578125" style="60"/>
    <col min="5" max="17" width="17.5703125" style="60" customWidth="1"/>
    <col min="18" max="16384" width="11.42578125" style="60"/>
  </cols>
  <sheetData>
    <row r="1" spans="1:17" ht="15.75" x14ac:dyDescent="0.25">
      <c r="A1" s="4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.75" x14ac:dyDescent="0.25">
      <c r="A2" s="27" t="s">
        <v>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15.75" x14ac:dyDescent="0.25">
      <c r="A3" s="27" t="s">
        <v>55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5.75" x14ac:dyDescent="0.25">
      <c r="A4" s="4" t="s">
        <v>30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ht="15.75" x14ac:dyDescent="0.25">
      <c r="A5" s="5" t="s">
        <v>46</v>
      </c>
      <c r="B5" s="6"/>
      <c r="C5" s="6"/>
      <c r="D5" s="7"/>
      <c r="E5" s="31" t="s">
        <v>254</v>
      </c>
      <c r="F5" s="32" t="s">
        <v>255</v>
      </c>
      <c r="G5" s="32" t="s">
        <v>256</v>
      </c>
      <c r="H5" s="32" t="s">
        <v>257</v>
      </c>
      <c r="I5" s="32" t="s">
        <v>258</v>
      </c>
      <c r="J5" s="32" t="s">
        <v>259</v>
      </c>
      <c r="K5" s="32" t="s">
        <v>260</v>
      </c>
      <c r="L5" s="32" t="s">
        <v>261</v>
      </c>
      <c r="M5" s="32" t="s">
        <v>262</v>
      </c>
      <c r="N5" s="32" t="s">
        <v>263</v>
      </c>
      <c r="O5" s="32" t="s">
        <v>264</v>
      </c>
      <c r="P5" s="32" t="s">
        <v>265</v>
      </c>
      <c r="Q5" s="33" t="s">
        <v>48</v>
      </c>
    </row>
    <row r="6" spans="1:17" x14ac:dyDescent="0.2">
      <c r="A6" s="8"/>
      <c r="B6" s="9"/>
      <c r="C6" s="9"/>
      <c r="D6" s="10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59">
        <v>1999</v>
      </c>
    </row>
    <row r="7" spans="1:17" x14ac:dyDescent="0.2">
      <c r="A7" s="12"/>
      <c r="B7" s="13"/>
      <c r="C7" s="13"/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7" x14ac:dyDescent="0.2">
      <c r="A8" s="16" t="s">
        <v>1</v>
      </c>
      <c r="B8" s="17"/>
      <c r="C8" s="17"/>
      <c r="D8" s="18" t="s">
        <v>25</v>
      </c>
      <c r="E8" s="79">
        <v>887264.98</v>
      </c>
      <c r="F8" s="79">
        <v>628176.05000000005</v>
      </c>
      <c r="G8" s="79">
        <v>1219398.97</v>
      </c>
      <c r="H8" s="79">
        <v>1044049.99</v>
      </c>
      <c r="I8" s="79">
        <v>1270998.44</v>
      </c>
      <c r="J8" s="79">
        <v>1180438.23</v>
      </c>
      <c r="K8" s="79">
        <v>1919882.8</v>
      </c>
      <c r="L8" s="79">
        <v>1994579.1</v>
      </c>
      <c r="M8" s="79">
        <v>2272811.23</v>
      </c>
      <c r="N8" s="79">
        <v>2260142.11</v>
      </c>
      <c r="O8" s="79">
        <v>1881346.22</v>
      </c>
      <c r="P8" s="79">
        <v>2763129.33</v>
      </c>
      <c r="Q8" s="79">
        <v>19322217.450000003</v>
      </c>
    </row>
    <row r="9" spans="1:17" x14ac:dyDescent="0.2">
      <c r="A9" s="16" t="s">
        <v>2</v>
      </c>
      <c r="B9" s="17"/>
      <c r="C9" s="17"/>
      <c r="D9" s="18" t="s">
        <v>26</v>
      </c>
      <c r="E9" s="79">
        <v>85313.94</v>
      </c>
      <c r="F9" s="79">
        <v>60401.54</v>
      </c>
      <c r="G9" s="79">
        <v>117249.9</v>
      </c>
      <c r="H9" s="79">
        <v>100389.42</v>
      </c>
      <c r="I9" s="79">
        <v>122211.39</v>
      </c>
      <c r="J9" s="79">
        <v>113503.67999999999</v>
      </c>
      <c r="K9" s="79">
        <v>184604.12</v>
      </c>
      <c r="L9" s="79">
        <v>191786.45</v>
      </c>
      <c r="M9" s="79">
        <v>218539.54</v>
      </c>
      <c r="N9" s="79">
        <v>217321.36</v>
      </c>
      <c r="O9" s="79">
        <v>180898.67</v>
      </c>
      <c r="P9" s="79">
        <v>265685.51</v>
      </c>
      <c r="Q9" s="79">
        <v>1857905.5199999998</v>
      </c>
    </row>
    <row r="10" spans="1:17" x14ac:dyDescent="0.2">
      <c r="A10" s="16" t="s">
        <v>3</v>
      </c>
      <c r="B10" s="17"/>
      <c r="C10" s="17"/>
      <c r="D10" s="18" t="s">
        <v>27</v>
      </c>
      <c r="E10" s="79">
        <v>51188.36</v>
      </c>
      <c r="F10" s="79">
        <v>36240.93</v>
      </c>
      <c r="G10" s="79">
        <v>70349.94</v>
      </c>
      <c r="H10" s="79">
        <v>60233.65</v>
      </c>
      <c r="I10" s="79">
        <v>73326.83</v>
      </c>
      <c r="J10" s="79">
        <v>68102.210000000006</v>
      </c>
      <c r="K10" s="79">
        <v>110762.47</v>
      </c>
      <c r="L10" s="79">
        <v>115071.87</v>
      </c>
      <c r="M10" s="79">
        <v>131123.72</v>
      </c>
      <c r="N10" s="79">
        <v>130392.81</v>
      </c>
      <c r="O10" s="79">
        <v>108539.2</v>
      </c>
      <c r="P10" s="79">
        <v>159411.31</v>
      </c>
      <c r="Q10" s="79">
        <v>1114743.3</v>
      </c>
    </row>
    <row r="11" spans="1:17" ht="15.75" thickBot="1" x14ac:dyDescent="0.25">
      <c r="A11" s="16" t="s">
        <v>4</v>
      </c>
      <c r="B11" s="17"/>
      <c r="C11" s="17"/>
      <c r="D11" s="18" t="s">
        <v>28</v>
      </c>
      <c r="E11" s="80">
        <v>682511.52</v>
      </c>
      <c r="F11" s="80">
        <v>483212.35</v>
      </c>
      <c r="G11" s="80">
        <v>937999.2</v>
      </c>
      <c r="H11" s="80">
        <v>803115.38</v>
      </c>
      <c r="I11" s="80">
        <v>977691.11</v>
      </c>
      <c r="J11" s="80">
        <v>908029.41</v>
      </c>
      <c r="K11" s="80">
        <v>1476832.92</v>
      </c>
      <c r="L11" s="80">
        <v>1534291.61</v>
      </c>
      <c r="M11" s="80">
        <v>1748316.32</v>
      </c>
      <c r="N11" s="80">
        <v>1738570.85</v>
      </c>
      <c r="O11" s="80">
        <v>1447189.4</v>
      </c>
      <c r="P11" s="80">
        <v>2125484.1</v>
      </c>
      <c r="Q11" s="80">
        <v>14863244.17</v>
      </c>
    </row>
    <row r="12" spans="1:17" ht="15.75" x14ac:dyDescent="0.25">
      <c r="A12" s="16"/>
      <c r="B12" s="17" t="s">
        <v>59</v>
      </c>
      <c r="C12" s="17"/>
      <c r="D12" s="19"/>
      <c r="E12" s="81">
        <v>1706278.8</v>
      </c>
      <c r="F12" s="81">
        <v>1208030.8700000001</v>
      </c>
      <c r="G12" s="81">
        <v>2344998.0099999998</v>
      </c>
      <c r="H12" s="81">
        <v>2007788.44</v>
      </c>
      <c r="I12" s="81">
        <v>2444227.77</v>
      </c>
      <c r="J12" s="81">
        <v>2270073.5299999998</v>
      </c>
      <c r="K12" s="81">
        <v>3692082.31</v>
      </c>
      <c r="L12" s="81">
        <v>3835729.03</v>
      </c>
      <c r="M12" s="81">
        <v>4370790.8099999996</v>
      </c>
      <c r="N12" s="81">
        <v>4346427.13</v>
      </c>
      <c r="O12" s="81">
        <v>3617973.49</v>
      </c>
      <c r="P12" s="81">
        <v>5313710.25</v>
      </c>
      <c r="Q12" s="81">
        <v>37158110.439999998</v>
      </c>
    </row>
    <row r="13" spans="1:17" x14ac:dyDescent="0.2">
      <c r="A13" s="16"/>
      <c r="B13" s="17"/>
      <c r="C13" s="17"/>
      <c r="D13" s="1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</row>
    <row r="14" spans="1:17" x14ac:dyDescent="0.2">
      <c r="A14" s="16" t="s">
        <v>5</v>
      </c>
      <c r="B14" s="17"/>
      <c r="C14" s="17"/>
      <c r="D14" s="1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</row>
    <row r="15" spans="1:17" x14ac:dyDescent="0.2">
      <c r="A15" s="16"/>
      <c r="B15" s="17"/>
      <c r="C15" s="17"/>
      <c r="D15" s="1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</row>
    <row r="16" spans="1:17" ht="16.5" thickBot="1" x14ac:dyDescent="0.3">
      <c r="A16" s="21" t="s">
        <v>6</v>
      </c>
      <c r="B16" s="20"/>
      <c r="C16" s="20"/>
      <c r="D16" s="19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</row>
    <row r="17" spans="1:17" x14ac:dyDescent="0.2">
      <c r="A17" s="16" t="s">
        <v>7</v>
      </c>
      <c r="B17" s="17"/>
      <c r="C17" s="17"/>
      <c r="D17" s="64"/>
      <c r="E17" s="79">
        <v>239301.5</v>
      </c>
      <c r="F17" s="79">
        <v>169423.42</v>
      </c>
      <c r="G17" s="79">
        <v>328880.34000000003</v>
      </c>
      <c r="H17" s="79">
        <v>281587.51</v>
      </c>
      <c r="I17" s="79">
        <v>342797.08</v>
      </c>
      <c r="J17" s="79">
        <v>318372.37</v>
      </c>
      <c r="K17" s="79">
        <v>517805.68</v>
      </c>
      <c r="L17" s="79">
        <v>537951.78</v>
      </c>
      <c r="M17" s="79">
        <v>612992.93000000005</v>
      </c>
      <c r="N17" s="79">
        <v>609575.97</v>
      </c>
      <c r="O17" s="79">
        <v>507412.11</v>
      </c>
      <c r="P17" s="79">
        <v>745235.1</v>
      </c>
      <c r="Q17" s="79">
        <v>5211335.790000001</v>
      </c>
    </row>
    <row r="18" spans="1:17" x14ac:dyDescent="0.2">
      <c r="A18" s="16" t="s">
        <v>8</v>
      </c>
      <c r="B18" s="17"/>
      <c r="C18" s="17"/>
      <c r="D18" s="64"/>
      <c r="E18" s="79">
        <v>15367.43</v>
      </c>
      <c r="F18" s="79">
        <v>10880.01</v>
      </c>
      <c r="G18" s="79">
        <v>21119.99</v>
      </c>
      <c r="H18" s="79">
        <v>18082.95</v>
      </c>
      <c r="I18" s="79">
        <v>22013.69</v>
      </c>
      <c r="J18" s="79">
        <v>20445.189999999999</v>
      </c>
      <c r="K18" s="79">
        <v>33252.370000000003</v>
      </c>
      <c r="L18" s="79">
        <v>34546.11</v>
      </c>
      <c r="M18" s="79">
        <v>39365.089999999997</v>
      </c>
      <c r="N18" s="79">
        <v>39145.660000000003</v>
      </c>
      <c r="O18" s="79">
        <v>32584.92</v>
      </c>
      <c r="P18" s="79">
        <v>47857.4</v>
      </c>
      <c r="Q18" s="79">
        <v>334660.81</v>
      </c>
    </row>
    <row r="19" spans="1:17" x14ac:dyDescent="0.2">
      <c r="A19" s="16" t="s">
        <v>9</v>
      </c>
      <c r="B19" s="17"/>
      <c r="C19" s="17"/>
      <c r="D19" s="64"/>
      <c r="E19" s="79">
        <v>19346.47</v>
      </c>
      <c r="F19" s="79">
        <v>13697.14</v>
      </c>
      <c r="G19" s="79">
        <v>26588.53</v>
      </c>
      <c r="H19" s="79">
        <v>22765.11</v>
      </c>
      <c r="I19" s="79">
        <v>27713.63</v>
      </c>
      <c r="J19" s="79">
        <v>25739</v>
      </c>
      <c r="K19" s="79">
        <v>41862.31</v>
      </c>
      <c r="L19" s="79">
        <v>43491.03</v>
      </c>
      <c r="M19" s="79">
        <v>49557.77</v>
      </c>
      <c r="N19" s="79">
        <v>49281.53</v>
      </c>
      <c r="O19" s="79">
        <v>41022.03</v>
      </c>
      <c r="P19" s="79">
        <v>60248.97</v>
      </c>
      <c r="Q19" s="79">
        <v>421313.52</v>
      </c>
    </row>
    <row r="20" spans="1:17" x14ac:dyDescent="0.2">
      <c r="A20" s="16" t="s">
        <v>10</v>
      </c>
      <c r="B20" s="17"/>
      <c r="C20" s="17"/>
      <c r="D20" s="64"/>
      <c r="E20" s="79">
        <v>20246.7</v>
      </c>
      <c r="F20" s="79">
        <v>14334.49</v>
      </c>
      <c r="G20" s="79">
        <v>27825.75</v>
      </c>
      <c r="H20" s="79">
        <v>23824.42</v>
      </c>
      <c r="I20" s="79">
        <v>29003.21</v>
      </c>
      <c r="J20" s="79">
        <v>26936.69</v>
      </c>
      <c r="K20" s="79">
        <v>43810.25</v>
      </c>
      <c r="L20" s="79">
        <v>45514.76</v>
      </c>
      <c r="M20" s="79">
        <v>51863.8</v>
      </c>
      <c r="N20" s="79">
        <v>51574.7</v>
      </c>
      <c r="O20" s="79">
        <v>42930.87</v>
      </c>
      <c r="P20" s="79">
        <v>63052.49</v>
      </c>
      <c r="Q20" s="79">
        <v>440918.13</v>
      </c>
    </row>
    <row r="21" spans="1:17" x14ac:dyDescent="0.2">
      <c r="A21" s="16" t="s">
        <v>11</v>
      </c>
      <c r="B21" s="17"/>
      <c r="C21" s="17"/>
      <c r="D21" s="64"/>
      <c r="E21" s="79">
        <v>29109.119999999999</v>
      </c>
      <c r="F21" s="79">
        <v>20609.009999999998</v>
      </c>
      <c r="G21" s="79">
        <v>40005.67</v>
      </c>
      <c r="H21" s="79">
        <v>34252.870000000003</v>
      </c>
      <c r="I21" s="79">
        <v>41698.53</v>
      </c>
      <c r="J21" s="79">
        <v>38727.449999999997</v>
      </c>
      <c r="K21" s="79">
        <v>62986.92</v>
      </c>
      <c r="L21" s="79">
        <v>65437.54</v>
      </c>
      <c r="M21" s="79">
        <v>74565.69</v>
      </c>
      <c r="N21" s="79">
        <v>74150.05</v>
      </c>
      <c r="O21" s="79">
        <v>61722.63</v>
      </c>
      <c r="P21" s="79">
        <v>90651.9</v>
      </c>
      <c r="Q21" s="79">
        <v>633917.37999999989</v>
      </c>
    </row>
    <row r="22" spans="1:17" x14ac:dyDescent="0.2">
      <c r="A22" s="16" t="s">
        <v>22</v>
      </c>
      <c r="B22" s="17"/>
      <c r="C22" s="17"/>
      <c r="D22" s="64"/>
      <c r="E22" s="83">
        <v>7442.11</v>
      </c>
      <c r="F22" s="83">
        <v>5268.95</v>
      </c>
      <c r="G22" s="83">
        <v>10227.94</v>
      </c>
      <c r="H22" s="83">
        <v>8757.17</v>
      </c>
      <c r="I22" s="83">
        <v>10660.74</v>
      </c>
      <c r="J22" s="83">
        <v>9901.15</v>
      </c>
      <c r="K22" s="83">
        <v>16103.39</v>
      </c>
      <c r="L22" s="83">
        <v>16729.919999999998</v>
      </c>
      <c r="M22" s="83">
        <v>19063.64</v>
      </c>
      <c r="N22" s="83">
        <v>18957.38</v>
      </c>
      <c r="O22" s="83">
        <v>15780.15</v>
      </c>
      <c r="P22" s="83">
        <v>23176.28</v>
      </c>
      <c r="Q22" s="83">
        <v>162068.82</v>
      </c>
    </row>
    <row r="23" spans="1:17" ht="15.75" x14ac:dyDescent="0.25">
      <c r="A23" s="16"/>
      <c r="B23" s="17"/>
      <c r="C23" s="17"/>
      <c r="D23" s="19"/>
      <c r="E23" s="81">
        <v>330813.33</v>
      </c>
      <c r="F23" s="81">
        <v>234213.02</v>
      </c>
      <c r="G23" s="81">
        <v>454648.22</v>
      </c>
      <c r="H23" s="81">
        <v>389270.03</v>
      </c>
      <c r="I23" s="81">
        <v>473886.88</v>
      </c>
      <c r="J23" s="81">
        <v>440121.85</v>
      </c>
      <c r="K23" s="81">
        <v>715820.92</v>
      </c>
      <c r="L23" s="81">
        <v>743671.14</v>
      </c>
      <c r="M23" s="81">
        <v>847408.92</v>
      </c>
      <c r="N23" s="81">
        <v>842685.29</v>
      </c>
      <c r="O23" s="81">
        <v>701452.71</v>
      </c>
      <c r="P23" s="81">
        <v>1030222.14</v>
      </c>
      <c r="Q23" s="81">
        <v>7204214.4500000002</v>
      </c>
    </row>
    <row r="24" spans="1:17" x14ac:dyDescent="0.2">
      <c r="A24" s="16"/>
      <c r="B24" s="17"/>
      <c r="C24" s="17"/>
      <c r="D24" s="1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</row>
    <row r="25" spans="1:17" ht="16.5" thickBot="1" x14ac:dyDescent="0.3">
      <c r="A25" s="21" t="s">
        <v>12</v>
      </c>
      <c r="B25" s="20"/>
      <c r="C25" s="20"/>
      <c r="D25" s="19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</row>
    <row r="26" spans="1:17" x14ac:dyDescent="0.2">
      <c r="A26" s="16" t="s">
        <v>13</v>
      </c>
      <c r="B26" s="17"/>
      <c r="C26" s="17"/>
      <c r="D26" s="64"/>
      <c r="E26" s="79">
        <v>67135.929999999993</v>
      </c>
      <c r="F26" s="79">
        <v>47531.67</v>
      </c>
      <c r="G26" s="79">
        <v>92267.22</v>
      </c>
      <c r="H26" s="79">
        <v>78999.25</v>
      </c>
      <c r="I26" s="79">
        <v>96171.56</v>
      </c>
      <c r="J26" s="79">
        <v>89319.23</v>
      </c>
      <c r="K26" s="79">
        <v>145270.15</v>
      </c>
      <c r="L26" s="79">
        <v>150922.13</v>
      </c>
      <c r="M26" s="79">
        <v>171974.88</v>
      </c>
      <c r="N26" s="79">
        <v>171016.26</v>
      </c>
      <c r="O26" s="79">
        <v>142354.23000000001</v>
      </c>
      <c r="P26" s="79">
        <v>209075.37</v>
      </c>
      <c r="Q26" s="79">
        <v>1462037.88</v>
      </c>
    </row>
    <row r="27" spans="1:17" x14ac:dyDescent="0.2">
      <c r="A27" s="16" t="s">
        <v>14</v>
      </c>
      <c r="B27" s="17"/>
      <c r="C27" s="17"/>
      <c r="D27" s="64"/>
      <c r="E27" s="79">
        <v>18725.39</v>
      </c>
      <c r="F27" s="79">
        <v>13257.41</v>
      </c>
      <c r="G27" s="79">
        <v>25734.95</v>
      </c>
      <c r="H27" s="79">
        <v>22034.27</v>
      </c>
      <c r="I27" s="79">
        <v>26823.93</v>
      </c>
      <c r="J27" s="79">
        <v>24912.69</v>
      </c>
      <c r="K27" s="79">
        <v>40518.39</v>
      </c>
      <c r="L27" s="79">
        <v>42094.82</v>
      </c>
      <c r="M27" s="79">
        <v>47966.81</v>
      </c>
      <c r="N27" s="79">
        <v>47699.43</v>
      </c>
      <c r="O27" s="79">
        <v>39705.089999999997</v>
      </c>
      <c r="P27" s="79">
        <v>58314.78</v>
      </c>
      <c r="Q27" s="79">
        <v>407787.96000000008</v>
      </c>
    </row>
    <row r="28" spans="1:17" x14ac:dyDescent="0.2">
      <c r="A28" s="16" t="s">
        <v>23</v>
      </c>
      <c r="B28" s="17"/>
      <c r="C28" s="17"/>
      <c r="D28" s="64"/>
      <c r="E28" s="83">
        <v>5322.22</v>
      </c>
      <c r="F28" s="83">
        <v>3768.09</v>
      </c>
      <c r="G28" s="83">
        <v>7314.52</v>
      </c>
      <c r="H28" s="83">
        <v>6262.69</v>
      </c>
      <c r="I28" s="83">
        <v>7624.04</v>
      </c>
      <c r="J28" s="83">
        <v>7080.81</v>
      </c>
      <c r="K28" s="83">
        <v>11516.34</v>
      </c>
      <c r="L28" s="83">
        <v>11964.41</v>
      </c>
      <c r="M28" s="83">
        <v>13633.37</v>
      </c>
      <c r="N28" s="83">
        <v>13557.38</v>
      </c>
      <c r="O28" s="83">
        <v>11285.18</v>
      </c>
      <c r="P28" s="83">
        <v>16574.53</v>
      </c>
      <c r="Q28" s="83">
        <v>115903.58000000002</v>
      </c>
    </row>
    <row r="29" spans="1:17" ht="15.75" x14ac:dyDescent="0.25">
      <c r="A29" s="16"/>
      <c r="B29" s="17"/>
      <c r="C29" s="17"/>
      <c r="D29" s="19"/>
      <c r="E29" s="81">
        <v>91183.54</v>
      </c>
      <c r="F29" s="81">
        <v>64557.17</v>
      </c>
      <c r="G29" s="81">
        <v>125316.69</v>
      </c>
      <c r="H29" s="81">
        <v>107296.21</v>
      </c>
      <c r="I29" s="81">
        <v>130619.53</v>
      </c>
      <c r="J29" s="81">
        <v>121312.73</v>
      </c>
      <c r="K29" s="81">
        <v>197304.88</v>
      </c>
      <c r="L29" s="81">
        <v>204981.36</v>
      </c>
      <c r="M29" s="81">
        <v>233575.06</v>
      </c>
      <c r="N29" s="81">
        <v>232273.07</v>
      </c>
      <c r="O29" s="81">
        <v>193344.5</v>
      </c>
      <c r="P29" s="81">
        <v>283964.68</v>
      </c>
      <c r="Q29" s="81">
        <v>1985729.42</v>
      </c>
    </row>
    <row r="30" spans="1:17" x14ac:dyDescent="0.2">
      <c r="A30" s="16"/>
      <c r="B30" s="17"/>
      <c r="C30" s="17"/>
      <c r="D30" s="19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</row>
    <row r="31" spans="1:17" ht="16.5" thickBot="1" x14ac:dyDescent="0.3">
      <c r="A31" s="21" t="s">
        <v>15</v>
      </c>
      <c r="B31" s="20"/>
      <c r="C31" s="20"/>
      <c r="D31" s="19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</row>
    <row r="32" spans="1:17" x14ac:dyDescent="0.2">
      <c r="A32" s="16" t="s">
        <v>16</v>
      </c>
      <c r="B32" s="17"/>
      <c r="C32" s="17"/>
      <c r="D32" s="64"/>
      <c r="E32" s="79">
        <v>68545.320000000007</v>
      </c>
      <c r="F32" s="79">
        <v>48529.5</v>
      </c>
      <c r="G32" s="79">
        <v>94204.19</v>
      </c>
      <c r="H32" s="79">
        <v>80657.679999999993</v>
      </c>
      <c r="I32" s="79">
        <v>98190.49</v>
      </c>
      <c r="J32" s="79">
        <v>91194.3</v>
      </c>
      <c r="K32" s="79">
        <v>148319.81</v>
      </c>
      <c r="L32" s="79">
        <v>154090.44</v>
      </c>
      <c r="M32" s="79">
        <v>175585.16</v>
      </c>
      <c r="N32" s="79">
        <v>174606.41</v>
      </c>
      <c r="O32" s="79">
        <v>145342.67000000001</v>
      </c>
      <c r="P32" s="79">
        <v>213464.5</v>
      </c>
      <c r="Q32" s="79">
        <v>1492730.47</v>
      </c>
    </row>
    <row r="33" spans="1:17" x14ac:dyDescent="0.2">
      <c r="A33" s="16" t="s">
        <v>17</v>
      </c>
      <c r="B33" s="17"/>
      <c r="C33" s="17"/>
      <c r="D33" s="64"/>
      <c r="E33" s="79">
        <v>29404.639999999999</v>
      </c>
      <c r="F33" s="79">
        <v>20818.240000000002</v>
      </c>
      <c r="G33" s="79">
        <v>40411.82</v>
      </c>
      <c r="H33" s="79">
        <v>34600.620000000003</v>
      </c>
      <c r="I33" s="79">
        <v>42121.87</v>
      </c>
      <c r="J33" s="79">
        <v>39120.629999999997</v>
      </c>
      <c r="K33" s="79">
        <v>63626.39</v>
      </c>
      <c r="L33" s="79">
        <v>66101.89</v>
      </c>
      <c r="M33" s="79">
        <v>75322.710000000006</v>
      </c>
      <c r="N33" s="79">
        <v>74902.850000000006</v>
      </c>
      <c r="O33" s="79">
        <v>62349.26</v>
      </c>
      <c r="P33" s="79">
        <v>91572.23</v>
      </c>
      <c r="Q33" s="79">
        <v>640353.15</v>
      </c>
    </row>
    <row r="34" spans="1:17" x14ac:dyDescent="0.2">
      <c r="A34" s="16" t="s">
        <v>18</v>
      </c>
      <c r="B34" s="17"/>
      <c r="C34" s="17"/>
      <c r="D34" s="64"/>
      <c r="E34" s="79">
        <v>33623.93</v>
      </c>
      <c r="F34" s="79">
        <v>23805.46</v>
      </c>
      <c r="G34" s="79">
        <v>46210.53</v>
      </c>
      <c r="H34" s="79">
        <v>39565.480000000003</v>
      </c>
      <c r="I34" s="79">
        <v>48165.95</v>
      </c>
      <c r="J34" s="79">
        <v>44734.07</v>
      </c>
      <c r="K34" s="79">
        <v>72756.17</v>
      </c>
      <c r="L34" s="79">
        <v>75586.880000000005</v>
      </c>
      <c r="M34" s="79">
        <v>86130.8</v>
      </c>
      <c r="N34" s="79">
        <v>85650.69</v>
      </c>
      <c r="O34" s="79">
        <v>71295.789999999994</v>
      </c>
      <c r="P34" s="79">
        <v>104711.97</v>
      </c>
      <c r="Q34" s="79">
        <v>732237.72</v>
      </c>
    </row>
    <row r="35" spans="1:17" x14ac:dyDescent="0.2">
      <c r="A35" s="16" t="s">
        <v>19</v>
      </c>
      <c r="B35" s="17"/>
      <c r="C35" s="17"/>
      <c r="D35" s="64"/>
      <c r="E35" s="83">
        <v>27314.79</v>
      </c>
      <c r="F35" s="83">
        <v>19338.64</v>
      </c>
      <c r="G35" s="83">
        <v>37539.67</v>
      </c>
      <c r="H35" s="83">
        <v>32141.48</v>
      </c>
      <c r="I35" s="83">
        <v>39128.18</v>
      </c>
      <c r="J35" s="83">
        <v>36340.25</v>
      </c>
      <c r="K35" s="83">
        <v>59104.33</v>
      </c>
      <c r="L35" s="83">
        <v>61403.88</v>
      </c>
      <c r="M35" s="83">
        <v>69969.37</v>
      </c>
      <c r="N35" s="83">
        <v>69579.34</v>
      </c>
      <c r="O35" s="83">
        <v>57917.97</v>
      </c>
      <c r="P35" s="83">
        <v>85064</v>
      </c>
      <c r="Q35" s="83">
        <v>594841.9</v>
      </c>
    </row>
    <row r="36" spans="1:17" ht="15.75" x14ac:dyDescent="0.25">
      <c r="A36" s="16"/>
      <c r="B36" s="17"/>
      <c r="C36" s="17"/>
      <c r="D36" s="19"/>
      <c r="E36" s="81">
        <v>158888.68</v>
      </c>
      <c r="F36" s="81">
        <v>112491.84</v>
      </c>
      <c r="G36" s="81">
        <v>218366.21</v>
      </c>
      <c r="H36" s="81">
        <v>186965.26</v>
      </c>
      <c r="I36" s="81">
        <v>227606.49</v>
      </c>
      <c r="J36" s="81">
        <v>211389.25</v>
      </c>
      <c r="K36" s="81">
        <v>343806.7</v>
      </c>
      <c r="L36" s="81">
        <v>357183.09</v>
      </c>
      <c r="M36" s="81">
        <v>407008.04</v>
      </c>
      <c r="N36" s="81">
        <v>404739.29</v>
      </c>
      <c r="O36" s="81">
        <v>336905.69</v>
      </c>
      <c r="P36" s="81">
        <v>494812.7</v>
      </c>
      <c r="Q36" s="81">
        <v>3460163.24</v>
      </c>
    </row>
    <row r="37" spans="1:17" x14ac:dyDescent="0.2">
      <c r="A37" s="16"/>
      <c r="B37" s="17"/>
      <c r="C37" s="17"/>
      <c r="D37" s="19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</row>
    <row r="38" spans="1:17" ht="16.5" thickBot="1" x14ac:dyDescent="0.3">
      <c r="A38" s="21" t="s">
        <v>20</v>
      </c>
      <c r="B38" s="20"/>
      <c r="C38" s="20"/>
      <c r="D38" s="19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</row>
    <row r="39" spans="1:17" x14ac:dyDescent="0.2">
      <c r="A39" s="16" t="s">
        <v>21</v>
      </c>
      <c r="B39" s="17"/>
      <c r="C39" s="17"/>
      <c r="D39" s="64"/>
      <c r="E39" s="83">
        <v>101625.97</v>
      </c>
      <c r="F39" s="83">
        <v>71950.320000000007</v>
      </c>
      <c r="G39" s="83">
        <v>139668.07999999999</v>
      </c>
      <c r="H39" s="83">
        <v>119583.88</v>
      </c>
      <c r="I39" s="83">
        <v>145578.21</v>
      </c>
      <c r="J39" s="83">
        <v>135205.57999999999</v>
      </c>
      <c r="K39" s="83">
        <v>219900.42</v>
      </c>
      <c r="L39" s="83">
        <v>228456.02</v>
      </c>
      <c r="M39" s="83">
        <v>260324.3</v>
      </c>
      <c r="N39" s="83">
        <v>258873.2</v>
      </c>
      <c r="O39" s="83">
        <v>215486.5</v>
      </c>
      <c r="P39" s="83">
        <v>316484.58</v>
      </c>
      <c r="Q39" s="83">
        <v>2213137.06</v>
      </c>
    </row>
    <row r="40" spans="1:17" ht="16.5" thickBot="1" x14ac:dyDescent="0.3">
      <c r="A40" s="22"/>
      <c r="B40" s="23"/>
      <c r="C40" s="23"/>
      <c r="D40" s="24"/>
      <c r="E40" s="85">
        <v>101625.97</v>
      </c>
      <c r="F40" s="85">
        <v>71950.320000000007</v>
      </c>
      <c r="G40" s="85">
        <v>139668.07999999999</v>
      </c>
      <c r="H40" s="85">
        <v>119583.88</v>
      </c>
      <c r="I40" s="85">
        <v>145578.21</v>
      </c>
      <c r="J40" s="85">
        <v>135205.57999999999</v>
      </c>
      <c r="K40" s="85">
        <v>219900.42</v>
      </c>
      <c r="L40" s="85">
        <v>228456.02</v>
      </c>
      <c r="M40" s="85">
        <v>260324.3</v>
      </c>
      <c r="N40" s="85">
        <v>258873.2</v>
      </c>
      <c r="O40" s="85">
        <v>215486.5</v>
      </c>
      <c r="P40" s="85">
        <v>316484.58</v>
      </c>
      <c r="Q40" s="85">
        <v>2213137.06</v>
      </c>
    </row>
    <row r="41" spans="1:17" ht="16.5" thickTop="1" x14ac:dyDescent="0.25">
      <c r="A41" s="1"/>
      <c r="B41" s="1" t="s">
        <v>24</v>
      </c>
      <c r="C41" s="1"/>
      <c r="D41" s="1"/>
      <c r="E41" s="86">
        <v>682511.52</v>
      </c>
      <c r="F41" s="86">
        <v>483212.35</v>
      </c>
      <c r="G41" s="86">
        <v>937999.2</v>
      </c>
      <c r="H41" s="86">
        <v>803115.38</v>
      </c>
      <c r="I41" s="86">
        <v>977691.11</v>
      </c>
      <c r="J41" s="86">
        <v>908029.41</v>
      </c>
      <c r="K41" s="86">
        <v>1476832.92</v>
      </c>
      <c r="L41" s="86">
        <v>1534291.61</v>
      </c>
      <c r="M41" s="86">
        <v>1748316.32</v>
      </c>
      <c r="N41" s="86">
        <v>1738570.85</v>
      </c>
      <c r="O41" s="86">
        <v>1447189.4</v>
      </c>
      <c r="P41" s="86">
        <v>2125484.1</v>
      </c>
      <c r="Q41" s="86">
        <v>14863244.17</v>
      </c>
    </row>
    <row r="42" spans="1:17" ht="15.75" x14ac:dyDescent="0.25">
      <c r="A42" s="2"/>
      <c r="B42" s="2"/>
      <c r="C42" s="2"/>
      <c r="D42" s="2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</row>
  </sheetData>
  <phoneticPr fontId="0" type="noConversion"/>
  <printOptions horizontalCentered="1"/>
  <pageMargins left="0.19685039370078741" right="0.19685039370078741" top="0.98425196850393704" bottom="1" header="0" footer="0"/>
  <pageSetup paperSize="9" scale="50" orientation="landscape" horizontalDpi="4294967293" verticalDpi="4294967293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Q42"/>
  <sheetViews>
    <sheetView zoomScale="80" zoomScaleNormal="80" workbookViewId="0"/>
  </sheetViews>
  <sheetFormatPr baseColWidth="10" defaultColWidth="11.42578125" defaultRowHeight="12.75" x14ac:dyDescent="0.2"/>
  <cols>
    <col min="1" max="2" width="17.5703125" customWidth="1"/>
    <col min="5" max="17" width="17.5703125" customWidth="1"/>
  </cols>
  <sheetData>
    <row r="1" spans="1:17" ht="15.75" x14ac:dyDescent="0.25">
      <c r="A1" s="4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.75" x14ac:dyDescent="0.25">
      <c r="A2" s="27" t="s">
        <v>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15.75" x14ac:dyDescent="0.25">
      <c r="A3" s="27" t="s">
        <v>55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5.75" x14ac:dyDescent="0.25">
      <c r="A4" s="4" t="s">
        <v>30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ht="15.75" x14ac:dyDescent="0.25">
      <c r="A5" s="5" t="s">
        <v>46</v>
      </c>
      <c r="B5" s="6"/>
      <c r="C5" s="6"/>
      <c r="D5" s="7"/>
      <c r="E5" s="31" t="s">
        <v>266</v>
      </c>
      <c r="F5" s="32" t="s">
        <v>267</v>
      </c>
      <c r="G5" s="32" t="s">
        <v>268</v>
      </c>
      <c r="H5" s="32" t="s">
        <v>269</v>
      </c>
      <c r="I5" s="32" t="s">
        <v>270</v>
      </c>
      <c r="J5" s="32" t="s">
        <v>271</v>
      </c>
      <c r="K5" s="32" t="s">
        <v>272</v>
      </c>
      <c r="L5" s="32" t="s">
        <v>273</v>
      </c>
      <c r="M5" s="32" t="s">
        <v>274</v>
      </c>
      <c r="N5" s="32" t="s">
        <v>275</v>
      </c>
      <c r="O5" s="32" t="s">
        <v>276</v>
      </c>
      <c r="P5" s="32" t="s">
        <v>277</v>
      </c>
      <c r="Q5" s="33" t="s">
        <v>48</v>
      </c>
    </row>
    <row r="6" spans="1:17" ht="15" x14ac:dyDescent="0.2">
      <c r="A6" s="8"/>
      <c r="B6" s="9"/>
      <c r="C6" s="9"/>
      <c r="D6" s="10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59">
        <v>1998</v>
      </c>
    </row>
    <row r="7" spans="1:17" ht="15" x14ac:dyDescent="0.2">
      <c r="A7" s="12"/>
      <c r="B7" s="13"/>
      <c r="C7" s="13"/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7" ht="15" x14ac:dyDescent="0.2">
      <c r="A8" s="16" t="s">
        <v>1</v>
      </c>
      <c r="B8" s="17"/>
      <c r="C8" s="17"/>
      <c r="D8" s="18"/>
      <c r="E8" s="79">
        <v>727262.02</v>
      </c>
      <c r="F8" s="79">
        <v>619306.77</v>
      </c>
      <c r="G8" s="79">
        <v>615110.68000000005</v>
      </c>
      <c r="H8" s="79">
        <v>829016.83</v>
      </c>
      <c r="I8" s="79">
        <v>769586.23</v>
      </c>
      <c r="J8" s="79">
        <v>654718.18000000005</v>
      </c>
      <c r="K8" s="79">
        <v>778931.47</v>
      </c>
      <c r="L8" s="79">
        <v>968658.41</v>
      </c>
      <c r="M8" s="79">
        <v>897088.73</v>
      </c>
      <c r="N8" s="79">
        <v>1068601.05</v>
      </c>
      <c r="O8" s="79">
        <v>778463.23</v>
      </c>
      <c r="P8" s="79">
        <v>706479.96</v>
      </c>
      <c r="Q8" s="79">
        <v>9413223.5599999987</v>
      </c>
    </row>
    <row r="9" spans="1:17" ht="15" x14ac:dyDescent="0.2">
      <c r="A9" s="16" t="s">
        <v>2</v>
      </c>
      <c r="B9" s="17"/>
      <c r="C9" s="17"/>
      <c r="D9" s="18"/>
      <c r="E9" s="79">
        <v>69929.039999999994</v>
      </c>
      <c r="F9" s="79">
        <v>59548.73</v>
      </c>
      <c r="G9" s="79">
        <v>59145.26</v>
      </c>
      <c r="H9" s="79">
        <v>79713.16</v>
      </c>
      <c r="I9" s="79">
        <v>73998.679999999993</v>
      </c>
      <c r="J9" s="79">
        <v>62953.67</v>
      </c>
      <c r="K9" s="79">
        <v>74897.259999999995</v>
      </c>
      <c r="L9" s="79">
        <v>93140.23</v>
      </c>
      <c r="M9" s="79">
        <v>86258.53</v>
      </c>
      <c r="N9" s="79">
        <v>102750.1</v>
      </c>
      <c r="O9" s="79">
        <v>74852.23</v>
      </c>
      <c r="P9" s="79">
        <v>67930.77</v>
      </c>
      <c r="Q9" s="79">
        <v>905117.66</v>
      </c>
    </row>
    <row r="10" spans="1:17" ht="15" x14ac:dyDescent="0.2">
      <c r="A10" s="16" t="s">
        <v>3</v>
      </c>
      <c r="B10" s="17"/>
      <c r="C10" s="17"/>
      <c r="D10" s="18"/>
      <c r="E10" s="79">
        <v>41957.42</v>
      </c>
      <c r="F10" s="79">
        <v>35729.24</v>
      </c>
      <c r="G10" s="79">
        <v>35487.160000000003</v>
      </c>
      <c r="H10" s="79">
        <v>47827.89</v>
      </c>
      <c r="I10" s="79">
        <v>44399.21</v>
      </c>
      <c r="J10" s="79">
        <v>37772.199999999997</v>
      </c>
      <c r="K10" s="79">
        <v>44938.35</v>
      </c>
      <c r="L10" s="79">
        <v>55884.14</v>
      </c>
      <c r="M10" s="79">
        <v>51755.12</v>
      </c>
      <c r="N10" s="79">
        <v>61650.06</v>
      </c>
      <c r="O10" s="79">
        <v>44911.34</v>
      </c>
      <c r="P10" s="79">
        <v>40758.46</v>
      </c>
      <c r="Q10" s="79">
        <v>543070.59</v>
      </c>
    </row>
    <row r="11" spans="1:17" ht="15.75" thickBot="1" x14ac:dyDescent="0.25">
      <c r="A11" s="16" t="s">
        <v>4</v>
      </c>
      <c r="B11" s="17"/>
      <c r="C11" s="17"/>
      <c r="D11" s="18"/>
      <c r="E11" s="80">
        <v>559432.31999999995</v>
      </c>
      <c r="F11" s="80">
        <v>476389.82</v>
      </c>
      <c r="G11" s="80">
        <v>473162.07</v>
      </c>
      <c r="H11" s="80">
        <v>637705.25</v>
      </c>
      <c r="I11" s="80">
        <v>591989.41</v>
      </c>
      <c r="J11" s="80">
        <v>503629.36</v>
      </c>
      <c r="K11" s="80">
        <v>599178.06000000006</v>
      </c>
      <c r="L11" s="80">
        <v>745121.85</v>
      </c>
      <c r="M11" s="80">
        <v>690068.25</v>
      </c>
      <c r="N11" s="80">
        <v>822000.81</v>
      </c>
      <c r="O11" s="80">
        <v>598817.86</v>
      </c>
      <c r="P11" s="80">
        <v>543446.13</v>
      </c>
      <c r="Q11" s="80">
        <v>7240941.1899999995</v>
      </c>
    </row>
    <row r="12" spans="1:17" ht="15.75" x14ac:dyDescent="0.25">
      <c r="A12" s="16"/>
      <c r="B12" s="17" t="s">
        <v>59</v>
      </c>
      <c r="C12" s="17"/>
      <c r="D12" s="19"/>
      <c r="E12" s="81">
        <v>1398580.8</v>
      </c>
      <c r="F12" s="81">
        <v>1190974.56</v>
      </c>
      <c r="G12" s="81">
        <v>1182905.17</v>
      </c>
      <c r="H12" s="81">
        <v>1594263.13</v>
      </c>
      <c r="I12" s="81">
        <v>1479973.53</v>
      </c>
      <c r="J12" s="81">
        <v>1259073.4099999999</v>
      </c>
      <c r="K12" s="81">
        <v>1497945.14</v>
      </c>
      <c r="L12" s="81">
        <v>1862804.63</v>
      </c>
      <c r="M12" s="81">
        <v>1725170.63</v>
      </c>
      <c r="N12" s="81">
        <v>2055002.02</v>
      </c>
      <c r="O12" s="81">
        <v>1497044.66</v>
      </c>
      <c r="P12" s="81">
        <v>1358615.32</v>
      </c>
      <c r="Q12" s="81">
        <v>18102353</v>
      </c>
    </row>
    <row r="13" spans="1:17" ht="15" x14ac:dyDescent="0.2">
      <c r="A13" s="16"/>
      <c r="B13" s="17"/>
      <c r="C13" s="17"/>
      <c r="D13" s="1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</row>
    <row r="14" spans="1:17" ht="15" x14ac:dyDescent="0.2">
      <c r="A14" s="16" t="s">
        <v>5</v>
      </c>
      <c r="B14" s="17"/>
      <c r="C14" s="17"/>
      <c r="D14" s="1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</row>
    <row r="15" spans="1:17" ht="15" x14ac:dyDescent="0.2">
      <c r="A15" s="16"/>
      <c r="B15" s="17"/>
      <c r="C15" s="17"/>
      <c r="D15" s="1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</row>
    <row r="16" spans="1:17" ht="16.5" thickBot="1" x14ac:dyDescent="0.3">
      <c r="A16" s="21" t="s">
        <v>6</v>
      </c>
      <c r="B16" s="20"/>
      <c r="C16" s="20"/>
      <c r="D16" s="19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</row>
    <row r="17" spans="1:17" ht="15" x14ac:dyDescent="0.2">
      <c r="A17" s="16" t="s">
        <v>7</v>
      </c>
      <c r="B17" s="17"/>
      <c r="C17" s="17"/>
      <c r="D17" s="64"/>
      <c r="E17" s="79">
        <v>196147.6</v>
      </c>
      <c r="F17" s="79">
        <v>167031.32999999999</v>
      </c>
      <c r="G17" s="79">
        <v>165899.62</v>
      </c>
      <c r="H17" s="79">
        <v>223591.58</v>
      </c>
      <c r="I17" s="79">
        <v>207562.74</v>
      </c>
      <c r="J17" s="79">
        <v>176582.03</v>
      </c>
      <c r="K17" s="79">
        <v>210083.22</v>
      </c>
      <c r="L17" s="79">
        <v>261253.88</v>
      </c>
      <c r="M17" s="79">
        <v>241951.05</v>
      </c>
      <c r="N17" s="79">
        <v>288209.11</v>
      </c>
      <c r="O17" s="79">
        <v>209956.92</v>
      </c>
      <c r="P17" s="79">
        <v>190542.54</v>
      </c>
      <c r="Q17" s="79">
        <v>2538811.62</v>
      </c>
    </row>
    <row r="18" spans="1:17" ht="15" x14ac:dyDescent="0.2">
      <c r="A18" s="16" t="s">
        <v>8</v>
      </c>
      <c r="B18" s="17"/>
      <c r="C18" s="17"/>
      <c r="D18" s="64"/>
      <c r="E18" s="79">
        <v>12596.18</v>
      </c>
      <c r="F18" s="79">
        <v>10726.39</v>
      </c>
      <c r="G18" s="79">
        <v>10653.72</v>
      </c>
      <c r="H18" s="79">
        <v>14358.57</v>
      </c>
      <c r="I18" s="79">
        <v>13329.23</v>
      </c>
      <c r="J18" s="79">
        <v>11339.72</v>
      </c>
      <c r="K18" s="79">
        <v>13491.09</v>
      </c>
      <c r="L18" s="79">
        <v>16777.16</v>
      </c>
      <c r="M18" s="79">
        <v>15537.58</v>
      </c>
      <c r="N18" s="79">
        <v>18508.169999999998</v>
      </c>
      <c r="O18" s="79">
        <v>13482.98</v>
      </c>
      <c r="P18" s="79">
        <v>12236.23</v>
      </c>
      <c r="Q18" s="79">
        <v>163037.02000000002</v>
      </c>
    </row>
    <row r="19" spans="1:17" ht="15" x14ac:dyDescent="0.2">
      <c r="A19" s="16" t="s">
        <v>9</v>
      </c>
      <c r="B19" s="17"/>
      <c r="C19" s="17"/>
      <c r="D19" s="64"/>
      <c r="E19" s="79">
        <v>15857.67</v>
      </c>
      <c r="F19" s="79">
        <v>13503.75</v>
      </c>
      <c r="G19" s="79">
        <v>13412.25</v>
      </c>
      <c r="H19" s="79">
        <v>18076.39</v>
      </c>
      <c r="I19" s="79">
        <v>16780.53</v>
      </c>
      <c r="J19" s="79">
        <v>14275.88</v>
      </c>
      <c r="K19" s="79">
        <v>16984.3</v>
      </c>
      <c r="L19" s="79">
        <v>21121.22</v>
      </c>
      <c r="M19" s="79">
        <v>19560.669999999998</v>
      </c>
      <c r="N19" s="79">
        <v>23300.43</v>
      </c>
      <c r="O19" s="79">
        <v>16974.09</v>
      </c>
      <c r="P19" s="79">
        <v>15404.52</v>
      </c>
      <c r="Q19" s="79">
        <v>205251.69999999998</v>
      </c>
    </row>
    <row r="20" spans="1:17" ht="15" x14ac:dyDescent="0.2">
      <c r="A20" s="16" t="s">
        <v>10</v>
      </c>
      <c r="B20" s="17"/>
      <c r="C20" s="17"/>
      <c r="D20" s="64"/>
      <c r="E20" s="79">
        <v>16595.560000000001</v>
      </c>
      <c r="F20" s="79">
        <v>14132.1</v>
      </c>
      <c r="G20" s="79">
        <v>14036.35</v>
      </c>
      <c r="H20" s="79">
        <v>18917.53</v>
      </c>
      <c r="I20" s="79">
        <v>17561.37</v>
      </c>
      <c r="J20" s="79">
        <v>14940.16</v>
      </c>
      <c r="K20" s="79">
        <v>17774.62</v>
      </c>
      <c r="L20" s="79">
        <v>22104.04</v>
      </c>
      <c r="M20" s="79">
        <v>20470.87</v>
      </c>
      <c r="N20" s="79">
        <v>24384.65</v>
      </c>
      <c r="O20" s="79">
        <v>17763.93</v>
      </c>
      <c r="P20" s="79">
        <v>16121.33</v>
      </c>
      <c r="Q20" s="79">
        <v>214802.50999999998</v>
      </c>
    </row>
    <row r="21" spans="1:17" ht="15" x14ac:dyDescent="0.2">
      <c r="A21" s="16" t="s">
        <v>11</v>
      </c>
      <c r="B21" s="17"/>
      <c r="C21" s="17"/>
      <c r="D21" s="64"/>
      <c r="E21" s="79">
        <v>23859.79</v>
      </c>
      <c r="F21" s="79">
        <v>20318.03</v>
      </c>
      <c r="G21" s="79">
        <v>20180.36</v>
      </c>
      <c r="H21" s="79">
        <v>27198.13</v>
      </c>
      <c r="I21" s="79">
        <v>25248.35</v>
      </c>
      <c r="J21" s="79">
        <v>21479.79</v>
      </c>
      <c r="K21" s="79">
        <v>25554.94</v>
      </c>
      <c r="L21" s="79">
        <v>31779.45</v>
      </c>
      <c r="M21" s="79">
        <v>29431.41</v>
      </c>
      <c r="N21" s="79">
        <v>35058.33</v>
      </c>
      <c r="O21" s="79">
        <v>25539.58</v>
      </c>
      <c r="P21" s="79">
        <v>23177.98</v>
      </c>
      <c r="Q21" s="79">
        <v>308826.14</v>
      </c>
    </row>
    <row r="22" spans="1:17" ht="15" x14ac:dyDescent="0.2">
      <c r="A22" s="16" t="s">
        <v>22</v>
      </c>
      <c r="B22" s="17"/>
      <c r="C22" s="17"/>
      <c r="D22" s="64"/>
      <c r="E22" s="83">
        <v>6100.05</v>
      </c>
      <c r="F22" s="83">
        <v>5194.55</v>
      </c>
      <c r="G22" s="83">
        <v>5159.3599999999997</v>
      </c>
      <c r="H22" s="83">
        <v>6953.54</v>
      </c>
      <c r="I22" s="83">
        <v>6455.05</v>
      </c>
      <c r="J22" s="83">
        <v>5491.57</v>
      </c>
      <c r="K22" s="83">
        <v>6533.44</v>
      </c>
      <c r="L22" s="83">
        <v>8124.81</v>
      </c>
      <c r="M22" s="83">
        <v>7524.5</v>
      </c>
      <c r="N22" s="83">
        <v>8963.1</v>
      </c>
      <c r="O22" s="83">
        <v>6529.51</v>
      </c>
      <c r="P22" s="83">
        <v>5925.74</v>
      </c>
      <c r="Q22" s="83">
        <v>78955.22</v>
      </c>
    </row>
    <row r="23" spans="1:17" ht="15.75" x14ac:dyDescent="0.25">
      <c r="A23" s="16"/>
      <c r="B23" s="17"/>
      <c r="C23" s="17"/>
      <c r="D23" s="19"/>
      <c r="E23" s="81">
        <v>271156.84999999998</v>
      </c>
      <c r="F23" s="81">
        <v>230906.15</v>
      </c>
      <c r="G23" s="81">
        <v>229341.66</v>
      </c>
      <c r="H23" s="81">
        <v>309095.74</v>
      </c>
      <c r="I23" s="81">
        <v>286937.27</v>
      </c>
      <c r="J23" s="81">
        <v>244109.15</v>
      </c>
      <c r="K23" s="81">
        <v>290421.61</v>
      </c>
      <c r="L23" s="81">
        <v>361160.56</v>
      </c>
      <c r="M23" s="81">
        <v>334476.08</v>
      </c>
      <c r="N23" s="81">
        <v>398423.79</v>
      </c>
      <c r="O23" s="81">
        <v>290247.01</v>
      </c>
      <c r="P23" s="81">
        <v>263408.34000000003</v>
      </c>
      <c r="Q23" s="81">
        <v>3509684.21</v>
      </c>
    </row>
    <row r="24" spans="1:17" ht="15" x14ac:dyDescent="0.2">
      <c r="A24" s="16"/>
      <c r="B24" s="17"/>
      <c r="C24" s="17"/>
      <c r="D24" s="1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</row>
    <row r="25" spans="1:17" ht="16.5" thickBot="1" x14ac:dyDescent="0.3">
      <c r="A25" s="21" t="s">
        <v>12</v>
      </c>
      <c r="B25" s="20"/>
      <c r="C25" s="20"/>
      <c r="D25" s="19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</row>
    <row r="26" spans="1:17" ht="15" x14ac:dyDescent="0.2">
      <c r="A26" s="16" t="s">
        <v>13</v>
      </c>
      <c r="B26" s="17"/>
      <c r="C26" s="17"/>
      <c r="D26" s="64"/>
      <c r="E26" s="79">
        <v>55029.120000000003</v>
      </c>
      <c r="F26" s="79">
        <v>46860.56</v>
      </c>
      <c r="G26" s="79">
        <v>46543.06</v>
      </c>
      <c r="H26" s="79">
        <v>62728.51</v>
      </c>
      <c r="I26" s="79">
        <v>58231.64</v>
      </c>
      <c r="J26" s="79">
        <v>49540</v>
      </c>
      <c r="K26" s="79">
        <v>58938.75</v>
      </c>
      <c r="L26" s="79">
        <v>73294.66</v>
      </c>
      <c r="M26" s="79">
        <v>67879.259999999995</v>
      </c>
      <c r="N26" s="79">
        <v>80856.94</v>
      </c>
      <c r="O26" s="79">
        <v>58903.32</v>
      </c>
      <c r="P26" s="79">
        <v>53456.62</v>
      </c>
      <c r="Q26" s="79">
        <v>712262.44</v>
      </c>
    </row>
    <row r="27" spans="1:17" ht="15" x14ac:dyDescent="0.2">
      <c r="A27" s="16" t="s">
        <v>14</v>
      </c>
      <c r="B27" s="17"/>
      <c r="C27" s="17"/>
      <c r="D27" s="64"/>
      <c r="E27" s="79">
        <v>15348.59</v>
      </c>
      <c r="F27" s="79">
        <v>13070.23</v>
      </c>
      <c r="G27" s="79">
        <v>12981.67</v>
      </c>
      <c r="H27" s="79">
        <v>17496.080000000002</v>
      </c>
      <c r="I27" s="79">
        <v>16241.82</v>
      </c>
      <c r="J27" s="79">
        <v>13817.58</v>
      </c>
      <c r="K27" s="79">
        <v>16439.05</v>
      </c>
      <c r="L27" s="79">
        <v>20443.16</v>
      </c>
      <c r="M27" s="79">
        <v>18932.71</v>
      </c>
      <c r="N27" s="79">
        <v>22552.41</v>
      </c>
      <c r="O27" s="79">
        <v>16429.169999999998</v>
      </c>
      <c r="P27" s="79">
        <v>14909.99</v>
      </c>
      <c r="Q27" s="79">
        <v>198662.46000000002</v>
      </c>
    </row>
    <row r="28" spans="1:17" ht="15" x14ac:dyDescent="0.2">
      <c r="A28" s="16" t="s">
        <v>23</v>
      </c>
      <c r="B28" s="17"/>
      <c r="C28" s="17"/>
      <c r="D28" s="64"/>
      <c r="E28" s="83">
        <v>4362.45</v>
      </c>
      <c r="F28" s="83">
        <v>3714.89</v>
      </c>
      <c r="G28" s="83">
        <v>3689.72</v>
      </c>
      <c r="H28" s="83">
        <v>4972.83</v>
      </c>
      <c r="I28" s="83">
        <v>4616.33</v>
      </c>
      <c r="J28" s="83">
        <v>3927.3</v>
      </c>
      <c r="K28" s="83">
        <v>4672.3900000000003</v>
      </c>
      <c r="L28" s="83">
        <v>5810.46</v>
      </c>
      <c r="M28" s="83">
        <v>5381.15</v>
      </c>
      <c r="N28" s="83">
        <v>6409.96</v>
      </c>
      <c r="O28" s="83">
        <v>4669.58</v>
      </c>
      <c r="P28" s="83">
        <v>4237.79</v>
      </c>
      <c r="Q28" s="83">
        <v>56464.850000000006</v>
      </c>
    </row>
    <row r="29" spans="1:17" ht="15.75" x14ac:dyDescent="0.25">
      <c r="A29" s="16"/>
      <c r="B29" s="17"/>
      <c r="C29" s="17"/>
      <c r="D29" s="19"/>
      <c r="E29" s="81">
        <v>74740.160000000003</v>
      </c>
      <c r="F29" s="81">
        <v>63645.68</v>
      </c>
      <c r="G29" s="81">
        <v>63214.45</v>
      </c>
      <c r="H29" s="81">
        <v>85197.42</v>
      </c>
      <c r="I29" s="81">
        <v>79089.789999999994</v>
      </c>
      <c r="J29" s="81">
        <v>67284.88</v>
      </c>
      <c r="K29" s="81">
        <v>80050.19</v>
      </c>
      <c r="L29" s="81">
        <v>99548.28</v>
      </c>
      <c r="M29" s="81">
        <v>92193.12</v>
      </c>
      <c r="N29" s="81">
        <v>109819.31</v>
      </c>
      <c r="O29" s="81">
        <v>80002.070000000007</v>
      </c>
      <c r="P29" s="81">
        <v>72604.399999999994</v>
      </c>
      <c r="Q29" s="81">
        <v>967389.75000000012</v>
      </c>
    </row>
    <row r="30" spans="1:17" ht="15" x14ac:dyDescent="0.2">
      <c r="A30" s="16"/>
      <c r="B30" s="17"/>
      <c r="C30" s="17"/>
      <c r="D30" s="19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</row>
    <row r="31" spans="1:17" ht="16.5" thickBot="1" x14ac:dyDescent="0.3">
      <c r="A31" s="21" t="s">
        <v>15</v>
      </c>
      <c r="B31" s="20"/>
      <c r="C31" s="20"/>
      <c r="D31" s="19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</row>
    <row r="32" spans="1:17" ht="15" x14ac:dyDescent="0.2">
      <c r="A32" s="16" t="s">
        <v>16</v>
      </c>
      <c r="B32" s="17"/>
      <c r="C32" s="17"/>
      <c r="D32" s="64"/>
      <c r="E32" s="79">
        <v>56184.35</v>
      </c>
      <c r="F32" s="79">
        <v>47844.31</v>
      </c>
      <c r="G32" s="79">
        <v>47520.14</v>
      </c>
      <c r="H32" s="79">
        <v>64045.37</v>
      </c>
      <c r="I32" s="79">
        <v>59454.080000000002</v>
      </c>
      <c r="J32" s="79">
        <v>50580.01</v>
      </c>
      <c r="K32" s="79">
        <v>60176.04</v>
      </c>
      <c r="L32" s="79">
        <v>74833.34</v>
      </c>
      <c r="M32" s="79">
        <v>69304.25</v>
      </c>
      <c r="N32" s="79">
        <v>82554.37</v>
      </c>
      <c r="O32" s="79">
        <v>60139.88</v>
      </c>
      <c r="P32" s="79">
        <v>54578.84</v>
      </c>
      <c r="Q32" s="79">
        <v>727214.98</v>
      </c>
    </row>
    <row r="33" spans="1:17" ht="15" x14ac:dyDescent="0.2">
      <c r="A33" s="16" t="s">
        <v>17</v>
      </c>
      <c r="B33" s="17"/>
      <c r="C33" s="17"/>
      <c r="D33" s="64"/>
      <c r="E33" s="79">
        <v>24102.02</v>
      </c>
      <c r="F33" s="79">
        <v>20524.3</v>
      </c>
      <c r="G33" s="79">
        <v>20385.240000000002</v>
      </c>
      <c r="H33" s="79">
        <v>27474.26</v>
      </c>
      <c r="I33" s="79">
        <v>25504.68</v>
      </c>
      <c r="J33" s="79">
        <v>21697.86</v>
      </c>
      <c r="K33" s="79">
        <v>25814.39</v>
      </c>
      <c r="L33" s="79">
        <v>32102.080000000002</v>
      </c>
      <c r="M33" s="79">
        <v>29730.21</v>
      </c>
      <c r="N33" s="79">
        <v>35414.26</v>
      </c>
      <c r="O33" s="79">
        <v>25798.87</v>
      </c>
      <c r="P33" s="79">
        <v>23413.29</v>
      </c>
      <c r="Q33" s="79">
        <v>311961.45999999996</v>
      </c>
    </row>
    <row r="34" spans="1:17" ht="15" x14ac:dyDescent="0.2">
      <c r="A34" s="16" t="s">
        <v>18</v>
      </c>
      <c r="B34" s="17"/>
      <c r="C34" s="17"/>
      <c r="D34" s="64"/>
      <c r="E34" s="79">
        <v>27560.43</v>
      </c>
      <c r="F34" s="79">
        <v>23469.34</v>
      </c>
      <c r="G34" s="79">
        <v>23310.33</v>
      </c>
      <c r="H34" s="79">
        <v>31416.55</v>
      </c>
      <c r="I34" s="79">
        <v>29164.36</v>
      </c>
      <c r="J34" s="79">
        <v>24811.3</v>
      </c>
      <c r="K34" s="79">
        <v>29518.51</v>
      </c>
      <c r="L34" s="79">
        <v>36708.43</v>
      </c>
      <c r="M34" s="79">
        <v>33996.21</v>
      </c>
      <c r="N34" s="79">
        <v>40495.870000000003</v>
      </c>
      <c r="O34" s="79">
        <v>29500.76</v>
      </c>
      <c r="P34" s="79">
        <v>26772.87</v>
      </c>
      <c r="Q34" s="79">
        <v>356724.96</v>
      </c>
    </row>
    <row r="35" spans="1:17" ht="15" x14ac:dyDescent="0.2">
      <c r="A35" s="16" t="s">
        <v>19</v>
      </c>
      <c r="B35" s="17"/>
      <c r="C35" s="17"/>
      <c r="D35" s="64"/>
      <c r="E35" s="83">
        <v>22389.040000000001</v>
      </c>
      <c r="F35" s="83">
        <v>19065.599999999999</v>
      </c>
      <c r="G35" s="83">
        <v>18936.419999999998</v>
      </c>
      <c r="H35" s="83">
        <v>25521.599999999999</v>
      </c>
      <c r="I35" s="83">
        <v>23692.01</v>
      </c>
      <c r="J35" s="83">
        <v>20155.75</v>
      </c>
      <c r="K35" s="83">
        <v>23979.71</v>
      </c>
      <c r="L35" s="83">
        <v>29820.52</v>
      </c>
      <c r="M35" s="83">
        <v>27617.22</v>
      </c>
      <c r="N35" s="83">
        <v>32897.29</v>
      </c>
      <c r="O35" s="83">
        <v>23965.29</v>
      </c>
      <c r="P35" s="83">
        <v>21749.26</v>
      </c>
      <c r="Q35" s="83">
        <v>289789.71000000002</v>
      </c>
    </row>
    <row r="36" spans="1:17" ht="15.75" x14ac:dyDescent="0.25">
      <c r="A36" s="16"/>
      <c r="B36" s="17"/>
      <c r="C36" s="17"/>
      <c r="D36" s="19"/>
      <c r="E36" s="81">
        <v>130235.84</v>
      </c>
      <c r="F36" s="81">
        <v>110903.55</v>
      </c>
      <c r="G36" s="81">
        <v>110152.13</v>
      </c>
      <c r="H36" s="81">
        <v>148457.78</v>
      </c>
      <c r="I36" s="81">
        <v>137815.13</v>
      </c>
      <c r="J36" s="81">
        <v>117244.92</v>
      </c>
      <c r="K36" s="81">
        <v>139488.65</v>
      </c>
      <c r="L36" s="81">
        <v>173464.37</v>
      </c>
      <c r="M36" s="81">
        <v>160647.89000000001</v>
      </c>
      <c r="N36" s="81">
        <v>191361.79</v>
      </c>
      <c r="O36" s="81">
        <v>139404.79999999999</v>
      </c>
      <c r="P36" s="81">
        <v>126514.26</v>
      </c>
      <c r="Q36" s="81">
        <v>1685691.1100000003</v>
      </c>
    </row>
    <row r="37" spans="1:17" ht="15" x14ac:dyDescent="0.2">
      <c r="A37" s="16"/>
      <c r="B37" s="17"/>
      <c r="C37" s="17"/>
      <c r="D37" s="19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</row>
    <row r="38" spans="1:17" ht="16.5" thickBot="1" x14ac:dyDescent="0.3">
      <c r="A38" s="21" t="s">
        <v>20</v>
      </c>
      <c r="B38" s="20"/>
      <c r="C38" s="20"/>
      <c r="D38" s="19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</row>
    <row r="39" spans="1:17" ht="15" x14ac:dyDescent="0.2">
      <c r="A39" s="16" t="s">
        <v>21</v>
      </c>
      <c r="B39" s="17"/>
      <c r="C39" s="17"/>
      <c r="D39" s="64"/>
      <c r="E39" s="83">
        <v>83299.47</v>
      </c>
      <c r="F39" s="83">
        <v>70934.44</v>
      </c>
      <c r="G39" s="83">
        <v>70453.83</v>
      </c>
      <c r="H39" s="83">
        <v>94954.31</v>
      </c>
      <c r="I39" s="83">
        <v>88147.22</v>
      </c>
      <c r="J39" s="83">
        <v>74990.41</v>
      </c>
      <c r="K39" s="83">
        <v>89217.61</v>
      </c>
      <c r="L39" s="83">
        <v>110948.64</v>
      </c>
      <c r="M39" s="83">
        <v>102751.16</v>
      </c>
      <c r="N39" s="83">
        <v>122395.92</v>
      </c>
      <c r="O39" s="83">
        <v>89163.98</v>
      </c>
      <c r="P39" s="83">
        <v>80919.13</v>
      </c>
      <c r="Q39" s="83">
        <v>1078176.1200000001</v>
      </c>
    </row>
    <row r="40" spans="1:17" ht="16.5" thickBot="1" x14ac:dyDescent="0.3">
      <c r="A40" s="22"/>
      <c r="B40" s="23"/>
      <c r="C40" s="23"/>
      <c r="D40" s="24"/>
      <c r="E40" s="85">
        <v>83299.47</v>
      </c>
      <c r="F40" s="85">
        <v>70934.44</v>
      </c>
      <c r="G40" s="85">
        <v>70453.83</v>
      </c>
      <c r="H40" s="85">
        <v>94954.31</v>
      </c>
      <c r="I40" s="85">
        <v>88147.22</v>
      </c>
      <c r="J40" s="85">
        <v>74990.41</v>
      </c>
      <c r="K40" s="85">
        <v>89217.61</v>
      </c>
      <c r="L40" s="85">
        <v>110948.64</v>
      </c>
      <c r="M40" s="85">
        <v>102751.16</v>
      </c>
      <c r="N40" s="85">
        <v>122395.92</v>
      </c>
      <c r="O40" s="85">
        <v>89163.98</v>
      </c>
      <c r="P40" s="85">
        <v>80919.13</v>
      </c>
      <c r="Q40" s="85">
        <v>1078176.1200000001</v>
      </c>
    </row>
    <row r="41" spans="1:17" ht="16.5" thickTop="1" x14ac:dyDescent="0.25">
      <c r="A41" s="1"/>
      <c r="B41" s="1" t="s">
        <v>24</v>
      </c>
      <c r="C41" s="1"/>
      <c r="D41" s="1"/>
      <c r="E41" s="86">
        <v>559432.31999999995</v>
      </c>
      <c r="F41" s="86">
        <v>476389.82</v>
      </c>
      <c r="G41" s="86">
        <v>473162.07</v>
      </c>
      <c r="H41" s="86">
        <v>637705.25</v>
      </c>
      <c r="I41" s="86">
        <v>591989.41</v>
      </c>
      <c r="J41" s="86">
        <v>503629.36</v>
      </c>
      <c r="K41" s="86">
        <v>599178.06000000006</v>
      </c>
      <c r="L41" s="86">
        <v>745121.85</v>
      </c>
      <c r="M41" s="86">
        <v>690068.25</v>
      </c>
      <c r="N41" s="86">
        <v>822000.81</v>
      </c>
      <c r="O41" s="86">
        <v>598817.86</v>
      </c>
      <c r="P41" s="86">
        <v>543446.13</v>
      </c>
      <c r="Q41" s="86">
        <v>7240941.1899999995</v>
      </c>
    </row>
    <row r="42" spans="1:17" ht="15.75" x14ac:dyDescent="0.25">
      <c r="A42" s="2"/>
      <c r="B42" s="2"/>
      <c r="C42" s="2"/>
      <c r="D42" s="2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</row>
  </sheetData>
  <phoneticPr fontId="0" type="noConversion"/>
  <printOptions horizontalCentered="1"/>
  <pageMargins left="0.19685039370078741" right="0.19685039370078741" top="0.98425196850393704" bottom="1" header="0" footer="0"/>
  <pageSetup paperSize="9" scale="50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Q42"/>
  <sheetViews>
    <sheetView zoomScale="80" zoomScaleNormal="80" workbookViewId="0"/>
  </sheetViews>
  <sheetFormatPr baseColWidth="10" defaultColWidth="11.42578125" defaultRowHeight="12.75" x14ac:dyDescent="0.2"/>
  <cols>
    <col min="1" max="2" width="17.5703125" customWidth="1"/>
    <col min="5" max="17" width="17.5703125" customWidth="1"/>
  </cols>
  <sheetData>
    <row r="1" spans="1:17" ht="15.75" x14ac:dyDescent="0.25">
      <c r="A1" s="4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.75" x14ac:dyDescent="0.25">
      <c r="A2" s="27" t="s">
        <v>58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15.75" x14ac:dyDescent="0.25">
      <c r="A3" s="27" t="s">
        <v>55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5.75" x14ac:dyDescent="0.25">
      <c r="A4" s="4" t="s">
        <v>30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ht="15.75" x14ac:dyDescent="0.25">
      <c r="A5" s="5" t="s">
        <v>46</v>
      </c>
      <c r="B5" s="6"/>
      <c r="C5" s="6"/>
      <c r="D5" s="7"/>
      <c r="E5" s="31" t="s">
        <v>278</v>
      </c>
      <c r="F5" s="32" t="s">
        <v>279</v>
      </c>
      <c r="G5" s="32" t="s">
        <v>280</v>
      </c>
      <c r="H5" s="32" t="s">
        <v>281</v>
      </c>
      <c r="I5" s="32" t="s">
        <v>282</v>
      </c>
      <c r="J5" s="32" t="s">
        <v>283</v>
      </c>
      <c r="K5" s="32" t="s">
        <v>284</v>
      </c>
      <c r="L5" s="32" t="s">
        <v>285</v>
      </c>
      <c r="M5" s="32" t="s">
        <v>286</v>
      </c>
      <c r="N5" s="32" t="s">
        <v>287</v>
      </c>
      <c r="O5" s="32" t="s">
        <v>288</v>
      </c>
      <c r="P5" s="32" t="s">
        <v>289</v>
      </c>
      <c r="Q5" s="33" t="s">
        <v>48</v>
      </c>
    </row>
    <row r="6" spans="1:17" ht="15" x14ac:dyDescent="0.2">
      <c r="A6" s="8"/>
      <c r="B6" s="9"/>
      <c r="C6" s="9"/>
      <c r="D6" s="10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59">
        <v>1997</v>
      </c>
    </row>
    <row r="7" spans="1:17" ht="15" x14ac:dyDescent="0.2">
      <c r="A7" s="12"/>
      <c r="B7" s="13"/>
      <c r="C7" s="13"/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7" ht="15" x14ac:dyDescent="0.2">
      <c r="A8" s="16" t="s">
        <v>1</v>
      </c>
      <c r="B8" s="17"/>
      <c r="C8" s="17"/>
      <c r="D8" s="18"/>
      <c r="E8" s="79">
        <v>1428195.84</v>
      </c>
      <c r="F8" s="79">
        <v>1004443.98</v>
      </c>
      <c r="G8" s="79">
        <v>1111262.6100000001</v>
      </c>
      <c r="H8" s="79">
        <v>1151679.2</v>
      </c>
      <c r="I8" s="79">
        <v>1481758.96</v>
      </c>
      <c r="J8" s="79">
        <v>931625.89</v>
      </c>
      <c r="K8" s="79">
        <v>1138888.81</v>
      </c>
      <c r="L8" s="79">
        <v>905998.18</v>
      </c>
      <c r="M8" s="79">
        <v>804467.65</v>
      </c>
      <c r="N8" s="79">
        <v>1366550.75</v>
      </c>
      <c r="O8" s="79">
        <v>899088.92</v>
      </c>
      <c r="P8" s="79">
        <v>807135.38</v>
      </c>
      <c r="Q8" s="79">
        <v>13031096.17</v>
      </c>
    </row>
    <row r="9" spans="1:17" ht="15" x14ac:dyDescent="0.2">
      <c r="A9" s="16" t="s">
        <v>2</v>
      </c>
      <c r="B9" s="17"/>
      <c r="C9" s="17"/>
      <c r="D9" s="18"/>
      <c r="E9" s="79">
        <v>137326.51999999999</v>
      </c>
      <c r="F9" s="79">
        <v>96581.15</v>
      </c>
      <c r="G9" s="79">
        <v>106852.17</v>
      </c>
      <c r="H9" s="79">
        <v>110738.38</v>
      </c>
      <c r="I9" s="79">
        <v>142476.82</v>
      </c>
      <c r="J9" s="79">
        <v>89579.41</v>
      </c>
      <c r="K9" s="79">
        <v>109508.54</v>
      </c>
      <c r="L9" s="79">
        <v>87115.21</v>
      </c>
      <c r="M9" s="79">
        <v>77352.66</v>
      </c>
      <c r="N9" s="79">
        <v>131399.10999999999</v>
      </c>
      <c r="O9" s="79">
        <v>86450.86</v>
      </c>
      <c r="P9" s="79">
        <v>77609.17</v>
      </c>
      <c r="Q9" s="79">
        <v>1252990</v>
      </c>
    </row>
    <row r="10" spans="1:17" ht="15" x14ac:dyDescent="0.2">
      <c r="A10" s="16" t="s">
        <v>3</v>
      </c>
      <c r="B10" s="17"/>
      <c r="C10" s="17"/>
      <c r="D10" s="18"/>
      <c r="E10" s="79">
        <v>82395.91</v>
      </c>
      <c r="F10" s="79">
        <v>57948.69</v>
      </c>
      <c r="G10" s="79">
        <v>64111.3</v>
      </c>
      <c r="H10" s="79">
        <v>66443.03</v>
      </c>
      <c r="I10" s="79">
        <v>85486.09</v>
      </c>
      <c r="J10" s="79">
        <v>53747.65</v>
      </c>
      <c r="K10" s="79">
        <v>65705.119999999995</v>
      </c>
      <c r="L10" s="79">
        <v>52269.13</v>
      </c>
      <c r="M10" s="79">
        <v>46411.59</v>
      </c>
      <c r="N10" s="79">
        <v>78839.47</v>
      </c>
      <c r="O10" s="79">
        <v>51870.52</v>
      </c>
      <c r="P10" s="79">
        <v>46565.5</v>
      </c>
      <c r="Q10" s="79">
        <v>751794</v>
      </c>
    </row>
    <row r="11" spans="1:17" ht="15.75" thickBot="1" x14ac:dyDescent="0.25">
      <c r="A11" s="16" t="s">
        <v>4</v>
      </c>
      <c r="B11" s="17"/>
      <c r="C11" s="17"/>
      <c r="D11" s="18"/>
      <c r="E11" s="80">
        <v>1098612.18</v>
      </c>
      <c r="F11" s="80">
        <v>772649.22</v>
      </c>
      <c r="G11" s="80">
        <v>854817.39</v>
      </c>
      <c r="H11" s="80">
        <v>885907.07</v>
      </c>
      <c r="I11" s="80">
        <v>1139814.58</v>
      </c>
      <c r="J11" s="80">
        <v>716635.3</v>
      </c>
      <c r="K11" s="80">
        <v>876068.31</v>
      </c>
      <c r="L11" s="80">
        <v>696921.68</v>
      </c>
      <c r="M11" s="80">
        <v>618821.26</v>
      </c>
      <c r="N11" s="80">
        <v>1051192.8899999999</v>
      </c>
      <c r="O11" s="80">
        <v>691606.87</v>
      </c>
      <c r="P11" s="80">
        <v>620873.37</v>
      </c>
      <c r="Q11" s="80">
        <v>10023920.119999999</v>
      </c>
    </row>
    <row r="12" spans="1:17" ht="15.75" x14ac:dyDescent="0.25">
      <c r="A12" s="16"/>
      <c r="B12" s="17" t="s">
        <v>29</v>
      </c>
      <c r="C12" s="17"/>
      <c r="D12" s="19"/>
      <c r="E12" s="81">
        <v>2746530.45</v>
      </c>
      <c r="F12" s="81">
        <v>1931623.04</v>
      </c>
      <c r="G12" s="81">
        <v>2137043.4700000002</v>
      </c>
      <c r="H12" s="81">
        <v>2214767.6800000002</v>
      </c>
      <c r="I12" s="81">
        <v>2849536.45</v>
      </c>
      <c r="J12" s="81">
        <v>1791588.25</v>
      </c>
      <c r="K12" s="81">
        <v>2190170.7799999998</v>
      </c>
      <c r="L12" s="81">
        <v>1742304.2</v>
      </c>
      <c r="M12" s="81">
        <v>1547053.16</v>
      </c>
      <c r="N12" s="81">
        <v>2627982.2200000002</v>
      </c>
      <c r="O12" s="81">
        <v>1729017.17</v>
      </c>
      <c r="P12" s="81">
        <v>1552183.42</v>
      </c>
      <c r="Q12" s="81">
        <v>25059800.289999999</v>
      </c>
    </row>
    <row r="13" spans="1:17" ht="15" x14ac:dyDescent="0.2">
      <c r="A13" s="16"/>
      <c r="B13" s="17"/>
      <c r="C13" s="17"/>
      <c r="D13" s="1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</row>
    <row r="14" spans="1:17" ht="15" x14ac:dyDescent="0.2">
      <c r="A14" s="16" t="s">
        <v>5</v>
      </c>
      <c r="B14" s="17"/>
      <c r="C14" s="17"/>
      <c r="D14" s="1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</row>
    <row r="15" spans="1:17" ht="15" x14ac:dyDescent="0.2">
      <c r="A15" s="16"/>
      <c r="B15" s="17"/>
      <c r="C15" s="17"/>
      <c r="D15" s="1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</row>
    <row r="16" spans="1:17" ht="16.5" thickBot="1" x14ac:dyDescent="0.3">
      <c r="A16" s="21" t="s">
        <v>6</v>
      </c>
      <c r="B16" s="20"/>
      <c r="C16" s="20"/>
      <c r="D16" s="19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</row>
    <row r="17" spans="1:17" ht="15" x14ac:dyDescent="0.2">
      <c r="A17" s="16" t="s">
        <v>7</v>
      </c>
      <c r="B17" s="17"/>
      <c r="C17" s="17"/>
      <c r="D17" s="64"/>
      <c r="E17" s="79">
        <v>385194.3</v>
      </c>
      <c r="F17" s="79">
        <v>270905.49</v>
      </c>
      <c r="G17" s="79">
        <v>299715.21999999997</v>
      </c>
      <c r="H17" s="79">
        <v>310615.86</v>
      </c>
      <c r="I17" s="79">
        <v>399640.65</v>
      </c>
      <c r="J17" s="79">
        <v>251265.94</v>
      </c>
      <c r="K17" s="79">
        <v>307166.2</v>
      </c>
      <c r="L17" s="79">
        <v>244353.98</v>
      </c>
      <c r="M17" s="79">
        <v>216970.48</v>
      </c>
      <c r="N17" s="79">
        <v>368568.2</v>
      </c>
      <c r="O17" s="79">
        <v>242490.51</v>
      </c>
      <c r="P17" s="79">
        <v>217690.01</v>
      </c>
      <c r="Q17" s="79">
        <v>3514576.84</v>
      </c>
    </row>
    <row r="18" spans="1:17" ht="15" x14ac:dyDescent="0.2">
      <c r="A18" s="16" t="s">
        <v>8</v>
      </c>
      <c r="B18" s="17"/>
      <c r="C18" s="17"/>
      <c r="D18" s="64"/>
      <c r="E18" s="79">
        <v>36715.620000000003</v>
      </c>
      <c r="F18" s="79">
        <v>25821.94</v>
      </c>
      <c r="G18" s="79">
        <v>19247.07</v>
      </c>
      <c r="H18" s="79">
        <v>19947.080000000002</v>
      </c>
      <c r="I18" s="79">
        <v>25664.07</v>
      </c>
      <c r="J18" s="79">
        <v>16135.76</v>
      </c>
      <c r="K18" s="79">
        <v>19725.55</v>
      </c>
      <c r="L18" s="79">
        <v>15691.89</v>
      </c>
      <c r="M18" s="79">
        <v>13933.38</v>
      </c>
      <c r="N18" s="79">
        <v>23668.66</v>
      </c>
      <c r="O18" s="79">
        <v>15572.22</v>
      </c>
      <c r="P18" s="79">
        <v>13979.58</v>
      </c>
      <c r="Q18" s="79">
        <v>246102.81999999998</v>
      </c>
    </row>
    <row r="19" spans="1:17" ht="15" x14ac:dyDescent="0.2">
      <c r="A19" s="16" t="s">
        <v>9</v>
      </c>
      <c r="B19" s="17"/>
      <c r="C19" s="17"/>
      <c r="D19" s="64"/>
      <c r="E19" s="79">
        <v>31141.26</v>
      </c>
      <c r="F19" s="79">
        <v>21901.51</v>
      </c>
      <c r="G19" s="79">
        <v>24230.65</v>
      </c>
      <c r="H19" s="79">
        <v>25111.919999999998</v>
      </c>
      <c r="I19" s="79">
        <v>32309.18</v>
      </c>
      <c r="J19" s="79">
        <v>20313.740000000002</v>
      </c>
      <c r="K19" s="79">
        <v>24833.03</v>
      </c>
      <c r="L19" s="79">
        <v>19754.939999999999</v>
      </c>
      <c r="M19" s="79">
        <v>17541.11</v>
      </c>
      <c r="N19" s="79">
        <v>29797.11</v>
      </c>
      <c r="O19" s="79">
        <v>19604.29</v>
      </c>
      <c r="P19" s="79">
        <v>17599.28</v>
      </c>
      <c r="Q19" s="79">
        <v>284138.0199999999</v>
      </c>
    </row>
    <row r="20" spans="1:17" ht="15" x14ac:dyDescent="0.2">
      <c r="A20" s="16" t="s">
        <v>10</v>
      </c>
      <c r="B20" s="17"/>
      <c r="C20" s="17"/>
      <c r="D20" s="64"/>
      <c r="E20" s="79">
        <v>32590.33</v>
      </c>
      <c r="F20" s="79">
        <v>22920.639999999999</v>
      </c>
      <c r="G20" s="79">
        <v>25358.16</v>
      </c>
      <c r="H20" s="79">
        <v>26280.43</v>
      </c>
      <c r="I20" s="79">
        <v>33812.6</v>
      </c>
      <c r="J20" s="79">
        <v>21258.99</v>
      </c>
      <c r="K20" s="79">
        <v>25988.57</v>
      </c>
      <c r="L20" s="79">
        <v>20674.18</v>
      </c>
      <c r="M20" s="79">
        <v>18357.330000000002</v>
      </c>
      <c r="N20" s="79">
        <v>31183.64</v>
      </c>
      <c r="O20" s="79">
        <v>20516.52</v>
      </c>
      <c r="P20" s="79">
        <v>18418.21</v>
      </c>
      <c r="Q20" s="79">
        <v>297359.60000000003</v>
      </c>
    </row>
    <row r="21" spans="1:17" ht="15" x14ac:dyDescent="0.2">
      <c r="A21" s="16" t="s">
        <v>11</v>
      </c>
      <c r="B21" s="17"/>
      <c r="C21" s="17"/>
      <c r="D21" s="64"/>
      <c r="E21" s="79">
        <v>46855.81</v>
      </c>
      <c r="F21" s="79">
        <v>32953.49</v>
      </c>
      <c r="G21" s="79">
        <v>36457.96</v>
      </c>
      <c r="H21" s="79">
        <v>37783.94</v>
      </c>
      <c r="I21" s="79">
        <v>48613.09</v>
      </c>
      <c r="J21" s="79">
        <v>30564.5</v>
      </c>
      <c r="K21" s="79">
        <v>37364.31</v>
      </c>
      <c r="L21" s="79">
        <v>29723.71</v>
      </c>
      <c r="M21" s="79">
        <v>26392.73</v>
      </c>
      <c r="N21" s="79">
        <v>44833.38</v>
      </c>
      <c r="O21" s="79">
        <v>29497.03</v>
      </c>
      <c r="P21" s="79">
        <v>26480.25</v>
      </c>
      <c r="Q21" s="79">
        <v>427520.19999999995</v>
      </c>
    </row>
    <row r="22" spans="1:17" ht="15" x14ac:dyDescent="0.2">
      <c r="A22" s="16" t="s">
        <v>22</v>
      </c>
      <c r="B22" s="17"/>
      <c r="C22" s="17"/>
      <c r="D22" s="64"/>
      <c r="E22" s="83"/>
      <c r="F22" s="83"/>
      <c r="G22" s="83">
        <v>9320.93</v>
      </c>
      <c r="H22" s="83">
        <v>9659.93</v>
      </c>
      <c r="I22" s="83">
        <v>12428.54</v>
      </c>
      <c r="J22" s="83">
        <v>7814.19</v>
      </c>
      <c r="K22" s="83">
        <v>9552.65</v>
      </c>
      <c r="L22" s="83">
        <v>7599.23</v>
      </c>
      <c r="M22" s="83">
        <v>6747.63</v>
      </c>
      <c r="N22" s="83">
        <v>11462.21</v>
      </c>
      <c r="O22" s="83">
        <v>7541.28</v>
      </c>
      <c r="P22" s="83">
        <v>6770</v>
      </c>
      <c r="Q22" s="83">
        <v>88896.59</v>
      </c>
    </row>
    <row r="23" spans="1:17" ht="15.75" x14ac:dyDescent="0.25">
      <c r="A23" s="16"/>
      <c r="B23" s="17"/>
      <c r="C23" s="17"/>
      <c r="D23" s="19"/>
      <c r="E23" s="81">
        <v>532497.31999999995</v>
      </c>
      <c r="F23" s="81">
        <v>374503.07</v>
      </c>
      <c r="G23" s="81">
        <v>414329.99</v>
      </c>
      <c r="H23" s="81">
        <v>429399.16</v>
      </c>
      <c r="I23" s="81">
        <v>552468.13</v>
      </c>
      <c r="J23" s="81">
        <v>347353.12</v>
      </c>
      <c r="K23" s="81">
        <v>424630.31</v>
      </c>
      <c r="L23" s="81">
        <v>337797.93</v>
      </c>
      <c r="M23" s="81">
        <v>299942.65999999997</v>
      </c>
      <c r="N23" s="81">
        <v>509513.2</v>
      </c>
      <c r="O23" s="81">
        <v>335221.84999999998</v>
      </c>
      <c r="P23" s="81">
        <v>300937.33</v>
      </c>
      <c r="Q23" s="81">
        <v>4858594.07</v>
      </c>
    </row>
    <row r="24" spans="1:17" ht="15" x14ac:dyDescent="0.2">
      <c r="A24" s="16"/>
      <c r="B24" s="17"/>
      <c r="C24" s="17"/>
      <c r="D24" s="1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</row>
    <row r="25" spans="1:17" ht="16.5" thickBot="1" x14ac:dyDescent="0.3">
      <c r="A25" s="21" t="s">
        <v>12</v>
      </c>
      <c r="B25" s="20"/>
      <c r="C25" s="20"/>
      <c r="D25" s="19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</row>
    <row r="26" spans="1:17" ht="15" x14ac:dyDescent="0.2">
      <c r="A26" s="16" t="s">
        <v>13</v>
      </c>
      <c r="B26" s="17"/>
      <c r="C26" s="17"/>
      <c r="D26" s="19"/>
      <c r="E26" s="79">
        <v>108066.09</v>
      </c>
      <c r="F26" s="79">
        <v>76002.42</v>
      </c>
      <c r="G26" s="79">
        <v>84084.96</v>
      </c>
      <c r="H26" s="79">
        <v>87143.13</v>
      </c>
      <c r="I26" s="79">
        <v>112119.01</v>
      </c>
      <c r="J26" s="79">
        <v>70492.55</v>
      </c>
      <c r="K26" s="79">
        <v>86175.34</v>
      </c>
      <c r="L26" s="79">
        <v>68553.399999999994</v>
      </c>
      <c r="M26" s="79">
        <v>60870.97</v>
      </c>
      <c r="N26" s="79">
        <v>103401.64</v>
      </c>
      <c r="O26" s="79">
        <v>68030.600000000006</v>
      </c>
      <c r="P26" s="79">
        <v>61072.83</v>
      </c>
      <c r="Q26" s="79">
        <v>986012.94</v>
      </c>
    </row>
    <row r="27" spans="1:17" ht="15" x14ac:dyDescent="0.2">
      <c r="A27" s="16" t="s">
        <v>14</v>
      </c>
      <c r="B27" s="17"/>
      <c r="C27" s="17"/>
      <c r="D27" s="19"/>
      <c r="E27" s="79">
        <v>38708.5</v>
      </c>
      <c r="F27" s="79">
        <v>27223.52</v>
      </c>
      <c r="G27" s="79">
        <v>23452.77</v>
      </c>
      <c r="H27" s="79">
        <v>24305.75</v>
      </c>
      <c r="I27" s="79">
        <v>31271.95</v>
      </c>
      <c r="J27" s="79">
        <v>19661.61</v>
      </c>
      <c r="K27" s="79">
        <v>24035.81</v>
      </c>
      <c r="L27" s="79">
        <v>19120.740000000002</v>
      </c>
      <c r="M27" s="79">
        <v>16977.98</v>
      </c>
      <c r="N27" s="79">
        <v>28840.53</v>
      </c>
      <c r="O27" s="79">
        <v>18974.93</v>
      </c>
      <c r="P27" s="79">
        <v>17034.28</v>
      </c>
      <c r="Q27" s="79">
        <v>289608.37</v>
      </c>
    </row>
    <row r="28" spans="1:17" ht="15" x14ac:dyDescent="0.2">
      <c r="A28" s="16" t="s">
        <v>23</v>
      </c>
      <c r="B28" s="17"/>
      <c r="C28" s="17"/>
      <c r="D28" s="19"/>
      <c r="E28" s="83"/>
      <c r="F28" s="83"/>
      <c r="G28" s="83">
        <v>6665.87</v>
      </c>
      <c r="H28" s="83">
        <v>6908.3</v>
      </c>
      <c r="I28" s="83">
        <v>8888.27</v>
      </c>
      <c r="J28" s="83">
        <v>5588.32</v>
      </c>
      <c r="K28" s="83">
        <v>6831.58</v>
      </c>
      <c r="L28" s="83">
        <v>5434.6</v>
      </c>
      <c r="M28" s="83">
        <v>4825.57</v>
      </c>
      <c r="N28" s="83">
        <v>8197.2000000000007</v>
      </c>
      <c r="O28" s="83">
        <v>5393.15</v>
      </c>
      <c r="P28" s="83">
        <v>4841.57</v>
      </c>
      <c r="Q28" s="83">
        <v>63574.430000000008</v>
      </c>
    </row>
    <row r="29" spans="1:17" ht="15.75" x14ac:dyDescent="0.25">
      <c r="A29" s="16"/>
      <c r="B29" s="17"/>
      <c r="C29" s="17"/>
      <c r="D29" s="19"/>
      <c r="E29" s="81">
        <v>146774.59</v>
      </c>
      <c r="F29" s="81">
        <v>103225.94</v>
      </c>
      <c r="G29" s="81">
        <v>114203.6</v>
      </c>
      <c r="H29" s="81">
        <v>118357.18</v>
      </c>
      <c r="I29" s="81">
        <v>152279.23000000001</v>
      </c>
      <c r="J29" s="81">
        <v>95742.48</v>
      </c>
      <c r="K29" s="81">
        <v>117042.73</v>
      </c>
      <c r="L29" s="81">
        <v>93108.74</v>
      </c>
      <c r="M29" s="81">
        <v>82674.52</v>
      </c>
      <c r="N29" s="81">
        <v>140439.37</v>
      </c>
      <c r="O29" s="81">
        <v>92398.68</v>
      </c>
      <c r="P29" s="81">
        <v>82948.679999999993</v>
      </c>
      <c r="Q29" s="81">
        <v>1339195.7399999998</v>
      </c>
    </row>
    <row r="30" spans="1:17" ht="15" x14ac:dyDescent="0.2">
      <c r="A30" s="16"/>
      <c r="B30" s="17"/>
      <c r="C30" s="17"/>
      <c r="D30" s="19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</row>
    <row r="31" spans="1:17" ht="16.5" thickBot="1" x14ac:dyDescent="0.3">
      <c r="A31" s="21" t="s">
        <v>15</v>
      </c>
      <c r="B31" s="20"/>
      <c r="C31" s="20"/>
      <c r="D31" s="19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</row>
    <row r="32" spans="1:17" ht="15" x14ac:dyDescent="0.2">
      <c r="A32" s="16" t="s">
        <v>16</v>
      </c>
      <c r="B32" s="17"/>
      <c r="C32" s="17"/>
      <c r="D32" s="64"/>
      <c r="E32" s="79">
        <v>110334.72</v>
      </c>
      <c r="F32" s="79">
        <v>77597.94</v>
      </c>
      <c r="G32" s="79">
        <v>85850.16</v>
      </c>
      <c r="H32" s="79">
        <v>88972.54</v>
      </c>
      <c r="I32" s="79">
        <v>114472.71</v>
      </c>
      <c r="J32" s="79">
        <v>71972.399999999994</v>
      </c>
      <c r="K32" s="79">
        <v>87984.41</v>
      </c>
      <c r="L32" s="79">
        <v>69992.539999999994</v>
      </c>
      <c r="M32" s="79">
        <v>62148.83</v>
      </c>
      <c r="N32" s="79">
        <v>105572.35</v>
      </c>
      <c r="O32" s="79">
        <v>69458.77</v>
      </c>
      <c r="P32" s="79">
        <v>62354.93</v>
      </c>
      <c r="Q32" s="79">
        <v>1006712.3</v>
      </c>
    </row>
    <row r="33" spans="1:17" ht="15" x14ac:dyDescent="0.2">
      <c r="A33" s="16" t="s">
        <v>17</v>
      </c>
      <c r="B33" s="17"/>
      <c r="C33" s="17"/>
      <c r="D33" s="64"/>
      <c r="E33" s="79">
        <v>47331.51</v>
      </c>
      <c r="F33" s="79">
        <v>33288.050000000003</v>
      </c>
      <c r="G33" s="79">
        <v>36828.1</v>
      </c>
      <c r="H33" s="79">
        <v>38167.53</v>
      </c>
      <c r="I33" s="79">
        <v>49106.63</v>
      </c>
      <c r="J33" s="79">
        <v>30874.799999999999</v>
      </c>
      <c r="K33" s="79">
        <v>37743.65</v>
      </c>
      <c r="L33" s="79">
        <v>30025.48</v>
      </c>
      <c r="M33" s="79">
        <v>26660.68</v>
      </c>
      <c r="N33" s="79">
        <v>45288.54</v>
      </c>
      <c r="O33" s="79">
        <v>29796.5</v>
      </c>
      <c r="P33" s="79">
        <v>26749.09</v>
      </c>
      <c r="Q33" s="79">
        <v>431860.56</v>
      </c>
    </row>
    <row r="34" spans="1:17" ht="15" x14ac:dyDescent="0.2">
      <c r="A34" s="16" t="s">
        <v>18</v>
      </c>
      <c r="B34" s="17"/>
      <c r="C34" s="17"/>
      <c r="D34" s="64"/>
      <c r="E34" s="79">
        <v>54123.13</v>
      </c>
      <c r="F34" s="79">
        <v>38064.559999999998</v>
      </c>
      <c r="G34" s="79">
        <v>42112.58</v>
      </c>
      <c r="H34" s="79">
        <v>43644.21</v>
      </c>
      <c r="I34" s="79">
        <v>56152.97</v>
      </c>
      <c r="J34" s="79">
        <v>35305.040000000001</v>
      </c>
      <c r="K34" s="79">
        <v>43159.51</v>
      </c>
      <c r="L34" s="79">
        <v>34333.85</v>
      </c>
      <c r="M34" s="79">
        <v>30486.23</v>
      </c>
      <c r="N34" s="79">
        <v>51787.02</v>
      </c>
      <c r="O34" s="79">
        <v>34072.01</v>
      </c>
      <c r="P34" s="79">
        <v>30587.33</v>
      </c>
      <c r="Q34" s="79">
        <v>493828.44</v>
      </c>
    </row>
    <row r="35" spans="1:17" ht="15" x14ac:dyDescent="0.2">
      <c r="A35" s="16" t="s">
        <v>19</v>
      </c>
      <c r="B35" s="17"/>
      <c r="C35" s="17"/>
      <c r="D35" s="64"/>
      <c r="E35" s="83">
        <v>43967.56</v>
      </c>
      <c r="F35" s="83">
        <v>30922.19</v>
      </c>
      <c r="G35" s="83">
        <v>34210.65</v>
      </c>
      <c r="H35" s="83">
        <v>35454.89</v>
      </c>
      <c r="I35" s="83">
        <v>45616.52</v>
      </c>
      <c r="J35" s="83">
        <v>28680.46</v>
      </c>
      <c r="K35" s="83">
        <v>35061.129999999997</v>
      </c>
      <c r="L35" s="83">
        <v>27891.5</v>
      </c>
      <c r="M35" s="83">
        <v>24765.85</v>
      </c>
      <c r="N35" s="83">
        <v>42069.79</v>
      </c>
      <c r="O35" s="83">
        <v>27678.799999999999</v>
      </c>
      <c r="P35" s="83">
        <v>24847.97</v>
      </c>
      <c r="Q35" s="83">
        <v>401167.30999999994</v>
      </c>
    </row>
    <row r="36" spans="1:17" ht="15.75" x14ac:dyDescent="0.25">
      <c r="A36" s="16"/>
      <c r="B36" s="17"/>
      <c r="C36" s="17"/>
      <c r="D36" s="19"/>
      <c r="E36" s="81">
        <v>255756.92</v>
      </c>
      <c r="F36" s="81">
        <v>179872.74</v>
      </c>
      <c r="G36" s="81">
        <v>199001.49</v>
      </c>
      <c r="H36" s="81">
        <v>206239.17</v>
      </c>
      <c r="I36" s="81">
        <v>265348.83</v>
      </c>
      <c r="J36" s="81">
        <v>166832.70000000001</v>
      </c>
      <c r="K36" s="81">
        <v>203948.7</v>
      </c>
      <c r="L36" s="81">
        <v>162243.37</v>
      </c>
      <c r="M36" s="81">
        <v>144061.59</v>
      </c>
      <c r="N36" s="81">
        <v>244717.7</v>
      </c>
      <c r="O36" s="81">
        <v>161006.07999999999</v>
      </c>
      <c r="P36" s="81">
        <v>144539.32</v>
      </c>
      <c r="Q36" s="81">
        <v>2333568.61</v>
      </c>
    </row>
    <row r="37" spans="1:17" ht="15" x14ac:dyDescent="0.2">
      <c r="A37" s="16"/>
      <c r="B37" s="17"/>
      <c r="C37" s="17"/>
      <c r="D37" s="19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</row>
    <row r="38" spans="1:17" ht="16.5" thickBot="1" x14ac:dyDescent="0.3">
      <c r="A38" s="21" t="s">
        <v>20</v>
      </c>
      <c r="B38" s="20"/>
      <c r="C38" s="20"/>
      <c r="D38" s="19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</row>
    <row r="39" spans="1:17" ht="15" x14ac:dyDescent="0.2">
      <c r="A39" s="16" t="s">
        <v>21</v>
      </c>
      <c r="B39" s="17"/>
      <c r="C39" s="17"/>
      <c r="D39" s="64"/>
      <c r="E39" s="83">
        <v>163583.35</v>
      </c>
      <c r="F39" s="83">
        <v>115047.47</v>
      </c>
      <c r="G39" s="83">
        <v>127282.31</v>
      </c>
      <c r="H39" s="83">
        <v>131911.56</v>
      </c>
      <c r="I39" s="83">
        <v>169718.39</v>
      </c>
      <c r="J39" s="83">
        <v>106707</v>
      </c>
      <c r="K39" s="83">
        <v>130446.57</v>
      </c>
      <c r="L39" s="83">
        <v>103771.64</v>
      </c>
      <c r="M39" s="83">
        <v>92142.49</v>
      </c>
      <c r="N39" s="83">
        <v>156522.62</v>
      </c>
      <c r="O39" s="83">
        <v>102980.26</v>
      </c>
      <c r="P39" s="83">
        <v>92448.04</v>
      </c>
      <c r="Q39" s="83">
        <v>1492561.7</v>
      </c>
    </row>
    <row r="40" spans="1:17" ht="16.5" thickBot="1" x14ac:dyDescent="0.3">
      <c r="A40" s="22"/>
      <c r="B40" s="23"/>
      <c r="C40" s="23"/>
      <c r="D40" s="24"/>
      <c r="E40" s="85">
        <v>163583.35</v>
      </c>
      <c r="F40" s="85">
        <v>115047.47</v>
      </c>
      <c r="G40" s="85">
        <v>127282.31</v>
      </c>
      <c r="H40" s="85">
        <v>131911.56</v>
      </c>
      <c r="I40" s="85">
        <v>169718.39</v>
      </c>
      <c r="J40" s="85">
        <v>106707</v>
      </c>
      <c r="K40" s="85">
        <v>130446.57</v>
      </c>
      <c r="L40" s="85">
        <v>103771.64</v>
      </c>
      <c r="M40" s="85">
        <v>92142.49</v>
      </c>
      <c r="N40" s="85">
        <v>156522.62</v>
      </c>
      <c r="O40" s="85">
        <v>102980.26</v>
      </c>
      <c r="P40" s="85">
        <v>92448.04</v>
      </c>
      <c r="Q40" s="85">
        <v>1492561.7</v>
      </c>
    </row>
    <row r="41" spans="1:17" ht="16.5" thickTop="1" x14ac:dyDescent="0.25">
      <c r="A41" s="1"/>
      <c r="B41" s="1" t="s">
        <v>24</v>
      </c>
      <c r="C41" s="1"/>
      <c r="D41" s="1"/>
      <c r="E41" s="86">
        <v>1098612.18</v>
      </c>
      <c r="F41" s="86">
        <v>772649.22</v>
      </c>
      <c r="G41" s="86">
        <v>854817.39</v>
      </c>
      <c r="H41" s="86">
        <v>885907.07</v>
      </c>
      <c r="I41" s="86">
        <v>1139814.58</v>
      </c>
      <c r="J41" s="86">
        <v>716635.3</v>
      </c>
      <c r="K41" s="86">
        <v>876068.31</v>
      </c>
      <c r="L41" s="86">
        <v>696921.68</v>
      </c>
      <c r="M41" s="86">
        <v>618821.26</v>
      </c>
      <c r="N41" s="86">
        <v>1051192.8899999999</v>
      </c>
      <c r="O41" s="86">
        <v>691606.87</v>
      </c>
      <c r="P41" s="86">
        <v>620873.37</v>
      </c>
      <c r="Q41" s="86">
        <v>10023920.119999999</v>
      </c>
    </row>
    <row r="42" spans="1:17" ht="15.75" x14ac:dyDescent="0.25">
      <c r="A42" s="2"/>
      <c r="B42" s="2"/>
      <c r="C42" s="2"/>
      <c r="D42" s="2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</row>
  </sheetData>
  <phoneticPr fontId="0" type="noConversion"/>
  <printOptions horizontalCentered="1"/>
  <pageMargins left="0.19685039370078741" right="0.19685039370078741" top="0.98425196850393704" bottom="1" header="0" footer="0"/>
  <pageSetup paperSize="9" scale="5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Q42"/>
  <sheetViews>
    <sheetView zoomScale="80" zoomScaleNormal="80" workbookViewId="0"/>
  </sheetViews>
  <sheetFormatPr baseColWidth="10" defaultColWidth="11.42578125" defaultRowHeight="12.75" x14ac:dyDescent="0.2"/>
  <cols>
    <col min="1" max="2" width="17.5703125" customWidth="1"/>
    <col min="5" max="17" width="17.5703125" customWidth="1"/>
  </cols>
  <sheetData>
    <row r="1" spans="1:17" ht="15.75" x14ac:dyDescent="0.25">
      <c r="A1" s="4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.75" x14ac:dyDescent="0.25">
      <c r="A2" s="27" t="s">
        <v>58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15.75" x14ac:dyDescent="0.25">
      <c r="A3" s="27" t="s">
        <v>55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5.75" x14ac:dyDescent="0.25">
      <c r="A4" s="4" t="s">
        <v>30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ht="15.75" x14ac:dyDescent="0.25">
      <c r="A5" s="5" t="s">
        <v>46</v>
      </c>
      <c r="B5" s="6"/>
      <c r="C5" s="6"/>
      <c r="D5" s="7"/>
      <c r="E5" s="31" t="s">
        <v>290</v>
      </c>
      <c r="F5" s="32" t="s">
        <v>291</v>
      </c>
      <c r="G5" s="32" t="s">
        <v>292</v>
      </c>
      <c r="H5" s="32" t="s">
        <v>293</v>
      </c>
      <c r="I5" s="32" t="s">
        <v>294</v>
      </c>
      <c r="J5" s="32" t="s">
        <v>295</v>
      </c>
      <c r="K5" s="32" t="s">
        <v>296</v>
      </c>
      <c r="L5" s="32" t="s">
        <v>297</v>
      </c>
      <c r="M5" s="32" t="s">
        <v>298</v>
      </c>
      <c r="N5" s="32" t="s">
        <v>299</v>
      </c>
      <c r="O5" s="32" t="s">
        <v>300</v>
      </c>
      <c r="P5" s="32" t="s">
        <v>301</v>
      </c>
      <c r="Q5" s="33" t="s">
        <v>48</v>
      </c>
    </row>
    <row r="6" spans="1:17" ht="15" x14ac:dyDescent="0.2">
      <c r="A6" s="8"/>
      <c r="B6" s="9"/>
      <c r="C6" s="9"/>
      <c r="D6" s="10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59">
        <v>1996</v>
      </c>
    </row>
    <row r="7" spans="1:17" ht="15" x14ac:dyDescent="0.2">
      <c r="A7" s="12"/>
      <c r="B7" s="13"/>
      <c r="C7" s="13"/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7" ht="15" x14ac:dyDescent="0.2">
      <c r="A8" s="16" t="s">
        <v>1</v>
      </c>
      <c r="B8" s="17"/>
      <c r="C8" s="17"/>
      <c r="D8" s="18"/>
      <c r="E8" s="79">
        <v>1054903.83</v>
      </c>
      <c r="F8" s="79">
        <v>927937.73</v>
      </c>
      <c r="G8" s="79">
        <v>1172191.3500000001</v>
      </c>
      <c r="H8" s="79">
        <v>1170219.77</v>
      </c>
      <c r="I8" s="79">
        <v>1010151.76</v>
      </c>
      <c r="J8" s="79">
        <v>1198160.94</v>
      </c>
      <c r="K8" s="79">
        <v>1149373.93</v>
      </c>
      <c r="L8" s="79">
        <v>1367650.8800000001</v>
      </c>
      <c r="M8" s="79">
        <v>1123749.2599999998</v>
      </c>
      <c r="N8" s="79">
        <v>1741225.18</v>
      </c>
      <c r="O8" s="79">
        <v>1552465.1600000001</v>
      </c>
      <c r="P8" s="79">
        <v>1272855.0399999998</v>
      </c>
      <c r="Q8" s="79">
        <v>14740884.829999998</v>
      </c>
    </row>
    <row r="9" spans="1:17" ht="15" x14ac:dyDescent="0.2">
      <c r="A9" s="16" t="s">
        <v>2</v>
      </c>
      <c r="B9" s="17"/>
      <c r="C9" s="17"/>
      <c r="D9" s="18"/>
      <c r="E9" s="79">
        <v>101433.06</v>
      </c>
      <c r="F9" s="79">
        <v>89224.78</v>
      </c>
      <c r="G9" s="79">
        <v>112710.71</v>
      </c>
      <c r="H9" s="79">
        <v>112521.13</v>
      </c>
      <c r="I9" s="79">
        <v>97129.98</v>
      </c>
      <c r="J9" s="79">
        <v>115207.78</v>
      </c>
      <c r="K9" s="79">
        <v>110516.73</v>
      </c>
      <c r="L9" s="79">
        <v>131504.89000000001</v>
      </c>
      <c r="M9" s="79">
        <v>108052.81</v>
      </c>
      <c r="N9" s="79">
        <v>167425.5</v>
      </c>
      <c r="O9" s="79">
        <v>149275.5</v>
      </c>
      <c r="P9" s="79">
        <v>122389.91</v>
      </c>
      <c r="Q9" s="79">
        <v>1417392.7799999998</v>
      </c>
    </row>
    <row r="10" spans="1:17" ht="15" x14ac:dyDescent="0.2">
      <c r="A10" s="16" t="s">
        <v>3</v>
      </c>
      <c r="B10" s="17"/>
      <c r="C10" s="17"/>
      <c r="D10" s="18"/>
      <c r="E10" s="79">
        <v>60859.839999999997</v>
      </c>
      <c r="F10" s="79">
        <v>53534.87</v>
      </c>
      <c r="G10" s="79">
        <v>67626.42</v>
      </c>
      <c r="H10" s="79">
        <v>67512.679999999993</v>
      </c>
      <c r="I10" s="79">
        <v>58277.99</v>
      </c>
      <c r="J10" s="79">
        <v>69124.67</v>
      </c>
      <c r="K10" s="79">
        <v>66310.039999999994</v>
      </c>
      <c r="L10" s="79">
        <v>78902.94</v>
      </c>
      <c r="M10" s="79">
        <v>64831.69</v>
      </c>
      <c r="N10" s="79">
        <v>100455.3</v>
      </c>
      <c r="O10" s="79">
        <v>89565.3</v>
      </c>
      <c r="P10" s="79">
        <v>73433.94</v>
      </c>
      <c r="Q10" s="79">
        <v>850435.67999999993</v>
      </c>
    </row>
    <row r="11" spans="1:17" ht="15.75" thickBot="1" x14ac:dyDescent="0.25">
      <c r="A11" s="16" t="s">
        <v>4</v>
      </c>
      <c r="B11" s="17"/>
      <c r="C11" s="17"/>
      <c r="D11" s="18"/>
      <c r="E11" s="80">
        <v>811464.48</v>
      </c>
      <c r="F11" s="80">
        <v>713798.25</v>
      </c>
      <c r="G11" s="80">
        <v>901685.66</v>
      </c>
      <c r="H11" s="80">
        <v>900169.06</v>
      </c>
      <c r="I11" s="80">
        <v>777039.82</v>
      </c>
      <c r="J11" s="80">
        <v>921662.27</v>
      </c>
      <c r="K11" s="80">
        <v>884133.8</v>
      </c>
      <c r="L11" s="80">
        <v>1052039.1399999999</v>
      </c>
      <c r="M11" s="80">
        <v>864422.5</v>
      </c>
      <c r="N11" s="80">
        <v>1339403.98</v>
      </c>
      <c r="O11" s="80">
        <v>1194203.97</v>
      </c>
      <c r="P11" s="80">
        <v>979119.26</v>
      </c>
      <c r="Q11" s="80">
        <v>11339142.189999999</v>
      </c>
    </row>
    <row r="12" spans="1:17" ht="15.75" x14ac:dyDescent="0.25">
      <c r="A12" s="16"/>
      <c r="B12" s="17" t="s">
        <v>29</v>
      </c>
      <c r="C12" s="17"/>
      <c r="D12" s="19"/>
      <c r="E12" s="81">
        <v>2028661.2100000002</v>
      </c>
      <c r="F12" s="81">
        <v>1784495.6300000001</v>
      </c>
      <c r="G12" s="81">
        <v>2254214.14</v>
      </c>
      <c r="H12" s="81">
        <v>2250422.6399999997</v>
      </c>
      <c r="I12" s="81">
        <v>1942599.5499999998</v>
      </c>
      <c r="J12" s="81">
        <v>2304155.66</v>
      </c>
      <c r="K12" s="81">
        <v>2210334.5</v>
      </c>
      <c r="L12" s="81">
        <v>2630097.85</v>
      </c>
      <c r="M12" s="81">
        <v>2161056.2599999998</v>
      </c>
      <c r="N12" s="81">
        <v>3348509.96</v>
      </c>
      <c r="O12" s="81">
        <v>2985509.93</v>
      </c>
      <c r="P12" s="81">
        <v>2447798.15</v>
      </c>
      <c r="Q12" s="81">
        <v>28347855.479999997</v>
      </c>
    </row>
    <row r="13" spans="1:17" ht="15" x14ac:dyDescent="0.2">
      <c r="A13" s="16"/>
      <c r="B13" s="17"/>
      <c r="C13" s="17"/>
      <c r="D13" s="1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</row>
    <row r="14" spans="1:17" ht="15" x14ac:dyDescent="0.2">
      <c r="A14" s="16" t="s">
        <v>5</v>
      </c>
      <c r="B14" s="17"/>
      <c r="C14" s="17"/>
      <c r="D14" s="1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</row>
    <row r="15" spans="1:17" ht="15" x14ac:dyDescent="0.2">
      <c r="A15" s="16"/>
      <c r="B15" s="17"/>
      <c r="C15" s="17"/>
      <c r="D15" s="1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</row>
    <row r="16" spans="1:17" ht="16.5" thickBot="1" x14ac:dyDescent="0.3">
      <c r="A16" s="21" t="s">
        <v>6</v>
      </c>
      <c r="B16" s="20"/>
      <c r="C16" s="20"/>
      <c r="D16" s="19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</row>
    <row r="17" spans="1:17" ht="15" x14ac:dyDescent="0.2">
      <c r="A17" s="16" t="s">
        <v>7</v>
      </c>
      <c r="B17" s="17"/>
      <c r="C17" s="17"/>
      <c r="D17" s="64"/>
      <c r="E17" s="79">
        <v>284514.86</v>
      </c>
      <c r="F17" s="79">
        <v>250271.21</v>
      </c>
      <c r="G17" s="79">
        <v>316148.12</v>
      </c>
      <c r="H17" s="79">
        <v>315616.37</v>
      </c>
      <c r="I17" s="79">
        <v>272444.92</v>
      </c>
      <c r="J17" s="79">
        <v>323152.3</v>
      </c>
      <c r="K17" s="79">
        <v>309994.09999999998</v>
      </c>
      <c r="L17" s="79">
        <v>368864.91</v>
      </c>
      <c r="M17" s="79">
        <v>303082.95</v>
      </c>
      <c r="N17" s="79">
        <v>469620.47999999998</v>
      </c>
      <c r="O17" s="79">
        <v>418710.6</v>
      </c>
      <c r="P17" s="79">
        <v>343297.82</v>
      </c>
      <c r="Q17" s="79">
        <v>3975718.64</v>
      </c>
    </row>
    <row r="18" spans="1:17" ht="15" x14ac:dyDescent="0.2">
      <c r="A18" s="16" t="s">
        <v>8</v>
      </c>
      <c r="B18" s="17"/>
      <c r="C18" s="17"/>
      <c r="D18" s="64"/>
      <c r="E18" s="79">
        <v>27119.14</v>
      </c>
      <c r="F18" s="79">
        <v>23855.14</v>
      </c>
      <c r="G18" s="79">
        <v>30134.33</v>
      </c>
      <c r="H18" s="79">
        <v>30083.65</v>
      </c>
      <c r="I18" s="79">
        <v>25968.67</v>
      </c>
      <c r="J18" s="79">
        <v>30801.95</v>
      </c>
      <c r="K18" s="79">
        <v>29547.75</v>
      </c>
      <c r="L18" s="79">
        <v>35159.15</v>
      </c>
      <c r="M18" s="79">
        <v>28889</v>
      </c>
      <c r="N18" s="79">
        <v>44762.879999999997</v>
      </c>
      <c r="O18" s="79">
        <v>39910.300000000003</v>
      </c>
      <c r="P18" s="79">
        <v>32722.17</v>
      </c>
      <c r="Q18" s="79">
        <v>378954.12999999995</v>
      </c>
    </row>
    <row r="19" spans="1:17" ht="15" x14ac:dyDescent="0.2">
      <c r="A19" s="16" t="s">
        <v>9</v>
      </c>
      <c r="B19" s="17"/>
      <c r="C19" s="17"/>
      <c r="D19" s="64"/>
      <c r="E19" s="79">
        <v>23001.78</v>
      </c>
      <c r="F19" s="79">
        <v>20233.330000000002</v>
      </c>
      <c r="G19" s="79">
        <v>25559.19</v>
      </c>
      <c r="H19" s="79">
        <v>25516.19</v>
      </c>
      <c r="I19" s="79">
        <v>22025.97</v>
      </c>
      <c r="J19" s="79">
        <v>26125.439999999999</v>
      </c>
      <c r="K19" s="79">
        <v>25061.66</v>
      </c>
      <c r="L19" s="79">
        <v>29821.1</v>
      </c>
      <c r="M19" s="79">
        <v>24502.92</v>
      </c>
      <c r="N19" s="79">
        <v>37966.75</v>
      </c>
      <c r="O19" s="79">
        <v>33850.910000000003</v>
      </c>
      <c r="P19" s="79">
        <v>27754.11</v>
      </c>
      <c r="Q19" s="79">
        <v>321419.34999999998</v>
      </c>
    </row>
    <row r="20" spans="1:17" ht="15" x14ac:dyDescent="0.2">
      <c r="A20" s="16" t="s">
        <v>10</v>
      </c>
      <c r="B20" s="17"/>
      <c r="C20" s="17"/>
      <c r="D20" s="64"/>
      <c r="E20" s="79">
        <v>24072.09</v>
      </c>
      <c r="F20" s="79">
        <v>21174.83</v>
      </c>
      <c r="G20" s="79">
        <v>26748.51</v>
      </c>
      <c r="H20" s="79">
        <v>26703.52</v>
      </c>
      <c r="I20" s="79">
        <v>23050.89</v>
      </c>
      <c r="J20" s="79">
        <v>27341.11</v>
      </c>
      <c r="K20" s="79">
        <v>26227.83</v>
      </c>
      <c r="L20" s="79">
        <v>31208.74</v>
      </c>
      <c r="M20" s="79">
        <v>25643.09</v>
      </c>
      <c r="N20" s="79">
        <v>39733.42</v>
      </c>
      <c r="O20" s="79">
        <v>35426.06</v>
      </c>
      <c r="P20" s="79">
        <v>29045.57</v>
      </c>
      <c r="Q20" s="79">
        <v>336375.66000000003</v>
      </c>
    </row>
    <row r="21" spans="1:17" ht="15" x14ac:dyDescent="0.2">
      <c r="A21" s="16" t="s">
        <v>11</v>
      </c>
      <c r="B21" s="17"/>
      <c r="C21" s="17"/>
      <c r="D21" s="64"/>
      <c r="E21" s="79">
        <v>34608.959999999999</v>
      </c>
      <c r="F21" s="79">
        <v>30443.5</v>
      </c>
      <c r="G21" s="79">
        <v>38456.89</v>
      </c>
      <c r="H21" s="79">
        <v>38392.21</v>
      </c>
      <c r="I21" s="79">
        <v>33140.75</v>
      </c>
      <c r="J21" s="79">
        <v>39308.9</v>
      </c>
      <c r="K21" s="79">
        <v>37708.31</v>
      </c>
      <c r="L21" s="79">
        <v>44869.47</v>
      </c>
      <c r="M21" s="79">
        <v>36867.620000000003</v>
      </c>
      <c r="N21" s="79">
        <v>57125.58</v>
      </c>
      <c r="O21" s="79">
        <v>50932.800000000003</v>
      </c>
      <c r="P21" s="79">
        <v>41759.440000000002</v>
      </c>
      <c r="Q21" s="79">
        <v>483614.43</v>
      </c>
    </row>
    <row r="22" spans="1:17" ht="15" x14ac:dyDescent="0.2">
      <c r="A22" s="16"/>
      <c r="B22" s="17"/>
      <c r="C22" s="17"/>
      <c r="D22" s="19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>
        <v>0</v>
      </c>
    </row>
    <row r="23" spans="1:17" ht="15.75" x14ac:dyDescent="0.25">
      <c r="A23" s="16"/>
      <c r="B23" s="17"/>
      <c r="C23" s="17"/>
      <c r="D23" s="19"/>
      <c r="E23" s="81">
        <v>393316.83000000007</v>
      </c>
      <c r="F23" s="81">
        <v>345978.01</v>
      </c>
      <c r="G23" s="81">
        <v>437047.04000000004</v>
      </c>
      <c r="H23" s="81">
        <v>436311.94000000006</v>
      </c>
      <c r="I23" s="81">
        <v>376631.19999999995</v>
      </c>
      <c r="J23" s="81">
        <v>446729.7</v>
      </c>
      <c r="K23" s="81">
        <v>428539.64999999997</v>
      </c>
      <c r="L23" s="81">
        <v>509923.37</v>
      </c>
      <c r="M23" s="81">
        <v>418985.58</v>
      </c>
      <c r="N23" s="81">
        <v>649209.11</v>
      </c>
      <c r="O23" s="81">
        <v>578830.66999999993</v>
      </c>
      <c r="P23" s="81">
        <v>474579.11</v>
      </c>
      <c r="Q23" s="81">
        <v>5496082.2100000009</v>
      </c>
    </row>
    <row r="24" spans="1:17" ht="15" x14ac:dyDescent="0.2">
      <c r="A24" s="16"/>
      <c r="B24" s="17"/>
      <c r="C24" s="17"/>
      <c r="D24" s="1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</row>
    <row r="25" spans="1:17" ht="16.5" thickBot="1" x14ac:dyDescent="0.3">
      <c r="A25" s="21" t="s">
        <v>12</v>
      </c>
      <c r="B25" s="20"/>
      <c r="C25" s="20"/>
      <c r="D25" s="19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</row>
    <row r="26" spans="1:17" ht="15" x14ac:dyDescent="0.2">
      <c r="A26" s="16" t="s">
        <v>13</v>
      </c>
      <c r="B26" s="17"/>
      <c r="C26" s="17"/>
      <c r="D26" s="64"/>
      <c r="E26" s="79">
        <v>79820.509999999995</v>
      </c>
      <c r="F26" s="79">
        <v>70213.48</v>
      </c>
      <c r="G26" s="79">
        <v>88695.21</v>
      </c>
      <c r="H26" s="79">
        <v>88546.03</v>
      </c>
      <c r="I26" s="79">
        <v>76434.3</v>
      </c>
      <c r="J26" s="79">
        <v>90660.23</v>
      </c>
      <c r="K26" s="79">
        <v>86968.71</v>
      </c>
      <c r="L26" s="79">
        <v>103484.88</v>
      </c>
      <c r="M26" s="79">
        <v>85029.79</v>
      </c>
      <c r="N26" s="79">
        <v>131751.81</v>
      </c>
      <c r="O26" s="79">
        <v>117469.07</v>
      </c>
      <c r="P26" s="79">
        <v>96312.04</v>
      </c>
      <c r="Q26" s="79">
        <v>1115386.06</v>
      </c>
    </row>
    <row r="27" spans="1:17" ht="15" x14ac:dyDescent="0.2">
      <c r="A27" s="16" t="s">
        <v>14</v>
      </c>
      <c r="B27" s="17"/>
      <c r="C27" s="17"/>
      <c r="D27" s="64"/>
      <c r="E27" s="79">
        <v>28591.14</v>
      </c>
      <c r="F27" s="79">
        <v>25149.97</v>
      </c>
      <c r="G27" s="79">
        <v>31770</v>
      </c>
      <c r="H27" s="79">
        <v>31716.560000000001</v>
      </c>
      <c r="I27" s="79">
        <v>27378.22</v>
      </c>
      <c r="J27" s="79">
        <v>32473.85</v>
      </c>
      <c r="K27" s="79">
        <v>31151.57</v>
      </c>
      <c r="L27" s="79">
        <v>37067.550000000003</v>
      </c>
      <c r="M27" s="79">
        <v>30457.06</v>
      </c>
      <c r="N27" s="79">
        <v>47192.56</v>
      </c>
      <c r="O27" s="79">
        <v>42076.58</v>
      </c>
      <c r="P27" s="79">
        <v>34498.29</v>
      </c>
      <c r="Q27" s="79">
        <v>399523.35000000003</v>
      </c>
    </row>
    <row r="28" spans="1:17" ht="15" x14ac:dyDescent="0.2">
      <c r="A28" s="16"/>
      <c r="B28" s="17"/>
      <c r="C28" s="17"/>
      <c r="D28" s="19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>
        <v>0</v>
      </c>
    </row>
    <row r="29" spans="1:17" ht="15.75" x14ac:dyDescent="0.25">
      <c r="A29" s="16"/>
      <c r="B29" s="17"/>
      <c r="C29" s="17"/>
      <c r="D29" s="19"/>
      <c r="E29" s="81">
        <v>108411.65</v>
      </c>
      <c r="F29" s="81">
        <v>95363.45</v>
      </c>
      <c r="G29" s="81">
        <v>120465.21</v>
      </c>
      <c r="H29" s="81">
        <v>120262.59</v>
      </c>
      <c r="I29" s="81">
        <v>103812.52</v>
      </c>
      <c r="J29" s="81">
        <v>123134.07999999999</v>
      </c>
      <c r="K29" s="81">
        <v>118120.28</v>
      </c>
      <c r="L29" s="81">
        <v>140552.43</v>
      </c>
      <c r="M29" s="81">
        <v>115486.84999999999</v>
      </c>
      <c r="N29" s="81">
        <v>178944.37</v>
      </c>
      <c r="O29" s="81">
        <v>159545.65000000002</v>
      </c>
      <c r="P29" s="81">
        <v>130810.32999999999</v>
      </c>
      <c r="Q29" s="81">
        <v>1514909.4100000001</v>
      </c>
    </row>
    <row r="30" spans="1:17" ht="15" x14ac:dyDescent="0.2">
      <c r="A30" s="16"/>
      <c r="B30" s="17"/>
      <c r="C30" s="17"/>
      <c r="D30" s="19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</row>
    <row r="31" spans="1:17" ht="16.5" thickBot="1" x14ac:dyDescent="0.3">
      <c r="A31" s="21" t="s">
        <v>15</v>
      </c>
      <c r="B31" s="20"/>
      <c r="C31" s="20"/>
      <c r="D31" s="19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</row>
    <row r="32" spans="1:17" ht="15" x14ac:dyDescent="0.2">
      <c r="A32" s="16" t="s">
        <v>16</v>
      </c>
      <c r="B32" s="17"/>
      <c r="C32" s="17"/>
      <c r="D32" s="64"/>
      <c r="E32" s="79">
        <v>81496.19</v>
      </c>
      <c r="F32" s="79">
        <v>71687.47</v>
      </c>
      <c r="G32" s="79">
        <v>90557.19</v>
      </c>
      <c r="H32" s="79">
        <v>90404.88</v>
      </c>
      <c r="I32" s="79">
        <v>78038.880000000005</v>
      </c>
      <c r="J32" s="79">
        <v>92563.46</v>
      </c>
      <c r="K32" s="79">
        <v>88794.440000000017</v>
      </c>
      <c r="L32" s="79">
        <v>105657.34</v>
      </c>
      <c r="M32" s="79">
        <v>86814.83</v>
      </c>
      <c r="N32" s="79">
        <v>134517.68</v>
      </c>
      <c r="O32" s="79">
        <v>119935.09</v>
      </c>
      <c r="P32" s="79">
        <v>98333.92</v>
      </c>
      <c r="Q32" s="79">
        <v>1138801.3699999999</v>
      </c>
    </row>
    <row r="33" spans="1:17" ht="15" x14ac:dyDescent="0.2">
      <c r="A33" s="16" t="s">
        <v>17</v>
      </c>
      <c r="B33" s="17"/>
      <c r="C33" s="17"/>
      <c r="D33" s="64"/>
      <c r="E33" s="79">
        <v>34960.32</v>
      </c>
      <c r="F33" s="79">
        <v>30752.57</v>
      </c>
      <c r="G33" s="79">
        <v>38847.32</v>
      </c>
      <c r="H33" s="79">
        <v>38781.980000000003</v>
      </c>
      <c r="I33" s="79">
        <v>33477.21</v>
      </c>
      <c r="J33" s="79">
        <v>39707.980000000003</v>
      </c>
      <c r="K33" s="79">
        <v>38091.14</v>
      </c>
      <c r="L33" s="79">
        <v>45325</v>
      </c>
      <c r="M33" s="79">
        <v>37241.910000000003</v>
      </c>
      <c r="N33" s="79">
        <v>57705.54</v>
      </c>
      <c r="O33" s="79">
        <v>51449.89</v>
      </c>
      <c r="P33" s="79">
        <v>42183.4</v>
      </c>
      <c r="Q33" s="79">
        <v>488524.26000000007</v>
      </c>
    </row>
    <row r="34" spans="1:17" ht="15" x14ac:dyDescent="0.2">
      <c r="A34" s="16" t="s">
        <v>18</v>
      </c>
      <c r="B34" s="17"/>
      <c r="C34" s="17"/>
      <c r="D34" s="64"/>
      <c r="E34" s="79">
        <v>39976.800000000003</v>
      </c>
      <c r="F34" s="79">
        <v>35165.269999999997</v>
      </c>
      <c r="G34" s="79">
        <v>44421.54</v>
      </c>
      <c r="H34" s="79">
        <v>44346.83</v>
      </c>
      <c r="I34" s="79">
        <v>38280.870000000003</v>
      </c>
      <c r="J34" s="79">
        <v>45405.69</v>
      </c>
      <c r="K34" s="79">
        <v>43556.85</v>
      </c>
      <c r="L34" s="79">
        <v>51828.71</v>
      </c>
      <c r="M34" s="79">
        <v>42585.77</v>
      </c>
      <c r="N34" s="79">
        <v>65985.740000000005</v>
      </c>
      <c r="O34" s="79">
        <v>58832.46</v>
      </c>
      <c r="P34" s="79">
        <v>48236.31</v>
      </c>
      <c r="Q34" s="79">
        <v>558622.84000000008</v>
      </c>
    </row>
    <row r="35" spans="1:17" ht="15" x14ac:dyDescent="0.2">
      <c r="A35" s="16" t="s">
        <v>19</v>
      </c>
      <c r="B35" s="17"/>
      <c r="C35" s="17"/>
      <c r="D35" s="64"/>
      <c r="E35" s="83">
        <v>32475.62</v>
      </c>
      <c r="F35" s="83">
        <v>28566.92</v>
      </c>
      <c r="G35" s="83">
        <v>36086.370000000003</v>
      </c>
      <c r="H35" s="83">
        <v>36025.67</v>
      </c>
      <c r="I35" s="83">
        <v>31097.91</v>
      </c>
      <c r="J35" s="83">
        <v>36885.85</v>
      </c>
      <c r="K35" s="83">
        <v>35383.919999999998</v>
      </c>
      <c r="L35" s="83">
        <v>42103.66</v>
      </c>
      <c r="M35" s="83">
        <v>34595.050000000003</v>
      </c>
      <c r="N35" s="83">
        <v>53604.29</v>
      </c>
      <c r="O35" s="83">
        <v>47793.24</v>
      </c>
      <c r="P35" s="83">
        <v>39185.33</v>
      </c>
      <c r="Q35" s="83">
        <v>453803.83</v>
      </c>
    </row>
    <row r="36" spans="1:17" ht="15.75" x14ac:dyDescent="0.25">
      <c r="A36" s="16"/>
      <c r="B36" s="17"/>
      <c r="C36" s="17"/>
      <c r="D36" s="19"/>
      <c r="E36" s="81">
        <v>188908.93</v>
      </c>
      <c r="F36" s="81">
        <v>166172.22999999998</v>
      </c>
      <c r="G36" s="81">
        <v>209912.42</v>
      </c>
      <c r="H36" s="81">
        <v>209559.36</v>
      </c>
      <c r="I36" s="81">
        <v>180894.87</v>
      </c>
      <c r="J36" s="81">
        <v>214562.98</v>
      </c>
      <c r="K36" s="81">
        <v>205826.35</v>
      </c>
      <c r="L36" s="81">
        <v>244914.71</v>
      </c>
      <c r="M36" s="81">
        <v>201237.56</v>
      </c>
      <c r="N36" s="81">
        <v>311813.25</v>
      </c>
      <c r="O36" s="81">
        <v>278010.68</v>
      </c>
      <c r="P36" s="81">
        <v>227938.96</v>
      </c>
      <c r="Q36" s="81">
        <v>2639752.3000000003</v>
      </c>
    </row>
    <row r="37" spans="1:17" ht="15" x14ac:dyDescent="0.2">
      <c r="A37" s="16"/>
      <c r="B37" s="17"/>
      <c r="C37" s="17"/>
      <c r="D37" s="19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</row>
    <row r="38" spans="1:17" ht="16.5" thickBot="1" x14ac:dyDescent="0.3">
      <c r="A38" s="21" t="s">
        <v>20</v>
      </c>
      <c r="B38" s="20"/>
      <c r="C38" s="20"/>
      <c r="D38" s="19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</row>
    <row r="39" spans="1:17" ht="15" x14ac:dyDescent="0.2">
      <c r="A39" s="16" t="s">
        <v>21</v>
      </c>
      <c r="B39" s="17"/>
      <c r="C39" s="17"/>
      <c r="D39" s="64"/>
      <c r="E39" s="83">
        <v>120827.07</v>
      </c>
      <c r="F39" s="83">
        <v>106284.56</v>
      </c>
      <c r="G39" s="83">
        <v>134260.99</v>
      </c>
      <c r="H39" s="83">
        <v>134035.17000000001</v>
      </c>
      <c r="I39" s="83">
        <v>115701.23</v>
      </c>
      <c r="J39" s="83">
        <v>137235.51</v>
      </c>
      <c r="K39" s="83">
        <v>131647.51999999999</v>
      </c>
      <c r="L39" s="83">
        <v>156648.63</v>
      </c>
      <c r="M39" s="83">
        <v>128712.51</v>
      </c>
      <c r="N39" s="83">
        <v>199437.25</v>
      </c>
      <c r="O39" s="83">
        <v>177816.97</v>
      </c>
      <c r="P39" s="83">
        <v>145790.85999999999</v>
      </c>
      <c r="Q39" s="83">
        <v>1688398.27</v>
      </c>
    </row>
    <row r="40" spans="1:17" ht="16.5" thickBot="1" x14ac:dyDescent="0.3">
      <c r="A40" s="22"/>
      <c r="B40" s="23"/>
      <c r="C40" s="23"/>
      <c r="D40" s="24"/>
      <c r="E40" s="85">
        <v>120827.07</v>
      </c>
      <c r="F40" s="85">
        <v>106284.56</v>
      </c>
      <c r="G40" s="85">
        <v>134260.99</v>
      </c>
      <c r="H40" s="85">
        <v>134035.17000000001</v>
      </c>
      <c r="I40" s="85">
        <v>115701.23</v>
      </c>
      <c r="J40" s="85">
        <v>137235.51</v>
      </c>
      <c r="K40" s="85">
        <v>131647.51999999999</v>
      </c>
      <c r="L40" s="85">
        <v>156648.63</v>
      </c>
      <c r="M40" s="85">
        <v>128712.51</v>
      </c>
      <c r="N40" s="85">
        <v>199437.25</v>
      </c>
      <c r="O40" s="85">
        <v>177816.97</v>
      </c>
      <c r="P40" s="85">
        <v>145790.85999999999</v>
      </c>
      <c r="Q40" s="85">
        <v>1688398.27</v>
      </c>
    </row>
    <row r="41" spans="1:17" ht="16.5" thickTop="1" x14ac:dyDescent="0.25">
      <c r="A41" s="1"/>
      <c r="B41" s="1" t="s">
        <v>24</v>
      </c>
      <c r="C41" s="1"/>
      <c r="D41" s="1"/>
      <c r="E41" s="86">
        <v>811464.48000000021</v>
      </c>
      <c r="F41" s="86">
        <v>713798.25</v>
      </c>
      <c r="G41" s="86">
        <v>901685.66</v>
      </c>
      <c r="H41" s="86">
        <v>900169.06</v>
      </c>
      <c r="I41" s="86">
        <v>777039.82</v>
      </c>
      <c r="J41" s="86">
        <v>921662.27</v>
      </c>
      <c r="K41" s="86">
        <v>884133.8</v>
      </c>
      <c r="L41" s="86">
        <v>1052039.1400000001</v>
      </c>
      <c r="M41" s="86">
        <v>864422.5</v>
      </c>
      <c r="N41" s="86">
        <v>1339403.98</v>
      </c>
      <c r="O41" s="86">
        <v>1194203.97</v>
      </c>
      <c r="P41" s="86">
        <v>979119.25999999989</v>
      </c>
      <c r="Q41" s="86">
        <v>11339142.190000001</v>
      </c>
    </row>
    <row r="42" spans="1:17" ht="15.75" x14ac:dyDescent="0.25">
      <c r="A42" s="2"/>
      <c r="B42" s="2"/>
      <c r="C42" s="2"/>
      <c r="D42" s="2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</row>
  </sheetData>
  <phoneticPr fontId="0" type="noConversion"/>
  <printOptions horizontalCentered="1"/>
  <pageMargins left="0.19685039370078741" right="0.19685039370078741" top="0.98425196850393704" bottom="1" header="0" footer="0"/>
  <pageSetup paperSize="9" scale="50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Q42"/>
  <sheetViews>
    <sheetView zoomScale="80" zoomScaleNormal="80" workbookViewId="0"/>
  </sheetViews>
  <sheetFormatPr baseColWidth="10" defaultColWidth="11.42578125" defaultRowHeight="12.75" x14ac:dyDescent="0.2"/>
  <cols>
    <col min="1" max="2" width="17.5703125" customWidth="1"/>
    <col min="5" max="17" width="17.5703125" customWidth="1"/>
  </cols>
  <sheetData>
    <row r="1" spans="1:17" ht="15.75" x14ac:dyDescent="0.25">
      <c r="A1" s="4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.75" x14ac:dyDescent="0.25">
      <c r="A2" s="27" t="s">
        <v>58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15.75" x14ac:dyDescent="0.25">
      <c r="A3" s="27" t="s">
        <v>55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5.75" x14ac:dyDescent="0.25">
      <c r="A4" s="4" t="s">
        <v>30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ht="15.75" x14ac:dyDescent="0.25">
      <c r="A5" s="5" t="s">
        <v>46</v>
      </c>
      <c r="B5" s="6"/>
      <c r="C5" s="6"/>
      <c r="D5" s="7"/>
      <c r="E5" s="31" t="s">
        <v>302</v>
      </c>
      <c r="F5" s="32" t="s">
        <v>303</v>
      </c>
      <c r="G5" s="32" t="s">
        <v>304</v>
      </c>
      <c r="H5" s="32" t="s">
        <v>305</v>
      </c>
      <c r="I5" s="32" t="s">
        <v>306</v>
      </c>
      <c r="J5" s="32" t="s">
        <v>307</v>
      </c>
      <c r="K5" s="32" t="s">
        <v>308</v>
      </c>
      <c r="L5" s="32" t="s">
        <v>309</v>
      </c>
      <c r="M5" s="32" t="s">
        <v>310</v>
      </c>
      <c r="N5" s="32" t="s">
        <v>311</v>
      </c>
      <c r="O5" s="32" t="s">
        <v>312</v>
      </c>
      <c r="P5" s="32" t="s">
        <v>313</v>
      </c>
      <c r="Q5" s="33" t="s">
        <v>48</v>
      </c>
    </row>
    <row r="6" spans="1:17" ht="15" x14ac:dyDescent="0.2">
      <c r="A6" s="8"/>
      <c r="B6" s="9"/>
      <c r="C6" s="9"/>
      <c r="D6" s="10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59">
        <v>1995</v>
      </c>
    </row>
    <row r="7" spans="1:17" ht="15" x14ac:dyDescent="0.2">
      <c r="A7" s="12"/>
      <c r="B7" s="13"/>
      <c r="C7" s="13"/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7" ht="15" x14ac:dyDescent="0.2">
      <c r="A8" s="16" t="s">
        <v>1</v>
      </c>
      <c r="B8" s="17"/>
      <c r="C8" s="17"/>
      <c r="D8" s="18"/>
      <c r="E8" s="79">
        <v>869298.07</v>
      </c>
      <c r="F8" s="79">
        <v>841304.14</v>
      </c>
      <c r="G8" s="79">
        <v>950756.28</v>
      </c>
      <c r="H8" s="79">
        <v>608040.73</v>
      </c>
      <c r="I8" s="79">
        <v>1084618.2</v>
      </c>
      <c r="J8" s="79">
        <v>833167.79</v>
      </c>
      <c r="K8" s="79">
        <v>909100.22</v>
      </c>
      <c r="L8" s="79">
        <v>855238.13</v>
      </c>
      <c r="M8" s="79">
        <v>871959.65</v>
      </c>
      <c r="N8" s="79">
        <v>915492.09</v>
      </c>
      <c r="O8" s="79">
        <v>727973.39</v>
      </c>
      <c r="P8" s="79">
        <v>945126.71</v>
      </c>
      <c r="Q8" s="79">
        <v>10412075.400000002</v>
      </c>
    </row>
    <row r="9" spans="1:17" ht="15" x14ac:dyDescent="0.2">
      <c r="A9" s="16" t="s">
        <v>2</v>
      </c>
      <c r="B9" s="17"/>
      <c r="C9" s="17"/>
      <c r="D9" s="18"/>
      <c r="E9" s="79">
        <v>83586.350000000006</v>
      </c>
      <c r="F9" s="79">
        <v>80894.63</v>
      </c>
      <c r="G9" s="79">
        <v>91418.87</v>
      </c>
      <c r="H9" s="79">
        <v>58465.46</v>
      </c>
      <c r="I9" s="79">
        <v>104290.21</v>
      </c>
      <c r="J9" s="79">
        <v>80112.289999999994</v>
      </c>
      <c r="K9" s="79">
        <v>87413.48</v>
      </c>
      <c r="L9" s="79">
        <v>82234.44</v>
      </c>
      <c r="M9" s="79">
        <v>83842.27</v>
      </c>
      <c r="N9" s="79">
        <v>88028.09</v>
      </c>
      <c r="O9" s="79">
        <v>69997.440000000002</v>
      </c>
      <c r="P9" s="79">
        <v>90877.57</v>
      </c>
      <c r="Q9" s="79">
        <v>1001161.1000000001</v>
      </c>
    </row>
    <row r="10" spans="1:17" ht="15" x14ac:dyDescent="0.2">
      <c r="A10" s="16" t="s">
        <v>3</v>
      </c>
      <c r="B10" s="17"/>
      <c r="C10" s="17"/>
      <c r="D10" s="18"/>
      <c r="E10" s="79">
        <v>50151.82</v>
      </c>
      <c r="F10" s="79">
        <v>48536.78</v>
      </c>
      <c r="G10" s="79">
        <v>54851.32</v>
      </c>
      <c r="H10" s="79">
        <v>35079.269999999997</v>
      </c>
      <c r="I10" s="79">
        <v>62574.13</v>
      </c>
      <c r="J10" s="79">
        <v>48067.37</v>
      </c>
      <c r="K10" s="79">
        <v>52448.1</v>
      </c>
      <c r="L10" s="79">
        <v>49340.66</v>
      </c>
      <c r="M10" s="79">
        <v>50305.37</v>
      </c>
      <c r="N10" s="79">
        <v>52816.85</v>
      </c>
      <c r="O10" s="79">
        <v>41998.46</v>
      </c>
      <c r="P10" s="79">
        <v>54526.54</v>
      </c>
      <c r="Q10" s="79">
        <v>600696.66999999993</v>
      </c>
    </row>
    <row r="11" spans="1:17" ht="15.75" thickBot="1" x14ac:dyDescent="0.25">
      <c r="A11" s="16" t="s">
        <v>4</v>
      </c>
      <c r="B11" s="17"/>
      <c r="C11" s="17"/>
      <c r="D11" s="18"/>
      <c r="E11" s="80">
        <v>668690.81999999995</v>
      </c>
      <c r="F11" s="80">
        <v>647157.03</v>
      </c>
      <c r="G11" s="80">
        <v>731351</v>
      </c>
      <c r="H11" s="80">
        <v>467723.64</v>
      </c>
      <c r="I11" s="80">
        <v>834321.69</v>
      </c>
      <c r="J11" s="80">
        <v>640898.30000000005</v>
      </c>
      <c r="K11" s="80">
        <v>699307.86</v>
      </c>
      <c r="L11" s="80">
        <v>657875.49</v>
      </c>
      <c r="M11" s="80">
        <v>670738.19999999995</v>
      </c>
      <c r="N11" s="80">
        <v>704224.68</v>
      </c>
      <c r="O11" s="80">
        <v>559979.53</v>
      </c>
      <c r="P11" s="80">
        <v>727020.54</v>
      </c>
      <c r="Q11" s="80">
        <v>8009288.7800000012</v>
      </c>
    </row>
    <row r="12" spans="1:17" ht="15.75" x14ac:dyDescent="0.25">
      <c r="A12" s="16"/>
      <c r="B12" s="17" t="s">
        <v>29</v>
      </c>
      <c r="C12" s="17"/>
      <c r="D12" s="19"/>
      <c r="E12" s="81">
        <v>1671727.0599999998</v>
      </c>
      <c r="F12" s="81">
        <v>1617892.58</v>
      </c>
      <c r="G12" s="81">
        <v>1828377.47</v>
      </c>
      <c r="H12" s="81">
        <v>1169309.1000000001</v>
      </c>
      <c r="I12" s="81">
        <v>2085804.2299999997</v>
      </c>
      <c r="J12" s="81">
        <v>1602245.75</v>
      </c>
      <c r="K12" s="81">
        <v>1748269.6600000001</v>
      </c>
      <c r="L12" s="81">
        <v>1644688.7200000002</v>
      </c>
      <c r="M12" s="81">
        <v>1676845.49</v>
      </c>
      <c r="N12" s="81">
        <v>1760561.71</v>
      </c>
      <c r="O12" s="81">
        <v>1399948.82</v>
      </c>
      <c r="P12" s="81">
        <v>1817551.36</v>
      </c>
      <c r="Q12" s="81">
        <v>20023221.949999999</v>
      </c>
    </row>
    <row r="13" spans="1:17" ht="15" x14ac:dyDescent="0.2">
      <c r="A13" s="16"/>
      <c r="B13" s="17"/>
      <c r="C13" s="17"/>
      <c r="D13" s="1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</row>
    <row r="14" spans="1:17" ht="15" x14ac:dyDescent="0.2">
      <c r="A14" s="16" t="s">
        <v>5</v>
      </c>
      <c r="B14" s="17"/>
      <c r="C14" s="17"/>
      <c r="D14" s="1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</row>
    <row r="15" spans="1:17" ht="15" x14ac:dyDescent="0.2">
      <c r="A15" s="16"/>
      <c r="B15" s="17"/>
      <c r="C15" s="17"/>
      <c r="D15" s="1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</row>
    <row r="16" spans="1:17" ht="16.5" thickBot="1" x14ac:dyDescent="0.3">
      <c r="A16" s="21" t="s">
        <v>6</v>
      </c>
      <c r="B16" s="20"/>
      <c r="C16" s="20"/>
      <c r="D16" s="19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</row>
    <row r="17" spans="1:17" ht="15" x14ac:dyDescent="0.2">
      <c r="A17" s="16" t="s">
        <v>7</v>
      </c>
      <c r="B17" s="17"/>
      <c r="C17" s="17"/>
      <c r="D17" s="64"/>
      <c r="E17" s="79">
        <v>234455.71</v>
      </c>
      <c r="F17" s="79">
        <v>226905.55</v>
      </c>
      <c r="G17" s="79">
        <v>256425.56</v>
      </c>
      <c r="H17" s="79">
        <v>163992.79</v>
      </c>
      <c r="I17" s="79">
        <v>292529.02</v>
      </c>
      <c r="J17" s="79">
        <v>224711.13</v>
      </c>
      <c r="K17" s="79">
        <v>245190.62</v>
      </c>
      <c r="L17" s="79">
        <v>230663.64</v>
      </c>
      <c r="M17" s="79">
        <v>235173.56</v>
      </c>
      <c r="N17" s="79">
        <v>246914.55</v>
      </c>
      <c r="O17" s="79">
        <v>196339.46</v>
      </c>
      <c r="P17" s="79">
        <v>254907.21</v>
      </c>
      <c r="Q17" s="79">
        <v>2808208.8000000003</v>
      </c>
    </row>
    <row r="18" spans="1:17" ht="15" x14ac:dyDescent="0.2">
      <c r="A18" s="16" t="s">
        <v>8</v>
      </c>
      <c r="B18" s="17"/>
      <c r="C18" s="17"/>
      <c r="D18" s="64"/>
      <c r="E18" s="79">
        <v>22347.65</v>
      </c>
      <c r="F18" s="79">
        <v>21627.99</v>
      </c>
      <c r="G18" s="79">
        <v>24441.75</v>
      </c>
      <c r="H18" s="79">
        <v>15631.32</v>
      </c>
      <c r="I18" s="79">
        <v>27883.03</v>
      </c>
      <c r="J18" s="79">
        <v>21418.82</v>
      </c>
      <c r="K18" s="79">
        <v>23370.87</v>
      </c>
      <c r="L18" s="79">
        <v>21986.2</v>
      </c>
      <c r="M18" s="79">
        <v>22416.07</v>
      </c>
      <c r="N18" s="79">
        <v>23535.19</v>
      </c>
      <c r="O18" s="79">
        <v>18714.52</v>
      </c>
      <c r="P18" s="79">
        <v>24297.03</v>
      </c>
      <c r="Q18" s="79">
        <v>267670.44</v>
      </c>
    </row>
    <row r="19" spans="1:17" ht="15" x14ac:dyDescent="0.2">
      <c r="A19" s="16" t="s">
        <v>9</v>
      </c>
      <c r="B19" s="17"/>
      <c r="C19" s="17"/>
      <c r="D19" s="64"/>
      <c r="E19" s="79">
        <v>18954.71</v>
      </c>
      <c r="F19" s="79">
        <v>18344.310000000001</v>
      </c>
      <c r="G19" s="79">
        <v>20730.88</v>
      </c>
      <c r="H19" s="79">
        <v>13258.1</v>
      </c>
      <c r="I19" s="79">
        <v>23649.69</v>
      </c>
      <c r="J19" s="79">
        <v>18166.900000000001</v>
      </c>
      <c r="K19" s="79">
        <v>19822.580000000002</v>
      </c>
      <c r="L19" s="79">
        <v>18648.14</v>
      </c>
      <c r="M19" s="79">
        <v>19012.75</v>
      </c>
      <c r="N19" s="79">
        <v>19961.95</v>
      </c>
      <c r="O19" s="79">
        <v>15873.18</v>
      </c>
      <c r="P19" s="79">
        <v>20608.13</v>
      </c>
      <c r="Q19" s="79">
        <v>227031.32000000007</v>
      </c>
    </row>
    <row r="20" spans="1:17" ht="15" x14ac:dyDescent="0.2">
      <c r="A20" s="16" t="s">
        <v>10</v>
      </c>
      <c r="B20" s="17"/>
      <c r="C20" s="17"/>
      <c r="D20" s="64"/>
      <c r="E20" s="79">
        <v>19836.71</v>
      </c>
      <c r="F20" s="79">
        <v>19197.91</v>
      </c>
      <c r="G20" s="79">
        <v>21695.53</v>
      </c>
      <c r="H20" s="79">
        <v>13875.03</v>
      </c>
      <c r="I20" s="79">
        <v>24750.16</v>
      </c>
      <c r="J20" s="79">
        <v>19012.25</v>
      </c>
      <c r="K20" s="79">
        <v>20744.97</v>
      </c>
      <c r="L20" s="79">
        <v>19515.88</v>
      </c>
      <c r="M20" s="79">
        <v>19897.45</v>
      </c>
      <c r="N20" s="79">
        <v>20890.830000000002</v>
      </c>
      <c r="O20" s="79">
        <v>16611.79</v>
      </c>
      <c r="P20" s="79">
        <v>21567.06</v>
      </c>
      <c r="Q20" s="79">
        <v>237595.57000000004</v>
      </c>
    </row>
    <row r="21" spans="1:17" ht="15" x14ac:dyDescent="0.2">
      <c r="A21" s="16" t="s">
        <v>11</v>
      </c>
      <c r="B21" s="17"/>
      <c r="C21" s="17"/>
      <c r="D21" s="64"/>
      <c r="E21" s="79">
        <v>28519.66</v>
      </c>
      <c r="F21" s="79">
        <v>27601.25</v>
      </c>
      <c r="G21" s="79">
        <v>31192.12</v>
      </c>
      <c r="H21" s="79">
        <v>19948.41</v>
      </c>
      <c r="I21" s="79">
        <v>35583.82</v>
      </c>
      <c r="J21" s="79">
        <v>27334.31</v>
      </c>
      <c r="K21" s="79">
        <v>29825.48</v>
      </c>
      <c r="L21" s="79">
        <v>28058.39</v>
      </c>
      <c r="M21" s="79">
        <v>28606.98</v>
      </c>
      <c r="N21" s="79">
        <v>30035.18</v>
      </c>
      <c r="O21" s="79">
        <v>23883.13</v>
      </c>
      <c r="P21" s="79">
        <v>31007.43</v>
      </c>
      <c r="Q21" s="79">
        <v>341596.16000000003</v>
      </c>
    </row>
    <row r="22" spans="1:17" ht="15" x14ac:dyDescent="0.2">
      <c r="A22" s="16"/>
      <c r="B22" s="17"/>
      <c r="C22" s="17"/>
      <c r="D22" s="19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>
        <v>0</v>
      </c>
    </row>
    <row r="23" spans="1:17" ht="15.75" x14ac:dyDescent="0.25">
      <c r="A23" s="16"/>
      <c r="B23" s="17"/>
      <c r="C23" s="17"/>
      <c r="D23" s="19"/>
      <c r="E23" s="81">
        <v>324114.44</v>
      </c>
      <c r="F23" s="81">
        <v>313677.00999999995</v>
      </c>
      <c r="G23" s="81">
        <v>354485.83999999997</v>
      </c>
      <c r="H23" s="81">
        <v>226705.65000000002</v>
      </c>
      <c r="I23" s="81">
        <v>404395.72000000003</v>
      </c>
      <c r="J23" s="81">
        <v>310643.41000000003</v>
      </c>
      <c r="K23" s="81">
        <v>338954.52</v>
      </c>
      <c r="L23" s="81">
        <v>318872.25000000006</v>
      </c>
      <c r="M23" s="81">
        <v>325106.81</v>
      </c>
      <c r="N23" s="81">
        <v>341337.7</v>
      </c>
      <c r="O23" s="81">
        <v>271422.07999999996</v>
      </c>
      <c r="P23" s="81">
        <v>352386.86</v>
      </c>
      <c r="Q23" s="81">
        <v>3882102.29</v>
      </c>
    </row>
    <row r="24" spans="1:17" ht="15" x14ac:dyDescent="0.2">
      <c r="A24" s="16"/>
      <c r="B24" s="17"/>
      <c r="C24" s="17"/>
      <c r="D24" s="1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</row>
    <row r="25" spans="1:17" ht="16.5" thickBot="1" x14ac:dyDescent="0.3">
      <c r="A25" s="21" t="s">
        <v>12</v>
      </c>
      <c r="B25" s="20"/>
      <c r="C25" s="20"/>
      <c r="D25" s="19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</row>
    <row r="26" spans="1:17" ht="15" x14ac:dyDescent="0.2">
      <c r="A26" s="16" t="s">
        <v>13</v>
      </c>
      <c r="B26" s="17"/>
      <c r="C26" s="17"/>
      <c r="D26" s="64"/>
      <c r="E26" s="79">
        <v>65776.44</v>
      </c>
      <c r="F26" s="79">
        <v>63658.25</v>
      </c>
      <c r="G26" s="79">
        <v>71940.070000000007</v>
      </c>
      <c r="H26" s="79">
        <v>46008.1</v>
      </c>
      <c r="I26" s="79">
        <v>82068.88</v>
      </c>
      <c r="J26" s="79">
        <v>63042.6</v>
      </c>
      <c r="K26" s="79">
        <v>68788.12</v>
      </c>
      <c r="L26" s="79">
        <v>64712.58</v>
      </c>
      <c r="M26" s="79">
        <v>65977.83</v>
      </c>
      <c r="N26" s="79">
        <v>69271.759999999995</v>
      </c>
      <c r="O26" s="79">
        <v>55082.94</v>
      </c>
      <c r="P26" s="79">
        <v>71514.100000000006</v>
      </c>
      <c r="Q26" s="79">
        <v>787841.66999999981</v>
      </c>
    </row>
    <row r="27" spans="1:17" ht="15" x14ac:dyDescent="0.2">
      <c r="A27" s="16" t="s">
        <v>14</v>
      </c>
      <c r="B27" s="17"/>
      <c r="C27" s="17"/>
      <c r="D27" s="64"/>
      <c r="E27" s="79">
        <v>23560.65</v>
      </c>
      <c r="F27" s="79">
        <v>22801.93</v>
      </c>
      <c r="G27" s="79">
        <v>25768.42</v>
      </c>
      <c r="H27" s="79">
        <v>16479.78</v>
      </c>
      <c r="I27" s="79">
        <v>29396.5</v>
      </c>
      <c r="J27" s="79">
        <v>22581.41</v>
      </c>
      <c r="K27" s="79">
        <v>24639.41</v>
      </c>
      <c r="L27" s="79">
        <v>23179.59</v>
      </c>
      <c r="M27" s="79">
        <v>23632.79</v>
      </c>
      <c r="N27" s="79">
        <v>24812.66</v>
      </c>
      <c r="O27" s="79">
        <v>19730.330000000002</v>
      </c>
      <c r="P27" s="79">
        <v>25615.84</v>
      </c>
      <c r="Q27" s="79">
        <v>282199.31000000006</v>
      </c>
    </row>
    <row r="28" spans="1:17" ht="15" x14ac:dyDescent="0.2">
      <c r="A28" s="16"/>
      <c r="B28" s="17"/>
      <c r="C28" s="17"/>
      <c r="D28" s="19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>
        <v>0</v>
      </c>
    </row>
    <row r="29" spans="1:17" ht="15.75" x14ac:dyDescent="0.25">
      <c r="A29" s="16"/>
      <c r="B29" s="17"/>
      <c r="C29" s="17"/>
      <c r="D29" s="19"/>
      <c r="E29" s="81">
        <v>89337.09</v>
      </c>
      <c r="F29" s="81">
        <v>86460.18</v>
      </c>
      <c r="G29" s="81">
        <v>97708.49</v>
      </c>
      <c r="H29" s="81">
        <v>62487.88</v>
      </c>
      <c r="I29" s="81">
        <v>111465.38</v>
      </c>
      <c r="J29" s="81">
        <v>85624.01</v>
      </c>
      <c r="K29" s="81">
        <v>93427.53</v>
      </c>
      <c r="L29" s="81">
        <v>87892.17</v>
      </c>
      <c r="M29" s="81">
        <v>89610.62</v>
      </c>
      <c r="N29" s="81">
        <v>94084.42</v>
      </c>
      <c r="O29" s="81">
        <v>74813.27</v>
      </c>
      <c r="P29" s="81">
        <v>97129.94</v>
      </c>
      <c r="Q29" s="81">
        <v>1070040.9800000002</v>
      </c>
    </row>
    <row r="30" spans="1:17" ht="15" x14ac:dyDescent="0.2">
      <c r="A30" s="16"/>
      <c r="B30" s="17"/>
      <c r="C30" s="17"/>
      <c r="D30" s="19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</row>
    <row r="31" spans="1:17" ht="16.5" thickBot="1" x14ac:dyDescent="0.3">
      <c r="A31" s="21" t="s">
        <v>15</v>
      </c>
      <c r="B31" s="20"/>
      <c r="C31" s="20"/>
      <c r="D31" s="19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</row>
    <row r="32" spans="1:17" ht="15" x14ac:dyDescent="0.2">
      <c r="A32" s="16" t="s">
        <v>16</v>
      </c>
      <c r="B32" s="17"/>
      <c r="C32" s="17"/>
      <c r="D32" s="64"/>
      <c r="E32" s="79">
        <v>67157.289999999994</v>
      </c>
      <c r="F32" s="79">
        <v>64994.63</v>
      </c>
      <c r="G32" s="79">
        <v>73450.3</v>
      </c>
      <c r="H32" s="79">
        <v>46973.94</v>
      </c>
      <c r="I32" s="79">
        <v>83791.75</v>
      </c>
      <c r="J32" s="79">
        <v>64366.06</v>
      </c>
      <c r="K32" s="79">
        <v>70232.19</v>
      </c>
      <c r="L32" s="79">
        <v>66071.09</v>
      </c>
      <c r="M32" s="79">
        <v>67362.91</v>
      </c>
      <c r="N32" s="79">
        <v>70725.990000000005</v>
      </c>
      <c r="O32" s="79">
        <v>56239.3</v>
      </c>
      <c r="P32" s="79">
        <v>73015.39</v>
      </c>
      <c r="Q32" s="79">
        <v>804380.84000000008</v>
      </c>
    </row>
    <row r="33" spans="1:17" ht="15" x14ac:dyDescent="0.2">
      <c r="A33" s="16" t="s">
        <v>17</v>
      </c>
      <c r="B33" s="17"/>
      <c r="C33" s="17"/>
      <c r="D33" s="64"/>
      <c r="E33" s="79">
        <v>28809.21</v>
      </c>
      <c r="F33" s="79">
        <v>27881.47</v>
      </c>
      <c r="G33" s="79">
        <v>31508.799999999999</v>
      </c>
      <c r="H33" s="79">
        <v>20150.939999999999</v>
      </c>
      <c r="I33" s="79">
        <v>35945.08</v>
      </c>
      <c r="J33" s="79">
        <v>27611.82</v>
      </c>
      <c r="K33" s="79">
        <v>30128.28</v>
      </c>
      <c r="L33" s="79">
        <v>28343.25</v>
      </c>
      <c r="M33" s="79">
        <v>28897.41</v>
      </c>
      <c r="N33" s="79">
        <v>30340.11</v>
      </c>
      <c r="O33" s="79">
        <v>24125.599999999999</v>
      </c>
      <c r="P33" s="79">
        <v>31322.23</v>
      </c>
      <c r="Q33" s="79">
        <v>345064.19999999995</v>
      </c>
    </row>
    <row r="34" spans="1:17" ht="15" x14ac:dyDescent="0.2">
      <c r="A34" s="16" t="s">
        <v>18</v>
      </c>
      <c r="B34" s="17"/>
      <c r="C34" s="17"/>
      <c r="D34" s="64"/>
      <c r="E34" s="79">
        <v>32943.050000000003</v>
      </c>
      <c r="F34" s="79">
        <v>31882.19</v>
      </c>
      <c r="G34" s="79">
        <v>36030.01</v>
      </c>
      <c r="H34" s="79">
        <v>23042.41</v>
      </c>
      <c r="I34" s="79">
        <v>41102.86</v>
      </c>
      <c r="J34" s="79">
        <v>31573.85</v>
      </c>
      <c r="K34" s="79">
        <v>34451.4</v>
      </c>
      <c r="L34" s="79">
        <v>32410.240000000002</v>
      </c>
      <c r="M34" s="79">
        <v>33043.919999999998</v>
      </c>
      <c r="N34" s="79">
        <v>34693.629999999997</v>
      </c>
      <c r="O34" s="79">
        <v>27587.39</v>
      </c>
      <c r="P34" s="79">
        <v>35816.67</v>
      </c>
      <c r="Q34" s="79">
        <v>394577.62</v>
      </c>
    </row>
    <row r="35" spans="1:17" ht="15" x14ac:dyDescent="0.2">
      <c r="A35" s="16" t="s">
        <v>19</v>
      </c>
      <c r="B35" s="17"/>
      <c r="C35" s="17"/>
      <c r="D35" s="64"/>
      <c r="E35" s="83">
        <v>26761.68</v>
      </c>
      <c r="F35" s="83">
        <v>25899.87</v>
      </c>
      <c r="G35" s="83">
        <v>29269.4</v>
      </c>
      <c r="H35" s="83">
        <v>18718.77</v>
      </c>
      <c r="I35" s="83">
        <v>33390.400000000001</v>
      </c>
      <c r="J35" s="83">
        <v>25649.39</v>
      </c>
      <c r="K35" s="83">
        <v>27987</v>
      </c>
      <c r="L35" s="83">
        <v>26328.83</v>
      </c>
      <c r="M35" s="83">
        <v>26843.61</v>
      </c>
      <c r="N35" s="83">
        <v>28183.78</v>
      </c>
      <c r="O35" s="83">
        <v>22410.94</v>
      </c>
      <c r="P35" s="83">
        <v>29096.09</v>
      </c>
      <c r="Q35" s="83">
        <v>320539.76</v>
      </c>
    </row>
    <row r="36" spans="1:17" ht="15.75" x14ac:dyDescent="0.25">
      <c r="A36" s="16"/>
      <c r="B36" s="17"/>
      <c r="C36" s="17"/>
      <c r="D36" s="19"/>
      <c r="E36" s="81">
        <v>155671.23000000001</v>
      </c>
      <c r="F36" s="81">
        <v>150658.16</v>
      </c>
      <c r="G36" s="81">
        <v>170258.51</v>
      </c>
      <c r="H36" s="81">
        <v>108886.06000000001</v>
      </c>
      <c r="I36" s="81">
        <v>194230.09</v>
      </c>
      <c r="J36" s="81">
        <v>149201.12</v>
      </c>
      <c r="K36" s="81">
        <v>162798.87</v>
      </c>
      <c r="L36" s="81">
        <v>153153.41</v>
      </c>
      <c r="M36" s="81">
        <v>156147.85</v>
      </c>
      <c r="N36" s="81">
        <v>163943.51</v>
      </c>
      <c r="O36" s="81">
        <v>130363.23</v>
      </c>
      <c r="P36" s="81">
        <v>169250.37999999998</v>
      </c>
      <c r="Q36" s="81">
        <v>1864562.42</v>
      </c>
    </row>
    <row r="37" spans="1:17" ht="15" x14ac:dyDescent="0.2">
      <c r="A37" s="16"/>
      <c r="B37" s="17"/>
      <c r="C37" s="17"/>
      <c r="D37" s="19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</row>
    <row r="38" spans="1:17" ht="16.5" thickBot="1" x14ac:dyDescent="0.3">
      <c r="A38" s="21" t="s">
        <v>20</v>
      </c>
      <c r="B38" s="20"/>
      <c r="C38" s="20"/>
      <c r="D38" s="19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</row>
    <row r="39" spans="1:17" ht="15" x14ac:dyDescent="0.2">
      <c r="A39" s="16" t="s">
        <v>21</v>
      </c>
      <c r="B39" s="17"/>
      <c r="C39" s="17"/>
      <c r="D39" s="64"/>
      <c r="E39" s="83">
        <v>99568.06</v>
      </c>
      <c r="F39" s="83">
        <v>96361.68</v>
      </c>
      <c r="G39" s="83">
        <v>108898.16</v>
      </c>
      <c r="H39" s="83">
        <v>69644.05</v>
      </c>
      <c r="I39" s="83">
        <v>124230.5</v>
      </c>
      <c r="J39" s="83">
        <v>95429.759999999995</v>
      </c>
      <c r="K39" s="83">
        <v>104126.94</v>
      </c>
      <c r="L39" s="83">
        <v>97957.66</v>
      </c>
      <c r="M39" s="83">
        <v>99872.92</v>
      </c>
      <c r="N39" s="83">
        <v>104859.05</v>
      </c>
      <c r="O39" s="83">
        <v>83380.95</v>
      </c>
      <c r="P39" s="83">
        <v>108253.36</v>
      </c>
      <c r="Q39" s="83">
        <v>1192583.0900000001</v>
      </c>
    </row>
    <row r="40" spans="1:17" ht="16.5" thickBot="1" x14ac:dyDescent="0.3">
      <c r="A40" s="22"/>
      <c r="B40" s="23"/>
      <c r="C40" s="23"/>
      <c r="D40" s="24"/>
      <c r="E40" s="85">
        <v>99568.06</v>
      </c>
      <c r="F40" s="85">
        <v>96361.68</v>
      </c>
      <c r="G40" s="85">
        <v>108898.16</v>
      </c>
      <c r="H40" s="85">
        <v>69644.05</v>
      </c>
      <c r="I40" s="85">
        <v>124230.5</v>
      </c>
      <c r="J40" s="85">
        <v>95429.759999999995</v>
      </c>
      <c r="K40" s="85">
        <v>104126.94</v>
      </c>
      <c r="L40" s="85">
        <v>97957.66</v>
      </c>
      <c r="M40" s="85">
        <v>99872.92</v>
      </c>
      <c r="N40" s="85">
        <v>104859.05</v>
      </c>
      <c r="O40" s="85">
        <v>83380.95</v>
      </c>
      <c r="P40" s="85">
        <v>108253.36</v>
      </c>
      <c r="Q40" s="85">
        <v>1192583.0900000001</v>
      </c>
    </row>
    <row r="41" spans="1:17" ht="16.5" thickTop="1" x14ac:dyDescent="0.25">
      <c r="A41" s="1"/>
      <c r="B41" s="1" t="s">
        <v>24</v>
      </c>
      <c r="C41" s="1"/>
      <c r="D41" s="1"/>
      <c r="E41" s="86">
        <v>668690.82000000007</v>
      </c>
      <c r="F41" s="86">
        <v>647157.03</v>
      </c>
      <c r="G41" s="86">
        <v>731351</v>
      </c>
      <c r="H41" s="86">
        <v>467723.64</v>
      </c>
      <c r="I41" s="86">
        <v>834321.69000000006</v>
      </c>
      <c r="J41" s="86">
        <v>640898.30000000005</v>
      </c>
      <c r="K41" s="86">
        <v>699307.8600000001</v>
      </c>
      <c r="L41" s="86">
        <v>657875.49000000011</v>
      </c>
      <c r="M41" s="86">
        <v>670738.20000000007</v>
      </c>
      <c r="N41" s="86">
        <v>704224.68</v>
      </c>
      <c r="O41" s="86">
        <v>559979.52999999991</v>
      </c>
      <c r="P41" s="86">
        <v>727020.53999999992</v>
      </c>
      <c r="Q41" s="86">
        <v>8009288.7800000012</v>
      </c>
    </row>
    <row r="42" spans="1:17" ht="15.75" x14ac:dyDescent="0.25">
      <c r="A42" s="2"/>
      <c r="B42" s="2"/>
      <c r="C42" s="2"/>
      <c r="D42" s="2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</row>
  </sheetData>
  <phoneticPr fontId="0" type="noConversion"/>
  <printOptions horizontalCentered="1"/>
  <pageMargins left="0.19685039370078741" right="0.19685039370078741" top="0.98425196850393704" bottom="1" header="0" footer="0"/>
  <pageSetup paperSize="9" scale="50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Q42"/>
  <sheetViews>
    <sheetView zoomScale="80" zoomScaleNormal="80" workbookViewId="0"/>
  </sheetViews>
  <sheetFormatPr baseColWidth="10" defaultColWidth="11.42578125" defaultRowHeight="12.75" x14ac:dyDescent="0.2"/>
  <cols>
    <col min="1" max="2" width="17.5703125" customWidth="1"/>
    <col min="5" max="17" width="17.5703125" customWidth="1"/>
  </cols>
  <sheetData>
    <row r="1" spans="1:17" ht="15.75" x14ac:dyDescent="0.25">
      <c r="A1" s="4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.75" x14ac:dyDescent="0.25">
      <c r="A2" s="27" t="s">
        <v>58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15.75" x14ac:dyDescent="0.25">
      <c r="A3" s="27" t="s">
        <v>55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5.75" x14ac:dyDescent="0.25">
      <c r="A4" s="4" t="s">
        <v>30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ht="15.75" x14ac:dyDescent="0.25">
      <c r="A5" s="5" t="s">
        <v>46</v>
      </c>
      <c r="B5" s="6"/>
      <c r="C5" s="6"/>
      <c r="D5" s="7"/>
      <c r="E5" s="31" t="s">
        <v>314</v>
      </c>
      <c r="F5" s="32" t="s">
        <v>315</v>
      </c>
      <c r="G5" s="32" t="s">
        <v>316</v>
      </c>
      <c r="H5" s="32" t="s">
        <v>317</v>
      </c>
      <c r="I5" s="32" t="s">
        <v>318</v>
      </c>
      <c r="J5" s="32" t="s">
        <v>319</v>
      </c>
      <c r="K5" s="32" t="s">
        <v>320</v>
      </c>
      <c r="L5" s="32" t="s">
        <v>321</v>
      </c>
      <c r="M5" s="32" t="s">
        <v>322</v>
      </c>
      <c r="N5" s="32" t="s">
        <v>323</v>
      </c>
      <c r="O5" s="32" t="s">
        <v>324</v>
      </c>
      <c r="P5" s="32" t="s">
        <v>325</v>
      </c>
      <c r="Q5" s="33" t="s">
        <v>48</v>
      </c>
    </row>
    <row r="6" spans="1:17" ht="15" x14ac:dyDescent="0.2">
      <c r="A6" s="8"/>
      <c r="B6" s="9"/>
      <c r="C6" s="9"/>
      <c r="D6" s="10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59">
        <v>1994</v>
      </c>
    </row>
    <row r="7" spans="1:17" ht="15" x14ac:dyDescent="0.2">
      <c r="A7" s="12"/>
      <c r="B7" s="13"/>
      <c r="C7" s="13"/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7" ht="15" x14ac:dyDescent="0.2">
      <c r="A8" s="16" t="s">
        <v>1</v>
      </c>
      <c r="B8" s="17"/>
      <c r="C8" s="17"/>
      <c r="D8" s="18"/>
      <c r="E8" s="79">
        <v>712105.2</v>
      </c>
      <c r="F8" s="79">
        <v>684287.53</v>
      </c>
      <c r="G8" s="79">
        <v>785458.87</v>
      </c>
      <c r="H8" s="79">
        <v>674596.55</v>
      </c>
      <c r="I8" s="79">
        <v>851573.32</v>
      </c>
      <c r="J8" s="79">
        <v>860280.06</v>
      </c>
      <c r="K8" s="79">
        <v>1005904.07</v>
      </c>
      <c r="L8" s="79">
        <v>1029883.18</v>
      </c>
      <c r="M8" s="79">
        <v>871237.98</v>
      </c>
      <c r="N8" s="79">
        <v>773565.02</v>
      </c>
      <c r="O8" s="79">
        <v>768972.84</v>
      </c>
      <c r="P8" s="79">
        <v>745388.23</v>
      </c>
      <c r="Q8" s="79">
        <v>9763252.8499999996</v>
      </c>
    </row>
    <row r="9" spans="1:17" ht="15" x14ac:dyDescent="0.2">
      <c r="A9" s="16" t="s">
        <v>2</v>
      </c>
      <c r="B9" s="17"/>
      <c r="C9" s="17"/>
      <c r="D9" s="18"/>
      <c r="E9" s="79">
        <v>68471.649999999994</v>
      </c>
      <c r="F9" s="79">
        <v>65796.88</v>
      </c>
      <c r="G9" s="79">
        <v>75524.89</v>
      </c>
      <c r="H9" s="79">
        <v>64865.05</v>
      </c>
      <c r="I9" s="79">
        <v>81882.05</v>
      </c>
      <c r="J9" s="79">
        <v>82719.240000000005</v>
      </c>
      <c r="K9" s="79">
        <v>96721.54</v>
      </c>
      <c r="L9" s="79">
        <v>99027.23</v>
      </c>
      <c r="M9" s="79">
        <v>83772.88</v>
      </c>
      <c r="N9" s="79">
        <v>74381.25</v>
      </c>
      <c r="O9" s="79">
        <v>73939.7</v>
      </c>
      <c r="P9" s="79">
        <v>71671.95</v>
      </c>
      <c r="Q9" s="79">
        <v>938774.30999999982</v>
      </c>
    </row>
    <row r="10" spans="1:17" ht="15" x14ac:dyDescent="0.2">
      <c r="A10" s="16" t="s">
        <v>3</v>
      </c>
      <c r="B10" s="17"/>
      <c r="C10" s="17"/>
      <c r="D10" s="18"/>
      <c r="E10" s="79">
        <v>41082.99</v>
      </c>
      <c r="F10" s="79">
        <v>39478.129999999997</v>
      </c>
      <c r="G10" s="79">
        <v>45314.93</v>
      </c>
      <c r="H10" s="79">
        <v>38919.03</v>
      </c>
      <c r="I10" s="79">
        <v>49129.23</v>
      </c>
      <c r="J10" s="79">
        <v>49631.54</v>
      </c>
      <c r="K10" s="79">
        <v>58032.93</v>
      </c>
      <c r="L10" s="79">
        <v>59416.34</v>
      </c>
      <c r="M10" s="79">
        <v>50263.74</v>
      </c>
      <c r="N10" s="79">
        <v>44628.75</v>
      </c>
      <c r="O10" s="79">
        <v>44363.82</v>
      </c>
      <c r="P10" s="79">
        <v>43003.17</v>
      </c>
      <c r="Q10" s="79">
        <v>563264.6</v>
      </c>
    </row>
    <row r="11" spans="1:17" ht="15.75" thickBot="1" x14ac:dyDescent="0.25">
      <c r="A11" s="16" t="s">
        <v>4</v>
      </c>
      <c r="B11" s="17"/>
      <c r="C11" s="17"/>
      <c r="D11" s="18"/>
      <c r="E11" s="80">
        <v>547773.23</v>
      </c>
      <c r="F11" s="80">
        <v>526375.01</v>
      </c>
      <c r="G11" s="80">
        <v>604199.13</v>
      </c>
      <c r="H11" s="80">
        <v>518920.42</v>
      </c>
      <c r="I11" s="80">
        <v>655056.4</v>
      </c>
      <c r="J11" s="80">
        <v>661753.89</v>
      </c>
      <c r="K11" s="80">
        <v>773772.36</v>
      </c>
      <c r="L11" s="80">
        <v>792217.84</v>
      </c>
      <c r="M11" s="80">
        <v>670183.06000000006</v>
      </c>
      <c r="N11" s="80">
        <v>595050.02</v>
      </c>
      <c r="O11" s="80">
        <v>591517.57999999996</v>
      </c>
      <c r="P11" s="80">
        <v>573375.56000000006</v>
      </c>
      <c r="Q11" s="80">
        <v>7510194.5</v>
      </c>
    </row>
    <row r="12" spans="1:17" ht="15.75" x14ac:dyDescent="0.25">
      <c r="A12" s="16"/>
      <c r="B12" s="17" t="s">
        <v>29</v>
      </c>
      <c r="C12" s="17"/>
      <c r="D12" s="19"/>
      <c r="E12" s="81">
        <v>1369433.0699999998</v>
      </c>
      <c r="F12" s="81">
        <v>1315937.55</v>
      </c>
      <c r="G12" s="81">
        <v>1510497.82</v>
      </c>
      <c r="H12" s="81">
        <v>1297301.05</v>
      </c>
      <c r="I12" s="81">
        <v>1637641</v>
      </c>
      <c r="J12" s="81">
        <v>1654384.73</v>
      </c>
      <c r="K12" s="81">
        <v>1934430.9</v>
      </c>
      <c r="L12" s="81">
        <v>1980544.5900000003</v>
      </c>
      <c r="M12" s="81">
        <v>1675457.6600000001</v>
      </c>
      <c r="N12" s="81">
        <v>1487625.04</v>
      </c>
      <c r="O12" s="81">
        <v>1478793.94</v>
      </c>
      <c r="P12" s="81">
        <v>1433438.9100000001</v>
      </c>
      <c r="Q12" s="81">
        <v>18775486.260000002</v>
      </c>
    </row>
    <row r="13" spans="1:17" ht="15" x14ac:dyDescent="0.2">
      <c r="A13" s="16"/>
      <c r="B13" s="17"/>
      <c r="C13" s="17"/>
      <c r="D13" s="1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</row>
    <row r="14" spans="1:17" ht="15" x14ac:dyDescent="0.2">
      <c r="A14" s="16" t="s">
        <v>5</v>
      </c>
      <c r="B14" s="17"/>
      <c r="C14" s="17"/>
      <c r="D14" s="1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</row>
    <row r="15" spans="1:17" ht="15" x14ac:dyDescent="0.2">
      <c r="A15" s="16"/>
      <c r="B15" s="17"/>
      <c r="C15" s="17"/>
      <c r="D15" s="1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</row>
    <row r="16" spans="1:17" ht="16.5" thickBot="1" x14ac:dyDescent="0.3">
      <c r="A16" s="21" t="s">
        <v>6</v>
      </c>
      <c r="B16" s="20"/>
      <c r="C16" s="20"/>
      <c r="D16" s="19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</row>
    <row r="17" spans="1:17" ht="15" x14ac:dyDescent="0.2">
      <c r="A17" s="16" t="s">
        <v>7</v>
      </c>
      <c r="B17" s="17"/>
      <c r="C17" s="17"/>
      <c r="D17" s="64"/>
      <c r="E17" s="79">
        <v>192059.7</v>
      </c>
      <c r="F17" s="79">
        <v>184557.08</v>
      </c>
      <c r="G17" s="79">
        <v>211843.69</v>
      </c>
      <c r="H17" s="79">
        <v>181943.36</v>
      </c>
      <c r="I17" s="79">
        <v>229675.22</v>
      </c>
      <c r="J17" s="79">
        <v>232023.48</v>
      </c>
      <c r="K17" s="79">
        <v>271299.28999999998</v>
      </c>
      <c r="L17" s="79">
        <v>277766.63</v>
      </c>
      <c r="M17" s="79">
        <v>234978.9</v>
      </c>
      <c r="N17" s="79">
        <v>208635.84</v>
      </c>
      <c r="O17" s="79">
        <v>207397.3</v>
      </c>
      <c r="P17" s="79">
        <v>201036.36</v>
      </c>
      <c r="Q17" s="79">
        <v>2633216.8499999996</v>
      </c>
    </row>
    <row r="18" spans="1:17" ht="15" x14ac:dyDescent="0.2">
      <c r="A18" s="16" t="s">
        <v>8</v>
      </c>
      <c r="B18" s="17"/>
      <c r="C18" s="17"/>
      <c r="D18" s="64"/>
      <c r="E18" s="79">
        <v>18306.580000000002</v>
      </c>
      <c r="F18" s="79">
        <v>17591.45</v>
      </c>
      <c r="G18" s="79">
        <v>20192.330000000002</v>
      </c>
      <c r="H18" s="79">
        <v>17342.32</v>
      </c>
      <c r="I18" s="79">
        <v>21891.98</v>
      </c>
      <c r="J18" s="79">
        <v>22115.82</v>
      </c>
      <c r="K18" s="79">
        <v>25859.47</v>
      </c>
      <c r="L18" s="79">
        <v>26475.919999999998</v>
      </c>
      <c r="M18" s="79">
        <v>22397.52</v>
      </c>
      <c r="N18" s="79">
        <v>19886.57</v>
      </c>
      <c r="O18" s="79">
        <v>19768.52</v>
      </c>
      <c r="P18" s="79">
        <v>19162.21</v>
      </c>
      <c r="Q18" s="79">
        <v>250990.68999999997</v>
      </c>
    </row>
    <row r="19" spans="1:17" ht="15" x14ac:dyDescent="0.2">
      <c r="A19" s="16" t="s">
        <v>9</v>
      </c>
      <c r="B19" s="17"/>
      <c r="C19" s="17"/>
      <c r="D19" s="64"/>
      <c r="E19" s="79">
        <v>15527.18</v>
      </c>
      <c r="F19" s="79">
        <v>14920.64</v>
      </c>
      <c r="G19" s="79">
        <v>17126.64</v>
      </c>
      <c r="H19" s="79">
        <v>14709.32</v>
      </c>
      <c r="I19" s="79">
        <v>18568.23</v>
      </c>
      <c r="J19" s="79">
        <v>18758.080000000002</v>
      </c>
      <c r="K19" s="79">
        <v>21933.35</v>
      </c>
      <c r="L19" s="79">
        <v>22456.21</v>
      </c>
      <c r="M19" s="79">
        <v>18997.009999999998</v>
      </c>
      <c r="N19" s="79">
        <v>16867.310000000001</v>
      </c>
      <c r="O19" s="79">
        <v>16767.16</v>
      </c>
      <c r="P19" s="79">
        <v>16252.9</v>
      </c>
      <c r="Q19" s="79">
        <v>212884.03</v>
      </c>
    </row>
    <row r="20" spans="1:17" ht="15" x14ac:dyDescent="0.2">
      <c r="A20" s="16" t="s">
        <v>10</v>
      </c>
      <c r="B20" s="17"/>
      <c r="C20" s="17"/>
      <c r="D20" s="64"/>
      <c r="E20" s="79">
        <v>16249.69</v>
      </c>
      <c r="F20" s="79">
        <v>15614.91</v>
      </c>
      <c r="G20" s="79">
        <v>17923.57</v>
      </c>
      <c r="H20" s="79">
        <v>15393.77</v>
      </c>
      <c r="I20" s="79">
        <v>19432.25</v>
      </c>
      <c r="J20" s="79">
        <v>19630.93</v>
      </c>
      <c r="K20" s="79">
        <v>22953.96</v>
      </c>
      <c r="L20" s="79">
        <v>23501.14</v>
      </c>
      <c r="M20" s="79">
        <v>19880.98</v>
      </c>
      <c r="N20" s="79">
        <v>17652.16</v>
      </c>
      <c r="O20" s="79">
        <v>17547.37</v>
      </c>
      <c r="P20" s="79">
        <v>17009.189999999999</v>
      </c>
      <c r="Q20" s="79">
        <v>222789.91999999998</v>
      </c>
    </row>
    <row r="21" spans="1:17" ht="15" x14ac:dyDescent="0.2">
      <c r="A21" s="16" t="s">
        <v>11</v>
      </c>
      <c r="B21" s="17"/>
      <c r="C21" s="17"/>
      <c r="D21" s="64"/>
      <c r="E21" s="79">
        <v>23362.53</v>
      </c>
      <c r="F21" s="79">
        <v>22449.89</v>
      </c>
      <c r="G21" s="79">
        <v>25769.09</v>
      </c>
      <c r="H21" s="79">
        <v>22131.96</v>
      </c>
      <c r="I21" s="79">
        <v>27938.16</v>
      </c>
      <c r="J21" s="79">
        <v>28223.8</v>
      </c>
      <c r="K21" s="79">
        <v>33001.39</v>
      </c>
      <c r="L21" s="79">
        <v>33788.089999999997</v>
      </c>
      <c r="M21" s="79">
        <v>28583.31</v>
      </c>
      <c r="N21" s="79">
        <v>25378.880000000001</v>
      </c>
      <c r="O21" s="79">
        <v>25228.22</v>
      </c>
      <c r="P21" s="79">
        <v>24454.47</v>
      </c>
      <c r="Q21" s="79">
        <v>320309.78999999992</v>
      </c>
    </row>
    <row r="22" spans="1:17" ht="15" x14ac:dyDescent="0.2">
      <c r="A22" s="16"/>
      <c r="B22" s="17"/>
      <c r="C22" s="17"/>
      <c r="D22" s="19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>
        <v>0</v>
      </c>
    </row>
    <row r="23" spans="1:17" ht="15.75" x14ac:dyDescent="0.25">
      <c r="A23" s="16"/>
      <c r="B23" s="17"/>
      <c r="C23" s="17"/>
      <c r="D23" s="19"/>
      <c r="E23" s="81">
        <v>265505.68000000005</v>
      </c>
      <c r="F23" s="81">
        <v>255133.96999999997</v>
      </c>
      <c r="G23" s="81">
        <v>292855.32000000007</v>
      </c>
      <c r="H23" s="81">
        <v>251520.72999999998</v>
      </c>
      <c r="I23" s="81">
        <v>317505.83999999997</v>
      </c>
      <c r="J23" s="81">
        <v>320752.11</v>
      </c>
      <c r="K23" s="81">
        <v>375047.46</v>
      </c>
      <c r="L23" s="81">
        <v>383987.99</v>
      </c>
      <c r="M23" s="81">
        <v>324837.71999999997</v>
      </c>
      <c r="N23" s="81">
        <v>288420.76</v>
      </c>
      <c r="O23" s="81">
        <v>286708.56999999995</v>
      </c>
      <c r="P23" s="81">
        <v>277915.13</v>
      </c>
      <c r="Q23" s="81">
        <v>3640191.2799999989</v>
      </c>
    </row>
    <row r="24" spans="1:17" ht="15" x14ac:dyDescent="0.2">
      <c r="A24" s="16"/>
      <c r="B24" s="17"/>
      <c r="C24" s="17"/>
      <c r="D24" s="1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</row>
    <row r="25" spans="1:17" ht="16.5" thickBot="1" x14ac:dyDescent="0.3">
      <c r="A25" s="21" t="s">
        <v>12</v>
      </c>
      <c r="B25" s="20"/>
      <c r="C25" s="20"/>
      <c r="D25" s="19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</row>
    <row r="26" spans="1:17" ht="15" x14ac:dyDescent="0.2">
      <c r="A26" s="16" t="s">
        <v>13</v>
      </c>
      <c r="B26" s="17"/>
      <c r="C26" s="17"/>
      <c r="D26" s="64"/>
      <c r="E26" s="79">
        <v>53882.26</v>
      </c>
      <c r="F26" s="79">
        <v>51777.4</v>
      </c>
      <c r="G26" s="79">
        <v>59432.639999999999</v>
      </c>
      <c r="H26" s="79">
        <v>51044.13</v>
      </c>
      <c r="I26" s="79">
        <v>64435.28</v>
      </c>
      <c r="J26" s="79">
        <v>65094.080000000002</v>
      </c>
      <c r="K26" s="79">
        <v>76112.89</v>
      </c>
      <c r="L26" s="79">
        <v>77927.3</v>
      </c>
      <c r="M26" s="79">
        <v>65923.23</v>
      </c>
      <c r="N26" s="79">
        <v>58532.69</v>
      </c>
      <c r="O26" s="79">
        <v>58185.22</v>
      </c>
      <c r="P26" s="79">
        <v>56400.66</v>
      </c>
      <c r="Q26" s="79">
        <v>738747.77999999991</v>
      </c>
    </row>
    <row r="27" spans="1:17" ht="15" x14ac:dyDescent="0.2">
      <c r="A27" s="16" t="s">
        <v>14</v>
      </c>
      <c r="B27" s="17"/>
      <c r="C27" s="17"/>
      <c r="D27" s="64"/>
      <c r="E27" s="79">
        <v>19300.240000000002</v>
      </c>
      <c r="F27" s="79">
        <v>18546.3</v>
      </c>
      <c r="G27" s="79">
        <v>21288.36</v>
      </c>
      <c r="H27" s="79">
        <v>18283.64</v>
      </c>
      <c r="I27" s="79">
        <v>23080.26</v>
      </c>
      <c r="J27" s="79">
        <v>23316.25</v>
      </c>
      <c r="K27" s="79">
        <v>27263.1</v>
      </c>
      <c r="L27" s="79">
        <v>27913</v>
      </c>
      <c r="M27" s="79">
        <v>23613.23</v>
      </c>
      <c r="N27" s="79">
        <v>20965.990000000002</v>
      </c>
      <c r="O27" s="79">
        <v>20841.53</v>
      </c>
      <c r="P27" s="79">
        <v>20202.310000000001</v>
      </c>
      <c r="Q27" s="79">
        <v>264614.21000000002</v>
      </c>
    </row>
    <row r="28" spans="1:17" ht="15" x14ac:dyDescent="0.2">
      <c r="A28" s="16"/>
      <c r="B28" s="17"/>
      <c r="C28" s="17"/>
      <c r="D28" s="19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>
        <v>0</v>
      </c>
    </row>
    <row r="29" spans="1:17" ht="15.75" x14ac:dyDescent="0.25">
      <c r="A29" s="16"/>
      <c r="B29" s="17"/>
      <c r="C29" s="17"/>
      <c r="D29" s="19"/>
      <c r="E29" s="81">
        <v>73182.5</v>
      </c>
      <c r="F29" s="81">
        <v>70323.7</v>
      </c>
      <c r="G29" s="81">
        <v>80721</v>
      </c>
      <c r="H29" s="81">
        <v>69327.76999999999</v>
      </c>
      <c r="I29" s="81">
        <v>87515.54</v>
      </c>
      <c r="J29" s="81">
        <v>88410.33</v>
      </c>
      <c r="K29" s="81">
        <v>103375.98999999999</v>
      </c>
      <c r="L29" s="81">
        <v>105840.3</v>
      </c>
      <c r="M29" s="81">
        <v>89536.459999999992</v>
      </c>
      <c r="N29" s="81">
        <v>79498.680000000008</v>
      </c>
      <c r="O29" s="81">
        <v>79026.75</v>
      </c>
      <c r="P29" s="81">
        <v>76602.97</v>
      </c>
      <c r="Q29" s="81">
        <v>1003361.99</v>
      </c>
    </row>
    <row r="30" spans="1:17" ht="15" x14ac:dyDescent="0.2">
      <c r="A30" s="16"/>
      <c r="B30" s="17"/>
      <c r="C30" s="17"/>
      <c r="D30" s="19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</row>
    <row r="31" spans="1:17" ht="16.5" thickBot="1" x14ac:dyDescent="0.3">
      <c r="A31" s="21" t="s">
        <v>15</v>
      </c>
      <c r="B31" s="20"/>
      <c r="C31" s="20"/>
      <c r="D31" s="19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</row>
    <row r="32" spans="1:17" ht="15" x14ac:dyDescent="0.2">
      <c r="A32" s="16" t="s">
        <v>16</v>
      </c>
      <c r="B32" s="17"/>
      <c r="C32" s="17"/>
      <c r="D32" s="64"/>
      <c r="E32" s="79">
        <v>55013.41</v>
      </c>
      <c r="F32" s="79">
        <v>52864.37</v>
      </c>
      <c r="G32" s="79">
        <v>60680.32</v>
      </c>
      <c r="H32" s="79">
        <v>52115.7</v>
      </c>
      <c r="I32" s="79">
        <v>65787.97</v>
      </c>
      <c r="J32" s="79">
        <v>66460.600000000006</v>
      </c>
      <c r="K32" s="79">
        <v>77710.73</v>
      </c>
      <c r="L32" s="79">
        <v>79563.23</v>
      </c>
      <c r="M32" s="79">
        <v>67307.149999999994</v>
      </c>
      <c r="N32" s="79">
        <v>59761.47</v>
      </c>
      <c r="O32" s="79">
        <v>59406.7</v>
      </c>
      <c r="P32" s="79">
        <v>57584.68</v>
      </c>
      <c r="Q32" s="79">
        <v>754256.33</v>
      </c>
    </row>
    <row r="33" spans="1:17" ht="15" x14ac:dyDescent="0.2">
      <c r="A33" s="16" t="s">
        <v>17</v>
      </c>
      <c r="B33" s="17"/>
      <c r="C33" s="17"/>
      <c r="D33" s="64"/>
      <c r="E33" s="79">
        <v>23599.71</v>
      </c>
      <c r="F33" s="79">
        <v>22677.81</v>
      </c>
      <c r="G33" s="79">
        <v>26030.71</v>
      </c>
      <c r="H33" s="79">
        <v>22356.65</v>
      </c>
      <c r="I33" s="79">
        <v>28221.79</v>
      </c>
      <c r="J33" s="79">
        <v>28510.34</v>
      </c>
      <c r="K33" s="79">
        <v>33336.43</v>
      </c>
      <c r="L33" s="79">
        <v>34131.120000000003</v>
      </c>
      <c r="M33" s="79">
        <v>28873.5</v>
      </c>
      <c r="N33" s="79">
        <v>25636.54</v>
      </c>
      <c r="O33" s="79">
        <v>25484.35</v>
      </c>
      <c r="P33" s="79">
        <v>24702.74</v>
      </c>
      <c r="Q33" s="79">
        <v>323561.68999999994</v>
      </c>
    </row>
    <row r="34" spans="1:17" ht="15" x14ac:dyDescent="0.2">
      <c r="A34" s="16" t="s">
        <v>18</v>
      </c>
      <c r="B34" s="17"/>
      <c r="C34" s="17"/>
      <c r="D34" s="64"/>
      <c r="E34" s="79">
        <v>26986.05</v>
      </c>
      <c r="F34" s="79">
        <v>25931.87</v>
      </c>
      <c r="G34" s="79">
        <v>29765.87</v>
      </c>
      <c r="H34" s="79">
        <v>25564.61</v>
      </c>
      <c r="I34" s="79">
        <v>32271.35</v>
      </c>
      <c r="J34" s="79">
        <v>32601.31</v>
      </c>
      <c r="K34" s="79">
        <v>38119.9</v>
      </c>
      <c r="L34" s="79">
        <v>39028.61</v>
      </c>
      <c r="M34" s="79">
        <v>33016.57</v>
      </c>
      <c r="N34" s="79">
        <v>29315.14</v>
      </c>
      <c r="O34" s="79">
        <v>29141.11</v>
      </c>
      <c r="P34" s="79">
        <v>28247.35</v>
      </c>
      <c r="Q34" s="79">
        <v>369989.74</v>
      </c>
    </row>
    <row r="35" spans="1:17" ht="15" x14ac:dyDescent="0.2">
      <c r="A35" s="16" t="s">
        <v>19</v>
      </c>
      <c r="B35" s="17"/>
      <c r="C35" s="17"/>
      <c r="D35" s="64"/>
      <c r="E35" s="83">
        <v>21922.43</v>
      </c>
      <c r="F35" s="83">
        <v>21066.05</v>
      </c>
      <c r="G35" s="83">
        <v>24180.66</v>
      </c>
      <c r="H35" s="83">
        <v>20767.71</v>
      </c>
      <c r="I35" s="83">
        <v>26216.01</v>
      </c>
      <c r="J35" s="83">
        <v>26484.05</v>
      </c>
      <c r="K35" s="83">
        <v>30967.15</v>
      </c>
      <c r="L35" s="83">
        <v>31705.35</v>
      </c>
      <c r="M35" s="83">
        <v>26821.4</v>
      </c>
      <c r="N35" s="83">
        <v>23814.5</v>
      </c>
      <c r="O35" s="83">
        <v>23673.13</v>
      </c>
      <c r="P35" s="83">
        <v>22947.06</v>
      </c>
      <c r="Q35" s="83">
        <v>300565.5</v>
      </c>
    </row>
    <row r="36" spans="1:17" ht="15.75" x14ac:dyDescent="0.25">
      <c r="A36" s="16"/>
      <c r="B36" s="17"/>
      <c r="C36" s="17"/>
      <c r="D36" s="19"/>
      <c r="E36" s="81">
        <v>127521.60000000001</v>
      </c>
      <c r="F36" s="81">
        <v>122540.1</v>
      </c>
      <c r="G36" s="81">
        <v>140657.56</v>
      </c>
      <c r="H36" s="81">
        <v>120804.67000000001</v>
      </c>
      <c r="I36" s="81">
        <v>152497.12000000002</v>
      </c>
      <c r="J36" s="81">
        <v>154056.29999999999</v>
      </c>
      <c r="K36" s="81">
        <v>180134.21</v>
      </c>
      <c r="L36" s="81">
        <v>184428.31000000003</v>
      </c>
      <c r="M36" s="81">
        <v>156018.62</v>
      </c>
      <c r="N36" s="81">
        <v>138527.65000000002</v>
      </c>
      <c r="O36" s="81">
        <v>137705.28999999998</v>
      </c>
      <c r="P36" s="81">
        <v>133481.82999999999</v>
      </c>
      <c r="Q36" s="81">
        <v>1748373.2600000002</v>
      </c>
    </row>
    <row r="37" spans="1:17" ht="15" x14ac:dyDescent="0.2">
      <c r="A37" s="16"/>
      <c r="B37" s="17"/>
      <c r="C37" s="17"/>
      <c r="D37" s="19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</row>
    <row r="38" spans="1:17" ht="16.5" thickBot="1" x14ac:dyDescent="0.3">
      <c r="A38" s="21" t="s">
        <v>20</v>
      </c>
      <c r="B38" s="20"/>
      <c r="C38" s="20"/>
      <c r="D38" s="19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</row>
    <row r="39" spans="1:17" ht="15" x14ac:dyDescent="0.2">
      <c r="A39" s="16" t="s">
        <v>21</v>
      </c>
      <c r="B39" s="17"/>
      <c r="C39" s="17"/>
      <c r="D39" s="64"/>
      <c r="E39" s="83">
        <v>81563.45</v>
      </c>
      <c r="F39" s="83">
        <v>78377.240000000005</v>
      </c>
      <c r="G39" s="83">
        <v>89965.25</v>
      </c>
      <c r="H39" s="83">
        <v>77267.25</v>
      </c>
      <c r="I39" s="83">
        <v>97537.9</v>
      </c>
      <c r="J39" s="83">
        <v>98535.15</v>
      </c>
      <c r="K39" s="83">
        <v>115214.7</v>
      </c>
      <c r="L39" s="83">
        <v>117961.24</v>
      </c>
      <c r="M39" s="83">
        <v>99790.26</v>
      </c>
      <c r="N39" s="83">
        <v>88602.95</v>
      </c>
      <c r="O39" s="83">
        <v>88076.97</v>
      </c>
      <c r="P39" s="83">
        <v>85375.63</v>
      </c>
      <c r="Q39" s="83">
        <v>1118267.9899999998</v>
      </c>
    </row>
    <row r="40" spans="1:17" ht="16.5" thickBot="1" x14ac:dyDescent="0.3">
      <c r="A40" s="22"/>
      <c r="B40" s="23"/>
      <c r="C40" s="23"/>
      <c r="D40" s="24"/>
      <c r="E40" s="85">
        <v>81563.45</v>
      </c>
      <c r="F40" s="85">
        <v>78377.240000000005</v>
      </c>
      <c r="G40" s="85">
        <v>89965.25</v>
      </c>
      <c r="H40" s="85">
        <v>77267.25</v>
      </c>
      <c r="I40" s="85">
        <v>97537.9</v>
      </c>
      <c r="J40" s="85">
        <v>98535.15</v>
      </c>
      <c r="K40" s="85">
        <v>115214.7</v>
      </c>
      <c r="L40" s="85">
        <v>117961.24</v>
      </c>
      <c r="M40" s="85">
        <v>99790.26</v>
      </c>
      <c r="N40" s="85">
        <v>88602.95</v>
      </c>
      <c r="O40" s="85">
        <v>88076.97</v>
      </c>
      <c r="P40" s="85">
        <v>85375.63</v>
      </c>
      <c r="Q40" s="85">
        <v>1118267.9899999998</v>
      </c>
    </row>
    <row r="41" spans="1:17" ht="16.5" thickTop="1" x14ac:dyDescent="0.25">
      <c r="A41" s="1"/>
      <c r="B41" s="1" t="s">
        <v>24</v>
      </c>
      <c r="C41" s="1"/>
      <c r="D41" s="1"/>
      <c r="E41" s="86">
        <v>547773.23</v>
      </c>
      <c r="F41" s="86">
        <v>526375.01</v>
      </c>
      <c r="G41" s="86">
        <v>604199.13000000012</v>
      </c>
      <c r="H41" s="86">
        <v>518920.42000000004</v>
      </c>
      <c r="I41" s="86">
        <v>655056.4</v>
      </c>
      <c r="J41" s="86">
        <v>661753.89</v>
      </c>
      <c r="K41" s="86">
        <v>773772.36</v>
      </c>
      <c r="L41" s="86">
        <v>792217.84</v>
      </c>
      <c r="M41" s="86">
        <v>670183.05999999994</v>
      </c>
      <c r="N41" s="86">
        <v>595050.04</v>
      </c>
      <c r="O41" s="86">
        <v>591517.57999999996</v>
      </c>
      <c r="P41" s="86">
        <v>573375.55999999994</v>
      </c>
      <c r="Q41" s="86">
        <v>7510194.5199999996</v>
      </c>
    </row>
    <row r="42" spans="1:17" ht="15.75" x14ac:dyDescent="0.25">
      <c r="A42" s="2"/>
      <c r="B42" s="2"/>
      <c r="C42" s="2"/>
      <c r="D42" s="2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</row>
  </sheetData>
  <phoneticPr fontId="0" type="noConversion"/>
  <printOptions horizontalCentered="1"/>
  <pageMargins left="0.19685039370078741" right="0.19685039370078741" top="0.98425196850393704" bottom="1" header="0" footer="0"/>
  <pageSetup paperSize="9" scale="50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Q42"/>
  <sheetViews>
    <sheetView zoomScale="80" zoomScaleNormal="80" workbookViewId="0"/>
  </sheetViews>
  <sheetFormatPr baseColWidth="10" defaultColWidth="11.42578125" defaultRowHeight="12.75" x14ac:dyDescent="0.2"/>
  <cols>
    <col min="1" max="2" width="17.5703125" customWidth="1"/>
    <col min="5" max="17" width="17.5703125" customWidth="1"/>
  </cols>
  <sheetData>
    <row r="1" spans="1:17" ht="15.75" x14ac:dyDescent="0.25">
      <c r="A1" s="4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.75" x14ac:dyDescent="0.25">
      <c r="A2" s="27" t="s">
        <v>58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15.75" x14ac:dyDescent="0.25">
      <c r="A3" s="27" t="s">
        <v>55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5.75" x14ac:dyDescent="0.25">
      <c r="A4" s="4" t="s">
        <v>30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ht="15.75" x14ac:dyDescent="0.25">
      <c r="A5" s="5" t="s">
        <v>46</v>
      </c>
      <c r="B5" s="6"/>
      <c r="C5" s="6"/>
      <c r="D5" s="7"/>
      <c r="E5" s="31" t="s">
        <v>326</v>
      </c>
      <c r="F5" s="32" t="s">
        <v>327</v>
      </c>
      <c r="G5" s="32" t="s">
        <v>328</v>
      </c>
      <c r="H5" s="32" t="s">
        <v>329</v>
      </c>
      <c r="I5" s="32" t="s">
        <v>330</v>
      </c>
      <c r="J5" s="32" t="s">
        <v>331</v>
      </c>
      <c r="K5" s="32" t="s">
        <v>332</v>
      </c>
      <c r="L5" s="32" t="s">
        <v>333</v>
      </c>
      <c r="M5" s="32" t="s">
        <v>334</v>
      </c>
      <c r="N5" s="32" t="s">
        <v>335</v>
      </c>
      <c r="O5" s="32" t="s">
        <v>336</v>
      </c>
      <c r="P5" s="32" t="s">
        <v>337</v>
      </c>
      <c r="Q5" s="33" t="s">
        <v>48</v>
      </c>
    </row>
    <row r="6" spans="1:17" ht="15" x14ac:dyDescent="0.2">
      <c r="A6" s="8"/>
      <c r="B6" s="9"/>
      <c r="C6" s="9"/>
      <c r="D6" s="10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59">
        <v>1993</v>
      </c>
    </row>
    <row r="7" spans="1:17" ht="15" x14ac:dyDescent="0.2">
      <c r="A7" s="12"/>
      <c r="B7" s="13"/>
      <c r="C7" s="13"/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7" ht="15" x14ac:dyDescent="0.2">
      <c r="A8" s="16" t="s">
        <v>1</v>
      </c>
      <c r="B8" s="17"/>
      <c r="C8" s="17"/>
      <c r="D8" s="18"/>
      <c r="E8" s="79"/>
      <c r="F8" s="79"/>
      <c r="G8" s="79"/>
      <c r="H8" s="79"/>
      <c r="I8" s="79"/>
      <c r="J8" s="79"/>
      <c r="K8" s="79"/>
      <c r="L8" s="79"/>
      <c r="M8" s="79"/>
      <c r="N8" s="79"/>
      <c r="O8" s="79">
        <v>337018.52</v>
      </c>
      <c r="P8" s="79">
        <v>724584</v>
      </c>
      <c r="Q8" s="79">
        <v>1061602.52</v>
      </c>
    </row>
    <row r="9" spans="1:17" ht="15" x14ac:dyDescent="0.2">
      <c r="A9" s="16" t="s">
        <v>2</v>
      </c>
      <c r="B9" s="17"/>
      <c r="C9" s="17"/>
      <c r="D9" s="18"/>
      <c r="E9" s="79"/>
      <c r="F9" s="79"/>
      <c r="G9" s="79"/>
      <c r="H9" s="79"/>
      <c r="I9" s="79"/>
      <c r="J9" s="79"/>
      <c r="K9" s="79"/>
      <c r="L9" s="79"/>
      <c r="M9" s="79"/>
      <c r="N9" s="79"/>
      <c r="O9" s="79">
        <v>32405.63</v>
      </c>
      <c r="P9" s="79">
        <v>69671.539999999994</v>
      </c>
      <c r="Q9" s="79">
        <v>102077.17</v>
      </c>
    </row>
    <row r="10" spans="1:17" ht="15" x14ac:dyDescent="0.2">
      <c r="A10" s="16" t="s">
        <v>3</v>
      </c>
      <c r="B10" s="17"/>
      <c r="C10" s="17"/>
      <c r="D10" s="18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>
        <v>19443.38</v>
      </c>
      <c r="P10" s="79">
        <v>41802.92</v>
      </c>
      <c r="Q10" s="79">
        <v>61246.3</v>
      </c>
    </row>
    <row r="11" spans="1:17" ht="15.75" thickBot="1" x14ac:dyDescent="0.25">
      <c r="A11" s="16" t="s">
        <v>4</v>
      </c>
      <c r="B11" s="17"/>
      <c r="C11" s="17"/>
      <c r="D11" s="18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>
        <v>259245.02</v>
      </c>
      <c r="P11" s="80">
        <v>557372.30000000005</v>
      </c>
      <c r="Q11" s="80">
        <v>816617.32000000007</v>
      </c>
    </row>
    <row r="12" spans="1:17" ht="15.75" x14ac:dyDescent="0.25">
      <c r="A12" s="16"/>
      <c r="B12" s="17"/>
      <c r="C12" s="17" t="s">
        <v>29</v>
      </c>
      <c r="D12" s="19"/>
      <c r="E12" s="81">
        <v>0</v>
      </c>
      <c r="F12" s="81">
        <v>0</v>
      </c>
      <c r="G12" s="81">
        <v>0</v>
      </c>
      <c r="H12" s="81">
        <v>0</v>
      </c>
      <c r="I12" s="81">
        <v>0</v>
      </c>
      <c r="J12" s="81">
        <v>0</v>
      </c>
      <c r="K12" s="81">
        <v>0</v>
      </c>
      <c r="L12" s="81">
        <v>0</v>
      </c>
      <c r="M12" s="81">
        <v>0</v>
      </c>
      <c r="N12" s="81">
        <v>0</v>
      </c>
      <c r="O12" s="81">
        <v>648112.55000000005</v>
      </c>
      <c r="P12" s="81">
        <v>1393430.7600000002</v>
      </c>
      <c r="Q12" s="81">
        <v>2041543.3100000003</v>
      </c>
    </row>
    <row r="13" spans="1:17" ht="15" x14ac:dyDescent="0.2">
      <c r="A13" s="16"/>
      <c r="B13" s="17"/>
      <c r="C13" s="17"/>
      <c r="D13" s="1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</row>
    <row r="14" spans="1:17" ht="15" x14ac:dyDescent="0.2">
      <c r="A14" s="16" t="s">
        <v>5</v>
      </c>
      <c r="B14" s="17"/>
      <c r="C14" s="17"/>
      <c r="D14" s="1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</row>
    <row r="15" spans="1:17" ht="15" x14ac:dyDescent="0.2">
      <c r="A15" s="16"/>
      <c r="B15" s="17"/>
      <c r="C15" s="17"/>
      <c r="D15" s="1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</row>
    <row r="16" spans="1:17" ht="16.5" thickBot="1" x14ac:dyDescent="0.3">
      <c r="A16" s="21" t="s">
        <v>6</v>
      </c>
      <c r="B16" s="20"/>
      <c r="C16" s="20"/>
      <c r="D16" s="19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</row>
    <row r="17" spans="1:17" ht="15" x14ac:dyDescent="0.2">
      <c r="A17" s="16" t="s">
        <v>7</v>
      </c>
      <c r="B17" s="17"/>
      <c r="C17" s="17"/>
      <c r="D17" s="64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>
        <v>90896.23</v>
      </c>
      <c r="P17" s="79">
        <v>195425.31</v>
      </c>
      <c r="Q17" s="79">
        <v>286321.53999999998</v>
      </c>
    </row>
    <row r="18" spans="1:17" ht="15" x14ac:dyDescent="0.2">
      <c r="A18" s="16" t="s">
        <v>8</v>
      </c>
      <c r="B18" s="17"/>
      <c r="C18" s="17"/>
      <c r="D18" s="64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>
        <v>8663.9699999999993</v>
      </c>
      <c r="P18" s="79">
        <v>18627.38</v>
      </c>
      <c r="Q18" s="79">
        <v>27291.35</v>
      </c>
    </row>
    <row r="19" spans="1:17" ht="15" x14ac:dyDescent="0.2">
      <c r="A19" s="16" t="s">
        <v>9</v>
      </c>
      <c r="B19" s="17"/>
      <c r="C19" s="17"/>
      <c r="D19" s="64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>
        <v>7348.56</v>
      </c>
      <c r="P19" s="79">
        <v>15799.28</v>
      </c>
      <c r="Q19" s="79">
        <v>23147.84</v>
      </c>
    </row>
    <row r="20" spans="1:17" ht="15" x14ac:dyDescent="0.2">
      <c r="A20" s="16" t="s">
        <v>10</v>
      </c>
      <c r="B20" s="17"/>
      <c r="C20" s="17"/>
      <c r="D20" s="64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>
        <v>7690.5</v>
      </c>
      <c r="P20" s="79">
        <v>16534.45</v>
      </c>
      <c r="Q20" s="79">
        <v>24224.95</v>
      </c>
    </row>
    <row r="21" spans="1:17" ht="15" x14ac:dyDescent="0.2">
      <c r="A21" s="16" t="s">
        <v>11</v>
      </c>
      <c r="B21" s="17"/>
      <c r="C21" s="17"/>
      <c r="D21" s="64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>
        <v>11056.8</v>
      </c>
      <c r="P21" s="79">
        <v>23771.93</v>
      </c>
      <c r="Q21" s="79">
        <v>34828.729999999996</v>
      </c>
    </row>
    <row r="22" spans="1:17" ht="15" x14ac:dyDescent="0.2">
      <c r="A22" s="16"/>
      <c r="B22" s="17"/>
      <c r="C22" s="17"/>
      <c r="D22" s="64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>
        <v>0</v>
      </c>
    </row>
    <row r="23" spans="1:17" ht="15.75" x14ac:dyDescent="0.25">
      <c r="A23" s="16"/>
      <c r="B23" s="17"/>
      <c r="C23" s="17"/>
      <c r="D23" s="19"/>
      <c r="E23" s="81">
        <v>0</v>
      </c>
      <c r="F23" s="81">
        <v>0</v>
      </c>
      <c r="G23" s="81">
        <v>0</v>
      </c>
      <c r="H23" s="81">
        <v>0</v>
      </c>
      <c r="I23" s="81">
        <v>0</v>
      </c>
      <c r="J23" s="81">
        <v>0</v>
      </c>
      <c r="K23" s="81">
        <v>0</v>
      </c>
      <c r="L23" s="81">
        <v>0</v>
      </c>
      <c r="M23" s="81">
        <v>0</v>
      </c>
      <c r="N23" s="81">
        <v>0</v>
      </c>
      <c r="O23" s="81">
        <v>125656.06</v>
      </c>
      <c r="P23" s="81">
        <v>270158.35000000003</v>
      </c>
      <c r="Q23" s="81">
        <v>395814.41000000003</v>
      </c>
    </row>
    <row r="24" spans="1:17" ht="15" x14ac:dyDescent="0.2">
      <c r="A24" s="16"/>
      <c r="B24" s="17"/>
      <c r="C24" s="17"/>
      <c r="D24" s="1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</row>
    <row r="25" spans="1:17" ht="16.5" thickBot="1" x14ac:dyDescent="0.3">
      <c r="A25" s="21" t="s">
        <v>12</v>
      </c>
      <c r="B25" s="20"/>
      <c r="C25" s="20"/>
      <c r="D25" s="19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</row>
    <row r="26" spans="1:17" ht="15" x14ac:dyDescent="0.2">
      <c r="A26" s="16" t="s">
        <v>13</v>
      </c>
      <c r="B26" s="17"/>
      <c r="C26" s="17"/>
      <c r="D26" s="64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>
        <v>25500.9</v>
      </c>
      <c r="P26" s="79">
        <v>54826.48</v>
      </c>
      <c r="Q26" s="79">
        <v>80327.38</v>
      </c>
    </row>
    <row r="27" spans="1:17" ht="15" x14ac:dyDescent="0.2">
      <c r="A27" s="16" t="s">
        <v>14</v>
      </c>
      <c r="B27" s="17"/>
      <c r="C27" s="17"/>
      <c r="D27" s="64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>
        <v>9134.24</v>
      </c>
      <c r="P27" s="79">
        <v>19638.46</v>
      </c>
      <c r="Q27" s="79">
        <v>28772.699999999997</v>
      </c>
    </row>
    <row r="28" spans="1:17" ht="15" x14ac:dyDescent="0.2">
      <c r="A28" s="16"/>
      <c r="B28" s="17"/>
      <c r="C28" s="17"/>
      <c r="D28" s="19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>
        <v>0</v>
      </c>
    </row>
    <row r="29" spans="1:17" ht="15.75" x14ac:dyDescent="0.25">
      <c r="A29" s="16"/>
      <c r="B29" s="17"/>
      <c r="C29" s="17"/>
      <c r="D29" s="19"/>
      <c r="E29" s="81">
        <v>0</v>
      </c>
      <c r="F29" s="81">
        <v>0</v>
      </c>
      <c r="G29" s="81">
        <v>0</v>
      </c>
      <c r="H29" s="81">
        <v>0</v>
      </c>
      <c r="I29" s="81">
        <v>0</v>
      </c>
      <c r="J29" s="81">
        <v>0</v>
      </c>
      <c r="K29" s="81">
        <v>0</v>
      </c>
      <c r="L29" s="81">
        <v>0</v>
      </c>
      <c r="M29" s="81">
        <v>0</v>
      </c>
      <c r="N29" s="81">
        <v>0</v>
      </c>
      <c r="O29" s="81">
        <v>34635.14</v>
      </c>
      <c r="P29" s="81">
        <v>74464.94</v>
      </c>
      <c r="Q29" s="81">
        <v>109100.08</v>
      </c>
    </row>
    <row r="30" spans="1:17" ht="15" x14ac:dyDescent="0.2">
      <c r="A30" s="16"/>
      <c r="B30" s="17"/>
      <c r="C30" s="17"/>
      <c r="D30" s="19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</row>
    <row r="31" spans="1:17" ht="16.5" thickBot="1" x14ac:dyDescent="0.3">
      <c r="A31" s="21" t="s">
        <v>15</v>
      </c>
      <c r="B31" s="20"/>
      <c r="C31" s="20"/>
      <c r="D31" s="19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</row>
    <row r="32" spans="1:17" ht="15" x14ac:dyDescent="0.2">
      <c r="A32" s="16" t="s">
        <v>16</v>
      </c>
      <c r="B32" s="17"/>
      <c r="C32" s="17"/>
      <c r="D32" s="64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>
        <v>26036.240000000002</v>
      </c>
      <c r="P32" s="79">
        <v>55977.45</v>
      </c>
      <c r="Q32" s="79">
        <v>82013.69</v>
      </c>
    </row>
    <row r="33" spans="1:17" ht="15" x14ac:dyDescent="0.2">
      <c r="A33" s="16" t="s">
        <v>17</v>
      </c>
      <c r="B33" s="17"/>
      <c r="C33" s="17"/>
      <c r="D33" s="64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>
        <v>11169.05</v>
      </c>
      <c r="P33" s="79">
        <v>24013.27</v>
      </c>
      <c r="Q33" s="79">
        <v>35182.32</v>
      </c>
    </row>
    <row r="34" spans="1:17" ht="15" x14ac:dyDescent="0.2">
      <c r="A34" s="16" t="s">
        <v>18</v>
      </c>
      <c r="B34" s="17"/>
      <c r="C34" s="17"/>
      <c r="D34" s="64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>
        <v>12771.71</v>
      </c>
      <c r="P34" s="79">
        <v>27458.95</v>
      </c>
      <c r="Q34" s="79">
        <v>40230.660000000003</v>
      </c>
    </row>
    <row r="35" spans="1:17" ht="15" x14ac:dyDescent="0.2">
      <c r="A35" s="16" t="s">
        <v>19</v>
      </c>
      <c r="B35" s="17"/>
      <c r="C35" s="17"/>
      <c r="D35" s="64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>
        <v>10375.24</v>
      </c>
      <c r="P35" s="83">
        <v>22306.6</v>
      </c>
      <c r="Q35" s="83">
        <v>32681.839999999997</v>
      </c>
    </row>
    <row r="36" spans="1:17" ht="15.75" x14ac:dyDescent="0.25">
      <c r="A36" s="16"/>
      <c r="B36" s="17"/>
      <c r="C36" s="17"/>
      <c r="D36" s="19"/>
      <c r="E36" s="81">
        <v>0</v>
      </c>
      <c r="F36" s="81">
        <v>0</v>
      </c>
      <c r="G36" s="81">
        <v>0</v>
      </c>
      <c r="H36" s="81">
        <v>0</v>
      </c>
      <c r="I36" s="81">
        <v>0</v>
      </c>
      <c r="J36" s="81">
        <v>0</v>
      </c>
      <c r="K36" s="81">
        <v>0</v>
      </c>
      <c r="L36" s="81">
        <v>0</v>
      </c>
      <c r="M36" s="81">
        <v>0</v>
      </c>
      <c r="N36" s="81">
        <v>0</v>
      </c>
      <c r="O36" s="81">
        <v>60352.24</v>
      </c>
      <c r="P36" s="81">
        <v>129756.26999999999</v>
      </c>
      <c r="Q36" s="81">
        <v>190108.50999999998</v>
      </c>
    </row>
    <row r="37" spans="1:17" ht="15" x14ac:dyDescent="0.2">
      <c r="A37" s="16"/>
      <c r="B37" s="17"/>
      <c r="C37" s="17"/>
      <c r="D37" s="19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</row>
    <row r="38" spans="1:17" ht="16.5" thickBot="1" x14ac:dyDescent="0.3">
      <c r="A38" s="21" t="s">
        <v>20</v>
      </c>
      <c r="B38" s="20"/>
      <c r="C38" s="20"/>
      <c r="D38" s="19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</row>
    <row r="39" spans="1:17" ht="15" x14ac:dyDescent="0.2">
      <c r="A39" s="16" t="s">
        <v>21</v>
      </c>
      <c r="B39" s="17"/>
      <c r="C39" s="17"/>
      <c r="D39" s="64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>
        <v>38601.58</v>
      </c>
      <c r="P39" s="83">
        <v>82992.740000000005</v>
      </c>
      <c r="Q39" s="83">
        <v>121594.32</v>
      </c>
    </row>
    <row r="40" spans="1:17" ht="16.5" thickBot="1" x14ac:dyDescent="0.3">
      <c r="A40" s="22"/>
      <c r="B40" s="23"/>
      <c r="C40" s="23"/>
      <c r="D40" s="24"/>
      <c r="E40" s="85">
        <v>0</v>
      </c>
      <c r="F40" s="85">
        <v>0</v>
      </c>
      <c r="G40" s="85">
        <v>0</v>
      </c>
      <c r="H40" s="85">
        <v>0</v>
      </c>
      <c r="I40" s="85">
        <v>0</v>
      </c>
      <c r="J40" s="85">
        <v>0</v>
      </c>
      <c r="K40" s="85">
        <v>0</v>
      </c>
      <c r="L40" s="85">
        <v>0</v>
      </c>
      <c r="M40" s="85">
        <v>0</v>
      </c>
      <c r="N40" s="85">
        <v>0</v>
      </c>
      <c r="O40" s="85">
        <v>38601.58</v>
      </c>
      <c r="P40" s="85">
        <v>82992.740000000005</v>
      </c>
      <c r="Q40" s="85">
        <v>121594.32</v>
      </c>
    </row>
    <row r="41" spans="1:17" ht="16.5" thickTop="1" x14ac:dyDescent="0.25">
      <c r="A41" s="1"/>
      <c r="B41" s="1" t="s">
        <v>24</v>
      </c>
      <c r="C41" s="1"/>
      <c r="D41" s="1"/>
      <c r="E41" s="86">
        <v>0</v>
      </c>
      <c r="F41" s="86">
        <v>0</v>
      </c>
      <c r="G41" s="86">
        <v>0</v>
      </c>
      <c r="H41" s="86">
        <v>0</v>
      </c>
      <c r="I41" s="86">
        <v>0</v>
      </c>
      <c r="J41" s="86">
        <v>0</v>
      </c>
      <c r="K41" s="86">
        <v>0</v>
      </c>
      <c r="L41" s="86">
        <v>0</v>
      </c>
      <c r="M41" s="86">
        <v>0</v>
      </c>
      <c r="N41" s="86">
        <v>0</v>
      </c>
      <c r="O41" s="86">
        <v>259245.02000000002</v>
      </c>
      <c r="P41" s="86">
        <v>557372.30000000005</v>
      </c>
      <c r="Q41" s="86">
        <v>816617.32000000007</v>
      </c>
    </row>
    <row r="42" spans="1:17" ht="15.75" x14ac:dyDescent="0.25">
      <c r="A42" s="2"/>
      <c r="B42" s="2"/>
      <c r="C42" s="2"/>
      <c r="D42" s="2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</row>
  </sheetData>
  <phoneticPr fontId="0" type="noConversion"/>
  <printOptions horizontalCentered="1"/>
  <pageMargins left="0.19685039370078741" right="0.19685039370078741" top="0.98425196850393704" bottom="1" header="0" footer="0"/>
  <pageSetup paperSize="9" scale="50" orientation="landscape" horizontalDpi="4294967293" vertic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34</vt:i4>
      </vt:variant>
      <vt:variant>
        <vt:lpstr>Rangos con nombre</vt:lpstr>
      </vt:variant>
      <vt:variant>
        <vt:i4>8</vt:i4>
      </vt:variant>
    </vt:vector>
  </HeadingPairs>
  <TitlesOfParts>
    <vt:vector size="42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99</vt:lpstr>
      <vt:lpstr>98</vt:lpstr>
      <vt:lpstr>97</vt:lpstr>
      <vt:lpstr>96</vt:lpstr>
      <vt:lpstr>95</vt:lpstr>
      <vt:lpstr>94</vt:lpstr>
      <vt:lpstr>93</vt:lpstr>
      <vt:lpstr>'2000'!Área_de_impresión</vt:lpstr>
      <vt:lpstr>'2001'!Área_de_impresión</vt:lpstr>
      <vt:lpstr>'2002'!Área_de_impresión</vt:lpstr>
      <vt:lpstr>'2003'!Área_de_impresión</vt:lpstr>
      <vt:lpstr>'2000'!Títulos_a_imprimir</vt:lpstr>
      <vt:lpstr>'2001'!Títulos_a_imprimir</vt:lpstr>
      <vt:lpstr>'2002'!Títulos_a_imprimir</vt:lpstr>
      <vt:lpstr>'2003'!Títulos_a_imprimir</vt:lpstr>
    </vt:vector>
  </TitlesOfParts>
  <Company>PERUPETRO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Vasquez</dc:creator>
  <cp:lastModifiedBy>Jessica Gallo Cabrera</cp:lastModifiedBy>
  <cp:lastPrinted>2012-07-24T19:24:07Z</cp:lastPrinted>
  <dcterms:created xsi:type="dcterms:W3CDTF">2001-10-11T16:11:42Z</dcterms:created>
  <dcterms:modified xsi:type="dcterms:W3CDTF">2026-08-20T22:18:29Z</dcterms:modified>
</cp:coreProperties>
</file>