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192.168.3.60\admi\GFTE\ESTADISTICAS\Canon\Portal\2025\"/>
    </mc:Choice>
  </mc:AlternateContent>
  <xr:revisionPtr revIDLastSave="0" documentId="13_ncr:1_{06A00C1D-E572-42FA-AF58-90B7A3989C91}" xr6:coauthVersionLast="47" xr6:coauthVersionMax="47" xr10:uidLastSave="{00000000-0000-0000-0000-000000000000}"/>
  <bookViews>
    <workbookView xWindow="-110" yWindow="-110" windowWidth="19420" windowHeight="10300" tabRatio="897" firstSheet="1" activeTab="12" xr2:uid="{00000000-000D-0000-FFFF-FFFF00000000}"/>
  </bookViews>
  <sheets>
    <sheet name="Abr (2)" sheetId="24" state="hidden" r:id="rId1"/>
    <sheet name="Ene" sheetId="22" r:id="rId2"/>
    <sheet name="Ene-2" sheetId="17" state="hidden" r:id="rId3"/>
    <sheet name="Feb" sheetId="2" r:id="rId4"/>
    <sheet name="Mar" sheetId="3" r:id="rId5"/>
    <sheet name="Abr" sheetId="19" r:id="rId6"/>
    <sheet name="May" sheetId="5" r:id="rId7"/>
    <sheet name="Jun" sheetId="6" r:id="rId8"/>
    <sheet name="Jul" sheetId="7" r:id="rId9"/>
    <sheet name="Ago" sheetId="8" r:id="rId10"/>
    <sheet name="Set" sheetId="18" r:id="rId11"/>
    <sheet name="Oct" sheetId="10" r:id="rId12"/>
    <sheet name="Nov" sheetId="20" r:id="rId13"/>
    <sheet name="Dic" sheetId="12" r:id="rId14"/>
    <sheet name="TOTAL" sheetId="25" r:id="rId15"/>
    <sheet name="Nomenclatura" sheetId="14" state="hidden" r:id="rId16"/>
    <sheet name="Formulas" sheetId="15" state="hidden" r:id="rId17"/>
  </sheets>
  <definedNames>
    <definedName name="_Order1" hidden="1">255</definedName>
    <definedName name="_Order2" hidden="1">255</definedName>
    <definedName name="_xlnm.Print_Area" localSheetId="5">Abr!$A$2:$T$69</definedName>
    <definedName name="_xlnm.Print_Area" localSheetId="0">'Abr (2)'!$A$2:$T$81</definedName>
    <definedName name="_xlnm.Print_Area" localSheetId="9">Ago!$A$2:$T$71</definedName>
    <definedName name="_xlnm.Print_Area" localSheetId="13">Dic!$A$2:$T$72</definedName>
    <definedName name="_xlnm.Print_Area" localSheetId="1">Ene!$A$2:$T$69</definedName>
    <definedName name="_xlnm.Print_Area" localSheetId="2">'Ene-2'!$A$2:$T$81</definedName>
    <definedName name="_xlnm.Print_Area" localSheetId="3">Feb!$A$2:$T$71</definedName>
    <definedName name="_xlnm.Print_Area" localSheetId="8">Jul!$A$2:$T$70</definedName>
    <definedName name="_xlnm.Print_Area" localSheetId="7">Jun!$A$2:$T$79</definedName>
    <definedName name="_xlnm.Print_Area" localSheetId="4">Mar!$A$2:$T$70</definedName>
    <definedName name="_xlnm.Print_Area" localSheetId="6">May!$A$2:$T$71</definedName>
    <definedName name="_xlnm.Print_Area" localSheetId="15">Nomenclatura!$A$5:$C$46</definedName>
    <definedName name="_xlnm.Print_Area" localSheetId="12">Nov!$A$2:$T$71</definedName>
    <definedName name="_xlnm.Print_Area" localSheetId="11">Oct!$A$2:$T$72</definedName>
    <definedName name="_xlnm.Print_Area" localSheetId="10">Set!$A$2:$T$71</definedName>
    <definedName name="tc" localSheetId="10">Set!$N$1</definedName>
    <definedName name="tc">Ago!$N$1</definedName>
    <definedName name="_xlnm.Print_Titles" localSheetId="15">Nomenclatura!$1:$4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9" i="7" l="1"/>
  <c r="H68" i="7"/>
  <c r="M67" i="7"/>
  <c r="N66" i="7"/>
  <c r="M66" i="7"/>
  <c r="N65" i="7"/>
  <c r="M65" i="7"/>
  <c r="H65" i="7"/>
  <c r="O64" i="7"/>
  <c r="N64" i="7"/>
  <c r="H64" i="7"/>
  <c r="P63" i="7"/>
  <c r="O63" i="7"/>
  <c r="U47" i="6"/>
  <c r="H69" i="6"/>
  <c r="H68" i="6"/>
  <c r="H65" i="6"/>
  <c r="H64" i="6"/>
  <c r="Q29" i="25" l="1"/>
  <c r="P29" i="25"/>
  <c r="O27" i="25"/>
  <c r="Q26" i="25"/>
  <c r="Q12" i="25"/>
  <c r="Q43" i="25"/>
  <c r="Q21" i="25"/>
  <c r="Q16" i="25"/>
  <c r="Q17" i="25"/>
  <c r="Q44" i="25"/>
  <c r="Q32" i="25"/>
  <c r="Q46" i="25"/>
  <c r="Q40" i="25"/>
  <c r="S13" i="25"/>
  <c r="P19" i="25"/>
  <c r="Q19" i="25"/>
  <c r="Q56" i="25"/>
  <c r="P56" i="25"/>
  <c r="O56" i="25"/>
  <c r="Q55" i="25"/>
  <c r="P55" i="25"/>
  <c r="O55" i="25"/>
  <c r="Q54" i="25"/>
  <c r="P54" i="25"/>
  <c r="O54" i="25"/>
  <c r="Q53" i="25"/>
  <c r="P53" i="25"/>
  <c r="O53" i="25"/>
  <c r="Q51" i="25"/>
  <c r="P51" i="25"/>
  <c r="O51" i="25"/>
  <c r="N57" i="25"/>
  <c r="N56" i="25"/>
  <c r="N55" i="25"/>
  <c r="N54" i="25"/>
  <c r="N53" i="25"/>
  <c r="N52" i="25"/>
  <c r="N51" i="25"/>
  <c r="N47" i="25"/>
  <c r="P46" i="25"/>
  <c r="O46" i="25"/>
  <c r="N46" i="25"/>
  <c r="S45" i="25"/>
  <c r="P45" i="25"/>
  <c r="O45" i="25"/>
  <c r="N45" i="25"/>
  <c r="S44" i="25"/>
  <c r="P44" i="25"/>
  <c r="O44" i="25"/>
  <c r="N44" i="25"/>
  <c r="S43" i="25"/>
  <c r="O43" i="25"/>
  <c r="N43" i="25"/>
  <c r="N42" i="25"/>
  <c r="Q38" i="25"/>
  <c r="P38" i="25"/>
  <c r="O38" i="25"/>
  <c r="N38" i="25"/>
  <c r="Q37" i="25"/>
  <c r="P37" i="25"/>
  <c r="O37" i="25"/>
  <c r="N37" i="25"/>
  <c r="N33" i="25"/>
  <c r="S32" i="25"/>
  <c r="P32" i="25"/>
  <c r="O32" i="25"/>
  <c r="N32" i="25"/>
  <c r="N31" i="25"/>
  <c r="S30" i="25"/>
  <c r="Q30" i="25"/>
  <c r="P30" i="25"/>
  <c r="O30" i="25"/>
  <c r="N30" i="25"/>
  <c r="S29" i="25"/>
  <c r="O29" i="25"/>
  <c r="N29" i="25"/>
  <c r="S28" i="25"/>
  <c r="Q28" i="25"/>
  <c r="P28" i="25"/>
  <c r="O28" i="25"/>
  <c r="N28" i="25"/>
  <c r="N27" i="25"/>
  <c r="S26" i="25"/>
  <c r="O26" i="25"/>
  <c r="N26" i="25"/>
  <c r="S25" i="25"/>
  <c r="Q25" i="25"/>
  <c r="P25" i="25"/>
  <c r="O25" i="25"/>
  <c r="N25" i="25"/>
  <c r="O24" i="25"/>
  <c r="N24" i="25"/>
  <c r="S23" i="25"/>
  <c r="Q23" i="25"/>
  <c r="P23" i="25"/>
  <c r="O23" i="25"/>
  <c r="N23" i="25"/>
  <c r="S22" i="25"/>
  <c r="Q22" i="25"/>
  <c r="P22" i="25"/>
  <c r="O22" i="25"/>
  <c r="N22" i="25"/>
  <c r="S21" i="25"/>
  <c r="O21" i="25"/>
  <c r="N21" i="25"/>
  <c r="S20" i="25"/>
  <c r="Q20" i="25"/>
  <c r="P20" i="25"/>
  <c r="O20" i="25"/>
  <c r="N20" i="25"/>
  <c r="O19" i="25"/>
  <c r="N19" i="25"/>
  <c r="S18" i="25"/>
  <c r="Q18" i="25"/>
  <c r="P18" i="25"/>
  <c r="O18" i="25"/>
  <c r="N18" i="25"/>
  <c r="S17" i="25"/>
  <c r="P17" i="25"/>
  <c r="O17" i="25"/>
  <c r="N17" i="25"/>
  <c r="S16" i="25"/>
  <c r="O16" i="25"/>
  <c r="N16" i="25"/>
  <c r="S15" i="25"/>
  <c r="Q15" i="25"/>
  <c r="P15" i="25"/>
  <c r="O15" i="25"/>
  <c r="N15" i="25"/>
  <c r="Q14" i="25"/>
  <c r="O14" i="25"/>
  <c r="N14" i="25"/>
  <c r="Q13" i="25"/>
  <c r="P13" i="25"/>
  <c r="O13" i="25"/>
  <c r="N13" i="25"/>
  <c r="S12" i="25"/>
  <c r="O12" i="25"/>
  <c r="N12" i="25"/>
  <c r="N11" i="25"/>
  <c r="N10" i="25"/>
  <c r="P26" i="25" l="1"/>
  <c r="S24" i="25"/>
  <c r="Q24" i="25"/>
  <c r="P43" i="25"/>
  <c r="P16" i="25"/>
  <c r="S19" i="25"/>
  <c r="P47" i="25"/>
  <c r="Q47" i="25"/>
  <c r="O11" i="25"/>
  <c r="S46" i="25"/>
  <c r="S14" i="25"/>
  <c r="S27" i="25"/>
  <c r="Q45" i="25"/>
  <c r="P12" i="25"/>
  <c r="Q27" i="25"/>
  <c r="P14" i="25"/>
  <c r="P21" i="25"/>
  <c r="N58" i="25"/>
  <c r="N48" i="25"/>
  <c r="N39" i="25"/>
  <c r="Q39" i="25"/>
  <c r="O39" i="25"/>
  <c r="N34" i="25"/>
  <c r="P39" i="25"/>
  <c r="P24" i="25" l="1"/>
  <c r="S47" i="25"/>
  <c r="O47" i="25"/>
  <c r="P11" i="25"/>
  <c r="O10" i="25"/>
  <c r="S31" i="25"/>
  <c r="Q31" i="25"/>
  <c r="P31" i="25"/>
  <c r="O31" i="25"/>
  <c r="O42" i="25"/>
  <c r="P40" i="25"/>
  <c r="P10" i="25"/>
  <c r="S10" i="25"/>
  <c r="Q11" i="25" l="1"/>
  <c r="S11" i="25"/>
  <c r="O48" i="25"/>
  <c r="P33" i="25"/>
  <c r="Q33" i="25"/>
  <c r="P42" i="25"/>
  <c r="P48" i="25" s="1"/>
  <c r="Q49" i="25"/>
  <c r="Q42" i="25"/>
  <c r="Q48" i="25" s="1"/>
  <c r="S49" i="25"/>
  <c r="S42" i="25"/>
  <c r="S48" i="25" s="1"/>
  <c r="P52" i="25"/>
  <c r="Q10" i="25"/>
  <c r="P27" i="25"/>
  <c r="V76" i="24"/>
  <c r="V74" i="24"/>
  <c r="V73" i="24"/>
  <c r="O73" i="24"/>
  <c r="O77" i="24"/>
  <c r="Q35" i="25" l="1"/>
  <c r="P35" i="25"/>
  <c r="P34" i="25"/>
  <c r="O33" i="25"/>
  <c r="O34" i="25" s="1"/>
  <c r="Q34" i="25"/>
  <c r="O52" i="25"/>
  <c r="Q52" i="25"/>
  <c r="P49" i="25"/>
  <c r="P57" i="25"/>
  <c r="P58" i="25" s="1"/>
  <c r="S33" i="25"/>
  <c r="S34" i="25" s="1"/>
  <c r="O57" i="25"/>
  <c r="V77" i="24"/>
  <c r="N427" i="24"/>
  <c r="J427" i="24"/>
  <c r="I427" i="24"/>
  <c r="H427" i="24"/>
  <c r="G427" i="24"/>
  <c r="O426" i="24"/>
  <c r="Q426" i="24" s="1"/>
  <c r="F426" i="24"/>
  <c r="E426" i="24"/>
  <c r="B426" i="24"/>
  <c r="O425" i="24"/>
  <c r="Q425" i="24" s="1"/>
  <c r="N420" i="24"/>
  <c r="J420" i="24"/>
  <c r="I420" i="24"/>
  <c r="H420" i="24"/>
  <c r="G420" i="24"/>
  <c r="O419" i="24"/>
  <c r="O445" i="24" s="1"/>
  <c r="F419" i="24"/>
  <c r="E419" i="24"/>
  <c r="B419" i="24"/>
  <c r="O418" i="24"/>
  <c r="S418" i="24" s="1"/>
  <c r="N414" i="24"/>
  <c r="J414" i="24"/>
  <c r="I414" i="24"/>
  <c r="H414" i="24"/>
  <c r="G414" i="24"/>
  <c r="O413" i="24"/>
  <c r="O412" i="24"/>
  <c r="P412" i="24" s="1"/>
  <c r="O58" i="25" l="1"/>
  <c r="Q57" i="25"/>
  <c r="Q58" i="25" s="1"/>
  <c r="P60" i="25" s="1"/>
  <c r="S35" i="25"/>
  <c r="O414" i="24"/>
  <c r="O446" i="24" s="1"/>
  <c r="O447" i="24" s="1"/>
  <c r="O55" i="24" s="1"/>
  <c r="P425" i="24"/>
  <c r="P418" i="24"/>
  <c r="O420" i="24"/>
  <c r="Q412" i="24"/>
  <c r="Q413" i="24"/>
  <c r="Q419" i="24"/>
  <c r="Q445" i="24" s="1"/>
  <c r="Q427" i="24"/>
  <c r="Q442" i="24" s="1"/>
  <c r="S412" i="24"/>
  <c r="S413" i="24"/>
  <c r="Q418" i="24"/>
  <c r="S419" i="24"/>
  <c r="O427" i="24"/>
  <c r="O442" i="24" s="1"/>
  <c r="P426" i="24"/>
  <c r="P427" i="24" s="1"/>
  <c r="P442" i="24" s="1"/>
  <c r="P413" i="24"/>
  <c r="P414" i="24" s="1"/>
  <c r="P446" i="24" s="1"/>
  <c r="P419" i="24"/>
  <c r="P445" i="24" s="1"/>
  <c r="P447" i="24" l="1"/>
  <c r="P55" i="24" s="1"/>
  <c r="O443" i="24"/>
  <c r="O41" i="24"/>
  <c r="Q443" i="24"/>
  <c r="Q41" i="24"/>
  <c r="S420" i="24"/>
  <c r="S445" i="24"/>
  <c r="P443" i="24"/>
  <c r="P41" i="24"/>
  <c r="Q420" i="24"/>
  <c r="P420" i="24"/>
  <c r="S414" i="24"/>
  <c r="S446" i="24" s="1"/>
  <c r="Q414" i="24"/>
  <c r="Q446" i="24" s="1"/>
  <c r="Q447" i="24" s="1"/>
  <c r="Q55" i="24" s="1"/>
  <c r="Q59" i="25" l="1"/>
  <c r="Q60" i="25" s="1"/>
  <c r="S447" i="24"/>
  <c r="S55" i="24" s="1"/>
  <c r="Q460" i="24"/>
  <c r="P460" i="24"/>
  <c r="O460" i="24"/>
  <c r="N407" i="24"/>
  <c r="M407" i="24"/>
  <c r="L407" i="24"/>
  <c r="K407" i="24"/>
  <c r="J407" i="24"/>
  <c r="I407" i="24"/>
  <c r="H406" i="24"/>
  <c r="H407" i="24" s="1"/>
  <c r="G406" i="24"/>
  <c r="F406" i="24"/>
  <c r="B406" i="24"/>
  <c r="O405" i="24"/>
  <c r="P405" i="24" s="1"/>
  <c r="Q405" i="24" s="1"/>
  <c r="N401" i="24"/>
  <c r="M401" i="24"/>
  <c r="L401" i="24"/>
  <c r="K401" i="24"/>
  <c r="J401" i="24"/>
  <c r="I401" i="24"/>
  <c r="H400" i="24"/>
  <c r="H401" i="24" s="1"/>
  <c r="G400" i="24"/>
  <c r="F400" i="24"/>
  <c r="B400" i="24"/>
  <c r="O399" i="24"/>
  <c r="P399" i="24" s="1"/>
  <c r="Q399" i="24" s="1"/>
  <c r="N395" i="24"/>
  <c r="M395" i="24"/>
  <c r="L395" i="24"/>
  <c r="K395" i="24"/>
  <c r="J395" i="24"/>
  <c r="I395" i="24"/>
  <c r="H394" i="24"/>
  <c r="H395" i="24" s="1"/>
  <c r="G394" i="24"/>
  <c r="F394" i="24"/>
  <c r="B394" i="24"/>
  <c r="O393" i="24"/>
  <c r="P393" i="24" s="1"/>
  <c r="Q393" i="24" s="1"/>
  <c r="N389" i="24"/>
  <c r="M389" i="24"/>
  <c r="L389" i="24"/>
  <c r="K389" i="24"/>
  <c r="J389" i="24"/>
  <c r="I389" i="24"/>
  <c r="H388" i="24"/>
  <c r="H389" i="24" s="1"/>
  <c r="G388" i="24"/>
  <c r="F388" i="24"/>
  <c r="B388" i="24"/>
  <c r="O387" i="24"/>
  <c r="P387" i="24" s="1"/>
  <c r="Q387" i="24" s="1"/>
  <c r="N383" i="24"/>
  <c r="M383" i="24"/>
  <c r="L383" i="24"/>
  <c r="K383" i="24"/>
  <c r="J383" i="24"/>
  <c r="I383" i="24"/>
  <c r="H382" i="24"/>
  <c r="H383" i="24" s="1"/>
  <c r="G382" i="24"/>
  <c r="F382" i="24"/>
  <c r="B382" i="24"/>
  <c r="O381" i="24"/>
  <c r="P381" i="24" s="1"/>
  <c r="Q381" i="24" s="1"/>
  <c r="N377" i="24"/>
  <c r="M377" i="24"/>
  <c r="L377" i="24"/>
  <c r="K377" i="24"/>
  <c r="J377" i="24"/>
  <c r="I377" i="24"/>
  <c r="H376" i="24"/>
  <c r="H377" i="24" s="1"/>
  <c r="G376" i="24"/>
  <c r="F376" i="24"/>
  <c r="B376" i="24"/>
  <c r="O375" i="24"/>
  <c r="P375" i="24" s="1"/>
  <c r="Q375" i="24" s="1"/>
  <c r="N371" i="24"/>
  <c r="M371" i="24"/>
  <c r="L371" i="24"/>
  <c r="K371" i="24"/>
  <c r="J371" i="24"/>
  <c r="I371" i="24"/>
  <c r="H370" i="24"/>
  <c r="H371" i="24" s="1"/>
  <c r="G370" i="24"/>
  <c r="G371" i="24" s="1"/>
  <c r="F370" i="24"/>
  <c r="B370" i="24"/>
  <c r="O369" i="24"/>
  <c r="P369" i="24" s="1"/>
  <c r="Q369" i="24" s="1"/>
  <c r="N365" i="24"/>
  <c r="M365" i="24"/>
  <c r="L365" i="24"/>
  <c r="K365" i="24"/>
  <c r="J365" i="24"/>
  <c r="I365" i="24"/>
  <c r="H364" i="24"/>
  <c r="H365" i="24" s="1"/>
  <c r="G364" i="24"/>
  <c r="G365" i="24" s="1"/>
  <c r="F364" i="24"/>
  <c r="B364" i="24"/>
  <c r="O363" i="24"/>
  <c r="P363" i="24" s="1"/>
  <c r="Q363" i="24" s="1"/>
  <c r="N359" i="24"/>
  <c r="M359" i="24"/>
  <c r="L359" i="24"/>
  <c r="K359" i="24"/>
  <c r="J359" i="24"/>
  <c r="I359" i="24"/>
  <c r="H358" i="24"/>
  <c r="H359" i="24" s="1"/>
  <c r="G358" i="24"/>
  <c r="G359" i="24" s="1"/>
  <c r="F358" i="24"/>
  <c r="B358" i="24"/>
  <c r="O357" i="24"/>
  <c r="P357" i="24" s="1"/>
  <c r="Q357" i="24" s="1"/>
  <c r="N353" i="24"/>
  <c r="M353" i="24"/>
  <c r="L353" i="24"/>
  <c r="K353" i="24"/>
  <c r="J353" i="24"/>
  <c r="I353" i="24"/>
  <c r="H352" i="24"/>
  <c r="H353" i="24" s="1"/>
  <c r="G352" i="24"/>
  <c r="F352" i="24"/>
  <c r="B352" i="24"/>
  <c r="O351" i="24"/>
  <c r="P351" i="24" s="1"/>
  <c r="Q351" i="24" s="1"/>
  <c r="N347" i="24"/>
  <c r="M347" i="24"/>
  <c r="L347" i="24"/>
  <c r="K347" i="24"/>
  <c r="J347" i="24"/>
  <c r="I347" i="24"/>
  <c r="H346" i="24"/>
  <c r="H347" i="24" s="1"/>
  <c r="G346" i="24"/>
  <c r="G347" i="24" s="1"/>
  <c r="F346" i="24"/>
  <c r="B346" i="24"/>
  <c r="O345" i="24"/>
  <c r="P345" i="24" s="1"/>
  <c r="Q345" i="24" s="1"/>
  <c r="N341" i="24"/>
  <c r="M341" i="24"/>
  <c r="L341" i="24"/>
  <c r="K341" i="24"/>
  <c r="J341" i="24"/>
  <c r="I341" i="24"/>
  <c r="H340" i="24"/>
  <c r="H341" i="24" s="1"/>
  <c r="G340" i="24"/>
  <c r="G341" i="24" s="1"/>
  <c r="F340" i="24"/>
  <c r="B340" i="24"/>
  <c r="O339" i="24"/>
  <c r="P339" i="24" s="1"/>
  <c r="Q339" i="24" s="1"/>
  <c r="N335" i="24"/>
  <c r="M335" i="24"/>
  <c r="L335" i="24"/>
  <c r="K335" i="24"/>
  <c r="J335" i="24"/>
  <c r="I335" i="24"/>
  <c r="H334" i="24"/>
  <c r="G334" i="24"/>
  <c r="G335" i="24" s="1"/>
  <c r="F334" i="24"/>
  <c r="B334" i="24"/>
  <c r="O333" i="24"/>
  <c r="P333" i="24" s="1"/>
  <c r="Q333" i="24" s="1"/>
  <c r="N329" i="24"/>
  <c r="M329" i="24"/>
  <c r="L329" i="24"/>
  <c r="K329" i="24"/>
  <c r="J329" i="24"/>
  <c r="I329" i="24"/>
  <c r="H328" i="24"/>
  <c r="H329" i="24" s="1"/>
  <c r="G328" i="24"/>
  <c r="F328" i="24"/>
  <c r="B328" i="24"/>
  <c r="O327" i="24"/>
  <c r="P327" i="24" s="1"/>
  <c r="Q327" i="24" s="1"/>
  <c r="N323" i="24"/>
  <c r="M323" i="24"/>
  <c r="L323" i="24"/>
  <c r="K323" i="24"/>
  <c r="J323" i="24"/>
  <c r="I323" i="24"/>
  <c r="H322" i="24"/>
  <c r="H323" i="24" s="1"/>
  <c r="G322" i="24"/>
  <c r="F322" i="24"/>
  <c r="B322" i="24"/>
  <c r="O321" i="24"/>
  <c r="P321" i="24" s="1"/>
  <c r="Q321" i="24" s="1"/>
  <c r="N317" i="24"/>
  <c r="M317" i="24"/>
  <c r="L317" i="24"/>
  <c r="K317" i="24"/>
  <c r="J317" i="24"/>
  <c r="I317" i="24"/>
  <c r="H316" i="24"/>
  <c r="H317" i="24" s="1"/>
  <c r="G316" i="24"/>
  <c r="G317" i="24" s="1"/>
  <c r="F316" i="24"/>
  <c r="B316" i="24"/>
  <c r="O315" i="24"/>
  <c r="P315" i="24" s="1"/>
  <c r="Q315" i="24" s="1"/>
  <c r="N311" i="24"/>
  <c r="M311" i="24"/>
  <c r="L311" i="24"/>
  <c r="K311" i="24"/>
  <c r="J311" i="24"/>
  <c r="I311" i="24"/>
  <c r="H310" i="24"/>
  <c r="G310" i="24"/>
  <c r="G311" i="24" s="1"/>
  <c r="F310" i="24"/>
  <c r="B310" i="24"/>
  <c r="O309" i="24"/>
  <c r="P309" i="24" s="1"/>
  <c r="Q309" i="24" s="1"/>
  <c r="N305" i="24"/>
  <c r="M305" i="24"/>
  <c r="L305" i="24"/>
  <c r="K305" i="24"/>
  <c r="J305" i="24"/>
  <c r="I305" i="24"/>
  <c r="H304" i="24"/>
  <c r="H305" i="24" s="1"/>
  <c r="G304" i="24"/>
  <c r="F304" i="24"/>
  <c r="B304" i="24"/>
  <c r="O303" i="24"/>
  <c r="P303" i="24" s="1"/>
  <c r="Q303" i="24" s="1"/>
  <c r="N299" i="24"/>
  <c r="M299" i="24"/>
  <c r="L299" i="24"/>
  <c r="K299" i="24"/>
  <c r="J299" i="24"/>
  <c r="I299" i="24"/>
  <c r="H298" i="24"/>
  <c r="H299" i="24" s="1"/>
  <c r="G298" i="24"/>
  <c r="F298" i="24"/>
  <c r="B298" i="24"/>
  <c r="O297" i="24"/>
  <c r="P297" i="24" s="1"/>
  <c r="Q297" i="24" s="1"/>
  <c r="N293" i="24"/>
  <c r="M293" i="24"/>
  <c r="L293" i="24"/>
  <c r="K293" i="24"/>
  <c r="J293" i="24"/>
  <c r="I293" i="24"/>
  <c r="H292" i="24"/>
  <c r="H293" i="24" s="1"/>
  <c r="G292" i="24"/>
  <c r="G293" i="24" s="1"/>
  <c r="F292" i="24"/>
  <c r="B292" i="24"/>
  <c r="O291" i="24"/>
  <c r="P291" i="24" s="1"/>
  <c r="Q291" i="24" s="1"/>
  <c r="N287" i="24"/>
  <c r="M287" i="24"/>
  <c r="L287" i="24"/>
  <c r="K287" i="24"/>
  <c r="J287" i="24"/>
  <c r="I287" i="24"/>
  <c r="H286" i="24"/>
  <c r="H287" i="24" s="1"/>
  <c r="G286" i="24"/>
  <c r="G287" i="24" s="1"/>
  <c r="F286" i="24"/>
  <c r="B286" i="24"/>
  <c r="O285" i="24"/>
  <c r="P285" i="24" s="1"/>
  <c r="Q285" i="24" s="1"/>
  <c r="N281" i="24"/>
  <c r="M281" i="24"/>
  <c r="L281" i="24"/>
  <c r="K281" i="24"/>
  <c r="J281" i="24"/>
  <c r="I281" i="24"/>
  <c r="H280" i="24"/>
  <c r="H281" i="24" s="1"/>
  <c r="G280" i="24"/>
  <c r="G281" i="24" s="1"/>
  <c r="F280" i="24"/>
  <c r="B280" i="24"/>
  <c r="O279" i="24"/>
  <c r="P279" i="24" s="1"/>
  <c r="Q279" i="24" s="1"/>
  <c r="N275" i="24"/>
  <c r="M275" i="24"/>
  <c r="L275" i="24"/>
  <c r="K275" i="24"/>
  <c r="J275" i="24"/>
  <c r="I275" i="24"/>
  <c r="H274" i="24"/>
  <c r="G274" i="24"/>
  <c r="G275" i="24" s="1"/>
  <c r="F274" i="24"/>
  <c r="B274" i="24"/>
  <c r="O273" i="24"/>
  <c r="P273" i="24" s="1"/>
  <c r="Q273" i="24" s="1"/>
  <c r="N269" i="24"/>
  <c r="M269" i="24"/>
  <c r="L269" i="24"/>
  <c r="K269" i="24"/>
  <c r="J269" i="24"/>
  <c r="I269" i="24"/>
  <c r="H268" i="24"/>
  <c r="H269" i="24" s="1"/>
  <c r="G268" i="24"/>
  <c r="F268" i="24"/>
  <c r="B268" i="24"/>
  <c r="O267" i="24"/>
  <c r="P267" i="24" s="1"/>
  <c r="Q267" i="24" s="1"/>
  <c r="N263" i="24"/>
  <c r="M263" i="24"/>
  <c r="L263" i="24"/>
  <c r="K263" i="24"/>
  <c r="J263" i="24"/>
  <c r="I263" i="24"/>
  <c r="H262" i="24"/>
  <c r="H263" i="24" s="1"/>
  <c r="G262" i="24"/>
  <c r="F262" i="24"/>
  <c r="B262" i="24"/>
  <c r="O261" i="24"/>
  <c r="P261" i="24" s="1"/>
  <c r="Q261" i="24" s="1"/>
  <c r="N257" i="24"/>
  <c r="M257" i="24"/>
  <c r="L257" i="24"/>
  <c r="K257" i="24"/>
  <c r="J257" i="24"/>
  <c r="I257" i="24"/>
  <c r="H256" i="24"/>
  <c r="H257" i="24" s="1"/>
  <c r="G256" i="24"/>
  <c r="F256" i="24"/>
  <c r="B256" i="24"/>
  <c r="O255" i="24"/>
  <c r="P255" i="24" s="1"/>
  <c r="Q255" i="24" s="1"/>
  <c r="N251" i="24"/>
  <c r="M251" i="24"/>
  <c r="L251" i="24"/>
  <c r="K251" i="24"/>
  <c r="J251" i="24"/>
  <c r="I251" i="24"/>
  <c r="H250" i="24"/>
  <c r="G250" i="24"/>
  <c r="G251" i="24" s="1"/>
  <c r="F250" i="24"/>
  <c r="B250" i="24"/>
  <c r="O249" i="24"/>
  <c r="P249" i="24" s="1"/>
  <c r="Q249" i="24" s="1"/>
  <c r="N245" i="24"/>
  <c r="M245" i="24"/>
  <c r="L245" i="24"/>
  <c r="K245" i="24"/>
  <c r="J245" i="24"/>
  <c r="I245" i="24"/>
  <c r="H244" i="24"/>
  <c r="H245" i="24" s="1"/>
  <c r="G244" i="24"/>
  <c r="G245" i="24" s="1"/>
  <c r="F244" i="24"/>
  <c r="B244" i="24"/>
  <c r="O243" i="24"/>
  <c r="P243" i="24" s="1"/>
  <c r="Q243" i="24" s="1"/>
  <c r="N239" i="24"/>
  <c r="M239" i="24"/>
  <c r="L239" i="24"/>
  <c r="K239" i="24"/>
  <c r="J239" i="24"/>
  <c r="I239" i="24"/>
  <c r="H238" i="24"/>
  <c r="H239" i="24" s="1"/>
  <c r="G238" i="24"/>
  <c r="G239" i="24" s="1"/>
  <c r="F238" i="24"/>
  <c r="B238" i="24"/>
  <c r="O237" i="24"/>
  <c r="P237" i="24" s="1"/>
  <c r="Q237" i="24" s="1"/>
  <c r="N233" i="24"/>
  <c r="M233" i="24"/>
  <c r="L233" i="24"/>
  <c r="K233" i="24"/>
  <c r="J233" i="24"/>
  <c r="I233" i="24"/>
  <c r="H232" i="24"/>
  <c r="H233" i="24" s="1"/>
  <c r="G232" i="24"/>
  <c r="G233" i="24" s="1"/>
  <c r="F232" i="24"/>
  <c r="B232" i="24"/>
  <c r="O231" i="24"/>
  <c r="P231" i="24" s="1"/>
  <c r="Q231" i="24" s="1"/>
  <c r="N227" i="24"/>
  <c r="M227" i="24"/>
  <c r="L227" i="24"/>
  <c r="K227" i="24"/>
  <c r="J227" i="24"/>
  <c r="I227" i="24"/>
  <c r="H226" i="24"/>
  <c r="H227" i="24" s="1"/>
  <c r="G226" i="24"/>
  <c r="G227" i="24" s="1"/>
  <c r="F226" i="24"/>
  <c r="B226" i="24"/>
  <c r="O225" i="24"/>
  <c r="P225" i="24" s="1"/>
  <c r="Q225" i="24" s="1"/>
  <c r="N221" i="24"/>
  <c r="M221" i="24"/>
  <c r="L221" i="24"/>
  <c r="K221" i="24"/>
  <c r="J221" i="24"/>
  <c r="I221" i="24"/>
  <c r="H220" i="24"/>
  <c r="H221" i="24" s="1"/>
  <c r="G220" i="24"/>
  <c r="G221" i="24" s="1"/>
  <c r="F220" i="24"/>
  <c r="B220" i="24"/>
  <c r="O219" i="24"/>
  <c r="P219" i="24" s="1"/>
  <c r="Q219" i="24" s="1"/>
  <c r="N215" i="24"/>
  <c r="M215" i="24"/>
  <c r="L215" i="24"/>
  <c r="K215" i="24"/>
  <c r="J215" i="24"/>
  <c r="I215" i="24"/>
  <c r="H214" i="24"/>
  <c r="H215" i="24" s="1"/>
  <c r="G214" i="24"/>
  <c r="G215" i="24" s="1"/>
  <c r="F214" i="24"/>
  <c r="B214" i="24"/>
  <c r="O213" i="24"/>
  <c r="P213" i="24" s="1"/>
  <c r="Q213" i="24" s="1"/>
  <c r="N209" i="24"/>
  <c r="M209" i="24"/>
  <c r="L209" i="24"/>
  <c r="K209" i="24"/>
  <c r="J209" i="24"/>
  <c r="I209" i="24"/>
  <c r="H208" i="24"/>
  <c r="G208" i="24"/>
  <c r="G209" i="24" s="1"/>
  <c r="F208" i="24"/>
  <c r="B208" i="24"/>
  <c r="O207" i="24"/>
  <c r="P207" i="24" s="1"/>
  <c r="Q207" i="24" s="1"/>
  <c r="N203" i="24"/>
  <c r="M203" i="24"/>
  <c r="L203" i="24"/>
  <c r="K203" i="24"/>
  <c r="J203" i="24"/>
  <c r="I203" i="24"/>
  <c r="H202" i="24"/>
  <c r="H203" i="24" s="1"/>
  <c r="G202" i="24"/>
  <c r="F202" i="24"/>
  <c r="B202" i="24"/>
  <c r="O201" i="24"/>
  <c r="P201" i="24" s="1"/>
  <c r="Q201" i="24" s="1"/>
  <c r="N197" i="24"/>
  <c r="M197" i="24"/>
  <c r="L197" i="24"/>
  <c r="K197" i="24"/>
  <c r="J197" i="24"/>
  <c r="I197" i="24"/>
  <c r="H196" i="24"/>
  <c r="H197" i="24" s="1"/>
  <c r="G196" i="24"/>
  <c r="F196" i="24"/>
  <c r="B196" i="24"/>
  <c r="O195" i="24"/>
  <c r="P195" i="24" s="1"/>
  <c r="Q195" i="24" s="1"/>
  <c r="N191" i="24"/>
  <c r="M191" i="24"/>
  <c r="L191" i="24"/>
  <c r="K191" i="24"/>
  <c r="J191" i="24"/>
  <c r="I191" i="24"/>
  <c r="H190" i="24"/>
  <c r="H191" i="24" s="1"/>
  <c r="G190" i="24"/>
  <c r="F190" i="24"/>
  <c r="B190" i="24"/>
  <c r="O189" i="24"/>
  <c r="P189" i="24" s="1"/>
  <c r="Q189" i="24" s="1"/>
  <c r="N185" i="24"/>
  <c r="M185" i="24"/>
  <c r="L185" i="24"/>
  <c r="K185" i="24"/>
  <c r="J185" i="24"/>
  <c r="I185" i="24"/>
  <c r="H184" i="24"/>
  <c r="G184" i="24"/>
  <c r="G185" i="24" s="1"/>
  <c r="F184" i="24"/>
  <c r="B184" i="24"/>
  <c r="O183" i="24"/>
  <c r="P183" i="24" s="1"/>
  <c r="Q183" i="24" s="1"/>
  <c r="N179" i="24"/>
  <c r="M179" i="24"/>
  <c r="L179" i="24"/>
  <c r="K179" i="24"/>
  <c r="J179" i="24"/>
  <c r="I179" i="24"/>
  <c r="H178" i="24"/>
  <c r="H179" i="24" s="1"/>
  <c r="G178" i="24"/>
  <c r="G179" i="24" s="1"/>
  <c r="F178" i="24"/>
  <c r="B178" i="24"/>
  <c r="O177" i="24"/>
  <c r="P177" i="24" s="1"/>
  <c r="Q177" i="24" s="1"/>
  <c r="N173" i="24"/>
  <c r="M173" i="24"/>
  <c r="L173" i="24"/>
  <c r="K173" i="24"/>
  <c r="J173" i="24"/>
  <c r="I173" i="24"/>
  <c r="H172" i="24"/>
  <c r="H173" i="24" s="1"/>
  <c r="G172" i="24"/>
  <c r="F172" i="24"/>
  <c r="B172" i="24"/>
  <c r="O171" i="24"/>
  <c r="P171" i="24" s="1"/>
  <c r="Q171" i="24" s="1"/>
  <c r="N167" i="24"/>
  <c r="M167" i="24"/>
  <c r="L167" i="24"/>
  <c r="K167" i="24"/>
  <c r="J167" i="24"/>
  <c r="I167" i="24"/>
  <c r="H166" i="24"/>
  <c r="H167" i="24" s="1"/>
  <c r="G166" i="24"/>
  <c r="G167" i="24" s="1"/>
  <c r="F166" i="24"/>
  <c r="B166" i="24"/>
  <c r="O165" i="24"/>
  <c r="P165" i="24" s="1"/>
  <c r="Q165" i="24" s="1"/>
  <c r="N161" i="24"/>
  <c r="M161" i="24"/>
  <c r="L161" i="24"/>
  <c r="K161" i="24"/>
  <c r="J161" i="24"/>
  <c r="I161" i="24"/>
  <c r="H160" i="24"/>
  <c r="G160" i="24"/>
  <c r="G161" i="24" s="1"/>
  <c r="F160" i="24"/>
  <c r="B160" i="24"/>
  <c r="O159" i="24"/>
  <c r="P159" i="24" s="1"/>
  <c r="Q159" i="24" s="1"/>
  <c r="N155" i="24"/>
  <c r="M155" i="24"/>
  <c r="L155" i="24"/>
  <c r="K155" i="24"/>
  <c r="J155" i="24"/>
  <c r="I155" i="24"/>
  <c r="H155" i="24"/>
  <c r="G154" i="24"/>
  <c r="F154" i="24"/>
  <c r="B154" i="24"/>
  <c r="O153" i="24"/>
  <c r="P153" i="24" s="1"/>
  <c r="Q153" i="24" s="1"/>
  <c r="N149" i="24"/>
  <c r="M149" i="24"/>
  <c r="L149" i="24"/>
  <c r="K149" i="24"/>
  <c r="J149" i="24"/>
  <c r="I149" i="24"/>
  <c r="H148" i="24"/>
  <c r="G148" i="24"/>
  <c r="G149" i="24" s="1"/>
  <c r="F148" i="24"/>
  <c r="B148" i="24"/>
  <c r="O147" i="24"/>
  <c r="P147" i="24" s="1"/>
  <c r="Q147" i="24" s="1"/>
  <c r="N143" i="24"/>
  <c r="M143" i="24"/>
  <c r="L143" i="24"/>
  <c r="K143" i="24"/>
  <c r="J143" i="24"/>
  <c r="I143" i="24"/>
  <c r="H142" i="24"/>
  <c r="H143" i="24" s="1"/>
  <c r="G142" i="24"/>
  <c r="F142" i="24"/>
  <c r="B142" i="24"/>
  <c r="O141" i="24"/>
  <c r="P141" i="24" s="1"/>
  <c r="Q141" i="24" s="1"/>
  <c r="N137" i="24"/>
  <c r="M137" i="24"/>
  <c r="L137" i="24"/>
  <c r="K137" i="24"/>
  <c r="J137" i="24"/>
  <c r="I137" i="24"/>
  <c r="H136" i="24"/>
  <c r="H137" i="24" s="1"/>
  <c r="G136" i="24"/>
  <c r="G137" i="24" s="1"/>
  <c r="F136" i="24"/>
  <c r="B136" i="24"/>
  <c r="O135" i="24"/>
  <c r="P135" i="24" s="1"/>
  <c r="Q135" i="24" s="1"/>
  <c r="N131" i="24"/>
  <c r="M131" i="24"/>
  <c r="L131" i="24"/>
  <c r="K131" i="24"/>
  <c r="J131" i="24"/>
  <c r="I131" i="24"/>
  <c r="H130" i="24"/>
  <c r="H131" i="24" s="1"/>
  <c r="G130" i="24"/>
  <c r="G131" i="24" s="1"/>
  <c r="F130" i="24"/>
  <c r="B130" i="24"/>
  <c r="O129" i="24"/>
  <c r="P129" i="24" s="1"/>
  <c r="Q129" i="24" s="1"/>
  <c r="N125" i="24"/>
  <c r="M125" i="24"/>
  <c r="L125" i="24"/>
  <c r="K125" i="24"/>
  <c r="J125" i="24"/>
  <c r="I125" i="24"/>
  <c r="G125" i="24"/>
  <c r="H124" i="24"/>
  <c r="O124" i="24" s="1"/>
  <c r="F124" i="24"/>
  <c r="B124" i="24"/>
  <c r="O123" i="24"/>
  <c r="P123" i="24" s="1"/>
  <c r="Q123" i="24" s="1"/>
  <c r="N434" i="24"/>
  <c r="M434" i="24"/>
  <c r="L434" i="24"/>
  <c r="K434" i="24"/>
  <c r="J434" i="24"/>
  <c r="I434" i="24"/>
  <c r="H433" i="24"/>
  <c r="H434" i="24" s="1"/>
  <c r="G433" i="24"/>
  <c r="F433" i="24"/>
  <c r="B433" i="24"/>
  <c r="O432" i="24"/>
  <c r="P432" i="24" s="1"/>
  <c r="N119" i="24"/>
  <c r="M119" i="24"/>
  <c r="L119" i="24"/>
  <c r="K119" i="24"/>
  <c r="J119" i="24"/>
  <c r="I119" i="24"/>
  <c r="H118" i="24"/>
  <c r="H119" i="24" s="1"/>
  <c r="G118" i="24"/>
  <c r="F118" i="24"/>
  <c r="B118" i="24"/>
  <c r="P117" i="24"/>
  <c r="Q117" i="24" s="1"/>
  <c r="O117" i="24"/>
  <c r="N113" i="24"/>
  <c r="M113" i="24"/>
  <c r="L113" i="24"/>
  <c r="K113" i="24"/>
  <c r="J113" i="24"/>
  <c r="I113" i="24"/>
  <c r="H112" i="24"/>
  <c r="H113" i="24" s="1"/>
  <c r="G112" i="24"/>
  <c r="G113" i="24" s="1"/>
  <c r="F112" i="24"/>
  <c r="B112" i="24"/>
  <c r="O111" i="24"/>
  <c r="P111" i="24" s="1"/>
  <c r="Q111" i="24" s="1"/>
  <c r="N107" i="24"/>
  <c r="M107" i="24"/>
  <c r="L107" i="24"/>
  <c r="K107" i="24"/>
  <c r="J107" i="24"/>
  <c r="I107" i="24"/>
  <c r="H106" i="24"/>
  <c r="G106" i="24"/>
  <c r="G107" i="24" s="1"/>
  <c r="F106" i="24"/>
  <c r="B106" i="24"/>
  <c r="P105" i="24"/>
  <c r="Q105" i="24" s="1"/>
  <c r="O105" i="24"/>
  <c r="N101" i="24"/>
  <c r="M101" i="24"/>
  <c r="L101" i="24"/>
  <c r="K101" i="24"/>
  <c r="J101" i="24"/>
  <c r="I101" i="24"/>
  <c r="H100" i="24"/>
  <c r="H101" i="24" s="1"/>
  <c r="G100" i="24"/>
  <c r="F100" i="24"/>
  <c r="B100" i="24"/>
  <c r="P99" i="24"/>
  <c r="Q99" i="24" s="1"/>
  <c r="O99" i="24"/>
  <c r="N95" i="24"/>
  <c r="M95" i="24"/>
  <c r="L95" i="24"/>
  <c r="K95" i="24"/>
  <c r="J95" i="24"/>
  <c r="I95" i="24"/>
  <c r="H94" i="24"/>
  <c r="H95" i="24" s="1"/>
  <c r="G94" i="24"/>
  <c r="G95" i="24" s="1"/>
  <c r="F94" i="24"/>
  <c r="B94" i="24"/>
  <c r="P93" i="24"/>
  <c r="Q93" i="24" s="1"/>
  <c r="O93" i="24"/>
  <c r="N89" i="24"/>
  <c r="M89" i="24"/>
  <c r="L89" i="24"/>
  <c r="K89" i="24"/>
  <c r="J89" i="24"/>
  <c r="I89" i="24"/>
  <c r="H88" i="24"/>
  <c r="H89" i="24" s="1"/>
  <c r="G88" i="24"/>
  <c r="F88" i="24"/>
  <c r="B88" i="24"/>
  <c r="V88" i="24"/>
  <c r="P87" i="24"/>
  <c r="Q87" i="24" s="1"/>
  <c r="O87" i="24"/>
  <c r="V84" i="24"/>
  <c r="A83" i="24"/>
  <c r="H80" i="24"/>
  <c r="AB80" i="24"/>
  <c r="H79" i="24"/>
  <c r="H76" i="24"/>
  <c r="H75" i="24"/>
  <c r="V87" i="24"/>
  <c r="N71" i="24"/>
  <c r="M71" i="24"/>
  <c r="J70" i="24"/>
  <c r="H70" i="24"/>
  <c r="G70" i="24"/>
  <c r="C70" i="24"/>
  <c r="H69" i="24"/>
  <c r="G69" i="24"/>
  <c r="C69" i="24"/>
  <c r="AC68" i="24"/>
  <c r="AA68" i="24"/>
  <c r="AD68" i="24" s="1"/>
  <c r="W68" i="24"/>
  <c r="U68" i="24"/>
  <c r="Y68" i="24" s="1"/>
  <c r="AA67" i="24"/>
  <c r="W67" i="24"/>
  <c r="U67" i="24"/>
  <c r="X67" i="24" s="1"/>
  <c r="P67" i="24"/>
  <c r="Q67" i="24" s="1"/>
  <c r="O67" i="24"/>
  <c r="AC66" i="24"/>
  <c r="AA66" i="24"/>
  <c r="AE66" i="24" s="1"/>
  <c r="U66" i="24"/>
  <c r="P66" i="24"/>
  <c r="Q66" i="24" s="1"/>
  <c r="O66" i="24"/>
  <c r="AA65" i="24"/>
  <c r="W65" i="24"/>
  <c r="U65" i="24"/>
  <c r="Y65" i="24" s="1"/>
  <c r="P65" i="24"/>
  <c r="Q65" i="24" s="1"/>
  <c r="O65" i="24"/>
  <c r="AA64" i="24"/>
  <c r="W64" i="24"/>
  <c r="U64" i="24"/>
  <c r="X64" i="24" s="1"/>
  <c r="P64" i="24"/>
  <c r="Q64" i="24" s="1"/>
  <c r="O64" i="24"/>
  <c r="AC63" i="24"/>
  <c r="AA63" i="24"/>
  <c r="AE63" i="24" s="1"/>
  <c r="U63" i="24"/>
  <c r="P63" i="24"/>
  <c r="Q63" i="24" s="1"/>
  <c r="O63" i="24"/>
  <c r="AA62" i="24"/>
  <c r="W62" i="24"/>
  <c r="U62" i="24"/>
  <c r="X62" i="24" s="1"/>
  <c r="P62" i="24"/>
  <c r="Q62" i="24" s="1"/>
  <c r="O62" i="24"/>
  <c r="AA61" i="24"/>
  <c r="W61" i="24"/>
  <c r="U61" i="24"/>
  <c r="Y61" i="24" s="1"/>
  <c r="O61" i="24"/>
  <c r="P61" i="24" s="1"/>
  <c r="Q61" i="24" s="1"/>
  <c r="AA60" i="24"/>
  <c r="W60" i="24"/>
  <c r="U60" i="24"/>
  <c r="Z60" i="24" s="1"/>
  <c r="P60" i="24"/>
  <c r="Q60" i="24" s="1"/>
  <c r="O60" i="24"/>
  <c r="AC59" i="24"/>
  <c r="AA59" i="24"/>
  <c r="U59" i="24"/>
  <c r="P59" i="24"/>
  <c r="O59" i="24"/>
  <c r="C57" i="24"/>
  <c r="C56" i="24"/>
  <c r="AC55" i="24"/>
  <c r="AA55" i="24"/>
  <c r="AD55" i="24" s="1"/>
  <c r="W55" i="24"/>
  <c r="U55" i="24"/>
  <c r="Z55" i="24" s="1"/>
  <c r="AC54" i="24"/>
  <c r="AA54" i="24"/>
  <c r="AD54" i="24" s="1"/>
  <c r="U54" i="24"/>
  <c r="O54" i="24"/>
  <c r="P54" i="24" s="1"/>
  <c r="AC53" i="24"/>
  <c r="AA53" i="24"/>
  <c r="AD53" i="24" s="1"/>
  <c r="U53" i="24"/>
  <c r="O53" i="24"/>
  <c r="P53" i="24" s="1"/>
  <c r="AC52" i="24"/>
  <c r="AA52" i="24"/>
  <c r="AD52" i="24" s="1"/>
  <c r="U52" i="24"/>
  <c r="O52" i="24"/>
  <c r="P52" i="24" s="1"/>
  <c r="AC51" i="24"/>
  <c r="AA51" i="24"/>
  <c r="AD51" i="24" s="1"/>
  <c r="U51" i="24"/>
  <c r="X51" i="24" s="1"/>
  <c r="O51" i="24"/>
  <c r="P51" i="24" s="1"/>
  <c r="AC50" i="24"/>
  <c r="AA50" i="24"/>
  <c r="AD50" i="24" s="1"/>
  <c r="U50" i="24"/>
  <c r="O50" i="24"/>
  <c r="P50" i="24" s="1"/>
  <c r="AA49" i="24"/>
  <c r="W49" i="24"/>
  <c r="U49" i="24"/>
  <c r="Z49" i="24" s="1"/>
  <c r="O49" i="24"/>
  <c r="P49" i="24" s="1"/>
  <c r="AC48" i="24"/>
  <c r="AA48" i="24"/>
  <c r="AD48" i="24" s="1"/>
  <c r="U48" i="24"/>
  <c r="O48" i="24"/>
  <c r="P48" i="24" s="1"/>
  <c r="AC47" i="24"/>
  <c r="AA47" i="24"/>
  <c r="AD47" i="24" s="1"/>
  <c r="U47" i="24"/>
  <c r="O47" i="24"/>
  <c r="S47" i="24" s="1"/>
  <c r="AC46" i="24"/>
  <c r="AA46" i="24"/>
  <c r="AD46" i="24" s="1"/>
  <c r="U46" i="24"/>
  <c r="O46" i="24"/>
  <c r="AC45" i="24"/>
  <c r="AA45" i="24"/>
  <c r="AD45" i="24" s="1"/>
  <c r="U45" i="24"/>
  <c r="X45" i="24" s="1"/>
  <c r="O45" i="24"/>
  <c r="S45" i="24" s="1"/>
  <c r="C43" i="24"/>
  <c r="S42" i="24"/>
  <c r="S43" i="24" s="1"/>
  <c r="C42" i="24"/>
  <c r="AC41" i="24"/>
  <c r="AA41" i="24"/>
  <c r="AE41" i="24" s="1"/>
  <c r="W41" i="24"/>
  <c r="U41" i="24"/>
  <c r="X41" i="24" s="1"/>
  <c r="AC40" i="24"/>
  <c r="AA40" i="24"/>
  <c r="AE40" i="24" s="1"/>
  <c r="U40" i="24"/>
  <c r="O40" i="24"/>
  <c r="AC39" i="24"/>
  <c r="AA39" i="24"/>
  <c r="U39" i="24"/>
  <c r="O39" i="24"/>
  <c r="Q39" i="24" s="1"/>
  <c r="C37" i="24"/>
  <c r="C36" i="24"/>
  <c r="AC35" i="24"/>
  <c r="AA35" i="24"/>
  <c r="AE35" i="24" s="1"/>
  <c r="W35" i="24"/>
  <c r="U35" i="24"/>
  <c r="X35" i="24" s="1"/>
  <c r="O34" i="24"/>
  <c r="Q34" i="24" s="1"/>
  <c r="AC33" i="24"/>
  <c r="AA33" i="24"/>
  <c r="AE33" i="24" s="1"/>
  <c r="H33" i="24"/>
  <c r="O33" i="24" s="1"/>
  <c r="AA32" i="24"/>
  <c r="W32" i="24"/>
  <c r="U32" i="24"/>
  <c r="X32" i="24" s="1"/>
  <c r="O32" i="24"/>
  <c r="S32" i="24" s="1"/>
  <c r="AC31" i="24"/>
  <c r="AA31" i="24"/>
  <c r="U31" i="24"/>
  <c r="X31" i="24" s="1"/>
  <c r="O31" i="24"/>
  <c r="S31" i="24" s="1"/>
  <c r="AC30" i="24"/>
  <c r="AA30" i="24"/>
  <c r="U30" i="24"/>
  <c r="O30" i="24"/>
  <c r="S30" i="24" s="1"/>
  <c r="W29" i="24"/>
  <c r="U29" i="24"/>
  <c r="X29" i="24" s="1"/>
  <c r="H29" i="24"/>
  <c r="AA29" i="24" s="1"/>
  <c r="AC28" i="24"/>
  <c r="AA28" i="24"/>
  <c r="AF28" i="24" s="1"/>
  <c r="H28" i="24"/>
  <c r="G28" i="24"/>
  <c r="W27" i="24"/>
  <c r="U27" i="24"/>
  <c r="Z27" i="24" s="1"/>
  <c r="H27" i="24"/>
  <c r="G27" i="24"/>
  <c r="AC26" i="24"/>
  <c r="AA26" i="24"/>
  <c r="AE26" i="24" s="1"/>
  <c r="U26" i="24"/>
  <c r="Y26" i="24" s="1"/>
  <c r="O26" i="24"/>
  <c r="P26" i="24" s="1"/>
  <c r="AC25" i="24"/>
  <c r="AA25" i="24"/>
  <c r="AD25" i="24" s="1"/>
  <c r="U25" i="24"/>
  <c r="O25" i="24"/>
  <c r="P25" i="24" s="1"/>
  <c r="AC24" i="24"/>
  <c r="AA24" i="24"/>
  <c r="AF24" i="24" s="1"/>
  <c r="U24" i="24"/>
  <c r="O24" i="24"/>
  <c r="Q24" i="24" s="1"/>
  <c r="AC23" i="24"/>
  <c r="AA23" i="24"/>
  <c r="AE23" i="24" s="1"/>
  <c r="U23" i="24"/>
  <c r="Y23" i="24" s="1"/>
  <c r="O23" i="24"/>
  <c r="S23" i="24" s="1"/>
  <c r="AA22" i="24"/>
  <c r="W22" i="24"/>
  <c r="U22" i="24"/>
  <c r="Y22" i="24" s="1"/>
  <c r="O22" i="24"/>
  <c r="P22" i="24" s="1"/>
  <c r="AC21" i="24"/>
  <c r="AA21" i="24"/>
  <c r="AF21" i="24" s="1"/>
  <c r="U21" i="24"/>
  <c r="O21" i="24"/>
  <c r="S21" i="24" s="1"/>
  <c r="AC20" i="24"/>
  <c r="AA20" i="24"/>
  <c r="AE20" i="24" s="1"/>
  <c r="U20" i="24"/>
  <c r="O20" i="24"/>
  <c r="S20" i="24" s="1"/>
  <c r="AA19" i="24"/>
  <c r="W19" i="24"/>
  <c r="U19" i="24"/>
  <c r="Z19" i="24" s="1"/>
  <c r="O19" i="24"/>
  <c r="Q19" i="24" s="1"/>
  <c r="AC18" i="24"/>
  <c r="AA18" i="24"/>
  <c r="AE18" i="24" s="1"/>
  <c r="U18" i="24"/>
  <c r="X18" i="24" s="1"/>
  <c r="O18" i="24"/>
  <c r="Q18" i="24" s="1"/>
  <c r="AC17" i="24"/>
  <c r="AA17" i="24"/>
  <c r="AE17" i="24" s="1"/>
  <c r="U17" i="24"/>
  <c r="O17" i="24"/>
  <c r="Q17" i="24" s="1"/>
  <c r="AC16" i="24"/>
  <c r="AA16" i="24"/>
  <c r="AE16" i="24" s="1"/>
  <c r="U16" i="24"/>
  <c r="O16" i="24"/>
  <c r="Q16" i="24" s="1"/>
  <c r="AC15" i="24"/>
  <c r="AA15" i="24"/>
  <c r="AE15" i="24" s="1"/>
  <c r="U15" i="24"/>
  <c r="O15" i="24"/>
  <c r="Q15" i="24" s="1"/>
  <c r="AC14" i="24"/>
  <c r="AA14" i="24"/>
  <c r="AE14" i="24" s="1"/>
  <c r="U14" i="24"/>
  <c r="O14" i="24"/>
  <c r="Q14" i="24" s="1"/>
  <c r="AA13" i="24"/>
  <c r="W13" i="24"/>
  <c r="U13" i="24"/>
  <c r="Z13" i="24" s="1"/>
  <c r="O13" i="24"/>
  <c r="P13" i="24" s="1"/>
  <c r="AC12" i="24"/>
  <c r="AA12" i="24"/>
  <c r="AE12" i="24" s="1"/>
  <c r="U12" i="24"/>
  <c r="O12" i="24"/>
  <c r="Q12" i="24" s="1"/>
  <c r="AA11" i="24"/>
  <c r="W11" i="24"/>
  <c r="U11" i="24"/>
  <c r="Z11" i="24" s="1"/>
  <c r="O11" i="24"/>
  <c r="Q11" i="24" s="1"/>
  <c r="AC10" i="24"/>
  <c r="AA10" i="24"/>
  <c r="AF10" i="24" s="1"/>
  <c r="U10" i="24"/>
  <c r="O10" i="24"/>
  <c r="Q10" i="24" s="1"/>
  <c r="A5" i="24"/>
  <c r="A4" i="24"/>
  <c r="W1" i="24"/>
  <c r="O125" i="24" l="1"/>
  <c r="O27" i="24"/>
  <c r="O29" i="24"/>
  <c r="S29" i="24" s="1"/>
  <c r="Z62" i="24"/>
  <c r="P39" i="24"/>
  <c r="Z39" i="24" s="1"/>
  <c r="Z53" i="24"/>
  <c r="Z54" i="24"/>
  <c r="Z26" i="24"/>
  <c r="O322" i="24"/>
  <c r="P322" i="24" s="1"/>
  <c r="Q322" i="24" s="1"/>
  <c r="Q323" i="24" s="1"/>
  <c r="V25" i="24"/>
  <c r="X25" i="24" s="1"/>
  <c r="Q26" i="24"/>
  <c r="AD40" i="24"/>
  <c r="Q25" i="24"/>
  <c r="AB26" i="24"/>
  <c r="AB40" i="24"/>
  <c r="V41" i="24"/>
  <c r="S52" i="24"/>
  <c r="Q52" i="24" s="1"/>
  <c r="P100" i="24"/>
  <c r="P101" i="24" s="1"/>
  <c r="V40" i="24"/>
  <c r="X40" i="24" s="1"/>
  <c r="Z25" i="24"/>
  <c r="Y25" i="24" s="1"/>
  <c r="X26" i="24"/>
  <c r="AF26" i="24"/>
  <c r="Y32" i="24"/>
  <c r="AB33" i="24"/>
  <c r="AA42" i="24"/>
  <c r="AE42" i="24" s="1"/>
  <c r="AB60" i="24"/>
  <c r="AD60" i="24" s="1"/>
  <c r="V62" i="24"/>
  <c r="O226" i="24"/>
  <c r="O227" i="24" s="1"/>
  <c r="AB13" i="24"/>
  <c r="AD13" i="24" s="1"/>
  <c r="S25" i="24"/>
  <c r="S26" i="24"/>
  <c r="AB39" i="24"/>
  <c r="Z52" i="24"/>
  <c r="AF52" i="24"/>
  <c r="X53" i="24"/>
  <c r="AF53" i="24"/>
  <c r="X54" i="24"/>
  <c r="AF54" i="24"/>
  <c r="P106" i="24"/>
  <c r="Q106" i="24" s="1"/>
  <c r="Q107" i="24" s="1"/>
  <c r="O178" i="24"/>
  <c r="O179" i="24" s="1"/>
  <c r="O196" i="24"/>
  <c r="P196" i="24" s="1"/>
  <c r="AD41" i="24"/>
  <c r="O298" i="24"/>
  <c r="P298" i="24" s="1"/>
  <c r="W63" i="24"/>
  <c r="V26" i="24"/>
  <c r="AB52" i="24"/>
  <c r="S53" i="24"/>
  <c r="Q53" i="24" s="1"/>
  <c r="AB53" i="24"/>
  <c r="S54" i="24"/>
  <c r="Q54" i="24" s="1"/>
  <c r="AB54" i="24"/>
  <c r="V67" i="24"/>
  <c r="G71" i="24"/>
  <c r="H71" i="24"/>
  <c r="O88" i="24"/>
  <c r="O89" i="24" s="1"/>
  <c r="O449" i="24" s="1"/>
  <c r="O112" i="24"/>
  <c r="P112" i="24" s="1"/>
  <c r="Q112" i="24" s="1"/>
  <c r="Q113" i="24" s="1"/>
  <c r="O166" i="24"/>
  <c r="P166" i="24" s="1"/>
  <c r="O172" i="24"/>
  <c r="O173" i="24" s="1"/>
  <c r="O262" i="24"/>
  <c r="O263" i="24" s="1"/>
  <c r="AB12" i="24"/>
  <c r="AF61" i="24"/>
  <c r="AE61" i="24" s="1"/>
  <c r="AB65" i="24"/>
  <c r="AD65" i="24" s="1"/>
  <c r="AD21" i="24"/>
  <c r="J71" i="24"/>
  <c r="S12" i="24"/>
  <c r="O197" i="24"/>
  <c r="AB55" i="24"/>
  <c r="S22" i="24"/>
  <c r="X60" i="24"/>
  <c r="AB45" i="24"/>
  <c r="AF67" i="24"/>
  <c r="AE67" i="24" s="1"/>
  <c r="AF12" i="24"/>
  <c r="AB15" i="24"/>
  <c r="AF45" i="24"/>
  <c r="AB49" i="24"/>
  <c r="AD49" i="24" s="1"/>
  <c r="AC11" i="24"/>
  <c r="W16" i="24"/>
  <c r="X19" i="24"/>
  <c r="Q20" i="24"/>
  <c r="AB20" i="24"/>
  <c r="Q22" i="24"/>
  <c r="S24" i="24"/>
  <c r="AA27" i="24"/>
  <c r="AB27" i="24" s="1"/>
  <c r="V32" i="24"/>
  <c r="AD33" i="24"/>
  <c r="U42" i="24"/>
  <c r="AF39" i="24"/>
  <c r="AF40" i="24"/>
  <c r="Z41" i="24"/>
  <c r="Z48" i="24"/>
  <c r="V86" i="24"/>
  <c r="V89" i="24" s="1"/>
  <c r="H107" i="24"/>
  <c r="Q432" i="24"/>
  <c r="O214" i="24"/>
  <c r="P214" i="24" s="1"/>
  <c r="O232" i="24"/>
  <c r="O233" i="24" s="1"/>
  <c r="O244" i="24"/>
  <c r="O245" i="24" s="1"/>
  <c r="O280" i="24"/>
  <c r="O281" i="24" s="1"/>
  <c r="O286" i="24"/>
  <c r="O287" i="24" s="1"/>
  <c r="O292" i="24"/>
  <c r="O293" i="24" s="1"/>
  <c r="O340" i="24"/>
  <c r="P340" i="24" s="1"/>
  <c r="O358" i="24"/>
  <c r="P358" i="24" s="1"/>
  <c r="O364" i="24"/>
  <c r="O365" i="24" s="1"/>
  <c r="AC13" i="24"/>
  <c r="W17" i="24"/>
  <c r="W18" i="24"/>
  <c r="AB19" i="24"/>
  <c r="AD19" i="24" s="1"/>
  <c r="X22" i="24"/>
  <c r="AF33" i="24"/>
  <c r="AD35" i="24"/>
  <c r="AF46" i="24"/>
  <c r="AF55" i="24"/>
  <c r="V63" i="24"/>
  <c r="X63" i="24" s="1"/>
  <c r="V20" i="24"/>
  <c r="X20" i="24" s="1"/>
  <c r="AC22" i="24"/>
  <c r="W26" i="24"/>
  <c r="AF35" i="24"/>
  <c r="AB67" i="24"/>
  <c r="AD67" i="24" s="1"/>
  <c r="O106" i="24"/>
  <c r="O107" i="24" s="1"/>
  <c r="O316" i="24"/>
  <c r="O317" i="24" s="1"/>
  <c r="X11" i="24"/>
  <c r="W12" i="24"/>
  <c r="W14" i="24"/>
  <c r="W15" i="24"/>
  <c r="AF16" i="24"/>
  <c r="P20" i="24"/>
  <c r="Z20" i="24" s="1"/>
  <c r="Y20" i="24" s="1"/>
  <c r="V22" i="24"/>
  <c r="Y31" i="24"/>
  <c r="S34" i="24"/>
  <c r="AB35" i="24"/>
  <c r="AC42" i="24"/>
  <c r="AB46" i="24"/>
  <c r="AF49" i="24"/>
  <c r="AE49" i="24" s="1"/>
  <c r="X52" i="24"/>
  <c r="AF60" i="24"/>
  <c r="AE60" i="24" s="1"/>
  <c r="O130" i="24"/>
  <c r="O131" i="24" s="1"/>
  <c r="G173" i="24"/>
  <c r="G197" i="24"/>
  <c r="G263" i="24"/>
  <c r="AD28" i="24"/>
  <c r="V29" i="24"/>
  <c r="AB47" i="24"/>
  <c r="S48" i="24"/>
  <c r="AB48" i="24"/>
  <c r="S49" i="24"/>
  <c r="Z50" i="24"/>
  <c r="Y50" i="24" s="1"/>
  <c r="AF50" i="24"/>
  <c r="AF51" i="24"/>
  <c r="AF62" i="24"/>
  <c r="AE62" i="24" s="1"/>
  <c r="Y64" i="24"/>
  <c r="X65" i="24"/>
  <c r="AF66" i="24"/>
  <c r="V68" i="24"/>
  <c r="AF23" i="24"/>
  <c r="X13" i="24"/>
  <c r="AB14" i="24"/>
  <c r="S15" i="24"/>
  <c r="AB17" i="24"/>
  <c r="S18" i="24"/>
  <c r="AB18" i="24"/>
  <c r="S19" i="24"/>
  <c r="P21" i="24"/>
  <c r="Z21" i="24" s="1"/>
  <c r="Y21" i="24" s="1"/>
  <c r="V21" i="24"/>
  <c r="X21" i="24" s="1"/>
  <c r="P23" i="24"/>
  <c r="Z23" i="24" s="1"/>
  <c r="V23" i="24"/>
  <c r="AB23" i="24"/>
  <c r="AA56" i="24"/>
  <c r="Z65" i="24"/>
  <c r="AE68" i="24"/>
  <c r="S432" i="24"/>
  <c r="P124" i="24"/>
  <c r="P125" i="24" s="1"/>
  <c r="AB10" i="24"/>
  <c r="S14" i="24"/>
  <c r="AF15" i="24"/>
  <c r="AB16" i="24"/>
  <c r="S17" i="24"/>
  <c r="AD20" i="24"/>
  <c r="Q21" i="24"/>
  <c r="Z22" i="24"/>
  <c r="Q23" i="24"/>
  <c r="X23" i="24"/>
  <c r="P24" i="24"/>
  <c r="Z24" i="24" s="1"/>
  <c r="Y24" i="24" s="1"/>
  <c r="V24" i="24"/>
  <c r="X24" i="24" s="1"/>
  <c r="AD24" i="24"/>
  <c r="AF47" i="24"/>
  <c r="X48" i="24"/>
  <c r="AF48" i="24"/>
  <c r="AB50" i="24"/>
  <c r="S51" i="24"/>
  <c r="AB51" i="24"/>
  <c r="Z63" i="24"/>
  <c r="Y63" i="24" s="1"/>
  <c r="V65" i="24"/>
  <c r="AB66" i="24"/>
  <c r="Z68" i="24"/>
  <c r="AF14" i="24"/>
  <c r="AF17" i="24"/>
  <c r="AF18" i="24"/>
  <c r="AF20" i="24"/>
  <c r="AD23" i="24"/>
  <c r="X27" i="24"/>
  <c r="X49" i="24"/>
  <c r="S50" i="24"/>
  <c r="Z51" i="24"/>
  <c r="X55" i="24"/>
  <c r="S10" i="24"/>
  <c r="AB11" i="24"/>
  <c r="AD11" i="24" s="1"/>
  <c r="S11" i="24"/>
  <c r="S16" i="24"/>
  <c r="Q27" i="24"/>
  <c r="S27" i="24"/>
  <c r="P27" i="24"/>
  <c r="Q13" i="24"/>
  <c r="S13" i="24" s="1"/>
  <c r="AF13" i="24"/>
  <c r="AE13" i="24" s="1"/>
  <c r="Q33" i="24"/>
  <c r="S33" i="24"/>
  <c r="P33" i="24"/>
  <c r="AE25" i="24"/>
  <c r="U28" i="24"/>
  <c r="O28" i="24"/>
  <c r="AB29" i="24"/>
  <c r="AD29" i="24" s="1"/>
  <c r="V30" i="24"/>
  <c r="X30" i="24" s="1"/>
  <c r="AF30" i="24"/>
  <c r="AB30" i="24"/>
  <c r="V31" i="24"/>
  <c r="AF31" i="24"/>
  <c r="AB31" i="24"/>
  <c r="AB32" i="24"/>
  <c r="U33" i="24"/>
  <c r="Y35" i="24"/>
  <c r="P46" i="24"/>
  <c r="Z46" i="24" s="1"/>
  <c r="Y46" i="24" s="1"/>
  <c r="Q46" i="24"/>
  <c r="AA69" i="24"/>
  <c r="AF59" i="24"/>
  <c r="AB59" i="24"/>
  <c r="AD59" i="24"/>
  <c r="G143" i="24"/>
  <c r="O142" i="24"/>
  <c r="AF22" i="24"/>
  <c r="AE22" i="24" s="1"/>
  <c r="Y11" i="24"/>
  <c r="Y18" i="24"/>
  <c r="Y19" i="24"/>
  <c r="AC19" i="24"/>
  <c r="AE21" i="24"/>
  <c r="AB22" i="24"/>
  <c r="AD22" i="24" s="1"/>
  <c r="AE24" i="24"/>
  <c r="W25" i="24"/>
  <c r="AB25" i="24"/>
  <c r="AF25" i="24"/>
  <c r="AE28" i="24"/>
  <c r="P29" i="24"/>
  <c r="AF29" i="24" s="1"/>
  <c r="AE29" i="24" s="1"/>
  <c r="AC29" i="24"/>
  <c r="P30" i="24"/>
  <c r="Z30" i="24" s="1"/>
  <c r="Y30" i="24" s="1"/>
  <c r="W30" i="24"/>
  <c r="P31" i="24"/>
  <c r="Z31" i="24" s="1"/>
  <c r="W31" i="24"/>
  <c r="P32" i="24"/>
  <c r="AF32" i="24" s="1"/>
  <c r="AC32" i="24"/>
  <c r="V35" i="24"/>
  <c r="Z35" i="24"/>
  <c r="U56" i="24"/>
  <c r="V45" i="24"/>
  <c r="W45" i="24"/>
  <c r="S46" i="24"/>
  <c r="P47" i="24"/>
  <c r="Z47" i="24" s="1"/>
  <c r="Y47" i="24" s="1"/>
  <c r="Q47" i="24"/>
  <c r="Q59" i="24"/>
  <c r="Z61" i="24"/>
  <c r="V61" i="24"/>
  <c r="X61" i="24"/>
  <c r="AC61" i="24"/>
  <c r="Y13" i="24"/>
  <c r="AC67" i="24"/>
  <c r="AC60" i="24"/>
  <c r="AC49" i="24"/>
  <c r="AC56" i="24" s="1"/>
  <c r="AC64" i="24"/>
  <c r="P10" i="24"/>
  <c r="Z10" i="24" s="1"/>
  <c r="V10" i="24"/>
  <c r="AD10" i="24"/>
  <c r="P11" i="24"/>
  <c r="AF11" i="24" s="1"/>
  <c r="AE11" i="24" s="1"/>
  <c r="V11" i="24"/>
  <c r="P12" i="24"/>
  <c r="Z12" i="24" s="1"/>
  <c r="Y12" i="24" s="1"/>
  <c r="V12" i="24"/>
  <c r="X12" i="24" s="1"/>
  <c r="AD12" i="24"/>
  <c r="V13" i="24"/>
  <c r="P14" i="24"/>
  <c r="Z14" i="24" s="1"/>
  <c r="Y14" i="24" s="1"/>
  <c r="V14" i="24"/>
  <c r="X14" i="24" s="1"/>
  <c r="AD14" i="24"/>
  <c r="P15" i="24"/>
  <c r="Z15" i="24" s="1"/>
  <c r="Y15" i="24" s="1"/>
  <c r="V15" i="24"/>
  <c r="X15" i="24" s="1"/>
  <c r="AD15" i="24"/>
  <c r="P16" i="24"/>
  <c r="Z16" i="24" s="1"/>
  <c r="Y16" i="24" s="1"/>
  <c r="V16" i="24"/>
  <c r="X16" i="24" s="1"/>
  <c r="AD16" i="24"/>
  <c r="P17" i="24"/>
  <c r="Z17" i="24" s="1"/>
  <c r="Y17" i="24" s="1"/>
  <c r="V17" i="24"/>
  <c r="X17" i="24" s="1"/>
  <c r="AD17" i="24"/>
  <c r="P18" i="24"/>
  <c r="Z18" i="24" s="1"/>
  <c r="V18" i="24"/>
  <c r="AD18" i="24"/>
  <c r="P19" i="24"/>
  <c r="AF19" i="24" s="1"/>
  <c r="AE19" i="24" s="1"/>
  <c r="V19" i="24"/>
  <c r="W21" i="24"/>
  <c r="AB21" i="24"/>
  <c r="W24" i="24"/>
  <c r="AB24" i="24"/>
  <c r="AD26" i="24"/>
  <c r="Y27" i="24"/>
  <c r="AB28" i="24"/>
  <c r="Q29" i="24"/>
  <c r="Y29" i="24"/>
  <c r="Q30" i="24"/>
  <c r="AD30" i="24"/>
  <c r="Q31" i="24"/>
  <c r="AD31" i="24"/>
  <c r="Q32" i="24"/>
  <c r="AD32" i="24"/>
  <c r="P40" i="24"/>
  <c r="Q40" i="24"/>
  <c r="AF41" i="24"/>
  <c r="AB41" i="24"/>
  <c r="V46" i="24"/>
  <c r="X46" i="24" s="1"/>
  <c r="W46" i="24"/>
  <c r="AE59" i="24"/>
  <c r="AF63" i="24"/>
  <c r="AB63" i="24"/>
  <c r="AD63" i="24"/>
  <c r="G269" i="24"/>
  <c r="O268" i="24"/>
  <c r="W10" i="24"/>
  <c r="AE10" i="24"/>
  <c r="W20" i="24"/>
  <c r="W23" i="24"/>
  <c r="V27" i="24"/>
  <c r="Z29" i="24"/>
  <c r="AE30" i="24"/>
  <c r="AE31" i="24"/>
  <c r="Z32" i="24"/>
  <c r="AE32" i="24"/>
  <c r="P34" i="24"/>
  <c r="V39" i="24"/>
  <c r="W39" i="24"/>
  <c r="W40" i="24"/>
  <c r="O56" i="24"/>
  <c r="P45" i="24"/>
  <c r="Q45" i="24"/>
  <c r="Y45" i="24"/>
  <c r="V47" i="24"/>
  <c r="X47" i="24" s="1"/>
  <c r="W47" i="24"/>
  <c r="W59" i="24"/>
  <c r="AE39" i="24"/>
  <c r="Y41" i="24"/>
  <c r="AE45" i="24"/>
  <c r="AE46" i="24"/>
  <c r="AE47" i="24"/>
  <c r="Q48" i="24"/>
  <c r="W48" i="24"/>
  <c r="AE48" i="24"/>
  <c r="Q49" i="24"/>
  <c r="Q50" i="24"/>
  <c r="W50" i="24"/>
  <c r="AE50" i="24"/>
  <c r="Q51" i="24"/>
  <c r="W51" i="24"/>
  <c r="AE51" i="24"/>
  <c r="W52" i="24"/>
  <c r="AE52" i="24"/>
  <c r="W53" i="24"/>
  <c r="AE53" i="24"/>
  <c r="W54" i="24"/>
  <c r="AE54" i="24"/>
  <c r="AE55" i="24"/>
  <c r="V59" i="24"/>
  <c r="AB61" i="24"/>
  <c r="AD61" i="24" s="1"/>
  <c r="Y62" i="24"/>
  <c r="AC62" i="24"/>
  <c r="Z67" i="24"/>
  <c r="G89" i="24"/>
  <c r="P118" i="24"/>
  <c r="O118" i="24"/>
  <c r="O119" i="24" s="1"/>
  <c r="O451" i="24" s="1"/>
  <c r="G203" i="24"/>
  <c r="O202" i="24"/>
  <c r="O220" i="24"/>
  <c r="H251" i="24"/>
  <c r="O250" i="24"/>
  <c r="G257" i="24"/>
  <c r="O256" i="24"/>
  <c r="Y48" i="24"/>
  <c r="Y49" i="24"/>
  <c r="Y51" i="24"/>
  <c r="Y52" i="24"/>
  <c r="Y53" i="24"/>
  <c r="Y54" i="24"/>
  <c r="Y55" i="24"/>
  <c r="Y60" i="24"/>
  <c r="Z64" i="24"/>
  <c r="AF68" i="24"/>
  <c r="AB68" i="24"/>
  <c r="U69" i="24"/>
  <c r="P88" i="24"/>
  <c r="O100" i="24"/>
  <c r="O101" i="24" s="1"/>
  <c r="G101" i="24"/>
  <c r="O154" i="24"/>
  <c r="G155" i="24"/>
  <c r="O382" i="24"/>
  <c r="G383" i="24"/>
  <c r="O394" i="24"/>
  <c r="G395" i="24"/>
  <c r="AD39" i="24"/>
  <c r="V48" i="24"/>
  <c r="V49" i="24"/>
  <c r="V50" i="24"/>
  <c r="X50" i="24" s="1"/>
  <c r="V51" i="24"/>
  <c r="V52" i="24"/>
  <c r="V53" i="24"/>
  <c r="V54" i="24"/>
  <c r="V55" i="24"/>
  <c r="V60" i="24"/>
  <c r="AB62" i="24"/>
  <c r="AD62" i="24" s="1"/>
  <c r="V64" i="24"/>
  <c r="AF64" i="24"/>
  <c r="AE64" i="24" s="1"/>
  <c r="AB64" i="24"/>
  <c r="AD64" i="24" s="1"/>
  <c r="AC65" i="24"/>
  <c r="AF65" i="24"/>
  <c r="AE65" i="24" s="1"/>
  <c r="W66" i="24"/>
  <c r="Z66" i="24"/>
  <c r="Y66" i="24" s="1"/>
  <c r="V66" i="24"/>
  <c r="X66" i="24" s="1"/>
  <c r="Y67" i="24"/>
  <c r="P94" i="24"/>
  <c r="O94" i="24"/>
  <c r="O95" i="24" s="1"/>
  <c r="O450" i="24" s="1"/>
  <c r="G119" i="24"/>
  <c r="H185" i="24"/>
  <c r="O184" i="24"/>
  <c r="G191" i="24"/>
  <c r="O190" i="24"/>
  <c r="O238" i="24"/>
  <c r="AD66" i="24"/>
  <c r="X68" i="24"/>
  <c r="G434" i="24"/>
  <c r="O433" i="24"/>
  <c r="H125" i="24"/>
  <c r="H161" i="24"/>
  <c r="O160" i="24"/>
  <c r="H209" i="24"/>
  <c r="O208" i="24"/>
  <c r="H275" i="24"/>
  <c r="O274" i="24"/>
  <c r="H335" i="24"/>
  <c r="O334" i="24"/>
  <c r="O406" i="24"/>
  <c r="G407" i="24"/>
  <c r="O136" i="24"/>
  <c r="H149" i="24"/>
  <c r="O148" i="24"/>
  <c r="O304" i="24"/>
  <c r="G305" i="24"/>
  <c r="H311" i="24"/>
  <c r="O310" i="24"/>
  <c r="O352" i="24"/>
  <c r="G353" i="24"/>
  <c r="O376" i="24"/>
  <c r="G377" i="24"/>
  <c r="O400" i="24"/>
  <c r="G401" i="24"/>
  <c r="O323" i="24"/>
  <c r="O328" i="24"/>
  <c r="G329" i="24"/>
  <c r="O388" i="24"/>
  <c r="G389" i="24"/>
  <c r="G299" i="24"/>
  <c r="G323" i="24"/>
  <c r="O346" i="24"/>
  <c r="O370" i="24"/>
  <c r="P130" i="24" l="1"/>
  <c r="P107" i="24"/>
  <c r="P226" i="24"/>
  <c r="AD42" i="24"/>
  <c r="P323" i="24"/>
  <c r="O452" i="24"/>
  <c r="P262" i="24"/>
  <c r="Q262" i="24" s="1"/>
  <c r="Q263" i="24" s="1"/>
  <c r="P452" i="24"/>
  <c r="AF27" i="24"/>
  <c r="AE27" i="24" s="1"/>
  <c r="AA36" i="24"/>
  <c r="AA71" i="24" s="1"/>
  <c r="O215" i="24"/>
  <c r="Q100" i="24"/>
  <c r="Q101" i="24" s="1"/>
  <c r="Q452" i="24" s="1"/>
  <c r="P172" i="24"/>
  <c r="Q172" i="24" s="1"/>
  <c r="Q173" i="24" s="1"/>
  <c r="AC27" i="24"/>
  <c r="AC36" i="24" s="1"/>
  <c r="P197" i="24"/>
  <c r="Q196" i="24"/>
  <c r="Q197" i="24" s="1"/>
  <c r="P364" i="24"/>
  <c r="P365" i="24" s="1"/>
  <c r="Q124" i="24"/>
  <c r="Q125" i="24" s="1"/>
  <c r="P286" i="24"/>
  <c r="Q286" i="24" s="1"/>
  <c r="Q287" i="24" s="1"/>
  <c r="P280" i="24"/>
  <c r="P281" i="24" s="1"/>
  <c r="O113" i="24"/>
  <c r="P316" i="24"/>
  <c r="P317" i="24" s="1"/>
  <c r="O341" i="24"/>
  <c r="O299" i="24"/>
  <c r="P244" i="24"/>
  <c r="P245" i="24" s="1"/>
  <c r="AD27" i="24"/>
  <c r="O359" i="24"/>
  <c r="P178" i="24"/>
  <c r="Q178" i="24" s="1"/>
  <c r="Q179" i="24" s="1"/>
  <c r="AB42" i="24"/>
  <c r="AF42" i="24"/>
  <c r="O167" i="24"/>
  <c r="I71" i="24"/>
  <c r="K71" i="24" s="1"/>
  <c r="AB56" i="24"/>
  <c r="AD56" i="24" s="1"/>
  <c r="P232" i="24"/>
  <c r="P233" i="24" s="1"/>
  <c r="P292" i="24"/>
  <c r="P293" i="24" s="1"/>
  <c r="P113" i="24"/>
  <c r="AF56" i="24"/>
  <c r="AE56" i="24" s="1"/>
  <c r="P56" i="24"/>
  <c r="P57" i="24" s="1"/>
  <c r="S56" i="24"/>
  <c r="S57" i="24" s="1"/>
  <c r="W69" i="24"/>
  <c r="AB36" i="24"/>
  <c r="Y10" i="24"/>
  <c r="P376" i="24"/>
  <c r="O377" i="24"/>
  <c r="O161" i="24"/>
  <c r="P160" i="24"/>
  <c r="P256" i="24"/>
  <c r="O257" i="24"/>
  <c r="W56" i="24"/>
  <c r="Q28" i="24"/>
  <c r="P28" i="24"/>
  <c r="Z28" i="24" s="1"/>
  <c r="S28" i="24"/>
  <c r="O371" i="24"/>
  <c r="P370" i="24"/>
  <c r="P400" i="24"/>
  <c r="O401" i="24"/>
  <c r="P310" i="24"/>
  <c r="O311" i="24"/>
  <c r="Q358" i="24"/>
  <c r="Q359" i="24" s="1"/>
  <c r="P359" i="24"/>
  <c r="P215" i="24"/>
  <c r="Q214" i="24"/>
  <c r="Q215" i="24" s="1"/>
  <c r="P394" i="24"/>
  <c r="O395" i="24"/>
  <c r="O155" i="24"/>
  <c r="P154" i="24"/>
  <c r="Q88" i="24"/>
  <c r="Q89" i="24" s="1"/>
  <c r="Q449" i="24" s="1"/>
  <c r="P89" i="24"/>
  <c r="P449" i="24" s="1"/>
  <c r="V56" i="24"/>
  <c r="X56" i="24" s="1"/>
  <c r="AB69" i="24"/>
  <c r="AD69" i="24" s="1"/>
  <c r="W33" i="24"/>
  <c r="V33" i="24"/>
  <c r="X33" i="24" s="1"/>
  <c r="Z33" i="24"/>
  <c r="Y33" i="24" s="1"/>
  <c r="W28" i="24"/>
  <c r="V28" i="24"/>
  <c r="X28" i="24" s="1"/>
  <c r="O149" i="24"/>
  <c r="P148" i="24"/>
  <c r="O275" i="24"/>
  <c r="P274" i="24"/>
  <c r="Y39" i="24"/>
  <c r="Q340" i="24"/>
  <c r="Q341" i="24" s="1"/>
  <c r="P341" i="24"/>
  <c r="P299" i="24"/>
  <c r="Q298" i="24"/>
  <c r="Q299" i="24" s="1"/>
  <c r="O251" i="24"/>
  <c r="P250" i="24"/>
  <c r="P119" i="24"/>
  <c r="P451" i="24" s="1"/>
  <c r="Q118" i="24"/>
  <c r="Q119" i="24" s="1"/>
  <c r="Q451" i="24" s="1"/>
  <c r="P227" i="24"/>
  <c r="Q226" i="24"/>
  <c r="Q227" i="24" s="1"/>
  <c r="Q56" i="24"/>
  <c r="Q57" i="24" s="1"/>
  <c r="W42" i="24"/>
  <c r="X10" i="24"/>
  <c r="AC69" i="24"/>
  <c r="Z59" i="24"/>
  <c r="Z45" i="24"/>
  <c r="Z56" i="24" s="1"/>
  <c r="Y56" i="24" s="1"/>
  <c r="AF69" i="24"/>
  <c r="AE69" i="24" s="1"/>
  <c r="P334" i="24"/>
  <c r="O335" i="24"/>
  <c r="O185" i="24"/>
  <c r="P184" i="24"/>
  <c r="Q42" i="24"/>
  <c r="Q43" i="24" s="1"/>
  <c r="Z40" i="24"/>
  <c r="Y40" i="24" s="1"/>
  <c r="O143" i="24"/>
  <c r="P142" i="24"/>
  <c r="O347" i="24"/>
  <c r="P346" i="24"/>
  <c r="P328" i="24"/>
  <c r="O329" i="24"/>
  <c r="P352" i="24"/>
  <c r="O353" i="24"/>
  <c r="O137" i="24"/>
  <c r="P136" i="24"/>
  <c r="O42" i="24"/>
  <c r="P406" i="24"/>
  <c r="O407" i="24"/>
  <c r="O209" i="24"/>
  <c r="P208" i="24"/>
  <c r="P190" i="24"/>
  <c r="O191" i="24"/>
  <c r="O221" i="24"/>
  <c r="P220" i="24"/>
  <c r="P388" i="24"/>
  <c r="O389" i="24"/>
  <c r="P304" i="24"/>
  <c r="O305" i="24"/>
  <c r="O434" i="24"/>
  <c r="S433" i="24"/>
  <c r="S434" i="24" s="1"/>
  <c r="P433" i="24"/>
  <c r="P434" i="24" s="1"/>
  <c r="Q433" i="24"/>
  <c r="Q434" i="24" s="1"/>
  <c r="O239" i="24"/>
  <c r="P238" i="24"/>
  <c r="P95" i="24"/>
  <c r="P450" i="24" s="1"/>
  <c r="Q94" i="24"/>
  <c r="Q95" i="24" s="1"/>
  <c r="Q450" i="24" s="1"/>
  <c r="P382" i="24"/>
  <c r="O383" i="24"/>
  <c r="O203" i="24"/>
  <c r="P202" i="24"/>
  <c r="P131" i="24"/>
  <c r="Q130" i="24"/>
  <c r="Q131" i="24" s="1"/>
  <c r="V69" i="24"/>
  <c r="X69" i="24" s="1"/>
  <c r="X59" i="24"/>
  <c r="V42" i="24"/>
  <c r="X42" i="24" s="1"/>
  <c r="X39" i="24"/>
  <c r="O269" i="24"/>
  <c r="P268" i="24"/>
  <c r="P167" i="24"/>
  <c r="Q166" i="24"/>
  <c r="Q167" i="24" s="1"/>
  <c r="U36" i="24"/>
  <c r="U71" i="24" s="1"/>
  <c r="P263" i="24" l="1"/>
  <c r="P173" i="24"/>
  <c r="AF36" i="24"/>
  <c r="AD36" i="24"/>
  <c r="Q280" i="24"/>
  <c r="Q281" i="24" s="1"/>
  <c r="Q439" i="24"/>
  <c r="Q440" i="24" s="1"/>
  <c r="Q35" i="24" s="1"/>
  <c r="P439" i="24"/>
  <c r="P440" i="24" s="1"/>
  <c r="P35" i="24" s="1"/>
  <c r="S437" i="24"/>
  <c r="S439" i="24"/>
  <c r="S440" i="24" s="1"/>
  <c r="O437" i="24"/>
  <c r="O439" i="24"/>
  <c r="O440" i="24" s="1"/>
  <c r="O35" i="24" s="1"/>
  <c r="O453" i="24"/>
  <c r="O454" i="24" s="1"/>
  <c r="Q364" i="24"/>
  <c r="Q365" i="24" s="1"/>
  <c r="Q244" i="24"/>
  <c r="Q245" i="24" s="1"/>
  <c r="W74" i="24"/>
  <c r="P287" i="24"/>
  <c r="Q232" i="24"/>
  <c r="Q233" i="24" s="1"/>
  <c r="Q316" i="24"/>
  <c r="Q317" i="24" s="1"/>
  <c r="P179" i="24"/>
  <c r="Q292" i="24"/>
  <c r="Q293" i="24" s="1"/>
  <c r="AC71" i="24"/>
  <c r="W36" i="24"/>
  <c r="W71" i="24" s="1"/>
  <c r="Z42" i="24"/>
  <c r="Y42" i="24" s="1"/>
  <c r="AB71" i="24"/>
  <c r="AD71" i="24" s="1"/>
  <c r="Z36" i="24"/>
  <c r="Y28" i="24"/>
  <c r="P389" i="24"/>
  <c r="Q388" i="24"/>
  <c r="Q389" i="24" s="1"/>
  <c r="Q310" i="24"/>
  <c r="Q311" i="24" s="1"/>
  <c r="P311" i="24"/>
  <c r="P269" i="24"/>
  <c r="Q268" i="24"/>
  <c r="Q269" i="24" s="1"/>
  <c r="P203" i="24"/>
  <c r="Q202" i="24"/>
  <c r="Q203" i="24" s="1"/>
  <c r="Q238" i="24"/>
  <c r="Q239" i="24" s="1"/>
  <c r="P239" i="24"/>
  <c r="Q220" i="24"/>
  <c r="Q221" i="24" s="1"/>
  <c r="P221" i="24"/>
  <c r="P191" i="24"/>
  <c r="Q190" i="24"/>
  <c r="Q191" i="24" s="1"/>
  <c r="P353" i="24"/>
  <c r="Q352" i="24"/>
  <c r="Q353" i="24" s="1"/>
  <c r="V36" i="24"/>
  <c r="P251" i="24"/>
  <c r="Q250" i="24"/>
  <c r="Q251" i="24" s="1"/>
  <c r="P149" i="24"/>
  <c r="Q148" i="24"/>
  <c r="Q149" i="24" s="1"/>
  <c r="Q154" i="24"/>
  <c r="Q155" i="24" s="1"/>
  <c r="P155" i="24"/>
  <c r="P347" i="24"/>
  <c r="Q346" i="24"/>
  <c r="Q347" i="24" s="1"/>
  <c r="P42" i="24"/>
  <c r="AF71" i="24"/>
  <c r="AE71" i="24" s="1"/>
  <c r="AE36" i="24"/>
  <c r="AG56" i="24"/>
  <c r="P209" i="24"/>
  <c r="Q208" i="24"/>
  <c r="Q209" i="24" s="1"/>
  <c r="Q136" i="24"/>
  <c r="Q137" i="24" s="1"/>
  <c r="P137" i="24"/>
  <c r="P143" i="24"/>
  <c r="Q142" i="24"/>
  <c r="Q143" i="24" s="1"/>
  <c r="Z69" i="24"/>
  <c r="Y69" i="24" s="1"/>
  <c r="Y59" i="24"/>
  <c r="P395" i="24"/>
  <c r="Q394" i="24"/>
  <c r="Q395" i="24" s="1"/>
  <c r="P401" i="24"/>
  <c r="Q400" i="24"/>
  <c r="Q401" i="24" s="1"/>
  <c r="P257" i="24"/>
  <c r="Q256" i="24"/>
  <c r="Q257" i="24" s="1"/>
  <c r="P377" i="24"/>
  <c r="Q376" i="24"/>
  <c r="Q377" i="24" s="1"/>
  <c r="P305" i="24"/>
  <c r="Q304" i="24"/>
  <c r="Q305" i="24" s="1"/>
  <c r="P185" i="24"/>
  <c r="Q184" i="24"/>
  <c r="Q185" i="24" s="1"/>
  <c r="P383" i="24"/>
  <c r="Q382" i="24"/>
  <c r="Q383" i="24" s="1"/>
  <c r="P407" i="24"/>
  <c r="Q406" i="24"/>
  <c r="Q407" i="24" s="1"/>
  <c r="P329" i="24"/>
  <c r="Q328" i="24"/>
  <c r="Q329" i="24" s="1"/>
  <c r="Q334" i="24"/>
  <c r="Q335" i="24" s="1"/>
  <c r="P335" i="24"/>
  <c r="P275" i="24"/>
  <c r="Q274" i="24"/>
  <c r="Q275" i="24" s="1"/>
  <c r="P371" i="24"/>
  <c r="Q370" i="24"/>
  <c r="Q371" i="24" s="1"/>
  <c r="P161" i="24"/>
  <c r="Q160" i="24"/>
  <c r="Q161" i="24" s="1"/>
  <c r="Q453" i="24" l="1"/>
  <c r="Q454" i="24" s="1"/>
  <c r="Q456" i="24" s="1"/>
  <c r="P453" i="24"/>
  <c r="P454" i="24" s="1"/>
  <c r="S35" i="24"/>
  <c r="S456" i="24"/>
  <c r="S458" i="24" s="1"/>
  <c r="O68" i="24"/>
  <c r="O456" i="24"/>
  <c r="P437" i="24"/>
  <c r="Q437" i="24"/>
  <c r="O69" i="24"/>
  <c r="O458" i="24"/>
  <c r="S36" i="24"/>
  <c r="S37" i="24" s="1"/>
  <c r="O36" i="24"/>
  <c r="V71" i="24"/>
  <c r="X71" i="24" s="1"/>
  <c r="X36" i="24"/>
  <c r="Z71" i="24"/>
  <c r="Y71" i="24" s="1"/>
  <c r="Y36" i="24"/>
  <c r="Q36" i="24"/>
  <c r="Q37" i="24" s="1"/>
  <c r="W75" i="24"/>
  <c r="P43" i="24"/>
  <c r="AG42" i="24"/>
  <c r="P36" i="24"/>
  <c r="Q68" i="24" l="1"/>
  <c r="Q69" i="24" s="1"/>
  <c r="AG69" i="24" s="1"/>
  <c r="P456" i="24"/>
  <c r="P458" i="24" s="1"/>
  <c r="P68" i="24"/>
  <c r="O71" i="24"/>
  <c r="O75" i="24" s="1"/>
  <c r="O79" i="24" s="1"/>
  <c r="Q458" i="24"/>
  <c r="P69" i="24"/>
  <c r="W73" i="24"/>
  <c r="W77" i="24" s="1"/>
  <c r="X77" i="24" s="1"/>
  <c r="P37" i="24"/>
  <c r="AG36" i="24"/>
  <c r="Q70" i="24" l="1"/>
  <c r="Q71" i="24" s="1"/>
  <c r="P71" i="24"/>
  <c r="W84" i="24"/>
  <c r="X84" i="24" s="1"/>
  <c r="X89" i="24" l="1"/>
  <c r="V90" i="24"/>
  <c r="V91" i="24" s="1"/>
  <c r="AG71" i="24"/>
  <c r="G142" i="17" l="1"/>
  <c r="O73" i="17" l="1"/>
  <c r="O48" i="17"/>
  <c r="O45" i="17"/>
  <c r="O39" i="17"/>
  <c r="Z84" i="17" l="1"/>
  <c r="Y84" i="17"/>
  <c r="Y79" i="17"/>
  <c r="AA84" i="17" l="1"/>
  <c r="V74" i="17" l="1"/>
  <c r="I46" i="17" l="1"/>
  <c r="H46" i="17"/>
  <c r="V87" i="17" l="1"/>
  <c r="H33" i="17" l="1"/>
  <c r="H29" i="17"/>
  <c r="H28" i="17"/>
  <c r="M71" i="17" l="1"/>
  <c r="N71" i="17"/>
  <c r="O141" i="17" l="1"/>
  <c r="Q141" i="17" s="1"/>
  <c r="J143" i="17"/>
  <c r="I143" i="17"/>
  <c r="H143" i="17"/>
  <c r="G143" i="17"/>
  <c r="F142" i="17"/>
  <c r="B142" i="17"/>
  <c r="S141" i="17" l="1"/>
  <c r="O142" i="17"/>
  <c r="Q142" i="17" s="1"/>
  <c r="P141" i="17"/>
  <c r="P142" i="17" l="1"/>
  <c r="P143" i="17" s="1"/>
  <c r="P152" i="17" s="1"/>
  <c r="P153" i="17" s="1"/>
  <c r="S142" i="17"/>
  <c r="S143" i="17" s="1"/>
  <c r="S152" i="17" s="1"/>
  <c r="O143" i="17"/>
  <c r="O152" i="17" s="1"/>
  <c r="Q143" i="17"/>
  <c r="Q152" i="17" s="1"/>
  <c r="Q153" i="17" l="1"/>
  <c r="Q55" i="17"/>
  <c r="O153" i="17"/>
  <c r="O55" i="17"/>
  <c r="S153" i="17"/>
  <c r="S55" i="17"/>
  <c r="P67" i="17"/>
  <c r="N76" i="17"/>
  <c r="N77" i="17"/>
  <c r="N75" i="17"/>
  <c r="P66" i="17"/>
  <c r="H27" i="17"/>
  <c r="V85" i="17" l="1"/>
  <c r="V86" i="17"/>
  <c r="V88" i="17" l="1"/>
  <c r="J95" i="17"/>
  <c r="N95" i="17"/>
  <c r="M95" i="17"/>
  <c r="L95" i="17"/>
  <c r="K95" i="17"/>
  <c r="I95" i="17"/>
  <c r="O135" i="17"/>
  <c r="S135" i="17" s="1"/>
  <c r="N137" i="17"/>
  <c r="M137" i="17"/>
  <c r="L137" i="17"/>
  <c r="K137" i="17"/>
  <c r="J137" i="17"/>
  <c r="I137" i="17"/>
  <c r="H136" i="17"/>
  <c r="H137" i="17" s="1"/>
  <c r="G136" i="17"/>
  <c r="F136" i="17"/>
  <c r="B136" i="17"/>
  <c r="P129" i="17"/>
  <c r="Q129" i="17" s="1"/>
  <c r="O129" i="17"/>
  <c r="N131" i="17"/>
  <c r="M131" i="17"/>
  <c r="L131" i="17"/>
  <c r="K131" i="17"/>
  <c r="J131" i="17"/>
  <c r="I131" i="17"/>
  <c r="H130" i="17"/>
  <c r="H131" i="17" s="1"/>
  <c r="G130" i="17"/>
  <c r="F130" i="17"/>
  <c r="B130" i="17"/>
  <c r="P123" i="17"/>
  <c r="Q123" i="17" s="1"/>
  <c r="O123" i="17"/>
  <c r="N125" i="17"/>
  <c r="M125" i="17"/>
  <c r="L125" i="17"/>
  <c r="K125" i="17"/>
  <c r="J125" i="17"/>
  <c r="I125" i="17"/>
  <c r="H124" i="17"/>
  <c r="H125" i="17" s="1"/>
  <c r="G124" i="17"/>
  <c r="F124" i="17"/>
  <c r="B124" i="17"/>
  <c r="N119" i="17"/>
  <c r="M119" i="17"/>
  <c r="L119" i="17"/>
  <c r="K119" i="17"/>
  <c r="J119" i="17"/>
  <c r="I119" i="17"/>
  <c r="H118" i="17"/>
  <c r="H119" i="17" s="1"/>
  <c r="G118" i="17"/>
  <c r="F118" i="17"/>
  <c r="B118" i="17"/>
  <c r="P117" i="17"/>
  <c r="Q117" i="17" s="1"/>
  <c r="O117" i="17"/>
  <c r="P111" i="17"/>
  <c r="Q111" i="17" s="1"/>
  <c r="O111" i="17"/>
  <c r="N113" i="17"/>
  <c r="M113" i="17"/>
  <c r="L113" i="17"/>
  <c r="K113" i="17"/>
  <c r="J113" i="17"/>
  <c r="I113" i="17"/>
  <c r="H112" i="17"/>
  <c r="H113" i="17" s="1"/>
  <c r="G112" i="17"/>
  <c r="F112" i="17"/>
  <c r="B112" i="17"/>
  <c r="P105" i="17"/>
  <c r="Q105" i="17" s="1"/>
  <c r="O105" i="17"/>
  <c r="H106" i="17"/>
  <c r="H107" i="17" s="1"/>
  <c r="G106" i="17"/>
  <c r="H100" i="17"/>
  <c r="G100" i="17"/>
  <c r="H94" i="17"/>
  <c r="H95" i="17" s="1"/>
  <c r="G94" i="17"/>
  <c r="G95" i="17" s="1"/>
  <c r="N107" i="17"/>
  <c r="M107" i="17"/>
  <c r="L107" i="17"/>
  <c r="K107" i="17"/>
  <c r="J107" i="17"/>
  <c r="I107" i="17"/>
  <c r="F106" i="17"/>
  <c r="B106" i="17"/>
  <c r="P87" i="17"/>
  <c r="O87" i="17"/>
  <c r="O136" i="17" l="1"/>
  <c r="S136" i="17" s="1"/>
  <c r="S137" i="17" s="1"/>
  <c r="S146" i="17" s="1"/>
  <c r="O106" i="17"/>
  <c r="O107" i="17" s="1"/>
  <c r="G137" i="17"/>
  <c r="O112" i="17"/>
  <c r="O113" i="17" s="1"/>
  <c r="O156" i="17" s="1"/>
  <c r="P124" i="17"/>
  <c r="Q124" i="17" s="1"/>
  <c r="Q125" i="17" s="1"/>
  <c r="O130" i="17"/>
  <c r="O131" i="17" s="1"/>
  <c r="O157" i="17" s="1"/>
  <c r="P112" i="17"/>
  <c r="Q112" i="17" s="1"/>
  <c r="Q113" i="17" s="1"/>
  <c r="Q156" i="17" s="1"/>
  <c r="P130" i="17"/>
  <c r="Q130" i="17" s="1"/>
  <c r="Q131" i="17" s="1"/>
  <c r="Q157" i="17" s="1"/>
  <c r="P118" i="17"/>
  <c r="P119" i="17" s="1"/>
  <c r="P135" i="17"/>
  <c r="Q135" i="17"/>
  <c r="G131" i="17"/>
  <c r="G125" i="17"/>
  <c r="O124" i="17"/>
  <c r="O125" i="17" s="1"/>
  <c r="G119" i="17"/>
  <c r="O118" i="17"/>
  <c r="O119" i="17" s="1"/>
  <c r="G113" i="17"/>
  <c r="P106" i="17"/>
  <c r="P107" i="17" s="1"/>
  <c r="G107" i="17"/>
  <c r="Q136" i="17" l="1"/>
  <c r="Q137" i="17" s="1"/>
  <c r="Q149" i="17" s="1"/>
  <c r="P136" i="17"/>
  <c r="P137" i="17" s="1"/>
  <c r="P149" i="17" s="1"/>
  <c r="P150" i="17" s="1"/>
  <c r="O137" i="17"/>
  <c r="O149" i="17" s="1"/>
  <c r="P113" i="17"/>
  <c r="P156" i="17" s="1"/>
  <c r="O158" i="17"/>
  <c r="Q118" i="17"/>
  <c r="Q119" i="17" s="1"/>
  <c r="Q158" i="17" s="1"/>
  <c r="P125" i="17"/>
  <c r="P158" i="17" s="1"/>
  <c r="P131" i="17"/>
  <c r="P157" i="17" s="1"/>
  <c r="S149" i="17"/>
  <c r="Q106" i="17"/>
  <c r="Q107" i="17" s="1"/>
  <c r="Q150" i="17" l="1"/>
  <c r="Q35" i="17"/>
  <c r="S150" i="17"/>
  <c r="S161" i="17" s="1"/>
  <c r="S163" i="17" s="1"/>
  <c r="S35" i="17"/>
  <c r="O150" i="17"/>
  <c r="O35" i="17"/>
  <c r="P35" i="17" s="1"/>
  <c r="S126" i="17"/>
  <c r="N89" i="17"/>
  <c r="M89" i="17"/>
  <c r="L89" i="17"/>
  <c r="K89" i="17"/>
  <c r="J89" i="17"/>
  <c r="I89" i="17"/>
  <c r="H88" i="17"/>
  <c r="H89" i="17" s="1"/>
  <c r="G88" i="17"/>
  <c r="F88" i="17"/>
  <c r="Q87" i="17"/>
  <c r="F94" i="17"/>
  <c r="B94" i="17"/>
  <c r="P93" i="17"/>
  <c r="Q93" i="17" s="1"/>
  <c r="O93" i="17"/>
  <c r="N101" i="17"/>
  <c r="M101" i="17"/>
  <c r="L101" i="17"/>
  <c r="K101" i="17"/>
  <c r="J101" i="17"/>
  <c r="I101" i="17"/>
  <c r="H101" i="17"/>
  <c r="G101" i="17"/>
  <c r="F100" i="17"/>
  <c r="B100" i="17"/>
  <c r="P99" i="17"/>
  <c r="Q99" i="17" s="1"/>
  <c r="O99" i="17"/>
  <c r="M77" i="17"/>
  <c r="M78" i="17"/>
  <c r="M76" i="17"/>
  <c r="M75" i="17"/>
  <c r="P94" i="17" l="1"/>
  <c r="O94" i="17"/>
  <c r="P88" i="17"/>
  <c r="G89" i="17"/>
  <c r="O88" i="17"/>
  <c r="O100" i="17"/>
  <c r="O101" i="17" s="1"/>
  <c r="P100" i="17"/>
  <c r="P89" i="17" l="1"/>
  <c r="O95" i="17"/>
  <c r="O89" i="17"/>
  <c r="Q94" i="17"/>
  <c r="P95" i="17"/>
  <c r="Q88" i="17"/>
  <c r="P101" i="17"/>
  <c r="Q100" i="17"/>
  <c r="Q101" i="17" s="1"/>
  <c r="O146" i="17" l="1"/>
  <c r="P146" i="17"/>
  <c r="S108" i="17"/>
  <c r="O155" i="17"/>
  <c r="O159" i="17" s="1"/>
  <c r="P155" i="17"/>
  <c r="Q89" i="17"/>
  <c r="Q95" i="17"/>
  <c r="G27" i="17"/>
  <c r="Q146" i="17" l="1"/>
  <c r="O68" i="17"/>
  <c r="O161" i="17"/>
  <c r="O163" i="17" s="1"/>
  <c r="Q155" i="17"/>
  <c r="O17" i="17"/>
  <c r="P17" i="17" s="1"/>
  <c r="Q17" i="17" l="1"/>
  <c r="H70" i="17" l="1"/>
  <c r="H69" i="17"/>
  <c r="G70" i="17"/>
  <c r="G69" i="17"/>
  <c r="H71" i="17" l="1"/>
  <c r="G71" i="17"/>
  <c r="I71" i="17" l="1"/>
  <c r="V83" i="17" l="1"/>
  <c r="V76" i="17" l="1"/>
  <c r="P62" i="17" l="1"/>
  <c r="P64" i="17"/>
  <c r="P63" i="17"/>
  <c r="P159" i="17" l="1"/>
  <c r="A25" i="15"/>
  <c r="A46" i="14"/>
  <c r="A83" i="17"/>
  <c r="C70" i="17"/>
  <c r="C69" i="17"/>
  <c r="AC68" i="17"/>
  <c r="AA68" i="17"/>
  <c r="AE68" i="17" s="1"/>
  <c r="W68" i="17"/>
  <c r="U68" i="17"/>
  <c r="Y68" i="17" s="1"/>
  <c r="AA67" i="17"/>
  <c r="W67" i="17"/>
  <c r="U67" i="17"/>
  <c r="Y67" i="17" s="1"/>
  <c r="O67" i="17"/>
  <c r="AC66" i="17"/>
  <c r="AA66" i="17"/>
  <c r="AF66" i="17" s="1"/>
  <c r="U66" i="17"/>
  <c r="O66" i="17"/>
  <c r="AA65" i="17"/>
  <c r="W65" i="17"/>
  <c r="U65" i="17"/>
  <c r="Y65" i="17" s="1"/>
  <c r="P65" i="17"/>
  <c r="O65" i="17"/>
  <c r="AA64" i="17"/>
  <c r="W64" i="17"/>
  <c r="U64" i="17"/>
  <c r="Z64" i="17" s="1"/>
  <c r="O64" i="17"/>
  <c r="AC63" i="17"/>
  <c r="AA63" i="17"/>
  <c r="AB63" i="17" s="1"/>
  <c r="U63" i="17"/>
  <c r="O63" i="17"/>
  <c r="AA62" i="17"/>
  <c r="W62" i="17"/>
  <c r="U62" i="17"/>
  <c r="X62" i="17" s="1"/>
  <c r="O62" i="17"/>
  <c r="AA61" i="17"/>
  <c r="W61" i="17"/>
  <c r="U61" i="17"/>
  <c r="Y61" i="17" s="1"/>
  <c r="O61" i="17"/>
  <c r="AA60" i="17"/>
  <c r="W60" i="17"/>
  <c r="U60" i="17"/>
  <c r="Z60" i="17" s="1"/>
  <c r="P60" i="17"/>
  <c r="O60" i="17"/>
  <c r="AC59" i="17"/>
  <c r="AA59" i="17"/>
  <c r="AF59" i="17" s="1"/>
  <c r="U59" i="17"/>
  <c r="P59" i="17"/>
  <c r="O59" i="17"/>
  <c r="C57" i="17"/>
  <c r="C56" i="17"/>
  <c r="AC55" i="17"/>
  <c r="AA55" i="17"/>
  <c r="AD55" i="17" s="1"/>
  <c r="W55" i="17"/>
  <c r="U55" i="17"/>
  <c r="Z55" i="17" s="1"/>
  <c r="P55" i="17"/>
  <c r="AC54" i="17"/>
  <c r="AA54" i="17"/>
  <c r="AE54" i="17" s="1"/>
  <c r="U54" i="17"/>
  <c r="Y54" i="17" s="1"/>
  <c r="O54" i="17"/>
  <c r="AC53" i="17"/>
  <c r="AA53" i="17"/>
  <c r="AF53" i="17" s="1"/>
  <c r="U53" i="17"/>
  <c r="Y53" i="17" s="1"/>
  <c r="O53" i="17"/>
  <c r="AC52" i="17"/>
  <c r="AA52" i="17"/>
  <c r="AE52" i="17" s="1"/>
  <c r="U52" i="17"/>
  <c r="Y52" i="17" s="1"/>
  <c r="O52" i="17"/>
  <c r="AC51" i="17"/>
  <c r="AA51" i="17"/>
  <c r="AF51" i="17" s="1"/>
  <c r="U51" i="17"/>
  <c r="X51" i="17" s="1"/>
  <c r="O51" i="17"/>
  <c r="AC50" i="17"/>
  <c r="AA50" i="17"/>
  <c r="AE50" i="17" s="1"/>
  <c r="U50" i="17"/>
  <c r="O50" i="17"/>
  <c r="AA49" i="17"/>
  <c r="W49" i="17"/>
  <c r="U49" i="17"/>
  <c r="Y49" i="17" s="1"/>
  <c r="O49" i="17"/>
  <c r="AC48" i="17"/>
  <c r="AA48" i="17"/>
  <c r="AE48" i="17" s="1"/>
  <c r="U48" i="17"/>
  <c r="AC47" i="17"/>
  <c r="AA47" i="17"/>
  <c r="AD47" i="17" s="1"/>
  <c r="U47" i="17"/>
  <c r="O47" i="17"/>
  <c r="AC46" i="17"/>
  <c r="AA46" i="17"/>
  <c r="AE46" i="17" s="1"/>
  <c r="U46" i="17"/>
  <c r="O46" i="17"/>
  <c r="AC45" i="17"/>
  <c r="AA45" i="17"/>
  <c r="AB45" i="17" s="1"/>
  <c r="U45" i="17"/>
  <c r="C43" i="17"/>
  <c r="S42" i="17"/>
  <c r="S43" i="17" s="1"/>
  <c r="C42" i="17"/>
  <c r="AC41" i="17"/>
  <c r="AA41" i="17"/>
  <c r="AE41" i="17" s="1"/>
  <c r="W41" i="17"/>
  <c r="U41" i="17"/>
  <c r="Y41" i="17" s="1"/>
  <c r="AC40" i="17"/>
  <c r="AA40" i="17"/>
  <c r="AE40" i="17" s="1"/>
  <c r="U40" i="17"/>
  <c r="O40" i="17"/>
  <c r="AC39" i="17"/>
  <c r="AA39" i="17"/>
  <c r="AE39" i="17" s="1"/>
  <c r="U39" i="17"/>
  <c r="C37" i="17"/>
  <c r="C36" i="17"/>
  <c r="AC35" i="17"/>
  <c r="AA35" i="17"/>
  <c r="AE35" i="17" s="1"/>
  <c r="W35" i="17"/>
  <c r="U35" i="17"/>
  <c r="Y35" i="17" s="1"/>
  <c r="O34" i="17"/>
  <c r="AC33" i="17"/>
  <c r="AA33" i="17"/>
  <c r="AE33" i="17" s="1"/>
  <c r="U33" i="17"/>
  <c r="O33" i="17"/>
  <c r="AA32" i="17"/>
  <c r="W32" i="17"/>
  <c r="U32" i="17"/>
  <c r="Z32" i="17" s="1"/>
  <c r="O32" i="17"/>
  <c r="AC31" i="17"/>
  <c r="AA31" i="17"/>
  <c r="AE31" i="17" s="1"/>
  <c r="U31" i="17"/>
  <c r="O31" i="17"/>
  <c r="AC30" i="17"/>
  <c r="AA30" i="17"/>
  <c r="AE30" i="17" s="1"/>
  <c r="U30" i="17"/>
  <c r="O30" i="17"/>
  <c r="AA29" i="17"/>
  <c r="W29" i="17"/>
  <c r="U29" i="17"/>
  <c r="Y29" i="17" s="1"/>
  <c r="O29" i="17"/>
  <c r="AC28" i="17"/>
  <c r="AA28" i="17"/>
  <c r="AE28" i="17" s="1"/>
  <c r="U28" i="17"/>
  <c r="O28" i="17"/>
  <c r="W27" i="17"/>
  <c r="U27" i="17"/>
  <c r="Y27" i="17" s="1"/>
  <c r="AC26" i="17"/>
  <c r="AA26" i="17"/>
  <c r="AE26" i="17" s="1"/>
  <c r="U26" i="17"/>
  <c r="Y26" i="17" s="1"/>
  <c r="O26" i="17"/>
  <c r="AC25" i="17"/>
  <c r="AA25" i="17"/>
  <c r="AE25" i="17" s="1"/>
  <c r="U25" i="17"/>
  <c r="O25" i="17"/>
  <c r="AC24" i="17"/>
  <c r="AA24" i="17"/>
  <c r="AE24" i="17" s="1"/>
  <c r="U24" i="17"/>
  <c r="O24" i="17"/>
  <c r="AC23" i="17"/>
  <c r="AA23" i="17"/>
  <c r="AE23" i="17" s="1"/>
  <c r="U23" i="17"/>
  <c r="O23" i="17"/>
  <c r="S23" i="17" s="1"/>
  <c r="AA22" i="17"/>
  <c r="W22" i="17"/>
  <c r="U22" i="17"/>
  <c r="Y22" i="17" s="1"/>
  <c r="O22" i="17"/>
  <c r="AC21" i="17"/>
  <c r="AA21" i="17"/>
  <c r="AE21" i="17" s="1"/>
  <c r="U21" i="17"/>
  <c r="O21" i="17"/>
  <c r="AC20" i="17"/>
  <c r="AA20" i="17"/>
  <c r="AE20" i="17" s="1"/>
  <c r="U20" i="17"/>
  <c r="O20" i="17"/>
  <c r="AA19" i="17"/>
  <c r="W19" i="17"/>
  <c r="U19" i="17"/>
  <c r="Y19" i="17" s="1"/>
  <c r="O19" i="17"/>
  <c r="AC18" i="17"/>
  <c r="AA18" i="17"/>
  <c r="AE18" i="17" s="1"/>
  <c r="U18" i="17"/>
  <c r="O18" i="17"/>
  <c r="P18" i="17" s="1"/>
  <c r="AC17" i="17"/>
  <c r="AA17" i="17"/>
  <c r="AE17" i="17" s="1"/>
  <c r="U17" i="17"/>
  <c r="AC16" i="17"/>
  <c r="AA16" i="17"/>
  <c r="AE16" i="17" s="1"/>
  <c r="U16" i="17"/>
  <c r="O16" i="17"/>
  <c r="AC15" i="17"/>
  <c r="AA15" i="17"/>
  <c r="AE15" i="17" s="1"/>
  <c r="U15" i="17"/>
  <c r="O15" i="17"/>
  <c r="AC14" i="17"/>
  <c r="AA14" i="17"/>
  <c r="AE14" i="17" s="1"/>
  <c r="U14" i="17"/>
  <c r="O14" i="17"/>
  <c r="AA13" i="17"/>
  <c r="W13" i="17"/>
  <c r="U13" i="17"/>
  <c r="Y13" i="17" s="1"/>
  <c r="O13" i="17"/>
  <c r="AC12" i="17"/>
  <c r="AA12" i="17"/>
  <c r="AE12" i="17" s="1"/>
  <c r="U12" i="17"/>
  <c r="O12" i="17"/>
  <c r="AA11" i="17"/>
  <c r="W11" i="17"/>
  <c r="U11" i="17"/>
  <c r="Z11" i="17" s="1"/>
  <c r="O11" i="17"/>
  <c r="AC10" i="17"/>
  <c r="AA10" i="17"/>
  <c r="AE10" i="17" s="1"/>
  <c r="U10" i="17"/>
  <c r="O10" i="17"/>
  <c r="A5" i="17"/>
  <c r="A4" i="17"/>
  <c r="W1" i="17"/>
  <c r="P68" i="17" l="1"/>
  <c r="P161" i="17"/>
  <c r="P163" i="17" s="1"/>
  <c r="AB41" i="17"/>
  <c r="AB54" i="17"/>
  <c r="AD54" i="17"/>
  <c r="X68" i="17"/>
  <c r="AC64" i="17"/>
  <c r="AB26" i="17"/>
  <c r="J71" i="17"/>
  <c r="K71" i="17" s="1"/>
  <c r="X54" i="17"/>
  <c r="S50" i="17"/>
  <c r="X53" i="17"/>
  <c r="P54" i="17"/>
  <c r="H80" i="17"/>
  <c r="H79" i="17"/>
  <c r="H75" i="17"/>
  <c r="H76" i="17"/>
  <c r="P12" i="17"/>
  <c r="Z12" i="17" s="1"/>
  <c r="Y12" i="17" s="1"/>
  <c r="P14" i="17"/>
  <c r="Z14" i="17" s="1"/>
  <c r="Y14" i="17" s="1"/>
  <c r="Q18" i="17"/>
  <c r="Q20" i="17"/>
  <c r="Q21" i="17"/>
  <c r="Q22" i="17"/>
  <c r="Q23" i="17"/>
  <c r="Q29" i="17"/>
  <c r="AB29" i="17"/>
  <c r="AD29" i="17" s="1"/>
  <c r="AB33" i="17"/>
  <c r="AD33" i="17"/>
  <c r="P28" i="17"/>
  <c r="Z28" i="17" s="1"/>
  <c r="Y28" i="17" s="1"/>
  <c r="AB28" i="17"/>
  <c r="S28" i="17"/>
  <c r="V49" i="17"/>
  <c r="X67" i="17"/>
  <c r="Q60" i="17"/>
  <c r="AF60" i="17" s="1"/>
  <c r="AE60" i="17" s="1"/>
  <c r="AD35" i="17"/>
  <c r="AB35" i="17"/>
  <c r="Q34" i="17"/>
  <c r="AB22" i="17"/>
  <c r="AD22" i="17" s="1"/>
  <c r="Q66" i="17"/>
  <c r="AB40" i="17"/>
  <c r="AD40" i="17"/>
  <c r="AD12" i="17"/>
  <c r="V21" i="17"/>
  <c r="X21" i="17" s="1"/>
  <c r="S31" i="17"/>
  <c r="AC42" i="17"/>
  <c r="AD41" i="17"/>
  <c r="S53" i="17"/>
  <c r="V59" i="17"/>
  <c r="X59" i="17" s="1"/>
  <c r="X61" i="17"/>
  <c r="AD18" i="17"/>
  <c r="AD25" i="17"/>
  <c r="AF45" i="17"/>
  <c r="V46" i="17"/>
  <c r="X46" i="17" s="1"/>
  <c r="AD46" i="17"/>
  <c r="V48" i="17"/>
  <c r="X48" i="17" s="1"/>
  <c r="AD48" i="17"/>
  <c r="V54" i="17"/>
  <c r="AB18" i="17"/>
  <c r="P21" i="17"/>
  <c r="Z21" i="17" s="1"/>
  <c r="Y21" i="17" s="1"/>
  <c r="AB25" i="17"/>
  <c r="AD26" i="17"/>
  <c r="AD28" i="17"/>
  <c r="V30" i="17"/>
  <c r="X30" i="17" s="1"/>
  <c r="P31" i="17"/>
  <c r="Z31" i="17" s="1"/>
  <c r="Y31" i="17" s="1"/>
  <c r="P46" i="17"/>
  <c r="Z46" i="17" s="1"/>
  <c r="Y46" i="17" s="1"/>
  <c r="AB46" i="17"/>
  <c r="V47" i="17"/>
  <c r="X47" i="17" s="1"/>
  <c r="P48" i="17"/>
  <c r="AB48" i="17"/>
  <c r="P49" i="17"/>
  <c r="X49" i="17"/>
  <c r="X52" i="17"/>
  <c r="P53" i="17"/>
  <c r="S54" i="17"/>
  <c r="Q64" i="17"/>
  <c r="AB67" i="17"/>
  <c r="AD67" i="17" s="1"/>
  <c r="AB13" i="17"/>
  <c r="AD13" i="17" s="1"/>
  <c r="AB15" i="17"/>
  <c r="S17" i="17"/>
  <c r="X19" i="17"/>
  <c r="AD21" i="17"/>
  <c r="V22" i="17"/>
  <c r="AC22" i="17"/>
  <c r="W23" i="17"/>
  <c r="AD23" i="17"/>
  <c r="AB24" i="17"/>
  <c r="Q25" i="17"/>
  <c r="P26" i="17"/>
  <c r="V26" i="17"/>
  <c r="O27" i="17"/>
  <c r="O36" i="17" s="1"/>
  <c r="X27" i="17"/>
  <c r="P30" i="17"/>
  <c r="Z30" i="17" s="1"/>
  <c r="Y30" i="17" s="1"/>
  <c r="AD30" i="17"/>
  <c r="AF33" i="17"/>
  <c r="S34" i="17"/>
  <c r="X35" i="17"/>
  <c r="AF40" i="17"/>
  <c r="X41" i="17"/>
  <c r="AC49" i="17"/>
  <c r="AC56" i="17" s="1"/>
  <c r="AB50" i="17"/>
  <c r="S51" i="17"/>
  <c r="S52" i="17"/>
  <c r="AD52" i="17"/>
  <c r="Y62" i="17"/>
  <c r="AF63" i="17"/>
  <c r="AC65" i="17"/>
  <c r="V25" i="17"/>
  <c r="X25" i="17" s="1"/>
  <c r="Q26" i="17"/>
  <c r="X26" i="17"/>
  <c r="AA27" i="17"/>
  <c r="AC27" i="17" s="1"/>
  <c r="Q30" i="17"/>
  <c r="AF30" i="17"/>
  <c r="Z35" i="17"/>
  <c r="Z41" i="17"/>
  <c r="AF47" i="17"/>
  <c r="AF52" i="17"/>
  <c r="W12" i="17"/>
  <c r="AD10" i="17"/>
  <c r="AD15" i="17"/>
  <c r="S18" i="17"/>
  <c r="V19" i="17"/>
  <c r="AB21" i="17"/>
  <c r="S22" i="17"/>
  <c r="X22" i="17"/>
  <c r="P23" i="17"/>
  <c r="Z23" i="17" s="1"/>
  <c r="AB23" i="17"/>
  <c r="AD24" i="17"/>
  <c r="AF25" i="17"/>
  <c r="S26" i="17"/>
  <c r="AF26" i="17"/>
  <c r="V27" i="17"/>
  <c r="V28" i="17"/>
  <c r="X28" i="17" s="1"/>
  <c r="S30" i="17"/>
  <c r="AB30" i="17"/>
  <c r="V31" i="17"/>
  <c r="X31" i="17" s="1"/>
  <c r="P34" i="17"/>
  <c r="V35" i="17"/>
  <c r="AF35" i="17"/>
  <c r="P39" i="17"/>
  <c r="Z39" i="17" s="1"/>
  <c r="V41" i="17"/>
  <c r="AF41" i="17"/>
  <c r="AD50" i="17"/>
  <c r="P52" i="17"/>
  <c r="V52" i="17"/>
  <c r="AB52" i="17"/>
  <c r="V53" i="17"/>
  <c r="AF54" i="17"/>
  <c r="V62" i="17"/>
  <c r="V65" i="17"/>
  <c r="AB68" i="17"/>
  <c r="W18" i="17"/>
  <c r="W33" i="17"/>
  <c r="W39" i="17"/>
  <c r="AF17" i="17"/>
  <c r="AB10" i="17"/>
  <c r="AC11" i="17"/>
  <c r="S12" i="17"/>
  <c r="P13" i="17"/>
  <c r="Q13" i="17" s="1"/>
  <c r="X13" i="17"/>
  <c r="AC13" i="17"/>
  <c r="AD14" i="17"/>
  <c r="AF15" i="17"/>
  <c r="AD16" i="17"/>
  <c r="W17" i="17"/>
  <c r="AD17" i="17"/>
  <c r="AF18" i="17"/>
  <c r="Z19" i="17"/>
  <c r="W20" i="17"/>
  <c r="AB20" i="17"/>
  <c r="P22" i="17"/>
  <c r="AF23" i="17"/>
  <c r="W24" i="17"/>
  <c r="P25" i="17"/>
  <c r="Z25" i="17" s="1"/>
  <c r="Y25" i="17" s="1"/>
  <c r="Q28" i="17"/>
  <c r="W28" i="17"/>
  <c r="P29" i="17"/>
  <c r="V29" i="17"/>
  <c r="AC29" i="17"/>
  <c r="Q31" i="17"/>
  <c r="W31" i="17"/>
  <c r="AB31" i="17"/>
  <c r="AF31" i="17"/>
  <c r="S32" i="17"/>
  <c r="X32" i="17"/>
  <c r="AB32" i="17"/>
  <c r="AD32" i="17" s="1"/>
  <c r="S33" i="17"/>
  <c r="Q39" i="17"/>
  <c r="AB39" i="17"/>
  <c r="AF39" i="17"/>
  <c r="P45" i="17"/>
  <c r="Z45" i="17" s="1"/>
  <c r="Y45" i="17" s="1"/>
  <c r="W47" i="17"/>
  <c r="W48" i="17"/>
  <c r="S49" i="17"/>
  <c r="P51" i="17"/>
  <c r="Z51" i="17" s="1"/>
  <c r="AD53" i="17"/>
  <c r="Z61" i="17"/>
  <c r="V61" i="17"/>
  <c r="Z62" i="17"/>
  <c r="Q63" i="17"/>
  <c r="Q67" i="17"/>
  <c r="AC67" i="17"/>
  <c r="Z13" i="17"/>
  <c r="AF14" i="17"/>
  <c r="AF16" i="17"/>
  <c r="V20" i="17"/>
  <c r="X20" i="17" s="1"/>
  <c r="V24" i="17"/>
  <c r="X24" i="17" s="1"/>
  <c r="W25" i="17"/>
  <c r="Z26" i="17"/>
  <c r="Y32" i="17"/>
  <c r="AC32" i="17"/>
  <c r="V40" i="17"/>
  <c r="X40" i="17" s="1"/>
  <c r="O42" i="17"/>
  <c r="U42" i="17"/>
  <c r="U56" i="17"/>
  <c r="V45" i="17"/>
  <c r="X45" i="17" s="1"/>
  <c r="W50" i="17"/>
  <c r="AE51" i="17"/>
  <c r="AB51" i="17"/>
  <c r="AE53" i="17"/>
  <c r="W54" i="17"/>
  <c r="AA69" i="17"/>
  <c r="AD59" i="17"/>
  <c r="AC61" i="17"/>
  <c r="W63" i="17"/>
  <c r="Q65" i="17"/>
  <c r="S16" i="17"/>
  <c r="AB16" i="17"/>
  <c r="AB17" i="17"/>
  <c r="V18" i="17"/>
  <c r="P19" i="17"/>
  <c r="AB19" i="17"/>
  <c r="AD19" i="17" s="1"/>
  <c r="P20" i="17"/>
  <c r="AD20" i="17"/>
  <c r="S21" i="17"/>
  <c r="AF21" i="17"/>
  <c r="Z22" i="17"/>
  <c r="V23" i="17"/>
  <c r="P24" i="17"/>
  <c r="AF24" i="17"/>
  <c r="S25" i="17"/>
  <c r="W26" i="17"/>
  <c r="Z27" i="17"/>
  <c r="AF28" i="17"/>
  <c r="S29" i="17"/>
  <c r="X29" i="17"/>
  <c r="W30" i="17"/>
  <c r="AD31" i="17"/>
  <c r="P32" i="17"/>
  <c r="V32" i="17"/>
  <c r="P33" i="17"/>
  <c r="Z33" i="17" s="1"/>
  <c r="Y33" i="17" s="1"/>
  <c r="V33" i="17"/>
  <c r="X33" i="17" s="1"/>
  <c r="V39" i="17"/>
  <c r="AD39" i="17"/>
  <c r="P40" i="17"/>
  <c r="W40" i="17"/>
  <c r="AA42" i="17"/>
  <c r="AE45" i="17"/>
  <c r="AD45" i="17"/>
  <c r="AF46" i="17"/>
  <c r="AE47" i="17"/>
  <c r="AB47" i="17"/>
  <c r="V50" i="17"/>
  <c r="X50" i="17" s="1"/>
  <c r="W53" i="17"/>
  <c r="AB53" i="17"/>
  <c r="AB59" i="17"/>
  <c r="AC60" i="17"/>
  <c r="AE63" i="17"/>
  <c r="AD63" i="17"/>
  <c r="W66" i="17"/>
  <c r="AF12" i="17"/>
  <c r="V13" i="17"/>
  <c r="AB14" i="17"/>
  <c r="AF10" i="17"/>
  <c r="AB12" i="17"/>
  <c r="S14" i="17"/>
  <c r="W16" i="17"/>
  <c r="X18" i="17"/>
  <c r="S19" i="17"/>
  <c r="AC19" i="17"/>
  <c r="S20" i="17"/>
  <c r="AF20" i="17"/>
  <c r="W21" i="17"/>
  <c r="X23" i="17"/>
  <c r="S24" i="17"/>
  <c r="Z29" i="17"/>
  <c r="Q32" i="17"/>
  <c r="Q33" i="17"/>
  <c r="Q40" i="17"/>
  <c r="P47" i="17"/>
  <c r="Z47" i="17" s="1"/>
  <c r="Y47" i="17" s="1"/>
  <c r="P50" i="17"/>
  <c r="V51" i="17"/>
  <c r="AD51" i="17"/>
  <c r="W52" i="17"/>
  <c r="U69" i="17"/>
  <c r="W59" i="17"/>
  <c r="Q59" i="17"/>
  <c r="Q62" i="17"/>
  <c r="Z65" i="17"/>
  <c r="V67" i="17"/>
  <c r="Z67" i="17"/>
  <c r="V68" i="17"/>
  <c r="AF68" i="17"/>
  <c r="W46" i="17"/>
  <c r="AF48" i="17"/>
  <c r="Z49" i="17"/>
  <c r="AF50" i="17"/>
  <c r="W51" i="17"/>
  <c r="X65" i="17"/>
  <c r="Z68" i="17"/>
  <c r="AD68" i="17"/>
  <c r="Q10" i="17"/>
  <c r="Q11" i="17"/>
  <c r="V11" i="17"/>
  <c r="Q15" i="17"/>
  <c r="P15" i="17"/>
  <c r="W10" i="17"/>
  <c r="U36" i="17"/>
  <c r="S11" i="17"/>
  <c r="X11" i="17"/>
  <c r="AB11" i="17"/>
  <c r="AD11" i="17" s="1"/>
  <c r="Q12" i="17"/>
  <c r="V12" i="17"/>
  <c r="X12" i="17" s="1"/>
  <c r="S15" i="17"/>
  <c r="V10" i="17"/>
  <c r="X10" i="17" s="1"/>
  <c r="W15" i="17"/>
  <c r="V15" i="17"/>
  <c r="X15" i="17" s="1"/>
  <c r="Y11" i="17"/>
  <c r="P10" i="17"/>
  <c r="W14" i="17"/>
  <c r="S10" i="17"/>
  <c r="P11" i="17"/>
  <c r="Q14" i="17"/>
  <c r="V14" i="17"/>
  <c r="X14" i="17" s="1"/>
  <c r="S45" i="17"/>
  <c r="S46" i="17"/>
  <c r="S47" i="17"/>
  <c r="S48" i="17"/>
  <c r="AB49" i="17"/>
  <c r="AD49" i="17" s="1"/>
  <c r="AE55" i="17"/>
  <c r="AB61" i="17"/>
  <c r="AD61" i="17" s="1"/>
  <c r="AC62" i="17"/>
  <c r="V63" i="17"/>
  <c r="X63" i="17" s="1"/>
  <c r="AB65" i="17"/>
  <c r="AD65" i="17" s="1"/>
  <c r="O69" i="17"/>
  <c r="Y18" i="17"/>
  <c r="Y23" i="17"/>
  <c r="Y51" i="17"/>
  <c r="X55" i="17"/>
  <c r="AB55" i="17"/>
  <c r="AF55" i="17"/>
  <c r="AA56" i="17"/>
  <c r="AE59" i="17"/>
  <c r="X60" i="17"/>
  <c r="AB60" i="17"/>
  <c r="AD60" i="17" s="1"/>
  <c r="X64" i="17"/>
  <c r="AB64" i="17"/>
  <c r="AD64" i="17" s="1"/>
  <c r="V66" i="17"/>
  <c r="X66" i="17" s="1"/>
  <c r="AD66" i="17"/>
  <c r="P16" i="17"/>
  <c r="V16" i="17"/>
  <c r="X16" i="17" s="1"/>
  <c r="Y55" i="17"/>
  <c r="Y60" i="17"/>
  <c r="Y64" i="17"/>
  <c r="AE66" i="17"/>
  <c r="V17" i="17"/>
  <c r="X17" i="17" s="1"/>
  <c r="Z18" i="17"/>
  <c r="Q16" i="17"/>
  <c r="Q19" i="17"/>
  <c r="Q24" i="17"/>
  <c r="Q45" i="17"/>
  <c r="W45" i="17"/>
  <c r="Q46" i="17"/>
  <c r="Q47" i="17"/>
  <c r="Q48" i="17"/>
  <c r="Q49" i="17"/>
  <c r="Q50" i="17"/>
  <c r="Q51" i="17"/>
  <c r="V55" i="17"/>
  <c r="O56" i="17"/>
  <c r="V60" i="17"/>
  <c r="P61" i="17"/>
  <c r="AB62" i="17"/>
  <c r="AD62" i="17" s="1"/>
  <c r="V64" i="17"/>
  <c r="AB66" i="17"/>
  <c r="Q53" i="17" l="1"/>
  <c r="AF64" i="17"/>
  <c r="AE64" i="17" s="1"/>
  <c r="Z53" i="17"/>
  <c r="V56" i="17"/>
  <c r="X56" i="17" s="1"/>
  <c r="AB42" i="17"/>
  <c r="Z24" i="17"/>
  <c r="Y24" i="17" s="1"/>
  <c r="Z66" i="17"/>
  <c r="Y66" i="17" s="1"/>
  <c r="AF49" i="17"/>
  <c r="AF56" i="17" s="1"/>
  <c r="AE56" i="17" s="1"/>
  <c r="Z54" i="17"/>
  <c r="AF62" i="17"/>
  <c r="AE62" i="17" s="1"/>
  <c r="AF65" i="17"/>
  <c r="AE65" i="17" s="1"/>
  <c r="Z52" i="17"/>
  <c r="Z48" i="17"/>
  <c r="Y48" i="17" s="1"/>
  <c r="P42" i="17"/>
  <c r="W75" i="17" s="1"/>
  <c r="AF42" i="17"/>
  <c r="U71" i="17"/>
  <c r="V42" i="17"/>
  <c r="X42" i="17" s="1"/>
  <c r="AA36" i="17"/>
  <c r="AA71" i="17" s="1"/>
  <c r="Z20" i="17"/>
  <c r="Y20" i="17" s="1"/>
  <c r="AF13" i="17"/>
  <c r="AE13" i="17" s="1"/>
  <c r="S27" i="17"/>
  <c r="W56" i="17"/>
  <c r="P27" i="17"/>
  <c r="AF67" i="17"/>
  <c r="AE67" i="17" s="1"/>
  <c r="AC69" i="17"/>
  <c r="Q27" i="17"/>
  <c r="AB27" i="17"/>
  <c r="AD27" i="17" s="1"/>
  <c r="AC36" i="17"/>
  <c r="AF22" i="17"/>
  <c r="AE22" i="17" s="1"/>
  <c r="Z63" i="17"/>
  <c r="Y63" i="17" s="1"/>
  <c r="Z59" i="17"/>
  <c r="Y59" i="17" s="1"/>
  <c r="Z50" i="17"/>
  <c r="Y50" i="17" s="1"/>
  <c r="P56" i="17"/>
  <c r="W42" i="17"/>
  <c r="Q54" i="17"/>
  <c r="Q52" i="17"/>
  <c r="V69" i="17"/>
  <c r="X69" i="17" s="1"/>
  <c r="Z15" i="17"/>
  <c r="Y15" i="17" s="1"/>
  <c r="W69" i="17"/>
  <c r="AE42" i="17"/>
  <c r="AD42" i="17"/>
  <c r="X39" i="17"/>
  <c r="AF32" i="17"/>
  <c r="AE32" i="17" s="1"/>
  <c r="Q42" i="17"/>
  <c r="Q43" i="17" s="1"/>
  <c r="AF29" i="17"/>
  <c r="AE29" i="17" s="1"/>
  <c r="Z40" i="17"/>
  <c r="Y40" i="17" s="1"/>
  <c r="Y39" i="17"/>
  <c r="AF19" i="17"/>
  <c r="AE19" i="17" s="1"/>
  <c r="Z17" i="17"/>
  <c r="Y17" i="17" s="1"/>
  <c r="AF11" i="17"/>
  <c r="AE11" i="17" s="1"/>
  <c r="Z16" i="17"/>
  <c r="Y16" i="17" s="1"/>
  <c r="AB69" i="17"/>
  <c r="AD69" i="17" s="1"/>
  <c r="AB56" i="17"/>
  <c r="AD56" i="17" s="1"/>
  <c r="Z10" i="17"/>
  <c r="Y10" i="17" s="1"/>
  <c r="S56" i="17"/>
  <c r="S57" i="17" s="1"/>
  <c r="O71" i="17"/>
  <c r="O74" i="17" s="1"/>
  <c r="S13" i="17"/>
  <c r="P69" i="17"/>
  <c r="Q61" i="17"/>
  <c r="V36" i="17"/>
  <c r="W36" i="17"/>
  <c r="P36" i="17" l="1"/>
  <c r="W73" i="17" s="1"/>
  <c r="AF27" i="17"/>
  <c r="AE27" i="17" s="1"/>
  <c r="AE49" i="17"/>
  <c r="P43" i="17"/>
  <c r="Z69" i="17"/>
  <c r="Y69" i="17" s="1"/>
  <c r="AC71" i="17"/>
  <c r="P57" i="17"/>
  <c r="W74" i="17"/>
  <c r="Q56" i="17"/>
  <c r="Q57" i="17" s="1"/>
  <c r="Q36" i="17"/>
  <c r="Q37" i="17" s="1"/>
  <c r="AB36" i="17"/>
  <c r="AD36" i="17" s="1"/>
  <c r="W71" i="17"/>
  <c r="Z56" i="17"/>
  <c r="Y56" i="17" s="1"/>
  <c r="Z36" i="17"/>
  <c r="Y36" i="17" s="1"/>
  <c r="S36" i="17"/>
  <c r="S37" i="17" s="1"/>
  <c r="Z42" i="17"/>
  <c r="X36" i="17"/>
  <c r="V71" i="17"/>
  <c r="X71" i="17" s="1"/>
  <c r="AF61" i="17"/>
  <c r="AF36" i="17" l="1"/>
  <c r="AE36" i="17" s="1"/>
  <c r="P37" i="17"/>
  <c r="W76" i="17"/>
  <c r="X76" i="17" s="1"/>
  <c r="AG56" i="17"/>
  <c r="AB71" i="17"/>
  <c r="AD71" i="17" s="1"/>
  <c r="AG36" i="17"/>
  <c r="Z71" i="17"/>
  <c r="Y71" i="17" s="1"/>
  <c r="Y42" i="17"/>
  <c r="AG42" i="17"/>
  <c r="AE61" i="17"/>
  <c r="AF69" i="17"/>
  <c r="AE69" i="17" l="1"/>
  <c r="AF71" i="17"/>
  <c r="AE71" i="17" s="1"/>
  <c r="Q159" i="17" l="1"/>
  <c r="Q68" i="17" s="1"/>
  <c r="Q161" i="17" l="1"/>
  <c r="Q163" i="17" s="1"/>
  <c r="Q69" i="17"/>
  <c r="AG69" i="17" l="1"/>
  <c r="Q70" i="17"/>
  <c r="W83" i="17"/>
  <c r="X83" i="17" s="1"/>
  <c r="P71" i="17"/>
  <c r="AG71" i="17" l="1"/>
  <c r="X88" i="17"/>
  <c r="Q71" i="17"/>
</calcChain>
</file>

<file path=xl/sharedStrings.xml><?xml version="1.0" encoding="utf-8"?>
<sst xmlns="http://schemas.openxmlformats.org/spreadsheetml/2006/main" count="8018" uniqueCount="358">
  <si>
    <t>PERUPETRO S.A.</t>
  </si>
  <si>
    <t>Total</t>
  </si>
  <si>
    <t>Fiscalización</t>
  </si>
  <si>
    <t>II</t>
  </si>
  <si>
    <t>III</t>
  </si>
  <si>
    <t>IV</t>
  </si>
  <si>
    <t>VII/VI</t>
  </si>
  <si>
    <t>VII/VI-GAS</t>
  </si>
  <si>
    <t>X-GAS</t>
  </si>
  <si>
    <t>XV</t>
  </si>
  <si>
    <t>31-B</t>
  </si>
  <si>
    <t>31-D</t>
  </si>
  <si>
    <t>31-C GAS</t>
  </si>
  <si>
    <t>I</t>
  </si>
  <si>
    <t>I GAS</t>
  </si>
  <si>
    <t>Z-2B</t>
  </si>
  <si>
    <t>Z-2B GAS</t>
  </si>
  <si>
    <t>V</t>
  </si>
  <si>
    <t>IX</t>
  </si>
  <si>
    <t>Período</t>
  </si>
  <si>
    <t>X</t>
  </si>
  <si>
    <t>Mes</t>
  </si>
  <si>
    <t>Provincia Puerto Inca Huanuco</t>
  </si>
  <si>
    <t>Piura / Tumbes</t>
  </si>
  <si>
    <t>Loreto / Ucayali</t>
  </si>
  <si>
    <t>Localidad</t>
  </si>
  <si>
    <t xml:space="preserve">  -    Lote</t>
  </si>
  <si>
    <t>Unidades</t>
  </si>
  <si>
    <t>-</t>
  </si>
  <si>
    <t>Servicios</t>
  </si>
  <si>
    <t>Quincena</t>
  </si>
  <si>
    <t>Licencia</t>
  </si>
  <si>
    <t>31-C COND</t>
  </si>
  <si>
    <t>Modalidad de Contrato</t>
  </si>
  <si>
    <t>1ra. Q</t>
  </si>
  <si>
    <t>2da. Q  /  Mes</t>
  </si>
  <si>
    <t>Bls</t>
  </si>
  <si>
    <t>Canasta o Valor Venta (US$/Unidad)</t>
  </si>
  <si>
    <t>Flete Marítimo</t>
  </si>
  <si>
    <t>Comercialización</t>
  </si>
  <si>
    <t>Deducción de Gastos para determinación de valor de producción en Punto de Fiscalización (US$)</t>
  </si>
  <si>
    <t>Oleoducto</t>
  </si>
  <si>
    <t>Piura</t>
  </si>
  <si>
    <t>Tumbes</t>
  </si>
  <si>
    <t>Localidad 1</t>
  </si>
  <si>
    <t>Localidad 2</t>
  </si>
  <si>
    <t>Loreto</t>
  </si>
  <si>
    <t>Ucayali</t>
  </si>
  <si>
    <t>Puerto Inca</t>
  </si>
  <si>
    <t>Canon y Sobrecanon   /   Participación  (US$)</t>
  </si>
  <si>
    <t>Período de Cálculo:</t>
  </si>
  <si>
    <t>Ajustes meses anteriores (1)</t>
  </si>
  <si>
    <t>Ajustes meses anteriores (2)</t>
  </si>
  <si>
    <t>Ajustes meses anteriores (3)</t>
  </si>
  <si>
    <t>Total General</t>
  </si>
  <si>
    <t xml:space="preserve"> MM BTU</t>
  </si>
  <si>
    <t>XIV</t>
  </si>
  <si>
    <t>Calculo del Canon</t>
  </si>
  <si>
    <t>Fórmula</t>
  </si>
  <si>
    <t>Días en el mes</t>
  </si>
  <si>
    <t>Resumen por Petróleo y Condensados</t>
  </si>
  <si>
    <t>Resumen por Gas Natural</t>
  </si>
  <si>
    <t>Control</t>
  </si>
  <si>
    <t>Producción  /  Venta</t>
  </si>
  <si>
    <t>Valor Prod</t>
  </si>
  <si>
    <t>Valor Canon</t>
  </si>
  <si>
    <t>Bls/Mes</t>
  </si>
  <si>
    <t>Bls/Día</t>
  </si>
  <si>
    <t>US$/Bl</t>
  </si>
  <si>
    <t>US$</t>
  </si>
  <si>
    <t>MM BTU/Mes</t>
  </si>
  <si>
    <t xml:space="preserve"> MM BTU/Día</t>
  </si>
  <si>
    <t>US$/MM BTU</t>
  </si>
  <si>
    <t>Canon</t>
  </si>
  <si>
    <t>31-C LGN (*)</t>
  </si>
  <si>
    <r>
      <t>Determinación de Canasta de los Líquidos de Gas Natural (V</t>
    </r>
    <r>
      <rPr>
        <sz val="8"/>
        <rFont val="Arial"/>
        <family val="2"/>
      </rPr>
      <t>LGNF</t>
    </r>
    <r>
      <rPr>
        <sz val="10"/>
        <rFont val="Arial"/>
        <family val="2"/>
      </rPr>
      <t xml:space="preserve">) </t>
    </r>
  </si>
  <si>
    <r>
      <t xml:space="preserve">= </t>
    </r>
    <r>
      <rPr>
        <sz val="10"/>
        <rFont val="Arial"/>
        <family val="2"/>
      </rPr>
      <t>(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t>
    </r>
  </si>
  <si>
    <t>Simbolo</t>
  </si>
  <si>
    <t>Descripcion</t>
  </si>
  <si>
    <t>2da. Q</t>
  </si>
  <si>
    <r>
      <t>V</t>
    </r>
    <r>
      <rPr>
        <sz val="8"/>
        <rFont val="Arial"/>
        <family val="2"/>
      </rPr>
      <t>C</t>
    </r>
  </si>
  <si>
    <t>Canasta de Petróleo</t>
  </si>
  <si>
    <r>
      <t>P</t>
    </r>
    <r>
      <rPr>
        <sz val="8"/>
        <rFont val="Arial"/>
        <family val="2"/>
      </rPr>
      <t>B</t>
    </r>
  </si>
  <si>
    <t>Precio del GLP</t>
  </si>
  <si>
    <r>
      <t>T</t>
    </r>
    <r>
      <rPr>
        <sz val="8"/>
        <rFont val="Arial"/>
        <family val="2"/>
      </rPr>
      <t>F</t>
    </r>
  </si>
  <si>
    <t>Tarifa de Fraccionam.</t>
  </si>
  <si>
    <r>
      <t>%</t>
    </r>
    <r>
      <rPr>
        <sz val="8"/>
        <rFont val="Arial"/>
        <family val="2"/>
      </rPr>
      <t>P</t>
    </r>
  </si>
  <si>
    <t>% Contenido Pentanos</t>
  </si>
  <si>
    <r>
      <t>Q</t>
    </r>
    <r>
      <rPr>
        <sz val="8"/>
        <rFont val="Arial"/>
        <family val="2"/>
      </rPr>
      <t>LGNF</t>
    </r>
  </si>
  <si>
    <t>Volumen de LGN</t>
  </si>
  <si>
    <r>
      <t>T</t>
    </r>
    <r>
      <rPr>
        <sz val="8"/>
        <rFont val="Arial"/>
        <family val="2"/>
      </rPr>
      <t>T</t>
    </r>
  </si>
  <si>
    <t>Tarifa de Transporte</t>
  </si>
  <si>
    <t>(*)</t>
  </si>
  <si>
    <t>Valor de la Producción  (US$)</t>
  </si>
  <si>
    <t>V P (US$)</t>
  </si>
  <si>
    <t>F1</t>
  </si>
  <si>
    <t>Contratos de Servicios</t>
  </si>
  <si>
    <t>Canon y Sobrecanon</t>
  </si>
  <si>
    <t>F2</t>
  </si>
  <si>
    <t>Contratos de Licencia</t>
  </si>
  <si>
    <t>F3</t>
  </si>
  <si>
    <t>Líquidos de Gas Natural</t>
  </si>
  <si>
    <t>Canon y Sobrecanon =</t>
  </si>
  <si>
    <t>Volumen Producción / Venta</t>
  </si>
  <si>
    <t>UNIDADES</t>
  </si>
  <si>
    <t xml:space="preserve">Subtotal </t>
  </si>
  <si>
    <t>DETERMINACION DEL CANON, SOBRECANON y PARTICIPACION (US$)</t>
  </si>
  <si>
    <t>= (10.0% + 2.5%) * [ Volumen Venta x Valor Venta (V.V.) ]</t>
  </si>
  <si>
    <t xml:space="preserve">    V.V. (US$/Unidad ) = Valor Venta - Flete Marítimo - Gtos. Comercialización - Gtos. Oleoducto - Gtos. Fiscalización</t>
  </si>
  <si>
    <t>= (10.0% + 2.5%) * [ Volumen Producción x Canasta (V.C.) ]</t>
  </si>
  <si>
    <r>
      <t xml:space="preserve">   V </t>
    </r>
    <r>
      <rPr>
        <sz val="8"/>
        <rFont val="Arial"/>
        <family val="2"/>
      </rPr>
      <t>LGNF</t>
    </r>
    <r>
      <rPr>
        <sz val="10"/>
        <rFont val="Arial"/>
        <family val="2"/>
      </rPr>
      <t xml:space="preserve"> (US$/Unidad) = [ (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 - Gtos. Oleoducto - Gtos. Fiscalización ]</t>
    </r>
  </si>
  <si>
    <t xml:space="preserve">   V.C. (US$/Unidad) = Valor de Canasta - Gtos. Oleoducto - Gtos. Fiscalización</t>
  </si>
  <si>
    <r>
      <t xml:space="preserve">= (10.0% + 2.5%) * [ Volumen Producido x Canasta de Líquidos de Gas Natural (V </t>
    </r>
    <r>
      <rPr>
        <sz val="8"/>
        <rFont val="Arial"/>
        <family val="2"/>
      </rPr>
      <t>LGNF</t>
    </r>
    <r>
      <rPr>
        <sz val="10"/>
        <rFont val="Arial"/>
        <family val="2"/>
      </rPr>
      <t>) ]</t>
    </r>
  </si>
  <si>
    <t>DETERMINACION DEL CANON, SOBRECANON Y PARTICIPACION</t>
  </si>
  <si>
    <t>NOMENCLATURA APLICADA PARA EL CALCULO DEL CANON, SOBRECANON Y PARTICIPACION</t>
  </si>
  <si>
    <t>LOCALIDAD</t>
  </si>
  <si>
    <t>Circunscripción geográfica que percibe el Canon, Sobrecanon y Participación (en el caso de Piura, Tumbes)</t>
  </si>
  <si>
    <t>LOTE</t>
  </si>
  <si>
    <t>Nombre del Lote bajo contrato, en el que se realiza la explotación de los hidrocarburos. Se muestra con los sufijos "GAS"," LGN" o "COND", en caso que los hidrocarburos producidos sean Gas Natural; Líquidos del Gas Natural; o Condensados. Si no presenta sufijo, los hidrocarburos producidos corresponden a petróleo.</t>
  </si>
  <si>
    <t>MODALIDAD DE CONTRATO</t>
  </si>
  <si>
    <t>Modalidad contractual bajo el cual se realiza la explotación de los hidrocarburos. De acuerdo a lo establecido en la Ley Orgánica de Hidrocarburos, se dispone de tres modalidades de contratos por hidrocarburos:</t>
  </si>
  <si>
    <t>Otras modalidades de contratación que determinen el Ministerio de Energía y Minas.</t>
  </si>
  <si>
    <t>CALCULO DEL CANON</t>
  </si>
  <si>
    <t>PERIODO</t>
  </si>
  <si>
    <t>Período de determinación del volumen de producción y del valor de la Canasta de los Hidrocarburos. Depende de lo considerado en cada contrato. Generalmente es quincenal para los Contratos de Licencia y mensual para los Contratos de Servicios.</t>
  </si>
  <si>
    <t>FORMULA</t>
  </si>
  <si>
    <t>Identificación el tipo de fórmula aplicada para el cálculo del Canon y Sobrecanon (F1, F2, F3), según se detalla en el cuadro anexo.</t>
  </si>
  <si>
    <t>VOLUMEN DE PRODUCCION / VENTA</t>
  </si>
  <si>
    <t>En el caso de Contratos de Licencia, es el Volumen de Producción de los hidrocarburos en el período, sustentado con los reportes de producción. En el caso de Contratos de Servicios, es el volumen de los hidrocarburos vendidos y embarcado en el período, sustentado con las facturas emitidas.</t>
  </si>
  <si>
    <t>Unidades en que se mide la producción de los hidrocarburos. Puede ser Barriles, en el caso de Petróleo, Líquidos del Gas Natural (LGN) y Condensados (COND); o Millones de BTU (MM BTU) en el caso del Gas Natural .</t>
  </si>
  <si>
    <t>1RA. Q</t>
  </si>
  <si>
    <t>Volumen de producción de hidrocarburos de la primera quincena del mes, en caso figure "Quincenal" bajo la columna "Período".</t>
  </si>
  <si>
    <t>2DA. Q  /  MES</t>
  </si>
  <si>
    <t>Volumen de producción de hidrocarburos de la segunda quincena del mes, o del mes completo, dependiendo de lo que figure bajo la columna "Período".</t>
  </si>
  <si>
    <t>CANASTA O VALOR DE VENTA (US$/Unidad)</t>
  </si>
  <si>
    <t>a.</t>
  </si>
  <si>
    <t>CANASTA</t>
  </si>
  <si>
    <t>En el caso de Contratos de Licencia, es el valor promedio en el período de las cotizaciones internacionales de un conjunto (CANASTA) de hidrocarburos que representan la calidad de los producidos en el Lote. La CANASTA se establece en cada contrato y las cotizaciones se sustentan en las respectivas publicaciones. Dicho valor promedio está referenciado a un puerto de embarque local o a un lugar donde se pueden comercializar los hidrocarburos del Lote.</t>
  </si>
  <si>
    <t>b.</t>
  </si>
  <si>
    <t>VALOR DE VENTA</t>
  </si>
  <si>
    <t>En el caso de Contratos de Servicios, es el promedio ponderado del valor de venta de los hidrocarburos comercializados en el período.  El valor de venta se establece en cada oportunidad en base a cotizaciones internacionales de hidrocarburos, acordadas en los contratos de compra-venta y se sustenta con las facturas respectivas.</t>
  </si>
  <si>
    <t>DEDUCCION DE GASTOS PARA DETERMINACION DE VALOR DE PRODUCCION EN PUNTO DE FISCALIZACION (US$)</t>
  </si>
  <si>
    <t>Deducción de gastos para determinar el valor de los hidrocarburos en el Punto de Fiscalización (Ad Valorem)</t>
  </si>
  <si>
    <t>FLETE MARITIMO</t>
  </si>
  <si>
    <t>Aplicable en el caso de Contratos de Servicios. Son los gastos incurridos por transporte marítimo de los hidrocarburos, cuando la venta considera su entrega en puerto de destino.</t>
  </si>
  <si>
    <t>COMERCIALIZACION</t>
  </si>
  <si>
    <t>Aplicable al caso de Contratos de Servicios. Son los gastos de comercialización incurridos para vender los hidrocarburos.</t>
  </si>
  <si>
    <t>OLEODUCTO</t>
  </si>
  <si>
    <t>Son los gastos incurridos para transportar los hidrocarburos del Lote a puerto de embarque local, mediante Oleoducto.</t>
  </si>
  <si>
    <t>FISCALIZACION</t>
  </si>
  <si>
    <t>Son los gastos incurridos en la medición (fiscalización) de los hidrocarburos producidos en el Lote.</t>
  </si>
  <si>
    <t>VALOR DE LA PRODUCCION (US$)</t>
  </si>
  <si>
    <t>Ad Valorem de los hidrocarburos producidos o vendidos.  Se determina como el valor de los hidrocarburos en el Punto de Fiscalización (medición) de la Producción.</t>
  </si>
  <si>
    <t>CANON Y SOBRECANON / PARTICIPACION (US$)</t>
  </si>
  <si>
    <t>Valor del Canon y Sobrecanon / Participación (en el caso de Piura - Tumbes).  Se determina aplicando los porcentajes establecidos por Ley (10% + 2.5%) al Valor de la Producción (Ad Valorem).</t>
  </si>
  <si>
    <t>VII</t>
  </si>
  <si>
    <t>Fórmulas Aplicadas en el cálculo del Canon, Sobrecanon y Participación</t>
  </si>
  <si>
    <t>XIII Gas</t>
  </si>
  <si>
    <t>F4</t>
  </si>
  <si>
    <t>88 GAS</t>
  </si>
  <si>
    <t>88 LGN</t>
  </si>
  <si>
    <t>Cusco</t>
  </si>
  <si>
    <t>Ajustes meses anteriores (4)</t>
  </si>
  <si>
    <t>V. Regalías</t>
  </si>
  <si>
    <t>31-E</t>
  </si>
  <si>
    <t>XIII Crudo</t>
  </si>
  <si>
    <t>Z1 Crudo</t>
  </si>
  <si>
    <t>Z1 Gas</t>
  </si>
  <si>
    <t>56 LGN</t>
  </si>
  <si>
    <t>56 GAS</t>
  </si>
  <si>
    <t>XX</t>
  </si>
  <si>
    <t>Z-2B - LGN</t>
  </si>
  <si>
    <t>II-GAS</t>
  </si>
  <si>
    <t>56 GAS-Mlocal</t>
  </si>
  <si>
    <t>Z-6</t>
  </si>
  <si>
    <t>57 LGN</t>
  </si>
  <si>
    <t>57 GAS</t>
  </si>
  <si>
    <t>88 GAS -Mlocal</t>
  </si>
  <si>
    <t>88 GAS -PM</t>
  </si>
  <si>
    <t>Valor Producción</t>
  </si>
  <si>
    <t>Ajuste</t>
  </si>
  <si>
    <t>ok</t>
  </si>
  <si>
    <t>(4)</t>
  </si>
  <si>
    <t>Cuzco</t>
  </si>
  <si>
    <t>Calculo Efectuado</t>
  </si>
  <si>
    <t>Modificación</t>
  </si>
  <si>
    <t>XIII COND</t>
  </si>
  <si>
    <t>Lote 57 Gas</t>
  </si>
  <si>
    <t>Regalía 1Q</t>
  </si>
  <si>
    <t>Regalía 2Q</t>
  </si>
  <si>
    <t>Huanuco</t>
  </si>
  <si>
    <t>Lote 56 1Q</t>
  </si>
  <si>
    <t>Lote 88 1Q</t>
  </si>
  <si>
    <t>Lote 57 1Q</t>
  </si>
  <si>
    <t>Lote 56 2Q</t>
  </si>
  <si>
    <t>Lote 88 2Q</t>
  </si>
  <si>
    <t>Lote 57 2Q</t>
  </si>
  <si>
    <t>Lote 88 Gas</t>
  </si>
  <si>
    <t>(3)</t>
  </si>
  <si>
    <t>Lote 57 Lgn</t>
  </si>
  <si>
    <t>(1)</t>
  </si>
  <si>
    <t>Lote VII-VI Pet</t>
  </si>
  <si>
    <t>Lote 56 Gas</t>
  </si>
  <si>
    <t>Cuadre</t>
  </si>
  <si>
    <t>Ajuste correspondiente de Julio 2017  (Reporte de Regalía 1ra. Quincena de Enero 2018) - Liq. 1190</t>
  </si>
  <si>
    <t>Ajuste correspondiente de Agosto 2017  (Reporte de Regalía 1ra. Quincena de Enero 2018) - Liq. 1190</t>
  </si>
  <si>
    <t>Ajuste correspondiente de Setiembre 2017  (Reporte de Regalía 1ra. Quincena de Enero 2018) - Liq. 1190</t>
  </si>
  <si>
    <t>Ajuste correspondiente de Diciembre 2017  (Reporte de Regalía 1ra. Quincena de Enero 2018) - Liq. 1190</t>
  </si>
  <si>
    <t>Ajuste correspondiente de Noviembre 2017  (Reporte de Regalía 1ra. Quincena de Enero 2018) - Liq. 1190</t>
  </si>
  <si>
    <t>VII-VI Petroleo</t>
  </si>
  <si>
    <t>Ajuste correspondiente de Diciembre 2017  (Reporte de Regalía 2da. Quincena de Enero 2018) - Liq. 1191</t>
  </si>
  <si>
    <t>Lote 31-E</t>
  </si>
  <si>
    <t>facturas</t>
  </si>
  <si>
    <t>Regalias dejadas de pagar Lote 31-B-31-D-31-E</t>
  </si>
  <si>
    <t>volumen x can</t>
  </si>
  <si>
    <t>g.f</t>
  </si>
  <si>
    <t>(2)</t>
  </si>
  <si>
    <t>Loreto / Ucayli</t>
  </si>
  <si>
    <t>Lote 31-B</t>
  </si>
  <si>
    <t>Lote 31-D</t>
  </si>
  <si>
    <t>Pto. Huanuco</t>
  </si>
  <si>
    <t>Ajustes por Gastos de Fiscalizacion informados en la 2Q. Enero 2018</t>
  </si>
  <si>
    <t>Ajuste correspondiente de Febrero  2018  (Reporte de Regalía 1ra. Quincena de Marzo 2018) - Liq. 1196</t>
  </si>
  <si>
    <t>Ajuste correspondiente de Enero  2018  (Reporte de Regalía 1ra. Quincena de Marzo 2018) - Liq. 1196</t>
  </si>
  <si>
    <t>Ajuste correspondiente de Febrero 2018 (Reporte de Regalía 1ra. Quincena de Marzo 2018) - Liq. 1196</t>
  </si>
  <si>
    <t>88 GAS -Pisco</t>
  </si>
  <si>
    <t>Lote 88 -Pisco Gas</t>
  </si>
  <si>
    <t>Ajuste correspondiente de Marzo 2014  (Reporte de Regalía 2da. Quincena de Abril 2018) - Liq. 1200</t>
  </si>
  <si>
    <t>Ajuste correspondiente de Abril 2014  (Reporte de Regalía 2da. Quincena de Abril 2018) - Liq. 1200</t>
  </si>
  <si>
    <t>Ajuste correspondiente de Mayo 2014  (Reporte de Regalía 2da. Quincena de Abril 2018) - Liq. 1200</t>
  </si>
  <si>
    <t>Ajuste correspondiente de Junio 2014  (Reporte de Regalía 2da. Quincena de Abril 2018) - Liq. 1200</t>
  </si>
  <si>
    <t>Ajuste correspondiente de Julio 2014  (Reporte de Regalía 2da. Quincena de Abril 2018) - Liq. 1200</t>
  </si>
  <si>
    <t>Ajuste correspondiente de Agosto 2014  (Reporte de Regalía 2da. Quincena de Abril 2018) - Liq. 1200</t>
  </si>
  <si>
    <t>Ajuste correspondiente de Setiembre 2014  (Reporte de Regalía 2da. Quincena de Abril 2018) - Liq. 1200</t>
  </si>
  <si>
    <t>Ajuste correspondiente de Octubre 2014  (Reporte de Regalía 2da. Quincena de Abril 2018) - Liq. 1200</t>
  </si>
  <si>
    <t>Ajuste correspondiente de Noviembre 2014  (Reporte de Regalía 2da. Quincena de Abril 2018) - Liq. 1200</t>
  </si>
  <si>
    <t>Ajuste correspondiente de Diciembre 2014  (Reporte de Regalía 2da. Quincena de Abril 2018) - Liq. 1200</t>
  </si>
  <si>
    <t>Ajuste correspondiente de Enero 2015  (Reporte de Regalía 2da. Quincena de Abril 2018) - Liq. 1200</t>
  </si>
  <si>
    <t>Ajuste correspondiente de Febrero 2015  (Reporte de Regalía 2da. Quincena de Abril 2018) - Liq. 1200</t>
  </si>
  <si>
    <t>Ajuste correspondiente de Marzo 2015  (Reporte de Regalía 2da. Quincena de Abril 2018) - Liq. 1200</t>
  </si>
  <si>
    <t>Ajuste correspondiente de Abril 2015  (Reporte de Regalía 2da. Quincena de Abril 2018) - Liq. 1200</t>
  </si>
  <si>
    <t>Ajuste correspondiente de Mayo 2015  (Reporte de Regalía 2da. Quincena de Abril 2018) - Liq. 1200</t>
  </si>
  <si>
    <t>Ajuste correspondiente de Junio 2015  (Reporte de Regalía 2da. Quincena de Abril 2018) - Liq. 1200</t>
  </si>
  <si>
    <t>Ajuste correspondiente de Julio 2015  (Reporte de Regalía 2da. Quincena de Abril 2018) - Liq. 1200</t>
  </si>
  <si>
    <t>Ajuste correspondiente de Agosto 2015  (Reporte de Regalía 2da. Quincena de Abril 2018) - Liq. 1200</t>
  </si>
  <si>
    <t>Ajuste correspondiente de Setiembre 2015  (Reporte de Regalía 2da. Quincena de Abril 2018) - Liq. 1200</t>
  </si>
  <si>
    <t>Ajuste correspondiente de Octubre 2015  (Reporte de Regalía 2da. Quincena de Abril 2018) - Liq. 1200</t>
  </si>
  <si>
    <t>Ajuste correspondiente de Noviembre 2015  (Reporte de Regalía 2da. Quincena de Abril 2018) - Liq. 1200</t>
  </si>
  <si>
    <t>Ajuste correspondiente de Diciembre 2015  (Reporte de Regalía 2da. Quincena de Abril 2018) - Liq. 1200</t>
  </si>
  <si>
    <t>Ajuste correspondiente de Enero 2016  (Reporte de Regalía 2da. Quincena de Abril 2018) - Liq. 1200</t>
  </si>
  <si>
    <t>Ajuste correspondiente de Febrero 2016  (Reporte de Regalía 2da. Quincena de Abril 2018) - Liq. 1200</t>
  </si>
  <si>
    <t>Ajuste correspondiente de Marzo 2016  (Reporte de Regalía 2da. Quincena de Abril 2018) - Liq. 1200</t>
  </si>
  <si>
    <t>Ajuste correspondiente de Abril 2016  (Reporte de Regalía 2da. Quincena de Abril 2018) - Liq. 1200</t>
  </si>
  <si>
    <t>Ajuste correspondiente de Mayo 2016  (Reporte de Regalía 2da. Quincena de Abril 2018) - Liq. 1200</t>
  </si>
  <si>
    <t>Ajuste correspondiente de Junio 2016  (Reporte de Regalía 2da. Quincena de Abril 2018) - Liq. 1200</t>
  </si>
  <si>
    <t>Ajuste correspondiente de Julio 2016  (Reporte de Regalía 2da. Quincena de Abril 2018) - Liq. 1200</t>
  </si>
  <si>
    <t>Ajuste correspondiente de Agosto 2016  (Reporte de Regalía 2da. Quincena de Abril 2018) - Liq. 1200</t>
  </si>
  <si>
    <t>Ajuste correspondiente de Octubre 2016  (Reporte de Regalía 2da. Quincena de Abril 2018) - Liq. 1200</t>
  </si>
  <si>
    <t>Ajuste correspondiente de Setiembre 2016  (Reporte de Regalía 2da. Quincena de Abril 2018) - Liq. 1200</t>
  </si>
  <si>
    <t>Ajuste correspondiente de Noviembre 2016  (Reporte de Regalía 2da. Quincena de Abril 2018) - Liq. 1200</t>
  </si>
  <si>
    <t>Ajuste correspondiente de Diciembre 2016  (Reporte de Regalía 2da. Quincena de Abril 2018) - Liq. 1200</t>
  </si>
  <si>
    <t>Ajuste correspondiente de Enero 2017  (Reporte de Regalía 2da. Quincena de Abril 2018) - Liq. 1200</t>
  </si>
  <si>
    <t>Ajuste correspondiente de Febrero 2017  (Reporte de Regalía 2da. Quincena de Abril 2018) - Liq. 1200</t>
  </si>
  <si>
    <t>Ajuste correspondiente de Marzo 2017  (Reporte de Regalía 2da. Quincena de Abril 2018) - Liq. 1200</t>
  </si>
  <si>
    <t>Ajuste correspondiente de Abril 2017  (Reporte de Regalía 2da. Quincena de Abril 2018) - Liq. 1200</t>
  </si>
  <si>
    <t>Ajuste correspondiente de Mayo 2017  (Reporte de Regalía 2da. Quincena de Abril 2018) - Liq. 1200</t>
  </si>
  <si>
    <t>Ajuste correspondiente de Junio 2017  (Reporte de Regalía 2da. Quincena de Abril 2018) - Liq. 1200</t>
  </si>
  <si>
    <t>Ajuste correspondiente de Julio 2017  (Reporte de Regalía 2da. Quincena de Abril 2018) - Liq. 1200</t>
  </si>
  <si>
    <t>Ajuste correspondiente de Agosto 2017  (Reporte de Regalía 2da. Quincena de Abril 2018) - Liq. 1200</t>
  </si>
  <si>
    <t>Ajuste correspondiente de Setiembre 2017  (Reporte de Regalía 2da. Quincena de Abril 2018) - Liq. 1200</t>
  </si>
  <si>
    <t>Ajuste correspondiente de Octubre 2017  (Reporte de Regalía 2da. Quincena de Abril 2018) - Liq. 1200</t>
  </si>
  <si>
    <t>Ajuste correspondiente de Noviembre 2017  (Reporte de Regalía 2da. Quincena de Abril 2018) - Liq. 1200</t>
  </si>
  <si>
    <t>Ajuste correspondiente de Diciembre 2017  (Reporte de Regalía 2da. Quincena de Abril 2018) - Liq. 1200</t>
  </si>
  <si>
    <t>Ajuste correspondiente de Enero 2018  (Reporte de Regalía 2da. Quincena de Abril 2018) - Liq. 1200</t>
  </si>
  <si>
    <t>Ajuste correspondiente de Febrero 2018  (Reporte de Regalía 2da. Quincena de Abril 2018) - Liq. 1200</t>
  </si>
  <si>
    <t>Maple 31-D</t>
  </si>
  <si>
    <t>1Q. Abril</t>
  </si>
  <si>
    <t>V. Producción</t>
  </si>
  <si>
    <t>Regalías</t>
  </si>
  <si>
    <t>Canon/ Particip.</t>
  </si>
  <si>
    <t>Regalias no pagadas</t>
  </si>
  <si>
    <t>Otras quinc.</t>
  </si>
  <si>
    <t>IV-GAS</t>
  </si>
  <si>
    <t>Piura / Tumbes US$</t>
  </si>
  <si>
    <t>Piura / Tumbes S/.</t>
  </si>
  <si>
    <t>Provincia Puerto Inca Huanuco US$</t>
  </si>
  <si>
    <t>Provincia Puerto Inca Huanuco S/.</t>
  </si>
  <si>
    <t>Loreto / Ucayali US$</t>
  </si>
  <si>
    <t>Loreto / Ucayali S/.</t>
  </si>
  <si>
    <t>Cusco US$</t>
  </si>
  <si>
    <t>Cusco S/.</t>
  </si>
  <si>
    <t>Tipo de Cambio</t>
  </si>
  <si>
    <t>=  (0.0000 * 0.00% + (0.0000 - 0.0000 - 0.0000) * (1 - 0.00%))</t>
  </si>
  <si>
    <t>VI (T)</t>
  </si>
  <si>
    <t>VI - GAS</t>
  </si>
  <si>
    <t>VII (T)</t>
  </si>
  <si>
    <t>Z-69 Crudo</t>
  </si>
  <si>
    <t>Z-69 Gas</t>
  </si>
  <si>
    <t>Z-69 Lgn</t>
  </si>
  <si>
    <t>XIII Gas - A</t>
  </si>
  <si>
    <t>III-GAS</t>
  </si>
  <si>
    <t xml:space="preserve">RESUMEN POR PETROLERO Y CONDENSADOS </t>
  </si>
  <si>
    <t>RESUMEN POR GAS NATURAL</t>
  </si>
  <si>
    <t>VI</t>
  </si>
  <si>
    <t xml:space="preserve">VII </t>
  </si>
  <si>
    <t/>
  </si>
  <si>
    <t>,</t>
  </si>
  <si>
    <t>Correspondiente a  Junio 2024</t>
  </si>
  <si>
    <t>Z-1</t>
  </si>
  <si>
    <t>Correspondiente a  Enero 2025</t>
  </si>
  <si>
    <t>Tipo de Cambio= 3.690</t>
  </si>
  <si>
    <t>3.626</t>
  </si>
  <si>
    <t>Correspondiente a  Febrero 2025</t>
  </si>
  <si>
    <t>Tipo de Cambio= 3.626</t>
  </si>
  <si>
    <t>Correspondiente al 2025</t>
  </si>
  <si>
    <t>II - GAS</t>
  </si>
  <si>
    <t>III - GAS</t>
  </si>
  <si>
    <t>IV - GAS</t>
  </si>
  <si>
    <t>X - GAS</t>
  </si>
  <si>
    <t>Z-1 Crudo</t>
  </si>
  <si>
    <t>Correspondiente a  Marzo 2025</t>
  </si>
  <si>
    <t>3.715</t>
  </si>
  <si>
    <t>Tipo de Cambio= 3.715</t>
  </si>
  <si>
    <t>3.697</t>
  </si>
  <si>
    <t>Correspondiente a  Abril 2025</t>
  </si>
  <si>
    <t>Tipo de Cambio= 3.697</t>
  </si>
  <si>
    <t>Correspondiente a  Mayo 2025</t>
  </si>
  <si>
    <t>Tipo de Cambio= 3.604</t>
  </si>
  <si>
    <t>3.5560</t>
  </si>
  <si>
    <t>Tipo de Cambio= 3.556</t>
  </si>
  <si>
    <t>3.539</t>
  </si>
  <si>
    <t>Correspondiente a  Julio 2025</t>
  </si>
  <si>
    <t>Tipo de Cambio= 3.539</t>
  </si>
  <si>
    <t>3.488</t>
  </si>
  <si>
    <t>Correspondiente a  Agosto 2025</t>
  </si>
  <si>
    <t>Tipo de Cambio= 3.488</t>
  </si>
  <si>
    <r>
      <t>Determinación de Canasta de los Líquidos de Gas Natural (V</t>
    </r>
    <r>
      <rPr>
        <sz val="8"/>
        <color theme="1"/>
        <rFont val="Arial"/>
        <family val="2"/>
      </rPr>
      <t>LGNF</t>
    </r>
    <r>
      <rPr>
        <sz val="10"/>
        <color theme="1"/>
        <rFont val="Arial"/>
        <family val="2"/>
      </rPr>
      <t xml:space="preserve">) </t>
    </r>
  </si>
  <si>
    <r>
      <t>= ( V</t>
    </r>
    <r>
      <rPr>
        <sz val="8"/>
        <color theme="1"/>
        <rFont val="Arial"/>
        <family val="2"/>
      </rPr>
      <t>C</t>
    </r>
    <r>
      <rPr>
        <sz val="10"/>
        <color theme="1"/>
        <rFont val="Arial"/>
        <family val="2"/>
      </rPr>
      <t xml:space="preserve"> * %</t>
    </r>
    <r>
      <rPr>
        <sz val="8"/>
        <color theme="1"/>
        <rFont val="Arial"/>
        <family val="2"/>
      </rPr>
      <t>P</t>
    </r>
    <r>
      <rPr>
        <sz val="10"/>
        <color theme="1"/>
        <rFont val="Arial"/>
        <family val="2"/>
      </rPr>
      <t xml:space="preserve"> + (P</t>
    </r>
    <r>
      <rPr>
        <sz val="8"/>
        <color theme="1"/>
        <rFont val="Arial"/>
        <family val="2"/>
      </rPr>
      <t>B</t>
    </r>
    <r>
      <rPr>
        <sz val="10"/>
        <color theme="1"/>
        <rFont val="Arial"/>
        <family val="2"/>
      </rPr>
      <t xml:space="preserve"> - T</t>
    </r>
    <r>
      <rPr>
        <sz val="8"/>
        <color theme="1"/>
        <rFont val="Arial"/>
        <family val="2"/>
      </rPr>
      <t>F</t>
    </r>
    <r>
      <rPr>
        <sz val="10"/>
        <color theme="1"/>
        <rFont val="Arial"/>
        <family val="2"/>
      </rPr>
      <t xml:space="preserve"> - T</t>
    </r>
    <r>
      <rPr>
        <sz val="8"/>
        <color theme="1"/>
        <rFont val="Arial"/>
        <family val="2"/>
      </rPr>
      <t>T</t>
    </r>
    <r>
      <rPr>
        <sz val="10"/>
        <color theme="1"/>
        <rFont val="Arial"/>
        <family val="2"/>
      </rPr>
      <t>) * (1 - %</t>
    </r>
    <r>
      <rPr>
        <sz val="8"/>
        <color theme="1"/>
        <rFont val="Arial"/>
        <family val="2"/>
      </rPr>
      <t>P</t>
    </r>
    <r>
      <rPr>
        <sz val="10"/>
        <color theme="1"/>
        <rFont val="Arial"/>
        <family val="2"/>
      </rPr>
      <t>))</t>
    </r>
  </si>
  <si>
    <r>
      <t>V</t>
    </r>
    <r>
      <rPr>
        <sz val="8"/>
        <color theme="1"/>
        <rFont val="Arial"/>
        <family val="2"/>
      </rPr>
      <t>C</t>
    </r>
  </si>
  <si>
    <r>
      <t>P</t>
    </r>
    <r>
      <rPr>
        <sz val="8"/>
        <color theme="1"/>
        <rFont val="Arial"/>
        <family val="2"/>
      </rPr>
      <t>B</t>
    </r>
  </si>
  <si>
    <r>
      <t>T</t>
    </r>
    <r>
      <rPr>
        <sz val="8"/>
        <color theme="1"/>
        <rFont val="Arial"/>
        <family val="2"/>
      </rPr>
      <t>F</t>
    </r>
  </si>
  <si>
    <r>
      <t>%</t>
    </r>
    <r>
      <rPr>
        <sz val="8"/>
        <color theme="1"/>
        <rFont val="Arial"/>
        <family val="2"/>
      </rPr>
      <t>P</t>
    </r>
  </si>
  <si>
    <r>
      <t>Q</t>
    </r>
    <r>
      <rPr>
        <sz val="8"/>
        <color theme="1"/>
        <rFont val="Arial"/>
        <family val="2"/>
      </rPr>
      <t>LGNF</t>
    </r>
  </si>
  <si>
    <r>
      <t>T</t>
    </r>
    <r>
      <rPr>
        <sz val="8"/>
        <color theme="1"/>
        <rFont val="Arial"/>
        <family val="2"/>
      </rPr>
      <t>T</t>
    </r>
  </si>
  <si>
    <t>3.378</t>
  </si>
  <si>
    <t>Correspondiente a  Setiembre 2025</t>
  </si>
  <si>
    <t>Tipo de Cambio= 3.378</t>
  </si>
  <si>
    <t xml:space="preserve"> </t>
  </si>
  <si>
    <t>Correspondiente a  Noviembre 2025</t>
  </si>
  <si>
    <t>Tipo de Cambio= 0.000</t>
  </si>
  <si>
    <t>3.38</t>
  </si>
  <si>
    <t>Correspondiente a  Octubre 2025</t>
  </si>
  <si>
    <t>Tipo de Cambio= 3.380</t>
  </si>
  <si>
    <t>=  (76.5086 * 61.99% + (78.2828 - 33.0000 - 0.0000) * (1 - 61.99%))</t>
  </si>
  <si>
    <t>57 lgn</t>
  </si>
  <si>
    <t>57 gas</t>
  </si>
  <si>
    <t>Correspondiente a  Diciembre 2025</t>
  </si>
  <si>
    <t>Tipo de Cambio= 3.372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</si>
</sst>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 #,##0.00_ ;_ * \-#,##0.00_ ;_ * &quot;-&quot;??_ ;_ @_ "/>
    <numFmt numFmtId="164" formatCode="0.0%"/>
    <numFmt numFmtId="165" formatCode="0.0000"/>
    <numFmt numFmtId="166" formatCode="#,##0.0000"/>
    <numFmt numFmtId="167" formatCode="#,##0.0"/>
    <numFmt numFmtId="168" formatCode="#,##0.0_);[Red]\(#,##0.0\)"/>
    <numFmt numFmtId="169" formatCode="d\-m\-yy"/>
    <numFmt numFmtId="170" formatCode="dd\-mmm\-yyyy"/>
    <numFmt numFmtId="171" formatCode="#,##0.0000_);[Red]\(#,##0.0000\)"/>
    <numFmt numFmtId="172" formatCode="#,##0.00_ ;[Red]\-#,##0.00\ "/>
    <numFmt numFmtId="173" formatCode="#,##0.00_);[Red]\(#,##0.00\)"/>
    <numFmt numFmtId="174" formatCode="#,##0.00;[Red]#,##0.00"/>
    <numFmt numFmtId="175" formatCode="#,##0.0000;[Red]\-#,##0.0000"/>
    <numFmt numFmtId="176" formatCode="#,##0.00000_ ;[Red]\-#,##0.00000\ "/>
    <numFmt numFmtId="177" formatCode="#,##0.00000000000_ ;[Red]\-#,##0.00000000000\ "/>
    <numFmt numFmtId="178" formatCode="#,##0.000000;[Red]#,##0.000000"/>
    <numFmt numFmtId="179" formatCode="#,##0.00\ ;[Red]\(#,##0.00\)"/>
    <numFmt numFmtId="180" formatCode="#,##0.0;[Red]#,##0.0"/>
    <numFmt numFmtId="181" formatCode="#,##0.00000;[Red]\-#,##0.00000"/>
    <numFmt numFmtId="182" formatCode="#,##0.0_ ;[Red]\-#,##0.0\ "/>
    <numFmt numFmtId="183" formatCode="0.000%"/>
    <numFmt numFmtId="184" formatCode="#,##0.0000_ ;[Red]\-#,##0.0000\ "/>
  </numFmts>
  <fonts count="38" x14ac:knownFonts="1">
    <font>
      <sz val="12"/>
      <name val="Helv"/>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8"/>
      <name val="Arial"/>
      <family val="2"/>
    </font>
    <font>
      <sz val="10"/>
      <name val="Arial"/>
      <family val="2"/>
    </font>
    <font>
      <sz val="10"/>
      <name val="Courier"/>
      <family val="3"/>
    </font>
    <font>
      <sz val="8"/>
      <name val="Arial"/>
      <family val="2"/>
    </font>
    <font>
      <b/>
      <sz val="9"/>
      <name val="Arial"/>
      <family val="2"/>
    </font>
    <font>
      <b/>
      <sz val="6"/>
      <name val="Arial"/>
      <family val="2"/>
    </font>
    <font>
      <sz val="9"/>
      <name val="Arial"/>
      <family val="2"/>
    </font>
    <font>
      <sz val="6"/>
      <name val="Arial"/>
      <family val="2"/>
    </font>
    <font>
      <b/>
      <sz val="11"/>
      <name val="Arial"/>
      <family val="2"/>
    </font>
    <font>
      <sz val="11"/>
      <name val="Helv"/>
    </font>
    <font>
      <sz val="9"/>
      <color theme="0"/>
      <name val="Arial"/>
      <family val="2"/>
    </font>
    <font>
      <sz val="10"/>
      <color theme="0"/>
      <name val="Arial"/>
      <family val="2"/>
    </font>
    <font>
      <sz val="8"/>
      <color theme="0"/>
      <name val="Arial"/>
      <family val="2"/>
    </font>
    <font>
      <sz val="9"/>
      <color theme="1"/>
      <name val="Arial"/>
      <family val="2"/>
    </font>
    <font>
      <sz val="10"/>
      <color theme="1"/>
      <name val="Arial"/>
      <family val="2"/>
    </font>
    <font>
      <b/>
      <sz val="14"/>
      <name val="Arial"/>
      <family val="2"/>
    </font>
    <font>
      <sz val="10"/>
      <color rgb="FFFF0000"/>
      <name val="Arial"/>
      <family val="2"/>
    </font>
    <font>
      <i/>
      <sz val="10"/>
      <name val="Arial"/>
      <family val="2"/>
    </font>
    <font>
      <sz val="11"/>
      <name val="Arial"/>
      <family val="2"/>
    </font>
    <font>
      <sz val="12"/>
      <name val="Helv"/>
    </font>
    <font>
      <sz val="9"/>
      <color rgb="FFFF0000"/>
      <name val="Arial"/>
      <family val="2"/>
    </font>
    <font>
      <sz val="8"/>
      <color rgb="FFFF0000"/>
      <name val="Arial"/>
      <family val="2"/>
    </font>
    <font>
      <sz val="8"/>
      <color rgb="FF000000"/>
      <name val="Arial"/>
      <family val="2"/>
    </font>
    <font>
      <sz val="9"/>
      <color rgb="FF000000"/>
      <name val="Arial"/>
      <family val="2"/>
    </font>
    <font>
      <sz val="9"/>
      <name val="Helv"/>
    </font>
    <font>
      <b/>
      <sz val="8"/>
      <color theme="1"/>
      <name val="Arial"/>
      <family val="2"/>
    </font>
    <font>
      <sz val="8"/>
      <color theme="1"/>
      <name val="Arial"/>
      <family val="2"/>
    </font>
    <font>
      <b/>
      <sz val="10"/>
      <color theme="1"/>
      <name val="Arial"/>
      <family val="2"/>
    </font>
    <font>
      <b/>
      <sz val="9"/>
      <color theme="1"/>
      <name val="Arial"/>
      <family val="2"/>
    </font>
    <font>
      <sz val="10"/>
      <color theme="0" tint="-4.9989318521683403E-2"/>
      <name val="Arial"/>
      <family val="2"/>
    </font>
    <font>
      <sz val="10"/>
      <color theme="3"/>
      <name val="Arial"/>
      <family val="2"/>
    </font>
    <font>
      <b/>
      <sz val="10"/>
      <color theme="0"/>
      <name val="Arial"/>
      <family val="2"/>
    </font>
  </fonts>
  <fills count="1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theme="0"/>
        <bgColor indexed="64"/>
      </patternFill>
    </fill>
    <fill>
      <patternFill patternType="solid">
        <fgColor indexed="1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8" tint="0.59999389629810485"/>
        <bgColor indexed="64"/>
      </patternFill>
    </fill>
  </fills>
  <borders count="6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right/>
      <top style="thin">
        <color indexed="64"/>
      </top>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diagonal/>
    </border>
    <border>
      <left/>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dashed">
        <color indexed="64"/>
      </bottom>
      <diagonal/>
    </border>
    <border>
      <left/>
      <right/>
      <top/>
      <bottom style="dashed">
        <color indexed="64"/>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style="thin">
        <color indexed="8"/>
      </left>
      <right style="thin">
        <color indexed="8"/>
      </right>
      <top style="thin">
        <color indexed="8"/>
      </top>
      <bottom style="thin">
        <color indexed="8"/>
      </bottom>
      <diagonal/>
    </border>
    <border>
      <left style="thin">
        <color indexed="64"/>
      </left>
      <right/>
      <top/>
      <bottom style="dashed">
        <color indexed="64"/>
      </bottom>
      <diagonal/>
    </border>
  </borders>
  <cellStyleXfs count="9">
    <xf numFmtId="0" fontId="0" fillId="0" borderId="0"/>
    <xf numFmtId="0" fontId="8" fillId="0" borderId="0"/>
    <xf numFmtId="0" fontId="3" fillId="0" borderId="0"/>
    <xf numFmtId="9" fontId="4" fillId="0" borderId="0" applyFont="0" applyFill="0" applyBorder="0" applyAlignment="0" applyProtection="0"/>
    <xf numFmtId="0" fontId="2" fillId="0" borderId="0"/>
    <xf numFmtId="0" fontId="1" fillId="0" borderId="0"/>
    <xf numFmtId="0" fontId="24" fillId="0" borderId="0"/>
    <xf numFmtId="43" fontId="25" fillId="0" borderId="0" applyFont="0" applyFill="0" applyBorder="0" applyAlignment="0" applyProtection="0"/>
    <xf numFmtId="9" fontId="3" fillId="0" borderId="0" applyFont="0" applyFill="0" applyBorder="0" applyAlignment="0" applyProtection="0"/>
  </cellStyleXfs>
  <cellXfs count="938">
    <xf numFmtId="0" fontId="0" fillId="0" borderId="0" xfId="0"/>
    <xf numFmtId="0" fontId="6" fillId="0" borderId="0" xfId="2" applyFont="1"/>
    <xf numFmtId="0" fontId="3" fillId="0" borderId="0" xfId="2" applyFont="1"/>
    <xf numFmtId="0" fontId="3" fillId="0" borderId="0" xfId="2" quotePrefix="1" applyFont="1"/>
    <xf numFmtId="0" fontId="3" fillId="0" borderId="0" xfId="2" applyBorder="1"/>
    <xf numFmtId="0" fontId="3" fillId="0" borderId="0" xfId="2" applyFont="1" applyBorder="1"/>
    <xf numFmtId="0" fontId="5" fillId="0" borderId="0" xfId="2" applyFont="1" applyBorder="1" applyAlignment="1">
      <alignment horizontal="center"/>
    </xf>
    <xf numFmtId="17" fontId="3" fillId="2" borderId="0" xfId="2" applyNumberFormat="1" applyFill="1"/>
    <xf numFmtId="0" fontId="5" fillId="0" borderId="1" xfId="2" applyFont="1" applyBorder="1"/>
    <xf numFmtId="0" fontId="6" fillId="0" borderId="3" xfId="2" quotePrefix="1" applyFont="1" applyBorder="1" applyAlignment="1">
      <alignment horizontal="left" vertical="center"/>
    </xf>
    <xf numFmtId="0" fontId="9" fillId="0" borderId="4" xfId="2" applyFont="1" applyBorder="1"/>
    <xf numFmtId="0" fontId="3" fillId="0" borderId="8" xfId="2" applyBorder="1"/>
    <xf numFmtId="0" fontId="5" fillId="0" borderId="8" xfId="2" applyFont="1" applyBorder="1" applyAlignment="1">
      <alignment horizontal="center"/>
    </xf>
    <xf numFmtId="0" fontId="3" fillId="0" borderId="9" xfId="2" quotePrefix="1" applyFont="1" applyBorder="1"/>
    <xf numFmtId="0" fontId="3" fillId="0" borderId="10" xfId="2" applyBorder="1"/>
    <xf numFmtId="0" fontId="5" fillId="0" borderId="8" xfId="2" applyFont="1" applyBorder="1"/>
    <xf numFmtId="0" fontId="3" fillId="0" borderId="12" xfId="2" quotePrefix="1" applyFont="1" applyBorder="1"/>
    <xf numFmtId="0" fontId="3" fillId="0" borderId="13" xfId="2" applyBorder="1"/>
    <xf numFmtId="0" fontId="3" fillId="0" borderId="13" xfId="2" applyFont="1" applyBorder="1" applyAlignment="1">
      <alignment horizontal="center"/>
    </xf>
    <xf numFmtId="0" fontId="3" fillId="0" borderId="13" xfId="2" applyFont="1" applyBorder="1"/>
    <xf numFmtId="0" fontId="3" fillId="0" borderId="14" xfId="2" quotePrefix="1" applyFont="1" applyBorder="1"/>
    <xf numFmtId="0" fontId="3" fillId="0" borderId="15" xfId="2" applyFont="1" applyBorder="1" applyAlignment="1">
      <alignment horizontal="center"/>
    </xf>
    <xf numFmtId="0" fontId="3" fillId="0" borderId="13" xfId="2" applyBorder="1" applyAlignment="1">
      <alignment horizontal="left"/>
    </xf>
    <xf numFmtId="0" fontId="3" fillId="0" borderId="15" xfId="2" applyFont="1" applyBorder="1"/>
    <xf numFmtId="0" fontId="3" fillId="0" borderId="9" xfId="2" applyBorder="1"/>
    <xf numFmtId="0" fontId="10" fillId="0" borderId="10" xfId="2" applyFont="1" applyBorder="1"/>
    <xf numFmtId="0" fontId="3" fillId="0" borderId="12" xfId="2" applyFont="1" applyBorder="1" applyAlignment="1">
      <alignment horizontal="center"/>
    </xf>
    <xf numFmtId="0" fontId="5" fillId="0" borderId="7" xfId="2" applyFont="1" applyBorder="1" applyAlignment="1">
      <alignment horizontal="center"/>
    </xf>
    <xf numFmtId="0" fontId="7" fillId="0" borderId="12" xfId="2" applyFont="1" applyBorder="1" applyAlignment="1">
      <alignment horizontal="center"/>
    </xf>
    <xf numFmtId="0" fontId="6" fillId="0" borderId="19" xfId="2" applyFont="1" applyBorder="1" applyAlignment="1">
      <alignment horizontal="center" vertical="center"/>
    </xf>
    <xf numFmtId="0" fontId="3" fillId="0" borderId="9" xfId="2" applyBorder="1" applyAlignment="1">
      <alignment horizontal="center"/>
    </xf>
    <xf numFmtId="0" fontId="3" fillId="0" borderId="20" xfId="2" applyBorder="1" applyAlignment="1">
      <alignment horizontal="center"/>
    </xf>
    <xf numFmtId="4" fontId="9" fillId="0" borderId="21" xfId="2" applyNumberFormat="1" applyFont="1" applyBorder="1"/>
    <xf numFmtId="4" fontId="9" fillId="0" borderId="23" xfId="2" applyNumberFormat="1" applyFont="1" applyBorder="1"/>
    <xf numFmtId="164" fontId="9" fillId="0" borderId="20" xfId="2" applyNumberFormat="1" applyFont="1" applyBorder="1"/>
    <xf numFmtId="0" fontId="9" fillId="0" borderId="11" xfId="2" applyFont="1" applyBorder="1"/>
    <xf numFmtId="0" fontId="9" fillId="0" borderId="24" xfId="2" applyFont="1" applyBorder="1"/>
    <xf numFmtId="0" fontId="9" fillId="0" borderId="21" xfId="2" applyFont="1" applyBorder="1"/>
    <xf numFmtId="0" fontId="9" fillId="0" borderId="6" xfId="2" applyFont="1" applyBorder="1"/>
    <xf numFmtId="0" fontId="3" fillId="0" borderId="0" xfId="2" applyFont="1" applyBorder="1" applyAlignment="1">
      <alignment horizontal="center"/>
    </xf>
    <xf numFmtId="0" fontId="3" fillId="0" borderId="21" xfId="2" applyFont="1" applyBorder="1" applyAlignment="1">
      <alignment horizontal="center"/>
    </xf>
    <xf numFmtId="0" fontId="5" fillId="0" borderId="25" xfId="2" applyFont="1" applyBorder="1" applyAlignment="1">
      <alignment horizontal="center"/>
    </xf>
    <xf numFmtId="0" fontId="5" fillId="0" borderId="25" xfId="2" applyFont="1" applyBorder="1"/>
    <xf numFmtId="0" fontId="6" fillId="0" borderId="27" xfId="2" applyFont="1" applyBorder="1" applyAlignment="1">
      <alignment horizontal="centerContinuous" vertical="center" wrapText="1"/>
    </xf>
    <xf numFmtId="0" fontId="6" fillId="0" borderId="28" xfId="2" applyFont="1" applyBorder="1" applyAlignment="1">
      <alignment horizontal="centerContinuous" vertical="center" wrapText="1"/>
    </xf>
    <xf numFmtId="4" fontId="3" fillId="0" borderId="0" xfId="2" applyNumberFormat="1" applyBorder="1"/>
    <xf numFmtId="4" fontId="9" fillId="0" borderId="11" xfId="2" applyNumberFormat="1" applyFont="1" applyBorder="1"/>
    <xf numFmtId="4" fontId="3" fillId="0" borderId="0" xfId="2" applyNumberFormat="1"/>
    <xf numFmtId="0" fontId="9" fillId="0" borderId="0" xfId="2" applyFont="1"/>
    <xf numFmtId="3" fontId="9" fillId="2" borderId="0" xfId="2" quotePrefix="1" applyNumberFormat="1" applyFont="1" applyFill="1"/>
    <xf numFmtId="0" fontId="6" fillId="0" borderId="5" xfId="2" applyFont="1" applyBorder="1" applyAlignment="1">
      <alignment horizontal="center"/>
    </xf>
    <xf numFmtId="0" fontId="6" fillId="0" borderId="29" xfId="2" applyFont="1" applyBorder="1" applyAlignment="1">
      <alignment horizontal="center" vertical="center"/>
    </xf>
    <xf numFmtId="0" fontId="11" fillId="0" borderId="5" xfId="2" applyFont="1" applyBorder="1" applyAlignment="1">
      <alignment horizontal="center" vertical="center"/>
    </xf>
    <xf numFmtId="0" fontId="11" fillId="0" borderId="1" xfId="2" applyFont="1" applyBorder="1" applyAlignment="1">
      <alignment horizontal="center" vertical="center"/>
    </xf>
    <xf numFmtId="0" fontId="6" fillId="0" borderId="30" xfId="2" applyFont="1" applyBorder="1" applyAlignment="1">
      <alignment horizontal="center" vertical="center"/>
    </xf>
    <xf numFmtId="167" fontId="9" fillId="0" borderId="11" xfId="2" applyNumberFormat="1" applyFont="1" applyBorder="1"/>
    <xf numFmtId="165" fontId="9" fillId="0" borderId="11" xfId="2" applyNumberFormat="1" applyFont="1" applyBorder="1"/>
    <xf numFmtId="167" fontId="9" fillId="0" borderId="21" xfId="2" applyNumberFormat="1" applyFont="1" applyBorder="1"/>
    <xf numFmtId="165" fontId="9" fillId="0" borderId="21" xfId="2" applyNumberFormat="1" applyFont="1" applyBorder="1"/>
    <xf numFmtId="4" fontId="9" fillId="0" borderId="26" xfId="2" applyNumberFormat="1" applyFont="1" applyBorder="1"/>
    <xf numFmtId="167" fontId="9" fillId="0" borderId="26" xfId="2" applyNumberFormat="1" applyFont="1" applyBorder="1"/>
    <xf numFmtId="165" fontId="9" fillId="0" borderId="26" xfId="2" applyNumberFormat="1" applyFont="1" applyBorder="1"/>
    <xf numFmtId="167" fontId="9" fillId="0" borderId="24" xfId="2" applyNumberFormat="1" applyFont="1" applyBorder="1"/>
    <xf numFmtId="165" fontId="9" fillId="0" borderId="24" xfId="2" applyNumberFormat="1" applyFont="1" applyBorder="1"/>
    <xf numFmtId="167" fontId="9" fillId="0" borderId="23" xfId="2" applyNumberFormat="1" applyFont="1" applyBorder="1"/>
    <xf numFmtId="165" fontId="9" fillId="0" borderId="23" xfId="2" applyNumberFormat="1" applyFont="1" applyBorder="1"/>
    <xf numFmtId="4" fontId="9" fillId="0" borderId="5" xfId="2" applyNumberFormat="1" applyFont="1" applyBorder="1"/>
    <xf numFmtId="167" fontId="9" fillId="0" borderId="5" xfId="2" applyNumberFormat="1" applyFont="1" applyBorder="1"/>
    <xf numFmtId="165" fontId="9" fillId="0" borderId="5" xfId="2" applyNumberFormat="1" applyFont="1" applyBorder="1"/>
    <xf numFmtId="0" fontId="3" fillId="0" borderId="21" xfId="2" applyBorder="1" applyAlignment="1">
      <alignment horizontal="center"/>
    </xf>
    <xf numFmtId="0" fontId="3" fillId="0" borderId="0" xfId="2" quotePrefix="1" applyFont="1" applyBorder="1"/>
    <xf numFmtId="0" fontId="12" fillId="0" borderId="1" xfId="2" applyFont="1" applyBorder="1"/>
    <xf numFmtId="0" fontId="3" fillId="0" borderId="6" xfId="2" applyBorder="1"/>
    <xf numFmtId="0" fontId="3" fillId="0" borderId="32" xfId="2" applyFont="1" applyBorder="1" applyAlignment="1">
      <alignment horizontal="center"/>
    </xf>
    <xf numFmtId="0" fontId="12" fillId="0" borderId="33" xfId="2" applyFont="1" applyBorder="1"/>
    <xf numFmtId="0" fontId="3" fillId="0" borderId="34" xfId="2" applyFont="1" applyBorder="1"/>
    <xf numFmtId="165" fontId="12" fillId="0" borderId="34" xfId="2" applyNumberFormat="1" applyFont="1" applyBorder="1"/>
    <xf numFmtId="0" fontId="12" fillId="0" borderId="16" xfId="2" quotePrefix="1" applyFont="1" applyBorder="1"/>
    <xf numFmtId="0" fontId="3" fillId="0" borderId="17" xfId="2" applyBorder="1"/>
    <xf numFmtId="0" fontId="3" fillId="0" borderId="35" xfId="2" applyFont="1" applyBorder="1" applyAlignment="1">
      <alignment horizontal="center"/>
    </xf>
    <xf numFmtId="0" fontId="12" fillId="0" borderId="36" xfId="2" applyFont="1" applyBorder="1"/>
    <xf numFmtId="0" fontId="3" fillId="0" borderId="37" xfId="2" applyFont="1" applyBorder="1"/>
    <xf numFmtId="165" fontId="12" fillId="0" borderId="37" xfId="2" applyNumberFormat="1" applyFont="1" applyBorder="1"/>
    <xf numFmtId="0" fontId="12" fillId="0" borderId="37" xfId="2" applyFont="1" applyBorder="1"/>
    <xf numFmtId="166" fontId="10" fillId="0" borderId="3" xfId="2" applyNumberFormat="1" applyFont="1" applyBorder="1" applyAlignment="1">
      <alignment horizontal="center"/>
    </xf>
    <xf numFmtId="0" fontId="3" fillId="0" borderId="31" xfId="2" applyBorder="1"/>
    <xf numFmtId="0" fontId="3" fillId="0" borderId="4" xfId="2" applyBorder="1"/>
    <xf numFmtId="165" fontId="3" fillId="0" borderId="0" xfId="2" applyNumberFormat="1" applyBorder="1"/>
    <xf numFmtId="10" fontId="12" fillId="0" borderId="37" xfId="2" applyNumberFormat="1" applyFont="1" applyBorder="1"/>
    <xf numFmtId="165" fontId="3" fillId="0" borderId="2" xfId="2" applyNumberFormat="1" applyBorder="1"/>
    <xf numFmtId="168" fontId="12" fillId="0" borderId="37" xfId="2" applyNumberFormat="1" applyFont="1" applyBorder="1"/>
    <xf numFmtId="0" fontId="3" fillId="0" borderId="38" xfId="2" applyFont="1" applyBorder="1" applyAlignment="1">
      <alignment horizontal="center"/>
    </xf>
    <xf numFmtId="0" fontId="12" fillId="0" borderId="39" xfId="2" applyFont="1" applyBorder="1"/>
    <xf numFmtId="0" fontId="3" fillId="0" borderId="40" xfId="2" applyFont="1" applyBorder="1"/>
    <xf numFmtId="165" fontId="12" fillId="0" borderId="40" xfId="2" applyNumberFormat="1" applyFont="1" applyBorder="1"/>
    <xf numFmtId="165" fontId="3" fillId="0" borderId="31" xfId="2" applyNumberFormat="1" applyBorder="1"/>
    <xf numFmtId="0" fontId="12" fillId="0" borderId="0" xfId="2" applyFont="1" applyBorder="1"/>
    <xf numFmtId="0" fontId="10" fillId="0" borderId="5" xfId="2" applyFont="1" applyBorder="1" applyAlignment="1">
      <alignment horizontal="center"/>
    </xf>
    <xf numFmtId="0" fontId="10" fillId="0" borderId="2" xfId="2" applyFont="1" applyBorder="1" applyAlignment="1">
      <alignment horizontal="centerContinuous"/>
    </xf>
    <xf numFmtId="0" fontId="5" fillId="0" borderId="6" xfId="2" applyFont="1" applyBorder="1" applyAlignment="1">
      <alignment horizontal="centerContinuous"/>
    </xf>
    <xf numFmtId="0" fontId="10" fillId="0" borderId="6" xfId="2" applyFont="1" applyBorder="1" applyAlignment="1">
      <alignment horizontal="center"/>
    </xf>
    <xf numFmtId="0" fontId="7" fillId="0" borderId="21" xfId="2" applyFont="1" applyBorder="1" applyAlignment="1">
      <alignment horizontal="center"/>
    </xf>
    <xf numFmtId="0" fontId="3" fillId="0" borderId="16" xfId="2" applyBorder="1"/>
    <xf numFmtId="0" fontId="10" fillId="0" borderId="0" xfId="2" applyFont="1" applyBorder="1"/>
    <xf numFmtId="0" fontId="7" fillId="0" borderId="0" xfId="0" applyFont="1"/>
    <xf numFmtId="0" fontId="5" fillId="0" borderId="0" xfId="0" applyFont="1" applyAlignment="1">
      <alignment horizontal="centerContinuous"/>
    </xf>
    <xf numFmtId="0" fontId="7" fillId="0" borderId="0" xfId="0" applyFont="1" applyAlignment="1">
      <alignment horizontal="centerContinuous"/>
    </xf>
    <xf numFmtId="0" fontId="5" fillId="0" borderId="0" xfId="0" applyFont="1"/>
    <xf numFmtId="0" fontId="7" fillId="0" borderId="0" xfId="0" quotePrefix="1" applyFont="1"/>
    <xf numFmtId="0" fontId="10" fillId="0" borderId="0" xfId="2" applyFont="1" applyAlignment="1">
      <alignment horizontal="centerContinuous" vertical="center"/>
    </xf>
    <xf numFmtId="0" fontId="5" fillId="0" borderId="0" xfId="2" applyFont="1" applyAlignment="1">
      <alignment horizontal="centerContinuous" vertical="center"/>
    </xf>
    <xf numFmtId="0" fontId="6" fillId="0" borderId="1" xfId="2" applyFont="1" applyBorder="1" applyAlignment="1">
      <alignment horizontal="centerContinuous" vertical="center"/>
    </xf>
    <xf numFmtId="0" fontId="6" fillId="0" borderId="2" xfId="2" applyFont="1" applyBorder="1" applyAlignment="1">
      <alignment horizontal="centerContinuous" vertical="center"/>
    </xf>
    <xf numFmtId="0" fontId="6" fillId="0" borderId="6" xfId="2" applyFont="1" applyBorder="1" applyAlignment="1">
      <alignment horizontal="centerContinuous" vertical="center"/>
    </xf>
    <xf numFmtId="0" fontId="3" fillId="0" borderId="0" xfId="2" applyBorder="1" applyAlignment="1">
      <alignment horizontal="center"/>
    </xf>
    <xf numFmtId="0" fontId="3" fillId="0" borderId="16" xfId="2" applyBorder="1" applyAlignment="1">
      <alignment horizontal="center"/>
    </xf>
    <xf numFmtId="4" fontId="6" fillId="0" borderId="0" xfId="2" applyNumberFormat="1" applyFont="1" applyBorder="1"/>
    <xf numFmtId="164" fontId="9" fillId="0" borderId="17" xfId="2" applyNumberFormat="1" applyFont="1" applyBorder="1"/>
    <xf numFmtId="4" fontId="9" fillId="0" borderId="29" xfId="2" applyNumberFormat="1" applyFont="1" applyBorder="1"/>
    <xf numFmtId="167" fontId="9" fillId="0" borderId="29" xfId="2" applyNumberFormat="1" applyFont="1" applyBorder="1"/>
    <xf numFmtId="165" fontId="9" fillId="0" borderId="29" xfId="2" applyNumberFormat="1" applyFont="1" applyBorder="1"/>
    <xf numFmtId="0" fontId="3" fillId="0" borderId="3" xfId="2" applyBorder="1"/>
    <xf numFmtId="0" fontId="10" fillId="0" borderId="31" xfId="2" applyFont="1" applyBorder="1"/>
    <xf numFmtId="164" fontId="9" fillId="0" borderId="4" xfId="2" applyNumberFormat="1" applyFont="1" applyBorder="1"/>
    <xf numFmtId="4" fontId="9" fillId="0" borderId="30" xfId="2" applyNumberFormat="1" applyFont="1" applyBorder="1"/>
    <xf numFmtId="167" fontId="9" fillId="0" borderId="30" xfId="2" applyNumberFormat="1" applyFont="1" applyBorder="1"/>
    <xf numFmtId="165" fontId="9" fillId="0" borderId="30" xfId="2" applyNumberFormat="1" applyFont="1" applyBorder="1"/>
    <xf numFmtId="0" fontId="10" fillId="0" borderId="10" xfId="2" applyFont="1" applyBorder="1" applyAlignment="1">
      <alignment horizontal="right"/>
    </xf>
    <xf numFmtId="0" fontId="3" fillId="0" borderId="0" xfId="2" applyAlignment="1">
      <alignment horizontal="centerContinuous"/>
    </xf>
    <xf numFmtId="0" fontId="5" fillId="0" borderId="0" xfId="0" applyFont="1" applyAlignment="1">
      <alignment horizontal="right"/>
    </xf>
    <xf numFmtId="170" fontId="9" fillId="0" borderId="0" xfId="2" applyNumberFormat="1" applyFont="1" applyAlignment="1">
      <alignment horizontal="centerContinuous"/>
    </xf>
    <xf numFmtId="164" fontId="9" fillId="0" borderId="6" xfId="2" applyNumberFormat="1" applyFont="1" applyBorder="1"/>
    <xf numFmtId="0" fontId="6" fillId="0" borderId="0" xfId="0" applyFont="1"/>
    <xf numFmtId="0" fontId="15" fillId="0" borderId="0" xfId="0" applyFont="1"/>
    <xf numFmtId="0" fontId="9" fillId="0" borderId="0" xfId="0" applyFont="1"/>
    <xf numFmtId="0" fontId="6" fillId="0" borderId="0" xfId="0" quotePrefix="1" applyFont="1"/>
    <xf numFmtId="0" fontId="9" fillId="0" borderId="0" xfId="0" quotePrefix="1" applyFont="1"/>
    <xf numFmtId="0" fontId="12" fillId="0" borderId="0" xfId="0" applyFont="1"/>
    <xf numFmtId="0" fontId="12" fillId="0" borderId="0" xfId="0" applyFont="1" applyAlignment="1">
      <alignment horizontal="justify" vertical="center" wrapText="1"/>
    </xf>
    <xf numFmtId="0" fontId="6" fillId="3" borderId="0" xfId="2" applyFont="1" applyFill="1"/>
    <xf numFmtId="0" fontId="6" fillId="0" borderId="18"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6" fillId="0" borderId="1" xfId="2" applyFont="1" applyBorder="1" applyAlignment="1">
      <alignment horizontal="centerContinuous" vertical="center" wrapText="1"/>
    </xf>
    <xf numFmtId="0" fontId="6" fillId="0" borderId="2" xfId="2" applyFont="1" applyBorder="1" applyAlignment="1">
      <alignment horizontal="centerContinuous" vertical="center" wrapText="1"/>
    </xf>
    <xf numFmtId="0" fontId="6" fillId="0" borderId="5" xfId="2" applyFont="1" applyBorder="1" applyAlignment="1">
      <alignment horizontal="centerContinuous" vertical="center"/>
    </xf>
    <xf numFmtId="40" fontId="12" fillId="0" borderId="0" xfId="2" applyNumberFormat="1" applyFont="1" applyBorder="1"/>
    <xf numFmtId="40" fontId="3" fillId="0" borderId="0" xfId="2" applyNumberFormat="1"/>
    <xf numFmtId="0" fontId="6" fillId="0" borderId="18" xfId="2" applyFont="1" applyBorder="1" applyAlignment="1">
      <alignment vertical="center" wrapText="1"/>
    </xf>
    <xf numFmtId="0" fontId="3" fillId="0" borderId="41" xfId="2" quotePrefix="1" applyFont="1" applyBorder="1"/>
    <xf numFmtId="0" fontId="3" fillId="0" borderId="42" xfId="2" applyFont="1" applyBorder="1"/>
    <xf numFmtId="0" fontId="3" fillId="0" borderId="42" xfId="2" applyFont="1" applyBorder="1" applyAlignment="1">
      <alignment horizontal="center"/>
    </xf>
    <xf numFmtId="0" fontId="3" fillId="0" borderId="43" xfId="2" applyFont="1" applyBorder="1" applyAlignment="1">
      <alignment horizontal="center"/>
    </xf>
    <xf numFmtId="4" fontId="6" fillId="0" borderId="6" xfId="2" applyNumberFormat="1" applyFont="1" applyBorder="1"/>
    <xf numFmtId="164" fontId="9" fillId="0" borderId="26" xfId="3" applyNumberFormat="1" applyFont="1" applyBorder="1"/>
    <xf numFmtId="166" fontId="12" fillId="0" borderId="21" xfId="2" applyNumberFormat="1" applyFont="1" applyBorder="1"/>
    <xf numFmtId="164" fontId="12" fillId="0" borderId="22" xfId="2" applyNumberFormat="1" applyFont="1" applyBorder="1"/>
    <xf numFmtId="0" fontId="12" fillId="0" borderId="10" xfId="2" applyFont="1" applyBorder="1"/>
    <xf numFmtId="0" fontId="10" fillId="0" borderId="7" xfId="2" applyFont="1" applyBorder="1" applyAlignment="1">
      <alignment horizontal="centerContinuous" vertical="center" wrapText="1"/>
    </xf>
    <xf numFmtId="0" fontId="12" fillId="0" borderId="8" xfId="2" applyFont="1" applyBorder="1"/>
    <xf numFmtId="0" fontId="12" fillId="0" borderId="11" xfId="2" applyFont="1" applyBorder="1"/>
    <xf numFmtId="0" fontId="12" fillId="0" borderId="31" xfId="2" applyFont="1" applyBorder="1"/>
    <xf numFmtId="3" fontId="10" fillId="0" borderId="5" xfId="2" applyNumberFormat="1" applyFont="1" applyBorder="1"/>
    <xf numFmtId="0" fontId="12" fillId="0" borderId="18" xfId="2" applyFont="1" applyBorder="1"/>
    <xf numFmtId="3" fontId="10" fillId="0" borderId="31" xfId="2" applyNumberFormat="1" applyFont="1" applyBorder="1"/>
    <xf numFmtId="0" fontId="12" fillId="0" borderId="2" xfId="2" applyFont="1" applyBorder="1"/>
    <xf numFmtId="4" fontId="10" fillId="0" borderId="5" xfId="2" applyNumberFormat="1" applyFont="1" applyBorder="1"/>
    <xf numFmtId="0" fontId="12" fillId="0" borderId="7" xfId="2" applyFont="1" applyBorder="1"/>
    <xf numFmtId="40" fontId="12" fillId="0" borderId="21" xfId="2" applyNumberFormat="1" applyFont="1" applyBorder="1"/>
    <xf numFmtId="0" fontId="5" fillId="0" borderId="0" xfId="2" applyFont="1" applyFill="1" applyAlignment="1">
      <alignment horizontal="centerContinuous" vertical="center"/>
    </xf>
    <xf numFmtId="0" fontId="10" fillId="0" borderId="0" xfId="2" applyFont="1" applyFill="1" applyAlignment="1">
      <alignment horizontal="centerContinuous" vertical="center"/>
    </xf>
    <xf numFmtId="0" fontId="3" fillId="0" borderId="13" xfId="2" applyFont="1" applyFill="1" applyBorder="1"/>
    <xf numFmtId="0" fontId="3" fillId="0" borderId="0" xfId="2" applyAlignment="1">
      <alignment horizontal="right"/>
    </xf>
    <xf numFmtId="17" fontId="3" fillId="0" borderId="0" xfId="2" applyNumberFormat="1" applyAlignment="1">
      <alignment horizontal="right"/>
    </xf>
    <xf numFmtId="40" fontId="10" fillId="0" borderId="10" xfId="2" applyNumberFormat="1" applyFont="1" applyBorder="1"/>
    <xf numFmtId="40" fontId="3" fillId="0" borderId="0" xfId="2" applyNumberFormat="1" applyBorder="1"/>
    <xf numFmtId="171" fontId="12" fillId="0" borderId="0" xfId="2" applyNumberFormat="1" applyFont="1" applyFill="1" applyBorder="1" applyAlignment="1"/>
    <xf numFmtId="171" fontId="12" fillId="0" borderId="8" xfId="2" applyNumberFormat="1" applyFont="1" applyFill="1" applyBorder="1" applyAlignment="1"/>
    <xf numFmtId="171" fontId="12" fillId="0" borderId="11" xfId="2" applyNumberFormat="1" applyFont="1" applyFill="1" applyBorder="1" applyAlignment="1"/>
    <xf numFmtId="171" fontId="12" fillId="0" borderId="31" xfId="2" applyNumberFormat="1" applyFont="1" applyFill="1" applyBorder="1" applyAlignment="1"/>
    <xf numFmtId="40" fontId="12" fillId="0" borderId="11" xfId="2" applyNumberFormat="1" applyFont="1" applyFill="1" applyBorder="1" applyAlignment="1"/>
    <xf numFmtId="40" fontId="12" fillId="0" borderId="18" xfId="2" applyNumberFormat="1" applyFont="1" applyFill="1" applyBorder="1" applyAlignment="1"/>
    <xf numFmtId="40" fontId="12" fillId="0" borderId="31" xfId="2" applyNumberFormat="1" applyFont="1" applyFill="1" applyBorder="1" applyAlignment="1"/>
    <xf numFmtId="40" fontId="10" fillId="0" borderId="0" xfId="2" applyNumberFormat="1" applyFont="1" applyFill="1" applyBorder="1" applyAlignment="1"/>
    <xf numFmtId="40" fontId="10" fillId="0" borderId="29" xfId="2" applyNumberFormat="1" applyFont="1" applyBorder="1" applyAlignment="1"/>
    <xf numFmtId="40" fontId="10" fillId="0" borderId="5" xfId="2" applyNumberFormat="1" applyFont="1" applyFill="1" applyBorder="1" applyAlignment="1"/>
    <xf numFmtId="40" fontId="10" fillId="0" borderId="5" xfId="2" applyNumberFormat="1" applyFont="1" applyBorder="1" applyAlignment="1"/>
    <xf numFmtId="40" fontId="10" fillId="0" borderId="8" xfId="2" applyNumberFormat="1" applyFont="1" applyBorder="1" applyAlignment="1"/>
    <xf numFmtId="40" fontId="10" fillId="0" borderId="7" xfId="2" applyNumberFormat="1" applyFont="1" applyBorder="1" applyAlignment="1">
      <alignment horizontal="centerContinuous"/>
    </xf>
    <xf numFmtId="0" fontId="6" fillId="0" borderId="46" xfId="2" applyFont="1" applyBorder="1" applyAlignment="1">
      <alignment horizontal="centerContinuous" vertical="center" wrapText="1"/>
    </xf>
    <xf numFmtId="0" fontId="3" fillId="0" borderId="12" xfId="2" applyBorder="1" applyAlignment="1">
      <alignment horizontal="center"/>
    </xf>
    <xf numFmtId="40" fontId="12" fillId="0" borderId="47" xfId="0" applyNumberFormat="1" applyFont="1" applyFill="1" applyBorder="1" applyAlignment="1"/>
    <xf numFmtId="171" fontId="12" fillId="0" borderId="47" xfId="2" applyNumberFormat="1" applyFont="1" applyFill="1" applyBorder="1" applyAlignment="1"/>
    <xf numFmtId="171" fontId="12" fillId="0" borderId="47" xfId="0" applyNumberFormat="1" applyFont="1" applyFill="1" applyBorder="1" applyAlignment="1"/>
    <xf numFmtId="40" fontId="12" fillId="0" borderId="48" xfId="2" applyNumberFormat="1" applyFont="1" applyFill="1" applyBorder="1" applyAlignment="1"/>
    <xf numFmtId="171" fontId="12" fillId="0" borderId="48" xfId="2" applyNumberFormat="1" applyFont="1" applyFill="1" applyBorder="1" applyAlignment="1"/>
    <xf numFmtId="40" fontId="12" fillId="0" borderId="44" xfId="2" applyNumberFormat="1" applyFont="1" applyFill="1" applyBorder="1" applyAlignment="1"/>
    <xf numFmtId="171" fontId="12" fillId="0" borderId="44" xfId="2" applyNumberFormat="1" applyFont="1" applyFill="1" applyBorder="1" applyAlignment="1"/>
    <xf numFmtId="40" fontId="12" fillId="0" borderId="47" xfId="2" applyNumberFormat="1" applyFont="1" applyBorder="1" applyAlignment="1"/>
    <xf numFmtId="164" fontId="9" fillId="0" borderId="50" xfId="2" applyNumberFormat="1" applyFont="1" applyBorder="1"/>
    <xf numFmtId="40" fontId="12" fillId="0" borderId="51" xfId="2" applyNumberFormat="1" applyFont="1" applyFill="1" applyBorder="1" applyAlignment="1"/>
    <xf numFmtId="40" fontId="12" fillId="0" borderId="51" xfId="2" applyNumberFormat="1" applyFont="1" applyBorder="1" applyAlignment="1"/>
    <xf numFmtId="164" fontId="9" fillId="0" borderId="47" xfId="2" applyNumberFormat="1" applyFont="1" applyBorder="1"/>
    <xf numFmtId="40" fontId="12" fillId="0" borderId="52" xfId="2" applyNumberFormat="1" applyFont="1" applyBorder="1" applyAlignment="1"/>
    <xf numFmtId="40" fontId="10" fillId="0" borderId="48" xfId="2" applyNumberFormat="1" applyFont="1" applyFill="1" applyBorder="1" applyAlignment="1"/>
    <xf numFmtId="40" fontId="10" fillId="0" borderId="48" xfId="2" applyNumberFormat="1" applyFont="1" applyBorder="1" applyAlignment="1"/>
    <xf numFmtId="40" fontId="10" fillId="0" borderId="53" xfId="2" applyNumberFormat="1" applyFont="1" applyBorder="1" applyAlignment="1"/>
    <xf numFmtId="164" fontId="9" fillId="0" borderId="54" xfId="2" applyNumberFormat="1" applyFont="1" applyBorder="1"/>
    <xf numFmtId="40" fontId="10" fillId="0" borderId="55" xfId="2" applyNumberFormat="1" applyFont="1" applyBorder="1" applyAlignment="1"/>
    <xf numFmtId="40" fontId="12" fillId="0" borderId="49" xfId="2" applyNumberFormat="1" applyFont="1" applyFill="1" applyBorder="1" applyAlignment="1"/>
    <xf numFmtId="40" fontId="12" fillId="0" borderId="44" xfId="2" applyNumberFormat="1" applyFont="1" applyBorder="1" applyAlignment="1"/>
    <xf numFmtId="40" fontId="10" fillId="0" borderId="45" xfId="2" applyNumberFormat="1" applyFont="1" applyBorder="1" applyAlignment="1">
      <alignment horizontal="centerContinuous"/>
    </xf>
    <xf numFmtId="0" fontId="5" fillId="0" borderId="45" xfId="2" applyFont="1" applyBorder="1" applyAlignment="1">
      <alignment horizontal="center"/>
    </xf>
    <xf numFmtId="40" fontId="10" fillId="0" borderId="49" xfId="2" applyNumberFormat="1" applyFont="1" applyBorder="1" applyAlignment="1">
      <alignment horizontal="centerContinuous"/>
    </xf>
    <xf numFmtId="0" fontId="3" fillId="0" borderId="47" xfId="2" applyFont="1" applyBorder="1" applyAlignment="1">
      <alignment horizontal="center"/>
    </xf>
    <xf numFmtId="0" fontId="7" fillId="0" borderId="51" xfId="2" applyFont="1" applyBorder="1" applyAlignment="1">
      <alignment horizontal="center"/>
    </xf>
    <xf numFmtId="0" fontId="3" fillId="0" borderId="51" xfId="2" applyFont="1" applyBorder="1" applyAlignment="1">
      <alignment horizontal="center"/>
    </xf>
    <xf numFmtId="0" fontId="3" fillId="0" borderId="51" xfId="2" applyBorder="1" applyAlignment="1">
      <alignment horizontal="center"/>
    </xf>
    <xf numFmtId="40" fontId="12" fillId="0" borderId="55" xfId="2" applyNumberFormat="1" applyFont="1" applyFill="1" applyBorder="1" applyAlignment="1"/>
    <xf numFmtId="171" fontId="12" fillId="0" borderId="55" xfId="2" applyNumberFormat="1" applyFont="1" applyFill="1" applyBorder="1" applyAlignment="1"/>
    <xf numFmtId="164" fontId="6" fillId="0" borderId="54" xfId="2" applyNumberFormat="1" applyFont="1" applyBorder="1"/>
    <xf numFmtId="0" fontId="3" fillId="0" borderId="51" xfId="2" quotePrefix="1" applyFont="1" applyBorder="1"/>
    <xf numFmtId="0" fontId="3" fillId="0" borderId="52" xfId="2" applyFont="1" applyBorder="1" applyAlignment="1">
      <alignment horizontal="center"/>
    </xf>
    <xf numFmtId="0" fontId="3" fillId="0" borderId="47" xfId="2" applyBorder="1" applyAlignment="1">
      <alignment horizontal="center"/>
    </xf>
    <xf numFmtId="0" fontId="3" fillId="0" borderId="48" xfId="2" applyBorder="1" applyAlignment="1">
      <alignment horizontal="center"/>
    </xf>
    <xf numFmtId="0" fontId="3" fillId="0" borderId="52" xfId="2" applyFont="1" applyBorder="1"/>
    <xf numFmtId="0" fontId="3" fillId="0" borderId="52" xfId="2" applyBorder="1" applyAlignment="1">
      <alignment horizontal="left"/>
    </xf>
    <xf numFmtId="164" fontId="9" fillId="0" borderId="56" xfId="2" applyNumberFormat="1" applyFont="1" applyBorder="1"/>
    <xf numFmtId="40" fontId="9" fillId="0" borderId="55" xfId="2" applyNumberFormat="1" applyFont="1" applyFill="1" applyBorder="1" applyAlignment="1"/>
    <xf numFmtId="171" fontId="9" fillId="0" borderId="55" xfId="2" applyNumberFormat="1" applyFont="1" applyFill="1" applyBorder="1" applyAlignment="1"/>
    <xf numFmtId="0" fontId="9" fillId="0" borderId="53" xfId="2" applyFont="1" applyBorder="1"/>
    <xf numFmtId="40" fontId="12" fillId="4" borderId="47" xfId="2" applyNumberFormat="1" applyFont="1" applyFill="1" applyBorder="1" applyAlignment="1"/>
    <xf numFmtId="4" fontId="18" fillId="4" borderId="10" xfId="2" applyNumberFormat="1" applyFont="1" applyFill="1" applyBorder="1"/>
    <xf numFmtId="166" fontId="18" fillId="4" borderId="10" xfId="2" applyNumberFormat="1" applyFont="1" applyFill="1" applyBorder="1"/>
    <xf numFmtId="4" fontId="18" fillId="4" borderId="2" xfId="2" applyNumberFormat="1" applyFont="1" applyFill="1" applyBorder="1"/>
    <xf numFmtId="172" fontId="3" fillId="0" borderId="0" xfId="2" applyNumberFormat="1" applyBorder="1"/>
    <xf numFmtId="10" fontId="9" fillId="0" borderId="50" xfId="2" applyNumberFormat="1" applyFont="1" applyBorder="1"/>
    <xf numFmtId="0" fontId="16" fillId="0" borderId="10" xfId="2" applyFont="1" applyBorder="1"/>
    <xf numFmtId="0" fontId="16" fillId="0" borderId="31" xfId="2" applyFont="1" applyBorder="1"/>
    <xf numFmtId="4" fontId="19" fillId="0" borderId="21" xfId="2" applyNumberFormat="1" applyFont="1" applyBorder="1"/>
    <xf numFmtId="4" fontId="19" fillId="0" borderId="22" xfId="2" applyNumberFormat="1" applyFont="1" applyBorder="1"/>
    <xf numFmtId="166" fontId="19" fillId="0" borderId="21" xfId="2" applyNumberFormat="1" applyFont="1" applyBorder="1"/>
    <xf numFmtId="4" fontId="3" fillId="0" borderId="0" xfId="2" applyNumberFormat="1" applyAlignment="1">
      <alignment horizontal="right"/>
    </xf>
    <xf numFmtId="0" fontId="16" fillId="4" borderId="10" xfId="2" applyFont="1" applyFill="1" applyBorder="1"/>
    <xf numFmtId="0" fontId="16" fillId="4" borderId="31" xfId="2" applyFont="1" applyFill="1" applyBorder="1"/>
    <xf numFmtId="0" fontId="20" fillId="0" borderId="3" xfId="2" applyFont="1" applyBorder="1"/>
    <xf numFmtId="0" fontId="20" fillId="0" borderId="1" xfId="2" applyFont="1" applyBorder="1"/>
    <xf numFmtId="40" fontId="12" fillId="0" borderId="0" xfId="2" applyNumberFormat="1" applyFont="1" applyFill="1" applyBorder="1" applyAlignment="1"/>
    <xf numFmtId="165" fontId="6" fillId="3" borderId="0" xfId="2" applyNumberFormat="1" applyFont="1" applyFill="1"/>
    <xf numFmtId="0" fontId="21" fillId="0" borderId="0" xfId="2" applyFont="1" applyAlignment="1">
      <alignment horizontal="centerContinuous"/>
    </xf>
    <xf numFmtId="0" fontId="3" fillId="0" borderId="15" xfId="2" applyBorder="1" applyAlignment="1">
      <alignment horizontal="left"/>
    </xf>
    <xf numFmtId="0" fontId="3" fillId="0" borderId="0" xfId="2"/>
    <xf numFmtId="0" fontId="3" fillId="0" borderId="2" xfId="2" applyBorder="1"/>
    <xf numFmtId="0" fontId="6" fillId="0" borderId="6" xfId="2" applyFont="1" applyBorder="1" applyAlignment="1">
      <alignment horizontal="center" vertical="center"/>
    </xf>
    <xf numFmtId="0" fontId="6" fillId="0" borderId="6" xfId="2" applyFont="1" applyBorder="1" applyAlignment="1">
      <alignment horizontal="centerContinuous" vertical="center" wrapText="1"/>
    </xf>
    <xf numFmtId="40" fontId="10" fillId="0" borderId="5" xfId="2" applyNumberFormat="1" applyFont="1" applyBorder="1"/>
    <xf numFmtId="40" fontId="12" fillId="0" borderId="47" xfId="2" applyNumberFormat="1" applyFont="1" applyFill="1" applyBorder="1" applyAlignment="1"/>
    <xf numFmtId="0" fontId="5" fillId="0" borderId="7" xfId="2" applyFont="1" applyBorder="1"/>
    <xf numFmtId="164" fontId="9" fillId="0" borderId="50" xfId="2" applyNumberFormat="1" applyFont="1" applyBorder="1" applyAlignment="1">
      <alignment horizontal="right"/>
    </xf>
    <xf numFmtId="0" fontId="3" fillId="0" borderId="13" xfId="2" applyFont="1" applyFill="1" applyBorder="1" applyAlignment="1">
      <alignment horizontal="left"/>
    </xf>
    <xf numFmtId="40" fontId="12" fillId="0" borderId="57" xfId="2" applyNumberFormat="1" applyFont="1" applyBorder="1" applyAlignment="1"/>
    <xf numFmtId="164" fontId="9" fillId="0" borderId="58" xfId="2" applyNumberFormat="1" applyFont="1" applyBorder="1"/>
    <xf numFmtId="0" fontId="6" fillId="0" borderId="5" xfId="2" applyFont="1" applyBorder="1" applyAlignment="1">
      <alignment horizontal="center" vertical="center" wrapText="1"/>
    </xf>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10" fillId="0" borderId="0" xfId="2" applyFont="1"/>
    <xf numFmtId="0" fontId="5" fillId="0" borderId="2" xfId="2" applyFont="1" applyBorder="1" applyAlignment="1">
      <alignment horizontal="center"/>
    </xf>
    <xf numFmtId="40" fontId="6" fillId="0" borderId="5" xfId="2" applyNumberFormat="1" applyFont="1" applyBorder="1" applyAlignment="1">
      <alignment horizontal="center" vertical="center"/>
    </xf>
    <xf numFmtId="0" fontId="3" fillId="0" borderId="11" xfId="2" quotePrefix="1" applyFont="1" applyBorder="1"/>
    <xf numFmtId="0" fontId="3" fillId="0" borderId="59" xfId="2" applyFont="1" applyBorder="1" applyAlignment="1">
      <alignment horizontal="left"/>
    </xf>
    <xf numFmtId="0" fontId="3" fillId="0" borderId="26" xfId="2" quotePrefix="1" applyFont="1" applyBorder="1"/>
    <xf numFmtId="40" fontId="12" fillId="0" borderId="26" xfId="2" applyNumberFormat="1" applyFont="1" applyBorder="1"/>
    <xf numFmtId="171" fontId="12" fillId="0" borderId="26" xfId="2" applyNumberFormat="1" applyFont="1" applyBorder="1"/>
    <xf numFmtId="0" fontId="12" fillId="0" borderId="6" xfId="2" applyFont="1" applyBorder="1"/>
    <xf numFmtId="40" fontId="10" fillId="0" borderId="30" xfId="2" applyNumberFormat="1" applyFont="1" applyBorder="1"/>
    <xf numFmtId="40" fontId="10" fillId="5" borderId="30" xfId="2" applyNumberFormat="1" applyFont="1" applyFill="1" applyBorder="1"/>
    <xf numFmtId="40" fontId="10" fillId="0" borderId="1" xfId="2" applyNumberFormat="1" applyFont="1" applyBorder="1" applyAlignment="1">
      <alignment horizontal="centerContinuous"/>
    </xf>
    <xf numFmtId="0" fontId="3" fillId="0" borderId="24" xfId="2" applyFont="1" applyBorder="1" applyAlignment="1">
      <alignment horizontal="center"/>
    </xf>
    <xf numFmtId="0" fontId="3" fillId="0" borderId="60" xfId="2" applyFont="1" applyBorder="1" applyAlignment="1">
      <alignment horizontal="centerContinuous"/>
    </xf>
    <xf numFmtId="0" fontId="3" fillId="0" borderId="26" xfId="2" applyFont="1" applyBorder="1" applyAlignment="1">
      <alignment horizontal="left"/>
    </xf>
    <xf numFmtId="0" fontId="3" fillId="0" borderId="26" xfId="2" applyFont="1" applyBorder="1" applyAlignment="1">
      <alignment horizontal="center"/>
    </xf>
    <xf numFmtId="0" fontId="3" fillId="0" borderId="10" xfId="2" applyFont="1" applyBorder="1" applyAlignment="1">
      <alignment horizontal="centerContinuous"/>
    </xf>
    <xf numFmtId="0" fontId="3" fillId="0" borderId="31" xfId="2" applyFont="1" applyBorder="1"/>
    <xf numFmtId="171" fontId="12" fillId="0" borderId="5" xfId="2" applyNumberFormat="1" applyFont="1" applyBorder="1"/>
    <xf numFmtId="40" fontId="12" fillId="0" borderId="5" xfId="2" applyNumberFormat="1" applyFont="1" applyBorder="1"/>
    <xf numFmtId="164" fontId="6" fillId="0" borderId="30" xfId="2" applyNumberFormat="1" applyFont="1" applyBorder="1"/>
    <xf numFmtId="0" fontId="12" fillId="0" borderId="26" xfId="2" applyFont="1" applyBorder="1" applyAlignment="1">
      <alignment horizontal="center"/>
    </xf>
    <xf numFmtId="0" fontId="12" fillId="0" borderId="11" xfId="2" applyFont="1" applyBorder="1" applyAlignment="1">
      <alignment horizontal="center"/>
    </xf>
    <xf numFmtId="40" fontId="12" fillId="0" borderId="53" xfId="2" applyNumberFormat="1" applyFont="1" applyFill="1" applyBorder="1" applyAlignment="1"/>
    <xf numFmtId="40" fontId="12" fillId="0" borderId="48" xfId="2" applyNumberFormat="1" applyFont="1" applyBorder="1" applyAlignment="1"/>
    <xf numFmtId="172" fontId="3" fillId="0" borderId="0" xfId="2" applyNumberFormat="1"/>
    <xf numFmtId="172" fontId="3" fillId="0" borderId="31" xfId="2" applyNumberFormat="1" applyBorder="1"/>
    <xf numFmtId="40" fontId="5" fillId="0" borderId="0" xfId="2" applyNumberFormat="1" applyFont="1"/>
    <xf numFmtId="171" fontId="10" fillId="0" borderId="47" xfId="2" applyNumberFormat="1" applyFont="1" applyFill="1" applyBorder="1" applyAlignment="1"/>
    <xf numFmtId="4" fontId="9" fillId="0" borderId="0" xfId="2" applyNumberFormat="1" applyFont="1"/>
    <xf numFmtId="4" fontId="6" fillId="0" borderId="0" xfId="2" applyNumberFormat="1" applyFont="1"/>
    <xf numFmtId="4" fontId="10" fillId="0" borderId="0" xfId="2" applyNumberFormat="1" applyFont="1"/>
    <xf numFmtId="0" fontId="19" fillId="0" borderId="10" xfId="2" applyFont="1" applyBorder="1"/>
    <xf numFmtId="0" fontId="19" fillId="0" borderId="31" xfId="2" applyFont="1" applyBorder="1"/>
    <xf numFmtId="0" fontId="18" fillId="4" borderId="10" xfId="2" applyFont="1" applyFill="1" applyBorder="1"/>
    <xf numFmtId="4" fontId="18" fillId="4" borderId="31" xfId="2" applyNumberFormat="1" applyFont="1" applyFill="1" applyBorder="1"/>
    <xf numFmtId="4" fontId="16" fillId="4" borderId="2" xfId="2" applyNumberFormat="1" applyFont="1" applyFill="1" applyBorder="1"/>
    <xf numFmtId="4" fontId="16" fillId="0" borderId="2" xfId="2" applyNumberFormat="1" applyFont="1" applyBorder="1"/>
    <xf numFmtId="0" fontId="20" fillId="0" borderId="0" xfId="2" applyFont="1" applyBorder="1"/>
    <xf numFmtId="40" fontId="3" fillId="0" borderId="31" xfId="2" applyNumberFormat="1" applyBorder="1"/>
    <xf numFmtId="171" fontId="10" fillId="0" borderId="47" xfId="0" applyNumberFormat="1" applyFont="1" applyFill="1" applyBorder="1" applyAlignment="1"/>
    <xf numFmtId="4" fontId="19" fillId="0" borderId="2" xfId="2" applyNumberFormat="1" applyFont="1" applyBorder="1"/>
    <xf numFmtId="166" fontId="10" fillId="0" borderId="31" xfId="2" applyNumberFormat="1" applyFont="1" applyBorder="1"/>
    <xf numFmtId="173" fontId="12" fillId="0" borderId="0" xfId="2" applyNumberFormat="1" applyFont="1" applyFill="1" applyBorder="1" applyAlignment="1"/>
    <xf numFmtId="40" fontId="12" fillId="0" borderId="48" xfId="0" applyNumberFormat="1" applyFont="1" applyFill="1" applyBorder="1" applyAlignment="1"/>
    <xf numFmtId="171" fontId="12" fillId="0" borderId="48" xfId="0" applyNumberFormat="1" applyFont="1" applyFill="1" applyBorder="1" applyAlignment="1"/>
    <xf numFmtId="0" fontId="3" fillId="0" borderId="5" xfId="2" applyBorder="1"/>
    <xf numFmtId="0" fontId="20" fillId="0" borderId="12" xfId="2" applyFont="1" applyBorder="1" applyAlignment="1">
      <alignment horizontal="center"/>
    </xf>
    <xf numFmtId="0" fontId="3" fillId="0" borderId="30" xfId="2" applyBorder="1"/>
    <xf numFmtId="172" fontId="5" fillId="0" borderId="30" xfId="2" applyNumberFormat="1" applyFont="1" applyBorder="1"/>
    <xf numFmtId="174" fontId="12" fillId="0" borderId="47" xfId="2" applyNumberFormat="1" applyFont="1" applyFill="1" applyBorder="1" applyAlignment="1"/>
    <xf numFmtId="10" fontId="12" fillId="0" borderId="37" xfId="3" applyNumberFormat="1" applyFont="1" applyBorder="1"/>
    <xf numFmtId="0" fontId="3" fillId="0" borderId="0" xfId="2" applyAlignment="1">
      <alignment horizontal="left"/>
    </xf>
    <xf numFmtId="40" fontId="10" fillId="0" borderId="26" xfId="2" applyNumberFormat="1" applyFont="1" applyBorder="1"/>
    <xf numFmtId="40" fontId="12" fillId="6" borderId="26" xfId="2" applyNumberFormat="1" applyFont="1" applyFill="1" applyBorder="1"/>
    <xf numFmtId="40" fontId="10" fillId="0" borderId="20" xfId="2" applyNumberFormat="1" applyFont="1" applyBorder="1"/>
    <xf numFmtId="171" fontId="10" fillId="0" borderId="5" xfId="2" applyNumberFormat="1" applyFont="1" applyBorder="1"/>
    <xf numFmtId="176" fontId="3" fillId="0" borderId="0" xfId="2" applyNumberFormat="1"/>
    <xf numFmtId="10" fontId="17" fillId="0" borderId="0" xfId="3" applyNumberFormat="1" applyFont="1" applyBorder="1"/>
    <xf numFmtId="49" fontId="10" fillId="0" borderId="0" xfId="2" quotePrefix="1" applyNumberFormat="1" applyFont="1" applyAlignment="1">
      <alignment horizontal="right"/>
    </xf>
    <xf numFmtId="0" fontId="3" fillId="0" borderId="0" xfId="2" applyFill="1"/>
    <xf numFmtId="0" fontId="6" fillId="0" borderId="5" xfId="2" applyFont="1" applyFill="1" applyBorder="1" applyAlignment="1">
      <alignment horizontal="center" vertical="center"/>
    </xf>
    <xf numFmtId="40" fontId="10" fillId="0" borderId="5" xfId="2" applyNumberFormat="1" applyFont="1" applyFill="1" applyBorder="1"/>
    <xf numFmtId="0" fontId="20" fillId="0" borderId="0" xfId="2" applyFont="1"/>
    <xf numFmtId="0" fontId="22" fillId="0" borderId="0" xfId="2" applyFont="1" applyBorder="1"/>
    <xf numFmtId="172" fontId="22" fillId="0" borderId="0" xfId="2" applyNumberFormat="1" applyFont="1" applyBorder="1"/>
    <xf numFmtId="40" fontId="22" fillId="0" borderId="0" xfId="2" applyNumberFormat="1" applyFont="1" applyBorder="1"/>
    <xf numFmtId="0" fontId="22" fillId="0" borderId="0" xfId="2" applyFont="1"/>
    <xf numFmtId="4" fontId="22" fillId="0" borderId="0" xfId="2" applyNumberFormat="1" applyFont="1" applyBorder="1"/>
    <xf numFmtId="9" fontId="3" fillId="0" borderId="0" xfId="3" applyNumberFormat="1" applyFont="1" applyBorder="1"/>
    <xf numFmtId="0" fontId="10" fillId="0" borderId="0" xfId="2" quotePrefix="1" applyFont="1" applyAlignment="1">
      <alignment horizontal="right"/>
    </xf>
    <xf numFmtId="40" fontId="12" fillId="0" borderId="45" xfId="2" applyNumberFormat="1" applyFont="1" applyFill="1" applyBorder="1" applyAlignment="1"/>
    <xf numFmtId="164" fontId="9" fillId="0" borderId="24" xfId="2" applyNumberFormat="1" applyFont="1" applyBorder="1"/>
    <xf numFmtId="40" fontId="12" fillId="0" borderId="26" xfId="2" applyNumberFormat="1" applyFont="1" applyFill="1" applyBorder="1"/>
    <xf numFmtId="40" fontId="12" fillId="0" borderId="5" xfId="2" applyNumberFormat="1" applyFont="1" applyFill="1" applyBorder="1"/>
    <xf numFmtId="177" fontId="3" fillId="0" borderId="0" xfId="2" applyNumberFormat="1"/>
    <xf numFmtId="40" fontId="12" fillId="0" borderId="61" xfId="2" applyNumberFormat="1" applyFont="1" applyFill="1" applyBorder="1" applyAlignment="1"/>
    <xf numFmtId="40" fontId="12" fillId="4" borderId="62" xfId="2" applyNumberFormat="1" applyFont="1" applyFill="1" applyBorder="1" applyAlignment="1"/>
    <xf numFmtId="40" fontId="12" fillId="0" borderId="62" xfId="2" applyNumberFormat="1" applyFont="1" applyBorder="1" applyAlignment="1"/>
    <xf numFmtId="40" fontId="10" fillId="5" borderId="5" xfId="2" applyNumberFormat="1" applyFont="1" applyFill="1" applyBorder="1"/>
    <xf numFmtId="164" fontId="6" fillId="0" borderId="5" xfId="2" applyNumberFormat="1" applyFont="1" applyBorder="1"/>
    <xf numFmtId="10" fontId="9" fillId="0" borderId="56" xfId="2" applyNumberFormat="1" applyFont="1" applyBorder="1"/>
    <xf numFmtId="40" fontId="12" fillId="0" borderId="9" xfId="2" applyNumberFormat="1" applyFont="1" applyFill="1" applyBorder="1" applyAlignment="1"/>
    <xf numFmtId="40" fontId="12" fillId="0" borderId="26" xfId="2" applyNumberFormat="1" applyFont="1" applyBorder="1" applyAlignment="1"/>
    <xf numFmtId="10" fontId="9" fillId="0" borderId="20" xfId="2" applyNumberFormat="1" applyFont="1" applyBorder="1"/>
    <xf numFmtId="40" fontId="12" fillId="0" borderId="62" xfId="0" applyNumberFormat="1" applyFont="1" applyFill="1" applyBorder="1" applyAlignment="1"/>
    <xf numFmtId="40" fontId="12" fillId="0" borderId="62" xfId="2" applyNumberFormat="1" applyFont="1" applyFill="1" applyBorder="1" applyAlignment="1"/>
    <xf numFmtId="40" fontId="12" fillId="0" borderId="26" xfId="0" applyNumberFormat="1" applyFont="1" applyFill="1" applyBorder="1" applyAlignment="1"/>
    <xf numFmtId="40" fontId="12" fillId="0" borderId="26" xfId="2" applyNumberFormat="1" applyFont="1" applyFill="1" applyBorder="1" applyAlignment="1"/>
    <xf numFmtId="40" fontId="12" fillId="4" borderId="26" xfId="2" applyNumberFormat="1" applyFont="1" applyFill="1" applyBorder="1" applyAlignment="1"/>
    <xf numFmtId="10" fontId="12" fillId="0" borderId="47" xfId="3" applyNumberFormat="1" applyFont="1" applyFill="1" applyBorder="1" applyAlignment="1"/>
    <xf numFmtId="10" fontId="3" fillId="0" borderId="0" xfId="3" applyNumberFormat="1" applyFont="1" applyBorder="1"/>
    <xf numFmtId="171" fontId="12" fillId="0" borderId="62" xfId="0" applyNumberFormat="1" applyFont="1" applyFill="1" applyBorder="1" applyAlignment="1"/>
    <xf numFmtId="171" fontId="12" fillId="0" borderId="62" xfId="2" applyNumberFormat="1" applyFont="1" applyFill="1" applyBorder="1" applyAlignment="1"/>
    <xf numFmtId="171" fontId="12" fillId="0" borderId="26" xfId="0" applyNumberFormat="1" applyFont="1" applyFill="1" applyBorder="1" applyAlignment="1"/>
    <xf numFmtId="40" fontId="3" fillId="6" borderId="0" xfId="2" applyNumberFormat="1" applyFill="1" applyBorder="1"/>
    <xf numFmtId="4" fontId="19" fillId="0" borderId="31" xfId="2" applyNumberFormat="1" applyFont="1" applyBorder="1"/>
    <xf numFmtId="172" fontId="12" fillId="0" borderId="31" xfId="2" applyNumberFormat="1" applyFont="1" applyBorder="1"/>
    <xf numFmtId="171" fontId="10" fillId="0" borderId="0" xfId="2" applyNumberFormat="1" applyFont="1" applyFill="1" applyBorder="1" applyAlignment="1"/>
    <xf numFmtId="4" fontId="5" fillId="0" borderId="0" xfId="2" applyNumberFormat="1" applyFont="1" applyBorder="1" applyAlignment="1">
      <alignment horizontal="center"/>
    </xf>
    <xf numFmtId="0" fontId="5" fillId="0" borderId="0" xfId="2" applyFont="1" applyAlignment="1">
      <alignment horizontal="center"/>
    </xf>
    <xf numFmtId="40" fontId="10" fillId="0" borderId="0" xfId="2" applyNumberFormat="1" applyFont="1" applyBorder="1"/>
    <xf numFmtId="171" fontId="10" fillId="0" borderId="0" xfId="2" applyNumberFormat="1" applyFont="1" applyBorder="1"/>
    <xf numFmtId="40" fontId="10" fillId="0" borderId="0" xfId="2" applyNumberFormat="1" applyFont="1" applyFill="1" applyBorder="1"/>
    <xf numFmtId="40" fontId="10" fillId="5" borderId="0" xfId="2" applyNumberFormat="1" applyFont="1" applyFill="1" applyBorder="1"/>
    <xf numFmtId="164" fontId="6" fillId="0" borderId="0" xfId="2" applyNumberFormat="1" applyFont="1" applyBorder="1"/>
    <xf numFmtId="172" fontId="5" fillId="0" borderId="0" xfId="2" applyNumberFormat="1" applyFont="1" applyBorder="1"/>
    <xf numFmtId="171" fontId="10" fillId="0" borderId="30" xfId="2" applyNumberFormat="1" applyFont="1" applyBorder="1"/>
    <xf numFmtId="175" fontId="10" fillId="0" borderId="30" xfId="2" applyNumberFormat="1" applyFont="1" applyBorder="1"/>
    <xf numFmtId="40" fontId="3" fillId="0" borderId="31" xfId="2" applyNumberFormat="1" applyFont="1" applyBorder="1"/>
    <xf numFmtId="173" fontId="12" fillId="0" borderId="48" xfId="2" applyNumberFormat="1" applyFont="1" applyFill="1" applyBorder="1" applyAlignment="1"/>
    <xf numFmtId="174" fontId="3" fillId="0" borderId="0" xfId="2" applyNumberFormat="1" applyBorder="1"/>
    <xf numFmtId="174" fontId="3" fillId="0" borderId="31" xfId="2" applyNumberFormat="1" applyBorder="1"/>
    <xf numFmtId="174" fontId="5" fillId="0" borderId="0" xfId="2" applyNumberFormat="1" applyFont="1" applyBorder="1"/>
    <xf numFmtId="0" fontId="3" fillId="0" borderId="11" xfId="2" applyFont="1" applyBorder="1" applyAlignment="1">
      <alignment horizontal="center"/>
    </xf>
    <xf numFmtId="0" fontId="3" fillId="0" borderId="61" xfId="2" applyFont="1" applyBorder="1" applyAlignment="1">
      <alignment horizontal="center"/>
    </xf>
    <xf numFmtId="174" fontId="5" fillId="0" borderId="25" xfId="2" applyNumberFormat="1" applyFont="1" applyBorder="1"/>
    <xf numFmtId="40" fontId="12" fillId="6" borderId="47" xfId="2" applyNumberFormat="1" applyFont="1" applyFill="1" applyBorder="1" applyAlignment="1"/>
    <xf numFmtId="0" fontId="6" fillId="0" borderId="0" xfId="2" applyFont="1" applyBorder="1" applyAlignment="1">
      <alignment horizontal="centerContinuous" vertical="center" wrapText="1"/>
    </xf>
    <xf numFmtId="10" fontId="9" fillId="0" borderId="0" xfId="2" applyNumberFormat="1" applyFont="1" applyBorder="1"/>
    <xf numFmtId="0" fontId="23" fillId="0" borderId="13" xfId="2" applyFont="1" applyBorder="1"/>
    <xf numFmtId="0" fontId="23" fillId="0" borderId="12" xfId="2" quotePrefix="1" applyFont="1" applyBorder="1"/>
    <xf numFmtId="175" fontId="10" fillId="0" borderId="0" xfId="2" applyNumberFormat="1" applyFont="1" applyBorder="1"/>
    <xf numFmtId="173" fontId="12" fillId="0" borderId="26" xfId="2" applyNumberFormat="1" applyFont="1" applyBorder="1"/>
    <xf numFmtId="4" fontId="3" fillId="0" borderId="25" xfId="2" applyNumberFormat="1" applyBorder="1"/>
    <xf numFmtId="171" fontId="12" fillId="6" borderId="47" xfId="0" applyNumberFormat="1" applyFont="1" applyFill="1" applyBorder="1" applyAlignment="1"/>
    <xf numFmtId="175" fontId="12" fillId="0" borderId="47" xfId="0" applyNumberFormat="1" applyFont="1" applyFill="1" applyBorder="1" applyAlignment="1"/>
    <xf numFmtId="175" fontId="12" fillId="0" borderId="48" xfId="0" applyNumberFormat="1" applyFont="1" applyFill="1" applyBorder="1" applyAlignment="1"/>
    <xf numFmtId="178" fontId="3" fillId="0" borderId="0" xfId="2" applyNumberFormat="1" applyBorder="1"/>
    <xf numFmtId="179" fontId="3" fillId="0" borderId="63" xfId="6" applyNumberFormat="1" applyFont="1" applyFill="1" applyBorder="1" applyAlignment="1">
      <alignment horizontal="right" vertical="center"/>
    </xf>
    <xf numFmtId="0" fontId="5" fillId="0" borderId="63" xfId="6" applyFont="1" applyFill="1" applyBorder="1" applyAlignment="1">
      <alignment horizontal="center" vertical="center" wrapText="1"/>
    </xf>
    <xf numFmtId="180" fontId="3" fillId="0" borderId="0" xfId="2" applyNumberFormat="1" applyBorder="1"/>
    <xf numFmtId="40" fontId="3" fillId="0" borderId="0" xfId="2" applyNumberFormat="1" applyFont="1"/>
    <xf numFmtId="40" fontId="5" fillId="0" borderId="31" xfId="2" applyNumberFormat="1" applyFont="1" applyBorder="1"/>
    <xf numFmtId="40" fontId="10" fillId="0" borderId="1" xfId="2" applyNumberFormat="1" applyFont="1" applyBorder="1" applyAlignment="1">
      <alignment horizontal="center"/>
    </xf>
    <xf numFmtId="172" fontId="3" fillId="0" borderId="0" xfId="2" applyNumberFormat="1" applyFill="1"/>
    <xf numFmtId="0" fontId="3" fillId="0" borderId="0" xfId="2" quotePrefix="1" applyAlignment="1">
      <alignment horizontal="right"/>
    </xf>
    <xf numFmtId="174" fontId="3" fillId="0" borderId="0" xfId="2" applyNumberFormat="1"/>
    <xf numFmtId="0" fontId="3" fillId="4" borderId="13" xfId="2" applyFill="1" applyBorder="1"/>
    <xf numFmtId="4" fontId="20" fillId="0" borderId="0" xfId="2" applyNumberFormat="1" applyFont="1"/>
    <xf numFmtId="0" fontId="3" fillId="0" borderId="12" xfId="2" quotePrefix="1" applyBorder="1"/>
    <xf numFmtId="0" fontId="3" fillId="0" borderId="13" xfId="2" applyBorder="1" applyAlignment="1">
      <alignment horizontal="center"/>
    </xf>
    <xf numFmtId="40" fontId="12" fillId="0" borderId="47" xfId="0" applyNumberFormat="1" applyFont="1" applyBorder="1"/>
    <xf numFmtId="171" fontId="12" fillId="0" borderId="47" xfId="0" applyNumberFormat="1" applyFont="1" applyBorder="1"/>
    <xf numFmtId="40" fontId="12" fillId="0" borderId="47" xfId="2" applyNumberFormat="1" applyFont="1" applyBorder="1"/>
    <xf numFmtId="40" fontId="12" fillId="0" borderId="51" xfId="2" applyNumberFormat="1" applyFont="1" applyBorder="1"/>
    <xf numFmtId="0" fontId="3" fillId="0" borderId="51" xfId="2" quotePrefix="1" applyBorder="1"/>
    <xf numFmtId="0" fontId="3" fillId="0" borderId="52" xfId="2" applyBorder="1"/>
    <xf numFmtId="0" fontId="3" fillId="0" borderId="14" xfId="2" quotePrefix="1" applyBorder="1"/>
    <xf numFmtId="0" fontId="3" fillId="0" borderId="15" xfId="2" applyBorder="1"/>
    <xf numFmtId="0" fontId="3" fillId="0" borderId="0" xfId="2" applyAlignment="1">
      <alignment horizontal="center"/>
    </xf>
    <xf numFmtId="0" fontId="3" fillId="0" borderId="15" xfId="2" applyBorder="1" applyAlignment="1">
      <alignment horizontal="center"/>
    </xf>
    <xf numFmtId="171" fontId="12" fillId="0" borderId="47" xfId="2" applyNumberFormat="1" applyFont="1" applyBorder="1"/>
    <xf numFmtId="40" fontId="12" fillId="0" borderId="48" xfId="2" applyNumberFormat="1" applyFont="1" applyBorder="1"/>
    <xf numFmtId="171" fontId="12" fillId="0" borderId="48" xfId="2" applyNumberFormat="1" applyFont="1" applyBorder="1"/>
    <xf numFmtId="40" fontId="10" fillId="0" borderId="48" xfId="2" applyNumberFormat="1" applyFont="1" applyBorder="1"/>
    <xf numFmtId="40" fontId="12" fillId="0" borderId="0" xfId="2" applyNumberFormat="1" applyFont="1"/>
    <xf numFmtId="171" fontId="12" fillId="0" borderId="0" xfId="2" applyNumberFormat="1" applyFont="1"/>
    <xf numFmtId="40" fontId="10" fillId="0" borderId="0" xfId="2" applyNumberFormat="1" applyFont="1"/>
    <xf numFmtId="40" fontId="10" fillId="0" borderId="29" xfId="2" applyNumberFormat="1" applyFont="1" applyBorder="1"/>
    <xf numFmtId="40" fontId="10" fillId="6" borderId="29" xfId="2" applyNumberFormat="1" applyFont="1" applyFill="1" applyBorder="1"/>
    <xf numFmtId="40" fontId="10" fillId="6" borderId="5" xfId="2" applyNumberFormat="1" applyFont="1" applyFill="1" applyBorder="1"/>
    <xf numFmtId="40" fontId="12" fillId="0" borderId="44" xfId="2" applyNumberFormat="1" applyFont="1" applyBorder="1"/>
    <xf numFmtId="171" fontId="12" fillId="0" borderId="44" xfId="2" applyNumberFormat="1" applyFont="1" applyBorder="1"/>
    <xf numFmtId="40" fontId="12" fillId="0" borderId="49" xfId="2" applyNumberFormat="1" applyFont="1" applyBorder="1"/>
    <xf numFmtId="40" fontId="12" fillId="0" borderId="57" xfId="2" applyNumberFormat="1" applyFont="1" applyBorder="1"/>
    <xf numFmtId="40" fontId="12" fillId="0" borderId="52" xfId="2" applyNumberFormat="1" applyFont="1" applyBorder="1"/>
    <xf numFmtId="0" fontId="3" fillId="0" borderId="9" xfId="2" quotePrefix="1" applyBorder="1"/>
    <xf numFmtId="40" fontId="9" fillId="0" borderId="55" xfId="2" applyNumberFormat="1" applyFont="1" applyBorder="1"/>
    <xf numFmtId="171" fontId="9" fillId="0" borderId="55" xfId="2" applyNumberFormat="1" applyFont="1" applyBorder="1"/>
    <xf numFmtId="171" fontId="12" fillId="0" borderId="55" xfId="2" applyNumberFormat="1" applyFont="1" applyBorder="1"/>
    <xf numFmtId="40" fontId="12" fillId="0" borderId="55" xfId="2" applyNumberFormat="1" applyFont="1" applyBorder="1"/>
    <xf numFmtId="40" fontId="12" fillId="0" borderId="31" xfId="2" applyNumberFormat="1" applyFont="1" applyBorder="1"/>
    <xf numFmtId="171" fontId="12" fillId="0" borderId="31" xfId="2" applyNumberFormat="1" applyFont="1" applyBorder="1"/>
    <xf numFmtId="40" fontId="12" fillId="0" borderId="11" xfId="2" applyNumberFormat="1" applyFont="1" applyBorder="1"/>
    <xf numFmtId="40" fontId="12" fillId="0" borderId="18" xfId="2" applyNumberFormat="1" applyFont="1" applyBorder="1"/>
    <xf numFmtId="171" fontId="12" fillId="0" borderId="8" xfId="2" applyNumberFormat="1" applyFont="1" applyBorder="1"/>
    <xf numFmtId="171" fontId="12" fillId="0" borderId="11" xfId="2" applyNumberFormat="1" applyFont="1" applyBorder="1"/>
    <xf numFmtId="40" fontId="10" fillId="0" borderId="8" xfId="2" applyNumberFormat="1" applyFont="1" applyBorder="1"/>
    <xf numFmtId="40" fontId="12" fillId="4" borderId="47" xfId="2" applyNumberFormat="1" applyFont="1" applyFill="1" applyBorder="1"/>
    <xf numFmtId="0" fontId="3" fillId="0" borderId="41" xfId="2" quotePrefix="1" applyBorder="1"/>
    <xf numFmtId="0" fontId="3" fillId="0" borderId="42" xfId="2" applyBorder="1"/>
    <xf numFmtId="0" fontId="3" fillId="0" borderId="42" xfId="2" applyBorder="1" applyAlignment="1">
      <alignment horizontal="center"/>
    </xf>
    <xf numFmtId="0" fontId="3" fillId="0" borderId="43" xfId="2" applyBorder="1" applyAlignment="1">
      <alignment horizontal="center"/>
    </xf>
    <xf numFmtId="0" fontId="3" fillId="0" borderId="0" xfId="2" quotePrefix="1"/>
    <xf numFmtId="0" fontId="3" fillId="0" borderId="32" xfId="2" applyBorder="1" applyAlignment="1">
      <alignment horizontal="center"/>
    </xf>
    <xf numFmtId="0" fontId="3" fillId="0" borderId="34" xfId="2" applyBorder="1"/>
    <xf numFmtId="0" fontId="3" fillId="0" borderId="35" xfId="2" applyBorder="1" applyAlignment="1">
      <alignment horizontal="center"/>
    </xf>
    <xf numFmtId="0" fontId="3" fillId="0" borderId="37" xfId="2" applyBorder="1"/>
    <xf numFmtId="165" fontId="3" fillId="0" borderId="0" xfId="2" applyNumberFormat="1"/>
    <xf numFmtId="0" fontId="3" fillId="0" borderId="38" xfId="2" applyBorder="1" applyAlignment="1">
      <alignment horizontal="center"/>
    </xf>
    <xf numFmtId="0" fontId="3" fillId="0" borderId="40" xfId="2" applyBorder="1"/>
    <xf numFmtId="0" fontId="5" fillId="0" borderId="0" xfId="2" quotePrefix="1" applyFont="1"/>
    <xf numFmtId="173" fontId="12" fillId="0" borderId="47" xfId="2" applyNumberFormat="1" applyFont="1" applyBorder="1"/>
    <xf numFmtId="171" fontId="12" fillId="4" borderId="47" xfId="2" applyNumberFormat="1" applyFont="1" applyFill="1" applyBorder="1"/>
    <xf numFmtId="0" fontId="17" fillId="0" borderId="0" xfId="2" applyFont="1"/>
    <xf numFmtId="40" fontId="10" fillId="0" borderId="47" xfId="2" applyNumberFormat="1" applyFont="1" applyBorder="1"/>
    <xf numFmtId="171" fontId="12" fillId="4" borderId="47" xfId="0" applyNumberFormat="1" applyFont="1" applyFill="1" applyBorder="1"/>
    <xf numFmtId="40" fontId="10" fillId="4" borderId="47" xfId="2" applyNumberFormat="1" applyFont="1" applyFill="1" applyBorder="1"/>
    <xf numFmtId="17" fontId="3" fillId="0" borderId="0" xfId="2" applyNumberFormat="1"/>
    <xf numFmtId="40" fontId="12" fillId="4" borderId="47" xfId="0" applyNumberFormat="1" applyFont="1" applyFill="1" applyBorder="1"/>
    <xf numFmtId="40" fontId="10" fillId="0" borderId="51" xfId="2" applyNumberFormat="1" applyFont="1" applyBorder="1"/>
    <xf numFmtId="43" fontId="12" fillId="0" borderId="0" xfId="7" applyFont="1"/>
    <xf numFmtId="0" fontId="3" fillId="4" borderId="12" xfId="2" quotePrefix="1" applyFill="1" applyBorder="1"/>
    <xf numFmtId="0" fontId="3" fillId="4" borderId="21" xfId="2" applyFill="1" applyBorder="1" applyAlignment="1">
      <alignment horizontal="center"/>
    </xf>
    <xf numFmtId="0" fontId="3" fillId="4" borderId="13" xfId="2" applyFill="1" applyBorder="1" applyAlignment="1">
      <alignment horizontal="center"/>
    </xf>
    <xf numFmtId="0" fontId="3" fillId="4" borderId="47" xfId="2" applyFill="1" applyBorder="1" applyAlignment="1">
      <alignment horizontal="center"/>
    </xf>
    <xf numFmtId="164" fontId="9" fillId="4" borderId="50" xfId="2" applyNumberFormat="1" applyFont="1" applyFill="1" applyBorder="1"/>
    <xf numFmtId="10" fontId="9" fillId="4" borderId="50" xfId="2" applyNumberFormat="1" applyFont="1" applyFill="1" applyBorder="1"/>
    <xf numFmtId="0" fontId="3" fillId="4" borderId="0" xfId="2" applyFill="1"/>
    <xf numFmtId="173" fontId="12" fillId="4" borderId="47" xfId="2" applyNumberFormat="1" applyFont="1" applyFill="1" applyBorder="1"/>
    <xf numFmtId="167" fontId="9" fillId="0" borderId="54" xfId="2" applyNumberFormat="1" applyFont="1" applyBorder="1"/>
    <xf numFmtId="166" fontId="20" fillId="0" borderId="0" xfId="2" applyNumberFormat="1" applyFont="1"/>
    <xf numFmtId="175" fontId="12" fillId="4" borderId="47" xfId="2" applyNumberFormat="1" applyFont="1" applyFill="1" applyBorder="1"/>
    <xf numFmtId="0" fontId="5" fillId="6" borderId="1" xfId="2" applyFont="1" applyFill="1" applyBorder="1" applyAlignment="1">
      <alignment horizontal="centerContinuous" vertical="center"/>
    </xf>
    <xf numFmtId="0" fontId="6" fillId="6" borderId="2" xfId="2" applyFont="1" applyFill="1" applyBorder="1" applyAlignment="1">
      <alignment horizontal="centerContinuous" vertical="center"/>
    </xf>
    <xf numFmtId="0" fontId="6" fillId="6" borderId="6" xfId="2" applyFont="1" applyFill="1" applyBorder="1" applyAlignment="1">
      <alignment horizontal="centerContinuous" vertical="center"/>
    </xf>
    <xf numFmtId="0" fontId="5" fillId="0" borderId="5" xfId="2" applyFont="1" applyBorder="1" applyAlignment="1">
      <alignment horizontal="centerContinuous" vertical="center"/>
    </xf>
    <xf numFmtId="4" fontId="9" fillId="4" borderId="21" xfId="2" applyNumberFormat="1" applyFont="1" applyFill="1" applyBorder="1"/>
    <xf numFmtId="167" fontId="9" fillId="4" borderId="21" xfId="2" applyNumberFormat="1" applyFont="1" applyFill="1" applyBorder="1"/>
    <xf numFmtId="165" fontId="9" fillId="4" borderId="21" xfId="2" applyNumberFormat="1" applyFont="1" applyFill="1" applyBorder="1"/>
    <xf numFmtId="0" fontId="9" fillId="4" borderId="21" xfId="2" applyFont="1" applyFill="1" applyBorder="1"/>
    <xf numFmtId="0" fontId="5" fillId="0" borderId="12" xfId="2" quotePrefix="1" applyFont="1" applyBorder="1"/>
    <xf numFmtId="173" fontId="10" fillId="0" borderId="47" xfId="2" applyNumberFormat="1" applyFont="1" applyBorder="1"/>
    <xf numFmtId="4" fontId="6" fillId="0" borderId="21" xfId="2" applyNumberFormat="1" applyFont="1" applyBorder="1"/>
    <xf numFmtId="167" fontId="6" fillId="0" borderId="21" xfId="2" applyNumberFormat="1" applyFont="1" applyBorder="1"/>
    <xf numFmtId="165" fontId="6" fillId="0" borderId="21" xfId="2" applyNumberFormat="1" applyFont="1" applyBorder="1"/>
    <xf numFmtId="0" fontId="6" fillId="0" borderId="21" xfId="2" applyFont="1" applyBorder="1"/>
    <xf numFmtId="0" fontId="5" fillId="0" borderId="0" xfId="2" applyFont="1"/>
    <xf numFmtId="171" fontId="19" fillId="0" borderId="47" xfId="2" applyNumberFormat="1" applyFont="1" applyBorder="1"/>
    <xf numFmtId="164" fontId="9" fillId="0" borderId="62" xfId="2" applyNumberFormat="1" applyFont="1" applyBorder="1"/>
    <xf numFmtId="4" fontId="10" fillId="0" borderId="0" xfId="2" applyNumberFormat="1" applyFont="1" applyAlignment="1">
      <alignment horizontal="centerContinuous" vertical="center"/>
    </xf>
    <xf numFmtId="181" fontId="12" fillId="0" borderId="47" xfId="2" applyNumberFormat="1" applyFont="1" applyBorder="1"/>
    <xf numFmtId="164" fontId="9" fillId="0" borderId="26" xfId="8" applyNumberFormat="1" applyFont="1" applyBorder="1"/>
    <xf numFmtId="10" fontId="17" fillId="0" borderId="0" xfId="8" applyNumberFormat="1" applyFont="1" applyBorder="1"/>
    <xf numFmtId="172" fontId="5" fillId="0" borderId="0" xfId="2" applyNumberFormat="1" applyFont="1"/>
    <xf numFmtId="10" fontId="3" fillId="0" borderId="0" xfId="8" applyNumberFormat="1" applyFont="1" applyBorder="1"/>
    <xf numFmtId="49" fontId="3" fillId="2" borderId="0" xfId="2" applyNumberFormat="1" applyFill="1" applyAlignment="1">
      <alignment horizontal="right"/>
    </xf>
    <xf numFmtId="175" fontId="12" fillId="0" borderId="47" xfId="2" applyNumberFormat="1" applyFont="1" applyBorder="1"/>
    <xf numFmtId="10" fontId="12" fillId="0" borderId="47" xfId="8" applyNumberFormat="1" applyFont="1" applyFill="1" applyBorder="1" applyAlignment="1"/>
    <xf numFmtId="40" fontId="12" fillId="4" borderId="51" xfId="2" applyNumberFormat="1" applyFont="1" applyFill="1" applyBorder="1"/>
    <xf numFmtId="10" fontId="12" fillId="0" borderId="37" xfId="8" applyNumberFormat="1" applyFont="1" applyBorder="1"/>
    <xf numFmtId="182" fontId="3" fillId="0" borderId="0" xfId="2" applyNumberFormat="1"/>
    <xf numFmtId="40" fontId="26" fillId="0" borderId="51" xfId="2" applyNumberFormat="1" applyFont="1" applyBorder="1"/>
    <xf numFmtId="0" fontId="3" fillId="0" borderId="60" xfId="2" applyBorder="1" applyAlignment="1">
      <alignment horizontal="left"/>
    </xf>
    <xf numFmtId="0" fontId="3" fillId="0" borderId="64" xfId="2" applyFont="1" applyBorder="1"/>
    <xf numFmtId="40" fontId="10" fillId="4" borderId="48" xfId="2" applyNumberFormat="1" applyFont="1" applyFill="1" applyBorder="1"/>
    <xf numFmtId="164" fontId="9" fillId="4" borderId="54" xfId="2" applyNumberFormat="1" applyFont="1" applyFill="1" applyBorder="1"/>
    <xf numFmtId="40" fontId="12" fillId="4" borderId="0" xfId="2" applyNumberFormat="1" applyFont="1" applyFill="1"/>
    <xf numFmtId="40" fontId="10" fillId="4" borderId="5" xfId="2" applyNumberFormat="1" applyFont="1" applyFill="1" applyBorder="1"/>
    <xf numFmtId="164" fontId="9" fillId="4" borderId="6" xfId="2" applyNumberFormat="1" applyFont="1" applyFill="1" applyBorder="1"/>
    <xf numFmtId="40" fontId="9" fillId="4" borderId="55" xfId="2" applyNumberFormat="1" applyFont="1" applyFill="1" applyBorder="1"/>
    <xf numFmtId="171" fontId="9" fillId="4" borderId="55" xfId="2" applyNumberFormat="1" applyFont="1" applyFill="1" applyBorder="1"/>
    <xf numFmtId="171" fontId="12" fillId="4" borderId="55" xfId="2" applyNumberFormat="1" applyFont="1" applyFill="1" applyBorder="1"/>
    <xf numFmtId="40" fontId="12" fillId="4" borderId="55" xfId="2" applyNumberFormat="1" applyFont="1" applyFill="1" applyBorder="1"/>
    <xf numFmtId="164" fontId="6" fillId="4" borderId="54" xfId="2" applyNumberFormat="1" applyFont="1" applyFill="1" applyBorder="1"/>
    <xf numFmtId="40" fontId="12" fillId="4" borderId="31" xfId="2" applyNumberFormat="1" applyFont="1" applyFill="1" applyBorder="1"/>
    <xf numFmtId="171" fontId="12" fillId="4" borderId="31" xfId="2" applyNumberFormat="1" applyFont="1" applyFill="1" applyBorder="1"/>
    <xf numFmtId="164" fontId="9" fillId="4" borderId="4" xfId="2" applyNumberFormat="1" applyFont="1" applyFill="1" applyBorder="1"/>
    <xf numFmtId="40" fontId="12" fillId="4" borderId="11" xfId="2" applyNumberFormat="1" applyFont="1" applyFill="1" applyBorder="1"/>
    <xf numFmtId="40" fontId="12" fillId="4" borderId="18" xfId="2" applyNumberFormat="1" applyFont="1" applyFill="1" applyBorder="1"/>
    <xf numFmtId="171" fontId="12" fillId="4" borderId="8" xfId="2" applyNumberFormat="1" applyFont="1" applyFill="1" applyBorder="1"/>
    <xf numFmtId="171" fontId="12" fillId="4" borderId="11" xfId="2" applyNumberFormat="1" applyFont="1" applyFill="1" applyBorder="1"/>
    <xf numFmtId="40" fontId="10" fillId="4" borderId="7" xfId="2" applyNumberFormat="1" applyFont="1" applyFill="1" applyBorder="1" applyAlignment="1">
      <alignment horizontal="centerContinuous"/>
    </xf>
    <xf numFmtId="0" fontId="6" fillId="4" borderId="18" xfId="2" applyFont="1" applyFill="1" applyBorder="1" applyAlignment="1">
      <alignment horizontal="centerContinuous" vertical="center" wrapText="1"/>
    </xf>
    <xf numFmtId="40" fontId="10" fillId="4" borderId="8" xfId="2" applyNumberFormat="1" applyFont="1" applyFill="1" applyBorder="1"/>
    <xf numFmtId="0" fontId="6" fillId="4" borderId="18" xfId="2" applyFont="1" applyFill="1" applyBorder="1" applyAlignment="1">
      <alignment vertical="center" wrapText="1"/>
    </xf>
    <xf numFmtId="4" fontId="19" fillId="4" borderId="21" xfId="2" applyNumberFormat="1" applyFont="1" applyFill="1" applyBorder="1"/>
    <xf numFmtId="4" fontId="19" fillId="4" borderId="22" xfId="2" applyNumberFormat="1" applyFont="1" applyFill="1" applyBorder="1"/>
    <xf numFmtId="166" fontId="19" fillId="4" borderId="21" xfId="2" applyNumberFormat="1" applyFont="1" applyFill="1" applyBorder="1"/>
    <xf numFmtId="166" fontId="12" fillId="4" borderId="21" xfId="2" applyNumberFormat="1" applyFont="1" applyFill="1" applyBorder="1"/>
    <xf numFmtId="164" fontId="12" fillId="4" borderId="22" xfId="2" applyNumberFormat="1" applyFont="1" applyFill="1" applyBorder="1"/>
    <xf numFmtId="0" fontId="19" fillId="4" borderId="10" xfId="2" applyFont="1" applyFill="1" applyBorder="1"/>
    <xf numFmtId="40" fontId="10" fillId="4" borderId="10" xfId="2" applyNumberFormat="1" applyFont="1" applyFill="1" applyBorder="1"/>
    <xf numFmtId="3" fontId="10" fillId="4" borderId="5" xfId="2" applyNumberFormat="1" applyFont="1" applyFill="1" applyBorder="1"/>
    <xf numFmtId="4" fontId="19" fillId="4" borderId="31" xfId="2" applyNumberFormat="1" applyFont="1" applyFill="1" applyBorder="1"/>
    <xf numFmtId="172" fontId="12" fillId="4" borderId="31" xfId="2" applyNumberFormat="1" applyFont="1" applyFill="1" applyBorder="1"/>
    <xf numFmtId="3" fontId="10" fillId="4" borderId="31" xfId="2" applyNumberFormat="1" applyFont="1" applyFill="1" applyBorder="1"/>
    <xf numFmtId="4" fontId="6" fillId="4" borderId="6" xfId="2" applyNumberFormat="1" applyFont="1" applyFill="1" applyBorder="1"/>
    <xf numFmtId="4" fontId="10" fillId="4" borderId="5" xfId="2" applyNumberFormat="1" applyFont="1" applyFill="1" applyBorder="1"/>
    <xf numFmtId="0" fontId="9" fillId="4" borderId="6" xfId="2" applyFont="1" applyFill="1" applyBorder="1"/>
    <xf numFmtId="166" fontId="20" fillId="4" borderId="0" xfId="2" applyNumberFormat="1" applyFont="1" applyFill="1"/>
    <xf numFmtId="0" fontId="17" fillId="4" borderId="0" xfId="2" applyFont="1" applyFill="1"/>
    <xf numFmtId="4" fontId="3" fillId="4" borderId="0" xfId="2" applyNumberFormat="1" applyFill="1"/>
    <xf numFmtId="172" fontId="3" fillId="4" borderId="0" xfId="2" applyNumberFormat="1" applyFill="1"/>
    <xf numFmtId="164" fontId="27" fillId="0" borderId="56" xfId="2" applyNumberFormat="1" applyFont="1" applyBorder="1"/>
    <xf numFmtId="40" fontId="26" fillId="0" borderId="21" xfId="2" applyNumberFormat="1" applyFont="1" applyBorder="1"/>
    <xf numFmtId="4" fontId="18" fillId="0" borderId="10" xfId="2" applyNumberFormat="1" applyFont="1" applyBorder="1"/>
    <xf numFmtId="166" fontId="18" fillId="0" borderId="10" xfId="2" applyNumberFormat="1" applyFont="1" applyBorder="1"/>
    <xf numFmtId="4" fontId="18" fillId="0" borderId="2" xfId="2" applyNumberFormat="1" applyFont="1" applyBorder="1"/>
    <xf numFmtId="183" fontId="9" fillId="0" borderId="0" xfId="8" applyNumberFormat="1" applyFont="1"/>
    <xf numFmtId="10" fontId="9" fillId="0" borderId="0" xfId="8" applyNumberFormat="1" applyFont="1"/>
    <xf numFmtId="0" fontId="6" fillId="0" borderId="18" xfId="2" applyFont="1" applyBorder="1" applyAlignment="1">
      <alignment horizontal="center" vertical="center" wrapText="1"/>
    </xf>
    <xf numFmtId="166" fontId="3" fillId="0" borderId="0" xfId="2" applyNumberFormat="1"/>
    <xf numFmtId="0" fontId="6" fillId="0" borderId="46" xfId="2" applyFont="1" applyBorder="1" applyAlignment="1">
      <alignment horizontal="center" vertical="center" wrapText="1"/>
    </xf>
    <xf numFmtId="173" fontId="12" fillId="7" borderId="47" xfId="2" applyNumberFormat="1" applyFont="1" applyFill="1" applyBorder="1"/>
    <xf numFmtId="173" fontId="10" fillId="7" borderId="47" xfId="2" applyNumberFormat="1" applyFont="1" applyFill="1" applyBorder="1"/>
    <xf numFmtId="164" fontId="6" fillId="0" borderId="17" xfId="2" applyNumberFormat="1" applyFont="1" applyBorder="1"/>
    <xf numFmtId="164" fontId="9" fillId="0" borderId="50" xfId="2" applyNumberFormat="1" applyFont="1" applyBorder="1" applyAlignment="1">
      <alignment horizontal="center"/>
    </xf>
    <xf numFmtId="10" fontId="9" fillId="0" borderId="50" xfId="2" applyNumberFormat="1" applyFont="1" applyBorder="1" applyAlignment="1">
      <alignment horizontal="center"/>
    </xf>
    <xf numFmtId="10" fontId="9" fillId="4" borderId="50" xfId="2" applyNumberFormat="1" applyFont="1" applyFill="1" applyBorder="1" applyAlignment="1">
      <alignment horizontal="center"/>
    </xf>
    <xf numFmtId="10" fontId="9" fillId="0" borderId="47" xfId="2" applyNumberFormat="1" applyFont="1" applyBorder="1" applyAlignment="1">
      <alignment horizontal="center"/>
    </xf>
    <xf numFmtId="164" fontId="9" fillId="0" borderId="47" xfId="2" applyNumberFormat="1" applyFont="1" applyBorder="1" applyAlignment="1">
      <alignment horizontal="center"/>
    </xf>
    <xf numFmtId="164" fontId="9" fillId="0" borderId="6" xfId="2" applyNumberFormat="1" applyFont="1" applyBorder="1" applyAlignment="1">
      <alignment horizontal="center"/>
    </xf>
    <xf numFmtId="164" fontId="9" fillId="0" borderId="58" xfId="2" applyNumberFormat="1" applyFont="1" applyBorder="1" applyAlignment="1">
      <alignment horizontal="center"/>
    </xf>
    <xf numFmtId="164" fontId="9" fillId="0" borderId="54" xfId="2" applyNumberFormat="1" applyFont="1" applyBorder="1" applyAlignment="1">
      <alignment horizontal="center"/>
    </xf>
    <xf numFmtId="164" fontId="9" fillId="0" borderId="17" xfId="2" applyNumberFormat="1" applyFont="1" applyBorder="1" applyAlignment="1">
      <alignment horizontal="center"/>
    </xf>
    <xf numFmtId="164" fontId="9" fillId="0" borderId="4" xfId="2" applyNumberFormat="1" applyFont="1" applyBorder="1" applyAlignment="1">
      <alignment horizontal="center"/>
    </xf>
    <xf numFmtId="167" fontId="6" fillId="0" borderId="54" xfId="2" applyNumberFormat="1" applyFont="1" applyBorder="1" applyAlignment="1">
      <alignment horizontal="center"/>
    </xf>
    <xf numFmtId="173" fontId="12" fillId="0" borderId="58" xfId="2" applyNumberFormat="1" applyFont="1" applyBorder="1"/>
    <xf numFmtId="173" fontId="10" fillId="0" borderId="58" xfId="2" applyNumberFormat="1" applyFont="1" applyBorder="1"/>
    <xf numFmtId="173" fontId="10" fillId="7" borderId="58" xfId="2" applyNumberFormat="1" applyFont="1" applyFill="1" applyBorder="1"/>
    <xf numFmtId="173" fontId="10" fillId="0" borderId="48" xfId="2" applyNumberFormat="1" applyFont="1" applyBorder="1"/>
    <xf numFmtId="164" fontId="9" fillId="0" borderId="30" xfId="2" applyNumberFormat="1" applyFont="1" applyBorder="1" applyAlignment="1">
      <alignment horizontal="center"/>
    </xf>
    <xf numFmtId="4" fontId="10" fillId="8" borderId="5" xfId="2" applyNumberFormat="1" applyFont="1" applyFill="1" applyBorder="1"/>
    <xf numFmtId="171" fontId="10" fillId="0" borderId="47" xfId="2" applyNumberFormat="1" applyFont="1" applyBorder="1"/>
    <xf numFmtId="10" fontId="5" fillId="0" borderId="0" xfId="8" applyNumberFormat="1" applyFont="1"/>
    <xf numFmtId="40" fontId="12" fillId="6" borderId="51" xfId="2" applyNumberFormat="1" applyFont="1" applyFill="1" applyBorder="1"/>
    <xf numFmtId="10" fontId="3" fillId="0" borderId="0" xfId="8" applyNumberFormat="1" applyFont="1"/>
    <xf numFmtId="0" fontId="12" fillId="0" borderId="0" xfId="2" applyFont="1"/>
    <xf numFmtId="0" fontId="10" fillId="0" borderId="6" xfId="2" applyFont="1" applyBorder="1" applyAlignment="1">
      <alignment horizontal="centerContinuous" vertical="center" wrapText="1"/>
    </xf>
    <xf numFmtId="0" fontId="10" fillId="0" borderId="5" xfId="2" applyFont="1" applyBorder="1" applyAlignment="1">
      <alignment horizontal="center" vertical="center"/>
    </xf>
    <xf numFmtId="4" fontId="28" fillId="9" borderId="0" xfId="0" applyNumberFormat="1" applyFont="1" applyFill="1" applyAlignment="1">
      <alignment horizontal="right" wrapText="1"/>
    </xf>
    <xf numFmtId="175" fontId="12" fillId="0" borderId="47" xfId="0" applyNumberFormat="1" applyFont="1" applyBorder="1"/>
    <xf numFmtId="173" fontId="12" fillId="0" borderId="47" xfId="2" applyNumberFormat="1" applyFont="1" applyBorder="1" applyAlignment="1">
      <alignment horizontal="right"/>
    </xf>
    <xf numFmtId="4" fontId="29" fillId="9" borderId="0" xfId="0" applyNumberFormat="1" applyFont="1" applyFill="1" applyAlignment="1">
      <alignment horizontal="right" wrapText="1"/>
    </xf>
    <xf numFmtId="166" fontId="19" fillId="0" borderId="0" xfId="2" applyNumberFormat="1" applyFont="1"/>
    <xf numFmtId="10" fontId="20" fillId="0" borderId="0" xfId="8" applyNumberFormat="1" applyFont="1"/>
    <xf numFmtId="10" fontId="16" fillId="0" borderId="0" xfId="8" applyNumberFormat="1" applyFont="1" applyBorder="1"/>
    <xf numFmtId="10" fontId="12" fillId="0" borderId="0" xfId="8" applyNumberFormat="1" applyFont="1" applyBorder="1"/>
    <xf numFmtId="0" fontId="26" fillId="0" borderId="0" xfId="2" applyFont="1"/>
    <xf numFmtId="0" fontId="30" fillId="0" borderId="0" xfId="0" applyFont="1"/>
    <xf numFmtId="10" fontId="3" fillId="0" borderId="0" xfId="8" applyNumberFormat="1" applyFont="1" applyFill="1" applyBorder="1"/>
    <xf numFmtId="10" fontId="17" fillId="0" borderId="0" xfId="8" applyNumberFormat="1" applyFont="1" applyFill="1" applyBorder="1"/>
    <xf numFmtId="10" fontId="17" fillId="0" borderId="0" xfId="8" applyNumberFormat="1" applyFont="1"/>
    <xf numFmtId="0" fontId="31" fillId="0" borderId="0" xfId="2" applyFont="1"/>
    <xf numFmtId="17" fontId="20" fillId="2" borderId="0" xfId="2" applyNumberFormat="1" applyFont="1" applyFill="1"/>
    <xf numFmtId="49" fontId="20" fillId="2" borderId="0" xfId="2" applyNumberFormat="1" applyFont="1" applyFill="1" applyAlignment="1">
      <alignment horizontal="right"/>
    </xf>
    <xf numFmtId="0" fontId="20" fillId="0" borderId="0" xfId="2" applyFont="1" applyAlignment="1">
      <alignment horizontal="right"/>
    </xf>
    <xf numFmtId="0" fontId="33" fillId="0" borderId="0" xfId="2" applyFont="1" applyAlignment="1">
      <alignment horizontal="centerContinuous" vertical="center"/>
    </xf>
    <xf numFmtId="0" fontId="34" fillId="0" borderId="0" xfId="2" applyFont="1" applyAlignment="1">
      <alignment horizontal="centerContinuous" vertical="center"/>
    </xf>
    <xf numFmtId="4" fontId="34" fillId="0" borderId="0" xfId="2" applyNumberFormat="1" applyFont="1" applyAlignment="1">
      <alignment horizontal="centerContinuous" vertical="center"/>
    </xf>
    <xf numFmtId="4" fontId="20" fillId="0" borderId="0" xfId="2" applyNumberFormat="1" applyFont="1" applyAlignment="1">
      <alignment horizontal="right"/>
    </xf>
    <xf numFmtId="17" fontId="20" fillId="0" borderId="0" xfId="2" applyNumberFormat="1" applyFont="1" applyAlignment="1">
      <alignment horizontal="right"/>
    </xf>
    <xf numFmtId="0" fontId="31" fillId="0" borderId="27" xfId="2" applyFont="1" applyBorder="1" applyAlignment="1">
      <alignment horizontal="centerContinuous" vertical="center"/>
    </xf>
    <xf numFmtId="0" fontId="31" fillId="0" borderId="28" xfId="2" applyFont="1" applyBorder="1" applyAlignment="1">
      <alignment horizontal="centerContinuous" vertical="center"/>
    </xf>
    <xf numFmtId="0" fontId="31" fillId="0" borderId="27" xfId="2" applyFont="1" applyBorder="1" applyAlignment="1">
      <alignment horizontal="centerContinuous" vertical="center" wrapText="1"/>
    </xf>
    <xf numFmtId="0" fontId="31" fillId="0" borderId="28" xfId="2" applyFont="1" applyBorder="1" applyAlignment="1">
      <alignment horizontal="centerContinuous" vertical="center" wrapText="1"/>
    </xf>
    <xf numFmtId="0" fontId="31" fillId="0" borderId="1" xfId="2" applyFont="1" applyBorder="1" applyAlignment="1">
      <alignment horizontal="centerContinuous" vertical="center" wrapText="1"/>
    </xf>
    <xf numFmtId="0" fontId="31" fillId="0" borderId="2" xfId="2" applyFont="1" applyBorder="1" applyAlignment="1">
      <alignment horizontal="centerContinuous" vertical="center" wrapText="1"/>
    </xf>
    <xf numFmtId="0" fontId="31" fillId="0" borderId="6" xfId="2" applyFont="1" applyBorder="1" applyAlignment="1">
      <alignment horizontal="centerContinuous" vertical="center" wrapText="1"/>
    </xf>
    <xf numFmtId="0" fontId="31" fillId="0" borderId="19" xfId="2" applyFont="1" applyBorder="1" applyAlignment="1">
      <alignment horizontal="center" vertical="center"/>
    </xf>
    <xf numFmtId="0" fontId="31" fillId="0" borderId="3" xfId="2" quotePrefix="1" applyFont="1" applyBorder="1" applyAlignment="1">
      <alignment horizontal="left" vertical="center"/>
    </xf>
    <xf numFmtId="0" fontId="32" fillId="0" borderId="4" xfId="2" applyFont="1" applyBorder="1"/>
    <xf numFmtId="0" fontId="31" fillId="0" borderId="1" xfId="2" applyFont="1" applyBorder="1" applyAlignment="1">
      <alignment horizontal="center" vertical="center" wrapText="1"/>
    </xf>
    <xf numFmtId="0" fontId="31" fillId="0" borderId="5" xfId="2" applyFont="1" applyBorder="1" applyAlignment="1">
      <alignment horizontal="center" vertical="center" wrapText="1"/>
    </xf>
    <xf numFmtId="0" fontId="31" fillId="0" borderId="5" xfId="2" applyFont="1" applyBorder="1" applyAlignment="1">
      <alignment horizontal="center" vertical="center"/>
    </xf>
    <xf numFmtId="0" fontId="31" fillId="0" borderId="6" xfId="2" applyFont="1" applyBorder="1" applyAlignment="1">
      <alignment horizontal="center" vertical="center"/>
    </xf>
    <xf numFmtId="0" fontId="33" fillId="0" borderId="7" xfId="2" applyFont="1" applyBorder="1"/>
    <xf numFmtId="0" fontId="20" fillId="0" borderId="8" xfId="2" applyFont="1" applyBorder="1"/>
    <xf numFmtId="0" fontId="33" fillId="0" borderId="25" xfId="2" applyFont="1" applyBorder="1"/>
    <xf numFmtId="0" fontId="33" fillId="0" borderId="8" xfId="2" applyFont="1" applyBorder="1"/>
    <xf numFmtId="0" fontId="19" fillId="0" borderId="11" xfId="2" applyFont="1" applyBorder="1"/>
    <xf numFmtId="0" fontId="19" fillId="0" borderId="18" xfId="2" applyFont="1" applyBorder="1"/>
    <xf numFmtId="0" fontId="19" fillId="0" borderId="8" xfId="2" applyFont="1" applyBorder="1"/>
    <xf numFmtId="0" fontId="19" fillId="0" borderId="7" xfId="2" applyFont="1" applyBorder="1"/>
    <xf numFmtId="0" fontId="34" fillId="0" borderId="7" xfId="2" applyFont="1" applyBorder="1" applyAlignment="1">
      <alignment horizontal="centerContinuous" vertical="center" wrapText="1"/>
    </xf>
    <xf numFmtId="0" fontId="31" fillId="0" borderId="18" xfId="2" applyFont="1" applyBorder="1" applyAlignment="1">
      <alignment horizontal="centerContinuous" vertical="center" wrapText="1"/>
    </xf>
    <xf numFmtId="0" fontId="20" fillId="0" borderId="12" xfId="2" quotePrefix="1" applyFont="1" applyBorder="1"/>
    <xf numFmtId="0" fontId="20" fillId="0" borderId="13" xfId="2" applyFont="1" applyBorder="1"/>
    <xf numFmtId="0" fontId="20" fillId="0" borderId="21" xfId="2" applyFont="1" applyBorder="1" applyAlignment="1">
      <alignment horizontal="center"/>
    </xf>
    <xf numFmtId="0" fontId="20" fillId="0" borderId="13" xfId="2" applyFont="1" applyBorder="1" applyAlignment="1">
      <alignment horizontal="center"/>
    </xf>
    <xf numFmtId="0" fontId="20" fillId="0" borderId="47" xfId="2" applyFont="1" applyBorder="1" applyAlignment="1">
      <alignment horizontal="center"/>
    </xf>
    <xf numFmtId="40" fontId="19" fillId="0" borderId="47" xfId="0" applyNumberFormat="1" applyFont="1" applyBorder="1"/>
    <xf numFmtId="171" fontId="19" fillId="0" borderId="47" xfId="0" applyNumberFormat="1" applyFont="1" applyBorder="1"/>
    <xf numFmtId="40" fontId="19" fillId="0" borderId="47" xfId="2" applyNumberFormat="1" applyFont="1" applyBorder="1"/>
    <xf numFmtId="173" fontId="19" fillId="0" borderId="47" xfId="2" applyNumberFormat="1" applyFont="1" applyBorder="1"/>
    <xf numFmtId="164" fontId="32" fillId="0" borderId="50" xfId="2" applyNumberFormat="1" applyFont="1" applyBorder="1"/>
    <xf numFmtId="10" fontId="32" fillId="0" borderId="50" xfId="2" applyNumberFormat="1" applyFont="1" applyBorder="1"/>
    <xf numFmtId="0" fontId="20" fillId="0" borderId="51" xfId="2" quotePrefix="1" applyFont="1" applyBorder="1"/>
    <xf numFmtId="0" fontId="20" fillId="0" borderId="52" xfId="2" applyFont="1" applyBorder="1"/>
    <xf numFmtId="0" fontId="20" fillId="4" borderId="13" xfId="2" applyFont="1" applyFill="1" applyBorder="1"/>
    <xf numFmtId="40" fontId="19" fillId="0" borderId="51" xfId="2" applyNumberFormat="1" applyFont="1" applyBorder="1"/>
    <xf numFmtId="0" fontId="20" fillId="4" borderId="12" xfId="2" quotePrefix="1" applyFont="1" applyFill="1" applyBorder="1"/>
    <xf numFmtId="0" fontId="20" fillId="4" borderId="21" xfId="2" applyFont="1" applyFill="1" applyBorder="1" applyAlignment="1">
      <alignment horizontal="center"/>
    </xf>
    <xf numFmtId="0" fontId="20" fillId="4" borderId="13" xfId="2" applyFont="1" applyFill="1" applyBorder="1" applyAlignment="1">
      <alignment horizontal="center"/>
    </xf>
    <xf numFmtId="4" fontId="32" fillId="9" borderId="0" xfId="0" applyNumberFormat="1" applyFont="1" applyFill="1" applyAlignment="1">
      <alignment horizontal="right" wrapText="1"/>
    </xf>
    <xf numFmtId="0" fontId="20" fillId="0" borderId="14" xfId="2" quotePrefix="1" applyFont="1" applyBorder="1"/>
    <xf numFmtId="0" fontId="20" fillId="0" borderId="15" xfId="2" applyFont="1" applyBorder="1"/>
    <xf numFmtId="0" fontId="20" fillId="0" borderId="0" xfId="2" applyFont="1" applyAlignment="1">
      <alignment horizontal="center"/>
    </xf>
    <xf numFmtId="0" fontId="20" fillId="0" borderId="15" xfId="2" applyFont="1" applyBorder="1" applyAlignment="1">
      <alignment horizontal="center"/>
    </xf>
    <xf numFmtId="181" fontId="19" fillId="0" borderId="47" xfId="2" applyNumberFormat="1" applyFont="1" applyBorder="1"/>
    <xf numFmtId="0" fontId="20" fillId="0" borderId="9" xfId="2" applyFont="1" applyBorder="1"/>
    <xf numFmtId="0" fontId="34" fillId="0" borderId="10" xfId="2" applyFont="1" applyBorder="1" applyAlignment="1">
      <alignment horizontal="right"/>
    </xf>
    <xf numFmtId="0" fontId="34" fillId="0" borderId="10" xfId="2" applyFont="1" applyBorder="1"/>
    <xf numFmtId="0" fontId="20" fillId="0" borderId="9" xfId="2" applyFont="1" applyBorder="1" applyAlignment="1">
      <alignment horizontal="center"/>
    </xf>
    <xf numFmtId="0" fontId="20" fillId="0" borderId="20" xfId="2" applyFont="1" applyBorder="1" applyAlignment="1">
      <alignment horizontal="center"/>
    </xf>
    <xf numFmtId="0" fontId="20" fillId="0" borderId="48" xfId="2" applyFont="1" applyBorder="1" applyAlignment="1">
      <alignment horizontal="center"/>
    </xf>
    <xf numFmtId="40" fontId="19" fillId="0" borderId="48" xfId="2" applyNumberFormat="1" applyFont="1" applyBorder="1"/>
    <xf numFmtId="171" fontId="19" fillId="0" borderId="48" xfId="2" applyNumberFormat="1" applyFont="1" applyBorder="1"/>
    <xf numFmtId="40" fontId="34" fillId="0" borderId="48" xfId="2" applyNumberFormat="1" applyFont="1" applyBorder="1"/>
    <xf numFmtId="164" fontId="32" fillId="0" borderId="54" xfId="2" applyNumberFormat="1" applyFont="1" applyBorder="1"/>
    <xf numFmtId="167" fontId="32" fillId="0" borderId="54" xfId="2" applyNumberFormat="1" applyFont="1" applyBorder="1"/>
    <xf numFmtId="0" fontId="20" fillId="0" borderId="16" xfId="2" applyFont="1" applyBorder="1"/>
    <xf numFmtId="0" fontId="34" fillId="0" borderId="0" xfId="2" applyFont="1"/>
    <xf numFmtId="0" fontId="20" fillId="0" borderId="16" xfId="2" applyFont="1" applyBorder="1" applyAlignment="1">
      <alignment horizontal="center"/>
    </xf>
    <xf numFmtId="40" fontId="19" fillId="0" borderId="0" xfId="2" applyNumberFormat="1" applyFont="1"/>
    <xf numFmtId="171" fontId="19" fillId="0" borderId="0" xfId="2" applyNumberFormat="1" applyFont="1"/>
    <xf numFmtId="40" fontId="34" fillId="0" borderId="0" xfId="2" applyNumberFormat="1" applyFont="1"/>
    <xf numFmtId="40" fontId="34" fillId="0" borderId="29" xfId="2" applyNumberFormat="1" applyFont="1" applyBorder="1"/>
    <xf numFmtId="40" fontId="34" fillId="6" borderId="29" xfId="2" applyNumberFormat="1" applyFont="1" applyFill="1" applyBorder="1"/>
    <xf numFmtId="164" fontId="32" fillId="0" borderId="17" xfId="2" applyNumberFormat="1" applyFont="1" applyBorder="1"/>
    <xf numFmtId="40" fontId="34" fillId="6" borderId="5" xfId="2" applyNumberFormat="1" applyFont="1" applyFill="1" applyBorder="1"/>
    <xf numFmtId="164" fontId="32" fillId="0" borderId="6" xfId="2" applyNumberFormat="1" applyFont="1" applyBorder="1"/>
    <xf numFmtId="0" fontId="33" fillId="0" borderId="25" xfId="2" applyFont="1" applyBorder="1" applyAlignment="1">
      <alignment horizontal="center"/>
    </xf>
    <xf numFmtId="0" fontId="33" fillId="0" borderId="8" xfId="2" applyFont="1" applyBorder="1" applyAlignment="1">
      <alignment horizontal="center"/>
    </xf>
    <xf numFmtId="0" fontId="33" fillId="0" borderId="7" xfId="2" applyFont="1" applyBorder="1" applyAlignment="1">
      <alignment horizontal="center"/>
    </xf>
    <xf numFmtId="40" fontId="19" fillId="0" borderId="44" xfId="2" applyNumberFormat="1" applyFont="1" applyBorder="1"/>
    <xf numFmtId="171" fontId="19" fillId="0" borderId="44" xfId="2" applyNumberFormat="1" applyFont="1" applyBorder="1"/>
    <xf numFmtId="40" fontId="19" fillId="0" borderId="49" xfId="2" applyNumberFormat="1" applyFont="1" applyBorder="1"/>
    <xf numFmtId="40" fontId="34" fillId="0" borderId="45" xfId="2" applyNumberFormat="1" applyFont="1" applyBorder="1" applyAlignment="1">
      <alignment horizontal="centerContinuous"/>
    </xf>
    <xf numFmtId="0" fontId="31" fillId="0" borderId="46" xfId="2" applyFont="1" applyBorder="1" applyAlignment="1">
      <alignment horizontal="centerContinuous" vertical="center" wrapText="1"/>
    </xf>
    <xf numFmtId="40" fontId="19" fillId="0" borderId="57" xfId="2" applyNumberFormat="1" applyFont="1" applyBorder="1"/>
    <xf numFmtId="164" fontId="32" fillId="0" borderId="58" xfId="2" applyNumberFormat="1" applyFont="1" applyBorder="1"/>
    <xf numFmtId="0" fontId="20" fillId="0" borderId="13" xfId="2" applyFont="1" applyBorder="1" applyAlignment="1">
      <alignment horizontal="left"/>
    </xf>
    <xf numFmtId="40" fontId="19" fillId="0" borderId="52" xfId="2" applyNumberFormat="1" applyFont="1" applyBorder="1"/>
    <xf numFmtId="164" fontId="32" fillId="0" borderId="47" xfId="2" applyNumberFormat="1" applyFont="1" applyBorder="1"/>
    <xf numFmtId="0" fontId="33" fillId="0" borderId="0" xfId="2" applyFont="1" applyAlignment="1">
      <alignment horizontal="center"/>
    </xf>
    <xf numFmtId="172" fontId="20" fillId="0" borderId="0" xfId="2" applyNumberFormat="1" applyFont="1"/>
    <xf numFmtId="0" fontId="33" fillId="0" borderId="45" xfId="2" applyFont="1" applyBorder="1" applyAlignment="1">
      <alignment horizontal="center"/>
    </xf>
    <xf numFmtId="40" fontId="34" fillId="0" borderId="49" xfId="2" applyNumberFormat="1" applyFont="1" applyBorder="1" applyAlignment="1">
      <alignment horizontal="centerContinuous"/>
    </xf>
    <xf numFmtId="0" fontId="20" fillId="0" borderId="51" xfId="2" applyFont="1" applyBorder="1" applyAlignment="1">
      <alignment horizontal="center"/>
    </xf>
    <xf numFmtId="0" fontId="20" fillId="0" borderId="15" xfId="2" applyFont="1" applyBorder="1" applyAlignment="1">
      <alignment horizontal="left"/>
    </xf>
    <xf numFmtId="0" fontId="20" fillId="0" borderId="9" xfId="2" quotePrefix="1" applyFont="1" applyBorder="1"/>
    <xf numFmtId="0" fontId="20" fillId="0" borderId="10" xfId="2" applyFont="1" applyBorder="1"/>
    <xf numFmtId="0" fontId="32" fillId="0" borderId="53" xfId="2" applyFont="1" applyBorder="1"/>
    <xf numFmtId="40" fontId="32" fillId="0" borderId="55" xfId="2" applyNumberFormat="1" applyFont="1" applyBorder="1"/>
    <xf numFmtId="171" fontId="32" fillId="0" borderId="55" xfId="2" applyNumberFormat="1" applyFont="1" applyBorder="1"/>
    <xf numFmtId="171" fontId="19" fillId="0" borderId="55" xfId="2" applyNumberFormat="1" applyFont="1" applyBorder="1"/>
    <xf numFmtId="40" fontId="19" fillId="0" borderId="55" xfId="2" applyNumberFormat="1" applyFont="1" applyBorder="1"/>
    <xf numFmtId="164" fontId="31" fillId="0" borderId="54" xfId="2" applyNumberFormat="1" applyFont="1" applyBorder="1"/>
    <xf numFmtId="0" fontId="34" fillId="0" borderId="31" xfId="2" applyFont="1" applyBorder="1"/>
    <xf numFmtId="0" fontId="20" fillId="0" borderId="31" xfId="2" applyFont="1" applyBorder="1"/>
    <xf numFmtId="40" fontId="19" fillId="0" borderId="31" xfId="2" applyNumberFormat="1" applyFont="1" applyBorder="1"/>
    <xf numFmtId="171" fontId="19" fillId="0" borderId="31" xfId="2" applyNumberFormat="1" applyFont="1" applyBorder="1"/>
    <xf numFmtId="40" fontId="34" fillId="0" borderId="5" xfId="2" applyNumberFormat="1" applyFont="1" applyBorder="1"/>
    <xf numFmtId="164" fontId="32" fillId="0" borderId="4" xfId="2" applyNumberFormat="1" applyFont="1" applyBorder="1"/>
    <xf numFmtId="40" fontId="19" fillId="0" borderId="11" xfId="2" applyNumberFormat="1" applyFont="1" applyBorder="1"/>
    <xf numFmtId="40" fontId="19" fillId="0" borderId="18" xfId="2" applyNumberFormat="1" applyFont="1" applyBorder="1"/>
    <xf numFmtId="171" fontId="19" fillId="0" borderId="8" xfId="2" applyNumberFormat="1" applyFont="1" applyBorder="1"/>
    <xf numFmtId="171" fontId="19" fillId="0" borderId="11" xfId="2" applyNumberFormat="1" applyFont="1" applyBorder="1"/>
    <xf numFmtId="40" fontId="34" fillId="0" borderId="7" xfId="2" applyNumberFormat="1" applyFont="1" applyBorder="1" applyAlignment="1">
      <alignment horizontal="centerContinuous"/>
    </xf>
    <xf numFmtId="40" fontId="34" fillId="0" borderId="8" xfId="2" applyNumberFormat="1" applyFont="1" applyBorder="1"/>
    <xf numFmtId="0" fontId="31" fillId="0" borderId="18" xfId="2" applyFont="1" applyBorder="1" applyAlignment="1">
      <alignment vertical="center" wrapText="1"/>
    </xf>
    <xf numFmtId="40" fontId="19" fillId="4" borderId="47" xfId="2" applyNumberFormat="1" applyFont="1" applyFill="1" applyBorder="1"/>
    <xf numFmtId="175" fontId="19" fillId="0" borderId="47" xfId="2" applyNumberFormat="1" applyFont="1" applyBorder="1"/>
    <xf numFmtId="40" fontId="19" fillId="10" borderId="47" xfId="2" applyNumberFormat="1" applyFont="1" applyFill="1" applyBorder="1"/>
    <xf numFmtId="10" fontId="19" fillId="0" borderId="47" xfId="8" applyNumberFormat="1" applyFont="1" applyFill="1" applyBorder="1" applyAlignment="1"/>
    <xf numFmtId="0" fontId="20" fillId="0" borderId="41" xfId="2" quotePrefix="1" applyFont="1" applyBorder="1"/>
    <xf numFmtId="0" fontId="20" fillId="0" borderId="42" xfId="2" applyFont="1" applyBorder="1"/>
    <xf numFmtId="0" fontId="20" fillId="0" borderId="42" xfId="2" applyFont="1" applyBorder="1" applyAlignment="1">
      <alignment horizontal="center"/>
    </xf>
    <xf numFmtId="0" fontId="20" fillId="0" borderId="43" xfId="2" applyFont="1" applyBorder="1" applyAlignment="1">
      <alignment horizontal="center"/>
    </xf>
    <xf numFmtId="40" fontId="19" fillId="0" borderId="21" xfId="2" applyNumberFormat="1" applyFont="1" applyBorder="1"/>
    <xf numFmtId="164" fontId="19" fillId="0" borderId="22" xfId="2" applyNumberFormat="1" applyFont="1" applyBorder="1"/>
    <xf numFmtId="4" fontId="32" fillId="4" borderId="10" xfId="2" applyNumberFormat="1" applyFont="1" applyFill="1" applyBorder="1"/>
    <xf numFmtId="0" fontId="32" fillId="4" borderId="10" xfId="2" applyFont="1" applyFill="1" applyBorder="1"/>
    <xf numFmtId="40" fontId="34" fillId="0" borderId="10" xfId="2" applyNumberFormat="1" applyFont="1" applyBorder="1"/>
    <xf numFmtId="164" fontId="32" fillId="0" borderId="26" xfId="8" applyNumberFormat="1" applyFont="1" applyBorder="1"/>
    <xf numFmtId="3" fontId="34" fillId="0" borderId="5" xfId="2" applyNumberFormat="1" applyFont="1" applyBorder="1"/>
    <xf numFmtId="166" fontId="32" fillId="4" borderId="10" xfId="2" applyNumberFormat="1" applyFont="1" applyFill="1" applyBorder="1"/>
    <xf numFmtId="4" fontId="32" fillId="4" borderId="31" xfId="2" applyNumberFormat="1" applyFont="1" applyFill="1" applyBorder="1"/>
    <xf numFmtId="0" fontId="19" fillId="4" borderId="31" xfId="2" applyFont="1" applyFill="1" applyBorder="1"/>
    <xf numFmtId="172" fontId="19" fillId="0" borderId="31" xfId="2" applyNumberFormat="1" applyFont="1" applyBorder="1"/>
    <xf numFmtId="3" fontId="34" fillId="0" borderId="31" xfId="2" applyNumberFormat="1" applyFont="1" applyBorder="1"/>
    <xf numFmtId="4" fontId="31" fillId="0" borderId="6" xfId="2" applyNumberFormat="1" applyFont="1" applyBorder="1"/>
    <xf numFmtId="0" fontId="33" fillId="0" borderId="1" xfId="2" applyFont="1" applyBorder="1"/>
    <xf numFmtId="0" fontId="20" fillId="0" borderId="2" xfId="2" applyFont="1" applyBorder="1"/>
    <xf numFmtId="4" fontId="32" fillId="4" borderId="2" xfId="2" applyNumberFormat="1" applyFont="1" applyFill="1" applyBorder="1"/>
    <xf numFmtId="4" fontId="19" fillId="4" borderId="2" xfId="2" applyNumberFormat="1" applyFont="1" applyFill="1" applyBorder="1"/>
    <xf numFmtId="4" fontId="34" fillId="0" borderId="5" xfId="2" applyNumberFormat="1" applyFont="1" applyBorder="1"/>
    <xf numFmtId="0" fontId="32" fillId="0" borderId="6" xfId="2" applyFont="1" applyBorder="1"/>
    <xf numFmtId="0" fontId="20" fillId="0" borderId="0" xfId="2" quotePrefix="1" applyFont="1"/>
    <xf numFmtId="0" fontId="34" fillId="0" borderId="5" xfId="2" applyFont="1" applyBorder="1" applyAlignment="1">
      <alignment horizontal="center"/>
    </xf>
    <xf numFmtId="0" fontId="34" fillId="0" borderId="2" xfId="2" applyFont="1" applyBorder="1" applyAlignment="1">
      <alignment horizontal="centerContinuous"/>
    </xf>
    <xf numFmtId="0" fontId="33" fillId="0" borderId="6" xfId="2" applyFont="1" applyBorder="1" applyAlignment="1">
      <alignment horizontal="centerContinuous"/>
    </xf>
    <xf numFmtId="0" fontId="34" fillId="0" borderId="6" xfId="2" applyFont="1" applyBorder="1" applyAlignment="1">
      <alignment horizontal="center"/>
    </xf>
    <xf numFmtId="0" fontId="19" fillId="0" borderId="1" xfId="2" applyFont="1" applyBorder="1"/>
    <xf numFmtId="0" fontId="20" fillId="0" borderId="6" xfId="2" applyFont="1" applyBorder="1"/>
    <xf numFmtId="10" fontId="32" fillId="0" borderId="0" xfId="8" applyNumberFormat="1" applyFont="1" applyBorder="1"/>
    <xf numFmtId="0" fontId="20" fillId="0" borderId="32" xfId="2" applyFont="1" applyBorder="1" applyAlignment="1">
      <alignment horizontal="center"/>
    </xf>
    <xf numFmtId="0" fontId="19" fillId="0" borderId="33" xfId="2" applyFont="1" applyBorder="1"/>
    <xf numFmtId="0" fontId="20" fillId="0" borderId="34" xfId="2" applyFont="1" applyBorder="1"/>
    <xf numFmtId="165" fontId="19" fillId="0" borderId="34" xfId="2" applyNumberFormat="1" applyFont="1" applyBorder="1"/>
    <xf numFmtId="0" fontId="19" fillId="0" borderId="16" xfId="2" quotePrefix="1" applyFont="1" applyBorder="1"/>
    <xf numFmtId="0" fontId="20" fillId="0" borderId="17" xfId="2" applyFont="1" applyBorder="1"/>
    <xf numFmtId="10" fontId="20" fillId="0" borderId="0" xfId="8" applyNumberFormat="1" applyFont="1" applyBorder="1"/>
    <xf numFmtId="172" fontId="33" fillId="0" borderId="0" xfId="2" applyNumberFormat="1" applyFont="1"/>
    <xf numFmtId="0" fontId="20" fillId="0" borderId="35" xfId="2" applyFont="1" applyBorder="1" applyAlignment="1">
      <alignment horizontal="center"/>
    </xf>
    <xf numFmtId="0" fontId="19" fillId="0" borderId="36" xfId="2" applyFont="1" applyBorder="1"/>
    <xf numFmtId="0" fontId="20" fillId="0" borderId="37" xfId="2" applyFont="1" applyBorder="1"/>
    <xf numFmtId="165" fontId="19" fillId="0" borderId="37" xfId="2" applyNumberFormat="1" applyFont="1" applyBorder="1"/>
    <xf numFmtId="0" fontId="19" fillId="0" borderId="37" xfId="2" applyFont="1" applyBorder="1"/>
    <xf numFmtId="166" fontId="34" fillId="0" borderId="3" xfId="2" applyNumberFormat="1" applyFont="1" applyBorder="1" applyAlignment="1">
      <alignment horizontal="center"/>
    </xf>
    <xf numFmtId="0" fontId="20" fillId="0" borderId="4" xfId="2" applyFont="1" applyBorder="1"/>
    <xf numFmtId="165" fontId="20" fillId="0" borderId="0" xfId="2" applyNumberFormat="1" applyFont="1"/>
    <xf numFmtId="10" fontId="19" fillId="0" borderId="37" xfId="2" applyNumberFormat="1" applyFont="1" applyBorder="1"/>
    <xf numFmtId="165" fontId="20" fillId="0" borderId="2" xfId="2" applyNumberFormat="1" applyFont="1" applyBorder="1"/>
    <xf numFmtId="168" fontId="19" fillId="0" borderId="37" xfId="2" applyNumberFormat="1" applyFont="1" applyBorder="1"/>
    <xf numFmtId="0" fontId="20" fillId="0" borderId="38" xfId="2" applyFont="1" applyBorder="1" applyAlignment="1">
      <alignment horizontal="center"/>
    </xf>
    <xf numFmtId="0" fontId="19" fillId="0" borderId="39" xfId="2" applyFont="1" applyBorder="1"/>
    <xf numFmtId="0" fontId="20" fillId="0" borderId="40" xfId="2" applyFont="1" applyBorder="1"/>
    <xf numFmtId="165" fontId="19" fillId="0" borderId="40" xfId="2" applyNumberFormat="1" applyFont="1" applyBorder="1"/>
    <xf numFmtId="165" fontId="20" fillId="0" borderId="31" xfId="2" applyNumberFormat="1" applyFont="1" applyBorder="1"/>
    <xf numFmtId="0" fontId="33" fillId="0" borderId="0" xfId="2" quotePrefix="1" applyFont="1"/>
    <xf numFmtId="175" fontId="12" fillId="4" borderId="47" xfId="0" applyNumberFormat="1" applyFont="1" applyFill="1" applyBorder="1"/>
    <xf numFmtId="10" fontId="35" fillId="0" borderId="0" xfId="8" applyNumberFormat="1" applyFont="1"/>
    <xf numFmtId="0" fontId="6" fillId="4" borderId="0" xfId="2" applyFont="1" applyFill="1"/>
    <xf numFmtId="17" fontId="3" fillId="4" borderId="0" xfId="2" applyNumberFormat="1" applyFill="1"/>
    <xf numFmtId="49" fontId="3" fillId="4" borderId="0" xfId="2" applyNumberFormat="1" applyFill="1" applyAlignment="1">
      <alignment horizontal="right"/>
    </xf>
    <xf numFmtId="0" fontId="3" fillId="4" borderId="0" xfId="2" applyFill="1" applyAlignment="1">
      <alignment horizontal="right"/>
    </xf>
    <xf numFmtId="0" fontId="9" fillId="4" borderId="0" xfId="2" applyFont="1" applyFill="1"/>
    <xf numFmtId="3" fontId="9" fillId="4" borderId="0" xfId="2" quotePrefix="1" applyNumberFormat="1" applyFont="1" applyFill="1"/>
    <xf numFmtId="0" fontId="5" fillId="4" borderId="0" xfId="2" applyFont="1" applyFill="1" applyAlignment="1">
      <alignment horizontal="centerContinuous" vertical="center"/>
    </xf>
    <xf numFmtId="0" fontId="10" fillId="4" borderId="0" xfId="2" applyFont="1" applyFill="1" applyAlignment="1">
      <alignment horizontal="centerContinuous" vertical="center"/>
    </xf>
    <xf numFmtId="4" fontId="10" fillId="4" borderId="0" xfId="2" applyNumberFormat="1" applyFont="1" applyFill="1" applyAlignment="1">
      <alignment horizontal="centerContinuous" vertical="center"/>
    </xf>
    <xf numFmtId="4" fontId="3" fillId="4" borderId="0" xfId="2" applyNumberFormat="1" applyFill="1" applyAlignment="1">
      <alignment horizontal="right"/>
    </xf>
    <xf numFmtId="17" fontId="3" fillId="4" borderId="0" xfId="2" applyNumberFormat="1" applyFill="1" applyAlignment="1">
      <alignment horizontal="right"/>
    </xf>
    <xf numFmtId="0" fontId="6" fillId="4" borderId="27" xfId="2" applyFont="1" applyFill="1" applyBorder="1" applyAlignment="1">
      <alignment horizontal="centerContinuous" vertical="center"/>
    </xf>
    <xf numFmtId="0" fontId="6" fillId="4" borderId="28" xfId="2" applyFont="1" applyFill="1" applyBorder="1" applyAlignment="1">
      <alignment horizontal="centerContinuous" vertical="center"/>
    </xf>
    <xf numFmtId="0" fontId="6" fillId="4" borderId="27" xfId="2" applyFont="1" applyFill="1" applyBorder="1" applyAlignment="1">
      <alignment horizontal="centerContinuous" vertical="center" wrapText="1"/>
    </xf>
    <xf numFmtId="0" fontId="6" fillId="4" borderId="28" xfId="2" applyFont="1" applyFill="1" applyBorder="1" applyAlignment="1">
      <alignment horizontal="centerContinuous" vertical="center" wrapText="1"/>
    </xf>
    <xf numFmtId="0" fontId="6" fillId="4" borderId="1" xfId="2" applyFont="1" applyFill="1" applyBorder="1" applyAlignment="1">
      <alignment horizontal="centerContinuous" vertical="center" wrapText="1"/>
    </xf>
    <xf numFmtId="0" fontId="6" fillId="4" borderId="2" xfId="2" applyFont="1" applyFill="1" applyBorder="1" applyAlignment="1">
      <alignment horizontal="centerContinuous" vertical="center" wrapText="1"/>
    </xf>
    <xf numFmtId="0" fontId="6" fillId="4" borderId="6" xfId="2" applyFont="1" applyFill="1" applyBorder="1" applyAlignment="1">
      <alignment horizontal="centerContinuous" vertical="center" wrapText="1"/>
    </xf>
    <xf numFmtId="0" fontId="5" fillId="4" borderId="1" xfId="2" applyFont="1" applyFill="1" applyBorder="1" applyAlignment="1">
      <alignment horizontal="centerContinuous" vertical="center"/>
    </xf>
    <xf numFmtId="0" fontId="6" fillId="4" borderId="2" xfId="2" applyFont="1" applyFill="1" applyBorder="1" applyAlignment="1">
      <alignment horizontal="centerContinuous" vertical="center"/>
    </xf>
    <xf numFmtId="0" fontId="6" fillId="4" borderId="6" xfId="2" applyFont="1" applyFill="1" applyBorder="1" applyAlignment="1">
      <alignment horizontal="centerContinuous" vertical="center"/>
    </xf>
    <xf numFmtId="0" fontId="5" fillId="4" borderId="5" xfId="2" applyFont="1" applyFill="1" applyBorder="1" applyAlignment="1">
      <alignment horizontal="centerContinuous" vertical="center"/>
    </xf>
    <xf numFmtId="0" fontId="6" fillId="4" borderId="5" xfId="2" applyFont="1" applyFill="1" applyBorder="1" applyAlignment="1">
      <alignment horizontal="centerContinuous" vertical="center"/>
    </xf>
    <xf numFmtId="0" fontId="6" fillId="4" borderId="1" xfId="2" applyFont="1" applyFill="1" applyBorder="1" applyAlignment="1">
      <alignment horizontal="centerContinuous" vertical="center"/>
    </xf>
    <xf numFmtId="0" fontId="6" fillId="4" borderId="19" xfId="2" applyFont="1" applyFill="1" applyBorder="1" applyAlignment="1">
      <alignment horizontal="center" vertical="center"/>
    </xf>
    <xf numFmtId="0" fontId="6" fillId="4" borderId="3" xfId="2" quotePrefix="1" applyFont="1" applyFill="1" applyBorder="1" applyAlignment="1">
      <alignment horizontal="left" vertical="center"/>
    </xf>
    <xf numFmtId="0" fontId="9" fillId="4" borderId="4" xfId="2" applyFont="1" applyFill="1" applyBorder="1"/>
    <xf numFmtId="0" fontId="6" fillId="4" borderId="1"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6" fillId="4" borderId="5" xfId="2" applyFont="1" applyFill="1" applyBorder="1" applyAlignment="1">
      <alignment horizontal="center" vertical="center"/>
    </xf>
    <xf numFmtId="0" fontId="6" fillId="4" borderId="6" xfId="2" applyFont="1" applyFill="1" applyBorder="1" applyAlignment="1">
      <alignment horizontal="center" vertical="center"/>
    </xf>
    <xf numFmtId="0" fontId="6" fillId="4" borderId="5" xfId="2" applyFont="1" applyFill="1" applyBorder="1" applyAlignment="1">
      <alignment horizontal="center"/>
    </xf>
    <xf numFmtId="0" fontId="6" fillId="4" borderId="29" xfId="2" applyFont="1" applyFill="1" applyBorder="1" applyAlignment="1">
      <alignment horizontal="center" vertical="center"/>
    </xf>
    <xf numFmtId="0" fontId="5" fillId="4" borderId="7" xfId="2" applyFont="1" applyFill="1" applyBorder="1"/>
    <xf numFmtId="0" fontId="3" fillId="4" borderId="8" xfId="2" applyFill="1" applyBorder="1"/>
    <xf numFmtId="0" fontId="5" fillId="4" borderId="25" xfId="2" applyFont="1" applyFill="1" applyBorder="1"/>
    <xf numFmtId="0" fontId="5" fillId="4" borderId="8" xfId="2" applyFont="1" applyFill="1" applyBorder="1"/>
    <xf numFmtId="0" fontId="12" fillId="4" borderId="11" xfId="2" applyFont="1" applyFill="1" applyBorder="1"/>
    <xf numFmtId="0" fontId="12" fillId="4" borderId="18" xfId="2" applyFont="1" applyFill="1" applyBorder="1"/>
    <xf numFmtId="0" fontId="12" fillId="4" borderId="8" xfId="2" applyFont="1" applyFill="1" applyBorder="1"/>
    <xf numFmtId="0" fontId="12" fillId="4" borderId="7" xfId="2" applyFont="1" applyFill="1" applyBorder="1"/>
    <xf numFmtId="0" fontId="10" fillId="4" borderId="7" xfId="2" applyFont="1" applyFill="1" applyBorder="1" applyAlignment="1">
      <alignment horizontal="centerContinuous" vertical="center" wrapText="1"/>
    </xf>
    <xf numFmtId="0" fontId="11" fillId="4" borderId="5" xfId="2" applyFont="1" applyFill="1" applyBorder="1" applyAlignment="1">
      <alignment horizontal="center" vertical="center"/>
    </xf>
    <xf numFmtId="0" fontId="11" fillId="4" borderId="1" xfId="2" applyFont="1" applyFill="1" applyBorder="1" applyAlignment="1">
      <alignment horizontal="center" vertical="center"/>
    </xf>
    <xf numFmtId="0" fontId="6" fillId="4" borderId="30" xfId="2" applyFont="1" applyFill="1" applyBorder="1" applyAlignment="1">
      <alignment horizontal="center" vertical="center"/>
    </xf>
    <xf numFmtId="0" fontId="3" fillId="0" borderId="52" xfId="2" applyBorder="1" applyAlignment="1">
      <alignment horizontal="center"/>
    </xf>
    <xf numFmtId="40" fontId="10" fillId="0" borderId="53" xfId="2" applyNumberFormat="1" applyFont="1" applyBorder="1"/>
    <xf numFmtId="0" fontId="22" fillId="0" borderId="13" xfId="2" applyFont="1" applyBorder="1" applyAlignment="1">
      <alignment horizontal="left"/>
    </xf>
    <xf numFmtId="0" fontId="3" fillId="4" borderId="51" xfId="2" applyFill="1" applyBorder="1" applyAlignment="1">
      <alignment horizontal="center"/>
    </xf>
    <xf numFmtId="181" fontId="12" fillId="4" borderId="47" xfId="2" applyNumberFormat="1" applyFont="1" applyFill="1" applyBorder="1"/>
    <xf numFmtId="0" fontId="3" fillId="4" borderId="9" xfId="2" quotePrefix="1" applyFill="1" applyBorder="1"/>
    <xf numFmtId="0" fontId="3" fillId="4" borderId="0" xfId="2" applyFill="1" applyAlignment="1">
      <alignment horizontal="center"/>
    </xf>
    <xf numFmtId="0" fontId="3" fillId="4" borderId="15" xfId="2" applyFill="1" applyBorder="1" applyAlignment="1">
      <alignment horizontal="center"/>
    </xf>
    <xf numFmtId="0" fontId="3" fillId="4" borderId="9" xfId="2" applyFill="1" applyBorder="1"/>
    <xf numFmtId="0" fontId="10" fillId="4" borderId="10" xfId="2" applyFont="1" applyFill="1" applyBorder="1"/>
    <xf numFmtId="0" fontId="3" fillId="4" borderId="10" xfId="2" applyFill="1" applyBorder="1"/>
    <xf numFmtId="0" fontId="9" fillId="4" borderId="53" xfId="2" applyFont="1" applyFill="1" applyBorder="1"/>
    <xf numFmtId="4" fontId="9" fillId="4" borderId="26" xfId="2" applyNumberFormat="1" applyFont="1" applyFill="1" applyBorder="1"/>
    <xf numFmtId="167" fontId="9" fillId="4" borderId="26" xfId="2" applyNumberFormat="1" applyFont="1" applyFill="1" applyBorder="1"/>
    <xf numFmtId="165" fontId="9" fillId="4" borderId="26" xfId="2" applyNumberFormat="1" applyFont="1" applyFill="1" applyBorder="1"/>
    <xf numFmtId="0" fontId="3" fillId="4" borderId="3" xfId="2" applyFill="1" applyBorder="1"/>
    <xf numFmtId="0" fontId="3" fillId="4" borderId="31" xfId="2" applyFill="1" applyBorder="1"/>
    <xf numFmtId="4" fontId="9" fillId="4" borderId="30" xfId="2" applyNumberFormat="1" applyFont="1" applyFill="1" applyBorder="1"/>
    <xf numFmtId="167" fontId="9" fillId="4" borderId="30" xfId="2" applyNumberFormat="1" applyFont="1" applyFill="1" applyBorder="1"/>
    <xf numFmtId="165" fontId="9" fillId="4" borderId="30" xfId="2" applyNumberFormat="1" applyFont="1" applyFill="1" applyBorder="1"/>
    <xf numFmtId="10" fontId="12" fillId="4" borderId="47" xfId="8" applyNumberFormat="1" applyFont="1" applyFill="1" applyBorder="1" applyAlignment="1"/>
    <xf numFmtId="0" fontId="3" fillId="4" borderId="41" xfId="2" quotePrefix="1" applyFill="1" applyBorder="1"/>
    <xf numFmtId="0" fontId="3" fillId="4" borderId="42" xfId="2" applyFill="1" applyBorder="1" applyAlignment="1">
      <alignment horizontal="center"/>
    </xf>
    <xf numFmtId="0" fontId="3" fillId="4" borderId="43" xfId="2" applyFill="1" applyBorder="1" applyAlignment="1">
      <alignment horizontal="center"/>
    </xf>
    <xf numFmtId="0" fontId="3" fillId="4" borderId="12" xfId="2" applyFill="1" applyBorder="1" applyAlignment="1">
      <alignment horizontal="center"/>
    </xf>
    <xf numFmtId="40" fontId="26" fillId="4" borderId="21" xfId="2" applyNumberFormat="1" applyFont="1" applyFill="1" applyBorder="1"/>
    <xf numFmtId="0" fontId="10" fillId="4" borderId="10" xfId="2" applyFont="1" applyFill="1" applyBorder="1" applyAlignment="1">
      <alignment horizontal="right"/>
    </xf>
    <xf numFmtId="0" fontId="20" fillId="4" borderId="3" xfId="2" applyFont="1" applyFill="1" applyBorder="1"/>
    <xf numFmtId="164" fontId="9" fillId="4" borderId="26" xfId="8" applyNumberFormat="1" applyFont="1" applyFill="1" applyBorder="1"/>
    <xf numFmtId="0" fontId="10" fillId="4" borderId="31" xfId="2" applyFont="1" applyFill="1" applyBorder="1"/>
    <xf numFmtId="4" fontId="9" fillId="4" borderId="0" xfId="2" applyNumberFormat="1" applyFont="1" applyFill="1"/>
    <xf numFmtId="0" fontId="5" fillId="4" borderId="1" xfId="2" applyFont="1" applyFill="1" applyBorder="1"/>
    <xf numFmtId="0" fontId="3" fillId="4" borderId="2" xfId="2" applyFill="1" applyBorder="1"/>
    <xf numFmtId="0" fontId="20" fillId="4" borderId="1" xfId="2" applyFont="1" applyFill="1" applyBorder="1"/>
    <xf numFmtId="4" fontId="9" fillId="4" borderId="5" xfId="2" applyNumberFormat="1" applyFont="1" applyFill="1" applyBorder="1"/>
    <xf numFmtId="167" fontId="9" fillId="4" borderId="5" xfId="2" applyNumberFormat="1" applyFont="1" applyFill="1" applyBorder="1"/>
    <xf numFmtId="165" fontId="9" fillId="4" borderId="5" xfId="2" applyNumberFormat="1" applyFont="1" applyFill="1" applyBorder="1"/>
    <xf numFmtId="4" fontId="6" fillId="4" borderId="0" xfId="2" applyNumberFormat="1" applyFont="1" applyFill="1"/>
    <xf numFmtId="0" fontId="3" fillId="4" borderId="0" xfId="2" quotePrefix="1" applyFill="1"/>
    <xf numFmtId="0" fontId="10" fillId="4" borderId="5" xfId="2" applyFont="1" applyFill="1" applyBorder="1" applyAlignment="1">
      <alignment horizontal="center"/>
    </xf>
    <xf numFmtId="0" fontId="10" fillId="4" borderId="2" xfId="2" applyFont="1" applyFill="1" applyBorder="1" applyAlignment="1">
      <alignment horizontal="centerContinuous"/>
    </xf>
    <xf numFmtId="0" fontId="5" fillId="4" borderId="6" xfId="2" applyFont="1" applyFill="1" applyBorder="1" applyAlignment="1">
      <alignment horizontal="centerContinuous"/>
    </xf>
    <xf numFmtId="0" fontId="10" fillId="4" borderId="6" xfId="2" applyFont="1" applyFill="1" applyBorder="1" applyAlignment="1">
      <alignment horizontal="center"/>
    </xf>
    <xf numFmtId="0" fontId="12" fillId="4" borderId="1" xfId="2" applyFont="1" applyFill="1" applyBorder="1"/>
    <xf numFmtId="0" fontId="3" fillId="4" borderId="6" xfId="2" applyFill="1" applyBorder="1"/>
    <xf numFmtId="0" fontId="3" fillId="4" borderId="32" xfId="2" applyFill="1" applyBorder="1" applyAlignment="1">
      <alignment horizontal="center"/>
    </xf>
    <xf numFmtId="0" fontId="12" fillId="4" borderId="33" xfId="2" applyFont="1" applyFill="1" applyBorder="1"/>
    <xf numFmtId="0" fontId="3" fillId="4" borderId="34" xfId="2" applyFill="1" applyBorder="1"/>
    <xf numFmtId="165" fontId="12" fillId="4" borderId="34" xfId="2" applyNumberFormat="1" applyFont="1" applyFill="1" applyBorder="1"/>
    <xf numFmtId="0" fontId="12" fillId="4" borderId="16" xfId="2" quotePrefix="1" applyFont="1" applyFill="1" applyBorder="1"/>
    <xf numFmtId="0" fontId="3" fillId="4" borderId="17" xfId="2" applyFill="1" applyBorder="1"/>
    <xf numFmtId="10" fontId="17" fillId="4" borderId="0" xfId="8" applyNumberFormat="1" applyFont="1" applyFill="1" applyBorder="1"/>
    <xf numFmtId="184" fontId="5" fillId="4" borderId="0" xfId="2" applyNumberFormat="1" applyFont="1" applyFill="1"/>
    <xf numFmtId="172" fontId="5" fillId="4" borderId="0" xfId="2" applyNumberFormat="1" applyFont="1" applyFill="1"/>
    <xf numFmtId="0" fontId="3" fillId="4" borderId="35" xfId="2" applyFill="1" applyBorder="1" applyAlignment="1">
      <alignment horizontal="center"/>
    </xf>
    <xf numFmtId="0" fontId="12" fillId="4" borderId="36" xfId="2" applyFont="1" applyFill="1" applyBorder="1"/>
    <xf numFmtId="0" fontId="3" fillId="4" borderId="37" xfId="2" applyFill="1" applyBorder="1"/>
    <xf numFmtId="165" fontId="12" fillId="4" borderId="37" xfId="2" applyNumberFormat="1" applyFont="1" applyFill="1" applyBorder="1"/>
    <xf numFmtId="0" fontId="12" fillId="4" borderId="37" xfId="2" applyFont="1" applyFill="1" applyBorder="1"/>
    <xf numFmtId="166" fontId="10" fillId="4" borderId="3" xfId="2" applyNumberFormat="1" applyFont="1" applyFill="1" applyBorder="1" applyAlignment="1">
      <alignment horizontal="center"/>
    </xf>
    <xf numFmtId="0" fontId="3" fillId="4" borderId="4" xfId="2" applyFill="1" applyBorder="1"/>
    <xf numFmtId="4" fontId="3" fillId="4" borderId="0" xfId="8" applyNumberFormat="1" applyFont="1" applyFill="1"/>
    <xf numFmtId="165" fontId="3" fillId="4" borderId="0" xfId="2" applyNumberFormat="1" applyFill="1"/>
    <xf numFmtId="10" fontId="12" fillId="4" borderId="37" xfId="2" applyNumberFormat="1" applyFont="1" applyFill="1" applyBorder="1"/>
    <xf numFmtId="165" fontId="3" fillId="4" borderId="2" xfId="2" applyNumberFormat="1" applyFill="1" applyBorder="1"/>
    <xf numFmtId="0" fontId="22" fillId="4" borderId="0" xfId="2" applyFont="1" applyFill="1"/>
    <xf numFmtId="168" fontId="12" fillId="4" borderId="37" xfId="2" applyNumberFormat="1" applyFont="1" applyFill="1" applyBorder="1"/>
    <xf numFmtId="10" fontId="3" fillId="4" borderId="0" xfId="8" applyNumberFormat="1" applyFont="1" applyFill="1" applyBorder="1"/>
    <xf numFmtId="0" fontId="3" fillId="4" borderId="38" xfId="2" applyFill="1" applyBorder="1" applyAlignment="1">
      <alignment horizontal="center"/>
    </xf>
    <xf numFmtId="0" fontId="12" fillId="4" borderId="39" xfId="2" applyFont="1" applyFill="1" applyBorder="1"/>
    <xf numFmtId="0" fontId="3" fillId="4" borderId="40" xfId="2" applyFill="1" applyBorder="1"/>
    <xf numFmtId="165" fontId="12" fillId="4" borderId="40" xfId="2" applyNumberFormat="1" applyFont="1" applyFill="1" applyBorder="1"/>
    <xf numFmtId="165" fontId="3" fillId="4" borderId="31" xfId="2" applyNumberFormat="1" applyFill="1" applyBorder="1"/>
    <xf numFmtId="0" fontId="5" fillId="4" borderId="0" xfId="2" quotePrefix="1" applyFont="1" applyFill="1"/>
    <xf numFmtId="0" fontId="22" fillId="0" borderId="21" xfId="2" applyFont="1" applyBorder="1" applyAlignment="1">
      <alignment horizontal="center"/>
    </xf>
    <xf numFmtId="0" fontId="22" fillId="0" borderId="51" xfId="2" applyFont="1" applyBorder="1" applyAlignment="1">
      <alignment horizontal="center"/>
    </xf>
    <xf numFmtId="40" fontId="26" fillId="0" borderId="47" xfId="0" applyNumberFormat="1" applyFont="1" applyBorder="1"/>
    <xf numFmtId="171" fontId="26" fillId="0" borderId="47" xfId="0" applyNumberFormat="1" applyFont="1" applyBorder="1"/>
    <xf numFmtId="40" fontId="26" fillId="0" borderId="47" xfId="2" applyNumberFormat="1" applyFont="1" applyBorder="1"/>
    <xf numFmtId="173" fontId="26" fillId="0" borderId="47" xfId="2" applyNumberFormat="1" applyFont="1" applyBorder="1"/>
    <xf numFmtId="174" fontId="3" fillId="0" borderId="0" xfId="2" applyNumberFormat="1" applyAlignment="1">
      <alignment horizontal="right"/>
    </xf>
    <xf numFmtId="172" fontId="10" fillId="0" borderId="0" xfId="2" applyNumberFormat="1" applyFont="1" applyAlignment="1">
      <alignment horizontal="centerContinuous" vertical="center"/>
    </xf>
    <xf numFmtId="4" fontId="12" fillId="0" borderId="47" xfId="2" applyNumberFormat="1" applyFont="1" applyBorder="1"/>
    <xf numFmtId="40" fontId="12" fillId="4" borderId="21" xfId="2" applyNumberFormat="1" applyFont="1" applyFill="1" applyBorder="1"/>
    <xf numFmtId="166" fontId="36" fillId="0" borderId="0" xfId="2" applyNumberFormat="1" applyFont="1"/>
    <xf numFmtId="0" fontId="36" fillId="0" borderId="0" xfId="2" applyFont="1"/>
    <xf numFmtId="172" fontId="36" fillId="0" borderId="0" xfId="2" applyNumberFormat="1" applyFont="1"/>
    <xf numFmtId="166" fontId="17" fillId="0" borderId="0" xfId="2" applyNumberFormat="1" applyFont="1"/>
    <xf numFmtId="172" fontId="17" fillId="0" borderId="0" xfId="2" applyNumberFormat="1" applyFont="1"/>
    <xf numFmtId="4" fontId="17" fillId="0" borderId="0" xfId="2" applyNumberFormat="1" applyFont="1"/>
    <xf numFmtId="183" fontId="17" fillId="0" borderId="0" xfId="8" applyNumberFormat="1" applyFont="1" applyFill="1"/>
    <xf numFmtId="165" fontId="17" fillId="0" borderId="0" xfId="8" applyNumberFormat="1" applyFont="1" applyFill="1"/>
    <xf numFmtId="10" fontId="17" fillId="0" borderId="0" xfId="8" applyNumberFormat="1" applyFont="1" applyFill="1"/>
    <xf numFmtId="172" fontId="37" fillId="0" borderId="0" xfId="2" applyNumberFormat="1" applyFont="1"/>
    <xf numFmtId="0" fontId="6" fillId="0" borderId="19" xfId="2" applyFont="1" applyBorder="1" applyAlignment="1">
      <alignment horizontal="center" vertical="center" wrapText="1"/>
    </xf>
    <xf numFmtId="0" fontId="6" fillId="0" borderId="30" xfId="2" applyFont="1" applyBorder="1" applyAlignment="1">
      <alignment horizontal="center" vertical="center" wrapText="1"/>
    </xf>
    <xf numFmtId="0" fontId="31" fillId="0" borderId="19" xfId="2" applyFont="1" applyBorder="1" applyAlignment="1">
      <alignment horizontal="center" vertical="center" wrapText="1"/>
    </xf>
    <xf numFmtId="0" fontId="31" fillId="0" borderId="30" xfId="2" applyFont="1" applyBorder="1" applyAlignment="1">
      <alignment horizontal="center" vertical="center" wrapText="1"/>
    </xf>
    <xf numFmtId="0" fontId="6" fillId="4" borderId="19" xfId="2" applyFont="1" applyFill="1" applyBorder="1" applyAlignment="1">
      <alignment horizontal="center" vertical="center" wrapText="1"/>
    </xf>
    <xf numFmtId="0" fontId="6" fillId="4" borderId="30" xfId="2" applyFont="1" applyFill="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justify" vertical="center" wrapText="1"/>
    </xf>
    <xf numFmtId="169" fontId="13" fillId="0" borderId="0" xfId="0" applyNumberFormat="1" applyFont="1" applyAlignment="1">
      <alignment horizontal="left"/>
    </xf>
    <xf numFmtId="174" fontId="3" fillId="4" borderId="0" xfId="2" applyNumberFormat="1" applyFill="1"/>
    <xf numFmtId="0" fontId="3" fillId="4" borderId="12" xfId="2" quotePrefix="1" applyFont="1" applyFill="1" applyBorder="1"/>
    <xf numFmtId="0" fontId="3" fillId="4" borderId="13" xfId="2" applyFont="1" applyFill="1" applyBorder="1"/>
    <xf numFmtId="0" fontId="3" fillId="4" borderId="21" xfId="2" applyFont="1" applyFill="1" applyBorder="1" applyAlignment="1">
      <alignment horizontal="center"/>
    </xf>
    <xf numFmtId="0" fontId="3" fillId="4" borderId="13" xfId="2" applyFont="1" applyFill="1" applyBorder="1" applyAlignment="1">
      <alignment horizontal="center"/>
    </xf>
    <xf numFmtId="0" fontId="3" fillId="4" borderId="47" xfId="2" applyFont="1" applyFill="1" applyBorder="1" applyAlignment="1">
      <alignment horizontal="center"/>
    </xf>
    <xf numFmtId="0" fontId="3" fillId="4" borderId="0" xfId="2" applyFont="1" applyFill="1"/>
  </cellXfs>
  <cellStyles count="9">
    <cellStyle name="Millares" xfId="7" builtinId="3"/>
    <cellStyle name="No-definido" xfId="1" xr:uid="{00000000-0005-0000-0000-000001000000}"/>
    <cellStyle name="Normal" xfId="0" builtinId="0"/>
    <cellStyle name="Normal 2" xfId="4" xr:uid="{00000000-0005-0000-0000-000003000000}"/>
    <cellStyle name="Normal 3" xfId="5" xr:uid="{00000000-0005-0000-0000-000004000000}"/>
    <cellStyle name="Normal_792 TP 200809-2REG" xfId="6" xr:uid="{00000000-0005-0000-0000-000005000000}"/>
    <cellStyle name="Normal_determinación del Canon-dic01" xfId="2" xr:uid="{00000000-0005-0000-0000-000006000000}"/>
    <cellStyle name="Porcentaje" xfId="3" builtinId="5"/>
    <cellStyle name="Porcentaje 2" xfId="8" xr:uid="{C5F2CA9E-B3FF-4DC2-AF8A-C7E4CC1075F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465"/>
  <sheetViews>
    <sheetView view="pageBreakPreview" zoomScale="115" zoomScaleNormal="100" zoomScaleSheetLayoutView="115" workbookViewId="0">
      <pane xSplit="2" ySplit="9" topLeftCell="G403" activePane="bottomRight" state="frozen"/>
      <selection pane="topRight" activeCell="C1" sqref="C1"/>
      <selection pane="bottomLeft" activeCell="A10" sqref="A10"/>
      <selection pane="bottomRight" activeCell="P442" sqref="P442"/>
    </sheetView>
  </sheetViews>
  <sheetFormatPr baseColWidth="10" defaultColWidth="8.84375" defaultRowHeight="12.5" x14ac:dyDescent="0.25"/>
  <cols>
    <col min="1" max="1" width="3" style="251" customWidth="1"/>
    <col min="2" max="2" width="9.53515625" style="251" customWidth="1"/>
    <col min="3" max="4" width="7.07421875" style="251" customWidth="1"/>
    <col min="5" max="5" width="7.4609375" style="251" customWidth="1"/>
    <col min="6" max="6" width="9.84375" style="251" customWidth="1"/>
    <col min="7" max="8" width="10.4609375" style="251" customWidth="1"/>
    <col min="9" max="9" width="10" style="251" customWidth="1"/>
    <col min="10" max="10" width="10.3046875" style="251" customWidth="1"/>
    <col min="11" max="12" width="11.53515625" style="251" hidden="1" customWidth="1"/>
    <col min="13" max="14" width="11.5351562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8.84375" style="251"/>
    <col min="22" max="22" width="9.84375" style="251" customWidth="1"/>
    <col min="23" max="23" width="9.84375" style="251" bestFit="1" customWidth="1"/>
    <col min="24" max="24" width="10.4609375" style="251" customWidth="1"/>
    <col min="25" max="25" width="8.84375" style="251"/>
    <col min="26" max="26" width="12" style="251" customWidth="1"/>
    <col min="27" max="16384" width="8.84375" style="251"/>
  </cols>
  <sheetData>
    <row r="1" spans="1:33" x14ac:dyDescent="0.25">
      <c r="A1" s="2" t="s">
        <v>50</v>
      </c>
      <c r="C1" s="1"/>
      <c r="D1" s="1"/>
      <c r="E1" s="7">
        <v>43191</v>
      </c>
      <c r="F1" s="139"/>
      <c r="U1" s="48" t="s">
        <v>59</v>
      </c>
      <c r="V1" s="48"/>
      <c r="W1" s="49">
        <f>DATE(YEAR(E1),MONTH(E1)+1,1)-DATE(YEAR(E1),MONTH(E1),1)</f>
        <v>30</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tr">
        <f>"Correspondiente a  "&amp;TEXT(E1,"MMMMMMM YYYY")</f>
        <v>Correspondiente a  Abril 2018</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tr">
        <f>"Tipo de Cambio= "&amp;TEXT(F1,"0.000")</f>
        <v>Tipo de Cambio= 0.000</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A6" s="109"/>
      <c r="B6" s="109"/>
      <c r="C6" s="109"/>
      <c r="D6" s="109"/>
      <c r="E6" s="109"/>
      <c r="F6" s="109"/>
      <c r="G6" s="109"/>
      <c r="H6" s="109"/>
      <c r="I6" s="109"/>
      <c r="J6" s="47"/>
      <c r="N6" s="47"/>
      <c r="O6" s="47"/>
      <c r="P6" s="47"/>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111" t="s">
        <v>60</v>
      </c>
      <c r="V7" s="112"/>
      <c r="W7" s="112"/>
      <c r="X7" s="112"/>
      <c r="Y7" s="112"/>
      <c r="Z7" s="113"/>
      <c r="AA7" s="145" t="s">
        <v>61</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16" t="s">
        <v>28</v>
      </c>
      <c r="B10" s="17" t="s">
        <v>13</v>
      </c>
      <c r="C10" s="40" t="s">
        <v>29</v>
      </c>
      <c r="D10" s="18" t="s">
        <v>21</v>
      </c>
      <c r="E10" s="40" t="s">
        <v>95</v>
      </c>
      <c r="F10" s="214" t="s">
        <v>36</v>
      </c>
      <c r="G10" s="256"/>
      <c r="H10" s="191">
        <v>21812</v>
      </c>
      <c r="I10" s="192"/>
      <c r="J10" s="193">
        <v>69.037400000000005</v>
      </c>
      <c r="K10" s="256"/>
      <c r="L10" s="256"/>
      <c r="M10" s="256"/>
      <c r="N10" s="191">
        <v>675.6</v>
      </c>
      <c r="O10" s="191">
        <f t="shared" ref="O10:O29" si="0">ROUND(G10*I10,2)+ROUND(H10*J10,2)-K10-L10-M10-N10</f>
        <v>1505168.17</v>
      </c>
      <c r="P10" s="382">
        <f>ROUND(18.75%*O10,2)</f>
        <v>282219.03000000003</v>
      </c>
      <c r="Q10" s="198">
        <f>ROUND($O10*R10,2)</f>
        <v>225775.23</v>
      </c>
      <c r="R10" s="199">
        <v>0.15</v>
      </c>
      <c r="S10" s="198">
        <f t="shared" ref="S10:S34" si="1">ROUND($O10*T10,2)</f>
        <v>56443.81</v>
      </c>
      <c r="T10" s="236">
        <v>3.7499999999999999E-2</v>
      </c>
      <c r="U10" s="46">
        <f t="shared" ref="U10:U29" si="2">IF($F10&amp;"/Día"=W$9,SUM($G10:$H10),"")</f>
        <v>21812</v>
      </c>
      <c r="V10" s="46">
        <f>IF(U10&lt;&gt;"",$O10,"")</f>
        <v>1505168.17</v>
      </c>
      <c r="W10" s="55">
        <f>IF($F10&amp;"/Día"=W$9,ROUND(U10/$W$1,1),"")</f>
        <v>727.1</v>
      </c>
      <c r="X10" s="56">
        <f t="shared" ref="X10:X29" si="3">IF(U10=0,0,IF($F10&amp;"/Día"=W$9,ROUND(V10/U10,4),""))</f>
        <v>69.006399999999999</v>
      </c>
      <c r="Y10" s="56">
        <f t="shared" ref="Y10:Y29" si="4">IF(U10=0,0,IF($F10&amp;"/Día"=W$9,ROUND(Z10/U10,4),""))</f>
        <v>12.938700000000001</v>
      </c>
      <c r="Z10" s="46">
        <f t="shared" ref="Z10:Z29" si="5">IF(U10&lt;&gt;"",$P10,"")</f>
        <v>282219.03000000003</v>
      </c>
      <c r="AA10" s="46" t="str">
        <f t="shared" ref="AA10:AA29" si="6">IF($F10&amp;"/Día"=AC$9,SUM($G10:$H10),"")</f>
        <v/>
      </c>
      <c r="AB10" s="46" t="str">
        <f>IF(AA10&lt;&gt;"",$O10,"")</f>
        <v/>
      </c>
      <c r="AC10" s="55" t="str">
        <f>IF($F10&amp;"/Día"=AC$9,ROUND(AA10/$W$1,1),"")</f>
        <v/>
      </c>
      <c r="AD10" s="56" t="str">
        <f t="shared" ref="AD10:AD29" si="7">IF(AA10=0,0,IF($F10&amp;"/Día"=AC$9,ROUND(AB10/AA10,4),""))</f>
        <v/>
      </c>
      <c r="AE10" s="56" t="str">
        <f t="shared" ref="AE10:AE29" si="8">IF(AA10=0,0,IF($F10&amp;"/Día"=AC$9,ROUND(AF10/AA10,4),""))</f>
        <v/>
      </c>
      <c r="AF10" s="46" t="str">
        <f t="shared" ref="AF10:AF29" si="9">IF(AA10&lt;&gt;"",$P10,"")</f>
        <v/>
      </c>
      <c r="AG10" s="36"/>
    </row>
    <row r="11" spans="1:33" x14ac:dyDescent="0.25">
      <c r="A11" s="16" t="s">
        <v>28</v>
      </c>
      <c r="B11" s="17" t="s">
        <v>14</v>
      </c>
      <c r="C11" s="40" t="s">
        <v>29</v>
      </c>
      <c r="D11" s="18" t="s">
        <v>21</v>
      </c>
      <c r="E11" s="40" t="s">
        <v>95</v>
      </c>
      <c r="F11" s="214" t="s">
        <v>55</v>
      </c>
      <c r="G11" s="256"/>
      <c r="H11" s="191">
        <v>207427.64</v>
      </c>
      <c r="I11" s="192"/>
      <c r="J11" s="193">
        <v>2.9340000000000002</v>
      </c>
      <c r="K11" s="256"/>
      <c r="L11" s="256"/>
      <c r="M11" s="256"/>
      <c r="N11" s="191">
        <v>1891.7</v>
      </c>
      <c r="O11" s="191">
        <f t="shared" si="0"/>
        <v>606701</v>
      </c>
      <c r="P11" s="382">
        <f t="shared" ref="P11:P34" si="10">ROUND(18.75%*O11,2)</f>
        <v>113756.44</v>
      </c>
      <c r="Q11" s="198">
        <f t="shared" ref="Q11:Q29" si="11">ROUND($O11*R11,2)</f>
        <v>91005.15</v>
      </c>
      <c r="R11" s="199">
        <v>0.15</v>
      </c>
      <c r="S11" s="198">
        <f t="shared" si="1"/>
        <v>22751.29</v>
      </c>
      <c r="T11" s="236">
        <v>3.7499999999999999E-2</v>
      </c>
      <c r="U11" s="32" t="str">
        <f t="shared" si="2"/>
        <v/>
      </c>
      <c r="V11" s="32" t="str">
        <f t="shared" ref="V11:V35" si="12">IF(U11&lt;&gt;"",$O11,"")</f>
        <v/>
      </c>
      <c r="W11" s="57" t="str">
        <f t="shared" ref="W11:W41" si="13">IF($F11&amp;"/Día"=W$9,ROUND(U11/$W$1,1),"")</f>
        <v/>
      </c>
      <c r="X11" s="58" t="str">
        <f t="shared" si="3"/>
        <v/>
      </c>
      <c r="Y11" s="58" t="str">
        <f t="shared" si="4"/>
        <v/>
      </c>
      <c r="Z11" s="32" t="str">
        <f t="shared" si="5"/>
        <v/>
      </c>
      <c r="AA11" s="32">
        <f t="shared" si="6"/>
        <v>207427.64</v>
      </c>
      <c r="AB11" s="32">
        <f t="shared" ref="AB11:AB35" si="14">IF(AA11&lt;&gt;"",$O11,"")</f>
        <v>606701</v>
      </c>
      <c r="AC11" s="57">
        <f t="shared" ref="AC11:AC41" si="15">IF($F11&amp;"/Día"=AC$9,ROUND(AA11/$W$1,1),"")</f>
        <v>6914.3</v>
      </c>
      <c r="AD11" s="58">
        <f t="shared" si="7"/>
        <v>2.9249000000000001</v>
      </c>
      <c r="AE11" s="58">
        <f t="shared" si="8"/>
        <v>0.5484</v>
      </c>
      <c r="AF11" s="32">
        <f t="shared" si="9"/>
        <v>113756.44</v>
      </c>
      <c r="AG11" s="37"/>
    </row>
    <row r="12" spans="1:33" x14ac:dyDescent="0.25">
      <c r="A12" s="16" t="s">
        <v>28</v>
      </c>
      <c r="B12" s="17" t="s">
        <v>3</v>
      </c>
      <c r="C12" s="40" t="s">
        <v>31</v>
      </c>
      <c r="D12" s="18" t="s">
        <v>30</v>
      </c>
      <c r="E12" s="40" t="s">
        <v>98</v>
      </c>
      <c r="F12" s="214" t="s">
        <v>36</v>
      </c>
      <c r="G12" s="191">
        <v>4240</v>
      </c>
      <c r="H12" s="191">
        <v>4760</v>
      </c>
      <c r="I12" s="193">
        <v>65.105199999999996</v>
      </c>
      <c r="J12" s="193">
        <v>68.418800000000005</v>
      </c>
      <c r="K12" s="256"/>
      <c r="L12" s="256"/>
      <c r="M12" s="256"/>
      <c r="N12" s="191">
        <v>1744.22</v>
      </c>
      <c r="O12" s="191">
        <f t="shared" si="0"/>
        <v>599975.32000000007</v>
      </c>
      <c r="P12" s="382">
        <f t="shared" si="10"/>
        <v>112495.37</v>
      </c>
      <c r="Q12" s="198">
        <f>ROUND($O12*R12,2)</f>
        <v>89996.3</v>
      </c>
      <c r="R12" s="199">
        <v>0.15</v>
      </c>
      <c r="S12" s="198">
        <f t="shared" si="1"/>
        <v>22499.07</v>
      </c>
      <c r="T12" s="236">
        <v>3.7499999999999999E-2</v>
      </c>
      <c r="U12" s="32">
        <f t="shared" si="2"/>
        <v>9000</v>
      </c>
      <c r="V12" s="32">
        <f t="shared" si="12"/>
        <v>599975.32000000007</v>
      </c>
      <c r="W12" s="57">
        <f t="shared" si="13"/>
        <v>300</v>
      </c>
      <c r="X12" s="58">
        <f t="shared" si="3"/>
        <v>66.663899999999998</v>
      </c>
      <c r="Y12" s="58">
        <f t="shared" si="4"/>
        <v>12.499499999999999</v>
      </c>
      <c r="Z12" s="32">
        <f t="shared" si="5"/>
        <v>112495.37</v>
      </c>
      <c r="AA12" s="32" t="str">
        <f t="shared" si="6"/>
        <v/>
      </c>
      <c r="AB12" s="32" t="str">
        <f t="shared" si="14"/>
        <v/>
      </c>
      <c r="AC12" s="57" t="str">
        <f t="shared" si="15"/>
        <v/>
      </c>
      <c r="AD12" s="58" t="str">
        <f t="shared" si="7"/>
        <v/>
      </c>
      <c r="AE12" s="58" t="str">
        <f t="shared" si="8"/>
        <v/>
      </c>
      <c r="AF12" s="32" t="str">
        <f t="shared" si="9"/>
        <v/>
      </c>
      <c r="AG12" s="37"/>
    </row>
    <row r="13" spans="1:33" x14ac:dyDescent="0.25">
      <c r="A13" s="221" t="s">
        <v>28</v>
      </c>
      <c r="B13" s="225" t="s">
        <v>172</v>
      </c>
      <c r="C13" s="214" t="s">
        <v>29</v>
      </c>
      <c r="D13" s="222" t="s">
        <v>21</v>
      </c>
      <c r="E13" s="214" t="s">
        <v>95</v>
      </c>
      <c r="F13" s="214" t="s">
        <v>55</v>
      </c>
      <c r="G13" s="191">
        <v>38460.027300000002</v>
      </c>
      <c r="H13" s="191">
        <v>37277.293899999997</v>
      </c>
      <c r="I13" s="193">
        <v>2.1591</v>
      </c>
      <c r="J13" s="193">
        <v>2.1608999999999998</v>
      </c>
      <c r="K13" s="256"/>
      <c r="L13" s="256"/>
      <c r="M13" s="256"/>
      <c r="N13" s="191">
        <v>1862.53</v>
      </c>
      <c r="O13" s="191">
        <f>ROUND(G13*I13,2)+ROUND(H13*J13,2)-K13-L13-M13-N13</f>
        <v>161729.00999999998</v>
      </c>
      <c r="P13" s="382">
        <f t="shared" si="10"/>
        <v>30324.19</v>
      </c>
      <c r="Q13" s="198">
        <f>ROUND($P13*R13/(R13+T13),2)</f>
        <v>24259.35</v>
      </c>
      <c r="R13" s="199">
        <v>0.15</v>
      </c>
      <c r="S13" s="198">
        <f>P13-Q13</f>
        <v>6064.84</v>
      </c>
      <c r="T13" s="236">
        <v>3.7499999999999999E-2</v>
      </c>
      <c r="U13" s="32" t="str">
        <f t="shared" si="2"/>
        <v/>
      </c>
      <c r="V13" s="32" t="str">
        <f t="shared" si="12"/>
        <v/>
      </c>
      <c r="W13" s="57" t="str">
        <f t="shared" si="13"/>
        <v/>
      </c>
      <c r="X13" s="58" t="str">
        <f t="shared" si="3"/>
        <v/>
      </c>
      <c r="Y13" s="58" t="str">
        <f t="shared" si="4"/>
        <v/>
      </c>
      <c r="Z13" s="32" t="str">
        <f t="shared" si="5"/>
        <v/>
      </c>
      <c r="AA13" s="32">
        <f t="shared" si="6"/>
        <v>75737.321200000006</v>
      </c>
      <c r="AB13" s="32">
        <f t="shared" si="14"/>
        <v>161729.00999999998</v>
      </c>
      <c r="AC13" s="57">
        <f t="shared" si="15"/>
        <v>2524.6</v>
      </c>
      <c r="AD13" s="58">
        <f t="shared" si="7"/>
        <v>2.1354000000000002</v>
      </c>
      <c r="AE13" s="58">
        <f t="shared" si="8"/>
        <v>0.40039999999999998</v>
      </c>
      <c r="AF13" s="32">
        <f t="shared" si="9"/>
        <v>30324.19</v>
      </c>
      <c r="AG13" s="37"/>
    </row>
    <row r="14" spans="1:33" x14ac:dyDescent="0.25">
      <c r="A14" s="16" t="s">
        <v>28</v>
      </c>
      <c r="B14" s="17" t="s">
        <v>4</v>
      </c>
      <c r="C14" s="40" t="s">
        <v>31</v>
      </c>
      <c r="D14" s="18" t="s">
        <v>30</v>
      </c>
      <c r="E14" s="40" t="s">
        <v>98</v>
      </c>
      <c r="F14" s="214" t="s">
        <v>36</v>
      </c>
      <c r="G14" s="191">
        <v>11055</v>
      </c>
      <c r="H14" s="191">
        <v>11288</v>
      </c>
      <c r="I14" s="193">
        <v>66.881100000000004</v>
      </c>
      <c r="J14" s="193">
        <v>70.801500000000004</v>
      </c>
      <c r="K14" s="256"/>
      <c r="L14" s="256"/>
      <c r="M14" s="256"/>
      <c r="N14" s="191">
        <v>1242.6300000000001</v>
      </c>
      <c r="O14" s="191">
        <f t="shared" si="0"/>
        <v>1537335.2600000002</v>
      </c>
      <c r="P14" s="382">
        <f t="shared" si="10"/>
        <v>288250.36</v>
      </c>
      <c r="Q14" s="198">
        <f t="shared" si="11"/>
        <v>230600.29</v>
      </c>
      <c r="R14" s="199">
        <v>0.15</v>
      </c>
      <c r="S14" s="198">
        <f t="shared" si="1"/>
        <v>57650.07</v>
      </c>
      <c r="T14" s="236">
        <v>3.7499999999999999E-2</v>
      </c>
      <c r="U14" s="32">
        <f t="shared" si="2"/>
        <v>22343</v>
      </c>
      <c r="V14" s="32">
        <f t="shared" si="12"/>
        <v>1537335.2600000002</v>
      </c>
      <c r="W14" s="57">
        <f t="shared" si="13"/>
        <v>744.8</v>
      </c>
      <c r="X14" s="58">
        <f t="shared" si="3"/>
        <v>68.806100000000001</v>
      </c>
      <c r="Y14" s="58">
        <f t="shared" si="4"/>
        <v>12.9011</v>
      </c>
      <c r="Z14" s="32">
        <f t="shared" si="5"/>
        <v>288250.36</v>
      </c>
      <c r="AA14" s="32" t="str">
        <f t="shared" si="6"/>
        <v/>
      </c>
      <c r="AB14" s="32" t="str">
        <f t="shared" si="14"/>
        <v/>
      </c>
      <c r="AC14" s="57" t="str">
        <f t="shared" si="15"/>
        <v/>
      </c>
      <c r="AD14" s="58" t="str">
        <f t="shared" si="7"/>
        <v/>
      </c>
      <c r="AE14" s="58" t="str">
        <f t="shared" si="8"/>
        <v/>
      </c>
      <c r="AF14" s="32" t="str">
        <f t="shared" si="9"/>
        <v/>
      </c>
      <c r="AG14" s="37"/>
    </row>
    <row r="15" spans="1:33" x14ac:dyDescent="0.25">
      <c r="A15" s="16" t="s">
        <v>28</v>
      </c>
      <c r="B15" s="17" t="s">
        <v>5</v>
      </c>
      <c r="C15" s="40" t="s">
        <v>31</v>
      </c>
      <c r="D15" s="18" t="s">
        <v>30</v>
      </c>
      <c r="E15" s="40" t="s">
        <v>98</v>
      </c>
      <c r="F15" s="214" t="s">
        <v>36</v>
      </c>
      <c r="G15" s="191">
        <v>30621</v>
      </c>
      <c r="H15" s="191">
        <v>31021</v>
      </c>
      <c r="I15" s="193">
        <v>66.881100000000004</v>
      </c>
      <c r="J15" s="193">
        <v>70.801500000000004</v>
      </c>
      <c r="K15" s="256"/>
      <c r="L15" s="256"/>
      <c r="M15" s="256"/>
      <c r="N15" s="191">
        <v>3209.33</v>
      </c>
      <c r="O15" s="191">
        <f t="shared" si="0"/>
        <v>4241090.16</v>
      </c>
      <c r="P15" s="382">
        <f t="shared" si="10"/>
        <v>795204.41</v>
      </c>
      <c r="Q15" s="198">
        <f t="shared" si="11"/>
        <v>636163.52</v>
      </c>
      <c r="R15" s="199">
        <v>0.15</v>
      </c>
      <c r="S15" s="198">
        <f t="shared" si="1"/>
        <v>159040.88</v>
      </c>
      <c r="T15" s="236">
        <v>3.7499999999999999E-2</v>
      </c>
      <c r="U15" s="32">
        <f t="shared" si="2"/>
        <v>61642</v>
      </c>
      <c r="V15" s="32">
        <f t="shared" si="12"/>
        <v>4241090.16</v>
      </c>
      <c r="W15" s="57">
        <f t="shared" si="13"/>
        <v>2054.6999999999998</v>
      </c>
      <c r="X15" s="58">
        <f t="shared" si="3"/>
        <v>68.802000000000007</v>
      </c>
      <c r="Y15" s="58">
        <f t="shared" si="4"/>
        <v>12.900399999999999</v>
      </c>
      <c r="Z15" s="32">
        <f t="shared" si="5"/>
        <v>795204.41</v>
      </c>
      <c r="AA15" s="32" t="str">
        <f t="shared" si="6"/>
        <v/>
      </c>
      <c r="AB15" s="32" t="str">
        <f t="shared" si="14"/>
        <v/>
      </c>
      <c r="AC15" s="57" t="str">
        <f t="shared" si="15"/>
        <v/>
      </c>
      <c r="AD15" s="58" t="str">
        <f t="shared" si="7"/>
        <v/>
      </c>
      <c r="AE15" s="58" t="str">
        <f t="shared" si="8"/>
        <v/>
      </c>
      <c r="AF15" s="32" t="str">
        <f t="shared" si="9"/>
        <v/>
      </c>
      <c r="AG15" s="37"/>
    </row>
    <row r="16" spans="1:33" x14ac:dyDescent="0.25">
      <c r="A16" s="16" t="s">
        <v>28</v>
      </c>
      <c r="B16" s="17" t="s">
        <v>17</v>
      </c>
      <c r="C16" s="40" t="s">
        <v>29</v>
      </c>
      <c r="D16" s="18" t="s">
        <v>21</v>
      </c>
      <c r="E16" s="40" t="s">
        <v>95</v>
      </c>
      <c r="F16" s="214" t="s">
        <v>36</v>
      </c>
      <c r="G16" s="256"/>
      <c r="H16" s="191">
        <v>4328</v>
      </c>
      <c r="I16" s="192"/>
      <c r="J16" s="193">
        <v>69.037400000000005</v>
      </c>
      <c r="K16" s="256"/>
      <c r="L16" s="256"/>
      <c r="M16" s="256"/>
      <c r="N16" s="191">
        <v>1470.21</v>
      </c>
      <c r="O16" s="200">
        <f t="shared" si="0"/>
        <v>297323.65999999997</v>
      </c>
      <c r="P16" s="382">
        <f t="shared" si="10"/>
        <v>55748.19</v>
      </c>
      <c r="Q16" s="198">
        <f t="shared" si="11"/>
        <v>44598.55</v>
      </c>
      <c r="R16" s="199">
        <v>0.15</v>
      </c>
      <c r="S16" s="198">
        <f t="shared" si="1"/>
        <v>11149.64</v>
      </c>
      <c r="T16" s="236">
        <v>3.7499999999999999E-2</v>
      </c>
      <c r="U16" s="32">
        <f t="shared" si="2"/>
        <v>4328</v>
      </c>
      <c r="V16" s="32">
        <f t="shared" si="12"/>
        <v>297323.65999999997</v>
      </c>
      <c r="W16" s="57">
        <f t="shared" si="13"/>
        <v>144.30000000000001</v>
      </c>
      <c r="X16" s="58">
        <f t="shared" si="3"/>
        <v>68.697699999999998</v>
      </c>
      <c r="Y16" s="58">
        <f t="shared" si="4"/>
        <v>12.880800000000001</v>
      </c>
      <c r="Z16" s="32">
        <f t="shared" si="5"/>
        <v>55748.19</v>
      </c>
      <c r="AA16" s="32" t="str">
        <f t="shared" si="6"/>
        <v/>
      </c>
      <c r="AB16" s="32" t="str">
        <f t="shared" si="14"/>
        <v/>
      </c>
      <c r="AC16" s="57" t="str">
        <f t="shared" si="15"/>
        <v/>
      </c>
      <c r="AD16" s="58" t="str">
        <f t="shared" si="7"/>
        <v/>
      </c>
      <c r="AE16" s="58" t="str">
        <f t="shared" si="8"/>
        <v/>
      </c>
      <c r="AF16" s="32" t="str">
        <f t="shared" si="9"/>
        <v/>
      </c>
      <c r="AG16" s="37"/>
    </row>
    <row r="17" spans="1:33" x14ac:dyDescent="0.25">
      <c r="A17" s="16" t="s">
        <v>28</v>
      </c>
      <c r="B17" s="17" t="s">
        <v>6</v>
      </c>
      <c r="C17" s="40" t="s">
        <v>31</v>
      </c>
      <c r="D17" s="18" t="s">
        <v>30</v>
      </c>
      <c r="E17" s="40" t="s">
        <v>98</v>
      </c>
      <c r="F17" s="214" t="s">
        <v>36</v>
      </c>
      <c r="G17" s="191">
        <v>53887</v>
      </c>
      <c r="H17" s="191">
        <v>57472</v>
      </c>
      <c r="I17" s="193">
        <v>66.331100000000006</v>
      </c>
      <c r="J17" s="192">
        <v>70.251499999999993</v>
      </c>
      <c r="K17" s="256"/>
      <c r="L17" s="256"/>
      <c r="M17" s="256"/>
      <c r="N17" s="191">
        <v>2195.94</v>
      </c>
      <c r="O17" s="200">
        <f t="shared" si="0"/>
        <v>7609682.2599999998</v>
      </c>
      <c r="P17" s="382">
        <f t="shared" si="10"/>
        <v>1426815.42</v>
      </c>
      <c r="Q17" s="198">
        <f t="shared" si="11"/>
        <v>1141452.3400000001</v>
      </c>
      <c r="R17" s="199">
        <v>0.15</v>
      </c>
      <c r="S17" s="198">
        <f t="shared" si="1"/>
        <v>285363.08</v>
      </c>
      <c r="T17" s="236">
        <v>3.7499999999999999E-2</v>
      </c>
      <c r="U17" s="32">
        <f t="shared" si="2"/>
        <v>111359</v>
      </c>
      <c r="V17" s="32">
        <f t="shared" si="12"/>
        <v>7609682.2599999998</v>
      </c>
      <c r="W17" s="57">
        <f t="shared" si="13"/>
        <v>3712</v>
      </c>
      <c r="X17" s="58">
        <f t="shared" si="3"/>
        <v>68.334699999999998</v>
      </c>
      <c r="Y17" s="58">
        <f t="shared" si="4"/>
        <v>12.812799999999999</v>
      </c>
      <c r="Z17" s="32">
        <f t="shared" si="5"/>
        <v>1426815.42</v>
      </c>
      <c r="AA17" s="32" t="str">
        <f t="shared" si="6"/>
        <v/>
      </c>
      <c r="AB17" s="32" t="str">
        <f t="shared" si="14"/>
        <v/>
      </c>
      <c r="AC17" s="57" t="str">
        <f t="shared" si="15"/>
        <v/>
      </c>
      <c r="AD17" s="58" t="str">
        <f t="shared" si="7"/>
        <v/>
      </c>
      <c r="AE17" s="58" t="str">
        <f t="shared" si="8"/>
        <v/>
      </c>
      <c r="AF17" s="32" t="str">
        <f t="shared" si="9"/>
        <v/>
      </c>
      <c r="AG17" s="37"/>
    </row>
    <row r="18" spans="1:33" x14ac:dyDescent="0.25">
      <c r="A18" s="16" t="s">
        <v>28</v>
      </c>
      <c r="B18" s="19" t="s">
        <v>155</v>
      </c>
      <c r="C18" s="40" t="s">
        <v>29</v>
      </c>
      <c r="D18" s="18" t="s">
        <v>21</v>
      </c>
      <c r="E18" s="40" t="s">
        <v>95</v>
      </c>
      <c r="F18" s="214" t="s">
        <v>36</v>
      </c>
      <c r="G18" s="256"/>
      <c r="H18" s="256"/>
      <c r="I18" s="192"/>
      <c r="J18" s="192"/>
      <c r="K18" s="256"/>
      <c r="L18" s="256"/>
      <c r="M18" s="256"/>
      <c r="N18" s="256"/>
      <c r="O18" s="200">
        <f t="shared" si="0"/>
        <v>0</v>
      </c>
      <c r="P18" s="198">
        <f t="shared" si="10"/>
        <v>0</v>
      </c>
      <c r="Q18" s="198">
        <f t="shared" si="11"/>
        <v>0</v>
      </c>
      <c r="R18" s="199">
        <v>0.15</v>
      </c>
      <c r="S18" s="198">
        <f t="shared" si="1"/>
        <v>0</v>
      </c>
      <c r="T18" s="236">
        <v>3.7499999999999999E-2</v>
      </c>
      <c r="U18" s="32">
        <f t="shared" si="2"/>
        <v>0</v>
      </c>
      <c r="V18" s="32">
        <f t="shared" si="12"/>
        <v>0</v>
      </c>
      <c r="W18" s="57">
        <f t="shared" si="13"/>
        <v>0</v>
      </c>
      <c r="X18" s="58">
        <f t="shared" si="3"/>
        <v>0</v>
      </c>
      <c r="Y18" s="58">
        <f t="shared" si="4"/>
        <v>0</v>
      </c>
      <c r="Z18" s="32">
        <f t="shared" si="5"/>
        <v>0</v>
      </c>
      <c r="AA18" s="32" t="str">
        <f t="shared" si="6"/>
        <v/>
      </c>
      <c r="AB18" s="32" t="str">
        <f t="shared" si="14"/>
        <v/>
      </c>
      <c r="AC18" s="57" t="str">
        <f t="shared" si="15"/>
        <v/>
      </c>
      <c r="AD18" s="58" t="str">
        <f t="shared" si="7"/>
        <v/>
      </c>
      <c r="AE18" s="58" t="str">
        <f t="shared" si="8"/>
        <v/>
      </c>
      <c r="AF18" s="32" t="str">
        <f t="shared" si="9"/>
        <v/>
      </c>
      <c r="AG18" s="37"/>
    </row>
    <row r="19" spans="1:33" x14ac:dyDescent="0.25">
      <c r="A19" s="16" t="s">
        <v>28</v>
      </c>
      <c r="B19" s="17" t="s">
        <v>7</v>
      </c>
      <c r="C19" s="40" t="s">
        <v>31</v>
      </c>
      <c r="D19" s="18" t="s">
        <v>30</v>
      </c>
      <c r="E19" s="40" t="s">
        <v>98</v>
      </c>
      <c r="F19" s="214" t="s">
        <v>55</v>
      </c>
      <c r="G19" s="256">
        <v>57333.39</v>
      </c>
      <c r="H19" s="191">
        <v>47484.57</v>
      </c>
      <c r="I19" s="192">
        <v>0.8</v>
      </c>
      <c r="J19" s="192">
        <v>0.8</v>
      </c>
      <c r="K19" s="256"/>
      <c r="L19" s="256"/>
      <c r="M19" s="256"/>
      <c r="N19" s="256">
        <v>2096.88</v>
      </c>
      <c r="O19" s="200">
        <f t="shared" si="0"/>
        <v>81757.489999999991</v>
      </c>
      <c r="P19" s="382">
        <f t="shared" si="10"/>
        <v>15329.53</v>
      </c>
      <c r="Q19" s="198">
        <f t="shared" si="11"/>
        <v>12263.62</v>
      </c>
      <c r="R19" s="199">
        <v>0.15</v>
      </c>
      <c r="S19" s="198">
        <f t="shared" si="1"/>
        <v>3065.91</v>
      </c>
      <c r="T19" s="236">
        <v>3.7499999999999999E-2</v>
      </c>
      <c r="U19" s="32" t="str">
        <f t="shared" si="2"/>
        <v/>
      </c>
      <c r="V19" s="32" t="str">
        <f t="shared" si="12"/>
        <v/>
      </c>
      <c r="W19" s="57" t="str">
        <f t="shared" si="13"/>
        <v/>
      </c>
      <c r="X19" s="58" t="str">
        <f t="shared" si="3"/>
        <v/>
      </c>
      <c r="Y19" s="58" t="str">
        <f t="shared" si="4"/>
        <v/>
      </c>
      <c r="Z19" s="32" t="str">
        <f t="shared" si="5"/>
        <v/>
      </c>
      <c r="AA19" s="32">
        <f t="shared" si="6"/>
        <v>104817.95999999999</v>
      </c>
      <c r="AB19" s="32">
        <f t="shared" si="14"/>
        <v>81757.489999999991</v>
      </c>
      <c r="AC19" s="57">
        <f t="shared" si="15"/>
        <v>3493.9</v>
      </c>
      <c r="AD19" s="58">
        <f t="shared" si="7"/>
        <v>0.78</v>
      </c>
      <c r="AE19" s="58">
        <f t="shared" si="8"/>
        <v>0.1462</v>
      </c>
      <c r="AF19" s="32">
        <f t="shared" si="9"/>
        <v>15329.53</v>
      </c>
      <c r="AG19" s="37"/>
    </row>
    <row r="20" spans="1:33" x14ac:dyDescent="0.25">
      <c r="A20" s="16" t="s">
        <v>28</v>
      </c>
      <c r="B20" s="17" t="s">
        <v>18</v>
      </c>
      <c r="C20" s="40" t="s">
        <v>31</v>
      </c>
      <c r="D20" s="18" t="s">
        <v>30</v>
      </c>
      <c r="E20" s="40" t="s">
        <v>98</v>
      </c>
      <c r="F20" s="214" t="s">
        <v>36</v>
      </c>
      <c r="G20" s="256">
        <v>2124</v>
      </c>
      <c r="H20" s="256">
        <v>3038</v>
      </c>
      <c r="I20" s="192">
        <v>66.881100000000004</v>
      </c>
      <c r="J20" s="193">
        <v>70.801500000000004</v>
      </c>
      <c r="K20" s="256"/>
      <c r="L20" s="256"/>
      <c r="M20" s="256"/>
      <c r="N20" s="191">
        <v>729.17</v>
      </c>
      <c r="O20" s="200">
        <f t="shared" si="0"/>
        <v>356421.25</v>
      </c>
      <c r="P20" s="382">
        <f t="shared" si="10"/>
        <v>66828.98</v>
      </c>
      <c r="Q20" s="198">
        <f t="shared" si="11"/>
        <v>53463.19</v>
      </c>
      <c r="R20" s="199">
        <v>0.15</v>
      </c>
      <c r="S20" s="198">
        <f t="shared" si="1"/>
        <v>13365.8</v>
      </c>
      <c r="T20" s="236">
        <v>3.7499999999999999E-2</v>
      </c>
      <c r="U20" s="32">
        <f t="shared" si="2"/>
        <v>5162</v>
      </c>
      <c r="V20" s="32">
        <f t="shared" si="12"/>
        <v>356421.25</v>
      </c>
      <c r="W20" s="57">
        <f t="shared" si="13"/>
        <v>172.1</v>
      </c>
      <c r="X20" s="58">
        <f t="shared" si="3"/>
        <v>69.0471</v>
      </c>
      <c r="Y20" s="58">
        <f t="shared" si="4"/>
        <v>12.946300000000001</v>
      </c>
      <c r="Z20" s="32">
        <f t="shared" si="5"/>
        <v>66828.98</v>
      </c>
      <c r="AA20" s="32" t="str">
        <f t="shared" si="6"/>
        <v/>
      </c>
      <c r="AB20" s="32" t="str">
        <f t="shared" si="14"/>
        <v/>
      </c>
      <c r="AC20" s="57" t="str">
        <f t="shared" si="15"/>
        <v/>
      </c>
      <c r="AD20" s="58" t="str">
        <f t="shared" si="7"/>
        <v/>
      </c>
      <c r="AE20" s="58" t="str">
        <f t="shared" si="8"/>
        <v/>
      </c>
      <c r="AF20" s="32" t="str">
        <f t="shared" si="9"/>
        <v/>
      </c>
      <c r="AG20" s="37"/>
    </row>
    <row r="21" spans="1:33" x14ac:dyDescent="0.25">
      <c r="A21" s="16" t="s">
        <v>28</v>
      </c>
      <c r="B21" s="19" t="s">
        <v>20</v>
      </c>
      <c r="C21" s="40" t="s">
        <v>31</v>
      </c>
      <c r="D21" s="18" t="s">
        <v>30</v>
      </c>
      <c r="E21" s="40" t="s">
        <v>98</v>
      </c>
      <c r="F21" s="214" t="s">
        <v>36</v>
      </c>
      <c r="G21" s="256">
        <v>192441</v>
      </c>
      <c r="H21" s="191">
        <v>192657</v>
      </c>
      <c r="I21" s="193">
        <v>66.881100000000004</v>
      </c>
      <c r="J21" s="193">
        <v>70.801500000000004</v>
      </c>
      <c r="K21" s="256"/>
      <c r="L21" s="256"/>
      <c r="M21" s="256"/>
      <c r="N21" s="191">
        <v>4283.58</v>
      </c>
      <c r="O21" s="200">
        <f t="shared" si="0"/>
        <v>26506786.780000001</v>
      </c>
      <c r="P21" s="382">
        <f t="shared" si="10"/>
        <v>4970022.5199999996</v>
      </c>
      <c r="Q21" s="198">
        <f t="shared" si="11"/>
        <v>3976018.02</v>
      </c>
      <c r="R21" s="199">
        <v>0.15</v>
      </c>
      <c r="S21" s="198">
        <f t="shared" si="1"/>
        <v>994004.5</v>
      </c>
      <c r="T21" s="236">
        <v>3.7499999999999999E-2</v>
      </c>
      <c r="U21" s="32">
        <f t="shared" si="2"/>
        <v>385098</v>
      </c>
      <c r="V21" s="32">
        <f t="shared" si="12"/>
        <v>26506786.780000001</v>
      </c>
      <c r="W21" s="57">
        <f t="shared" si="13"/>
        <v>12836.6</v>
      </c>
      <c r="X21" s="58">
        <f t="shared" si="3"/>
        <v>68.831299999999999</v>
      </c>
      <c r="Y21" s="58">
        <f t="shared" si="4"/>
        <v>12.905900000000001</v>
      </c>
      <c r="Z21" s="32">
        <f t="shared" si="5"/>
        <v>4970022.5199999996</v>
      </c>
      <c r="AA21" s="32" t="str">
        <f t="shared" si="6"/>
        <v/>
      </c>
      <c r="AB21" s="32" t="str">
        <f t="shared" si="14"/>
        <v/>
      </c>
      <c r="AC21" s="57" t="str">
        <f t="shared" si="15"/>
        <v/>
      </c>
      <c r="AD21" s="58" t="str">
        <f t="shared" si="7"/>
        <v/>
      </c>
      <c r="AE21" s="58" t="str">
        <f t="shared" si="8"/>
        <v/>
      </c>
      <c r="AF21" s="32" t="str">
        <f t="shared" si="9"/>
        <v/>
      </c>
      <c r="AG21" s="37"/>
    </row>
    <row r="22" spans="1:33" x14ac:dyDescent="0.25">
      <c r="A22" s="16" t="s">
        <v>28</v>
      </c>
      <c r="B22" s="17" t="s">
        <v>8</v>
      </c>
      <c r="C22" s="40" t="s">
        <v>31</v>
      </c>
      <c r="D22" s="18" t="s">
        <v>21</v>
      </c>
      <c r="E22" s="40" t="s">
        <v>98</v>
      </c>
      <c r="F22" s="214" t="s">
        <v>55</v>
      </c>
      <c r="G22" s="256">
        <v>245652.84</v>
      </c>
      <c r="H22" s="191">
        <v>253188.98</v>
      </c>
      <c r="I22" s="305">
        <v>1.7112000000000001</v>
      </c>
      <c r="J22" s="193">
        <v>1.7112000000000001</v>
      </c>
      <c r="K22" s="256"/>
      <c r="L22" s="256"/>
      <c r="M22" s="256"/>
      <c r="N22" s="191">
        <v>2209.0700000000002</v>
      </c>
      <c r="O22" s="200">
        <f t="shared" si="0"/>
        <v>851409.05</v>
      </c>
      <c r="P22" s="198">
        <f t="shared" si="10"/>
        <v>159639.20000000001</v>
      </c>
      <c r="Q22" s="198">
        <f t="shared" si="11"/>
        <v>127711.36</v>
      </c>
      <c r="R22" s="199">
        <v>0.15</v>
      </c>
      <c r="S22" s="198">
        <f t="shared" si="1"/>
        <v>31927.84</v>
      </c>
      <c r="T22" s="236">
        <v>3.7499999999999999E-2</v>
      </c>
      <c r="U22" s="32" t="str">
        <f t="shared" si="2"/>
        <v/>
      </c>
      <c r="V22" s="32" t="str">
        <f t="shared" si="12"/>
        <v/>
      </c>
      <c r="W22" s="57" t="str">
        <f t="shared" si="13"/>
        <v/>
      </c>
      <c r="X22" s="58" t="str">
        <f t="shared" si="3"/>
        <v/>
      </c>
      <c r="Y22" s="58" t="str">
        <f t="shared" si="4"/>
        <v/>
      </c>
      <c r="Z22" s="32" t="str">
        <f t="shared" si="5"/>
        <v/>
      </c>
      <c r="AA22" s="32">
        <f t="shared" si="6"/>
        <v>498841.82</v>
      </c>
      <c r="AB22" s="32">
        <f t="shared" si="14"/>
        <v>851409.05</v>
      </c>
      <c r="AC22" s="57">
        <f t="shared" si="15"/>
        <v>16628.099999999999</v>
      </c>
      <c r="AD22" s="58">
        <f t="shared" si="7"/>
        <v>1.7068000000000001</v>
      </c>
      <c r="AE22" s="58">
        <f t="shared" si="8"/>
        <v>0.32</v>
      </c>
      <c r="AF22" s="32">
        <f t="shared" si="9"/>
        <v>159639.20000000001</v>
      </c>
      <c r="AG22" s="37"/>
    </row>
    <row r="23" spans="1:33" x14ac:dyDescent="0.25">
      <c r="A23" s="16" t="s">
        <v>28</v>
      </c>
      <c r="B23" s="19" t="s">
        <v>56</v>
      </c>
      <c r="C23" s="40" t="s">
        <v>31</v>
      </c>
      <c r="D23" s="18" t="s">
        <v>21</v>
      </c>
      <c r="E23" s="40" t="s">
        <v>98</v>
      </c>
      <c r="F23" s="214" t="s">
        <v>36</v>
      </c>
      <c r="G23" s="256"/>
      <c r="H23" s="256"/>
      <c r="I23" s="192"/>
      <c r="J23" s="192"/>
      <c r="K23" s="256"/>
      <c r="L23" s="256"/>
      <c r="M23" s="256"/>
      <c r="N23" s="256"/>
      <c r="O23" s="200">
        <f t="shared" si="0"/>
        <v>0</v>
      </c>
      <c r="P23" s="198">
        <f t="shared" si="10"/>
        <v>0</v>
      </c>
      <c r="Q23" s="198">
        <f t="shared" si="11"/>
        <v>0</v>
      </c>
      <c r="R23" s="199">
        <v>0.15</v>
      </c>
      <c r="S23" s="198">
        <f t="shared" si="1"/>
        <v>0</v>
      </c>
      <c r="T23" s="236">
        <v>3.7499999999999999E-2</v>
      </c>
      <c r="U23" s="32">
        <f t="shared" si="2"/>
        <v>0</v>
      </c>
      <c r="V23" s="32">
        <f t="shared" si="12"/>
        <v>0</v>
      </c>
      <c r="W23" s="57">
        <f t="shared" si="13"/>
        <v>0</v>
      </c>
      <c r="X23" s="58">
        <f t="shared" si="3"/>
        <v>0</v>
      </c>
      <c r="Y23" s="58">
        <f t="shared" si="4"/>
        <v>0</v>
      </c>
      <c r="Z23" s="32">
        <f t="shared" si="5"/>
        <v>0</v>
      </c>
      <c r="AA23" s="32" t="str">
        <f t="shared" si="6"/>
        <v/>
      </c>
      <c r="AB23" s="32" t="str">
        <f t="shared" si="14"/>
        <v/>
      </c>
      <c r="AC23" s="57" t="str">
        <f t="shared" si="15"/>
        <v/>
      </c>
      <c r="AD23" s="58" t="str">
        <f t="shared" si="7"/>
        <v/>
      </c>
      <c r="AE23" s="58" t="str">
        <f t="shared" si="8"/>
        <v/>
      </c>
      <c r="AF23" s="32" t="str">
        <f t="shared" si="9"/>
        <v/>
      </c>
      <c r="AG23" s="37"/>
    </row>
    <row r="24" spans="1:33" x14ac:dyDescent="0.25">
      <c r="A24" s="16" t="s">
        <v>28</v>
      </c>
      <c r="B24" s="17" t="s">
        <v>9</v>
      </c>
      <c r="C24" s="40" t="s">
        <v>31</v>
      </c>
      <c r="D24" s="18" t="s">
        <v>30</v>
      </c>
      <c r="E24" s="40" t="s">
        <v>98</v>
      </c>
      <c r="F24" s="214" t="s">
        <v>36</v>
      </c>
      <c r="G24" s="256">
        <v>557</v>
      </c>
      <c r="H24" s="256">
        <v>544</v>
      </c>
      <c r="I24" s="192">
        <v>67.693700000000007</v>
      </c>
      <c r="J24" s="193">
        <v>70.860900000000001</v>
      </c>
      <c r="K24" s="256"/>
      <c r="L24" s="256"/>
      <c r="M24" s="256"/>
      <c r="N24" s="256">
        <v>792.9</v>
      </c>
      <c r="O24" s="200">
        <f t="shared" si="0"/>
        <v>75460.820000000007</v>
      </c>
      <c r="P24" s="382">
        <f t="shared" si="10"/>
        <v>14148.9</v>
      </c>
      <c r="Q24" s="198">
        <f t="shared" si="11"/>
        <v>11319.12</v>
      </c>
      <c r="R24" s="199">
        <v>0.15</v>
      </c>
      <c r="S24" s="198">
        <f t="shared" si="1"/>
        <v>2829.78</v>
      </c>
      <c r="T24" s="236">
        <v>3.7499999999999999E-2</v>
      </c>
      <c r="U24" s="32">
        <f t="shared" si="2"/>
        <v>1101</v>
      </c>
      <c r="V24" s="32">
        <f t="shared" si="12"/>
        <v>75460.820000000007</v>
      </c>
      <c r="W24" s="57">
        <f t="shared" si="13"/>
        <v>36.700000000000003</v>
      </c>
      <c r="X24" s="58">
        <f t="shared" si="3"/>
        <v>68.538399999999996</v>
      </c>
      <c r="Y24" s="58">
        <f t="shared" si="4"/>
        <v>12.851000000000001</v>
      </c>
      <c r="Z24" s="32">
        <f t="shared" si="5"/>
        <v>14148.9</v>
      </c>
      <c r="AA24" s="32" t="str">
        <f t="shared" si="6"/>
        <v/>
      </c>
      <c r="AB24" s="32" t="str">
        <f t="shared" si="14"/>
        <v/>
      </c>
      <c r="AC24" s="57" t="str">
        <f t="shared" si="15"/>
        <v/>
      </c>
      <c r="AD24" s="58" t="str">
        <f t="shared" si="7"/>
        <v/>
      </c>
      <c r="AE24" s="58" t="str">
        <f t="shared" si="8"/>
        <v/>
      </c>
      <c r="AF24" s="32" t="str">
        <f t="shared" si="9"/>
        <v/>
      </c>
      <c r="AG24" s="37"/>
    </row>
    <row r="25" spans="1:33" x14ac:dyDescent="0.25">
      <c r="A25" s="16" t="s">
        <v>28</v>
      </c>
      <c r="B25" s="19" t="s">
        <v>165</v>
      </c>
      <c r="C25" s="40" t="s">
        <v>31</v>
      </c>
      <c r="D25" s="18" t="s">
        <v>30</v>
      </c>
      <c r="E25" s="40" t="s">
        <v>98</v>
      </c>
      <c r="F25" s="214" t="s">
        <v>36</v>
      </c>
      <c r="G25" s="191">
        <v>25730</v>
      </c>
      <c r="H25" s="191">
        <v>31508</v>
      </c>
      <c r="I25" s="193">
        <v>66.881100000000004</v>
      </c>
      <c r="J25" s="193">
        <v>70.801500000000004</v>
      </c>
      <c r="K25" s="256"/>
      <c r="L25" s="256"/>
      <c r="M25" s="256"/>
      <c r="N25" s="191">
        <v>1512.61</v>
      </c>
      <c r="O25" s="200">
        <f>ROUND(G25*I25,2)+ROUND(H25*J25,2)-K25-L25-M25-N25</f>
        <v>3950151.7500000005</v>
      </c>
      <c r="P25" s="382">
        <f t="shared" si="10"/>
        <v>740653.45</v>
      </c>
      <c r="Q25" s="198">
        <f>ROUND($O25*R25,2)</f>
        <v>592522.76</v>
      </c>
      <c r="R25" s="199">
        <v>0.15</v>
      </c>
      <c r="S25" s="198">
        <f>ROUND($O25*T25,2)</f>
        <v>148130.69</v>
      </c>
      <c r="T25" s="236">
        <v>3.7499999999999999E-2</v>
      </c>
      <c r="U25" s="32">
        <f>IF($F25&amp;"/Día"=W$9,SUM($G25:$H25),"")</f>
        <v>57238</v>
      </c>
      <c r="V25" s="32">
        <f t="shared" si="12"/>
        <v>3950151.7500000005</v>
      </c>
      <c r="W25" s="57">
        <f>IF($F25&amp;"/Día"=W$9,ROUND(U25/$W$1,1),"")</f>
        <v>1907.9</v>
      </c>
      <c r="X25" s="58">
        <f>IF(U25=0,0,IF($F25&amp;"/Día"=W$9,ROUND(V25/U25,4),""))</f>
        <v>69.012699999999995</v>
      </c>
      <c r="Y25" s="58">
        <f>IF(U25=0,0,IF($F25&amp;"/Día"=W$9,ROUND(Z25/U25,4),""))</f>
        <v>12.9399</v>
      </c>
      <c r="Z25" s="32">
        <f>IF(U25&lt;&gt;"",$P25,"")</f>
        <v>740653.45</v>
      </c>
      <c r="AA25" s="32" t="str">
        <f>IF($F25&amp;"/Día"=AC$9,SUM($G25:$H25),"")</f>
        <v/>
      </c>
      <c r="AB25" s="32" t="str">
        <f t="shared" si="14"/>
        <v/>
      </c>
      <c r="AC25" s="57" t="str">
        <f>IF($F25&amp;"/Día"=AC$9,ROUND(AA25/$W$1,1),"")</f>
        <v/>
      </c>
      <c r="AD25" s="58" t="str">
        <f>IF(AA25=0,0,IF($F25&amp;"/Día"=AC$9,ROUND(AB25/AA25,4),""))</f>
        <v/>
      </c>
      <c r="AE25" s="58" t="str">
        <f>IF(AA25=0,0,IF($F25&amp;"/Día"=AC$9,ROUND(AF25/AA25,4),""))</f>
        <v/>
      </c>
      <c r="AF25" s="32" t="str">
        <f>IF(AA25&lt;&gt;"",$P25,"")</f>
        <v/>
      </c>
      <c r="AG25" s="37"/>
    </row>
    <row r="26" spans="1:33" x14ac:dyDescent="0.25">
      <c r="A26" s="16" t="s">
        <v>28</v>
      </c>
      <c r="B26" s="19" t="s">
        <v>186</v>
      </c>
      <c r="C26" s="40" t="s">
        <v>31</v>
      </c>
      <c r="D26" s="18" t="s">
        <v>30</v>
      </c>
      <c r="E26" s="40" t="s">
        <v>98</v>
      </c>
      <c r="F26" s="214" t="s">
        <v>36</v>
      </c>
      <c r="G26" s="191"/>
      <c r="H26" s="256"/>
      <c r="I26" s="192"/>
      <c r="J26" s="192"/>
      <c r="K26" s="256"/>
      <c r="L26" s="256"/>
      <c r="M26" s="256"/>
      <c r="N26" s="191"/>
      <c r="O26" s="200">
        <f>ROUND(G26*I26,2)+ROUND(H26*J26,2)-K26-L26-M26-N26</f>
        <v>0</v>
      </c>
      <c r="P26" s="198">
        <f t="shared" si="10"/>
        <v>0</v>
      </c>
      <c r="Q26" s="198">
        <f>ROUND($O26*R26,2)</f>
        <v>0</v>
      </c>
      <c r="R26" s="199">
        <v>0.15</v>
      </c>
      <c r="S26" s="198">
        <f>ROUND($O26*T26,2)</f>
        <v>0</v>
      </c>
      <c r="T26" s="236">
        <v>3.7499999999999999E-2</v>
      </c>
      <c r="U26" s="32">
        <f>IF($F26&amp;"/Día"=W$9,SUM($G26:$H26),"")</f>
        <v>0</v>
      </c>
      <c r="V26" s="32">
        <f>IF(U26&lt;&gt;"",$O26,"")</f>
        <v>0</v>
      </c>
      <c r="W26" s="57">
        <f>IF($F26&amp;"/Día"=W$9,ROUND(U26/$W$1,1),"")</f>
        <v>0</v>
      </c>
      <c r="X26" s="58">
        <f>IF(U26=0,0,IF($F26&amp;"/Día"=W$9,ROUND(V26/U26,4),""))</f>
        <v>0</v>
      </c>
      <c r="Y26" s="58">
        <f>IF(U26=0,0,IF($F26&amp;"/Día"=W$9,ROUND(Z26/U26,4),""))</f>
        <v>0</v>
      </c>
      <c r="Z26" s="32">
        <f>IF(U26&lt;&gt;"",$P26,"")</f>
        <v>0</v>
      </c>
      <c r="AA26" s="32" t="str">
        <f>IF($F26&amp;"/Día"=AC$9,SUM($G26:$H26),"")</f>
        <v/>
      </c>
      <c r="AB26" s="32" t="str">
        <f>IF(AA26&lt;&gt;"",$O26,"")</f>
        <v/>
      </c>
      <c r="AC26" s="57" t="str">
        <f>IF($F26&amp;"/Día"=AC$9,ROUND(AA26/$W$1,1),"")</f>
        <v/>
      </c>
      <c r="AD26" s="58" t="str">
        <f>IF(AA26=0,0,IF($F26&amp;"/Día"=AC$9,ROUND(AB26/AA26,4),""))</f>
        <v/>
      </c>
      <c r="AE26" s="58" t="str">
        <f>IF(AA26=0,0,IF($F26&amp;"/Día"=AC$9,ROUND(AF26/AA26,4),""))</f>
        <v/>
      </c>
      <c r="AF26" s="32" t="str">
        <f>IF(AA26&lt;&gt;"",$P26,"")</f>
        <v/>
      </c>
      <c r="AG26" s="37"/>
    </row>
    <row r="27" spans="1:33" x14ac:dyDescent="0.25">
      <c r="A27" s="16" t="s">
        <v>28</v>
      </c>
      <c r="B27" s="19" t="s">
        <v>157</v>
      </c>
      <c r="C27" s="40" t="s">
        <v>31</v>
      </c>
      <c r="D27" s="18" t="s">
        <v>30</v>
      </c>
      <c r="E27" s="40" t="s">
        <v>98</v>
      </c>
      <c r="F27" s="214" t="s">
        <v>55</v>
      </c>
      <c r="G27" s="191">
        <f>104778.0799+72373.8704</f>
        <v>177151.9503</v>
      </c>
      <c r="H27" s="256">
        <f>107745.4041+80578.4653</f>
        <v>188323.8694</v>
      </c>
      <c r="I27" s="192">
        <v>2.5397373793406102</v>
      </c>
      <c r="J27" s="192">
        <v>2.5926133609911903</v>
      </c>
      <c r="K27" s="256"/>
      <c r="L27" s="256"/>
      <c r="M27" s="256"/>
      <c r="N27" s="191">
        <v>3126.36</v>
      </c>
      <c r="O27" s="200">
        <f t="shared" si="0"/>
        <v>935044.04999999993</v>
      </c>
      <c r="P27" s="382">
        <f t="shared" si="10"/>
        <v>175320.76</v>
      </c>
      <c r="Q27" s="198">
        <f t="shared" si="11"/>
        <v>140256.60999999999</v>
      </c>
      <c r="R27" s="199">
        <v>0.15</v>
      </c>
      <c r="S27" s="198">
        <f t="shared" si="1"/>
        <v>35064.15</v>
      </c>
      <c r="T27" s="236">
        <v>3.7499999999999999E-2</v>
      </c>
      <c r="U27" s="32" t="str">
        <f t="shared" si="2"/>
        <v/>
      </c>
      <c r="V27" s="32" t="str">
        <f t="shared" si="12"/>
        <v/>
      </c>
      <c r="W27" s="57" t="str">
        <f t="shared" si="13"/>
        <v/>
      </c>
      <c r="X27" s="58" t="str">
        <f t="shared" si="3"/>
        <v/>
      </c>
      <c r="Y27" s="58" t="str">
        <f t="shared" si="4"/>
        <v/>
      </c>
      <c r="Z27" s="32" t="str">
        <f t="shared" si="5"/>
        <v/>
      </c>
      <c r="AA27" s="32">
        <f t="shared" si="6"/>
        <v>365475.81969999999</v>
      </c>
      <c r="AB27" s="32">
        <f t="shared" si="14"/>
        <v>935044.04999999993</v>
      </c>
      <c r="AC27" s="57">
        <f t="shared" si="15"/>
        <v>12182.5</v>
      </c>
      <c r="AD27" s="58">
        <f t="shared" si="7"/>
        <v>2.5583999999999998</v>
      </c>
      <c r="AE27" s="58">
        <f t="shared" si="8"/>
        <v>0.47970000000000002</v>
      </c>
      <c r="AF27" s="32">
        <f t="shared" si="9"/>
        <v>175320.76</v>
      </c>
      <c r="AG27" s="37"/>
    </row>
    <row r="28" spans="1:33" x14ac:dyDescent="0.25">
      <c r="A28" s="16" t="s">
        <v>28</v>
      </c>
      <c r="B28" s="17" t="s">
        <v>15</v>
      </c>
      <c r="C28" s="40" t="s">
        <v>29</v>
      </c>
      <c r="D28" s="18" t="s">
        <v>21</v>
      </c>
      <c r="E28" s="40" t="s">
        <v>95</v>
      </c>
      <c r="F28" s="214" t="s">
        <v>36</v>
      </c>
      <c r="G28" s="256">
        <f>41580+38551+37557+37373+40740+39453+34290</f>
        <v>269544</v>
      </c>
      <c r="H28" s="191">
        <f>38140+200235</f>
        <v>238375</v>
      </c>
      <c r="I28" s="390">
        <v>3.04059433710266</v>
      </c>
      <c r="J28" s="193">
        <v>66.808616004195073</v>
      </c>
      <c r="K28" s="256"/>
      <c r="L28" s="256"/>
      <c r="M28" s="256"/>
      <c r="N28" s="191">
        <v>2417.19</v>
      </c>
      <c r="O28" s="200">
        <f t="shared" si="0"/>
        <v>16742660.610000001</v>
      </c>
      <c r="P28" s="382">
        <f t="shared" si="10"/>
        <v>3139248.86</v>
      </c>
      <c r="Q28" s="198">
        <f t="shared" si="11"/>
        <v>2511399.09</v>
      </c>
      <c r="R28" s="199">
        <v>0.15</v>
      </c>
      <c r="S28" s="198">
        <f t="shared" si="1"/>
        <v>627849.77</v>
      </c>
      <c r="T28" s="236">
        <v>3.7499999999999999E-2</v>
      </c>
      <c r="U28" s="32">
        <f t="shared" si="2"/>
        <v>507919</v>
      </c>
      <c r="V28" s="32">
        <f t="shared" si="12"/>
        <v>16742660.610000001</v>
      </c>
      <c r="W28" s="57">
        <f t="shared" si="13"/>
        <v>16930.599999999999</v>
      </c>
      <c r="X28" s="58">
        <f t="shared" si="3"/>
        <v>32.963200000000001</v>
      </c>
      <c r="Y28" s="58">
        <f t="shared" si="4"/>
        <v>6.1806000000000001</v>
      </c>
      <c r="Z28" s="32">
        <f t="shared" si="5"/>
        <v>3139248.86</v>
      </c>
      <c r="AA28" s="32" t="str">
        <f t="shared" si="6"/>
        <v/>
      </c>
      <c r="AB28" s="32" t="str">
        <f t="shared" si="14"/>
        <v/>
      </c>
      <c r="AC28" s="57" t="str">
        <f t="shared" si="15"/>
        <v/>
      </c>
      <c r="AD28" s="58" t="str">
        <f t="shared" si="7"/>
        <v/>
      </c>
      <c r="AE28" s="58" t="str">
        <f t="shared" si="8"/>
        <v/>
      </c>
      <c r="AF28" s="32" t="str">
        <f t="shared" si="9"/>
        <v/>
      </c>
      <c r="AG28" s="37"/>
    </row>
    <row r="29" spans="1:33" x14ac:dyDescent="0.25">
      <c r="A29" s="16" t="s">
        <v>28</v>
      </c>
      <c r="B29" s="17" t="s">
        <v>16</v>
      </c>
      <c r="C29" s="40" t="s">
        <v>29</v>
      </c>
      <c r="D29" s="18" t="s">
        <v>21</v>
      </c>
      <c r="E29" s="40" t="s">
        <v>95</v>
      </c>
      <c r="F29" s="214" t="s">
        <v>55</v>
      </c>
      <c r="G29" s="256"/>
      <c r="H29" s="191">
        <f>1153.36+20956.56+116077.1</f>
        <v>138187.02000000002</v>
      </c>
      <c r="I29" s="192"/>
      <c r="J29" s="176">
        <v>5.5796026283800018</v>
      </c>
      <c r="K29" s="256"/>
      <c r="L29" s="256"/>
      <c r="M29" s="256"/>
      <c r="N29" s="191">
        <v>2131.5700000000002</v>
      </c>
      <c r="O29" s="200">
        <f t="shared" si="0"/>
        <v>768897.09000000008</v>
      </c>
      <c r="P29" s="382">
        <f t="shared" si="10"/>
        <v>144168.20000000001</v>
      </c>
      <c r="Q29" s="198">
        <f t="shared" si="11"/>
        <v>115334.56</v>
      </c>
      <c r="R29" s="199">
        <v>0.15</v>
      </c>
      <c r="S29" s="198">
        <f t="shared" si="1"/>
        <v>28833.64</v>
      </c>
      <c r="T29" s="236">
        <v>3.7499999999999999E-2</v>
      </c>
      <c r="U29" s="32" t="str">
        <f t="shared" si="2"/>
        <v/>
      </c>
      <c r="V29" s="32" t="str">
        <f t="shared" si="12"/>
        <v/>
      </c>
      <c r="W29" s="57" t="str">
        <f t="shared" si="13"/>
        <v/>
      </c>
      <c r="X29" s="58" t="str">
        <f t="shared" si="3"/>
        <v/>
      </c>
      <c r="Y29" s="58" t="str">
        <f t="shared" si="4"/>
        <v/>
      </c>
      <c r="Z29" s="32" t="str">
        <f t="shared" si="5"/>
        <v/>
      </c>
      <c r="AA29" s="32">
        <f t="shared" si="6"/>
        <v>138187.02000000002</v>
      </c>
      <c r="AB29" s="32">
        <f t="shared" si="14"/>
        <v>768897.09000000008</v>
      </c>
      <c r="AC29" s="57">
        <f t="shared" si="15"/>
        <v>4606.2</v>
      </c>
      <c r="AD29" s="58">
        <f t="shared" si="7"/>
        <v>5.5641999999999996</v>
      </c>
      <c r="AE29" s="58">
        <f t="shared" si="8"/>
        <v>1.0432999999999999</v>
      </c>
      <c r="AF29" s="32">
        <f t="shared" si="9"/>
        <v>144168.20000000001</v>
      </c>
      <c r="AG29" s="37"/>
    </row>
    <row r="30" spans="1:33" x14ac:dyDescent="0.25">
      <c r="A30" s="16" t="s">
        <v>28</v>
      </c>
      <c r="B30" s="17" t="s">
        <v>170</v>
      </c>
      <c r="C30" s="40" t="s">
        <v>31</v>
      </c>
      <c r="D30" s="18" t="s">
        <v>30</v>
      </c>
      <c r="E30" s="40" t="s">
        <v>98</v>
      </c>
      <c r="F30" s="214" t="s">
        <v>36</v>
      </c>
      <c r="G30" s="256">
        <v>329</v>
      </c>
      <c r="H30" s="191">
        <v>329</v>
      </c>
      <c r="I30" s="193">
        <v>66.881100000000004</v>
      </c>
      <c r="J30" s="193">
        <v>70.801500000000004</v>
      </c>
      <c r="K30" s="256"/>
      <c r="L30" s="256"/>
      <c r="M30" s="256"/>
      <c r="N30" s="191">
        <v>465.7</v>
      </c>
      <c r="O30" s="200">
        <f>ROUND(G30*I30,2)+ROUND(H30*J30,2)-K30-L30-M30-N30</f>
        <v>44831.87</v>
      </c>
      <c r="P30" s="382">
        <f t="shared" si="10"/>
        <v>8405.98</v>
      </c>
      <c r="Q30" s="198">
        <f>ROUND($O30*R30,2)</f>
        <v>1681.2</v>
      </c>
      <c r="R30" s="236">
        <v>3.7499999999999999E-2</v>
      </c>
      <c r="S30" s="198">
        <f t="shared" si="1"/>
        <v>6724.78</v>
      </c>
      <c r="T30" s="199">
        <v>0.15</v>
      </c>
      <c r="U30" s="32">
        <f>IF($F30&amp;"/Día"=W$9,SUM($G30:$H30),"")</f>
        <v>658</v>
      </c>
      <c r="V30" s="32">
        <f t="shared" si="12"/>
        <v>44831.87</v>
      </c>
      <c r="W30" s="57">
        <f>IF($F30&amp;"/Día"=W$9,ROUND(U30/$W$1,1),"")</f>
        <v>21.9</v>
      </c>
      <c r="X30" s="58">
        <f>IF(U30=0,0,IF($F30&amp;"/Día"=W$9,ROUND(V30/U30,4),""))</f>
        <v>68.133499999999998</v>
      </c>
      <c r="Y30" s="58">
        <f>IF(U30=0,0,IF($F30&amp;"/Día"=W$9,ROUND(Z30/U30,4),""))</f>
        <v>12.775</v>
      </c>
      <c r="Z30" s="32">
        <f>IF(U30&lt;&gt;"",$P30,"")</f>
        <v>8405.98</v>
      </c>
      <c r="AA30" s="32" t="str">
        <f>IF($F30&amp;"/Día"=AC$9,SUM($G30:$H30),"")</f>
        <v/>
      </c>
      <c r="AB30" s="32" t="str">
        <f t="shared" si="14"/>
        <v/>
      </c>
      <c r="AC30" s="57" t="str">
        <f>IF($F30&amp;"/Día"=AC$9,ROUND(AA30/$W$1,1),"")</f>
        <v/>
      </c>
      <c r="AD30" s="58" t="str">
        <f>IF(AA30=0,0,IF($F30&amp;"/Día"=AC$9,ROUND(AB30/AA30,4),""))</f>
        <v/>
      </c>
      <c r="AE30" s="58" t="str">
        <f>IF(AA30=0,0,IF($F30&amp;"/Día"=AC$9,ROUND(AF30/AA30,4),""))</f>
        <v/>
      </c>
      <c r="AF30" s="32" t="str">
        <f>IF(AA30&lt;&gt;"",$P30,"")</f>
        <v/>
      </c>
      <c r="AG30" s="37"/>
    </row>
    <row r="31" spans="1:33" x14ac:dyDescent="0.25">
      <c r="A31" s="16" t="s">
        <v>28</v>
      </c>
      <c r="B31" s="171" t="s">
        <v>166</v>
      </c>
      <c r="C31" s="40" t="s">
        <v>31</v>
      </c>
      <c r="D31" s="18" t="s">
        <v>30</v>
      </c>
      <c r="E31" s="40" t="s">
        <v>98</v>
      </c>
      <c r="F31" s="214" t="s">
        <v>36</v>
      </c>
      <c r="G31" s="191"/>
      <c r="H31" s="191"/>
      <c r="I31" s="193"/>
      <c r="J31" s="193"/>
      <c r="K31" s="191"/>
      <c r="L31" s="256"/>
      <c r="M31" s="256"/>
      <c r="N31" s="191">
        <v>1434.04</v>
      </c>
      <c r="O31" s="200">
        <f>ROUND(G31*I31,2)+ROUND(H31*J31,2)-K31-L31-M31-N31</f>
        <v>-1434.04</v>
      </c>
      <c r="P31" s="198">
        <f t="shared" si="10"/>
        <v>-268.88</v>
      </c>
      <c r="Q31" s="198">
        <f>ROUND($O31*R31,2)</f>
        <v>-53.78</v>
      </c>
      <c r="R31" s="236">
        <v>3.7499999999999999E-2</v>
      </c>
      <c r="S31" s="198">
        <f t="shared" si="1"/>
        <v>-215.11</v>
      </c>
      <c r="T31" s="199">
        <v>0.15</v>
      </c>
      <c r="U31" s="32">
        <f>IF($F31&amp;"/Día"=W$9,SUM($G31:$H31),"")</f>
        <v>0</v>
      </c>
      <c r="V31" s="32">
        <f t="shared" si="12"/>
        <v>-1434.04</v>
      </c>
      <c r="W31" s="57">
        <f>IF($F31&amp;"/Día"=W$9,ROUND(U31/$W$1,1),"")</f>
        <v>0</v>
      </c>
      <c r="X31" s="58">
        <f>IF(U31=0,0,IF($F31&amp;"/Día"=W$9,ROUND(V31/U31,4),""))</f>
        <v>0</v>
      </c>
      <c r="Y31" s="58">
        <f>IF(U31=0,0,IF($F31&amp;"/Día"=W$9,ROUND(Z31/U31,4),""))</f>
        <v>0</v>
      </c>
      <c r="Z31" s="32">
        <f>IF(U31&lt;&gt;"",$P31,"")</f>
        <v>-268.88</v>
      </c>
      <c r="AA31" s="32" t="str">
        <f>IF($F31&amp;"/Día"=AC$9,SUM($G31:$H31),"")</f>
        <v/>
      </c>
      <c r="AB31" s="32" t="str">
        <f t="shared" si="14"/>
        <v/>
      </c>
      <c r="AC31" s="57" t="str">
        <f>IF($F31&amp;"/Día"=AC$9,ROUND(AA31/$W$1,1),"")</f>
        <v/>
      </c>
      <c r="AD31" s="58" t="str">
        <f>IF(AA31=0,0,IF($F31&amp;"/Día"=AC$9,ROUND(AB31/AA31,4),""))</f>
        <v/>
      </c>
      <c r="AE31" s="58" t="str">
        <f>IF(AA31=0,0,IF($F31&amp;"/Día"=AC$9,ROUND(AF31/AA31,4),""))</f>
        <v/>
      </c>
      <c r="AF31" s="32" t="str">
        <f>IF(AA31&lt;&gt;"",$P31,"")</f>
        <v/>
      </c>
      <c r="AG31" s="37"/>
    </row>
    <row r="32" spans="1:33" x14ac:dyDescent="0.25">
      <c r="A32" s="16" t="s">
        <v>28</v>
      </c>
      <c r="B32" s="171" t="s">
        <v>167</v>
      </c>
      <c r="C32" s="40" t="s">
        <v>31</v>
      </c>
      <c r="D32" s="18" t="s">
        <v>30</v>
      </c>
      <c r="E32" s="40" t="s">
        <v>98</v>
      </c>
      <c r="F32" s="214" t="s">
        <v>55</v>
      </c>
      <c r="G32" s="191"/>
      <c r="H32" s="191"/>
      <c r="I32" s="193"/>
      <c r="J32" s="193"/>
      <c r="K32" s="191"/>
      <c r="L32" s="256"/>
      <c r="M32" s="256"/>
      <c r="N32" s="191"/>
      <c r="O32" s="200">
        <f>ROUND(G32*I32,2)+ROUND(H32*J32,2)-K32-L32-M32-N32</f>
        <v>0</v>
      </c>
      <c r="P32" s="198">
        <f t="shared" si="10"/>
        <v>0</v>
      </c>
      <c r="Q32" s="198">
        <f>ROUND($O32*R32,2)</f>
        <v>0</v>
      </c>
      <c r="R32" s="236">
        <v>3.7499999999999999E-2</v>
      </c>
      <c r="S32" s="198">
        <f t="shared" si="1"/>
        <v>0</v>
      </c>
      <c r="T32" s="199">
        <v>0.15</v>
      </c>
      <c r="U32" s="32" t="str">
        <f>IF($F32&amp;"/Día"=W$9,SUM($G32:$H32),"")</f>
        <v/>
      </c>
      <c r="V32" s="32" t="str">
        <f t="shared" si="12"/>
        <v/>
      </c>
      <c r="W32" s="57" t="str">
        <f>IF($F32&amp;"/Día"=W$9,ROUND(U32/$W$1,1),"")</f>
        <v/>
      </c>
      <c r="X32" s="58" t="str">
        <f>IF(U32=0,0,IF($F32&amp;"/Día"=W$9,ROUND(V32/U32,4),""))</f>
        <v/>
      </c>
      <c r="Y32" s="58" t="str">
        <f>IF(U32=0,0,IF($F32&amp;"/Día"=W$9,ROUND(Z32/U32,4),""))</f>
        <v/>
      </c>
      <c r="Z32" s="32" t="str">
        <f>IF(U32&lt;&gt;"",$P32,"")</f>
        <v/>
      </c>
      <c r="AA32" s="32">
        <f>IF($F32&amp;"/Día"=AC$9,SUM($G32:$H32),"")</f>
        <v>0</v>
      </c>
      <c r="AB32" s="32">
        <f t="shared" si="14"/>
        <v>0</v>
      </c>
      <c r="AC32" s="57">
        <f>IF($F32&amp;"/Día"=AC$9,ROUND(AA32/$W$1,1),"")</f>
        <v>0</v>
      </c>
      <c r="AD32" s="58">
        <f>IF(AA32=0,0,IF($F32&amp;"/Día"=AC$9,ROUND(AB32/AA32,4),""))</f>
        <v>0</v>
      </c>
      <c r="AE32" s="58">
        <f>IF(AA32=0,0,IF($F32&amp;"/Día"=AC$9,ROUND(AF32/AA32,4),""))</f>
        <v>0</v>
      </c>
      <c r="AF32" s="32">
        <f>IF(AA32&lt;&gt;"",$P32,"")</f>
        <v>0</v>
      </c>
      <c r="AG32" s="37"/>
    </row>
    <row r="33" spans="1:33" x14ac:dyDescent="0.25">
      <c r="A33" s="20" t="s">
        <v>28</v>
      </c>
      <c r="B33" s="225" t="s">
        <v>171</v>
      </c>
      <c r="C33" s="214" t="s">
        <v>29</v>
      </c>
      <c r="D33" s="222" t="s">
        <v>21</v>
      </c>
      <c r="E33" s="214" t="s">
        <v>95</v>
      </c>
      <c r="F33" s="214" t="s">
        <v>36</v>
      </c>
      <c r="G33" s="191"/>
      <c r="H33" s="191">
        <f>27634+5264</f>
        <v>32898</v>
      </c>
      <c r="I33" s="193"/>
      <c r="J33" s="193">
        <v>54.943300000000001</v>
      </c>
      <c r="K33" s="191"/>
      <c r="L33" s="256"/>
      <c r="M33" s="256"/>
      <c r="N33" s="191">
        <v>2321.9</v>
      </c>
      <c r="O33" s="200">
        <f>ROUND(G33*I33,2)+ROUND(H33*J33,2)-K33-L33-M33-N33</f>
        <v>1805202.78</v>
      </c>
      <c r="P33" s="382">
        <f t="shared" si="10"/>
        <v>338475.52000000002</v>
      </c>
      <c r="Q33" s="198">
        <f>ROUND($O33*R33,2)</f>
        <v>270780.42</v>
      </c>
      <c r="R33" s="202">
        <v>0.15</v>
      </c>
      <c r="S33" s="198">
        <f t="shared" si="1"/>
        <v>67695.100000000006</v>
      </c>
      <c r="T33" s="236">
        <v>3.7499999999999999E-2</v>
      </c>
      <c r="U33" s="32">
        <f>IF($F33&amp;"/Día"=W$9,SUM($G33:$H33),"")</f>
        <v>32898</v>
      </c>
      <c r="V33" s="32">
        <f t="shared" si="12"/>
        <v>1805202.78</v>
      </c>
      <c r="W33" s="57">
        <f>IF($F33&amp;"/Día"=W$9,ROUND(U33/$W$1,1),"")</f>
        <v>1096.5999999999999</v>
      </c>
      <c r="X33" s="58">
        <f>IF(U33=0,0,IF($F33&amp;"/Día"=W$9,ROUND(V33/U33,4),""))</f>
        <v>54.872700000000002</v>
      </c>
      <c r="Y33" s="58">
        <f>IF(U33=0,0,IF($F33&amp;"/Día"=W$9,ROUND(Z33/U33,4),""))</f>
        <v>10.288600000000001</v>
      </c>
      <c r="Z33" s="32">
        <f>IF(U33&lt;&gt;"",$P33,"")</f>
        <v>338475.52000000002</v>
      </c>
      <c r="AA33" s="32" t="str">
        <f>IF($F33&amp;"/Día"=AC$9,SUM($G33:$H33),"")</f>
        <v/>
      </c>
      <c r="AB33" s="32" t="str">
        <f t="shared" si="14"/>
        <v/>
      </c>
      <c r="AC33" s="57" t="str">
        <f>IF($F33&amp;"/Día"=AC$9,ROUND(AA33/$W$1,1),"")</f>
        <v/>
      </c>
      <c r="AD33" s="58" t="str">
        <f>IF(AA33=0,0,IF($F33&amp;"/Día"=AC$9,ROUND(AB33/AA33,4),""))</f>
        <v/>
      </c>
      <c r="AE33" s="58" t="str">
        <f>IF(AA33=0,0,IF($F33&amp;"/Día"=AC$9,ROUND(AF33/AA33,4),""))</f>
        <v/>
      </c>
      <c r="AF33" s="32" t="str">
        <f>IF(AA33&lt;&gt;"",$P33,"")</f>
        <v/>
      </c>
      <c r="AG33" s="37"/>
    </row>
    <row r="34" spans="1:33" x14ac:dyDescent="0.25">
      <c r="A34" s="20" t="s">
        <v>28</v>
      </c>
      <c r="B34" s="171" t="s">
        <v>174</v>
      </c>
      <c r="C34" s="40" t="s">
        <v>31</v>
      </c>
      <c r="D34" s="18" t="s">
        <v>30</v>
      </c>
      <c r="E34" s="40" t="s">
        <v>98</v>
      </c>
      <c r="F34" s="214" t="s">
        <v>55</v>
      </c>
      <c r="G34" s="191"/>
      <c r="H34" s="191"/>
      <c r="I34" s="193"/>
      <c r="J34" s="193"/>
      <c r="K34" s="191"/>
      <c r="L34" s="256"/>
      <c r="M34" s="256"/>
      <c r="N34" s="191"/>
      <c r="O34" s="200">
        <f>ROUND(G34*I34,2)+ROUND(H34*J34,2)-K34-L34-M34-N34</f>
        <v>0</v>
      </c>
      <c r="P34" s="198">
        <f t="shared" si="10"/>
        <v>0</v>
      </c>
      <c r="Q34" s="198">
        <f>ROUND($O34*R34,2)</f>
        <v>0</v>
      </c>
      <c r="R34" s="227">
        <v>0.15</v>
      </c>
      <c r="S34" s="198">
        <f t="shared" si="1"/>
        <v>0</v>
      </c>
      <c r="T34" s="236">
        <v>3.7499999999999999E-2</v>
      </c>
      <c r="U34" s="32"/>
      <c r="V34" s="32"/>
      <c r="W34" s="57"/>
      <c r="X34" s="58"/>
      <c r="Y34" s="58"/>
      <c r="Z34" s="32"/>
      <c r="AA34" s="32"/>
      <c r="AB34" s="32"/>
      <c r="AC34" s="57"/>
      <c r="AD34" s="58"/>
      <c r="AE34" s="58"/>
      <c r="AF34" s="32"/>
      <c r="AG34" s="37"/>
    </row>
    <row r="35" spans="1:33" x14ac:dyDescent="0.25">
      <c r="A35" s="20" t="s">
        <v>28</v>
      </c>
      <c r="B35" s="23" t="s">
        <v>51</v>
      </c>
      <c r="C35" s="39"/>
      <c r="D35" s="39"/>
      <c r="E35" s="21"/>
      <c r="F35" s="223"/>
      <c r="G35" s="256"/>
      <c r="H35" s="256"/>
      <c r="I35" s="192"/>
      <c r="J35" s="315"/>
      <c r="K35" s="256"/>
      <c r="L35" s="256"/>
      <c r="M35" s="256"/>
      <c r="N35" s="256"/>
      <c r="O35" s="200">
        <f>O440</f>
        <v>-23593.120000000112</v>
      </c>
      <c r="P35" s="200">
        <f>P440</f>
        <v>-4423.7099999999627</v>
      </c>
      <c r="Q35" s="200">
        <f>Q440</f>
        <v>-3538.9699999999721</v>
      </c>
      <c r="R35" s="227"/>
      <c r="S35" s="200">
        <f>S440</f>
        <v>-884.73999999999069</v>
      </c>
      <c r="T35" s="199"/>
      <c r="U35" s="32" t="str">
        <f>IF($F35&amp;"/Día"=W$9,SUM($G35:$H35),"")</f>
        <v/>
      </c>
      <c r="V35" s="32" t="str">
        <f t="shared" si="12"/>
        <v/>
      </c>
      <c r="W35" s="57" t="str">
        <f>IF($F35&amp;"/Día"=W$9,ROUND(U35/$W$1,1),"")</f>
        <v/>
      </c>
      <c r="X35" s="58" t="str">
        <f>IF(U35=0,0,IF($F35&amp;"/Día"=W$9,ROUND(V35/U35,4),""))</f>
        <v/>
      </c>
      <c r="Y35" s="58" t="str">
        <f>IF(U35=0,0,IF($F35&amp;"/Día"=W$9,ROUND(Z35/U35,4),""))</f>
        <v/>
      </c>
      <c r="Z35" s="32" t="str">
        <f>IF(U35&lt;&gt;"",$P35,"")</f>
        <v/>
      </c>
      <c r="AA35" s="32" t="str">
        <f>IF($F35&amp;"/Día"=AC$9,SUM($G35:$H35),"")</f>
        <v/>
      </c>
      <c r="AB35" s="32" t="str">
        <f t="shared" si="14"/>
        <v/>
      </c>
      <c r="AC35" s="57" t="str">
        <f>IF($F35&amp;"/Día"=AC$9,ROUND(AA35/$W$1,1),"")</f>
        <v/>
      </c>
      <c r="AD35" s="58" t="str">
        <f>IF(AA35=0,0,IF($F35&amp;"/Día"=AC$9,ROUND(AB35/AA35,4),""))</f>
        <v/>
      </c>
      <c r="AE35" s="58" t="str">
        <f>IF(AA35=0,0,IF($F35&amp;"/Día"=AC$9,ROUND(AF35/AA35,4),""))</f>
        <v/>
      </c>
      <c r="AF35" s="32" t="str">
        <f>IF(AA35&lt;&gt;"",$P35,"")</f>
        <v/>
      </c>
      <c r="AG35" s="37"/>
    </row>
    <row r="36" spans="1:33" x14ac:dyDescent="0.25">
      <c r="A36" s="24"/>
      <c r="B36" s="127" t="s">
        <v>105</v>
      </c>
      <c r="C36" s="25" t="str">
        <f>TEXT(A$9,)&amp;" US$"</f>
        <v>Piura / Tumbes US$</v>
      </c>
      <c r="D36" s="30"/>
      <c r="E36" s="31"/>
      <c r="F36" s="224"/>
      <c r="G36" s="194"/>
      <c r="H36" s="194"/>
      <c r="I36" s="310"/>
      <c r="J36" s="195"/>
      <c r="K36" s="194"/>
      <c r="L36" s="194"/>
      <c r="M36" s="194"/>
      <c r="N36" s="194"/>
      <c r="O36" s="205">
        <f>SUM(O10:O35)</f>
        <v>68652601.219999984</v>
      </c>
      <c r="P36" s="205">
        <f>SUM(P10:P35)</f>
        <v>12872362.719999999</v>
      </c>
      <c r="Q36" s="206">
        <f>SUM(Q10:Q35)</f>
        <v>10293007.93</v>
      </c>
      <c r="R36" s="207"/>
      <c r="S36" s="208">
        <f>SUM(S10:S35)</f>
        <v>2579354.79</v>
      </c>
      <c r="T36" s="207"/>
      <c r="U36" s="59">
        <f>SUM(U10:U35)</f>
        <v>1220558</v>
      </c>
      <c r="V36" s="59">
        <f>SUM(V10:V35)</f>
        <v>65270656.649999999</v>
      </c>
      <c r="W36" s="60">
        <f>SUM(W10:W35)</f>
        <v>40685.300000000003</v>
      </c>
      <c r="X36" s="61">
        <f>ROUND(V36/U36,4)</f>
        <v>53.476100000000002</v>
      </c>
      <c r="Y36" s="61">
        <f>ROUND(Z36/U36,4)</f>
        <v>10.0268</v>
      </c>
      <c r="Z36" s="59">
        <f>SUM(Z10:Z35)</f>
        <v>12238248.109999998</v>
      </c>
      <c r="AA36" s="59">
        <f>SUM(AA10:AA35)</f>
        <v>1390487.5808999999</v>
      </c>
      <c r="AB36" s="59">
        <f>SUM(AB10:AB35)</f>
        <v>3405537.6900000004</v>
      </c>
      <c r="AC36" s="60">
        <f>SUM(AC10:AC35)</f>
        <v>46349.599999999991</v>
      </c>
      <c r="AD36" s="61">
        <f>ROUND(AB36/AA36,4)</f>
        <v>2.4491999999999998</v>
      </c>
      <c r="AE36" s="61">
        <f>ROUND(AF36/AA36,4)</f>
        <v>0.4592</v>
      </c>
      <c r="AF36" s="59">
        <f>SUM(AF10:AF35)</f>
        <v>638538.32000000007</v>
      </c>
      <c r="AG36" s="33">
        <f>P36-Z36-AF36</f>
        <v>-4423.7099999987986</v>
      </c>
    </row>
    <row r="37" spans="1:33" x14ac:dyDescent="0.25">
      <c r="A37" s="102"/>
      <c r="B37" s="103"/>
      <c r="C37" s="25" t="str">
        <f>TEXT(A$9,)&amp;" S/."</f>
        <v>Piura / Tumbes S/.</v>
      </c>
      <c r="D37" s="114"/>
      <c r="E37" s="114"/>
      <c r="F37" s="115"/>
      <c r="G37" s="247"/>
      <c r="H37" s="247"/>
      <c r="I37" s="308"/>
      <c r="J37" s="176"/>
      <c r="K37" s="247"/>
      <c r="L37" s="247"/>
      <c r="M37" s="247"/>
      <c r="N37" s="247"/>
      <c r="O37" s="183"/>
      <c r="P37" s="184">
        <f>ROUND($F$1*P36,2)</f>
        <v>0</v>
      </c>
      <c r="Q37" s="184">
        <f>ROUND($F$1*Q36,2)</f>
        <v>0</v>
      </c>
      <c r="R37" s="117"/>
      <c r="S37" s="186">
        <f>ROUND($F$1*S36,2)</f>
        <v>0</v>
      </c>
      <c r="T37" s="131"/>
      <c r="U37" s="118"/>
      <c r="V37" s="118"/>
      <c r="W37" s="119"/>
      <c r="X37" s="120"/>
      <c r="Y37" s="120"/>
      <c r="Z37" s="118"/>
      <c r="AA37" s="118"/>
      <c r="AB37" s="118"/>
      <c r="AC37" s="119"/>
      <c r="AD37" s="120"/>
      <c r="AE37" s="120"/>
      <c r="AF37" s="118"/>
      <c r="AG37" s="118"/>
    </row>
    <row r="38" spans="1:33" ht="13" x14ac:dyDescent="0.3">
      <c r="A38" s="257" t="s">
        <v>22</v>
      </c>
      <c r="B38" s="11"/>
      <c r="C38" s="41"/>
      <c r="D38" s="41"/>
      <c r="E38" s="12"/>
      <c r="F38" s="27"/>
      <c r="G38" s="196"/>
      <c r="H38" s="196"/>
      <c r="I38" s="197"/>
      <c r="J38" s="197"/>
      <c r="K38" s="196"/>
      <c r="L38" s="196"/>
      <c r="M38" s="196"/>
      <c r="N38" s="196"/>
      <c r="O38" s="209"/>
      <c r="P38" s="210"/>
      <c r="Q38" s="211" t="s">
        <v>48</v>
      </c>
      <c r="R38" s="189"/>
      <c r="S38" s="260"/>
      <c r="T38" s="261"/>
      <c r="U38" s="36"/>
      <c r="V38" s="36"/>
      <c r="W38" s="62"/>
      <c r="X38" s="63"/>
      <c r="Y38" s="63"/>
      <c r="Z38" s="63"/>
      <c r="AA38" s="36"/>
      <c r="AB38" s="36"/>
      <c r="AC38" s="62"/>
      <c r="AD38" s="63"/>
      <c r="AE38" s="63"/>
      <c r="AF38" s="63"/>
      <c r="AG38" s="35"/>
    </row>
    <row r="39" spans="1:33" x14ac:dyDescent="0.25">
      <c r="A39" s="20" t="s">
        <v>28</v>
      </c>
      <c r="B39" s="17" t="s">
        <v>11</v>
      </c>
      <c r="C39" s="40" t="s">
        <v>31</v>
      </c>
      <c r="D39" s="18" t="s">
        <v>30</v>
      </c>
      <c r="E39" s="40" t="s">
        <v>98</v>
      </c>
      <c r="F39" s="28" t="s">
        <v>36</v>
      </c>
      <c r="G39" s="191"/>
      <c r="H39" s="191"/>
      <c r="I39" s="193"/>
      <c r="J39" s="193"/>
      <c r="K39" s="256"/>
      <c r="L39" s="256"/>
      <c r="M39" s="256"/>
      <c r="N39" s="191">
        <v>1099.45</v>
      </c>
      <c r="O39" s="200">
        <f>ROUND(G39*I39,2)+ROUND(H39*J39,2)-K39-L39-M39-N39</f>
        <v>-1099.45</v>
      </c>
      <c r="P39" s="198">
        <f>ROUND(15%*O39,2)</f>
        <v>-164.92</v>
      </c>
      <c r="Q39" s="198">
        <f>ROUND($O39*R39,2)</f>
        <v>-164.92</v>
      </c>
      <c r="R39" s="199">
        <v>0.15</v>
      </c>
      <c r="S39" s="203"/>
      <c r="T39" s="202"/>
      <c r="U39" s="32">
        <f>IF($F39&amp;"/Día"=W$9,SUM($G39:$H39),"")</f>
        <v>0</v>
      </c>
      <c r="V39" s="32">
        <f>IF(U39&lt;&gt;"",$O39,"")</f>
        <v>-1099.45</v>
      </c>
      <c r="W39" s="57">
        <f t="shared" si="13"/>
        <v>0</v>
      </c>
      <c r="X39" s="58">
        <f>IF(U39=0,0,IF($F39&amp;"/Día"=W$9,ROUND(V39/U39,4),""))</f>
        <v>0</v>
      </c>
      <c r="Y39" s="58">
        <f>IF(U39=0,0,IF($F39&amp;"/Día"=W$9,ROUND(Z39/U39,4),""))</f>
        <v>0</v>
      </c>
      <c r="Z39" s="32">
        <f>IF(U39&lt;&gt;"",$P39,"")</f>
        <v>-164.92</v>
      </c>
      <c r="AA39" s="32" t="str">
        <f>IF($F39&amp;"/Día"=AC$9,SUM($G39:$H39),"")</f>
        <v/>
      </c>
      <c r="AB39" s="32" t="str">
        <f>IF(AA39&lt;&gt;"",$O39,"")</f>
        <v/>
      </c>
      <c r="AC39" s="57" t="str">
        <f t="shared" si="15"/>
        <v/>
      </c>
      <c r="AD39" s="58" t="str">
        <f>IF(AA39=0,0,IF($F39&amp;"/Día"=AC$9,ROUND(AB39/AA39,4),""))</f>
        <v/>
      </c>
      <c r="AE39" s="58" t="str">
        <f>IF(AA39=0,0,IF($F39&amp;"/Día"=AC$9,ROUND(AF39/AA39,4),""))</f>
        <v/>
      </c>
      <c r="AF39" s="32" t="str">
        <f>IF(AA39&lt;&gt;"",$P39,"")</f>
        <v/>
      </c>
      <c r="AG39" s="37"/>
    </row>
    <row r="40" spans="1:33" x14ac:dyDescent="0.25">
      <c r="A40" s="20" t="s">
        <v>28</v>
      </c>
      <c r="B40" s="259">
        <v>131</v>
      </c>
      <c r="C40" s="40" t="s">
        <v>31</v>
      </c>
      <c r="D40" s="18" t="s">
        <v>30</v>
      </c>
      <c r="E40" s="40" t="s">
        <v>98</v>
      </c>
      <c r="F40" s="28" t="s">
        <v>36</v>
      </c>
      <c r="G40" s="191">
        <v>44053</v>
      </c>
      <c r="H40" s="191">
        <v>44299</v>
      </c>
      <c r="I40" s="193">
        <v>65.105800000000002</v>
      </c>
      <c r="J40" s="193">
        <v>68.729900000000001</v>
      </c>
      <c r="K40" s="256"/>
      <c r="L40" s="256"/>
      <c r="M40" s="256"/>
      <c r="N40" s="191">
        <v>9334.6200000000008</v>
      </c>
      <c r="O40" s="200">
        <f>ROUND(G40*I40,2)+ROUND(H40*J40,2)-K40-L40-M40-N40</f>
        <v>5903437.0300000003</v>
      </c>
      <c r="P40" s="198">
        <f>ROUND(15%*O40,2)</f>
        <v>885515.55</v>
      </c>
      <c r="Q40" s="198">
        <f>ROUND($O40*R40,2)</f>
        <v>885515.55</v>
      </c>
      <c r="R40" s="199">
        <v>0.15</v>
      </c>
      <c r="S40" s="203"/>
      <c r="T40" s="202"/>
      <c r="U40" s="32">
        <f>IF($F40&amp;"/Día"=W$9,SUM($G40:$H40),"")</f>
        <v>88352</v>
      </c>
      <c r="V40" s="32">
        <f>IF(U40&lt;&gt;"",$O40,"")</f>
        <v>5903437.0300000003</v>
      </c>
      <c r="W40" s="57">
        <f t="shared" si="13"/>
        <v>2945.1</v>
      </c>
      <c r="X40" s="58">
        <f>IF(U40=0,0,IF($F40&amp;"/Día"=W$9,ROUND(V40/U40,4),""))</f>
        <v>66.8172</v>
      </c>
      <c r="Y40" s="58">
        <f>IF(U40=0,0,IF($F40&amp;"/Día"=W$9,ROUND(Z40/U40,4),""))</f>
        <v>10.022600000000001</v>
      </c>
      <c r="Z40" s="32">
        <f>IF(U40&lt;&gt;"",$P40,"")</f>
        <v>885515.55</v>
      </c>
      <c r="AA40" s="32" t="str">
        <f>IF($F40&amp;"/Día"=AC$9,SUM($G40:$H40),"")</f>
        <v/>
      </c>
      <c r="AB40" s="32" t="str">
        <f>IF(AA40&lt;&gt;"",$O40,"")</f>
        <v/>
      </c>
      <c r="AC40" s="57" t="str">
        <f t="shared" si="15"/>
        <v/>
      </c>
      <c r="AD40" s="58" t="str">
        <f>IF(AA40=0,0,IF($F40&amp;"/Día"=AC$9,ROUND(AB40/AA40,4),""))</f>
        <v/>
      </c>
      <c r="AE40" s="58" t="str">
        <f>IF(AA40=0,0,IF($F40&amp;"/Día"=AC$9,ROUND(AF40/AA40,4),""))</f>
        <v/>
      </c>
      <c r="AF40" s="32" t="str">
        <f>IF(AA40&lt;&gt;"",$P40,"")</f>
        <v/>
      </c>
      <c r="AG40" s="37"/>
    </row>
    <row r="41" spans="1:33" ht="13" x14ac:dyDescent="0.3">
      <c r="A41" s="20" t="s">
        <v>28</v>
      </c>
      <c r="B41" s="23" t="s">
        <v>52</v>
      </c>
      <c r="C41" s="39"/>
      <c r="D41" s="39"/>
      <c r="E41" s="6"/>
      <c r="F41" s="190"/>
      <c r="G41" s="256"/>
      <c r="H41" s="256"/>
      <c r="I41" s="192"/>
      <c r="J41" s="192"/>
      <c r="K41" s="256"/>
      <c r="L41" s="256"/>
      <c r="M41" s="256"/>
      <c r="N41" s="256"/>
      <c r="O41" s="256">
        <f>O442</f>
        <v>147042.22</v>
      </c>
      <c r="P41" s="256">
        <f>P442</f>
        <v>22056.33</v>
      </c>
      <c r="Q41" s="256">
        <f>Q442</f>
        <v>22056.33</v>
      </c>
      <c r="R41" s="202"/>
      <c r="S41" s="203"/>
      <c r="T41" s="202"/>
      <c r="U41" s="32" t="str">
        <f>IF($F41&amp;"/Día"=W$9,SUM($G41:$H41),"")</f>
        <v/>
      </c>
      <c r="V41" s="32" t="str">
        <f>IF(U41&lt;&gt;"",$O41,"")</f>
        <v/>
      </c>
      <c r="W41" s="57" t="str">
        <f t="shared" si="13"/>
        <v/>
      </c>
      <c r="X41" s="58" t="str">
        <f>IF(U41=0,0,IF($F41&amp;"/Día"=W$9,ROUND(V41/U41,4),""))</f>
        <v/>
      </c>
      <c r="Y41" s="58" t="str">
        <f>IF(U41=0,0,IF($F41&amp;"/Día"=W$9,ROUND(Z41/U41,4),""))</f>
        <v/>
      </c>
      <c r="Z41" s="32" t="str">
        <f>IF(U41&lt;&gt;"",$P41,"")</f>
        <v/>
      </c>
      <c r="AA41" s="32" t="str">
        <f>IF($F41&amp;"/Día"=AC$9,SUM($G41:$H41),"")</f>
        <v/>
      </c>
      <c r="AB41" s="32" t="str">
        <f>IF(AA41&lt;&gt;"",$O41,"")</f>
        <v/>
      </c>
      <c r="AC41" s="57" t="str">
        <f t="shared" si="15"/>
        <v/>
      </c>
      <c r="AD41" s="58" t="str">
        <f>IF(AA41=0,0,IF($F41&amp;"/Día"=AC$9,ROUND(AB41/AA41,4),""))</f>
        <v/>
      </c>
      <c r="AE41" s="58" t="str">
        <f>IF(AA41=0,0,IF($F41&amp;"/Día"=AC$9,ROUND(AF41/AA41,4),""))</f>
        <v/>
      </c>
      <c r="AF41" s="32" t="str">
        <f>IF(AA41&lt;&gt;"",$P41,"")</f>
        <v/>
      </c>
      <c r="AG41" s="37"/>
    </row>
    <row r="42" spans="1:33" x14ac:dyDescent="0.25">
      <c r="A42" s="24"/>
      <c r="B42" s="127" t="s">
        <v>105</v>
      </c>
      <c r="C42" s="25" t="str">
        <f>TEXT(A$38,)&amp;" US$"</f>
        <v>Provincia Puerto Inca Huanuco US$</v>
      </c>
      <c r="D42" s="30"/>
      <c r="E42" s="31"/>
      <c r="F42" s="30"/>
      <c r="G42" s="194"/>
      <c r="H42" s="194"/>
      <c r="I42" s="195"/>
      <c r="J42" s="195"/>
      <c r="K42" s="194"/>
      <c r="L42" s="194"/>
      <c r="M42" s="194"/>
      <c r="N42" s="194"/>
      <c r="O42" s="204">
        <f>SUM(O39:O41)</f>
        <v>6049379.7999999998</v>
      </c>
      <c r="P42" s="205">
        <f>SUM(P39:P41)</f>
        <v>907406.96</v>
      </c>
      <c r="Q42" s="205">
        <f>SUM(Q39:Q41)</f>
        <v>907406.96</v>
      </c>
      <c r="R42" s="207"/>
      <c r="S42" s="205">
        <f>SUM(S39:S41)</f>
        <v>0</v>
      </c>
      <c r="T42" s="207"/>
      <c r="U42" s="33">
        <f>SUM(U39:U41)</f>
        <v>88352</v>
      </c>
      <c r="V42" s="33">
        <f>SUM(V39:V41)</f>
        <v>5902337.5800000001</v>
      </c>
      <c r="W42" s="64">
        <f>SUM(W39:W41)</f>
        <v>2945.1</v>
      </c>
      <c r="X42" s="65">
        <f>ROUND(V42/U42,4)</f>
        <v>66.8048</v>
      </c>
      <c r="Y42" s="65">
        <f>ROUND(Z42/U42,4)</f>
        <v>10.0207</v>
      </c>
      <c r="Z42" s="33">
        <f>SUM(Z39:Z41)</f>
        <v>885350.63</v>
      </c>
      <c r="AA42" s="33">
        <f>SUM(AA39:AA41)</f>
        <v>0</v>
      </c>
      <c r="AB42" s="33">
        <f>SUM(AB39:AB41)</f>
        <v>0</v>
      </c>
      <c r="AC42" s="64">
        <f>SUM(AC39:AC41)</f>
        <v>0</v>
      </c>
      <c r="AD42" s="65">
        <f>IF(AA42=0,0,ROUND(AB42/AA42,4))</f>
        <v>0</v>
      </c>
      <c r="AE42" s="65">
        <f>IF(AA42=0,0,ROUND(AF42/AA42,4))</f>
        <v>0</v>
      </c>
      <c r="AF42" s="33">
        <f>SUM(AF39:AF41)</f>
        <v>0</v>
      </c>
      <c r="AG42" s="59">
        <f>P42-Z42-AF42</f>
        <v>22056.329999999958</v>
      </c>
    </row>
    <row r="43" spans="1:33" x14ac:dyDescent="0.25">
      <c r="A43" s="102"/>
      <c r="B43" s="103"/>
      <c r="C43" s="25" t="str">
        <f>TEXT(A$38,)&amp;" S/."</f>
        <v>Provincia Puerto Inca Huanuco S/.</v>
      </c>
      <c r="D43" s="114"/>
      <c r="E43" s="114"/>
      <c r="F43" s="115"/>
      <c r="G43" s="247"/>
      <c r="H43" s="247"/>
      <c r="I43" s="176"/>
      <c r="J43" s="176"/>
      <c r="K43" s="247"/>
      <c r="L43" s="247"/>
      <c r="M43" s="247"/>
      <c r="N43" s="247"/>
      <c r="O43" s="183"/>
      <c r="P43" s="184">
        <f>ROUND($F$1*P42,2)</f>
        <v>0</v>
      </c>
      <c r="Q43" s="184">
        <f>ROUND($F$1*Q42,2)</f>
        <v>0</v>
      </c>
      <c r="R43" s="117"/>
      <c r="S43" s="184">
        <f>ROUND($F$1*S42,2)</f>
        <v>0</v>
      </c>
      <c r="T43" s="117"/>
      <c r="U43" s="118"/>
      <c r="V43" s="118"/>
      <c r="W43" s="119"/>
      <c r="X43" s="120"/>
      <c r="Y43" s="120"/>
      <c r="Z43" s="118"/>
      <c r="AA43" s="118"/>
      <c r="AB43" s="118"/>
      <c r="AC43" s="119"/>
      <c r="AD43" s="120"/>
      <c r="AE43" s="120"/>
      <c r="AF43" s="118"/>
      <c r="AG43" s="118"/>
    </row>
    <row r="44" spans="1:33" ht="13" x14ac:dyDescent="0.3">
      <c r="A44" s="257" t="s">
        <v>24</v>
      </c>
      <c r="B44" s="11"/>
      <c r="C44" s="41"/>
      <c r="D44" s="41"/>
      <c r="E44" s="12"/>
      <c r="F44" s="212"/>
      <c r="G44" s="196"/>
      <c r="H44" s="196"/>
      <c r="I44" s="197"/>
      <c r="J44" s="197"/>
      <c r="K44" s="196"/>
      <c r="L44" s="196"/>
      <c r="M44" s="196"/>
      <c r="N44" s="196"/>
      <c r="O44" s="209"/>
      <c r="P44" s="210"/>
      <c r="Q44" s="211" t="s">
        <v>46</v>
      </c>
      <c r="R44" s="189"/>
      <c r="S44" s="213" t="s">
        <v>47</v>
      </c>
      <c r="T44" s="189"/>
      <c r="U44" s="35"/>
      <c r="V44" s="35"/>
      <c r="W44" s="55"/>
      <c r="X44" s="56"/>
      <c r="Y44" s="56"/>
      <c r="Z44" s="56"/>
      <c r="AA44" s="35"/>
      <c r="AB44" s="35"/>
      <c r="AC44" s="55"/>
      <c r="AD44" s="56"/>
      <c r="AE44" s="56"/>
      <c r="AF44" s="56"/>
      <c r="AG44" s="35"/>
    </row>
    <row r="45" spans="1:33" x14ac:dyDescent="0.25">
      <c r="A45" s="16" t="s">
        <v>28</v>
      </c>
      <c r="B45" s="19" t="s">
        <v>164</v>
      </c>
      <c r="C45" s="40" t="s">
        <v>31</v>
      </c>
      <c r="D45" s="40" t="s">
        <v>21</v>
      </c>
      <c r="E45" s="101" t="s">
        <v>98</v>
      </c>
      <c r="F45" s="215" t="s">
        <v>36</v>
      </c>
      <c r="G45" s="191"/>
      <c r="H45" s="191"/>
      <c r="I45" s="193"/>
      <c r="J45" s="193"/>
      <c r="K45" s="191"/>
      <c r="L45" s="256"/>
      <c r="M45" s="256"/>
      <c r="N45" s="191">
        <v>3.72</v>
      </c>
      <c r="O45" s="200">
        <f t="shared" ref="O45:O51" si="16">ROUND(G45*I45,2)+ROUND(H45*J45,2)-K45-L45-M45-N45</f>
        <v>-3.72</v>
      </c>
      <c r="P45" s="198">
        <f>ROUND(18.75%*O45,2)</f>
        <v>-0.7</v>
      </c>
      <c r="Q45" s="198">
        <f t="shared" ref="Q45:Q51" si="17">ROUND($O45*R45,2)</f>
        <v>-0.56000000000000005</v>
      </c>
      <c r="R45" s="199">
        <v>0.15</v>
      </c>
      <c r="S45" s="198">
        <f t="shared" ref="S45:S51" si="18">ROUND($O45*T45,2)</f>
        <v>-0.14000000000000001</v>
      </c>
      <c r="T45" s="236">
        <v>3.7499999999999999E-2</v>
      </c>
      <c r="U45" s="32">
        <f t="shared" ref="U45:U55" si="19">IF($F45&amp;"/Día"=W$9,SUM($G45:$H45),"")</f>
        <v>0</v>
      </c>
      <c r="V45" s="32">
        <f t="shared" ref="V45:V55" si="20">IF(U45&lt;&gt;"",$O45,"")</f>
        <v>-3.72</v>
      </c>
      <c r="W45" s="57">
        <f t="shared" ref="W45:W55" si="21">IF($F45&amp;"/Día"=W$9,ROUND(U45/$W$1,1),"")</f>
        <v>0</v>
      </c>
      <c r="X45" s="58">
        <f t="shared" ref="X45:X55" si="22">IF(U45=0,0,IF($F45&amp;"/Día"=W$9,ROUND(V45/U45,4),""))</f>
        <v>0</v>
      </c>
      <c r="Y45" s="58">
        <f t="shared" ref="Y45:Y55" si="23">IF(U45=0,0,IF($F45&amp;"/Día"=W$9,ROUND(Z45/U45,4),""))</f>
        <v>0</v>
      </c>
      <c r="Z45" s="32">
        <f t="shared" ref="Z45:Z55" si="24">IF(U45&lt;&gt;"",$P45,"")</f>
        <v>-0.7</v>
      </c>
      <c r="AA45" s="32" t="str">
        <f t="shared" ref="AA45:AA55" si="25">IF($F45&amp;"/Día"=AC$9,SUM($G45:$H45),"")</f>
        <v/>
      </c>
      <c r="AB45" s="32" t="str">
        <f t="shared" ref="AB45:AB55" si="26">IF(AA45&lt;&gt;"",$O45,"")</f>
        <v/>
      </c>
      <c r="AC45" s="57" t="str">
        <f t="shared" ref="AC45:AC55" si="27">IF($F45&amp;"/Día"=AC$9,ROUND(AA45/$W$1,1),"")</f>
        <v/>
      </c>
      <c r="AD45" s="58" t="str">
        <f t="shared" ref="AD45:AD55" si="28">IF(AA45=0,0,IF($F45&amp;"/Día"=AC$9,ROUND(AB45/AA45,4),""))</f>
        <v/>
      </c>
      <c r="AE45" s="58" t="str">
        <f t="shared" ref="AE45:AE55" si="29">IF(AA45=0,0,IF($F45&amp;"/Día"=AC$9,ROUND(AF45/AA45,4),""))</f>
        <v/>
      </c>
      <c r="AF45" s="32" t="str">
        <f t="shared" ref="AF45:AF55" si="30">IF(AA45&lt;&gt;"",$P45,"")</f>
        <v/>
      </c>
      <c r="AG45" s="37"/>
    </row>
    <row r="46" spans="1:33" x14ac:dyDescent="0.25">
      <c r="A46" s="16" t="s">
        <v>28</v>
      </c>
      <c r="B46" s="226">
        <v>192</v>
      </c>
      <c r="C46" s="40" t="s">
        <v>29</v>
      </c>
      <c r="D46" s="40" t="s">
        <v>21</v>
      </c>
      <c r="E46" s="40" t="s">
        <v>95</v>
      </c>
      <c r="F46" s="215" t="s">
        <v>36</v>
      </c>
      <c r="G46" s="191"/>
      <c r="H46" s="191">
        <v>258757</v>
      </c>
      <c r="I46" s="193"/>
      <c r="J46" s="193">
        <v>56.384900000000002</v>
      </c>
      <c r="K46" s="191"/>
      <c r="L46" s="256"/>
      <c r="M46" s="256">
        <v>11586.45</v>
      </c>
      <c r="N46" s="256">
        <v>10503.2</v>
      </c>
      <c r="O46" s="200">
        <f t="shared" si="16"/>
        <v>14567897.920000002</v>
      </c>
      <c r="P46" s="198">
        <f t="shared" ref="P46:P51" si="31">ROUND(18.75%*O46,2)</f>
        <v>2731480.86</v>
      </c>
      <c r="Q46" s="198">
        <f t="shared" si="17"/>
        <v>2185184.69</v>
      </c>
      <c r="R46" s="199">
        <v>0.15</v>
      </c>
      <c r="S46" s="198">
        <f t="shared" si="18"/>
        <v>546296.17000000004</v>
      </c>
      <c r="T46" s="236">
        <v>3.7499999999999999E-2</v>
      </c>
      <c r="U46" s="32">
        <f t="shared" si="19"/>
        <v>258757</v>
      </c>
      <c r="V46" s="32">
        <f t="shared" si="20"/>
        <v>14567897.920000002</v>
      </c>
      <c r="W46" s="57">
        <f t="shared" si="21"/>
        <v>8625.2000000000007</v>
      </c>
      <c r="X46" s="58">
        <f t="shared" si="22"/>
        <v>56.299500000000002</v>
      </c>
      <c r="Y46" s="58">
        <f t="shared" si="23"/>
        <v>10.5562</v>
      </c>
      <c r="Z46" s="32">
        <f t="shared" si="24"/>
        <v>2731480.86</v>
      </c>
      <c r="AA46" s="32" t="str">
        <f t="shared" si="25"/>
        <v/>
      </c>
      <c r="AB46" s="32" t="str">
        <f t="shared" si="26"/>
        <v/>
      </c>
      <c r="AC46" s="57" t="str">
        <f t="shared" si="27"/>
        <v/>
      </c>
      <c r="AD46" s="58" t="str">
        <f t="shared" si="28"/>
        <v/>
      </c>
      <c r="AE46" s="58" t="str">
        <f t="shared" si="29"/>
        <v/>
      </c>
      <c r="AF46" s="32" t="str">
        <f t="shared" si="30"/>
        <v/>
      </c>
      <c r="AG46" s="37"/>
    </row>
    <row r="47" spans="1:33" x14ac:dyDescent="0.25">
      <c r="A47" s="16" t="s">
        <v>28</v>
      </c>
      <c r="B47" s="22">
        <v>8</v>
      </c>
      <c r="C47" s="40" t="s">
        <v>31</v>
      </c>
      <c r="D47" s="40" t="s">
        <v>30</v>
      </c>
      <c r="E47" s="40" t="s">
        <v>98</v>
      </c>
      <c r="F47" s="215" t="s">
        <v>36</v>
      </c>
      <c r="G47" s="256">
        <v>87029</v>
      </c>
      <c r="H47" s="191">
        <v>95302</v>
      </c>
      <c r="I47" s="192">
        <v>51.5364</v>
      </c>
      <c r="J47" s="193">
        <v>55.158299999999997</v>
      </c>
      <c r="K47" s="256"/>
      <c r="L47" s="256"/>
      <c r="M47" s="256"/>
      <c r="N47" s="256">
        <v>12506.51</v>
      </c>
      <c r="O47" s="200">
        <f t="shared" si="16"/>
        <v>9729351.1600000001</v>
      </c>
      <c r="P47" s="198">
        <f t="shared" si="31"/>
        <v>1824253.34</v>
      </c>
      <c r="Q47" s="198">
        <f t="shared" si="17"/>
        <v>1459402.67</v>
      </c>
      <c r="R47" s="199">
        <v>0.15</v>
      </c>
      <c r="S47" s="198">
        <f t="shared" si="18"/>
        <v>364850.67</v>
      </c>
      <c r="T47" s="236">
        <v>3.7499999999999999E-2</v>
      </c>
      <c r="U47" s="32">
        <f t="shared" si="19"/>
        <v>182331</v>
      </c>
      <c r="V47" s="32">
        <f t="shared" si="20"/>
        <v>9729351.1600000001</v>
      </c>
      <c r="W47" s="57">
        <f t="shared" si="21"/>
        <v>6077.7</v>
      </c>
      <c r="X47" s="58">
        <f t="shared" si="22"/>
        <v>53.360900000000001</v>
      </c>
      <c r="Y47" s="58">
        <f t="shared" si="23"/>
        <v>10.0052</v>
      </c>
      <c r="Z47" s="32">
        <f t="shared" si="24"/>
        <v>1824253.34</v>
      </c>
      <c r="AA47" s="32" t="str">
        <f t="shared" si="25"/>
        <v/>
      </c>
      <c r="AB47" s="32" t="str">
        <f t="shared" si="26"/>
        <v/>
      </c>
      <c r="AC47" s="57" t="str">
        <f t="shared" si="27"/>
        <v/>
      </c>
      <c r="AD47" s="58" t="str">
        <f t="shared" si="28"/>
        <v/>
      </c>
      <c r="AE47" s="58" t="str">
        <f t="shared" si="29"/>
        <v/>
      </c>
      <c r="AF47" s="32" t="str">
        <f t="shared" si="30"/>
        <v/>
      </c>
      <c r="AG47" s="37"/>
    </row>
    <row r="48" spans="1:33" x14ac:dyDescent="0.25">
      <c r="A48" s="16" t="s">
        <v>28</v>
      </c>
      <c r="B48" s="17" t="s">
        <v>10</v>
      </c>
      <c r="C48" s="40" t="s">
        <v>31</v>
      </c>
      <c r="D48" s="40" t="s">
        <v>30</v>
      </c>
      <c r="E48" s="40" t="s">
        <v>98</v>
      </c>
      <c r="F48" s="215" t="s">
        <v>36</v>
      </c>
      <c r="G48" s="191"/>
      <c r="H48" s="191"/>
      <c r="I48" s="193"/>
      <c r="J48" s="193"/>
      <c r="K48" s="256"/>
      <c r="L48" s="256"/>
      <c r="M48" s="256"/>
      <c r="N48" s="191">
        <v>4.76</v>
      </c>
      <c r="O48" s="200">
        <f t="shared" si="16"/>
        <v>-4.76</v>
      </c>
      <c r="P48" s="198">
        <f t="shared" si="31"/>
        <v>-0.89</v>
      </c>
      <c r="Q48" s="198">
        <f>ROUND($O48*R48,2)</f>
        <v>-0.71</v>
      </c>
      <c r="R48" s="199">
        <v>0.15</v>
      </c>
      <c r="S48" s="198">
        <f t="shared" si="18"/>
        <v>-0.18</v>
      </c>
      <c r="T48" s="236">
        <v>3.7499999999999999E-2</v>
      </c>
      <c r="U48" s="32">
        <f t="shared" si="19"/>
        <v>0</v>
      </c>
      <c r="V48" s="32">
        <f t="shared" si="20"/>
        <v>-4.76</v>
      </c>
      <c r="W48" s="57">
        <f t="shared" si="21"/>
        <v>0</v>
      </c>
      <c r="X48" s="58">
        <f t="shared" si="22"/>
        <v>0</v>
      </c>
      <c r="Y48" s="58">
        <f t="shared" si="23"/>
        <v>0</v>
      </c>
      <c r="Z48" s="32">
        <f t="shared" si="24"/>
        <v>-0.89</v>
      </c>
      <c r="AA48" s="32" t="str">
        <f t="shared" si="25"/>
        <v/>
      </c>
      <c r="AB48" s="32" t="str">
        <f t="shared" si="26"/>
        <v/>
      </c>
      <c r="AC48" s="57" t="str">
        <f t="shared" si="27"/>
        <v/>
      </c>
      <c r="AD48" s="58" t="str">
        <f t="shared" si="28"/>
        <v/>
      </c>
      <c r="AE48" s="58" t="str">
        <f t="shared" si="29"/>
        <v/>
      </c>
      <c r="AF48" s="32" t="str">
        <f t="shared" si="30"/>
        <v/>
      </c>
      <c r="AG48" s="37"/>
    </row>
    <row r="49" spans="1:33" x14ac:dyDescent="0.25">
      <c r="A49" s="16" t="s">
        <v>28</v>
      </c>
      <c r="B49" s="17" t="s">
        <v>12</v>
      </c>
      <c r="C49" s="40" t="s">
        <v>31</v>
      </c>
      <c r="D49" s="40" t="s">
        <v>30</v>
      </c>
      <c r="E49" s="40" t="s">
        <v>98</v>
      </c>
      <c r="F49" s="216" t="s">
        <v>55</v>
      </c>
      <c r="G49" s="191">
        <v>11653.6795</v>
      </c>
      <c r="H49" s="191">
        <v>45676.720300000001</v>
      </c>
      <c r="I49" s="193">
        <v>3.7418</v>
      </c>
      <c r="J49" s="193">
        <v>3.742</v>
      </c>
      <c r="K49" s="256"/>
      <c r="L49" s="256"/>
      <c r="M49" s="256"/>
      <c r="N49" s="191">
        <v>1170.43</v>
      </c>
      <c r="O49" s="200">
        <f t="shared" si="16"/>
        <v>213357.6</v>
      </c>
      <c r="P49" s="198">
        <f t="shared" si="31"/>
        <v>40004.550000000003</v>
      </c>
      <c r="Q49" s="198">
        <f t="shared" si="17"/>
        <v>8000.91</v>
      </c>
      <c r="R49" s="236">
        <v>3.7499999999999999E-2</v>
      </c>
      <c r="S49" s="198">
        <f t="shared" si="18"/>
        <v>32003.64</v>
      </c>
      <c r="T49" s="199">
        <v>0.15</v>
      </c>
      <c r="U49" s="32" t="str">
        <f t="shared" si="19"/>
        <v/>
      </c>
      <c r="V49" s="32" t="str">
        <f t="shared" si="20"/>
        <v/>
      </c>
      <c r="W49" s="57" t="str">
        <f t="shared" si="21"/>
        <v/>
      </c>
      <c r="X49" s="58" t="str">
        <f t="shared" si="22"/>
        <v/>
      </c>
      <c r="Y49" s="58" t="str">
        <f t="shared" si="23"/>
        <v/>
      </c>
      <c r="Z49" s="32" t="str">
        <f t="shared" si="24"/>
        <v/>
      </c>
      <c r="AA49" s="32">
        <f t="shared" si="25"/>
        <v>57330.399799999999</v>
      </c>
      <c r="AB49" s="32">
        <f t="shared" si="26"/>
        <v>213357.6</v>
      </c>
      <c r="AC49" s="57">
        <f t="shared" si="27"/>
        <v>1911</v>
      </c>
      <c r="AD49" s="58">
        <f t="shared" si="28"/>
        <v>3.7214999999999998</v>
      </c>
      <c r="AE49" s="58">
        <f t="shared" si="29"/>
        <v>0.69779999999999998</v>
      </c>
      <c r="AF49" s="32">
        <f t="shared" si="30"/>
        <v>40004.550000000003</v>
      </c>
      <c r="AG49" s="37"/>
    </row>
    <row r="50" spans="1:33" x14ac:dyDescent="0.25">
      <c r="A50" s="16" t="s">
        <v>28</v>
      </c>
      <c r="B50" s="19" t="s">
        <v>74</v>
      </c>
      <c r="C50" s="40" t="s">
        <v>31</v>
      </c>
      <c r="D50" s="40" t="s">
        <v>30</v>
      </c>
      <c r="E50" s="40" t="s">
        <v>100</v>
      </c>
      <c r="F50" s="215" t="s">
        <v>36</v>
      </c>
      <c r="G50" s="191">
        <v>18290</v>
      </c>
      <c r="H50" s="191">
        <v>18612</v>
      </c>
      <c r="I50" s="193">
        <v>54.8279</v>
      </c>
      <c r="J50" s="193">
        <v>56.978900000000003</v>
      </c>
      <c r="K50" s="256"/>
      <c r="L50" s="256"/>
      <c r="M50" s="256"/>
      <c r="N50" s="256">
        <v>5297.01</v>
      </c>
      <c r="O50" s="200">
        <f t="shared" si="16"/>
        <v>2057996.57</v>
      </c>
      <c r="P50" s="198">
        <f t="shared" si="31"/>
        <v>385874.36</v>
      </c>
      <c r="Q50" s="198">
        <f t="shared" si="17"/>
        <v>77174.87</v>
      </c>
      <c r="R50" s="236">
        <v>3.7499999999999999E-2</v>
      </c>
      <c r="S50" s="198">
        <f t="shared" si="18"/>
        <v>308699.49</v>
      </c>
      <c r="T50" s="199">
        <v>0.15</v>
      </c>
      <c r="U50" s="32">
        <f t="shared" si="19"/>
        <v>36902</v>
      </c>
      <c r="V50" s="32">
        <f t="shared" si="20"/>
        <v>2057996.57</v>
      </c>
      <c r="W50" s="57">
        <f t="shared" si="21"/>
        <v>1230.0999999999999</v>
      </c>
      <c r="X50" s="58">
        <f t="shared" si="22"/>
        <v>55.769199999999998</v>
      </c>
      <c r="Y50" s="58">
        <f t="shared" si="23"/>
        <v>10.4567</v>
      </c>
      <c r="Z50" s="32">
        <f t="shared" si="24"/>
        <v>385874.36</v>
      </c>
      <c r="AA50" s="32" t="str">
        <f t="shared" si="25"/>
        <v/>
      </c>
      <c r="AB50" s="32" t="str">
        <f t="shared" si="26"/>
        <v/>
      </c>
      <c r="AC50" s="57" t="str">
        <f t="shared" si="27"/>
        <v/>
      </c>
      <c r="AD50" s="58" t="str">
        <f t="shared" si="28"/>
        <v/>
      </c>
      <c r="AE50" s="58" t="str">
        <f t="shared" si="29"/>
        <v/>
      </c>
      <c r="AF50" s="32" t="str">
        <f t="shared" si="30"/>
        <v/>
      </c>
      <c r="AG50" s="37"/>
    </row>
    <row r="51" spans="1:33" x14ac:dyDescent="0.25">
      <c r="A51" s="16" t="s">
        <v>28</v>
      </c>
      <c r="B51" s="19" t="s">
        <v>32</v>
      </c>
      <c r="C51" s="40" t="s">
        <v>31</v>
      </c>
      <c r="D51" s="40" t="s">
        <v>30</v>
      </c>
      <c r="E51" s="40" t="s">
        <v>98</v>
      </c>
      <c r="F51" s="215" t="s">
        <v>36</v>
      </c>
      <c r="G51" s="256"/>
      <c r="H51" s="256"/>
      <c r="I51" s="193"/>
      <c r="J51" s="193"/>
      <c r="K51" s="256"/>
      <c r="L51" s="256"/>
      <c r="M51" s="256"/>
      <c r="N51" s="256"/>
      <c r="O51" s="200">
        <f t="shared" si="16"/>
        <v>0</v>
      </c>
      <c r="P51" s="198">
        <f t="shared" si="31"/>
        <v>0</v>
      </c>
      <c r="Q51" s="198">
        <f t="shared" si="17"/>
        <v>0</v>
      </c>
      <c r="R51" s="236">
        <v>3.7499999999999999E-2</v>
      </c>
      <c r="S51" s="198">
        <f t="shared" si="18"/>
        <v>0</v>
      </c>
      <c r="T51" s="199">
        <v>0.15</v>
      </c>
      <c r="U51" s="32">
        <f t="shared" si="19"/>
        <v>0</v>
      </c>
      <c r="V51" s="32">
        <f t="shared" si="20"/>
        <v>0</v>
      </c>
      <c r="W51" s="57">
        <f t="shared" si="21"/>
        <v>0</v>
      </c>
      <c r="X51" s="58">
        <f t="shared" si="22"/>
        <v>0</v>
      </c>
      <c r="Y51" s="58">
        <f t="shared" si="23"/>
        <v>0</v>
      </c>
      <c r="Z51" s="32">
        <f t="shared" si="24"/>
        <v>0</v>
      </c>
      <c r="AA51" s="32" t="str">
        <f t="shared" si="25"/>
        <v/>
      </c>
      <c r="AB51" s="32" t="str">
        <f t="shared" si="26"/>
        <v/>
      </c>
      <c r="AC51" s="57" t="str">
        <f t="shared" si="27"/>
        <v/>
      </c>
      <c r="AD51" s="58" t="str">
        <f t="shared" si="28"/>
        <v/>
      </c>
      <c r="AE51" s="58" t="str">
        <f t="shared" si="29"/>
        <v/>
      </c>
      <c r="AF51" s="32" t="str">
        <f t="shared" si="30"/>
        <v/>
      </c>
      <c r="AG51" s="37"/>
    </row>
    <row r="52" spans="1:33" x14ac:dyDescent="0.25">
      <c r="A52" s="16" t="s">
        <v>28</v>
      </c>
      <c r="B52" s="22">
        <v>102</v>
      </c>
      <c r="C52" s="40" t="s">
        <v>31</v>
      </c>
      <c r="D52" s="40" t="s">
        <v>30</v>
      </c>
      <c r="E52" s="40" t="s">
        <v>98</v>
      </c>
      <c r="F52" s="215" t="s">
        <v>36</v>
      </c>
      <c r="G52" s="191"/>
      <c r="H52" s="191"/>
      <c r="I52" s="193"/>
      <c r="J52" s="193"/>
      <c r="K52" s="191"/>
      <c r="L52" s="256"/>
      <c r="M52" s="256"/>
      <c r="N52" s="191"/>
      <c r="O52" s="200">
        <f>ROUND(G52*I52,2)+ROUND(H52*J52,2)-K52-L52-M52-N52</f>
        <v>0</v>
      </c>
      <c r="P52" s="198">
        <f>ROUND(18.75%*O52,2)</f>
        <v>0</v>
      </c>
      <c r="Q52" s="198">
        <f>P52-S52</f>
        <v>0</v>
      </c>
      <c r="R52" s="199">
        <v>0.15</v>
      </c>
      <c r="S52" s="198">
        <f>ROUND($O52*T52,2)</f>
        <v>0</v>
      </c>
      <c r="T52" s="236">
        <v>3.7499999999999999E-2</v>
      </c>
      <c r="U52" s="32">
        <f>IF($F52&amp;"/Día"=W$9,SUM($G52:$H52),"")</f>
        <v>0</v>
      </c>
      <c r="V52" s="32">
        <f>IF(U52&lt;&gt;"",$O52,"")</f>
        <v>0</v>
      </c>
      <c r="W52" s="57">
        <f>IF($F52&amp;"/Día"=W$9,ROUND(U52/$W$1,1),"")</f>
        <v>0</v>
      </c>
      <c r="X52" s="58">
        <f>IF(U52=0,0,IF($F52&amp;"/Día"=W$9,ROUND(V52/U52,4),""))</f>
        <v>0</v>
      </c>
      <c r="Y52" s="58">
        <f>IF(U52=0,0,IF($F52&amp;"/Día"=W$9,ROUND(Z52/U52,4),""))</f>
        <v>0</v>
      </c>
      <c r="Z52" s="32">
        <f>IF(U52&lt;&gt;"",$P52,"")</f>
        <v>0</v>
      </c>
      <c r="AA52" s="32" t="str">
        <f>IF($F52&amp;"/Día"=AC$9,SUM($G52:$H52),"")</f>
        <v/>
      </c>
      <c r="AB52" s="32" t="str">
        <f>IF(AA52&lt;&gt;"",$O52,"")</f>
        <v/>
      </c>
      <c r="AC52" s="57" t="str">
        <f>IF($F52&amp;"/Día"=AC$9,ROUND(AA52/$W$1,1),"")</f>
        <v/>
      </c>
      <c r="AD52" s="58" t="str">
        <f>IF(AA52=0,0,IF($F52&amp;"/Día"=AC$9,ROUND(AB52/AA52,4),""))</f>
        <v/>
      </c>
      <c r="AE52" s="58" t="str">
        <f>IF(AA52=0,0,IF($F52&amp;"/Día"=AC$9,ROUND(AF52/AA52,4),""))</f>
        <v/>
      </c>
      <c r="AF52" s="32" t="str">
        <f>IF(AA52&lt;&gt;"",$P52,"")</f>
        <v/>
      </c>
      <c r="AG52" s="37"/>
    </row>
    <row r="53" spans="1:33" x14ac:dyDescent="0.25">
      <c r="A53" s="16" t="s">
        <v>28</v>
      </c>
      <c r="B53" s="22">
        <v>95</v>
      </c>
      <c r="C53" s="40" t="s">
        <v>31</v>
      </c>
      <c r="D53" s="40" t="s">
        <v>30</v>
      </c>
      <c r="E53" s="40" t="s">
        <v>98</v>
      </c>
      <c r="F53" s="215" t="s">
        <v>36</v>
      </c>
      <c r="G53" s="191"/>
      <c r="H53" s="191"/>
      <c r="I53" s="193"/>
      <c r="J53" s="193"/>
      <c r="K53" s="191"/>
      <c r="L53" s="256"/>
      <c r="M53" s="256"/>
      <c r="N53" s="191"/>
      <c r="O53" s="200">
        <f>ROUND(G53*I53,2)+ROUND(H53*J53,2)-K53-L53-M53-N53</f>
        <v>0</v>
      </c>
      <c r="P53" s="198">
        <f>ROUND(18.75%*O53,2)</f>
        <v>0</v>
      </c>
      <c r="Q53" s="198">
        <f>P53-S53</f>
        <v>0</v>
      </c>
      <c r="R53" s="199">
        <v>0.15</v>
      </c>
      <c r="S53" s="198">
        <f>ROUND($O53*T53,2)</f>
        <v>0</v>
      </c>
      <c r="T53" s="236">
        <v>3.7499999999999999E-2</v>
      </c>
      <c r="U53" s="32">
        <f>IF($F53&amp;"/Día"=W$9,SUM($G53:$H53),"")</f>
        <v>0</v>
      </c>
      <c r="V53" s="32">
        <f>IF(U53&lt;&gt;"",$O53,"")</f>
        <v>0</v>
      </c>
      <c r="W53" s="57">
        <f>IF($F53&amp;"/Día"=W$9,ROUND(U53/$W$1,1),"")</f>
        <v>0</v>
      </c>
      <c r="X53" s="58">
        <f>IF(U53=0,0,IF($F53&amp;"/Día"=W$9,ROUND(V53/U53,4),""))</f>
        <v>0</v>
      </c>
      <c r="Y53" s="58">
        <f>IF(U53=0,0,IF($F53&amp;"/Día"=W$9,ROUND(Z53/U53,4),""))</f>
        <v>0</v>
      </c>
      <c r="Z53" s="32">
        <f>IF(U53&lt;&gt;"",$P53,"")</f>
        <v>0</v>
      </c>
      <c r="AA53" s="32" t="str">
        <f>IF($F53&amp;"/Día"=AC$9,SUM($G53:$H53),"")</f>
        <v/>
      </c>
      <c r="AB53" s="32" t="str">
        <f>IF(AA53&lt;&gt;"",$O53,"")</f>
        <v/>
      </c>
      <c r="AC53" s="57" t="str">
        <f>IF($F53&amp;"/Día"=AC$9,ROUND(AA53/$W$1,1),"")</f>
        <v/>
      </c>
      <c r="AD53" s="58" t="str">
        <f>IF(AA53=0,0,IF($F53&amp;"/Día"=AC$9,ROUND(AB53/AA53,4),""))</f>
        <v/>
      </c>
      <c r="AE53" s="58" t="str">
        <f>IF(AA53=0,0,IF($F53&amp;"/Día"=AC$9,ROUND(AF53/AA53,4),""))</f>
        <v/>
      </c>
      <c r="AF53" s="32" t="str">
        <f>IF(AA53&lt;&gt;"",$P53,"")</f>
        <v/>
      </c>
      <c r="AG53" s="37"/>
    </row>
    <row r="54" spans="1:33" x14ac:dyDescent="0.25">
      <c r="A54" s="16" t="s">
        <v>28</v>
      </c>
      <c r="B54" s="250">
        <v>67</v>
      </c>
      <c r="C54" s="40" t="s">
        <v>31</v>
      </c>
      <c r="D54" s="40" t="s">
        <v>30</v>
      </c>
      <c r="E54" s="40" t="s">
        <v>98</v>
      </c>
      <c r="F54" s="215" t="s">
        <v>36</v>
      </c>
      <c r="G54" s="191"/>
      <c r="H54" s="191"/>
      <c r="I54" s="193"/>
      <c r="J54" s="193"/>
      <c r="K54" s="191"/>
      <c r="L54" s="256"/>
      <c r="M54" s="256"/>
      <c r="N54" s="191"/>
      <c r="O54" s="200">
        <f>ROUND(G54*I54,2)+ROUND(H54*J54,2)-K54-L54-M54-N54</f>
        <v>0</v>
      </c>
      <c r="P54" s="198">
        <f>ROUND(18.75%*O54,2)</f>
        <v>0</v>
      </c>
      <c r="Q54" s="198">
        <f>P54-S54</f>
        <v>0</v>
      </c>
      <c r="R54" s="199">
        <v>0.15</v>
      </c>
      <c r="S54" s="198">
        <f>ROUND($O54*T54,2)</f>
        <v>0</v>
      </c>
      <c r="T54" s="236">
        <v>3.7499999999999999E-2</v>
      </c>
      <c r="U54" s="32">
        <f>IF($F54&amp;"/Día"=W$9,SUM($G54:$H54),"")</f>
        <v>0</v>
      </c>
      <c r="V54" s="32">
        <f>IF(U54&lt;&gt;"",$O54,"")</f>
        <v>0</v>
      </c>
      <c r="W54" s="57">
        <f>IF($F54&amp;"/Día"=W$9,ROUND(U54/$W$1,1),"")</f>
        <v>0</v>
      </c>
      <c r="X54" s="58">
        <f>IF(U54=0,0,IF($F54&amp;"/Día"=W$9,ROUND(V54/U54,4),""))</f>
        <v>0</v>
      </c>
      <c r="Y54" s="58">
        <f>IF(U54=0,0,IF($F54&amp;"/Día"=W$9,ROUND(Z54/U54,4),""))</f>
        <v>0</v>
      </c>
      <c r="Z54" s="32">
        <f>IF(U54&lt;&gt;"",$P54,"")</f>
        <v>0</v>
      </c>
      <c r="AA54" s="32" t="str">
        <f>IF($F54&amp;"/Día"=AC$9,SUM($G54:$H54),"")</f>
        <v/>
      </c>
      <c r="AB54" s="32" t="str">
        <f>IF(AA54&lt;&gt;"",$O54,"")</f>
        <v/>
      </c>
      <c r="AC54" s="57" t="str">
        <f>IF($F54&amp;"/Día"=AC$9,ROUND(AA54/$W$1,1),"")</f>
        <v/>
      </c>
      <c r="AD54" s="58" t="str">
        <f>IF(AA54=0,0,IF($F54&amp;"/Día"=AC$9,ROUND(AB54/AA54,4),""))</f>
        <v/>
      </c>
      <c r="AE54" s="58" t="str">
        <f>IF(AA54=0,0,IF($F54&amp;"/Día"=AC$9,ROUND(AF54/AA54,4),""))</f>
        <v/>
      </c>
      <c r="AF54" s="32" t="str">
        <f>IF(AA54&lt;&gt;"",$P54,"")</f>
        <v/>
      </c>
      <c r="AG54" s="37"/>
    </row>
    <row r="55" spans="1:33" x14ac:dyDescent="0.25">
      <c r="A55" s="13" t="s">
        <v>28</v>
      </c>
      <c r="B55" s="23" t="s">
        <v>53</v>
      </c>
      <c r="C55" s="39"/>
      <c r="D55" s="21"/>
      <c r="E55" s="21"/>
      <c r="F55" s="217"/>
      <c r="G55" s="256"/>
      <c r="H55" s="256"/>
      <c r="I55" s="192"/>
      <c r="J55" s="192"/>
      <c r="K55" s="256"/>
      <c r="L55" s="256"/>
      <c r="M55" s="256"/>
      <c r="N55" s="256"/>
      <c r="O55" s="256">
        <f>O447</f>
        <v>172254.86</v>
      </c>
      <c r="P55" s="256">
        <f>P447</f>
        <v>32297.79</v>
      </c>
      <c r="Q55" s="256">
        <f>Q447</f>
        <v>25838.23</v>
      </c>
      <c r="R55" s="199"/>
      <c r="S55" s="256">
        <f>S447</f>
        <v>6459.5599999999995</v>
      </c>
      <c r="T55" s="199"/>
      <c r="U55" s="32" t="str">
        <f t="shared" si="19"/>
        <v/>
      </c>
      <c r="V55" s="32" t="str">
        <f t="shared" si="20"/>
        <v/>
      </c>
      <c r="W55" s="57" t="str">
        <f t="shared" si="21"/>
        <v/>
      </c>
      <c r="X55" s="58" t="str">
        <f t="shared" si="22"/>
        <v/>
      </c>
      <c r="Y55" s="58" t="str">
        <f t="shared" si="23"/>
        <v/>
      </c>
      <c r="Z55" s="32" t="str">
        <f t="shared" si="24"/>
        <v/>
      </c>
      <c r="AA55" s="32" t="str">
        <f t="shared" si="25"/>
        <v/>
      </c>
      <c r="AB55" s="32" t="str">
        <f t="shared" si="26"/>
        <v/>
      </c>
      <c r="AC55" s="57" t="str">
        <f t="shared" si="27"/>
        <v/>
      </c>
      <c r="AD55" s="58" t="str">
        <f t="shared" si="28"/>
        <v/>
      </c>
      <c r="AE55" s="58" t="str">
        <f t="shared" si="29"/>
        <v/>
      </c>
      <c r="AF55" s="32" t="str">
        <f t="shared" si="30"/>
        <v/>
      </c>
      <c r="AG55" s="37"/>
    </row>
    <row r="56" spans="1:33" x14ac:dyDescent="0.25">
      <c r="A56" s="24"/>
      <c r="B56" s="127" t="s">
        <v>105</v>
      </c>
      <c r="C56" s="25" t="str">
        <f>TEXT(A$44,)&amp;" US$"</f>
        <v>Loreto / Ucayali US$</v>
      </c>
      <c r="D56" s="14"/>
      <c r="E56" s="14"/>
      <c r="F56" s="230"/>
      <c r="G56" s="228"/>
      <c r="H56" s="228"/>
      <c r="I56" s="229"/>
      <c r="J56" s="219"/>
      <c r="K56" s="218"/>
      <c r="L56" s="218"/>
      <c r="M56" s="218"/>
      <c r="N56" s="204"/>
      <c r="O56" s="204">
        <f>SUM(O45:O55)</f>
        <v>26740849.629999999</v>
      </c>
      <c r="P56" s="205">
        <f>SUM(P45:P55)</f>
        <v>5013909.3100000005</v>
      </c>
      <c r="Q56" s="205">
        <f>SUM(Q45:Q55)</f>
        <v>3755600.1</v>
      </c>
      <c r="R56" s="220"/>
      <c r="S56" s="205">
        <f>SUM(S45:S55)</f>
        <v>1258309.21</v>
      </c>
      <c r="T56" s="207"/>
      <c r="U56" s="59">
        <f>SUM(U45:U55)</f>
        <v>477990</v>
      </c>
      <c r="V56" s="59">
        <f>SUM(V45:V55)</f>
        <v>26355237.169999998</v>
      </c>
      <c r="W56" s="60">
        <f>SUM(W45:W55)</f>
        <v>15933.000000000002</v>
      </c>
      <c r="X56" s="61">
        <f>ROUND(V56/U56,4)</f>
        <v>55.137599999999999</v>
      </c>
      <c r="Y56" s="61">
        <f>ROUND(Z56/U56,4)</f>
        <v>10.3383</v>
      </c>
      <c r="Z56" s="59">
        <f>SUM(Z45:Z55)</f>
        <v>4941606.9700000007</v>
      </c>
      <c r="AA56" s="59">
        <f>SUM(AA45:AA55)</f>
        <v>57330.399799999999</v>
      </c>
      <c r="AB56" s="59">
        <f>SUM(AB45:AB55)</f>
        <v>213357.6</v>
      </c>
      <c r="AC56" s="60">
        <f>SUM(AC45:AC55)</f>
        <v>1911</v>
      </c>
      <c r="AD56" s="61">
        <f>ROUND(AB56/AA56,4)</f>
        <v>3.7214999999999998</v>
      </c>
      <c r="AE56" s="61">
        <f>ROUND(AF56/AA56,4)</f>
        <v>0.69779999999999998</v>
      </c>
      <c r="AF56" s="59">
        <f>SUM(AF45:AF55)</f>
        <v>40004.550000000003</v>
      </c>
      <c r="AG56" s="59">
        <f>P56-Z56-AF56</f>
        <v>32297.789999999848</v>
      </c>
    </row>
    <row r="57" spans="1:33" x14ac:dyDescent="0.25">
      <c r="A57" s="121"/>
      <c r="B57" s="122"/>
      <c r="C57" s="25" t="str">
        <f>TEXT(A$44,)&amp;" S/."</f>
        <v>Loreto / Ucayali S/.</v>
      </c>
      <c r="D57" s="85"/>
      <c r="E57" s="85"/>
      <c r="F57" s="121"/>
      <c r="G57" s="182"/>
      <c r="H57" s="182"/>
      <c r="I57" s="179"/>
      <c r="J57" s="179"/>
      <c r="K57" s="182"/>
      <c r="L57" s="182"/>
      <c r="M57" s="182"/>
      <c r="N57" s="182"/>
      <c r="O57" s="185"/>
      <c r="P57" s="186">
        <f>ROUND($F$1*P56,2)</f>
        <v>0</v>
      </c>
      <c r="Q57" s="186">
        <f>ROUND($F$1*Q56,2)</f>
        <v>0</v>
      </c>
      <c r="R57" s="131"/>
      <c r="S57" s="186">
        <f>ROUND($F$1*S56,2)</f>
        <v>0</v>
      </c>
      <c r="T57" s="123"/>
      <c r="U57" s="124"/>
      <c r="V57" s="124"/>
      <c r="W57" s="125"/>
      <c r="X57" s="126"/>
      <c r="Y57" s="126"/>
      <c r="Z57" s="124"/>
      <c r="AA57" s="124"/>
      <c r="AB57" s="124"/>
      <c r="AC57" s="125"/>
      <c r="AD57" s="126"/>
      <c r="AE57" s="126"/>
      <c r="AF57" s="124"/>
      <c r="AG57" s="124"/>
    </row>
    <row r="58" spans="1:33" ht="13" x14ac:dyDescent="0.3">
      <c r="A58" s="257" t="s">
        <v>161</v>
      </c>
      <c r="B58" s="11"/>
      <c r="C58" s="11"/>
      <c r="D58" s="11"/>
      <c r="E58" s="15"/>
      <c r="F58" s="257"/>
      <c r="G58" s="180"/>
      <c r="H58" s="181"/>
      <c r="I58" s="177"/>
      <c r="J58" s="178"/>
      <c r="K58" s="180"/>
      <c r="L58" s="180"/>
      <c r="M58" s="180"/>
      <c r="N58" s="180"/>
      <c r="O58" s="180"/>
      <c r="P58" s="188" t="s">
        <v>163</v>
      </c>
      <c r="Q58" s="188" t="s">
        <v>161</v>
      </c>
      <c r="R58" s="140"/>
      <c r="S58" s="187"/>
      <c r="T58" s="148"/>
      <c r="U58" s="124"/>
      <c r="V58" s="124"/>
      <c r="W58" s="125"/>
      <c r="X58" s="126"/>
      <c r="Y58" s="126"/>
      <c r="Z58" s="124"/>
      <c r="AA58" s="124"/>
      <c r="AB58" s="124"/>
      <c r="AC58" s="125"/>
      <c r="AD58" s="126"/>
      <c r="AE58" s="126"/>
      <c r="AF58" s="124"/>
      <c r="AG58" s="124"/>
    </row>
    <row r="59" spans="1:33" x14ac:dyDescent="0.25">
      <c r="A59" s="16" t="s">
        <v>28</v>
      </c>
      <c r="B59" s="17" t="s">
        <v>160</v>
      </c>
      <c r="C59" s="40" t="s">
        <v>31</v>
      </c>
      <c r="D59" s="40" t="s">
        <v>30</v>
      </c>
      <c r="E59" s="40" t="s">
        <v>158</v>
      </c>
      <c r="F59" s="215" t="s">
        <v>36</v>
      </c>
      <c r="G59" s="256">
        <v>704947</v>
      </c>
      <c r="H59" s="256">
        <v>757358</v>
      </c>
      <c r="I59" s="192">
        <v>40.642099999999999</v>
      </c>
      <c r="J59" s="192">
        <v>44.033299999999997</v>
      </c>
      <c r="K59" s="256"/>
      <c r="L59" s="256"/>
      <c r="M59" s="256"/>
      <c r="N59" s="256"/>
      <c r="O59" s="200">
        <f>G59*I59+H59*J59</f>
        <v>61999498.490099996</v>
      </c>
      <c r="P59" s="198">
        <f>ROUND(37.24%*(G59*I59+H59*J59),2)</f>
        <v>23088613.239999998</v>
      </c>
      <c r="Q59" s="198">
        <f t="shared" ref="Q59:Q67" si="32">ROUND(R59*P59,2)</f>
        <v>11544306.619999999</v>
      </c>
      <c r="R59" s="199">
        <v>0.5</v>
      </c>
      <c r="S59" s="198"/>
      <c r="T59" s="236"/>
      <c r="U59" s="32">
        <f t="shared" ref="U59:U68" si="33">IF($F59&amp;"/Día"=W$9,SUM($G59:$H59),"")</f>
        <v>1462305</v>
      </c>
      <c r="V59" s="32">
        <f t="shared" ref="V59:V68" si="34">IF(U59&lt;&gt;"",$O59,"")</f>
        <v>61999498.490099996</v>
      </c>
      <c r="W59" s="57">
        <f t="shared" ref="W59:W68" si="35">IF($F59&amp;"/Día"=W$9,ROUND(U59/$W$1,1),"")</f>
        <v>48743.5</v>
      </c>
      <c r="X59" s="58">
        <f t="shared" ref="X59:X68" si="36">IF(U59=0,0,IF($F59&amp;"/Día"=W$9,ROUND(V59/U59,4),""))</f>
        <v>42.398499999999999</v>
      </c>
      <c r="Y59" s="58">
        <f t="shared" ref="Y59:Y68" si="37">IF(U59=0,0,IF($F59&amp;"/Día"=W$9,ROUND(Z59/U59,4),""))</f>
        <v>7.8945999999999996</v>
      </c>
      <c r="Z59" s="32">
        <f t="shared" ref="Z59:Z68" si="38">IF(U59&lt;&gt;"",$Q59,"")</f>
        <v>11544306.619999999</v>
      </c>
      <c r="AA59" s="32" t="str">
        <f t="shared" ref="AA59:AA68" si="39">IF($F59&amp;"/Día"=AC$9,SUM($G59:$H59),"")</f>
        <v/>
      </c>
      <c r="AB59" s="32" t="str">
        <f t="shared" ref="AB59:AB68" si="40">IF(AA59&lt;&gt;"",$O59,"")</f>
        <v/>
      </c>
      <c r="AC59" s="57" t="str">
        <f t="shared" ref="AC59:AC68" si="41">IF($F59&amp;"/Día"=AC$9,ROUND(AA59/$W$1,1),"")</f>
        <v/>
      </c>
      <c r="AD59" s="58" t="str">
        <f t="shared" ref="AD59:AD68" si="42">IF(AA59=0,0,IF($F59&amp;"/Día"=AC$9,ROUND(AB59/AA59,4),""))</f>
        <v/>
      </c>
      <c r="AE59" s="58" t="str">
        <f t="shared" ref="AE59:AE68" si="43">IF(AA59=0,0,IF($F59&amp;"/Día"=AC$9,ROUND(AF59/AA59,4),""))</f>
        <v/>
      </c>
      <c r="AF59" s="32" t="str">
        <f t="shared" ref="AF59:AF68" si="44">IF(AA59&lt;&gt;"",$Q59,"")</f>
        <v/>
      </c>
      <c r="AG59" s="124"/>
    </row>
    <row r="60" spans="1:33" x14ac:dyDescent="0.25">
      <c r="A60" s="16" t="s">
        <v>28</v>
      </c>
      <c r="B60" s="17" t="s">
        <v>159</v>
      </c>
      <c r="C60" s="40" t="s">
        <v>31</v>
      </c>
      <c r="D60" s="40" t="s">
        <v>30</v>
      </c>
      <c r="E60" s="40" t="s">
        <v>158</v>
      </c>
      <c r="F60" s="216" t="s">
        <v>55</v>
      </c>
      <c r="G60" s="256">
        <v>7520606.9585999995</v>
      </c>
      <c r="H60" s="256">
        <v>8539048.6511000004</v>
      </c>
      <c r="I60" s="192">
        <v>2.0621</v>
      </c>
      <c r="J60" s="192">
        <v>2.0621</v>
      </c>
      <c r="K60" s="256"/>
      <c r="L60" s="256"/>
      <c r="M60" s="256"/>
      <c r="N60" s="256"/>
      <c r="O60" s="200">
        <f>G60*I60+H60*J60</f>
        <v>33116615.832762372</v>
      </c>
      <c r="P60" s="198">
        <f>ROUND(37.24%*(G60*I60+H60*J60),2)</f>
        <v>12332627.74</v>
      </c>
      <c r="Q60" s="198">
        <f t="shared" si="32"/>
        <v>6166313.8700000001</v>
      </c>
      <c r="R60" s="199">
        <v>0.5</v>
      </c>
      <c r="S60" s="198"/>
      <c r="T60" s="199"/>
      <c r="U60" s="32" t="str">
        <f t="shared" si="33"/>
        <v/>
      </c>
      <c r="V60" s="32" t="str">
        <f t="shared" si="34"/>
        <v/>
      </c>
      <c r="W60" s="57" t="str">
        <f t="shared" si="35"/>
        <v/>
      </c>
      <c r="X60" s="58" t="str">
        <f t="shared" si="36"/>
        <v/>
      </c>
      <c r="Y60" s="58" t="str">
        <f t="shared" si="37"/>
        <v/>
      </c>
      <c r="Z60" s="32" t="str">
        <f t="shared" si="38"/>
        <v/>
      </c>
      <c r="AA60" s="32">
        <f t="shared" si="39"/>
        <v>16059655.6097</v>
      </c>
      <c r="AB60" s="32">
        <f t="shared" si="40"/>
        <v>33116615.832762372</v>
      </c>
      <c r="AC60" s="57">
        <f t="shared" si="41"/>
        <v>535321.9</v>
      </c>
      <c r="AD60" s="58">
        <f t="shared" si="42"/>
        <v>2.0621</v>
      </c>
      <c r="AE60" s="58">
        <f t="shared" si="43"/>
        <v>0.38400000000000001</v>
      </c>
      <c r="AF60" s="32">
        <f t="shared" si="44"/>
        <v>6166313.8700000001</v>
      </c>
      <c r="AG60" s="124"/>
    </row>
    <row r="61" spans="1:33" x14ac:dyDescent="0.25">
      <c r="A61" s="16" t="s">
        <v>28</v>
      </c>
      <c r="B61" s="17" t="s">
        <v>177</v>
      </c>
      <c r="C61" s="40" t="s">
        <v>31</v>
      </c>
      <c r="D61" s="40" t="s">
        <v>30</v>
      </c>
      <c r="E61" s="40" t="s">
        <v>158</v>
      </c>
      <c r="F61" s="216" t="s">
        <v>55</v>
      </c>
      <c r="G61" s="256">
        <v>30736.4781</v>
      </c>
      <c r="H61" s="256">
        <v>31362.119299999998</v>
      </c>
      <c r="I61" s="192">
        <v>2.8683999999999998</v>
      </c>
      <c r="J61" s="192">
        <v>2.8683999999999998</v>
      </c>
      <c r="K61" s="256"/>
      <c r="L61" s="256"/>
      <c r="M61" s="256"/>
      <c r="N61" s="256"/>
      <c r="O61" s="200">
        <f t="shared" ref="O61:O67" si="45">G61*I61+H61*J61</f>
        <v>178123.61678215998</v>
      </c>
      <c r="P61" s="198">
        <f>ROUND(37.24%*O61,2)</f>
        <v>66333.23</v>
      </c>
      <c r="Q61" s="198">
        <f t="shared" si="32"/>
        <v>33166.620000000003</v>
      </c>
      <c r="R61" s="199">
        <v>0.5</v>
      </c>
      <c r="S61" s="198"/>
      <c r="T61" s="199"/>
      <c r="U61" s="32" t="str">
        <f>IF($F61&amp;"/Día"=W$9,SUM($G61:$H61),"")</f>
        <v/>
      </c>
      <c r="V61" s="32" t="str">
        <f>IF(U61&lt;&gt;"",$O61,"")</f>
        <v/>
      </c>
      <c r="W61" s="57" t="str">
        <f>IF($F61&amp;"/Día"=W$9,ROUND(U61/$W$1,1),"")</f>
        <v/>
      </c>
      <c r="X61" s="58" t="str">
        <f>IF(U61=0,0,IF($F61&amp;"/Día"=W$9,ROUND(V61/U61,4),""))</f>
        <v/>
      </c>
      <c r="Y61" s="58" t="str">
        <f>IF(U61=0,0,IF($F61&amp;"/Día"=W$9,ROUND(Z61/U61,4),""))</f>
        <v/>
      </c>
      <c r="Z61" s="32" t="str">
        <f>IF(U61&lt;&gt;"",$Q61,"")</f>
        <v/>
      </c>
      <c r="AA61" s="32">
        <f t="shared" si="39"/>
        <v>62098.597399999999</v>
      </c>
      <c r="AB61" s="32">
        <f>IF(AA61&lt;&gt;"",$O61,"")</f>
        <v>178123.61678215998</v>
      </c>
      <c r="AC61" s="57">
        <f t="shared" si="41"/>
        <v>2070</v>
      </c>
      <c r="AD61" s="58">
        <f>IF(AA61=0,0,IF($F61&amp;"/Día"=AC$9,ROUND(AB61/AA61,4),""))</f>
        <v>2.8683999999999998</v>
      </c>
      <c r="AE61" s="58">
        <f t="shared" si="43"/>
        <v>0.53410000000000002</v>
      </c>
      <c r="AF61" s="32">
        <f t="shared" si="44"/>
        <v>33166.620000000003</v>
      </c>
      <c r="AG61" s="124"/>
    </row>
    <row r="62" spans="1:33" ht="12" customHeight="1" x14ac:dyDescent="0.3">
      <c r="A62" s="386" t="s">
        <v>28</v>
      </c>
      <c r="B62" s="385" t="s">
        <v>178</v>
      </c>
      <c r="C62" s="40" t="s">
        <v>31</v>
      </c>
      <c r="D62" s="40" t="s">
        <v>30</v>
      </c>
      <c r="E62" s="40" t="s">
        <v>158</v>
      </c>
      <c r="F62" s="216" t="s">
        <v>55</v>
      </c>
      <c r="G62" s="256">
        <v>878493.53659999999</v>
      </c>
      <c r="H62" s="256">
        <v>926493.38199999998</v>
      </c>
      <c r="I62" s="192">
        <v>1.821</v>
      </c>
      <c r="J62" s="192">
        <v>2.218</v>
      </c>
      <c r="K62" s="256"/>
      <c r="L62" s="256"/>
      <c r="M62" s="256"/>
      <c r="N62" s="256"/>
      <c r="O62" s="200">
        <f t="shared" si="45"/>
        <v>3654699.0514246002</v>
      </c>
      <c r="P62" s="198">
        <f>ROUND(38%*G62*I62,2)+ROUND(38%*H62*J62,2)</f>
        <v>1388785.6400000001</v>
      </c>
      <c r="Q62" s="198">
        <f t="shared" si="32"/>
        <v>694392.82</v>
      </c>
      <c r="R62" s="258">
        <v>0.5</v>
      </c>
      <c r="S62" s="198"/>
      <c r="T62" s="199"/>
      <c r="U62" s="32" t="str">
        <f>IF($F62&amp;"/Día"=W$9,SUM($G62:$H62),"")</f>
        <v/>
      </c>
      <c r="V62" s="32" t="str">
        <f>IF(U62&lt;&gt;"",$O62,"")</f>
        <v/>
      </c>
      <c r="W62" s="57" t="str">
        <f>IF($F62&amp;"/Día"=W$9,ROUND(U62/$W$1,1),"")</f>
        <v/>
      </c>
      <c r="X62" s="58" t="str">
        <f>IF(U62=0,0,IF($F62&amp;"/Día"=W$9,ROUND(V62/U62,4),""))</f>
        <v/>
      </c>
      <c r="Y62" s="58" t="str">
        <f>IF(U62=0,0,IF($F62&amp;"/Día"=W$9,ROUND(Z62/U62,4),""))</f>
        <v/>
      </c>
      <c r="Z62" s="32" t="str">
        <f>IF(U62&lt;&gt;"",$Q62,"")</f>
        <v/>
      </c>
      <c r="AA62" s="32">
        <f t="shared" si="39"/>
        <v>1804986.9186</v>
      </c>
      <c r="AB62" s="32">
        <f>IF(AA62&lt;&gt;"",$O62,"")</f>
        <v>3654699.0514246002</v>
      </c>
      <c r="AC62" s="57">
        <f t="shared" si="41"/>
        <v>60166.2</v>
      </c>
      <c r="AD62" s="58">
        <f>IF(AA62=0,0,IF($F62&amp;"/Día"=AC$9,ROUND(AB62/AA62,4),""))</f>
        <v>2.0247999999999999</v>
      </c>
      <c r="AE62" s="58">
        <f t="shared" si="43"/>
        <v>0.38469999999999999</v>
      </c>
      <c r="AF62" s="32">
        <f t="shared" si="44"/>
        <v>694392.82</v>
      </c>
      <c r="AG62" s="124"/>
    </row>
    <row r="63" spans="1:33" x14ac:dyDescent="0.25">
      <c r="A63" s="16" t="s">
        <v>28</v>
      </c>
      <c r="B63" s="19" t="s">
        <v>168</v>
      </c>
      <c r="C63" s="40" t="s">
        <v>31</v>
      </c>
      <c r="D63" s="40" t="s">
        <v>30</v>
      </c>
      <c r="E63" s="40" t="s">
        <v>158</v>
      </c>
      <c r="F63" s="215" t="s">
        <v>36</v>
      </c>
      <c r="G63" s="256">
        <v>419837</v>
      </c>
      <c r="H63" s="256">
        <v>448419</v>
      </c>
      <c r="I63" s="192">
        <v>40.641500000000001</v>
      </c>
      <c r="J63" s="192">
        <v>44.032699999999998</v>
      </c>
      <c r="K63" s="256"/>
      <c r="L63" s="256"/>
      <c r="M63" s="256"/>
      <c r="N63" s="256"/>
      <c r="O63" s="200">
        <f t="shared" si="45"/>
        <v>36807904.7368</v>
      </c>
      <c r="P63" s="198">
        <f>ROUND(40%*G63*I63,2)+ROUND(40%*H63*J63,2)</f>
        <v>14723161.890000001</v>
      </c>
      <c r="Q63" s="198">
        <f t="shared" si="32"/>
        <v>7361580.9500000002</v>
      </c>
      <c r="R63" s="199">
        <v>0.5</v>
      </c>
      <c r="S63" s="198"/>
      <c r="T63" s="199"/>
      <c r="U63" s="32">
        <f t="shared" si="33"/>
        <v>868256</v>
      </c>
      <c r="V63" s="32">
        <f t="shared" si="34"/>
        <v>36807904.7368</v>
      </c>
      <c r="W63" s="57">
        <f t="shared" si="35"/>
        <v>28941.9</v>
      </c>
      <c r="X63" s="58">
        <f t="shared" si="36"/>
        <v>42.392899999999997</v>
      </c>
      <c r="Y63" s="58">
        <f t="shared" si="37"/>
        <v>8.4786000000000001</v>
      </c>
      <c r="Z63" s="32">
        <f t="shared" si="38"/>
        <v>7361580.9500000002</v>
      </c>
      <c r="AA63" s="32" t="str">
        <f t="shared" si="39"/>
        <v/>
      </c>
      <c r="AB63" s="32" t="str">
        <f t="shared" si="40"/>
        <v/>
      </c>
      <c r="AC63" s="57" t="str">
        <f t="shared" si="41"/>
        <v/>
      </c>
      <c r="AD63" s="58" t="str">
        <f t="shared" si="42"/>
        <v/>
      </c>
      <c r="AE63" s="58" t="str">
        <f t="shared" si="43"/>
        <v/>
      </c>
      <c r="AF63" s="32" t="str">
        <f t="shared" si="44"/>
        <v/>
      </c>
      <c r="AG63" s="124"/>
    </row>
    <row r="64" spans="1:33" ht="13" x14ac:dyDescent="0.3">
      <c r="A64" s="16" t="s">
        <v>28</v>
      </c>
      <c r="B64" s="385" t="s">
        <v>169</v>
      </c>
      <c r="C64" s="40" t="s">
        <v>31</v>
      </c>
      <c r="D64" s="40" t="s">
        <v>30</v>
      </c>
      <c r="E64" s="40" t="s">
        <v>158</v>
      </c>
      <c r="F64" s="215" t="s">
        <v>55</v>
      </c>
      <c r="G64" s="256">
        <v>6224075.9209000003</v>
      </c>
      <c r="H64" s="256">
        <v>6695796.3998999996</v>
      </c>
      <c r="I64" s="192">
        <v>1.821</v>
      </c>
      <c r="J64" s="192">
        <v>2.218</v>
      </c>
      <c r="K64" s="256"/>
      <c r="L64" s="256"/>
      <c r="M64" s="256"/>
      <c r="N64" s="256"/>
      <c r="O64" s="200">
        <f t="shared" si="45"/>
        <v>26185318.666937098</v>
      </c>
      <c r="P64" s="198">
        <f>ROUND(38%*G64*I64,2)+ROUND(38%*H64*J64,2)</f>
        <v>9950421.0999999996</v>
      </c>
      <c r="Q64" s="198">
        <f t="shared" si="32"/>
        <v>4975210.55</v>
      </c>
      <c r="R64" s="199">
        <v>0.5</v>
      </c>
      <c r="S64" s="198"/>
      <c r="T64" s="199"/>
      <c r="U64" s="32" t="str">
        <f t="shared" si="33"/>
        <v/>
      </c>
      <c r="V64" s="32" t="str">
        <f t="shared" si="34"/>
        <v/>
      </c>
      <c r="W64" s="57" t="str">
        <f t="shared" si="35"/>
        <v/>
      </c>
      <c r="X64" s="58" t="str">
        <f t="shared" si="36"/>
        <v/>
      </c>
      <c r="Y64" s="58" t="str">
        <f t="shared" si="37"/>
        <v/>
      </c>
      <c r="Z64" s="32" t="str">
        <f t="shared" si="38"/>
        <v/>
      </c>
      <c r="AA64" s="32">
        <f t="shared" si="39"/>
        <v>12919872.320799999</v>
      </c>
      <c r="AB64" s="32">
        <f t="shared" si="40"/>
        <v>26185318.666937098</v>
      </c>
      <c r="AC64" s="57">
        <f t="shared" si="41"/>
        <v>430662.40000000002</v>
      </c>
      <c r="AD64" s="58">
        <f t="shared" si="42"/>
        <v>2.0266999999999999</v>
      </c>
      <c r="AE64" s="58">
        <f t="shared" si="43"/>
        <v>0.3851</v>
      </c>
      <c r="AF64" s="32">
        <f t="shared" si="44"/>
        <v>4975210.55</v>
      </c>
      <c r="AG64" s="124"/>
    </row>
    <row r="65" spans="1:33" x14ac:dyDescent="0.25">
      <c r="A65" s="16" t="s">
        <v>28</v>
      </c>
      <c r="B65" s="22" t="s">
        <v>173</v>
      </c>
      <c r="C65" s="40" t="s">
        <v>31</v>
      </c>
      <c r="D65" s="40" t="s">
        <v>30</v>
      </c>
      <c r="E65" s="40" t="s">
        <v>158</v>
      </c>
      <c r="F65" s="215" t="s">
        <v>55</v>
      </c>
      <c r="G65" s="256">
        <v>249670.40599999999</v>
      </c>
      <c r="H65" s="256">
        <v>262965.10499999998</v>
      </c>
      <c r="I65" s="192">
        <v>1.8303</v>
      </c>
      <c r="J65" s="192">
        <v>1.8303</v>
      </c>
      <c r="K65" s="191"/>
      <c r="L65" s="256"/>
      <c r="M65" s="256"/>
      <c r="N65" s="191"/>
      <c r="O65" s="200">
        <f t="shared" si="45"/>
        <v>938276.77578329993</v>
      </c>
      <c r="P65" s="198">
        <f>ROUND(37.24%*(G65*I65+H65*J65),2)</f>
        <v>349414.27</v>
      </c>
      <c r="Q65" s="198">
        <f t="shared" si="32"/>
        <v>174707.14</v>
      </c>
      <c r="R65" s="199">
        <v>0.5</v>
      </c>
      <c r="S65" s="198"/>
      <c r="T65" s="236"/>
      <c r="U65" s="32" t="str">
        <f t="shared" si="33"/>
        <v/>
      </c>
      <c r="V65" s="32" t="str">
        <f t="shared" si="34"/>
        <v/>
      </c>
      <c r="W65" s="57" t="str">
        <f t="shared" si="35"/>
        <v/>
      </c>
      <c r="X65" s="58" t="str">
        <f t="shared" si="36"/>
        <v/>
      </c>
      <c r="Y65" s="58" t="str">
        <f t="shared" si="37"/>
        <v/>
      </c>
      <c r="Z65" s="32" t="str">
        <f t="shared" si="38"/>
        <v/>
      </c>
      <c r="AA65" s="32">
        <f t="shared" si="39"/>
        <v>512635.51099999994</v>
      </c>
      <c r="AB65" s="32">
        <f t="shared" si="40"/>
        <v>938276.77578329993</v>
      </c>
      <c r="AC65" s="57">
        <f t="shared" si="41"/>
        <v>17087.900000000001</v>
      </c>
      <c r="AD65" s="58">
        <f t="shared" si="42"/>
        <v>1.8303</v>
      </c>
      <c r="AE65" s="58">
        <f t="shared" si="43"/>
        <v>0.34079999999999999</v>
      </c>
      <c r="AF65" s="32">
        <f t="shared" si="44"/>
        <v>174707.14</v>
      </c>
      <c r="AG65" s="124"/>
    </row>
    <row r="66" spans="1:33" x14ac:dyDescent="0.25">
      <c r="A66" s="16" t="s">
        <v>28</v>
      </c>
      <c r="B66" s="22" t="s">
        <v>175</v>
      </c>
      <c r="C66" s="40" t="s">
        <v>31</v>
      </c>
      <c r="D66" s="40" t="s">
        <v>30</v>
      </c>
      <c r="E66" s="40" t="s">
        <v>158</v>
      </c>
      <c r="F66" s="215" t="s">
        <v>36</v>
      </c>
      <c r="G66" s="256">
        <v>209845</v>
      </c>
      <c r="H66" s="256">
        <v>225889</v>
      </c>
      <c r="I66" s="192">
        <v>36.552399999999999</v>
      </c>
      <c r="J66" s="192">
        <v>39.945799999999998</v>
      </c>
      <c r="K66" s="191"/>
      <c r="L66" s="256"/>
      <c r="M66" s="256"/>
      <c r="N66" s="191"/>
      <c r="O66" s="200">
        <f t="shared" si="45"/>
        <v>16693655.194199998</v>
      </c>
      <c r="P66" s="231">
        <f>ROUND(G66*I66,2)*6.42%+ROUND(H66*J66,2)*6.59%</f>
        <v>1087072.302434</v>
      </c>
      <c r="Q66" s="198">
        <f t="shared" si="32"/>
        <v>543536.15</v>
      </c>
      <c r="R66" s="199">
        <v>0.5</v>
      </c>
      <c r="S66" s="198"/>
      <c r="T66" s="236"/>
      <c r="U66" s="32">
        <f>IF($F66&amp;"/Día"=W$9,SUM($G66:$H66),"")</f>
        <v>435734</v>
      </c>
      <c r="V66" s="32">
        <f t="shared" si="34"/>
        <v>16693655.194199998</v>
      </c>
      <c r="W66" s="57">
        <f t="shared" si="35"/>
        <v>14524.5</v>
      </c>
      <c r="X66" s="58">
        <f t="shared" si="36"/>
        <v>38.311599999999999</v>
      </c>
      <c r="Y66" s="58">
        <f>IF(U66=0,0,IF($F66&amp;"/Día"=W$9,ROUND(Z66/U66,4),""))</f>
        <v>1.2474000000000001</v>
      </c>
      <c r="Z66" s="32">
        <f>IF(U66&lt;&gt;"",$Q66,"")</f>
        <v>543536.15</v>
      </c>
      <c r="AA66" s="32" t="str">
        <f t="shared" si="39"/>
        <v/>
      </c>
      <c r="AB66" s="32" t="str">
        <f t="shared" si="40"/>
        <v/>
      </c>
      <c r="AC66" s="57" t="str">
        <f t="shared" si="41"/>
        <v/>
      </c>
      <c r="AD66" s="58" t="str">
        <f t="shared" si="42"/>
        <v/>
      </c>
      <c r="AE66" s="58" t="str">
        <f>IF(AA66=0,0,IF($F66&amp;"/Día"=AC$9,ROUND(AF66/AA66,4),""))</f>
        <v/>
      </c>
      <c r="AF66" s="32" t="str">
        <f>IF(AA66&lt;&gt;"",$Q66,"")</f>
        <v/>
      </c>
      <c r="AG66" s="124"/>
    </row>
    <row r="67" spans="1:33" x14ac:dyDescent="0.25">
      <c r="A67" s="16" t="s">
        <v>28</v>
      </c>
      <c r="B67" s="250" t="s">
        <v>176</v>
      </c>
      <c r="C67" s="40" t="s">
        <v>31</v>
      </c>
      <c r="D67" s="40" t="s">
        <v>30</v>
      </c>
      <c r="E67" s="40" t="s">
        <v>158</v>
      </c>
      <c r="F67" s="215" t="s">
        <v>55</v>
      </c>
      <c r="G67" s="256">
        <v>2998626.0688999998</v>
      </c>
      <c r="H67" s="256">
        <v>3222616.0849000001</v>
      </c>
      <c r="I67" s="192">
        <v>2.504</v>
      </c>
      <c r="J67" s="192">
        <v>2.504</v>
      </c>
      <c r="K67" s="191"/>
      <c r="L67" s="256"/>
      <c r="M67" s="256"/>
      <c r="N67" s="191"/>
      <c r="O67" s="200">
        <f t="shared" si="45"/>
        <v>15577990.353115201</v>
      </c>
      <c r="P67" s="231">
        <f>ROUND(G67*I67,2)*9.47%+ROUND(H67*J67,2)*9.86%</f>
        <v>1506706.4667439999</v>
      </c>
      <c r="Q67" s="198">
        <f t="shared" si="32"/>
        <v>753353.23</v>
      </c>
      <c r="R67" s="199">
        <v>0.5</v>
      </c>
      <c r="S67" s="198"/>
      <c r="T67" s="236"/>
      <c r="U67" s="32" t="str">
        <f>IF($F67&amp;"/Día"=W$9,SUM($G67:$H67),"")</f>
        <v/>
      </c>
      <c r="V67" s="32" t="str">
        <f t="shared" si="34"/>
        <v/>
      </c>
      <c r="W67" s="57" t="str">
        <f t="shared" si="35"/>
        <v/>
      </c>
      <c r="X67" s="58" t="str">
        <f t="shared" si="36"/>
        <v/>
      </c>
      <c r="Y67" s="58" t="str">
        <f>IF(U67=0,0,IF($F67&amp;"/Día"=W$9,ROUND(Z67/U67,4),""))</f>
        <v/>
      </c>
      <c r="Z67" s="32" t="str">
        <f>IF(U67&lt;&gt;"",$Q67,"")</f>
        <v/>
      </c>
      <c r="AA67" s="32">
        <f t="shared" si="39"/>
        <v>6221242.1537999995</v>
      </c>
      <c r="AB67" s="32">
        <f t="shared" si="40"/>
        <v>15577990.353115201</v>
      </c>
      <c r="AC67" s="57">
        <f t="shared" si="41"/>
        <v>207374.7</v>
      </c>
      <c r="AD67" s="58">
        <f t="shared" si="42"/>
        <v>2.504</v>
      </c>
      <c r="AE67" s="58">
        <f>IF(AA67=0,0,IF($F67&amp;"/Día"=AC$9,ROUND(AF67/AA67,4),""))</f>
        <v>0.1211</v>
      </c>
      <c r="AF67" s="32">
        <f>IF(AA67&lt;&gt;"",$Q67,"")</f>
        <v>753353.23</v>
      </c>
      <c r="AG67" s="124"/>
    </row>
    <row r="68" spans="1:33" x14ac:dyDescent="0.25">
      <c r="A68" s="149" t="s">
        <v>28</v>
      </c>
      <c r="B68" s="150" t="s">
        <v>162</v>
      </c>
      <c r="C68" s="151"/>
      <c r="D68" s="151"/>
      <c r="E68" s="152"/>
      <c r="F68" s="312"/>
      <c r="G68" s="239"/>
      <c r="H68" s="240"/>
      <c r="I68" s="240"/>
      <c r="J68" s="241"/>
      <c r="K68" s="241"/>
      <c r="L68" s="241"/>
      <c r="M68" s="155"/>
      <c r="N68" s="155"/>
      <c r="O68" s="168">
        <f>O454</f>
        <v>2326688.6083662752</v>
      </c>
      <c r="P68" s="168">
        <f>P454</f>
        <v>-127757.11015799941</v>
      </c>
      <c r="Q68" s="168">
        <f>Q454</f>
        <v>-63878.549999998984</v>
      </c>
      <c r="R68" s="123"/>
      <c r="S68" s="156"/>
      <c r="T68" s="123"/>
      <c r="U68" s="32" t="str">
        <f t="shared" si="33"/>
        <v/>
      </c>
      <c r="V68" s="32" t="str">
        <f t="shared" si="34"/>
        <v/>
      </c>
      <c r="W68" s="57" t="str">
        <f t="shared" si="35"/>
        <v/>
      </c>
      <c r="X68" s="58" t="str">
        <f t="shared" si="36"/>
        <v/>
      </c>
      <c r="Y68" s="58" t="str">
        <f t="shared" si="37"/>
        <v/>
      </c>
      <c r="Z68" s="32" t="str">
        <f t="shared" si="38"/>
        <v/>
      </c>
      <c r="AA68" s="32" t="str">
        <f t="shared" si="39"/>
        <v/>
      </c>
      <c r="AB68" s="32" t="str">
        <f t="shared" si="40"/>
        <v/>
      </c>
      <c r="AC68" s="57" t="str">
        <f t="shared" si="41"/>
        <v/>
      </c>
      <c r="AD68" s="58" t="str">
        <f t="shared" si="42"/>
        <v/>
      </c>
      <c r="AE68" s="58" t="str">
        <f t="shared" si="43"/>
        <v/>
      </c>
      <c r="AF68" s="32" t="str">
        <f t="shared" si="44"/>
        <v/>
      </c>
      <c r="AG68" s="124"/>
    </row>
    <row r="69" spans="1:33" x14ac:dyDescent="0.25">
      <c r="A69" s="24"/>
      <c r="B69" s="127" t="s">
        <v>105</v>
      </c>
      <c r="C69" s="25" t="str">
        <f>TEXT(A$58,)&amp;" US$"</f>
        <v>Cusco US$</v>
      </c>
      <c r="D69" s="14"/>
      <c r="E69" s="14"/>
      <c r="F69" s="245"/>
      <c r="G69" s="232">
        <f>SUM(G64:G65)</f>
        <v>6473746.3269000007</v>
      </c>
      <c r="H69" s="232">
        <f>SUM(H64:H65)</f>
        <v>6958761.5048999991</v>
      </c>
      <c r="I69" s="299"/>
      <c r="J69" s="232"/>
      <c r="K69" s="243"/>
      <c r="L69" s="297"/>
      <c r="M69" s="157"/>
      <c r="N69" s="174"/>
      <c r="O69" s="174">
        <f>SUM(O59:O68)</f>
        <v>197478771.32627106</v>
      </c>
      <c r="P69" s="174">
        <f>SUM(P59:P68)</f>
        <v>64365378.769019999</v>
      </c>
      <c r="Q69" s="174">
        <f>SUM(Q59:Q68)</f>
        <v>32182689.399999999</v>
      </c>
      <c r="R69" s="154"/>
      <c r="S69" s="162"/>
      <c r="T69" s="123"/>
      <c r="U69" s="59">
        <f>SUM(U59:U68)</f>
        <v>2766295</v>
      </c>
      <c r="V69" s="59">
        <f>SUM(V59:V68)</f>
        <v>115501058.42109999</v>
      </c>
      <c r="W69" s="60">
        <f>SUM(W59:W68)</f>
        <v>92209.9</v>
      </c>
      <c r="X69" s="61">
        <f>ROUND(V69/U69,4)</f>
        <v>41.753</v>
      </c>
      <c r="Y69" s="61">
        <f>ROUND(Z69/U69,4)</f>
        <v>7.0308999999999999</v>
      </c>
      <c r="Z69" s="59">
        <f>SUM(Z59:Z68)</f>
        <v>19449423.719999999</v>
      </c>
      <c r="AA69" s="59">
        <f>SUM(AA59:AA68)</f>
        <v>37580491.111299999</v>
      </c>
      <c r="AB69" s="59">
        <f>SUM(AB59:AB68)</f>
        <v>79651024.296804726</v>
      </c>
      <c r="AC69" s="60">
        <f>SUM(AC59:AC68)</f>
        <v>1252683.1000000001</v>
      </c>
      <c r="AD69" s="61">
        <f>ROUND(AB69/AA69,4)</f>
        <v>2.1194999999999999</v>
      </c>
      <c r="AE69" s="61">
        <f>ROUND(AF69/AA69,4)</f>
        <v>0.34050000000000002</v>
      </c>
      <c r="AF69" s="59">
        <f>SUM(AF59:AF68)</f>
        <v>12797144.23</v>
      </c>
      <c r="AG69" s="59">
        <f>Q69-Z69-AF69</f>
        <v>-63878.550000000745</v>
      </c>
    </row>
    <row r="70" spans="1:33" x14ac:dyDescent="0.25">
      <c r="A70" s="121"/>
      <c r="B70" s="122"/>
      <c r="C70" s="25" t="str">
        <f>TEXT(A$58,)&amp;" S/."</f>
        <v>Cusco S/.</v>
      </c>
      <c r="D70" s="85"/>
      <c r="E70" s="85"/>
      <c r="F70" s="245"/>
      <c r="G70" s="233">
        <f>SUMPRODUCT(I64:I65,G64:G65)/SUM(G64:G65)</f>
        <v>1.8213586694100372</v>
      </c>
      <c r="H70" s="233">
        <f>SUMPRODUCT(J64:J65,H64:H65)/SUM(H64:H65)</f>
        <v>2.2033491787099315</v>
      </c>
      <c r="I70" s="300"/>
      <c r="J70" s="232">
        <f>+N70+M70</f>
        <v>0</v>
      </c>
      <c r="K70" s="244"/>
      <c r="L70" s="298"/>
      <c r="M70" s="161"/>
      <c r="N70" s="161"/>
      <c r="O70" s="161"/>
      <c r="P70" s="307"/>
      <c r="Q70" s="164">
        <f>Q69*F1</f>
        <v>0</v>
      </c>
      <c r="R70" s="153"/>
      <c r="S70" s="162"/>
      <c r="T70" s="123"/>
      <c r="U70" s="124"/>
      <c r="V70" s="124"/>
      <c r="W70" s="125"/>
      <c r="X70" s="126"/>
      <c r="Y70" s="126"/>
      <c r="Z70" s="124"/>
      <c r="AA70" s="124"/>
      <c r="AB70" s="124"/>
      <c r="AC70" s="125"/>
      <c r="AD70" s="126"/>
      <c r="AE70" s="126"/>
      <c r="AF70" s="124"/>
      <c r="AG70" s="124"/>
    </row>
    <row r="71" spans="1:33" ht="13" x14ac:dyDescent="0.3">
      <c r="A71" s="8" t="s">
        <v>54</v>
      </c>
      <c r="B71" s="252"/>
      <c r="C71" s="252"/>
      <c r="D71" s="252"/>
      <c r="E71" s="252"/>
      <c r="F71" s="246"/>
      <c r="G71" s="234">
        <f>G69*G70</f>
        <v>11791013.996060701</v>
      </c>
      <c r="H71" s="234">
        <f>H69*H70</f>
        <v>15332581.446659701</v>
      </c>
      <c r="I71" s="232">
        <f>H71+G71</f>
        <v>27123595.442720402</v>
      </c>
      <c r="J71" s="232">
        <f>O64+O65</f>
        <v>27123595.442720398</v>
      </c>
      <c r="K71" s="301">
        <f>I71-J71</f>
        <v>0</v>
      </c>
      <c r="L71" s="306"/>
      <c r="M71" s="255">
        <f>SUM(M10:M68)</f>
        <v>11586.45</v>
      </c>
      <c r="N71" s="255">
        <f>SUM(N10:N68)</f>
        <v>77732.829999999987</v>
      </c>
      <c r="O71" s="255">
        <f>O36+O42+O56+O69</f>
        <v>298921601.97627103</v>
      </c>
      <c r="P71" s="255">
        <f>Q69+P56+P42+P36</f>
        <v>50976368.390000001</v>
      </c>
      <c r="Q71" s="166">
        <f>Q70+P57+P43+P37</f>
        <v>0</v>
      </c>
      <c r="R71" s="38"/>
      <c r="S71" s="166"/>
      <c r="T71" s="38"/>
      <c r="U71" s="66">
        <f>U36+U42+U56+U69</f>
        <v>4553195</v>
      </c>
      <c r="V71" s="66">
        <f>V36+V42+V56+V69</f>
        <v>213029289.8211</v>
      </c>
      <c r="W71" s="67">
        <f>W36+W42+W56+W69</f>
        <v>151773.29999999999</v>
      </c>
      <c r="X71" s="68">
        <f>ROUND(V71/U71,4)</f>
        <v>46.786799999999999</v>
      </c>
      <c r="Y71" s="68">
        <f>ROUND(Z71/U71,4)</f>
        <v>8.2392000000000003</v>
      </c>
      <c r="Z71" s="66">
        <f>Z36+Z42+Z56+Z69</f>
        <v>37514629.43</v>
      </c>
      <c r="AA71" s="66">
        <f>AA36+AA42+AA56+AA69</f>
        <v>39028309.092</v>
      </c>
      <c r="AB71" s="66">
        <f>AB36+AB42+AB56+AB69</f>
        <v>83269919.586804733</v>
      </c>
      <c r="AC71" s="66">
        <f>AC36+AC42+AC56+AC69</f>
        <v>1300943.7000000002</v>
      </c>
      <c r="AD71" s="68">
        <f>ROUND(AB71/AA71,4)</f>
        <v>2.1335999999999999</v>
      </c>
      <c r="AE71" s="68">
        <f>ROUND(AF71/AA71,4)</f>
        <v>0.3453</v>
      </c>
      <c r="AF71" s="66">
        <f>AF36+AF42+AF56+AF69</f>
        <v>13475687.100000001</v>
      </c>
      <c r="AG71" s="66">
        <f>P71-Z71-AF71</f>
        <v>-13948.140000000596</v>
      </c>
    </row>
    <row r="72" spans="1:33" x14ac:dyDescent="0.25">
      <c r="A72" s="4"/>
      <c r="B72" s="4"/>
      <c r="C72" s="4"/>
      <c r="D72" s="4"/>
      <c r="E72" s="4"/>
      <c r="F72" s="4"/>
      <c r="G72" s="303"/>
      <c r="H72" s="303"/>
      <c r="I72" s="303"/>
      <c r="J72" s="303"/>
      <c r="K72" s="303"/>
      <c r="L72" s="303"/>
      <c r="M72" s="4"/>
      <c r="N72" s="175"/>
      <c r="O72" s="4"/>
      <c r="P72" s="4"/>
      <c r="Q72" s="4"/>
      <c r="R72" s="4"/>
      <c r="S72" s="4"/>
      <c r="T72" s="4"/>
      <c r="U72" s="4"/>
      <c r="V72" s="4"/>
      <c r="W72" s="4"/>
      <c r="X72" s="4"/>
      <c r="Y72" s="4"/>
      <c r="Z72" s="48"/>
      <c r="AA72" s="48"/>
      <c r="AB72" s="48"/>
      <c r="AC72" s="48"/>
      <c r="AD72" s="48"/>
      <c r="AE72" s="48"/>
    </row>
    <row r="73" spans="1:33" x14ac:dyDescent="0.25">
      <c r="A73" s="70" t="s">
        <v>92</v>
      </c>
      <c r="B73" s="5" t="s">
        <v>75</v>
      </c>
      <c r="C73" s="5"/>
      <c r="D73" s="4"/>
      <c r="E73" s="4"/>
      <c r="F73" s="4"/>
      <c r="H73" s="70" t="s">
        <v>76</v>
      </c>
      <c r="J73" s="45"/>
      <c r="K73" s="45"/>
      <c r="L73" s="4"/>
      <c r="M73" s="4"/>
      <c r="N73" s="325"/>
      <c r="O73" s="333">
        <f>120853382.49+139352381.96+36326849.05-6337.84-11586.45-77732.83+2622270.38</f>
        <v>299059226.76000005</v>
      </c>
      <c r="P73" s="47"/>
      <c r="Q73" s="47"/>
      <c r="R73" s="4"/>
      <c r="S73" s="4"/>
      <c r="T73" s="4"/>
      <c r="U73" s="48" t="s">
        <v>188</v>
      </c>
      <c r="V73" s="294">
        <f>6376757.84-V80</f>
        <v>5654249.0199999996</v>
      </c>
      <c r="W73" s="294">
        <f>+P36</f>
        <v>12872362.719999999</v>
      </c>
      <c r="X73" s="294" t="s">
        <v>23</v>
      </c>
      <c r="Y73" s="4"/>
    </row>
    <row r="74" spans="1:33" ht="13" x14ac:dyDescent="0.3">
      <c r="A74" s="4"/>
      <c r="B74" s="97" t="s">
        <v>77</v>
      </c>
      <c r="C74" s="98" t="s">
        <v>78</v>
      </c>
      <c r="D74" s="99"/>
      <c r="E74" s="100" t="s">
        <v>34</v>
      </c>
      <c r="F74" s="100" t="s">
        <v>79</v>
      </c>
      <c r="H74" s="71" t="s">
        <v>34</v>
      </c>
      <c r="I74" s="252"/>
      <c r="J74" s="252"/>
      <c r="K74" s="252"/>
      <c r="L74" s="72"/>
      <c r="M74" s="4"/>
      <c r="N74" s="325"/>
      <c r="O74" s="376"/>
      <c r="P74" s="376"/>
      <c r="Q74" s="376"/>
      <c r="R74" s="4"/>
      <c r="S74" s="4"/>
      <c r="T74" s="4"/>
      <c r="U74" s="48" t="s">
        <v>189</v>
      </c>
      <c r="V74" s="294">
        <f>6872699.93-V83</f>
        <v>6177558.71</v>
      </c>
      <c r="W74" s="294">
        <f>+P56</f>
        <v>5013909.3100000005</v>
      </c>
      <c r="X74" s="294" t="s">
        <v>24</v>
      </c>
      <c r="Y74" s="4"/>
    </row>
    <row r="75" spans="1:33" x14ac:dyDescent="0.25">
      <c r="A75" s="5"/>
      <c r="B75" s="73" t="s">
        <v>80</v>
      </c>
      <c r="C75" s="74" t="s">
        <v>81</v>
      </c>
      <c r="D75" s="75"/>
      <c r="E75" s="76"/>
      <c r="F75" s="76"/>
      <c r="H75" s="77" t="str">
        <f>"=  ("&amp;TEXT(E75,"0.0000")&amp;" * "&amp;TEXT(E78,"0.00%")&amp;" + ("&amp;TEXT(E76,"0.0000")&amp;" - "&amp;TEXT(E77,"0.0000")&amp;" - "&amp;TEXT(E80,"0.0000")&amp;") * (1 - "&amp;TEXT(E78,"0.00%")&amp;"))"</f>
        <v>=  (0.0000 * 0.00% + (0.0000 - 0.0000 - 0.0000) * (1 - 0.00%))</v>
      </c>
      <c r="I75" s="4"/>
      <c r="J75" s="4"/>
      <c r="K75" s="4"/>
      <c r="L75" s="78"/>
      <c r="M75" s="4"/>
      <c r="N75" s="400"/>
      <c r="O75" s="330">
        <f>+O71-O73</f>
        <v>-137624.78372901678</v>
      </c>
      <c r="P75" s="376"/>
      <c r="Q75" s="376"/>
      <c r="R75" s="4"/>
      <c r="S75" s="4"/>
      <c r="T75" s="4"/>
      <c r="U75" s="48" t="s">
        <v>29</v>
      </c>
      <c r="V75" s="294">
        <v>6805097.1100000003</v>
      </c>
      <c r="W75" s="294">
        <f>+P42</f>
        <v>907406.96</v>
      </c>
      <c r="X75" s="294" t="s">
        <v>190</v>
      </c>
      <c r="Y75" s="4"/>
    </row>
    <row r="76" spans="1:33" x14ac:dyDescent="0.25">
      <c r="A76" s="4"/>
      <c r="B76" s="79" t="s">
        <v>82</v>
      </c>
      <c r="C76" s="80" t="s">
        <v>83</v>
      </c>
      <c r="D76" s="81"/>
      <c r="E76" s="82"/>
      <c r="F76" s="83"/>
      <c r="H76" s="84">
        <f>((85.98%*E75+4.4221)*E78+(E76-E77-E80)*(1-E78))</f>
        <v>0</v>
      </c>
      <c r="I76" s="85"/>
      <c r="J76" s="85"/>
      <c r="K76" s="85"/>
      <c r="L76" s="86"/>
      <c r="M76" s="4"/>
      <c r="N76" s="325"/>
      <c r="O76" s="376"/>
      <c r="P76" s="376"/>
      <c r="Q76" s="376"/>
      <c r="R76" s="4"/>
      <c r="S76" s="4"/>
      <c r="T76" s="4"/>
      <c r="U76" s="251" t="s">
        <v>281</v>
      </c>
      <c r="V76" s="294">
        <f>16534.58+15763.21+22056.33</f>
        <v>54354.12</v>
      </c>
    </row>
    <row r="77" spans="1:33" x14ac:dyDescent="0.25">
      <c r="A77" s="4"/>
      <c r="B77" s="79" t="s">
        <v>84</v>
      </c>
      <c r="C77" s="80" t="s">
        <v>85</v>
      </c>
      <c r="D77" s="81"/>
      <c r="E77" s="82"/>
      <c r="F77" s="82"/>
      <c r="G77" s="4"/>
      <c r="I77" s="87"/>
      <c r="J77" s="4"/>
      <c r="K77" s="4"/>
      <c r="L77" s="4"/>
      <c r="M77" s="4"/>
      <c r="N77" s="325"/>
      <c r="O77" s="376">
        <f>32320129.05+1807524.68+1379621.36+920500.01-100926.05</f>
        <v>36326849.050000004</v>
      </c>
      <c r="P77" s="376"/>
      <c r="Q77" s="376"/>
      <c r="R77" s="4"/>
      <c r="S77" s="4"/>
      <c r="T77" s="4"/>
      <c r="U77" s="48"/>
      <c r="V77" s="295">
        <f>SUM(V73:V76)</f>
        <v>18691258.960000001</v>
      </c>
      <c r="W77" s="295">
        <f>SUM(W73:W75)</f>
        <v>18793678.990000002</v>
      </c>
      <c r="X77" s="294">
        <f>V77-W77</f>
        <v>-102420.03000000119</v>
      </c>
      <c r="Y77" s="4"/>
      <c r="Z77" s="251" t="s">
        <v>275</v>
      </c>
      <c r="AA77" s="251" t="s">
        <v>276</v>
      </c>
    </row>
    <row r="78" spans="1:33" ht="12.75" customHeight="1" x14ac:dyDescent="0.3">
      <c r="A78" s="4"/>
      <c r="B78" s="79" t="s">
        <v>86</v>
      </c>
      <c r="C78" s="80" t="s">
        <v>87</v>
      </c>
      <c r="D78" s="81"/>
      <c r="E78" s="316"/>
      <c r="F78" s="316"/>
      <c r="G78" s="4"/>
      <c r="H78" s="71" t="s">
        <v>79</v>
      </c>
      <c r="I78" s="89"/>
      <c r="J78" s="252"/>
      <c r="K78" s="252"/>
      <c r="L78" s="72"/>
      <c r="M78" s="4"/>
      <c r="N78" s="325"/>
      <c r="O78" s="378">
        <v>2622270.3778975252</v>
      </c>
      <c r="P78" s="378"/>
      <c r="Q78" s="378"/>
      <c r="R78" s="4"/>
      <c r="S78" s="4"/>
      <c r="T78" s="4"/>
      <c r="U78" s="48" t="s">
        <v>191</v>
      </c>
      <c r="V78" s="294">
        <v>5651197.1900000004</v>
      </c>
      <c r="W78" s="294"/>
      <c r="X78" s="294"/>
      <c r="Y78" s="4"/>
      <c r="Z78" s="251" t="s">
        <v>280</v>
      </c>
    </row>
    <row r="79" spans="1:33" ht="26" x14ac:dyDescent="0.25">
      <c r="A79" s="4"/>
      <c r="B79" s="79" t="s">
        <v>88</v>
      </c>
      <c r="C79" s="80" t="s">
        <v>89</v>
      </c>
      <c r="D79" s="81"/>
      <c r="E79" s="90"/>
      <c r="F79" s="83"/>
      <c r="G79" s="4"/>
      <c r="H79" s="77" t="str">
        <f>"=  ("&amp;TEXT(F75,"0.0000")&amp;" * "&amp;TEXT(F78,"0.00%")&amp;" + ("&amp;TEXT(F76,"0.0000")&amp;" - "&amp;TEXT(F77,"0.0000")&amp;" - "&amp;TEXT(F80,"0.0000")&amp;") * (1 - "&amp;TEXT(F78,"0.00%")&amp;"))"</f>
        <v>=  (0.0000 * 0.00% + (0.0000 - 0.0000 - 0.0000) * (1 - 0.00%))</v>
      </c>
      <c r="I79" s="87"/>
      <c r="J79" s="4"/>
      <c r="K79" s="4"/>
      <c r="L79" s="78"/>
      <c r="M79" s="4"/>
      <c r="N79" s="4"/>
      <c r="O79" s="393">
        <f>+O78-O75</f>
        <v>2759895.161626542</v>
      </c>
      <c r="P79" s="376"/>
      <c r="Q79" s="376"/>
      <c r="R79" s="4"/>
      <c r="S79" s="4"/>
      <c r="T79" s="4"/>
      <c r="U79" s="48" t="s">
        <v>192</v>
      </c>
      <c r="V79" s="294">
        <v>8360344.2599999998</v>
      </c>
      <c r="W79" s="294"/>
      <c r="X79" s="294"/>
      <c r="Y79" s="4"/>
      <c r="Z79" s="395" t="s">
        <v>277</v>
      </c>
      <c r="AA79" s="395" t="s">
        <v>278</v>
      </c>
      <c r="AB79" s="395" t="s">
        <v>279</v>
      </c>
    </row>
    <row r="80" spans="1:33" x14ac:dyDescent="0.25">
      <c r="A80" s="4"/>
      <c r="B80" s="91" t="s">
        <v>90</v>
      </c>
      <c r="C80" s="92" t="s">
        <v>91</v>
      </c>
      <c r="D80" s="93"/>
      <c r="E80" s="94"/>
      <c r="F80" s="94"/>
      <c r="G80" s="4"/>
      <c r="H80" s="84">
        <f>((85.98%*F75+4.4221)*F78+(F76-F77-F80)*(1-F78))</f>
        <v>0</v>
      </c>
      <c r="I80" s="95"/>
      <c r="J80" s="85"/>
      <c r="K80" s="85"/>
      <c r="L80" s="86"/>
      <c r="M80" s="4"/>
      <c r="N80" s="4"/>
      <c r="O80" s="393"/>
      <c r="P80" s="396"/>
      <c r="Q80" s="4"/>
      <c r="R80" s="4"/>
      <c r="S80" s="4"/>
      <c r="T80" s="4"/>
      <c r="U80" s="48" t="s">
        <v>193</v>
      </c>
      <c r="V80" s="294">
        <v>722508.82</v>
      </c>
      <c r="W80" s="294"/>
      <c r="X80" s="294"/>
      <c r="Y80" s="4"/>
      <c r="Z80" s="394">
        <v>137745.71</v>
      </c>
      <c r="AA80" s="394">
        <v>41323.71</v>
      </c>
      <c r="AB80" s="394">
        <f>+Z80*15%</f>
        <v>20661.856499999998</v>
      </c>
    </row>
    <row r="81" spans="1:28" x14ac:dyDescent="0.25">
      <c r="A81" s="3"/>
      <c r="C81" s="2"/>
      <c r="D81" s="2"/>
      <c r="H81" s="146"/>
      <c r="U81" s="48" t="s">
        <v>194</v>
      </c>
      <c r="V81" s="294">
        <v>6860381.3799999999</v>
      </c>
      <c r="W81" s="294"/>
      <c r="X81" s="294"/>
      <c r="Y81" s="4"/>
    </row>
    <row r="82" spans="1:28" x14ac:dyDescent="0.25">
      <c r="U82" s="48" t="s">
        <v>195</v>
      </c>
      <c r="V82" s="294">
        <v>9893093.75</v>
      </c>
      <c r="W82" s="294"/>
      <c r="X82" s="294"/>
    </row>
    <row r="83" spans="1:28" ht="18" x14ac:dyDescent="0.4">
      <c r="A83" s="249" t="str">
        <f>"AJUSTES PARA "&amp;UPPER(TEXT(E1,"MMMMMMM YYYY"))</f>
        <v>AJUSTES PARA ABRIL 2018</v>
      </c>
      <c r="B83" s="249"/>
      <c r="C83" s="249"/>
      <c r="D83" s="249"/>
      <c r="E83" s="249"/>
      <c r="F83" s="249"/>
      <c r="G83" s="249"/>
      <c r="H83" s="249"/>
      <c r="I83" s="249"/>
      <c r="J83" s="249"/>
      <c r="K83" s="249"/>
      <c r="L83" s="249"/>
      <c r="M83" s="249"/>
      <c r="N83" s="249"/>
      <c r="O83" s="249"/>
      <c r="P83" s="249"/>
      <c r="Q83" s="249"/>
      <c r="R83" s="249"/>
      <c r="S83" s="249"/>
      <c r="T83" s="249"/>
      <c r="U83" s="48" t="s">
        <v>196</v>
      </c>
      <c r="V83" s="294">
        <v>695141.22</v>
      </c>
      <c r="W83" s="294"/>
      <c r="X83" s="294"/>
    </row>
    <row r="84" spans="1:28" ht="18" x14ac:dyDescent="0.4">
      <c r="U84" s="48"/>
      <c r="V84" s="295">
        <f>SUM(V78:V83)</f>
        <v>32182666.619999997</v>
      </c>
      <c r="W84" s="295">
        <f>Q69</f>
        <v>32182689.399999999</v>
      </c>
      <c r="X84" s="294">
        <f>V84-W84</f>
        <v>-22.780000001192093</v>
      </c>
      <c r="Y84" s="249"/>
    </row>
    <row r="85" spans="1:28" x14ac:dyDescent="0.25">
      <c r="A85" s="335" t="s">
        <v>182</v>
      </c>
      <c r="B85" s="265" t="s">
        <v>222</v>
      </c>
      <c r="C85" s="317"/>
      <c r="N85" s="290"/>
      <c r="U85" s="48"/>
      <c r="V85" s="294"/>
      <c r="W85" s="294"/>
      <c r="X85" s="48"/>
    </row>
    <row r="86" spans="1:28" ht="13" x14ac:dyDescent="0.3">
      <c r="A86" s="257" t="s">
        <v>161</v>
      </c>
      <c r="B86" s="252"/>
      <c r="C86" s="266"/>
      <c r="D86" s="263" t="s">
        <v>19</v>
      </c>
      <c r="E86" s="262" t="s">
        <v>58</v>
      </c>
      <c r="F86" s="263" t="s">
        <v>27</v>
      </c>
      <c r="G86" s="264" t="s">
        <v>34</v>
      </c>
      <c r="H86" s="253" t="s">
        <v>35</v>
      </c>
      <c r="I86" s="253" t="s">
        <v>34</v>
      </c>
      <c r="J86" s="264" t="s">
        <v>35</v>
      </c>
      <c r="K86" s="264" t="s">
        <v>38</v>
      </c>
      <c r="L86" s="264" t="s">
        <v>39</v>
      </c>
      <c r="M86" s="264" t="s">
        <v>41</v>
      </c>
      <c r="N86" s="264" t="s">
        <v>2</v>
      </c>
      <c r="O86" s="267" t="s">
        <v>179</v>
      </c>
      <c r="P86" s="276" t="s">
        <v>163</v>
      </c>
      <c r="Q86" s="276" t="s">
        <v>183</v>
      </c>
      <c r="R86" s="254"/>
      <c r="V86" s="294">
        <f>+V73+V78+V79+V80</f>
        <v>20388299.289999999</v>
      </c>
      <c r="W86" s="48"/>
      <c r="X86" s="294"/>
      <c r="Y86" s="294"/>
      <c r="Z86" s="48"/>
    </row>
    <row r="87" spans="1:28" x14ac:dyDescent="0.25">
      <c r="A87" s="268" t="s">
        <v>28</v>
      </c>
      <c r="B87" s="269" t="s">
        <v>173</v>
      </c>
      <c r="C87" s="277" t="s">
        <v>31</v>
      </c>
      <c r="D87" s="278" t="s">
        <v>184</v>
      </c>
      <c r="E87" s="278"/>
      <c r="F87" s="287" t="s">
        <v>55</v>
      </c>
      <c r="G87" s="256">
        <v>256658.83319999999</v>
      </c>
      <c r="H87" s="256">
        <v>220308.01370000001</v>
      </c>
      <c r="I87" s="192">
        <v>1.8293999999999999</v>
      </c>
      <c r="J87" s="192">
        <v>1.8293999999999999</v>
      </c>
      <c r="K87" s="191"/>
      <c r="L87" s="256"/>
      <c r="M87" s="256"/>
      <c r="N87" s="191"/>
      <c r="O87" s="200">
        <f t="shared" ref="O87:O88" si="46">G87*I87+H87*J87</f>
        <v>872563.14971885993</v>
      </c>
      <c r="P87" s="198">
        <f>ROUND(37.24%*(G87*I87+H87*J87),2)</f>
        <v>324942.52</v>
      </c>
      <c r="Q87" s="198">
        <f t="shared" ref="Q87:Q88" si="47">ROUND(R87*P87,2)</f>
        <v>162471.26</v>
      </c>
      <c r="R87" s="199">
        <v>0.5</v>
      </c>
      <c r="V87" s="294">
        <f>+V74+V81+V82+V83</f>
        <v>23626175.059999999</v>
      </c>
      <c r="W87" s="48"/>
      <c r="X87" s="294"/>
      <c r="Y87" s="295"/>
      <c r="Z87" s="294"/>
    </row>
    <row r="88" spans="1:28" x14ac:dyDescent="0.25">
      <c r="A88" s="270" t="s">
        <v>28</v>
      </c>
      <c r="B88" s="279" t="str">
        <f>B87</f>
        <v>56 GAS-Mlocal</v>
      </c>
      <c r="C88" s="280" t="s">
        <v>31</v>
      </c>
      <c r="D88" s="281" t="s">
        <v>185</v>
      </c>
      <c r="E88" s="281"/>
      <c r="F88" s="286" t="str">
        <f>F87</f>
        <v xml:space="preserve"> MM BTU</v>
      </c>
      <c r="G88" s="319">
        <f>+G87</f>
        <v>256658.83319999999</v>
      </c>
      <c r="H88" s="319">
        <f>+H87</f>
        <v>220308.01370000001</v>
      </c>
      <c r="I88" s="272">
        <v>1.8303</v>
      </c>
      <c r="J88" s="272">
        <v>1.8303</v>
      </c>
      <c r="K88" s="272"/>
      <c r="L88" s="272"/>
      <c r="M88" s="272"/>
      <c r="N88" s="271"/>
      <c r="O88" s="200">
        <f t="shared" si="46"/>
        <v>872992.41988107003</v>
      </c>
      <c r="P88" s="198">
        <f>ROUND(37.24%*(G88*I88+H88*J88),2)</f>
        <v>325102.38</v>
      </c>
      <c r="Q88" s="198">
        <f t="shared" si="47"/>
        <v>162551.19</v>
      </c>
      <c r="R88" s="199">
        <v>0.5</v>
      </c>
      <c r="V88" s="294">
        <f>+V75</f>
        <v>6805097.1100000003</v>
      </c>
      <c r="W88" s="47"/>
      <c r="X88" s="47"/>
      <c r="Y88" s="47"/>
    </row>
    <row r="89" spans="1:28" x14ac:dyDescent="0.25">
      <c r="A89" s="273"/>
      <c r="B89" s="282" t="s">
        <v>180</v>
      </c>
      <c r="C89" s="71"/>
      <c r="D89" s="165"/>
      <c r="E89" s="165"/>
      <c r="F89" s="273"/>
      <c r="G89" s="318">
        <f t="shared" ref="G89:Q89" si="48">G88-G87</f>
        <v>0</v>
      </c>
      <c r="H89" s="320">
        <f t="shared" si="48"/>
        <v>0</v>
      </c>
      <c r="I89" s="283">
        <f t="shared" si="48"/>
        <v>9.0000000000012292E-4</v>
      </c>
      <c r="J89" s="283">
        <f>J88-J87</f>
        <v>9.0000000000012292E-4</v>
      </c>
      <c r="K89" s="283">
        <f t="shared" si="48"/>
        <v>0</v>
      </c>
      <c r="L89" s="283">
        <f t="shared" si="48"/>
        <v>0</v>
      </c>
      <c r="M89" s="283">
        <f t="shared" si="48"/>
        <v>0</v>
      </c>
      <c r="N89" s="284">
        <f t="shared" si="48"/>
        <v>0</v>
      </c>
      <c r="O89" s="274">
        <f>O88-O87</f>
        <v>429.27016221010126</v>
      </c>
      <c r="P89" s="275">
        <f>P88-P87</f>
        <v>159.85999999998603</v>
      </c>
      <c r="Q89" s="274">
        <f t="shared" si="48"/>
        <v>79.929999999993015</v>
      </c>
      <c r="R89" s="285"/>
      <c r="S89" s="251" t="s">
        <v>181</v>
      </c>
      <c r="V89" s="296">
        <f>SUM(V86:V88)</f>
        <v>50819571.459999993</v>
      </c>
      <c r="W89" s="47"/>
      <c r="X89" s="47">
        <f>+V89-P71</f>
        <v>-156796.93000000715</v>
      </c>
      <c r="Y89" s="47"/>
      <c r="Z89" s="47"/>
      <c r="AB89" s="47"/>
    </row>
    <row r="90" spans="1:28" x14ac:dyDescent="0.25">
      <c r="V90" s="147">
        <f>P71</f>
        <v>50976368.390000001</v>
      </c>
    </row>
    <row r="91" spans="1:28" x14ac:dyDescent="0.25">
      <c r="A91" s="324"/>
      <c r="B91" s="265" t="s">
        <v>222</v>
      </c>
      <c r="C91" s="317"/>
      <c r="V91" s="290">
        <f>+V89-V90</f>
        <v>-156796.93000000715</v>
      </c>
    </row>
    <row r="92" spans="1:28" ht="13" x14ac:dyDescent="0.3">
      <c r="A92" s="257" t="s">
        <v>161</v>
      </c>
      <c r="B92" s="252"/>
      <c r="C92" s="266"/>
      <c r="D92" s="263" t="s">
        <v>19</v>
      </c>
      <c r="E92" s="262" t="s">
        <v>58</v>
      </c>
      <c r="F92" s="263" t="s">
        <v>27</v>
      </c>
      <c r="G92" s="264" t="s">
        <v>34</v>
      </c>
      <c r="H92" s="253" t="s">
        <v>35</v>
      </c>
      <c r="I92" s="253" t="s">
        <v>34</v>
      </c>
      <c r="J92" s="264" t="s">
        <v>35</v>
      </c>
      <c r="K92" s="264" t="s">
        <v>38</v>
      </c>
      <c r="L92" s="264" t="s">
        <v>39</v>
      </c>
      <c r="M92" s="264" t="s">
        <v>41</v>
      </c>
      <c r="N92" s="264" t="s">
        <v>2</v>
      </c>
      <c r="O92" s="267" t="s">
        <v>179</v>
      </c>
      <c r="P92" s="276" t="s">
        <v>163</v>
      </c>
      <c r="Q92" s="276" t="s">
        <v>183</v>
      </c>
      <c r="R92" s="254"/>
      <c r="W92" s="48"/>
      <c r="Y92" s="294"/>
      <c r="Z92" s="48"/>
    </row>
    <row r="93" spans="1:28" x14ac:dyDescent="0.25">
      <c r="A93" s="16" t="s">
        <v>28</v>
      </c>
      <c r="B93" s="250" t="s">
        <v>176</v>
      </c>
      <c r="C93" s="40" t="s">
        <v>31</v>
      </c>
      <c r="D93" s="40" t="s">
        <v>30</v>
      </c>
      <c r="E93" s="40" t="s">
        <v>158</v>
      </c>
      <c r="F93" s="380" t="s">
        <v>55</v>
      </c>
      <c r="G93" s="256">
        <v>3185893.4501999998</v>
      </c>
      <c r="H93" s="256">
        <v>2793721.0328000002</v>
      </c>
      <c r="I93" s="192">
        <v>2.3559999999999999</v>
      </c>
      <c r="J93" s="192">
        <v>2.3559999999999999</v>
      </c>
      <c r="K93" s="350"/>
      <c r="L93" s="351"/>
      <c r="M93" s="351"/>
      <c r="N93" s="350"/>
      <c r="O93" s="200">
        <f t="shared" ref="O93:O94" si="49">G93*I93+H93*J93</f>
        <v>14087971.721947998</v>
      </c>
      <c r="P93" s="231">
        <f>ROUND(G93*I93,2)*9.8%+ROUND(H93*J93,2)*9.46%</f>
        <v>1358242.40561</v>
      </c>
      <c r="Q93" s="198">
        <f t="shared" ref="Q93:Q94" si="50">ROUND(R93*P93,2)</f>
        <v>679121.2</v>
      </c>
      <c r="R93" s="199">
        <v>0.5</v>
      </c>
    </row>
    <row r="94" spans="1:28" x14ac:dyDescent="0.25">
      <c r="A94" s="270" t="s">
        <v>28</v>
      </c>
      <c r="B94" s="279" t="str">
        <f>B93</f>
        <v>57 GAS</v>
      </c>
      <c r="C94" s="280" t="s">
        <v>31</v>
      </c>
      <c r="D94" s="281" t="s">
        <v>185</v>
      </c>
      <c r="E94" s="281"/>
      <c r="F94" s="286" t="str">
        <f>F93</f>
        <v xml:space="preserve"> MM BTU</v>
      </c>
      <c r="G94" s="319">
        <f>+G93</f>
        <v>3185893.4501999998</v>
      </c>
      <c r="H94" s="319">
        <f>+H93</f>
        <v>2793721.0328000002</v>
      </c>
      <c r="I94" s="272">
        <v>2.504</v>
      </c>
      <c r="J94" s="272">
        <v>2.504</v>
      </c>
      <c r="K94" s="352"/>
      <c r="L94" s="353"/>
      <c r="M94" s="353"/>
      <c r="N94" s="352"/>
      <c r="O94" s="200">
        <f t="shared" si="49"/>
        <v>14972954.665431999</v>
      </c>
      <c r="P94" s="231">
        <f>ROUND(G94*I94,2)*9.8%+ROUND(H94*J94,2)*9.46%</f>
        <v>1443564.934262</v>
      </c>
      <c r="Q94" s="198">
        <f t="shared" si="50"/>
        <v>721782.47</v>
      </c>
      <c r="R94" s="199">
        <v>0.5</v>
      </c>
    </row>
    <row r="95" spans="1:28" x14ac:dyDescent="0.25">
      <c r="A95" s="273"/>
      <c r="B95" s="282" t="s">
        <v>180</v>
      </c>
      <c r="C95" s="71"/>
      <c r="D95" s="165"/>
      <c r="E95" s="165"/>
      <c r="F95" s="273"/>
      <c r="G95" s="318">
        <f t="shared" ref="G95:P95" si="51">G94-G93</f>
        <v>0</v>
      </c>
      <c r="H95" s="320">
        <f t="shared" si="51"/>
        <v>0</v>
      </c>
      <c r="I95" s="283">
        <f t="shared" si="51"/>
        <v>0.14800000000000013</v>
      </c>
      <c r="J95" s="283">
        <f t="shared" si="51"/>
        <v>0.14800000000000013</v>
      </c>
      <c r="K95" s="283">
        <f t="shared" si="51"/>
        <v>0</v>
      </c>
      <c r="L95" s="283">
        <f t="shared" si="51"/>
        <v>0</v>
      </c>
      <c r="M95" s="283">
        <f t="shared" si="51"/>
        <v>0</v>
      </c>
      <c r="N95" s="284">
        <f t="shared" si="51"/>
        <v>0</v>
      </c>
      <c r="O95" s="255">
        <f t="shared" si="51"/>
        <v>884982.94348400086</v>
      </c>
      <c r="P95" s="344">
        <f t="shared" si="51"/>
        <v>85322.528652000008</v>
      </c>
      <c r="Q95" s="255">
        <f>Q94-Q93</f>
        <v>42661.270000000019</v>
      </c>
      <c r="R95" s="345"/>
      <c r="S95" s="251" t="s">
        <v>181</v>
      </c>
    </row>
    <row r="97" spans="1:26" x14ac:dyDescent="0.25">
      <c r="A97" s="324"/>
      <c r="B97" s="265" t="s">
        <v>223</v>
      </c>
      <c r="C97" s="317"/>
      <c r="W97" s="48"/>
      <c r="Y97" s="294"/>
      <c r="Z97" s="48"/>
    </row>
    <row r="98" spans="1:26" ht="13" x14ac:dyDescent="0.3">
      <c r="A98" s="257" t="s">
        <v>161</v>
      </c>
      <c r="B98" s="252"/>
      <c r="C98" s="266"/>
      <c r="D98" s="263" t="s">
        <v>19</v>
      </c>
      <c r="E98" s="262" t="s">
        <v>58</v>
      </c>
      <c r="F98" s="263" t="s">
        <v>27</v>
      </c>
      <c r="G98" s="264" t="s">
        <v>34</v>
      </c>
      <c r="H98" s="253" t="s">
        <v>35</v>
      </c>
      <c r="I98" s="253" t="s">
        <v>34</v>
      </c>
      <c r="J98" s="264" t="s">
        <v>35</v>
      </c>
      <c r="K98" s="264" t="s">
        <v>38</v>
      </c>
      <c r="L98" s="264" t="s">
        <v>39</v>
      </c>
      <c r="M98" s="264" t="s">
        <v>41</v>
      </c>
      <c r="N98" s="264" t="s">
        <v>2</v>
      </c>
      <c r="O98" s="267" t="s">
        <v>179</v>
      </c>
      <c r="P98" s="276" t="s">
        <v>163</v>
      </c>
      <c r="Q98" s="276" t="s">
        <v>183</v>
      </c>
      <c r="R98" s="254"/>
      <c r="W98" s="48"/>
      <c r="Y98" s="295"/>
      <c r="Z98" s="294"/>
    </row>
    <row r="99" spans="1:26" x14ac:dyDescent="0.25">
      <c r="A99" s="16" t="s">
        <v>28</v>
      </c>
      <c r="B99" s="17" t="s">
        <v>159</v>
      </c>
      <c r="C99" s="40" t="s">
        <v>31</v>
      </c>
      <c r="D99" s="40" t="s">
        <v>30</v>
      </c>
      <c r="E99" s="40" t="s">
        <v>158</v>
      </c>
      <c r="F99" s="216" t="s">
        <v>55</v>
      </c>
      <c r="G99" s="256">
        <v>6714461.5531000001</v>
      </c>
      <c r="H99" s="256">
        <v>6354405.0686999997</v>
      </c>
      <c r="I99" s="192">
        <v>2.1133000000000002</v>
      </c>
      <c r="J99" s="192">
        <v>2.1133000000000002</v>
      </c>
      <c r="K99" s="256"/>
      <c r="L99" s="256"/>
      <c r="M99" s="256"/>
      <c r="N99" s="256"/>
      <c r="O99" s="200">
        <f>G99*I99+H99*J99</f>
        <v>27618435.83184994</v>
      </c>
      <c r="P99" s="198">
        <f>ROUND(37.24%*(G99*I99+H99*J99),2)</f>
        <v>10285105.5</v>
      </c>
      <c r="Q99" s="198">
        <f t="shared" ref="Q99:Q100" si="52">ROUND(R99*P99,2)</f>
        <v>5142552.75</v>
      </c>
      <c r="R99" s="199">
        <v>0.5</v>
      </c>
      <c r="W99" s="47"/>
      <c r="Y99" s="47"/>
    </row>
    <row r="100" spans="1:26" x14ac:dyDescent="0.25">
      <c r="A100" s="270" t="s">
        <v>28</v>
      </c>
      <c r="B100" s="279" t="str">
        <f>B99</f>
        <v>88 GAS</v>
      </c>
      <c r="C100" s="280" t="s">
        <v>31</v>
      </c>
      <c r="D100" s="281" t="s">
        <v>185</v>
      </c>
      <c r="E100" s="281"/>
      <c r="F100" s="286" t="str">
        <f>F99</f>
        <v xml:space="preserve"> MM BTU</v>
      </c>
      <c r="G100" s="319">
        <f>+G99</f>
        <v>6714461.5531000001</v>
      </c>
      <c r="H100" s="319">
        <f>+H99</f>
        <v>6354405.0686999997</v>
      </c>
      <c r="I100" s="272">
        <v>2.1038000000000001</v>
      </c>
      <c r="J100" s="272">
        <v>2.1038000000000001</v>
      </c>
      <c r="K100" s="272"/>
      <c r="L100" s="272"/>
      <c r="M100" s="272"/>
      <c r="N100" s="271"/>
      <c r="O100" s="200">
        <f>G100*I100+H100*J100</f>
        <v>27494281.598942839</v>
      </c>
      <c r="P100" s="198">
        <f>ROUND(37.24%*(G100*I100+H100*J100),2)</f>
        <v>10238870.470000001</v>
      </c>
      <c r="Q100" s="198">
        <f t="shared" si="52"/>
        <v>5119435.24</v>
      </c>
      <c r="R100" s="199">
        <v>0.5</v>
      </c>
      <c r="W100" s="47"/>
      <c r="Y100" s="47"/>
      <c r="Z100" s="47"/>
    </row>
    <row r="101" spans="1:26" x14ac:dyDescent="0.25">
      <c r="A101" s="273"/>
      <c r="B101" s="282" t="s">
        <v>180</v>
      </c>
      <c r="C101" s="71"/>
      <c r="D101" s="165"/>
      <c r="E101" s="165"/>
      <c r="F101" s="273"/>
      <c r="G101" s="318">
        <f t="shared" ref="G101:Q101" si="53">G100-G99</f>
        <v>0</v>
      </c>
      <c r="H101" s="320">
        <f t="shared" si="53"/>
        <v>0</v>
      </c>
      <c r="I101" s="283">
        <f t="shared" si="53"/>
        <v>-9.5000000000000639E-3</v>
      </c>
      <c r="J101" s="283">
        <f t="shared" si="53"/>
        <v>-9.5000000000000639E-3</v>
      </c>
      <c r="K101" s="283">
        <f t="shared" si="53"/>
        <v>0</v>
      </c>
      <c r="L101" s="283">
        <f t="shared" si="53"/>
        <v>0</v>
      </c>
      <c r="M101" s="283">
        <f t="shared" si="53"/>
        <v>0</v>
      </c>
      <c r="N101" s="284">
        <f t="shared" si="53"/>
        <v>0</v>
      </c>
      <c r="O101" s="255">
        <f t="shared" si="53"/>
        <v>-124154.23290710151</v>
      </c>
      <c r="P101" s="344">
        <f t="shared" si="53"/>
        <v>-46235.029999999329</v>
      </c>
      <c r="Q101" s="255">
        <f t="shared" si="53"/>
        <v>-23117.509999999776</v>
      </c>
      <c r="R101" s="345"/>
      <c r="S101" s="251" t="s">
        <v>181</v>
      </c>
      <c r="X101" s="47"/>
      <c r="Y101" s="47"/>
    </row>
    <row r="103" spans="1:26" x14ac:dyDescent="0.25">
      <c r="A103" s="324"/>
      <c r="B103" s="265" t="s">
        <v>223</v>
      </c>
      <c r="C103" s="317"/>
      <c r="W103" s="48"/>
      <c r="Y103" s="294"/>
      <c r="Z103" s="48"/>
    </row>
    <row r="104" spans="1:26" ht="13" x14ac:dyDescent="0.3">
      <c r="A104" s="257" t="s">
        <v>161</v>
      </c>
      <c r="B104" s="252"/>
      <c r="C104" s="266"/>
      <c r="D104" s="263" t="s">
        <v>19</v>
      </c>
      <c r="E104" s="262" t="s">
        <v>58</v>
      </c>
      <c r="F104" s="263" t="s">
        <v>27</v>
      </c>
      <c r="G104" s="264" t="s">
        <v>34</v>
      </c>
      <c r="H104" s="253" t="s">
        <v>35</v>
      </c>
      <c r="I104" s="253" t="s">
        <v>34</v>
      </c>
      <c r="J104" s="264" t="s">
        <v>35</v>
      </c>
      <c r="K104" s="264" t="s">
        <v>38</v>
      </c>
      <c r="L104" s="264" t="s">
        <v>39</v>
      </c>
      <c r="M104" s="264" t="s">
        <v>41</v>
      </c>
      <c r="N104" s="264" t="s">
        <v>2</v>
      </c>
      <c r="O104" s="267" t="s">
        <v>179</v>
      </c>
      <c r="P104" s="276" t="s">
        <v>163</v>
      </c>
      <c r="Q104" s="276" t="s">
        <v>183</v>
      </c>
      <c r="R104" s="254"/>
      <c r="W104" s="48"/>
      <c r="Y104" s="295"/>
      <c r="Z104" s="294"/>
    </row>
    <row r="105" spans="1:26" x14ac:dyDescent="0.25">
      <c r="A105" s="16" t="s">
        <v>28</v>
      </c>
      <c r="B105" s="17" t="s">
        <v>159</v>
      </c>
      <c r="C105" s="40" t="s">
        <v>31</v>
      </c>
      <c r="D105" s="40" t="s">
        <v>30</v>
      </c>
      <c r="E105" s="40" t="s">
        <v>158</v>
      </c>
      <c r="F105" s="216" t="s">
        <v>55</v>
      </c>
      <c r="G105" s="256">
        <v>8488416.7822999991</v>
      </c>
      <c r="H105" s="256">
        <v>8215382.3080000002</v>
      </c>
      <c r="I105" s="192">
        <v>2.1133000000000002</v>
      </c>
      <c r="J105" s="192">
        <v>2.1133000000000002</v>
      </c>
      <c r="K105" s="256"/>
      <c r="L105" s="256"/>
      <c r="M105" s="256"/>
      <c r="N105" s="256"/>
      <c r="O105" s="200">
        <f>G105*I105+H105*J105</f>
        <v>35300138.617530987</v>
      </c>
      <c r="P105" s="198">
        <f>ROUND(37.24%*(G105*I105+H105*J105),2)</f>
        <v>13145771.619999999</v>
      </c>
      <c r="Q105" s="198">
        <f t="shared" ref="Q105:Q106" si="54">ROUND(R105*P105,2)</f>
        <v>6572885.8099999996</v>
      </c>
      <c r="R105" s="199">
        <v>0.5</v>
      </c>
      <c r="W105" s="47"/>
      <c r="Y105" s="47"/>
    </row>
    <row r="106" spans="1:26" x14ac:dyDescent="0.25">
      <c r="A106" s="270" t="s">
        <v>28</v>
      </c>
      <c r="B106" s="279" t="str">
        <f>B105</f>
        <v>88 GAS</v>
      </c>
      <c r="C106" s="280" t="s">
        <v>31</v>
      </c>
      <c r="D106" s="281" t="s">
        <v>185</v>
      </c>
      <c r="E106" s="281"/>
      <c r="F106" s="286" t="str">
        <f>F105</f>
        <v xml:space="preserve"> MM BTU</v>
      </c>
      <c r="G106" s="319">
        <f>+G105</f>
        <v>8488416.7822999991</v>
      </c>
      <c r="H106" s="319">
        <f>+H105</f>
        <v>8215382.3080000002</v>
      </c>
      <c r="I106" s="272">
        <v>2.0621</v>
      </c>
      <c r="J106" s="272">
        <v>2.0621</v>
      </c>
      <c r="K106" s="272"/>
      <c r="L106" s="272"/>
      <c r="M106" s="272"/>
      <c r="N106" s="271"/>
      <c r="O106" s="200">
        <f>G106*I106+H106*J106</f>
        <v>34444904.104107633</v>
      </c>
      <c r="P106" s="198">
        <f>ROUND(37.24%*(G106*I106+H106*J106),2)</f>
        <v>12827282.289999999</v>
      </c>
      <c r="Q106" s="198">
        <f t="shared" si="54"/>
        <v>6413641.1500000004</v>
      </c>
      <c r="R106" s="199">
        <v>0.5</v>
      </c>
      <c r="W106" s="47"/>
      <c r="Y106" s="47"/>
      <c r="Z106" s="47"/>
    </row>
    <row r="107" spans="1:26" x14ac:dyDescent="0.25">
      <c r="A107" s="273"/>
      <c r="B107" s="282" t="s">
        <v>180</v>
      </c>
      <c r="C107" s="71"/>
      <c r="D107" s="165"/>
      <c r="E107" s="165"/>
      <c r="F107" s="273"/>
      <c r="G107" s="318">
        <f t="shared" ref="G107:Q107" si="55">G106-G105</f>
        <v>0</v>
      </c>
      <c r="H107" s="320">
        <f t="shared" si="55"/>
        <v>0</v>
      </c>
      <c r="I107" s="283">
        <f t="shared" si="55"/>
        <v>-5.1200000000000134E-2</v>
      </c>
      <c r="J107" s="283">
        <f t="shared" si="55"/>
        <v>-5.1200000000000134E-2</v>
      </c>
      <c r="K107" s="283">
        <f t="shared" si="55"/>
        <v>0</v>
      </c>
      <c r="L107" s="283">
        <f t="shared" si="55"/>
        <v>0</v>
      </c>
      <c r="M107" s="283">
        <f t="shared" si="55"/>
        <v>0</v>
      </c>
      <c r="N107" s="284">
        <f t="shared" si="55"/>
        <v>0</v>
      </c>
      <c r="O107" s="255">
        <f t="shared" si="55"/>
        <v>-855234.51342335343</v>
      </c>
      <c r="P107" s="344">
        <f t="shared" si="55"/>
        <v>-318489.33000000007</v>
      </c>
      <c r="Q107" s="255">
        <f t="shared" si="55"/>
        <v>-159244.65999999922</v>
      </c>
      <c r="R107" s="345"/>
      <c r="S107" s="251" t="s">
        <v>181</v>
      </c>
      <c r="X107" s="47"/>
      <c r="Y107" s="47"/>
    </row>
    <row r="109" spans="1:26" x14ac:dyDescent="0.25">
      <c r="A109" s="324"/>
      <c r="B109" s="265" t="s">
        <v>223</v>
      </c>
      <c r="C109" s="317"/>
      <c r="W109" s="48"/>
      <c r="Y109" s="294"/>
      <c r="Z109" s="48"/>
    </row>
    <row r="110" spans="1:26" ht="13" x14ac:dyDescent="0.3">
      <c r="A110" s="257" t="s">
        <v>161</v>
      </c>
      <c r="B110" s="252"/>
      <c r="C110" s="266"/>
      <c r="D110" s="263" t="s">
        <v>19</v>
      </c>
      <c r="E110" s="262" t="s">
        <v>58</v>
      </c>
      <c r="F110" s="263" t="s">
        <v>27</v>
      </c>
      <c r="G110" s="264" t="s">
        <v>34</v>
      </c>
      <c r="H110" s="253" t="s">
        <v>35</v>
      </c>
      <c r="I110" s="253" t="s">
        <v>34</v>
      </c>
      <c r="J110" s="264" t="s">
        <v>35</v>
      </c>
      <c r="K110" s="264" t="s">
        <v>38</v>
      </c>
      <c r="L110" s="264" t="s">
        <v>39</v>
      </c>
      <c r="M110" s="264" t="s">
        <v>41</v>
      </c>
      <c r="N110" s="264" t="s">
        <v>2</v>
      </c>
      <c r="O110" s="267" t="s">
        <v>179</v>
      </c>
      <c r="P110" s="276" t="s">
        <v>163</v>
      </c>
      <c r="Q110" s="276" t="s">
        <v>183</v>
      </c>
      <c r="R110" s="254"/>
      <c r="W110" s="48"/>
      <c r="Y110" s="295"/>
      <c r="Z110" s="294"/>
    </row>
    <row r="111" spans="1:26" x14ac:dyDescent="0.25">
      <c r="A111" s="16" t="s">
        <v>28</v>
      </c>
      <c r="B111" s="17" t="s">
        <v>225</v>
      </c>
      <c r="C111" s="40" t="s">
        <v>31</v>
      </c>
      <c r="D111" s="40" t="s">
        <v>30</v>
      </c>
      <c r="E111" s="40" t="s">
        <v>158</v>
      </c>
      <c r="F111" s="216" t="s">
        <v>55</v>
      </c>
      <c r="G111" s="256">
        <v>29215.3698</v>
      </c>
      <c r="H111" s="256">
        <v>28970.5677</v>
      </c>
      <c r="I111" s="192">
        <v>2.8704999999999998</v>
      </c>
      <c r="J111" s="192">
        <v>2.8704999999999998</v>
      </c>
      <c r="K111" s="256"/>
      <c r="L111" s="256"/>
      <c r="M111" s="256"/>
      <c r="N111" s="256"/>
      <c r="O111" s="200">
        <f t="shared" ref="O111:O112" si="56">G111*I111+H111*J111</f>
        <v>167022.73359374999</v>
      </c>
      <c r="P111" s="198">
        <f>ROUND(37.24%*O111,2)</f>
        <v>62199.27</v>
      </c>
      <c r="Q111" s="198">
        <f t="shared" ref="Q111:Q112" si="57">ROUND(R111*P111,2)</f>
        <v>31099.64</v>
      </c>
      <c r="R111" s="199">
        <v>0.5</v>
      </c>
      <c r="W111" s="47"/>
      <c r="Y111" s="47"/>
    </row>
    <row r="112" spans="1:26" x14ac:dyDescent="0.25">
      <c r="A112" s="270" t="s">
        <v>28</v>
      </c>
      <c r="B112" s="279" t="str">
        <f>B111</f>
        <v>88 GAS -Pisco</v>
      </c>
      <c r="C112" s="280" t="s">
        <v>31</v>
      </c>
      <c r="D112" s="281" t="s">
        <v>185</v>
      </c>
      <c r="E112" s="281"/>
      <c r="F112" s="286" t="str">
        <f>F111</f>
        <v xml:space="preserve"> MM BTU</v>
      </c>
      <c r="G112" s="319">
        <f>+G111</f>
        <v>29215.3698</v>
      </c>
      <c r="H112" s="319">
        <f>+H111</f>
        <v>28970.5677</v>
      </c>
      <c r="I112" s="272">
        <v>2.8683999999999998</v>
      </c>
      <c r="J112" s="272">
        <v>2.8683999999999998</v>
      </c>
      <c r="K112" s="272"/>
      <c r="L112" s="272"/>
      <c r="M112" s="272"/>
      <c r="N112" s="271"/>
      <c r="O112" s="200">
        <f t="shared" si="56"/>
        <v>166900.54312499997</v>
      </c>
      <c r="P112" s="198">
        <f>ROUND(37.24%*O112,2)</f>
        <v>62153.760000000002</v>
      </c>
      <c r="Q112" s="198">
        <f t="shared" si="57"/>
        <v>31076.880000000001</v>
      </c>
      <c r="R112" s="199">
        <v>0.5</v>
      </c>
      <c r="W112" s="47"/>
      <c r="Y112" s="47"/>
      <c r="Z112" s="47"/>
    </row>
    <row r="113" spans="1:26" x14ac:dyDescent="0.25">
      <c r="A113" s="273"/>
      <c r="B113" s="282" t="s">
        <v>180</v>
      </c>
      <c r="C113" s="71"/>
      <c r="D113" s="165"/>
      <c r="E113" s="165"/>
      <c r="F113" s="273"/>
      <c r="G113" s="318">
        <f t="shared" ref="G113:Q113" si="58">G112-G111</f>
        <v>0</v>
      </c>
      <c r="H113" s="320">
        <f t="shared" si="58"/>
        <v>0</v>
      </c>
      <c r="I113" s="283">
        <f t="shared" si="58"/>
        <v>-2.0999999999999908E-3</v>
      </c>
      <c r="J113" s="283">
        <f t="shared" si="58"/>
        <v>-2.0999999999999908E-3</v>
      </c>
      <c r="K113" s="283">
        <f t="shared" si="58"/>
        <v>0</v>
      </c>
      <c r="L113" s="283">
        <f t="shared" si="58"/>
        <v>0</v>
      </c>
      <c r="M113" s="283">
        <f t="shared" si="58"/>
        <v>0</v>
      </c>
      <c r="N113" s="284">
        <f t="shared" si="58"/>
        <v>0</v>
      </c>
      <c r="O113" s="255">
        <f t="shared" si="58"/>
        <v>-122.19046875002095</v>
      </c>
      <c r="P113" s="344">
        <f t="shared" si="58"/>
        <v>-45.509999999994761</v>
      </c>
      <c r="Q113" s="255">
        <f t="shared" si="58"/>
        <v>-22.759999999998399</v>
      </c>
      <c r="R113" s="345"/>
      <c r="S113" s="251" t="s">
        <v>181</v>
      </c>
      <c r="X113" s="47"/>
      <c r="Y113" s="47"/>
    </row>
    <row r="115" spans="1:26" x14ac:dyDescent="0.25">
      <c r="A115" s="324"/>
      <c r="B115" s="265" t="s">
        <v>224</v>
      </c>
      <c r="C115" s="317"/>
    </row>
    <row r="116" spans="1:26" ht="13" x14ac:dyDescent="0.3">
      <c r="A116" s="257" t="s">
        <v>161</v>
      </c>
      <c r="B116" s="252"/>
      <c r="C116" s="266"/>
      <c r="D116" s="263" t="s">
        <v>19</v>
      </c>
      <c r="E116" s="262" t="s">
        <v>58</v>
      </c>
      <c r="F116" s="263" t="s">
        <v>27</v>
      </c>
      <c r="G116" s="264" t="s">
        <v>34</v>
      </c>
      <c r="H116" s="253" t="s">
        <v>35</v>
      </c>
      <c r="I116" s="253" t="s">
        <v>34</v>
      </c>
      <c r="J116" s="264" t="s">
        <v>35</v>
      </c>
      <c r="K116" s="264" t="s">
        <v>38</v>
      </c>
      <c r="L116" s="264" t="s">
        <v>39</v>
      </c>
      <c r="M116" s="264" t="s">
        <v>41</v>
      </c>
      <c r="N116" s="264" t="s">
        <v>2</v>
      </c>
      <c r="O116" s="267" t="s">
        <v>179</v>
      </c>
      <c r="P116" s="276" t="s">
        <v>163</v>
      </c>
      <c r="Q116" s="276" t="s">
        <v>183</v>
      </c>
      <c r="R116" s="254"/>
    </row>
    <row r="117" spans="1:26" x14ac:dyDescent="0.25">
      <c r="A117" s="16" t="s">
        <v>28</v>
      </c>
      <c r="B117" s="22" t="s">
        <v>175</v>
      </c>
      <c r="C117" s="40" t="s">
        <v>31</v>
      </c>
      <c r="D117" s="40" t="s">
        <v>30</v>
      </c>
      <c r="E117" s="40" t="s">
        <v>158</v>
      </c>
      <c r="F117" s="216" t="s">
        <v>36</v>
      </c>
      <c r="G117" s="256">
        <v>215937</v>
      </c>
      <c r="H117" s="256">
        <v>189989</v>
      </c>
      <c r="I117" s="192">
        <v>30.211600000000001</v>
      </c>
      <c r="J117" s="192">
        <v>31.529299999999999</v>
      </c>
      <c r="K117" s="350"/>
      <c r="L117" s="351"/>
      <c r="M117" s="351"/>
      <c r="N117" s="350"/>
      <c r="O117" s="200">
        <f t="shared" ref="O117:O118" si="59">G117*I117+H117*J117</f>
        <v>12514022.446899999</v>
      </c>
      <c r="P117" s="231">
        <f>ROUND(G117*I117,2)*6.48%+ROUND(H117*J117,2)*6.35%</f>
        <v>803121.36852600006</v>
      </c>
      <c r="Q117" s="198">
        <f t="shared" ref="Q117:Q118" si="60">ROUND(R117*P117,2)</f>
        <v>401560.68</v>
      </c>
      <c r="R117" s="199">
        <v>0.5</v>
      </c>
    </row>
    <row r="118" spans="1:26" x14ac:dyDescent="0.25">
      <c r="A118" s="270" t="s">
        <v>28</v>
      </c>
      <c r="B118" s="279" t="str">
        <f>B117</f>
        <v>57 LGN</v>
      </c>
      <c r="C118" s="280" t="s">
        <v>31</v>
      </c>
      <c r="D118" s="281" t="s">
        <v>185</v>
      </c>
      <c r="E118" s="281"/>
      <c r="F118" s="286" t="str">
        <f>F117</f>
        <v>Bls</v>
      </c>
      <c r="G118" s="319">
        <f>+G117</f>
        <v>215937</v>
      </c>
      <c r="H118" s="319">
        <f>+H117</f>
        <v>189989</v>
      </c>
      <c r="I118" s="272">
        <v>36.206099999999999</v>
      </c>
      <c r="J118" s="272">
        <v>37.523800000000001</v>
      </c>
      <c r="K118" s="272"/>
      <c r="L118" s="272"/>
      <c r="M118" s="272"/>
      <c r="N118" s="271"/>
      <c r="O118" s="200">
        <f t="shared" si="59"/>
        <v>14947345.8539</v>
      </c>
      <c r="P118" s="231">
        <f>ROUND(G118*I118,2)*6.48%+ROUND(H118*J118,2)*6.35%</f>
        <v>959320.16971600009</v>
      </c>
      <c r="Q118" s="198">
        <f t="shared" si="60"/>
        <v>479660.08</v>
      </c>
      <c r="R118" s="199">
        <v>0.5</v>
      </c>
    </row>
    <row r="119" spans="1:26" x14ac:dyDescent="0.25">
      <c r="A119" s="273"/>
      <c r="B119" s="282" t="s">
        <v>180</v>
      </c>
      <c r="C119" s="71"/>
      <c r="D119" s="165"/>
      <c r="E119" s="165"/>
      <c r="F119" s="273"/>
      <c r="G119" s="318">
        <f t="shared" ref="G119:P119" si="61">G118-G117</f>
        <v>0</v>
      </c>
      <c r="H119" s="320">
        <f t="shared" si="61"/>
        <v>0</v>
      </c>
      <c r="I119" s="283">
        <f t="shared" si="61"/>
        <v>5.9944999999999986</v>
      </c>
      <c r="J119" s="283">
        <f t="shared" si="61"/>
        <v>5.9945000000000022</v>
      </c>
      <c r="K119" s="283">
        <f t="shared" si="61"/>
        <v>0</v>
      </c>
      <c r="L119" s="283">
        <f t="shared" si="61"/>
        <v>0</v>
      </c>
      <c r="M119" s="283">
        <f t="shared" si="61"/>
        <v>0</v>
      </c>
      <c r="N119" s="284">
        <f t="shared" si="61"/>
        <v>0</v>
      </c>
      <c r="O119" s="255">
        <f t="shared" si="61"/>
        <v>2433323.4070000015</v>
      </c>
      <c r="P119" s="344">
        <f t="shared" si="61"/>
        <v>156198.80119000003</v>
      </c>
      <c r="Q119" s="255">
        <f>Q118-Q117</f>
        <v>78099.400000000023</v>
      </c>
      <c r="R119" s="345"/>
      <c r="S119" s="251" t="s">
        <v>181</v>
      </c>
    </row>
    <row r="121" spans="1:26" x14ac:dyDescent="0.25">
      <c r="A121" s="324"/>
      <c r="B121" s="265" t="s">
        <v>227</v>
      </c>
      <c r="C121" s="317"/>
      <c r="W121" s="48"/>
      <c r="Y121" s="294"/>
      <c r="Z121" s="48"/>
    </row>
    <row r="122" spans="1:26" ht="13" x14ac:dyDescent="0.3">
      <c r="A122" s="257" t="s">
        <v>161</v>
      </c>
      <c r="B122" s="252"/>
      <c r="C122" s="266"/>
      <c r="D122" s="263" t="s">
        <v>19</v>
      </c>
      <c r="E122" s="262" t="s">
        <v>58</v>
      </c>
      <c r="F122" s="263" t="s">
        <v>27</v>
      </c>
      <c r="G122" s="264" t="s">
        <v>34</v>
      </c>
      <c r="H122" s="253" t="s">
        <v>35</v>
      </c>
      <c r="I122" s="253" t="s">
        <v>34</v>
      </c>
      <c r="J122" s="264" t="s">
        <v>35</v>
      </c>
      <c r="K122" s="264" t="s">
        <v>38</v>
      </c>
      <c r="L122" s="264" t="s">
        <v>39</v>
      </c>
      <c r="M122" s="264" t="s">
        <v>41</v>
      </c>
      <c r="N122" s="264" t="s">
        <v>2</v>
      </c>
      <c r="O122" s="267" t="s">
        <v>179</v>
      </c>
      <c r="P122" s="276" t="s">
        <v>163</v>
      </c>
      <c r="Q122" s="276" t="s">
        <v>183</v>
      </c>
      <c r="R122" s="254"/>
      <c r="W122" s="48"/>
      <c r="Y122" s="295"/>
      <c r="Z122" s="294"/>
    </row>
    <row r="123" spans="1:26" x14ac:dyDescent="0.25">
      <c r="A123" s="16" t="s">
        <v>28</v>
      </c>
      <c r="B123" s="17" t="s">
        <v>225</v>
      </c>
      <c r="C123" s="40" t="s">
        <v>31</v>
      </c>
      <c r="D123" s="40" t="s">
        <v>30</v>
      </c>
      <c r="E123" s="40" t="s">
        <v>158</v>
      </c>
      <c r="F123" s="216" t="s">
        <v>55</v>
      </c>
      <c r="G123" s="256"/>
      <c r="H123" s="256">
        <v>4899.0767845079945</v>
      </c>
      <c r="I123" s="192"/>
      <c r="J123" s="192">
        <v>3.1086999999999998</v>
      </c>
      <c r="K123" s="256"/>
      <c r="L123" s="256"/>
      <c r="M123" s="256"/>
      <c r="N123" s="256"/>
      <c r="O123" s="200">
        <f t="shared" ref="O123:O124" si="62">G123*I123+H123*J123</f>
        <v>15229.760000000002</v>
      </c>
      <c r="P123" s="198">
        <f>ROUND(37.24%*O123,2)</f>
        <v>5671.56</v>
      </c>
      <c r="Q123" s="198">
        <f>ROUND(R123*P123,2)</f>
        <v>2835.78</v>
      </c>
      <c r="R123" s="199">
        <v>0.5</v>
      </c>
      <c r="W123" s="47"/>
      <c r="Y123" s="47"/>
    </row>
    <row r="124" spans="1:26" x14ac:dyDescent="0.25">
      <c r="A124" s="270" t="s">
        <v>28</v>
      </c>
      <c r="B124" s="279" t="str">
        <f>B123</f>
        <v>88 GAS -Pisco</v>
      </c>
      <c r="C124" s="280" t="s">
        <v>31</v>
      </c>
      <c r="D124" s="281" t="s">
        <v>185</v>
      </c>
      <c r="E124" s="281"/>
      <c r="F124" s="286" t="str">
        <f>F123</f>
        <v xml:space="preserve"> MM BTU</v>
      </c>
      <c r="G124" s="319"/>
      <c r="H124" s="319">
        <f>+H123</f>
        <v>4899.0767845079945</v>
      </c>
      <c r="I124" s="272"/>
      <c r="J124" s="272">
        <v>3.1086</v>
      </c>
      <c r="K124" s="272"/>
      <c r="L124" s="272"/>
      <c r="M124" s="272"/>
      <c r="N124" s="271"/>
      <c r="O124" s="200">
        <f t="shared" si="62"/>
        <v>15229.270092321553</v>
      </c>
      <c r="P124" s="198">
        <f>ROUND(37.24%*O124,2)</f>
        <v>5671.38</v>
      </c>
      <c r="Q124" s="198">
        <f>ROUND(R124*P124,2)</f>
        <v>2835.69</v>
      </c>
      <c r="R124" s="199">
        <v>0.5</v>
      </c>
      <c r="W124" s="47"/>
      <c r="Y124" s="47"/>
      <c r="Z124" s="47"/>
    </row>
    <row r="125" spans="1:26" x14ac:dyDescent="0.25">
      <c r="A125" s="273"/>
      <c r="B125" s="282" t="s">
        <v>180</v>
      </c>
      <c r="C125" s="71"/>
      <c r="D125" s="165"/>
      <c r="E125" s="165"/>
      <c r="F125" s="273"/>
      <c r="G125" s="318">
        <f t="shared" ref="G125:Q125" si="63">G124-G123</f>
        <v>0</v>
      </c>
      <c r="H125" s="320">
        <f t="shared" si="63"/>
        <v>0</v>
      </c>
      <c r="I125" s="283">
        <f t="shared" si="63"/>
        <v>0</v>
      </c>
      <c r="J125" s="283">
        <f t="shared" si="63"/>
        <v>-9.9999999999766942E-5</v>
      </c>
      <c r="K125" s="283">
        <f t="shared" si="63"/>
        <v>0</v>
      </c>
      <c r="L125" s="283">
        <f t="shared" si="63"/>
        <v>0</v>
      </c>
      <c r="M125" s="283">
        <f t="shared" si="63"/>
        <v>0</v>
      </c>
      <c r="N125" s="284">
        <f t="shared" si="63"/>
        <v>0</v>
      </c>
      <c r="O125" s="255">
        <f t="shared" si="63"/>
        <v>-0.48990767844952643</v>
      </c>
      <c r="P125" s="344">
        <f t="shared" si="63"/>
        <v>-0.18000000000029104</v>
      </c>
      <c r="Q125" s="255">
        <f t="shared" si="63"/>
        <v>-9.0000000000145519E-2</v>
      </c>
      <c r="R125" s="345"/>
      <c r="S125" s="251" t="s">
        <v>181</v>
      </c>
      <c r="X125" s="47"/>
      <c r="Y125" s="47"/>
    </row>
    <row r="126" spans="1:26" x14ac:dyDescent="0.25">
      <c r="A126" s="96"/>
      <c r="B126" s="5"/>
      <c r="C126" s="96"/>
      <c r="D126" s="96"/>
      <c r="E126" s="96"/>
      <c r="F126" s="96"/>
      <c r="G126" s="366"/>
      <c r="H126" s="366"/>
      <c r="I126" s="387"/>
      <c r="J126" s="387"/>
      <c r="K126" s="367"/>
      <c r="L126" s="367"/>
      <c r="M126" s="367"/>
      <c r="N126" s="368"/>
      <c r="O126" s="366"/>
      <c r="P126" s="369"/>
      <c r="Q126" s="366"/>
      <c r="R126" s="370"/>
      <c r="S126" s="366"/>
      <c r="T126" s="4"/>
      <c r="U126" s="4"/>
      <c r="V126" s="4"/>
    </row>
    <row r="127" spans="1:26" x14ac:dyDescent="0.25">
      <c r="A127" s="324"/>
      <c r="B127" s="265" t="s">
        <v>228</v>
      </c>
      <c r="C127" s="317"/>
      <c r="W127" s="48"/>
      <c r="Y127" s="294"/>
      <c r="Z127" s="48"/>
    </row>
    <row r="128" spans="1:26" ht="13" x14ac:dyDescent="0.3">
      <c r="A128" s="257" t="s">
        <v>161</v>
      </c>
      <c r="B128" s="252"/>
      <c r="C128" s="266"/>
      <c r="D128" s="263" t="s">
        <v>19</v>
      </c>
      <c r="E128" s="262" t="s">
        <v>58</v>
      </c>
      <c r="F128" s="263" t="s">
        <v>27</v>
      </c>
      <c r="G128" s="264" t="s">
        <v>34</v>
      </c>
      <c r="H128" s="253" t="s">
        <v>35</v>
      </c>
      <c r="I128" s="253" t="s">
        <v>34</v>
      </c>
      <c r="J128" s="264" t="s">
        <v>35</v>
      </c>
      <c r="K128" s="264" t="s">
        <v>38</v>
      </c>
      <c r="L128" s="264" t="s">
        <v>39</v>
      </c>
      <c r="M128" s="264" t="s">
        <v>41</v>
      </c>
      <c r="N128" s="264" t="s">
        <v>2</v>
      </c>
      <c r="O128" s="267" t="s">
        <v>179</v>
      </c>
      <c r="P128" s="276" t="s">
        <v>163</v>
      </c>
      <c r="Q128" s="276" t="s">
        <v>183</v>
      </c>
      <c r="R128" s="254"/>
      <c r="W128" s="48"/>
      <c r="Y128" s="295"/>
      <c r="Z128" s="294"/>
    </row>
    <row r="129" spans="1:26" x14ac:dyDescent="0.25">
      <c r="A129" s="16" t="s">
        <v>28</v>
      </c>
      <c r="B129" s="17" t="s">
        <v>225</v>
      </c>
      <c r="C129" s="40" t="s">
        <v>31</v>
      </c>
      <c r="D129" s="40" t="s">
        <v>30</v>
      </c>
      <c r="E129" s="40" t="s">
        <v>158</v>
      </c>
      <c r="F129" s="216" t="s">
        <v>55</v>
      </c>
      <c r="G129" s="256">
        <v>15702.391542577194</v>
      </c>
      <c r="H129" s="256">
        <v>10186.185779668665</v>
      </c>
      <c r="I129" s="192">
        <v>3.1025999999999998</v>
      </c>
      <c r="J129" s="192">
        <v>3.1025999999999998</v>
      </c>
      <c r="K129" s="256"/>
      <c r="L129" s="256"/>
      <c r="M129" s="256"/>
      <c r="N129" s="256"/>
      <c r="O129" s="200">
        <f t="shared" ref="O129:O130" si="64">G129*I129+H129*J129</f>
        <v>80321.899999999994</v>
      </c>
      <c r="P129" s="198">
        <f>ROUND(37.24%*O129,2)</f>
        <v>29911.88</v>
      </c>
      <c r="Q129" s="198">
        <f t="shared" ref="Q129" si="65">ROUND(R129*P129,2)</f>
        <v>14955.94</v>
      </c>
      <c r="R129" s="199">
        <v>0.5</v>
      </c>
      <c r="W129" s="47"/>
      <c r="Y129" s="47"/>
    </row>
    <row r="130" spans="1:26" x14ac:dyDescent="0.25">
      <c r="A130" s="270" t="s">
        <v>28</v>
      </c>
      <c r="B130" s="279" t="str">
        <f>B129</f>
        <v>88 GAS -Pisco</v>
      </c>
      <c r="C130" s="280" t="s">
        <v>31</v>
      </c>
      <c r="D130" s="281" t="s">
        <v>185</v>
      </c>
      <c r="E130" s="281"/>
      <c r="F130" s="286" t="str">
        <f>F129</f>
        <v xml:space="preserve"> MM BTU</v>
      </c>
      <c r="G130" s="256">
        <f>+G129</f>
        <v>15702.391542577194</v>
      </c>
      <c r="H130" s="319">
        <f>+H129</f>
        <v>10186.185779668665</v>
      </c>
      <c r="I130" s="272">
        <v>3.0657999999999999</v>
      </c>
      <c r="J130" s="272">
        <v>3.0657999999999999</v>
      </c>
      <c r="K130" s="272"/>
      <c r="L130" s="272"/>
      <c r="M130" s="272"/>
      <c r="N130" s="271"/>
      <c r="O130" s="200">
        <f t="shared" si="64"/>
        <v>79369.200354541361</v>
      </c>
      <c r="P130" s="198">
        <f>ROUND(37.24%*O130,2)</f>
        <v>29557.09</v>
      </c>
      <c r="Q130" s="198">
        <f>ROUND(R130*P130,2)</f>
        <v>14778.55</v>
      </c>
      <c r="R130" s="199">
        <v>0.5</v>
      </c>
      <c r="W130" s="47"/>
      <c r="Y130" s="47"/>
      <c r="Z130" s="47"/>
    </row>
    <row r="131" spans="1:26" x14ac:dyDescent="0.25">
      <c r="A131" s="273"/>
      <c r="B131" s="282" t="s">
        <v>180</v>
      </c>
      <c r="C131" s="71"/>
      <c r="D131" s="165"/>
      <c r="E131" s="165"/>
      <c r="F131" s="273"/>
      <c r="G131" s="318">
        <f t="shared" ref="G131:Q131" si="66">G130-G129</f>
        <v>0</v>
      </c>
      <c r="H131" s="320">
        <f t="shared" si="66"/>
        <v>0</v>
      </c>
      <c r="I131" s="283">
        <f t="shared" si="66"/>
        <v>-3.6799999999999944E-2</v>
      </c>
      <c r="J131" s="283">
        <f t="shared" si="66"/>
        <v>-3.6799999999999944E-2</v>
      </c>
      <c r="K131" s="283">
        <f t="shared" si="66"/>
        <v>0</v>
      </c>
      <c r="L131" s="283">
        <f t="shared" si="66"/>
        <v>0</v>
      </c>
      <c r="M131" s="283">
        <f t="shared" si="66"/>
        <v>0</v>
      </c>
      <c r="N131" s="284">
        <f t="shared" si="66"/>
        <v>0</v>
      </c>
      <c r="O131" s="255">
        <f t="shared" si="66"/>
        <v>-952.69964545863331</v>
      </c>
      <c r="P131" s="344">
        <f t="shared" si="66"/>
        <v>-354.79000000000087</v>
      </c>
      <c r="Q131" s="255">
        <f t="shared" si="66"/>
        <v>-177.39000000000124</v>
      </c>
      <c r="R131" s="345"/>
      <c r="S131" s="251" t="s">
        <v>181</v>
      </c>
      <c r="X131" s="47"/>
      <c r="Y131" s="47"/>
    </row>
    <row r="132" spans="1:26" x14ac:dyDescent="0.25">
      <c r="A132" s="96"/>
      <c r="B132" s="5"/>
      <c r="C132" s="96"/>
      <c r="D132" s="96"/>
      <c r="E132" s="96"/>
      <c r="F132" s="96"/>
      <c r="G132" s="366"/>
      <c r="H132" s="366"/>
      <c r="I132" s="387"/>
      <c r="J132" s="387"/>
      <c r="K132" s="367"/>
      <c r="L132" s="367"/>
      <c r="M132" s="367"/>
      <c r="N132" s="368"/>
      <c r="O132" s="366"/>
      <c r="P132" s="369"/>
      <c r="Q132" s="366"/>
      <c r="R132" s="370"/>
      <c r="S132" s="366"/>
      <c r="T132" s="4"/>
      <c r="U132" s="4"/>
      <c r="V132" s="4"/>
    </row>
    <row r="133" spans="1:26" x14ac:dyDescent="0.25">
      <c r="A133" s="324"/>
      <c r="B133" s="265" t="s">
        <v>229</v>
      </c>
      <c r="C133" s="317"/>
      <c r="W133" s="48"/>
      <c r="Y133" s="294"/>
      <c r="Z133" s="48"/>
    </row>
    <row r="134" spans="1:26" ht="13" x14ac:dyDescent="0.3">
      <c r="A134" s="257" t="s">
        <v>161</v>
      </c>
      <c r="B134" s="252"/>
      <c r="C134" s="266"/>
      <c r="D134" s="263" t="s">
        <v>19</v>
      </c>
      <c r="E134" s="262" t="s">
        <v>58</v>
      </c>
      <c r="F134" s="263" t="s">
        <v>27</v>
      </c>
      <c r="G134" s="264" t="s">
        <v>34</v>
      </c>
      <c r="H134" s="253" t="s">
        <v>35</v>
      </c>
      <c r="I134" s="253" t="s">
        <v>34</v>
      </c>
      <c r="J134" s="264" t="s">
        <v>35</v>
      </c>
      <c r="K134" s="264" t="s">
        <v>38</v>
      </c>
      <c r="L134" s="264" t="s">
        <v>39</v>
      </c>
      <c r="M134" s="264" t="s">
        <v>41</v>
      </c>
      <c r="N134" s="264" t="s">
        <v>2</v>
      </c>
      <c r="O134" s="267" t="s">
        <v>179</v>
      </c>
      <c r="P134" s="276" t="s">
        <v>163</v>
      </c>
      <c r="Q134" s="276" t="s">
        <v>183</v>
      </c>
      <c r="R134" s="254"/>
      <c r="W134" s="48"/>
      <c r="Y134" s="295"/>
      <c r="Z134" s="294"/>
    </row>
    <row r="135" spans="1:26" x14ac:dyDescent="0.25">
      <c r="A135" s="16" t="s">
        <v>28</v>
      </c>
      <c r="B135" s="17" t="s">
        <v>225</v>
      </c>
      <c r="C135" s="40" t="s">
        <v>31</v>
      </c>
      <c r="D135" s="40" t="s">
        <v>30</v>
      </c>
      <c r="E135" s="40" t="s">
        <v>158</v>
      </c>
      <c r="F135" s="216" t="s">
        <v>55</v>
      </c>
      <c r="G135" s="256">
        <v>6111.2430487405954</v>
      </c>
      <c r="H135" s="256">
        <v>18064.985279685967</v>
      </c>
      <c r="I135" s="192">
        <v>3.0569999999999999</v>
      </c>
      <c r="J135" s="192">
        <v>3.0569999999999999</v>
      </c>
      <c r="K135" s="256"/>
      <c r="L135" s="256"/>
      <c r="M135" s="256"/>
      <c r="N135" s="256"/>
      <c r="O135" s="200">
        <f t="shared" ref="O135:O136" si="67">G135*I135+H135*J135</f>
        <v>73906.73</v>
      </c>
      <c r="P135" s="198">
        <f>ROUND(37.24%*O135,2)</f>
        <v>27522.87</v>
      </c>
      <c r="Q135" s="198">
        <f t="shared" ref="Q135:Q136" si="68">ROUND(R135*P135,2)</f>
        <v>13761.44</v>
      </c>
      <c r="R135" s="199">
        <v>0.5</v>
      </c>
      <c r="W135" s="47"/>
      <c r="Y135" s="47"/>
    </row>
    <row r="136" spans="1:26" x14ac:dyDescent="0.25">
      <c r="A136" s="270" t="s">
        <v>28</v>
      </c>
      <c r="B136" s="279" t="str">
        <f>B135</f>
        <v>88 GAS -Pisco</v>
      </c>
      <c r="C136" s="280" t="s">
        <v>31</v>
      </c>
      <c r="D136" s="281" t="s">
        <v>185</v>
      </c>
      <c r="E136" s="281"/>
      <c r="F136" s="286" t="str">
        <f>F135</f>
        <v xml:space="preserve"> MM BTU</v>
      </c>
      <c r="G136" s="256">
        <f>+G135</f>
        <v>6111.2430487405954</v>
      </c>
      <c r="H136" s="319">
        <f>+H135</f>
        <v>18064.985279685967</v>
      </c>
      <c r="I136" s="272">
        <v>2.9792999999999998</v>
      </c>
      <c r="J136" s="272">
        <v>2.9792999999999998</v>
      </c>
      <c r="K136" s="272"/>
      <c r="L136" s="272"/>
      <c r="M136" s="272"/>
      <c r="N136" s="271"/>
      <c r="O136" s="200">
        <f t="shared" si="67"/>
        <v>72028.237058881263</v>
      </c>
      <c r="P136" s="198">
        <f>ROUND(37.24%*O136,2)</f>
        <v>26823.32</v>
      </c>
      <c r="Q136" s="198">
        <f t="shared" si="68"/>
        <v>13411.66</v>
      </c>
      <c r="R136" s="199">
        <v>0.5</v>
      </c>
      <c r="W136" s="47"/>
      <c r="Y136" s="47"/>
      <c r="Z136" s="47"/>
    </row>
    <row r="137" spans="1:26" x14ac:dyDescent="0.25">
      <c r="A137" s="273"/>
      <c r="B137" s="282" t="s">
        <v>180</v>
      </c>
      <c r="C137" s="71"/>
      <c r="D137" s="165"/>
      <c r="E137" s="165"/>
      <c r="F137" s="273"/>
      <c r="G137" s="318">
        <f t="shared" ref="G137:Q137" si="69">G136-G135</f>
        <v>0</v>
      </c>
      <c r="H137" s="320">
        <f t="shared" si="69"/>
        <v>0</v>
      </c>
      <c r="I137" s="283">
        <f t="shared" si="69"/>
        <v>-7.7700000000000102E-2</v>
      </c>
      <c r="J137" s="283">
        <f t="shared" si="69"/>
        <v>-7.7700000000000102E-2</v>
      </c>
      <c r="K137" s="283">
        <f t="shared" si="69"/>
        <v>0</v>
      </c>
      <c r="L137" s="283">
        <f t="shared" si="69"/>
        <v>0</v>
      </c>
      <c r="M137" s="283">
        <f t="shared" si="69"/>
        <v>0</v>
      </c>
      <c r="N137" s="284">
        <f t="shared" si="69"/>
        <v>0</v>
      </c>
      <c r="O137" s="255">
        <f t="shared" si="69"/>
        <v>-1878.4929411187331</v>
      </c>
      <c r="P137" s="344">
        <f t="shared" si="69"/>
        <v>-699.54999999999927</v>
      </c>
      <c r="Q137" s="255">
        <f t="shared" si="69"/>
        <v>-349.78000000000065</v>
      </c>
      <c r="R137" s="345"/>
      <c r="S137" s="251" t="s">
        <v>181</v>
      </c>
      <c r="X137" s="47"/>
      <c r="Y137" s="47"/>
    </row>
    <row r="138" spans="1:26" x14ac:dyDescent="0.25">
      <c r="A138" s="96"/>
      <c r="B138" s="5"/>
      <c r="C138" s="96"/>
      <c r="D138" s="96"/>
      <c r="E138" s="96"/>
      <c r="F138" s="96"/>
      <c r="G138" s="366"/>
      <c r="H138" s="366"/>
      <c r="I138" s="387"/>
      <c r="J138" s="387"/>
      <c r="K138" s="367"/>
      <c r="L138" s="367"/>
      <c r="M138" s="367"/>
      <c r="N138" s="368"/>
      <c r="O138" s="366"/>
      <c r="P138" s="369"/>
      <c r="Q138" s="366"/>
      <c r="R138" s="370"/>
      <c r="S138" s="366"/>
      <c r="T138" s="4"/>
      <c r="U138" s="4"/>
      <c r="V138" s="4"/>
    </row>
    <row r="139" spans="1:26" x14ac:dyDescent="0.25">
      <c r="A139" s="324"/>
      <c r="B139" s="265" t="s">
        <v>230</v>
      </c>
      <c r="C139" s="317"/>
      <c r="W139" s="48"/>
      <c r="Y139" s="294"/>
      <c r="Z139" s="48"/>
    </row>
    <row r="140" spans="1:26" ht="13" x14ac:dyDescent="0.3">
      <c r="A140" s="257" t="s">
        <v>161</v>
      </c>
      <c r="B140" s="252"/>
      <c r="C140" s="266"/>
      <c r="D140" s="263" t="s">
        <v>19</v>
      </c>
      <c r="E140" s="262" t="s">
        <v>58</v>
      </c>
      <c r="F140" s="263" t="s">
        <v>27</v>
      </c>
      <c r="G140" s="264" t="s">
        <v>34</v>
      </c>
      <c r="H140" s="253" t="s">
        <v>35</v>
      </c>
      <c r="I140" s="253" t="s">
        <v>34</v>
      </c>
      <c r="J140" s="264" t="s">
        <v>35</v>
      </c>
      <c r="K140" s="264" t="s">
        <v>38</v>
      </c>
      <c r="L140" s="264" t="s">
        <v>39</v>
      </c>
      <c r="M140" s="264" t="s">
        <v>41</v>
      </c>
      <c r="N140" s="264" t="s">
        <v>2</v>
      </c>
      <c r="O140" s="267" t="s">
        <v>179</v>
      </c>
      <c r="P140" s="276" t="s">
        <v>163</v>
      </c>
      <c r="Q140" s="276" t="s">
        <v>183</v>
      </c>
      <c r="R140" s="254"/>
      <c r="W140" s="48"/>
      <c r="Y140" s="295"/>
      <c r="Z140" s="294"/>
    </row>
    <row r="141" spans="1:26" x14ac:dyDescent="0.25">
      <c r="A141" s="16" t="s">
        <v>28</v>
      </c>
      <c r="B141" s="17" t="s">
        <v>225</v>
      </c>
      <c r="C141" s="40" t="s">
        <v>31</v>
      </c>
      <c r="D141" s="40" t="s">
        <v>30</v>
      </c>
      <c r="E141" s="40" t="s">
        <v>158</v>
      </c>
      <c r="F141" s="216" t="s">
        <v>55</v>
      </c>
      <c r="G141" s="256">
        <v>10519.8019</v>
      </c>
      <c r="H141" s="256">
        <v>4710.1400000000003</v>
      </c>
      <c r="I141" s="192">
        <v>2.9792999999999998</v>
      </c>
      <c r="J141" s="192">
        <v>2.9792999999999998</v>
      </c>
      <c r="K141" s="256"/>
      <c r="L141" s="256"/>
      <c r="M141" s="256"/>
      <c r="N141" s="256"/>
      <c r="O141" s="200">
        <f t="shared" ref="O141:O142" si="70">G141*I141+H141*J141</f>
        <v>45374.565902670001</v>
      </c>
      <c r="P141" s="198">
        <f>ROUND(37.24%*O141,2)</f>
        <v>16897.490000000002</v>
      </c>
      <c r="Q141" s="198">
        <f t="shared" ref="Q141:Q142" si="71">ROUND(R141*P141,2)</f>
        <v>8448.75</v>
      </c>
      <c r="R141" s="199">
        <v>0.5</v>
      </c>
      <c r="W141" s="47"/>
      <c r="Y141" s="47"/>
    </row>
    <row r="142" spans="1:26" x14ac:dyDescent="0.25">
      <c r="A142" s="270" t="s">
        <v>28</v>
      </c>
      <c r="B142" s="279" t="str">
        <f>B141</f>
        <v>88 GAS -Pisco</v>
      </c>
      <c r="C142" s="280" t="s">
        <v>31</v>
      </c>
      <c r="D142" s="281" t="s">
        <v>185</v>
      </c>
      <c r="E142" s="281"/>
      <c r="F142" s="286" t="str">
        <f>F141</f>
        <v xml:space="preserve"> MM BTU</v>
      </c>
      <c r="G142" s="256">
        <f>+G141</f>
        <v>10519.8019</v>
      </c>
      <c r="H142" s="319">
        <f>+H141</f>
        <v>4710.1400000000003</v>
      </c>
      <c r="I142" s="272">
        <v>3.0731999999999999</v>
      </c>
      <c r="J142" s="272">
        <v>3.0731999999999999</v>
      </c>
      <c r="K142" s="272"/>
      <c r="L142" s="272"/>
      <c r="M142" s="272"/>
      <c r="N142" s="271"/>
      <c r="O142" s="200">
        <f t="shared" si="70"/>
        <v>46804.657447079997</v>
      </c>
      <c r="P142" s="198">
        <f>ROUND(37.24%*O142,2)</f>
        <v>17430.05</v>
      </c>
      <c r="Q142" s="198">
        <f t="shared" si="71"/>
        <v>8715.0300000000007</v>
      </c>
      <c r="R142" s="199">
        <v>0.5</v>
      </c>
      <c r="W142" s="47"/>
      <c r="Y142" s="47"/>
      <c r="Z142" s="47"/>
    </row>
    <row r="143" spans="1:26" x14ac:dyDescent="0.25">
      <c r="A143" s="273"/>
      <c r="B143" s="282" t="s">
        <v>180</v>
      </c>
      <c r="C143" s="71"/>
      <c r="D143" s="165"/>
      <c r="E143" s="165"/>
      <c r="F143" s="273"/>
      <c r="G143" s="318">
        <f t="shared" ref="G143:Q143" si="72">G142-G141</f>
        <v>0</v>
      </c>
      <c r="H143" s="320">
        <f t="shared" si="72"/>
        <v>0</v>
      </c>
      <c r="I143" s="283">
        <f t="shared" si="72"/>
        <v>9.3900000000000095E-2</v>
      </c>
      <c r="J143" s="283">
        <f t="shared" si="72"/>
        <v>9.3900000000000095E-2</v>
      </c>
      <c r="K143" s="283">
        <f t="shared" si="72"/>
        <v>0</v>
      </c>
      <c r="L143" s="283">
        <f t="shared" si="72"/>
        <v>0</v>
      </c>
      <c r="M143" s="283">
        <f t="shared" si="72"/>
        <v>0</v>
      </c>
      <c r="N143" s="284">
        <f t="shared" si="72"/>
        <v>0</v>
      </c>
      <c r="O143" s="255">
        <f t="shared" si="72"/>
        <v>1430.0915444099955</v>
      </c>
      <c r="P143" s="344">
        <f t="shared" si="72"/>
        <v>532.55999999999767</v>
      </c>
      <c r="Q143" s="255">
        <f t="shared" si="72"/>
        <v>266.28000000000065</v>
      </c>
      <c r="R143" s="345"/>
      <c r="S143" s="251" t="s">
        <v>181</v>
      </c>
      <c r="X143" s="47"/>
      <c r="Y143" s="47"/>
    </row>
    <row r="144" spans="1:26" x14ac:dyDescent="0.25">
      <c r="A144" s="96"/>
      <c r="B144" s="5"/>
      <c r="C144" s="96"/>
      <c r="D144" s="96"/>
      <c r="E144" s="96"/>
      <c r="F144" s="96"/>
      <c r="G144" s="366"/>
      <c r="H144" s="366"/>
      <c r="I144" s="387"/>
      <c r="J144" s="387"/>
      <c r="K144" s="367"/>
      <c r="L144" s="367"/>
      <c r="M144" s="367"/>
      <c r="N144" s="368"/>
      <c r="O144" s="366"/>
      <c r="P144" s="369"/>
      <c r="Q144" s="366"/>
      <c r="R144" s="370"/>
      <c r="S144" s="366"/>
      <c r="T144" s="4"/>
      <c r="U144" s="4"/>
      <c r="V144" s="4"/>
    </row>
    <row r="145" spans="1:26" x14ac:dyDescent="0.25">
      <c r="A145" s="324"/>
      <c r="B145" s="265" t="s">
        <v>231</v>
      </c>
      <c r="C145" s="317"/>
      <c r="W145" s="48"/>
      <c r="Y145" s="294"/>
      <c r="Z145" s="48"/>
    </row>
    <row r="146" spans="1:26" ht="13" x14ac:dyDescent="0.3">
      <c r="A146" s="257" t="s">
        <v>161</v>
      </c>
      <c r="B146" s="252"/>
      <c r="C146" s="266"/>
      <c r="D146" s="263" t="s">
        <v>19</v>
      </c>
      <c r="E146" s="262" t="s">
        <v>58</v>
      </c>
      <c r="F146" s="263" t="s">
        <v>27</v>
      </c>
      <c r="G146" s="264" t="s">
        <v>34</v>
      </c>
      <c r="H146" s="253" t="s">
        <v>35</v>
      </c>
      <c r="I146" s="253" t="s">
        <v>34</v>
      </c>
      <c r="J146" s="264" t="s">
        <v>35</v>
      </c>
      <c r="K146" s="264" t="s">
        <v>38</v>
      </c>
      <c r="L146" s="264" t="s">
        <v>39</v>
      </c>
      <c r="M146" s="264" t="s">
        <v>41</v>
      </c>
      <c r="N146" s="264" t="s">
        <v>2</v>
      </c>
      <c r="O146" s="267" t="s">
        <v>179</v>
      </c>
      <c r="P146" s="276" t="s">
        <v>163</v>
      </c>
      <c r="Q146" s="276" t="s">
        <v>183</v>
      </c>
      <c r="R146" s="254"/>
      <c r="W146" s="48"/>
      <c r="Y146" s="295"/>
      <c r="Z146" s="294"/>
    </row>
    <row r="147" spans="1:26" x14ac:dyDescent="0.25">
      <c r="A147" s="16" t="s">
        <v>28</v>
      </c>
      <c r="B147" s="17" t="s">
        <v>225</v>
      </c>
      <c r="C147" s="40" t="s">
        <v>31</v>
      </c>
      <c r="D147" s="40" t="s">
        <v>30</v>
      </c>
      <c r="E147" s="40" t="s">
        <v>158</v>
      </c>
      <c r="F147" s="216" t="s">
        <v>55</v>
      </c>
      <c r="G147" s="256">
        <v>15353.64</v>
      </c>
      <c r="H147" s="256">
        <v>17626.93</v>
      </c>
      <c r="I147" s="192">
        <v>3.1214</v>
      </c>
      <c r="J147" s="192">
        <v>3.1214</v>
      </c>
      <c r="K147" s="256"/>
      <c r="L147" s="256"/>
      <c r="M147" s="256"/>
      <c r="N147" s="256"/>
      <c r="O147" s="200">
        <f t="shared" ref="O147:O148" si="73">G147*I147+H147*J147</f>
        <v>102945.551198</v>
      </c>
      <c r="P147" s="198">
        <f>ROUND(37.24%*O147,2)</f>
        <v>38336.92</v>
      </c>
      <c r="Q147" s="198">
        <f t="shared" ref="Q147:Q148" si="74">ROUND(R147*P147,2)</f>
        <v>19168.46</v>
      </c>
      <c r="R147" s="199">
        <v>0.5</v>
      </c>
      <c r="W147" s="47"/>
      <c r="Y147" s="47"/>
    </row>
    <row r="148" spans="1:26" x14ac:dyDescent="0.25">
      <c r="A148" s="270" t="s">
        <v>28</v>
      </c>
      <c r="B148" s="279" t="str">
        <f>B147</f>
        <v>88 GAS -Pisco</v>
      </c>
      <c r="C148" s="280" t="s">
        <v>31</v>
      </c>
      <c r="D148" s="281" t="s">
        <v>185</v>
      </c>
      <c r="E148" s="281"/>
      <c r="F148" s="286" t="str">
        <f>F147</f>
        <v xml:space="preserve"> MM BTU</v>
      </c>
      <c r="G148" s="256">
        <f>+G147</f>
        <v>15353.64</v>
      </c>
      <c r="H148" s="319">
        <f>+H147</f>
        <v>17626.93</v>
      </c>
      <c r="I148" s="272">
        <v>3.1196000000000002</v>
      </c>
      <c r="J148" s="272">
        <v>3.1196000000000002</v>
      </c>
      <c r="K148" s="272"/>
      <c r="L148" s="272"/>
      <c r="M148" s="272"/>
      <c r="N148" s="271"/>
      <c r="O148" s="200">
        <f t="shared" si="73"/>
        <v>102886.18617200002</v>
      </c>
      <c r="P148" s="198">
        <f>ROUND(37.24%*O148,2)</f>
        <v>38314.82</v>
      </c>
      <c r="Q148" s="198">
        <f t="shared" si="74"/>
        <v>19157.41</v>
      </c>
      <c r="R148" s="199">
        <v>0.5</v>
      </c>
      <c r="W148" s="47"/>
      <c r="Y148" s="47"/>
      <c r="Z148" s="47"/>
    </row>
    <row r="149" spans="1:26" x14ac:dyDescent="0.25">
      <c r="A149" s="273"/>
      <c r="B149" s="282" t="s">
        <v>180</v>
      </c>
      <c r="C149" s="71"/>
      <c r="D149" s="165"/>
      <c r="E149" s="165"/>
      <c r="F149" s="273"/>
      <c r="G149" s="318">
        <f t="shared" ref="G149:Q149" si="75">G148-G147</f>
        <v>0</v>
      </c>
      <c r="H149" s="320">
        <f t="shared" si="75"/>
        <v>0</v>
      </c>
      <c r="I149" s="283">
        <f t="shared" si="75"/>
        <v>-1.7999999999998018E-3</v>
      </c>
      <c r="J149" s="283">
        <f t="shared" si="75"/>
        <v>-1.7999999999998018E-3</v>
      </c>
      <c r="K149" s="283">
        <f t="shared" si="75"/>
        <v>0</v>
      </c>
      <c r="L149" s="283">
        <f t="shared" si="75"/>
        <v>0</v>
      </c>
      <c r="M149" s="283">
        <f t="shared" si="75"/>
        <v>0</v>
      </c>
      <c r="N149" s="284">
        <f t="shared" si="75"/>
        <v>0</v>
      </c>
      <c r="O149" s="255">
        <f t="shared" si="75"/>
        <v>-59.365025999984937</v>
      </c>
      <c r="P149" s="344">
        <f t="shared" si="75"/>
        <v>-22.099999999998545</v>
      </c>
      <c r="Q149" s="255">
        <f t="shared" si="75"/>
        <v>-11.049999999999272</v>
      </c>
      <c r="R149" s="345"/>
      <c r="S149" s="251" t="s">
        <v>181</v>
      </c>
      <c r="X149" s="47"/>
      <c r="Y149" s="47"/>
    </row>
    <row r="150" spans="1:26" x14ac:dyDescent="0.25">
      <c r="A150" s="96"/>
      <c r="B150" s="5"/>
      <c r="C150" s="96"/>
      <c r="D150" s="96"/>
      <c r="E150" s="96"/>
      <c r="F150" s="96"/>
      <c r="G150" s="366"/>
      <c r="H150" s="366"/>
      <c r="I150" s="387"/>
      <c r="J150" s="387"/>
      <c r="K150" s="367"/>
      <c r="L150" s="367"/>
      <c r="M150" s="367"/>
      <c r="N150" s="368"/>
      <c r="O150" s="366"/>
      <c r="P150" s="369"/>
      <c r="Q150" s="366"/>
      <c r="R150" s="370"/>
      <c r="S150" s="366"/>
      <c r="T150" s="4"/>
      <c r="U150" s="4"/>
      <c r="V150" s="4"/>
    </row>
    <row r="151" spans="1:26" x14ac:dyDescent="0.25">
      <c r="A151" s="324"/>
      <c r="B151" s="265" t="s">
        <v>232</v>
      </c>
      <c r="C151" s="317"/>
      <c r="W151" s="48"/>
      <c r="Y151" s="294"/>
      <c r="Z151" s="48"/>
    </row>
    <row r="152" spans="1:26" ht="13" x14ac:dyDescent="0.3">
      <c r="A152" s="257" t="s">
        <v>161</v>
      </c>
      <c r="B152" s="252"/>
      <c r="C152" s="266"/>
      <c r="D152" s="263" t="s">
        <v>19</v>
      </c>
      <c r="E152" s="262" t="s">
        <v>58</v>
      </c>
      <c r="F152" s="263" t="s">
        <v>27</v>
      </c>
      <c r="G152" s="264" t="s">
        <v>34</v>
      </c>
      <c r="H152" s="253" t="s">
        <v>35</v>
      </c>
      <c r="I152" s="253" t="s">
        <v>34</v>
      </c>
      <c r="J152" s="264" t="s">
        <v>35</v>
      </c>
      <c r="K152" s="264" t="s">
        <v>38</v>
      </c>
      <c r="L152" s="264" t="s">
        <v>39</v>
      </c>
      <c r="M152" s="264" t="s">
        <v>41</v>
      </c>
      <c r="N152" s="264" t="s">
        <v>2</v>
      </c>
      <c r="O152" s="267" t="s">
        <v>179</v>
      </c>
      <c r="P152" s="276" t="s">
        <v>163</v>
      </c>
      <c r="Q152" s="276" t="s">
        <v>183</v>
      </c>
      <c r="R152" s="254"/>
      <c r="W152" s="48"/>
      <c r="Y152" s="295"/>
      <c r="Z152" s="294"/>
    </row>
    <row r="153" spans="1:26" x14ac:dyDescent="0.25">
      <c r="A153" s="16" t="s">
        <v>28</v>
      </c>
      <c r="B153" s="17" t="s">
        <v>225</v>
      </c>
      <c r="C153" s="40" t="s">
        <v>31</v>
      </c>
      <c r="D153" s="40" t="s">
        <v>30</v>
      </c>
      <c r="E153" s="40" t="s">
        <v>158</v>
      </c>
      <c r="F153" s="216" t="s">
        <v>55</v>
      </c>
      <c r="G153" s="256">
        <v>10857.36</v>
      </c>
      <c r="H153" s="256"/>
      <c r="I153" s="192">
        <v>3.1196999999999999</v>
      </c>
      <c r="J153" s="192"/>
      <c r="K153" s="256"/>
      <c r="L153" s="256"/>
      <c r="M153" s="256"/>
      <c r="N153" s="256"/>
      <c r="O153" s="200">
        <f t="shared" ref="O153:O154" si="76">G153*I153+H153*J153</f>
        <v>33871.705992000003</v>
      </c>
      <c r="P153" s="198">
        <f>ROUND(37.24%*O153,2)</f>
        <v>12613.82</v>
      </c>
      <c r="Q153" s="198">
        <f t="shared" ref="Q153:Q154" si="77">ROUND(R153*P153,2)</f>
        <v>6306.91</v>
      </c>
      <c r="R153" s="199">
        <v>0.5</v>
      </c>
      <c r="W153" s="47"/>
      <c r="Y153" s="47"/>
    </row>
    <row r="154" spans="1:26" x14ac:dyDescent="0.25">
      <c r="A154" s="270" t="s">
        <v>28</v>
      </c>
      <c r="B154" s="279" t="str">
        <f>B153</f>
        <v>88 GAS -Pisco</v>
      </c>
      <c r="C154" s="280" t="s">
        <v>31</v>
      </c>
      <c r="D154" s="281" t="s">
        <v>185</v>
      </c>
      <c r="E154" s="281"/>
      <c r="F154" s="286" t="str">
        <f>F153</f>
        <v xml:space="preserve"> MM BTU</v>
      </c>
      <c r="G154" s="256">
        <f>+G153</f>
        <v>10857.36</v>
      </c>
      <c r="H154" s="319"/>
      <c r="I154" s="272">
        <v>3.2488000000000001</v>
      </c>
      <c r="J154" s="272"/>
      <c r="K154" s="272"/>
      <c r="L154" s="272"/>
      <c r="M154" s="272"/>
      <c r="N154" s="271"/>
      <c r="O154" s="200">
        <f t="shared" si="76"/>
        <v>35273.391168000002</v>
      </c>
      <c r="P154" s="198">
        <f>ROUND(37.24%*O154,2)</f>
        <v>13135.81</v>
      </c>
      <c r="Q154" s="198">
        <f t="shared" si="77"/>
        <v>6567.91</v>
      </c>
      <c r="R154" s="199">
        <v>0.5</v>
      </c>
      <c r="W154" s="47"/>
      <c r="Y154" s="47"/>
      <c r="Z154" s="47"/>
    </row>
    <row r="155" spans="1:26" x14ac:dyDescent="0.25">
      <c r="A155" s="273"/>
      <c r="B155" s="282" t="s">
        <v>180</v>
      </c>
      <c r="C155" s="71"/>
      <c r="D155" s="165"/>
      <c r="E155" s="165"/>
      <c r="F155" s="273"/>
      <c r="G155" s="318">
        <f t="shared" ref="G155:Q155" si="78">G154-G153</f>
        <v>0</v>
      </c>
      <c r="H155" s="320">
        <f t="shared" si="78"/>
        <v>0</v>
      </c>
      <c r="I155" s="283">
        <f t="shared" si="78"/>
        <v>0.12910000000000021</v>
      </c>
      <c r="J155" s="283">
        <f t="shared" si="78"/>
        <v>0</v>
      </c>
      <c r="K155" s="283">
        <f t="shared" si="78"/>
        <v>0</v>
      </c>
      <c r="L155" s="283">
        <f t="shared" si="78"/>
        <v>0</v>
      </c>
      <c r="M155" s="283">
        <f t="shared" si="78"/>
        <v>0</v>
      </c>
      <c r="N155" s="284">
        <f t="shared" si="78"/>
        <v>0</v>
      </c>
      <c r="O155" s="255">
        <f t="shared" si="78"/>
        <v>1401.685175999999</v>
      </c>
      <c r="P155" s="344">
        <f t="shared" si="78"/>
        <v>521.98999999999978</v>
      </c>
      <c r="Q155" s="255">
        <f t="shared" si="78"/>
        <v>261</v>
      </c>
      <c r="R155" s="345"/>
      <c r="S155" s="251" t="s">
        <v>181</v>
      </c>
      <c r="X155" s="47"/>
      <c r="Y155" s="47"/>
    </row>
    <row r="156" spans="1:26" x14ac:dyDescent="0.25">
      <c r="A156" s="96"/>
      <c r="B156" s="5"/>
      <c r="C156" s="96"/>
      <c r="D156" s="96"/>
      <c r="E156" s="96"/>
      <c r="F156" s="96"/>
      <c r="G156" s="366"/>
      <c r="H156" s="366"/>
      <c r="I156" s="387"/>
      <c r="J156" s="387"/>
      <c r="K156" s="367"/>
      <c r="L156" s="367"/>
      <c r="M156" s="367"/>
      <c r="N156" s="368"/>
      <c r="O156" s="366"/>
      <c r="P156" s="369"/>
      <c r="Q156" s="366"/>
      <c r="R156" s="370"/>
      <c r="S156" s="366"/>
      <c r="T156" s="4"/>
      <c r="U156" s="4"/>
      <c r="V156" s="4"/>
    </row>
    <row r="157" spans="1:26" x14ac:dyDescent="0.25">
      <c r="A157" s="324"/>
      <c r="B157" s="265" t="s">
        <v>233</v>
      </c>
      <c r="C157" s="317"/>
      <c r="W157" s="48"/>
      <c r="Y157" s="294"/>
      <c r="Z157" s="48"/>
    </row>
    <row r="158" spans="1:26" ht="13" x14ac:dyDescent="0.3">
      <c r="A158" s="257" t="s">
        <v>161</v>
      </c>
      <c r="B158" s="252"/>
      <c r="C158" s="266"/>
      <c r="D158" s="263" t="s">
        <v>19</v>
      </c>
      <c r="E158" s="262" t="s">
        <v>58</v>
      </c>
      <c r="F158" s="263" t="s">
        <v>27</v>
      </c>
      <c r="G158" s="264" t="s">
        <v>34</v>
      </c>
      <c r="H158" s="253" t="s">
        <v>35</v>
      </c>
      <c r="I158" s="253" t="s">
        <v>34</v>
      </c>
      <c r="J158" s="264" t="s">
        <v>35</v>
      </c>
      <c r="K158" s="264" t="s">
        <v>38</v>
      </c>
      <c r="L158" s="264" t="s">
        <v>39</v>
      </c>
      <c r="M158" s="264" t="s">
        <v>41</v>
      </c>
      <c r="N158" s="264" t="s">
        <v>2</v>
      </c>
      <c r="O158" s="267" t="s">
        <v>179</v>
      </c>
      <c r="P158" s="276" t="s">
        <v>163</v>
      </c>
      <c r="Q158" s="276" t="s">
        <v>183</v>
      </c>
      <c r="R158" s="254"/>
      <c r="W158" s="48"/>
      <c r="Y158" s="295"/>
      <c r="Z158" s="294"/>
    </row>
    <row r="159" spans="1:26" x14ac:dyDescent="0.25">
      <c r="A159" s="16" t="s">
        <v>28</v>
      </c>
      <c r="B159" s="17" t="s">
        <v>225</v>
      </c>
      <c r="C159" s="40" t="s">
        <v>31</v>
      </c>
      <c r="D159" s="40" t="s">
        <v>30</v>
      </c>
      <c r="E159" s="40" t="s">
        <v>158</v>
      </c>
      <c r="F159" s="216" t="s">
        <v>55</v>
      </c>
      <c r="G159" s="256">
        <v>13727.75</v>
      </c>
      <c r="H159" s="256">
        <v>3915.33</v>
      </c>
      <c r="I159" s="192">
        <v>3.2496</v>
      </c>
      <c r="J159" s="192">
        <v>3.2496</v>
      </c>
      <c r="K159" s="256"/>
      <c r="L159" s="256"/>
      <c r="M159" s="256"/>
      <c r="N159" s="256"/>
      <c r="O159" s="200">
        <f t="shared" ref="O159:O160" si="79">G159*I159+H159*J159</f>
        <v>57332.952768000003</v>
      </c>
      <c r="P159" s="198">
        <f>ROUND(37.24%*O159,2)</f>
        <v>21350.79</v>
      </c>
      <c r="Q159" s="198">
        <f t="shared" ref="Q159:Q160" si="80">ROUND(R159*P159,2)</f>
        <v>10675.4</v>
      </c>
      <c r="R159" s="199">
        <v>0.5</v>
      </c>
      <c r="W159" s="47"/>
      <c r="Y159" s="47"/>
    </row>
    <row r="160" spans="1:26" x14ac:dyDescent="0.25">
      <c r="A160" s="270" t="s">
        <v>28</v>
      </c>
      <c r="B160" s="279" t="str">
        <f>B159</f>
        <v>88 GAS -Pisco</v>
      </c>
      <c r="C160" s="280" t="s">
        <v>31</v>
      </c>
      <c r="D160" s="281" t="s">
        <v>185</v>
      </c>
      <c r="E160" s="281"/>
      <c r="F160" s="286" t="str">
        <f>F159</f>
        <v xml:space="preserve"> MM BTU</v>
      </c>
      <c r="G160" s="256">
        <f>+G159</f>
        <v>13727.75</v>
      </c>
      <c r="H160" s="319">
        <f>+H159</f>
        <v>3915.33</v>
      </c>
      <c r="I160" s="272">
        <v>3.2427000000000001</v>
      </c>
      <c r="J160" s="272">
        <v>3.2427000000000001</v>
      </c>
      <c r="K160" s="272"/>
      <c r="L160" s="272"/>
      <c r="M160" s="272"/>
      <c r="N160" s="271"/>
      <c r="O160" s="200">
        <f t="shared" si="79"/>
        <v>57211.215516000004</v>
      </c>
      <c r="P160" s="198">
        <f>ROUND(37.24%*O160,2)</f>
        <v>21305.46</v>
      </c>
      <c r="Q160" s="198">
        <f t="shared" si="80"/>
        <v>10652.73</v>
      </c>
      <c r="R160" s="199">
        <v>0.5</v>
      </c>
      <c r="W160" s="47"/>
      <c r="Y160" s="47"/>
      <c r="Z160" s="47"/>
    </row>
    <row r="161" spans="1:26" x14ac:dyDescent="0.25">
      <c r="A161" s="273"/>
      <c r="B161" s="282" t="s">
        <v>180</v>
      </c>
      <c r="C161" s="71"/>
      <c r="D161" s="165"/>
      <c r="E161" s="165"/>
      <c r="F161" s="273"/>
      <c r="G161" s="318">
        <f t="shared" ref="G161:Q161" si="81">G160-G159</f>
        <v>0</v>
      </c>
      <c r="H161" s="320">
        <f t="shared" si="81"/>
        <v>0</v>
      </c>
      <c r="I161" s="283">
        <f t="shared" si="81"/>
        <v>-6.8999999999999062E-3</v>
      </c>
      <c r="J161" s="283">
        <f t="shared" si="81"/>
        <v>-6.8999999999999062E-3</v>
      </c>
      <c r="K161" s="283">
        <f t="shared" si="81"/>
        <v>0</v>
      </c>
      <c r="L161" s="283">
        <f t="shared" si="81"/>
        <v>0</v>
      </c>
      <c r="M161" s="283">
        <f t="shared" si="81"/>
        <v>0</v>
      </c>
      <c r="N161" s="284">
        <f t="shared" si="81"/>
        <v>0</v>
      </c>
      <c r="O161" s="255">
        <f t="shared" si="81"/>
        <v>-121.73725199999899</v>
      </c>
      <c r="P161" s="344">
        <f t="shared" si="81"/>
        <v>-45.330000000001746</v>
      </c>
      <c r="Q161" s="255">
        <f t="shared" si="81"/>
        <v>-22.670000000000073</v>
      </c>
      <c r="R161" s="345"/>
      <c r="S161" s="251" t="s">
        <v>181</v>
      </c>
      <c r="X161" s="47"/>
      <c r="Y161" s="47"/>
    </row>
    <row r="162" spans="1:26" x14ac:dyDescent="0.25">
      <c r="A162" s="96"/>
      <c r="B162" s="5"/>
      <c r="C162" s="96"/>
      <c r="D162" s="96"/>
      <c r="E162" s="96"/>
      <c r="F162" s="96"/>
      <c r="G162" s="366"/>
      <c r="H162" s="366"/>
      <c r="I162" s="387"/>
      <c r="J162" s="387"/>
      <c r="K162" s="367"/>
      <c r="L162" s="367"/>
      <c r="M162" s="367"/>
      <c r="N162" s="368"/>
      <c r="O162" s="366"/>
      <c r="P162" s="369"/>
      <c r="Q162" s="366"/>
      <c r="R162" s="370"/>
      <c r="S162" s="366"/>
      <c r="T162" s="4"/>
      <c r="U162" s="4"/>
      <c r="V162" s="4"/>
    </row>
    <row r="163" spans="1:26" x14ac:dyDescent="0.25">
      <c r="A163" s="324"/>
      <c r="B163" s="265" t="s">
        <v>234</v>
      </c>
      <c r="C163" s="317"/>
      <c r="W163" s="48"/>
      <c r="Y163" s="294"/>
      <c r="Z163" s="48"/>
    </row>
    <row r="164" spans="1:26" ht="13" x14ac:dyDescent="0.3">
      <c r="A164" s="257" t="s">
        <v>161</v>
      </c>
      <c r="B164" s="252"/>
      <c r="C164" s="266"/>
      <c r="D164" s="263" t="s">
        <v>19</v>
      </c>
      <c r="E164" s="262" t="s">
        <v>58</v>
      </c>
      <c r="F164" s="263" t="s">
        <v>27</v>
      </c>
      <c r="G164" s="264" t="s">
        <v>34</v>
      </c>
      <c r="H164" s="253" t="s">
        <v>35</v>
      </c>
      <c r="I164" s="253" t="s">
        <v>34</v>
      </c>
      <c r="J164" s="264" t="s">
        <v>35</v>
      </c>
      <c r="K164" s="264" t="s">
        <v>38</v>
      </c>
      <c r="L164" s="264" t="s">
        <v>39</v>
      </c>
      <c r="M164" s="264" t="s">
        <v>41</v>
      </c>
      <c r="N164" s="264" t="s">
        <v>2</v>
      </c>
      <c r="O164" s="267" t="s">
        <v>179</v>
      </c>
      <c r="P164" s="276" t="s">
        <v>163</v>
      </c>
      <c r="Q164" s="276" t="s">
        <v>183</v>
      </c>
      <c r="R164" s="254"/>
      <c r="W164" s="48"/>
      <c r="Y164" s="295"/>
      <c r="Z164" s="294"/>
    </row>
    <row r="165" spans="1:26" x14ac:dyDescent="0.25">
      <c r="A165" s="16" t="s">
        <v>28</v>
      </c>
      <c r="B165" s="17" t="s">
        <v>225</v>
      </c>
      <c r="C165" s="40" t="s">
        <v>31</v>
      </c>
      <c r="D165" s="40" t="s">
        <v>30</v>
      </c>
      <c r="E165" s="40" t="s">
        <v>158</v>
      </c>
      <c r="F165" s="216" t="s">
        <v>55</v>
      </c>
      <c r="G165" s="256">
        <v>16974.552199999998</v>
      </c>
      <c r="H165" s="256">
        <v>9229.6226999999999</v>
      </c>
      <c r="I165" s="192">
        <v>3.2730999999999999</v>
      </c>
      <c r="J165" s="192">
        <v>3.2730999999999999</v>
      </c>
      <c r="K165" s="256"/>
      <c r="L165" s="256"/>
      <c r="M165" s="256"/>
      <c r="N165" s="256"/>
      <c r="O165" s="200">
        <f t="shared" ref="O165:O166" si="82">G165*I165+H165*J165</f>
        <v>85768.88486518999</v>
      </c>
      <c r="P165" s="198">
        <f>ROUND(37.24%*O165,2)</f>
        <v>31940.33</v>
      </c>
      <c r="Q165" s="198">
        <f t="shared" ref="Q165:Q166" si="83">ROUND(R165*P165,2)</f>
        <v>15970.17</v>
      </c>
      <c r="R165" s="199">
        <v>0.5</v>
      </c>
      <c r="W165" s="47"/>
      <c r="Y165" s="47"/>
    </row>
    <row r="166" spans="1:26" x14ac:dyDescent="0.25">
      <c r="A166" s="270" t="s">
        <v>28</v>
      </c>
      <c r="B166" s="279" t="str">
        <f>B165</f>
        <v>88 GAS -Pisco</v>
      </c>
      <c r="C166" s="280" t="s">
        <v>31</v>
      </c>
      <c r="D166" s="281" t="s">
        <v>185</v>
      </c>
      <c r="E166" s="281"/>
      <c r="F166" s="286" t="str">
        <f>F165</f>
        <v xml:space="preserve"> MM BTU</v>
      </c>
      <c r="G166" s="256">
        <f>+G165</f>
        <v>16974.552199999998</v>
      </c>
      <c r="H166" s="319">
        <f>+H165</f>
        <v>9229.6226999999999</v>
      </c>
      <c r="I166" s="272">
        <v>3.0739999999999998</v>
      </c>
      <c r="J166" s="272">
        <v>3.0739999999999998</v>
      </c>
      <c r="K166" s="272"/>
      <c r="L166" s="272"/>
      <c r="M166" s="272"/>
      <c r="N166" s="271"/>
      <c r="O166" s="200">
        <f t="shared" si="82"/>
        <v>80551.633642599991</v>
      </c>
      <c r="P166" s="198">
        <f>ROUND(37.24%*O166,2)</f>
        <v>29997.43</v>
      </c>
      <c r="Q166" s="198">
        <f t="shared" si="83"/>
        <v>14998.72</v>
      </c>
      <c r="R166" s="199">
        <v>0.5</v>
      </c>
      <c r="W166" s="47"/>
      <c r="Y166" s="47"/>
      <c r="Z166" s="47"/>
    </row>
    <row r="167" spans="1:26" x14ac:dyDescent="0.25">
      <c r="A167" s="273"/>
      <c r="B167" s="282" t="s">
        <v>180</v>
      </c>
      <c r="C167" s="71"/>
      <c r="D167" s="165"/>
      <c r="E167" s="165"/>
      <c r="F167" s="273"/>
      <c r="G167" s="318">
        <f t="shared" ref="G167:Q167" si="84">G166-G165</f>
        <v>0</v>
      </c>
      <c r="H167" s="320">
        <f t="shared" si="84"/>
        <v>0</v>
      </c>
      <c r="I167" s="283">
        <f t="shared" si="84"/>
        <v>-0.19910000000000005</v>
      </c>
      <c r="J167" s="283">
        <f t="shared" si="84"/>
        <v>-0.19910000000000005</v>
      </c>
      <c r="K167" s="283">
        <f t="shared" si="84"/>
        <v>0</v>
      </c>
      <c r="L167" s="283">
        <f t="shared" si="84"/>
        <v>0</v>
      </c>
      <c r="M167" s="283">
        <f t="shared" si="84"/>
        <v>0</v>
      </c>
      <c r="N167" s="284">
        <f t="shared" si="84"/>
        <v>0</v>
      </c>
      <c r="O167" s="255">
        <f t="shared" si="84"/>
        <v>-5217.2512225899991</v>
      </c>
      <c r="P167" s="344">
        <f t="shared" si="84"/>
        <v>-1942.9000000000015</v>
      </c>
      <c r="Q167" s="255">
        <f t="shared" si="84"/>
        <v>-971.45000000000073</v>
      </c>
      <c r="R167" s="345"/>
      <c r="S167" s="251" t="s">
        <v>181</v>
      </c>
      <c r="X167" s="47"/>
      <c r="Y167" s="47"/>
    </row>
    <row r="168" spans="1:26" x14ac:dyDescent="0.25">
      <c r="A168" s="96"/>
      <c r="B168" s="5"/>
      <c r="C168" s="96"/>
      <c r="D168" s="96"/>
      <c r="E168" s="96"/>
      <c r="F168" s="96"/>
      <c r="G168" s="366"/>
      <c r="H168" s="366"/>
      <c r="I168" s="387"/>
      <c r="J168" s="387"/>
      <c r="K168" s="367"/>
      <c r="L168" s="367"/>
      <c r="M168" s="367"/>
      <c r="N168" s="368"/>
      <c r="O168" s="366"/>
      <c r="P168" s="369"/>
      <c r="Q168" s="366"/>
      <c r="R168" s="370"/>
      <c r="S168" s="366"/>
      <c r="T168" s="4"/>
      <c r="U168" s="4"/>
      <c r="V168" s="4"/>
    </row>
    <row r="169" spans="1:26" x14ac:dyDescent="0.25">
      <c r="A169" s="324"/>
      <c r="B169" s="265" t="s">
        <v>235</v>
      </c>
      <c r="C169" s="317"/>
      <c r="W169" s="48"/>
      <c r="Y169" s="294"/>
      <c r="Z169" s="48"/>
    </row>
    <row r="170" spans="1:26" ht="13" x14ac:dyDescent="0.3">
      <c r="A170" s="257" t="s">
        <v>161</v>
      </c>
      <c r="B170" s="252"/>
      <c r="C170" s="266"/>
      <c r="D170" s="263" t="s">
        <v>19</v>
      </c>
      <c r="E170" s="262" t="s">
        <v>58</v>
      </c>
      <c r="F170" s="263" t="s">
        <v>27</v>
      </c>
      <c r="G170" s="264" t="s">
        <v>34</v>
      </c>
      <c r="H170" s="253" t="s">
        <v>35</v>
      </c>
      <c r="I170" s="253" t="s">
        <v>34</v>
      </c>
      <c r="J170" s="264" t="s">
        <v>35</v>
      </c>
      <c r="K170" s="264" t="s">
        <v>38</v>
      </c>
      <c r="L170" s="264" t="s">
        <v>39</v>
      </c>
      <c r="M170" s="264" t="s">
        <v>41</v>
      </c>
      <c r="N170" s="264" t="s">
        <v>2</v>
      </c>
      <c r="O170" s="267" t="s">
        <v>179</v>
      </c>
      <c r="P170" s="276" t="s">
        <v>163</v>
      </c>
      <c r="Q170" s="276" t="s">
        <v>183</v>
      </c>
      <c r="R170" s="254"/>
      <c r="W170" s="48"/>
      <c r="Y170" s="295"/>
      <c r="Z170" s="294"/>
    </row>
    <row r="171" spans="1:26" x14ac:dyDescent="0.25">
      <c r="A171" s="16" t="s">
        <v>28</v>
      </c>
      <c r="B171" s="17" t="s">
        <v>225</v>
      </c>
      <c r="C171" s="40" t="s">
        <v>31</v>
      </c>
      <c r="D171" s="40" t="s">
        <v>30</v>
      </c>
      <c r="E171" s="40" t="s">
        <v>158</v>
      </c>
      <c r="F171" s="216" t="s">
        <v>55</v>
      </c>
      <c r="G171" s="256">
        <v>17170.099999999999</v>
      </c>
      <c r="H171" s="256">
        <v>8417.61</v>
      </c>
      <c r="I171" s="192">
        <v>3.2719999999999998</v>
      </c>
      <c r="J171" s="192">
        <v>3.2719999999999998</v>
      </c>
      <c r="K171" s="256"/>
      <c r="L171" s="256"/>
      <c r="M171" s="256"/>
      <c r="N171" s="256"/>
      <c r="O171" s="200">
        <f t="shared" ref="O171:O172" si="85">G171*I171+H171*J171</f>
        <v>83722.987119999991</v>
      </c>
      <c r="P171" s="198">
        <f>ROUND(37.24%*O171,2)</f>
        <v>31178.44</v>
      </c>
      <c r="Q171" s="198">
        <f t="shared" ref="Q171:Q172" si="86">ROUND(R171*P171,2)</f>
        <v>15589.22</v>
      </c>
      <c r="R171" s="199">
        <v>0.5</v>
      </c>
      <c r="W171" s="47"/>
      <c r="Y171" s="47"/>
    </row>
    <row r="172" spans="1:26" x14ac:dyDescent="0.25">
      <c r="A172" s="270" t="s">
        <v>28</v>
      </c>
      <c r="B172" s="279" t="str">
        <f>B171</f>
        <v>88 GAS -Pisco</v>
      </c>
      <c r="C172" s="280" t="s">
        <v>31</v>
      </c>
      <c r="D172" s="281" t="s">
        <v>185</v>
      </c>
      <c r="E172" s="281"/>
      <c r="F172" s="286" t="str">
        <f>F171</f>
        <v xml:space="preserve"> MM BTU</v>
      </c>
      <c r="G172" s="388">
        <f>+G171</f>
        <v>17170.099999999999</v>
      </c>
      <c r="H172" s="319">
        <f>+H171</f>
        <v>8417.61</v>
      </c>
      <c r="I172" s="272">
        <v>3.1774</v>
      </c>
      <c r="J172" s="272">
        <v>3.1774</v>
      </c>
      <c r="K172" s="272"/>
      <c r="L172" s="272"/>
      <c r="M172" s="272"/>
      <c r="N172" s="271"/>
      <c r="O172" s="271">
        <f t="shared" si="85"/>
        <v>81302.389754000003</v>
      </c>
      <c r="P172" s="271">
        <f>ROUND(37.24%*O172,2)</f>
        <v>30277.01</v>
      </c>
      <c r="Q172" s="271">
        <f t="shared" si="86"/>
        <v>15138.51</v>
      </c>
      <c r="R172" s="154">
        <v>0.5</v>
      </c>
      <c r="W172" s="47"/>
      <c r="Y172" s="47"/>
      <c r="Z172" s="47"/>
    </row>
    <row r="173" spans="1:26" x14ac:dyDescent="0.25">
      <c r="A173" s="273"/>
      <c r="B173" s="282" t="s">
        <v>180</v>
      </c>
      <c r="C173" s="71"/>
      <c r="D173" s="165"/>
      <c r="E173" s="165"/>
      <c r="F173" s="273"/>
      <c r="G173" s="255">
        <f t="shared" ref="G173:Q173" si="87">G172-G171</f>
        <v>0</v>
      </c>
      <c r="H173" s="320">
        <f t="shared" si="87"/>
        <v>0</v>
      </c>
      <c r="I173" s="283">
        <f t="shared" si="87"/>
        <v>-9.4599999999999795E-2</v>
      </c>
      <c r="J173" s="283">
        <f t="shared" si="87"/>
        <v>-9.4599999999999795E-2</v>
      </c>
      <c r="K173" s="283">
        <f t="shared" si="87"/>
        <v>0</v>
      </c>
      <c r="L173" s="283">
        <f t="shared" si="87"/>
        <v>0</v>
      </c>
      <c r="M173" s="283">
        <f t="shared" si="87"/>
        <v>0</v>
      </c>
      <c r="N173" s="284">
        <f t="shared" si="87"/>
        <v>0</v>
      </c>
      <c r="O173" s="255">
        <f t="shared" si="87"/>
        <v>-2420.5973659999872</v>
      </c>
      <c r="P173" s="344">
        <f t="shared" si="87"/>
        <v>-901.43000000000029</v>
      </c>
      <c r="Q173" s="255">
        <f t="shared" si="87"/>
        <v>-450.70999999999913</v>
      </c>
      <c r="R173" s="345"/>
      <c r="S173" s="251" t="s">
        <v>181</v>
      </c>
      <c r="X173" s="47"/>
      <c r="Y173" s="47"/>
    </row>
    <row r="174" spans="1:26" x14ac:dyDescent="0.25">
      <c r="A174" s="96"/>
      <c r="B174" s="5"/>
      <c r="C174" s="96"/>
      <c r="D174" s="96"/>
      <c r="E174" s="96"/>
      <c r="F174" s="96"/>
      <c r="G174" s="366"/>
      <c r="H174" s="366"/>
      <c r="I174" s="387"/>
      <c r="J174" s="387"/>
      <c r="K174" s="367"/>
      <c r="L174" s="367"/>
      <c r="M174" s="367"/>
      <c r="N174" s="368"/>
      <c r="O174" s="366"/>
      <c r="P174" s="369"/>
      <c r="Q174" s="366"/>
      <c r="R174" s="370"/>
      <c r="S174" s="366"/>
      <c r="T174" s="4"/>
      <c r="U174" s="4"/>
      <c r="V174" s="4"/>
    </row>
    <row r="175" spans="1:26" x14ac:dyDescent="0.25">
      <c r="A175" s="324"/>
      <c r="B175" s="265" t="s">
        <v>236</v>
      </c>
      <c r="C175" s="317"/>
      <c r="W175" s="48"/>
      <c r="Y175" s="294"/>
      <c r="Z175" s="48"/>
    </row>
    <row r="176" spans="1:26" ht="13" x14ac:dyDescent="0.3">
      <c r="A176" s="257" t="s">
        <v>161</v>
      </c>
      <c r="B176" s="252"/>
      <c r="C176" s="266"/>
      <c r="D176" s="263" t="s">
        <v>19</v>
      </c>
      <c r="E176" s="262" t="s">
        <v>58</v>
      </c>
      <c r="F176" s="263" t="s">
        <v>27</v>
      </c>
      <c r="G176" s="264" t="s">
        <v>34</v>
      </c>
      <c r="H176" s="253" t="s">
        <v>35</v>
      </c>
      <c r="I176" s="253" t="s">
        <v>34</v>
      </c>
      <c r="J176" s="264" t="s">
        <v>35</v>
      </c>
      <c r="K176" s="264" t="s">
        <v>38</v>
      </c>
      <c r="L176" s="264" t="s">
        <v>39</v>
      </c>
      <c r="M176" s="264" t="s">
        <v>41</v>
      </c>
      <c r="N176" s="264" t="s">
        <v>2</v>
      </c>
      <c r="O176" s="267" t="s">
        <v>179</v>
      </c>
      <c r="P176" s="276" t="s">
        <v>163</v>
      </c>
      <c r="Q176" s="276" t="s">
        <v>183</v>
      </c>
      <c r="R176" s="254"/>
      <c r="W176" s="48"/>
      <c r="Y176" s="295"/>
      <c r="Z176" s="294"/>
    </row>
    <row r="177" spans="1:26" x14ac:dyDescent="0.25">
      <c r="A177" s="16" t="s">
        <v>28</v>
      </c>
      <c r="B177" s="17" t="s">
        <v>225</v>
      </c>
      <c r="C177" s="40" t="s">
        <v>31</v>
      </c>
      <c r="D177" s="40" t="s">
        <v>30</v>
      </c>
      <c r="E177" s="40" t="s">
        <v>158</v>
      </c>
      <c r="F177" s="216" t="s">
        <v>55</v>
      </c>
      <c r="G177" s="256">
        <v>16841.060000000001</v>
      </c>
      <c r="H177" s="256">
        <v>8900.99</v>
      </c>
      <c r="I177" s="192">
        <v>3.1796000000000002</v>
      </c>
      <c r="J177" s="192">
        <v>3.1796000000000002</v>
      </c>
      <c r="K177" s="256"/>
      <c r="L177" s="256"/>
      <c r="M177" s="256"/>
      <c r="N177" s="256"/>
      <c r="O177" s="200">
        <f t="shared" ref="O177:O178" si="88">G177*I177+H177*J177</f>
        <v>81849.422180000009</v>
      </c>
      <c r="P177" s="198">
        <f>ROUND(37.24%*O177,2)</f>
        <v>30480.720000000001</v>
      </c>
      <c r="Q177" s="198">
        <f t="shared" ref="Q177:Q178" si="89">ROUND(R177*P177,2)</f>
        <v>15240.36</v>
      </c>
      <c r="R177" s="199">
        <v>0.5</v>
      </c>
      <c r="W177" s="47"/>
      <c r="Y177" s="47"/>
    </row>
    <row r="178" spans="1:26" x14ac:dyDescent="0.25">
      <c r="A178" s="270" t="s">
        <v>28</v>
      </c>
      <c r="B178" s="279" t="str">
        <f>B177</f>
        <v>88 GAS -Pisco</v>
      </c>
      <c r="C178" s="280" t="s">
        <v>31</v>
      </c>
      <c r="D178" s="281" t="s">
        <v>185</v>
      </c>
      <c r="E178" s="281"/>
      <c r="F178" s="286" t="str">
        <f>F177</f>
        <v xml:space="preserve"> MM BTU</v>
      </c>
      <c r="G178" s="388">
        <f>+G177</f>
        <v>16841.060000000001</v>
      </c>
      <c r="H178" s="319">
        <f>+H177</f>
        <v>8900.99</v>
      </c>
      <c r="I178" s="272">
        <v>3.1802999999999999</v>
      </c>
      <c r="J178" s="272">
        <v>3.1802999999999999</v>
      </c>
      <c r="K178" s="272"/>
      <c r="L178" s="272"/>
      <c r="M178" s="272"/>
      <c r="N178" s="271"/>
      <c r="O178" s="271">
        <f t="shared" si="88"/>
        <v>81867.441615000003</v>
      </c>
      <c r="P178" s="271">
        <f>ROUND(37.24%*O178,2)</f>
        <v>30487.439999999999</v>
      </c>
      <c r="Q178" s="271">
        <f t="shared" si="89"/>
        <v>15243.72</v>
      </c>
      <c r="R178" s="154">
        <v>0.5</v>
      </c>
      <c r="W178" s="47"/>
      <c r="Y178" s="47"/>
      <c r="Z178" s="47"/>
    </row>
    <row r="179" spans="1:26" x14ac:dyDescent="0.25">
      <c r="A179" s="273"/>
      <c r="B179" s="282" t="s">
        <v>180</v>
      </c>
      <c r="C179" s="71"/>
      <c r="D179" s="165"/>
      <c r="E179" s="165"/>
      <c r="F179" s="273"/>
      <c r="G179" s="255">
        <f t="shared" ref="G179:Q179" si="90">G178-G177</f>
        <v>0</v>
      </c>
      <c r="H179" s="320">
        <f t="shared" si="90"/>
        <v>0</v>
      </c>
      <c r="I179" s="283">
        <f t="shared" si="90"/>
        <v>6.9999999999970086E-4</v>
      </c>
      <c r="J179" s="283">
        <f t="shared" si="90"/>
        <v>6.9999999999970086E-4</v>
      </c>
      <c r="K179" s="283">
        <f t="shared" si="90"/>
        <v>0</v>
      </c>
      <c r="L179" s="283">
        <f t="shared" si="90"/>
        <v>0</v>
      </c>
      <c r="M179" s="283">
        <f t="shared" si="90"/>
        <v>0</v>
      </c>
      <c r="N179" s="284">
        <f t="shared" si="90"/>
        <v>0</v>
      </c>
      <c r="O179" s="255">
        <f t="shared" si="90"/>
        <v>18.019434999994701</v>
      </c>
      <c r="P179" s="344">
        <f t="shared" si="90"/>
        <v>6.7199999999975262</v>
      </c>
      <c r="Q179" s="255">
        <f t="shared" si="90"/>
        <v>3.3599999999987631</v>
      </c>
      <c r="R179" s="345"/>
      <c r="S179" s="251" t="s">
        <v>181</v>
      </c>
      <c r="X179" s="47"/>
      <c r="Y179" s="47"/>
    </row>
    <row r="180" spans="1:26" x14ac:dyDescent="0.25">
      <c r="A180" s="96"/>
      <c r="B180" s="5"/>
      <c r="C180" s="96"/>
      <c r="D180" s="96"/>
      <c r="E180" s="96"/>
      <c r="F180" s="96"/>
      <c r="G180" s="366"/>
      <c r="H180" s="366"/>
      <c r="I180" s="387"/>
      <c r="J180" s="387"/>
      <c r="K180" s="367"/>
      <c r="L180" s="367"/>
      <c r="M180" s="367"/>
      <c r="N180" s="368"/>
      <c r="O180" s="366"/>
      <c r="P180" s="369"/>
      <c r="Q180" s="366"/>
      <c r="R180" s="370"/>
      <c r="S180" s="366"/>
      <c r="T180" s="4"/>
      <c r="U180" s="4"/>
      <c r="V180" s="4"/>
    </row>
    <row r="181" spans="1:26" x14ac:dyDescent="0.25">
      <c r="A181" s="324"/>
      <c r="B181" s="265" t="s">
        <v>237</v>
      </c>
      <c r="C181" s="317"/>
      <c r="W181" s="48"/>
      <c r="Y181" s="294"/>
      <c r="Z181" s="48"/>
    </row>
    <row r="182" spans="1:26" ht="13" x14ac:dyDescent="0.3">
      <c r="A182" s="257" t="s">
        <v>161</v>
      </c>
      <c r="B182" s="252"/>
      <c r="C182" s="266"/>
      <c r="D182" s="263" t="s">
        <v>19</v>
      </c>
      <c r="E182" s="262" t="s">
        <v>58</v>
      </c>
      <c r="F182" s="263" t="s">
        <v>27</v>
      </c>
      <c r="G182" s="264" t="s">
        <v>34</v>
      </c>
      <c r="H182" s="253" t="s">
        <v>35</v>
      </c>
      <c r="I182" s="253" t="s">
        <v>34</v>
      </c>
      <c r="J182" s="264" t="s">
        <v>35</v>
      </c>
      <c r="K182" s="264" t="s">
        <v>38</v>
      </c>
      <c r="L182" s="264" t="s">
        <v>39</v>
      </c>
      <c r="M182" s="264" t="s">
        <v>41</v>
      </c>
      <c r="N182" s="264" t="s">
        <v>2</v>
      </c>
      <c r="O182" s="267" t="s">
        <v>179</v>
      </c>
      <c r="P182" s="276" t="s">
        <v>163</v>
      </c>
      <c r="Q182" s="276" t="s">
        <v>183</v>
      </c>
      <c r="R182" s="254"/>
      <c r="W182" s="48"/>
      <c r="Y182" s="295"/>
      <c r="Z182" s="294"/>
    </row>
    <row r="183" spans="1:26" x14ac:dyDescent="0.25">
      <c r="A183" s="16" t="s">
        <v>28</v>
      </c>
      <c r="B183" s="17" t="s">
        <v>225</v>
      </c>
      <c r="C183" s="40" t="s">
        <v>31</v>
      </c>
      <c r="D183" s="40" t="s">
        <v>30</v>
      </c>
      <c r="E183" s="40" t="s">
        <v>158</v>
      </c>
      <c r="F183" s="216" t="s">
        <v>55</v>
      </c>
      <c r="G183" s="256">
        <v>16713.009999999998</v>
      </c>
      <c r="H183" s="256">
        <v>8702.08</v>
      </c>
      <c r="I183" s="192">
        <v>3.1844999999999999</v>
      </c>
      <c r="J183" s="192">
        <v>3.1844999999999999</v>
      </c>
      <c r="K183" s="256"/>
      <c r="L183" s="256"/>
      <c r="M183" s="256"/>
      <c r="N183" s="256"/>
      <c r="O183" s="200">
        <f t="shared" ref="O183:O184" si="91">G183*I183+H183*J183</f>
        <v>80934.354104999991</v>
      </c>
      <c r="P183" s="198">
        <f>ROUND(37.24%*O183,2)</f>
        <v>30139.95</v>
      </c>
      <c r="Q183" s="198">
        <f t="shared" ref="Q183:Q184" si="92">ROUND(R183*P183,2)</f>
        <v>15069.98</v>
      </c>
      <c r="R183" s="199">
        <v>0.5</v>
      </c>
      <c r="W183" s="47"/>
      <c r="Y183" s="47"/>
    </row>
    <row r="184" spans="1:26" x14ac:dyDescent="0.25">
      <c r="A184" s="270" t="s">
        <v>28</v>
      </c>
      <c r="B184" s="279" t="str">
        <f>B183</f>
        <v>88 GAS -Pisco</v>
      </c>
      <c r="C184" s="280" t="s">
        <v>31</v>
      </c>
      <c r="D184" s="281" t="s">
        <v>185</v>
      </c>
      <c r="E184" s="281"/>
      <c r="F184" s="286" t="str">
        <f>F183</f>
        <v xml:space="preserve"> MM BTU</v>
      </c>
      <c r="G184" s="388">
        <f>+G183</f>
        <v>16713.009999999998</v>
      </c>
      <c r="H184" s="319">
        <f>+H183</f>
        <v>8702.08</v>
      </c>
      <c r="I184" s="272">
        <v>3.2084000000000001</v>
      </c>
      <c r="J184" s="272">
        <v>3.2084000000000001</v>
      </c>
      <c r="K184" s="272"/>
      <c r="L184" s="272"/>
      <c r="M184" s="272"/>
      <c r="N184" s="271"/>
      <c r="O184" s="271">
        <f t="shared" si="91"/>
        <v>81541.774755999999</v>
      </c>
      <c r="P184" s="271">
        <f>ROUND(37.24%*O184,2)</f>
        <v>30366.16</v>
      </c>
      <c r="Q184" s="271">
        <f t="shared" si="92"/>
        <v>15183.08</v>
      </c>
      <c r="R184" s="154">
        <v>0.5</v>
      </c>
      <c r="W184" s="47"/>
      <c r="Y184" s="47"/>
      <c r="Z184" s="47"/>
    </row>
    <row r="185" spans="1:26" x14ac:dyDescent="0.25">
      <c r="A185" s="273"/>
      <c r="B185" s="282" t="s">
        <v>180</v>
      </c>
      <c r="C185" s="71"/>
      <c r="D185" s="165"/>
      <c r="E185" s="165"/>
      <c r="F185" s="273"/>
      <c r="G185" s="255">
        <f t="shared" ref="G185:Q185" si="93">G184-G183</f>
        <v>0</v>
      </c>
      <c r="H185" s="320">
        <f t="shared" si="93"/>
        <v>0</v>
      </c>
      <c r="I185" s="283">
        <f t="shared" si="93"/>
        <v>2.3900000000000254E-2</v>
      </c>
      <c r="J185" s="283">
        <f t="shared" si="93"/>
        <v>2.3900000000000254E-2</v>
      </c>
      <c r="K185" s="283">
        <f t="shared" si="93"/>
        <v>0</v>
      </c>
      <c r="L185" s="283">
        <f t="shared" si="93"/>
        <v>0</v>
      </c>
      <c r="M185" s="283">
        <f t="shared" si="93"/>
        <v>0</v>
      </c>
      <c r="N185" s="284">
        <f t="shared" si="93"/>
        <v>0</v>
      </c>
      <c r="O185" s="255">
        <f t="shared" si="93"/>
        <v>607.42065100000764</v>
      </c>
      <c r="P185" s="344">
        <f t="shared" si="93"/>
        <v>226.20999999999913</v>
      </c>
      <c r="Q185" s="255">
        <f t="shared" si="93"/>
        <v>113.10000000000036</v>
      </c>
      <c r="R185" s="345"/>
      <c r="S185" s="251" t="s">
        <v>181</v>
      </c>
      <c r="X185" s="47"/>
      <c r="Y185" s="47"/>
    </row>
    <row r="186" spans="1:26" x14ac:dyDescent="0.25">
      <c r="A186" s="96"/>
      <c r="B186" s="5"/>
      <c r="C186" s="96"/>
      <c r="D186" s="96"/>
      <c r="E186" s="96"/>
      <c r="F186" s="96"/>
      <c r="G186" s="366"/>
      <c r="H186" s="366"/>
      <c r="I186" s="387"/>
      <c r="J186" s="387"/>
      <c r="K186" s="367"/>
      <c r="L186" s="367"/>
      <c r="M186" s="367"/>
      <c r="N186" s="368"/>
      <c r="O186" s="366"/>
      <c r="P186" s="369"/>
      <c r="Q186" s="366"/>
      <c r="R186" s="370"/>
      <c r="S186" s="366"/>
      <c r="T186" s="4"/>
      <c r="U186" s="4"/>
      <c r="V186" s="4"/>
    </row>
    <row r="187" spans="1:26" x14ac:dyDescent="0.25">
      <c r="A187" s="324"/>
      <c r="B187" s="265" t="s">
        <v>238</v>
      </c>
      <c r="C187" s="317"/>
      <c r="W187" s="48"/>
      <c r="Y187" s="294"/>
      <c r="Z187" s="48"/>
    </row>
    <row r="188" spans="1:26" ht="13" x14ac:dyDescent="0.3">
      <c r="A188" s="257" t="s">
        <v>161</v>
      </c>
      <c r="B188" s="252"/>
      <c r="C188" s="266"/>
      <c r="D188" s="263" t="s">
        <v>19</v>
      </c>
      <c r="E188" s="262" t="s">
        <v>58</v>
      </c>
      <c r="F188" s="263" t="s">
        <v>27</v>
      </c>
      <c r="G188" s="264" t="s">
        <v>34</v>
      </c>
      <c r="H188" s="253" t="s">
        <v>35</v>
      </c>
      <c r="I188" s="253" t="s">
        <v>34</v>
      </c>
      <c r="J188" s="264" t="s">
        <v>35</v>
      </c>
      <c r="K188" s="264" t="s">
        <v>38</v>
      </c>
      <c r="L188" s="264" t="s">
        <v>39</v>
      </c>
      <c r="M188" s="264" t="s">
        <v>41</v>
      </c>
      <c r="N188" s="264" t="s">
        <v>2</v>
      </c>
      <c r="O188" s="267" t="s">
        <v>179</v>
      </c>
      <c r="P188" s="276" t="s">
        <v>163</v>
      </c>
      <c r="Q188" s="276" t="s">
        <v>183</v>
      </c>
      <c r="R188" s="254"/>
      <c r="W188" s="48"/>
      <c r="Y188" s="295"/>
      <c r="Z188" s="294"/>
    </row>
    <row r="189" spans="1:26" x14ac:dyDescent="0.25">
      <c r="A189" s="16" t="s">
        <v>28</v>
      </c>
      <c r="B189" s="17" t="s">
        <v>225</v>
      </c>
      <c r="C189" s="40" t="s">
        <v>31</v>
      </c>
      <c r="D189" s="40" t="s">
        <v>30</v>
      </c>
      <c r="E189" s="40" t="s">
        <v>158</v>
      </c>
      <c r="F189" s="216" t="s">
        <v>55</v>
      </c>
      <c r="G189" s="256">
        <v>18075.54</v>
      </c>
      <c r="H189" s="256">
        <v>2986.28</v>
      </c>
      <c r="I189" s="192">
        <v>3.2086999999999999</v>
      </c>
      <c r="J189" s="192">
        <v>3.2086999999999999</v>
      </c>
      <c r="K189" s="256"/>
      <c r="L189" s="256"/>
      <c r="M189" s="256"/>
      <c r="N189" s="256"/>
      <c r="O189" s="200">
        <f t="shared" ref="O189:O190" si="94">G189*I189+H189*J189</f>
        <v>67581.061834000007</v>
      </c>
      <c r="P189" s="198">
        <f>ROUND(37.24%*O189,2)</f>
        <v>25167.19</v>
      </c>
      <c r="Q189" s="198">
        <f t="shared" ref="Q189:Q190" si="95">ROUND(R189*P189,2)</f>
        <v>12583.6</v>
      </c>
      <c r="R189" s="199">
        <v>0.5</v>
      </c>
      <c r="W189" s="47"/>
      <c r="Y189" s="47"/>
    </row>
    <row r="190" spans="1:26" x14ac:dyDescent="0.25">
      <c r="A190" s="270" t="s">
        <v>28</v>
      </c>
      <c r="B190" s="279" t="str">
        <f>B189</f>
        <v>88 GAS -Pisco</v>
      </c>
      <c r="C190" s="280" t="s">
        <v>31</v>
      </c>
      <c r="D190" s="281" t="s">
        <v>185</v>
      </c>
      <c r="E190" s="281"/>
      <c r="F190" s="286" t="str">
        <f>F189</f>
        <v xml:space="preserve"> MM BTU</v>
      </c>
      <c r="G190" s="388">
        <f>+G189</f>
        <v>18075.54</v>
      </c>
      <c r="H190" s="319">
        <f>+H189</f>
        <v>2986.28</v>
      </c>
      <c r="I190" s="272">
        <v>3.2105999999999999</v>
      </c>
      <c r="J190" s="272">
        <v>3.2105999999999999</v>
      </c>
      <c r="K190" s="272"/>
      <c r="L190" s="272"/>
      <c r="M190" s="272"/>
      <c r="N190" s="271"/>
      <c r="O190" s="271">
        <f t="shared" si="94"/>
        <v>67621.079291999995</v>
      </c>
      <c r="P190" s="271">
        <f>ROUND(37.24%*O190,2)</f>
        <v>25182.09</v>
      </c>
      <c r="Q190" s="271">
        <f t="shared" si="95"/>
        <v>12591.05</v>
      </c>
      <c r="R190" s="154">
        <v>0.5</v>
      </c>
      <c r="W190" s="47"/>
      <c r="Y190" s="47"/>
      <c r="Z190" s="47"/>
    </row>
    <row r="191" spans="1:26" x14ac:dyDescent="0.25">
      <c r="A191" s="273"/>
      <c r="B191" s="282" t="s">
        <v>180</v>
      </c>
      <c r="C191" s="71"/>
      <c r="D191" s="165"/>
      <c r="E191" s="165"/>
      <c r="F191" s="273"/>
      <c r="G191" s="255">
        <f t="shared" ref="G191:Q191" si="96">G190-G189</f>
        <v>0</v>
      </c>
      <c r="H191" s="320">
        <f t="shared" si="96"/>
        <v>0</v>
      </c>
      <c r="I191" s="283">
        <f t="shared" si="96"/>
        <v>1.9000000000000128E-3</v>
      </c>
      <c r="J191" s="283">
        <f t="shared" si="96"/>
        <v>1.9000000000000128E-3</v>
      </c>
      <c r="K191" s="283">
        <f t="shared" si="96"/>
        <v>0</v>
      </c>
      <c r="L191" s="283">
        <f t="shared" si="96"/>
        <v>0</v>
      </c>
      <c r="M191" s="283">
        <f t="shared" si="96"/>
        <v>0</v>
      </c>
      <c r="N191" s="284">
        <f t="shared" si="96"/>
        <v>0</v>
      </c>
      <c r="O191" s="255">
        <f t="shared" si="96"/>
        <v>40.017457999987528</v>
      </c>
      <c r="P191" s="344">
        <f t="shared" si="96"/>
        <v>14.900000000001455</v>
      </c>
      <c r="Q191" s="255">
        <f t="shared" si="96"/>
        <v>7.4499999999989086</v>
      </c>
      <c r="R191" s="345"/>
      <c r="S191" s="251" t="s">
        <v>181</v>
      </c>
      <c r="X191" s="47"/>
      <c r="Y191" s="47"/>
    </row>
    <row r="192" spans="1:26" x14ac:dyDescent="0.25">
      <c r="A192" s="96"/>
      <c r="B192" s="5"/>
      <c r="C192" s="96"/>
      <c r="D192" s="96"/>
      <c r="E192" s="96"/>
      <c r="F192" s="96"/>
      <c r="G192" s="366"/>
      <c r="H192" s="366"/>
      <c r="I192" s="387"/>
      <c r="J192" s="387"/>
      <c r="K192" s="367"/>
      <c r="L192" s="367"/>
      <c r="M192" s="367"/>
      <c r="N192" s="368"/>
      <c r="O192" s="366"/>
      <c r="P192" s="369"/>
      <c r="Q192" s="366"/>
      <c r="R192" s="370"/>
      <c r="S192" s="366"/>
      <c r="T192" s="4"/>
      <c r="U192" s="4"/>
      <c r="V192" s="4"/>
    </row>
    <row r="193" spans="1:26" x14ac:dyDescent="0.25">
      <c r="A193" s="324"/>
      <c r="B193" s="265" t="s">
        <v>239</v>
      </c>
      <c r="C193" s="317"/>
      <c r="W193" s="48"/>
      <c r="Y193" s="294"/>
      <c r="Z193" s="48"/>
    </row>
    <row r="194" spans="1:26" ht="13" x14ac:dyDescent="0.3">
      <c r="A194" s="257" t="s">
        <v>161</v>
      </c>
      <c r="B194" s="252"/>
      <c r="C194" s="266"/>
      <c r="D194" s="263" t="s">
        <v>19</v>
      </c>
      <c r="E194" s="262" t="s">
        <v>58</v>
      </c>
      <c r="F194" s="263" t="s">
        <v>27</v>
      </c>
      <c r="G194" s="264" t="s">
        <v>34</v>
      </c>
      <c r="H194" s="253" t="s">
        <v>35</v>
      </c>
      <c r="I194" s="253" t="s">
        <v>34</v>
      </c>
      <c r="J194" s="264" t="s">
        <v>35</v>
      </c>
      <c r="K194" s="264" t="s">
        <v>38</v>
      </c>
      <c r="L194" s="264" t="s">
        <v>39</v>
      </c>
      <c r="M194" s="264" t="s">
        <v>41</v>
      </c>
      <c r="N194" s="264" t="s">
        <v>2</v>
      </c>
      <c r="O194" s="267" t="s">
        <v>179</v>
      </c>
      <c r="P194" s="276" t="s">
        <v>163</v>
      </c>
      <c r="Q194" s="276" t="s">
        <v>183</v>
      </c>
      <c r="R194" s="254"/>
      <c r="W194" s="48"/>
      <c r="Y194" s="295"/>
      <c r="Z194" s="294"/>
    </row>
    <row r="195" spans="1:26" x14ac:dyDescent="0.25">
      <c r="A195" s="16" t="s">
        <v>28</v>
      </c>
      <c r="B195" s="17" t="s">
        <v>225</v>
      </c>
      <c r="C195" s="40" t="s">
        <v>31</v>
      </c>
      <c r="D195" s="40" t="s">
        <v>30</v>
      </c>
      <c r="E195" s="40" t="s">
        <v>158</v>
      </c>
      <c r="F195" s="216" t="s">
        <v>55</v>
      </c>
      <c r="G195" s="256">
        <v>16735.59</v>
      </c>
      <c r="H195" s="256">
        <v>6864.33</v>
      </c>
      <c r="I195" s="192">
        <v>3.2111999999999998</v>
      </c>
      <c r="J195" s="192">
        <v>3.2111999999999998</v>
      </c>
      <c r="K195" s="256"/>
      <c r="L195" s="256"/>
      <c r="M195" s="256"/>
      <c r="N195" s="256"/>
      <c r="O195" s="200">
        <f t="shared" ref="O195:O196" si="97">G195*I195+H195*J195</f>
        <v>75784.063104000001</v>
      </c>
      <c r="P195" s="198">
        <f>ROUND(37.24%*O195,2)</f>
        <v>28221.99</v>
      </c>
      <c r="Q195" s="198">
        <f t="shared" ref="Q195:Q196" si="98">ROUND(R195*P195,2)</f>
        <v>14111</v>
      </c>
      <c r="R195" s="199">
        <v>0.5</v>
      </c>
      <c r="W195" s="47"/>
      <c r="Y195" s="47"/>
    </row>
    <row r="196" spans="1:26" x14ac:dyDescent="0.25">
      <c r="A196" s="270" t="s">
        <v>28</v>
      </c>
      <c r="B196" s="279" t="str">
        <f>B195</f>
        <v>88 GAS -Pisco</v>
      </c>
      <c r="C196" s="280" t="s">
        <v>31</v>
      </c>
      <c r="D196" s="281" t="s">
        <v>185</v>
      </c>
      <c r="E196" s="281"/>
      <c r="F196" s="286" t="str">
        <f>F195</f>
        <v xml:space="preserve"> MM BTU</v>
      </c>
      <c r="G196" s="388">
        <f>+G195</f>
        <v>16735.59</v>
      </c>
      <c r="H196" s="319">
        <f>+H195</f>
        <v>6864.33</v>
      </c>
      <c r="I196" s="272">
        <v>3.2208000000000001</v>
      </c>
      <c r="J196" s="272">
        <v>3.2208000000000001</v>
      </c>
      <c r="K196" s="272"/>
      <c r="L196" s="272"/>
      <c r="M196" s="272"/>
      <c r="N196" s="271"/>
      <c r="O196" s="271">
        <f t="shared" si="97"/>
        <v>76010.622336</v>
      </c>
      <c r="P196" s="271">
        <f>ROUND(37.24%*O196,2)</f>
        <v>28306.36</v>
      </c>
      <c r="Q196" s="271">
        <f t="shared" si="98"/>
        <v>14153.18</v>
      </c>
      <c r="R196" s="154">
        <v>0.5</v>
      </c>
      <c r="W196" s="47"/>
      <c r="Y196" s="47"/>
      <c r="Z196" s="47"/>
    </row>
    <row r="197" spans="1:26" x14ac:dyDescent="0.25">
      <c r="A197" s="273"/>
      <c r="B197" s="282" t="s">
        <v>180</v>
      </c>
      <c r="C197" s="71"/>
      <c r="D197" s="165"/>
      <c r="E197" s="165"/>
      <c r="F197" s="273"/>
      <c r="G197" s="255">
        <f t="shared" ref="G197:Q197" si="99">G196-G195</f>
        <v>0</v>
      </c>
      <c r="H197" s="320">
        <f t="shared" si="99"/>
        <v>0</v>
      </c>
      <c r="I197" s="283">
        <f t="shared" si="99"/>
        <v>9.600000000000275E-3</v>
      </c>
      <c r="J197" s="283">
        <f t="shared" si="99"/>
        <v>9.600000000000275E-3</v>
      </c>
      <c r="K197" s="283">
        <f t="shared" si="99"/>
        <v>0</v>
      </c>
      <c r="L197" s="283">
        <f t="shared" si="99"/>
        <v>0</v>
      </c>
      <c r="M197" s="283">
        <f t="shared" si="99"/>
        <v>0</v>
      </c>
      <c r="N197" s="284">
        <f t="shared" si="99"/>
        <v>0</v>
      </c>
      <c r="O197" s="255">
        <f t="shared" si="99"/>
        <v>226.55923199999961</v>
      </c>
      <c r="P197" s="344">
        <f t="shared" si="99"/>
        <v>84.369999999998981</v>
      </c>
      <c r="Q197" s="255">
        <f t="shared" si="99"/>
        <v>42.180000000000291</v>
      </c>
      <c r="R197" s="345"/>
      <c r="S197" s="251" t="s">
        <v>181</v>
      </c>
      <c r="X197" s="47"/>
      <c r="Y197" s="47"/>
    </row>
    <row r="198" spans="1:26" x14ac:dyDescent="0.25">
      <c r="A198" s="96"/>
      <c r="B198" s="5"/>
      <c r="C198" s="96"/>
      <c r="D198" s="96"/>
      <c r="E198" s="96"/>
      <c r="F198" s="96"/>
      <c r="G198" s="366"/>
      <c r="H198" s="366"/>
      <c r="I198" s="387"/>
      <c r="J198" s="387"/>
      <c r="K198" s="367"/>
      <c r="L198" s="367"/>
      <c r="M198" s="367"/>
      <c r="N198" s="368"/>
      <c r="O198" s="366"/>
      <c r="P198" s="369"/>
      <c r="Q198" s="366"/>
      <c r="R198" s="370"/>
      <c r="S198" s="366"/>
      <c r="T198" s="4"/>
      <c r="U198" s="4"/>
      <c r="V198" s="4"/>
    </row>
    <row r="199" spans="1:26" x14ac:dyDescent="0.25">
      <c r="A199" s="324"/>
      <c r="B199" s="265" t="s">
        <v>240</v>
      </c>
      <c r="C199" s="317"/>
      <c r="W199" s="48"/>
      <c r="Y199" s="294"/>
      <c r="Z199" s="48"/>
    </row>
    <row r="200" spans="1:26" ht="13" x14ac:dyDescent="0.3">
      <c r="A200" s="257" t="s">
        <v>161</v>
      </c>
      <c r="B200" s="252"/>
      <c r="C200" s="266"/>
      <c r="D200" s="263" t="s">
        <v>19</v>
      </c>
      <c r="E200" s="262" t="s">
        <v>58</v>
      </c>
      <c r="F200" s="263" t="s">
        <v>27</v>
      </c>
      <c r="G200" s="264" t="s">
        <v>34</v>
      </c>
      <c r="H200" s="253" t="s">
        <v>35</v>
      </c>
      <c r="I200" s="253" t="s">
        <v>34</v>
      </c>
      <c r="J200" s="264" t="s">
        <v>35</v>
      </c>
      <c r="K200" s="264" t="s">
        <v>38</v>
      </c>
      <c r="L200" s="264" t="s">
        <v>39</v>
      </c>
      <c r="M200" s="264" t="s">
        <v>41</v>
      </c>
      <c r="N200" s="264" t="s">
        <v>2</v>
      </c>
      <c r="O200" s="267" t="s">
        <v>179</v>
      </c>
      <c r="P200" s="276" t="s">
        <v>163</v>
      </c>
      <c r="Q200" s="276" t="s">
        <v>183</v>
      </c>
      <c r="R200" s="254"/>
      <c r="W200" s="48"/>
      <c r="Y200" s="295"/>
      <c r="Z200" s="294"/>
    </row>
    <row r="201" spans="1:26" x14ac:dyDescent="0.25">
      <c r="A201" s="16" t="s">
        <v>28</v>
      </c>
      <c r="B201" s="17" t="s">
        <v>225</v>
      </c>
      <c r="C201" s="40" t="s">
        <v>31</v>
      </c>
      <c r="D201" s="40" t="s">
        <v>30</v>
      </c>
      <c r="E201" s="40" t="s">
        <v>158</v>
      </c>
      <c r="F201" s="216" t="s">
        <v>55</v>
      </c>
      <c r="G201" s="256">
        <v>631.78</v>
      </c>
      <c r="H201" s="256">
        <v>16310.5</v>
      </c>
      <c r="I201" s="192">
        <v>3.2225999999999999</v>
      </c>
      <c r="J201" s="192">
        <v>3.2225999999999999</v>
      </c>
      <c r="K201" s="256"/>
      <c r="L201" s="256"/>
      <c r="M201" s="256"/>
      <c r="N201" s="256"/>
      <c r="O201" s="200">
        <f t="shared" ref="O201:O202" si="100">G201*I201+H201*J201</f>
        <v>54598.191527999996</v>
      </c>
      <c r="P201" s="198">
        <f>ROUND(37.24%*O201,2)</f>
        <v>20332.37</v>
      </c>
      <c r="Q201" s="198">
        <f t="shared" ref="Q201:Q202" si="101">ROUND(R201*P201,2)</f>
        <v>10166.19</v>
      </c>
      <c r="R201" s="199">
        <v>0.5</v>
      </c>
      <c r="W201" s="47"/>
      <c r="Y201" s="47"/>
    </row>
    <row r="202" spans="1:26" x14ac:dyDescent="0.25">
      <c r="A202" s="270" t="s">
        <v>28</v>
      </c>
      <c r="B202" s="279" t="str">
        <f>B201</f>
        <v>88 GAS -Pisco</v>
      </c>
      <c r="C202" s="280" t="s">
        <v>31</v>
      </c>
      <c r="D202" s="281" t="s">
        <v>185</v>
      </c>
      <c r="E202" s="281"/>
      <c r="F202" s="286" t="str">
        <f>F201</f>
        <v xml:space="preserve"> MM BTU</v>
      </c>
      <c r="G202" s="388">
        <f>+G201</f>
        <v>631.78</v>
      </c>
      <c r="H202" s="319">
        <f>+H201</f>
        <v>16310.5</v>
      </c>
      <c r="I202" s="272">
        <v>3.0651999999999999</v>
      </c>
      <c r="J202" s="272">
        <v>3.0651999999999999</v>
      </c>
      <c r="K202" s="272"/>
      <c r="L202" s="272"/>
      <c r="M202" s="272"/>
      <c r="N202" s="271"/>
      <c r="O202" s="271">
        <f t="shared" si="100"/>
        <v>51931.476655999992</v>
      </c>
      <c r="P202" s="271">
        <f>ROUND(37.24%*O202,2)</f>
        <v>19339.28</v>
      </c>
      <c r="Q202" s="271">
        <f t="shared" si="101"/>
        <v>9669.64</v>
      </c>
      <c r="R202" s="154">
        <v>0.5</v>
      </c>
      <c r="W202" s="47"/>
      <c r="Y202" s="47"/>
      <c r="Z202" s="47"/>
    </row>
    <row r="203" spans="1:26" x14ac:dyDescent="0.25">
      <c r="A203" s="273"/>
      <c r="B203" s="282" t="s">
        <v>180</v>
      </c>
      <c r="C203" s="71"/>
      <c r="D203" s="165"/>
      <c r="E203" s="165"/>
      <c r="F203" s="273"/>
      <c r="G203" s="255">
        <f t="shared" ref="G203:Q203" si="102">G202-G201</f>
        <v>0</v>
      </c>
      <c r="H203" s="320">
        <f t="shared" si="102"/>
        <v>0</v>
      </c>
      <c r="I203" s="283">
        <f t="shared" si="102"/>
        <v>-0.15739999999999998</v>
      </c>
      <c r="J203" s="283">
        <f t="shared" si="102"/>
        <v>-0.15739999999999998</v>
      </c>
      <c r="K203" s="283">
        <f t="shared" si="102"/>
        <v>0</v>
      </c>
      <c r="L203" s="283">
        <f t="shared" si="102"/>
        <v>0</v>
      </c>
      <c r="M203" s="283">
        <f t="shared" si="102"/>
        <v>0</v>
      </c>
      <c r="N203" s="284">
        <f t="shared" si="102"/>
        <v>0</v>
      </c>
      <c r="O203" s="255">
        <f t="shared" si="102"/>
        <v>-2666.7148720000041</v>
      </c>
      <c r="P203" s="344">
        <f t="shared" si="102"/>
        <v>-993.09000000000015</v>
      </c>
      <c r="Q203" s="255">
        <f t="shared" si="102"/>
        <v>-496.55000000000109</v>
      </c>
      <c r="R203" s="345"/>
      <c r="S203" s="251" t="s">
        <v>181</v>
      </c>
      <c r="X203" s="47"/>
      <c r="Y203" s="47"/>
    </row>
    <row r="204" spans="1:26" x14ac:dyDescent="0.25">
      <c r="A204" s="96"/>
      <c r="B204" s="5"/>
      <c r="C204" s="96"/>
      <c r="D204" s="96"/>
      <c r="E204" s="96"/>
      <c r="F204" s="96"/>
      <c r="G204" s="366"/>
      <c r="H204" s="366"/>
      <c r="I204" s="387"/>
      <c r="J204" s="387"/>
      <c r="K204" s="367"/>
      <c r="L204" s="367"/>
      <c r="M204" s="367"/>
      <c r="N204" s="368"/>
      <c r="O204" s="366"/>
      <c r="P204" s="369"/>
      <c r="Q204" s="366"/>
      <c r="R204" s="370"/>
      <c r="S204" s="366"/>
      <c r="T204" s="4"/>
      <c r="U204" s="4"/>
      <c r="V204" s="4"/>
    </row>
    <row r="205" spans="1:26" x14ac:dyDescent="0.25">
      <c r="A205" s="324"/>
      <c r="B205" s="265" t="s">
        <v>241</v>
      </c>
      <c r="C205" s="317"/>
      <c r="W205" s="48"/>
      <c r="Y205" s="294"/>
      <c r="Z205" s="48"/>
    </row>
    <row r="206" spans="1:26" ht="13" x14ac:dyDescent="0.3">
      <c r="A206" s="257" t="s">
        <v>161</v>
      </c>
      <c r="B206" s="252"/>
      <c r="C206" s="266"/>
      <c r="D206" s="263" t="s">
        <v>19</v>
      </c>
      <c r="E206" s="262" t="s">
        <v>58</v>
      </c>
      <c r="F206" s="263" t="s">
        <v>27</v>
      </c>
      <c r="G206" s="264" t="s">
        <v>34</v>
      </c>
      <c r="H206" s="253" t="s">
        <v>35</v>
      </c>
      <c r="I206" s="253" t="s">
        <v>34</v>
      </c>
      <c r="J206" s="264" t="s">
        <v>35</v>
      </c>
      <c r="K206" s="264" t="s">
        <v>38</v>
      </c>
      <c r="L206" s="264" t="s">
        <v>39</v>
      </c>
      <c r="M206" s="264" t="s">
        <v>41</v>
      </c>
      <c r="N206" s="264" t="s">
        <v>2</v>
      </c>
      <c r="O206" s="267" t="s">
        <v>179</v>
      </c>
      <c r="P206" s="276" t="s">
        <v>163</v>
      </c>
      <c r="Q206" s="276" t="s">
        <v>183</v>
      </c>
      <c r="R206" s="254"/>
      <c r="W206" s="48"/>
      <c r="Y206" s="295"/>
      <c r="Z206" s="294"/>
    </row>
    <row r="207" spans="1:26" x14ac:dyDescent="0.25">
      <c r="A207" s="16" t="s">
        <v>28</v>
      </c>
      <c r="B207" s="17" t="s">
        <v>225</v>
      </c>
      <c r="C207" s="40" t="s">
        <v>31</v>
      </c>
      <c r="D207" s="40" t="s">
        <v>30</v>
      </c>
      <c r="E207" s="40" t="s">
        <v>158</v>
      </c>
      <c r="F207" s="216" t="s">
        <v>55</v>
      </c>
      <c r="G207" s="256">
        <v>5137.3999999999996</v>
      </c>
      <c r="H207" s="256">
        <v>11001.17</v>
      </c>
      <c r="I207" s="192">
        <v>3.0613000000000001</v>
      </c>
      <c r="J207" s="192">
        <v>3.0613000000000001</v>
      </c>
      <c r="K207" s="256"/>
      <c r="L207" s="256"/>
      <c r="M207" s="256"/>
      <c r="N207" s="256"/>
      <c r="O207" s="200">
        <f t="shared" ref="O207:O208" si="103">G207*I207+H207*J207</f>
        <v>49405.004341000007</v>
      </c>
      <c r="P207" s="198">
        <f>ROUND(37.24%*O207,2)</f>
        <v>18398.419999999998</v>
      </c>
      <c r="Q207" s="198">
        <f t="shared" ref="Q207:Q208" si="104">ROUND(R207*P207,2)</f>
        <v>9199.2099999999991</v>
      </c>
      <c r="R207" s="199">
        <v>0.5</v>
      </c>
      <c r="W207" s="47"/>
      <c r="Y207" s="47"/>
    </row>
    <row r="208" spans="1:26" x14ac:dyDescent="0.25">
      <c r="A208" s="270" t="s">
        <v>28</v>
      </c>
      <c r="B208" s="279" t="str">
        <f>B207</f>
        <v>88 GAS -Pisco</v>
      </c>
      <c r="C208" s="280" t="s">
        <v>31</v>
      </c>
      <c r="D208" s="281" t="s">
        <v>185</v>
      </c>
      <c r="E208" s="281"/>
      <c r="F208" s="286" t="str">
        <f>F207</f>
        <v xml:space="preserve"> MM BTU</v>
      </c>
      <c r="G208" s="388">
        <f>+G207</f>
        <v>5137.3999999999996</v>
      </c>
      <c r="H208" s="319">
        <f>+H207</f>
        <v>11001.17</v>
      </c>
      <c r="I208" s="272">
        <v>3.0188999999999999</v>
      </c>
      <c r="J208" s="272">
        <v>3.0188999999999999</v>
      </c>
      <c r="K208" s="272"/>
      <c r="L208" s="272"/>
      <c r="M208" s="272"/>
      <c r="N208" s="271"/>
      <c r="O208" s="271">
        <f t="shared" si="103"/>
        <v>48720.728973000005</v>
      </c>
      <c r="P208" s="271">
        <f>ROUND(37.24%*O208,2)</f>
        <v>18143.599999999999</v>
      </c>
      <c r="Q208" s="271">
        <f t="shared" si="104"/>
        <v>9071.7999999999993</v>
      </c>
      <c r="R208" s="154">
        <v>0.5</v>
      </c>
      <c r="W208" s="47"/>
      <c r="Y208" s="47"/>
      <c r="Z208" s="47"/>
    </row>
    <row r="209" spans="1:26" x14ac:dyDescent="0.25">
      <c r="A209" s="273"/>
      <c r="B209" s="282" t="s">
        <v>180</v>
      </c>
      <c r="C209" s="71"/>
      <c r="D209" s="165"/>
      <c r="E209" s="165"/>
      <c r="F209" s="273"/>
      <c r="G209" s="255">
        <f t="shared" ref="G209:Q209" si="105">G208-G207</f>
        <v>0</v>
      </c>
      <c r="H209" s="320">
        <f t="shared" si="105"/>
        <v>0</v>
      </c>
      <c r="I209" s="283">
        <f t="shared" si="105"/>
        <v>-4.2400000000000215E-2</v>
      </c>
      <c r="J209" s="283">
        <f t="shared" si="105"/>
        <v>-4.2400000000000215E-2</v>
      </c>
      <c r="K209" s="283">
        <f t="shared" si="105"/>
        <v>0</v>
      </c>
      <c r="L209" s="283">
        <f t="shared" si="105"/>
        <v>0</v>
      </c>
      <c r="M209" s="283">
        <f t="shared" si="105"/>
        <v>0</v>
      </c>
      <c r="N209" s="284">
        <f t="shared" si="105"/>
        <v>0</v>
      </c>
      <c r="O209" s="255">
        <f t="shared" si="105"/>
        <v>-684.27536800000235</v>
      </c>
      <c r="P209" s="344">
        <f t="shared" si="105"/>
        <v>-254.81999999999971</v>
      </c>
      <c r="Q209" s="255">
        <f t="shared" si="105"/>
        <v>-127.40999999999985</v>
      </c>
      <c r="R209" s="345"/>
      <c r="S209" s="251" t="s">
        <v>181</v>
      </c>
      <c r="X209" s="47"/>
      <c r="Y209" s="47"/>
    </row>
    <row r="210" spans="1:26" x14ac:dyDescent="0.25">
      <c r="A210" s="96"/>
      <c r="B210" s="5"/>
      <c r="C210" s="96"/>
      <c r="D210" s="96"/>
      <c r="E210" s="96"/>
      <c r="F210" s="96"/>
      <c r="G210" s="366"/>
      <c r="H210" s="366"/>
      <c r="I210" s="387"/>
      <c r="J210" s="387"/>
      <c r="K210" s="367"/>
      <c r="L210" s="367"/>
      <c r="M210" s="367"/>
      <c r="N210" s="368"/>
      <c r="O210" s="366"/>
      <c r="P210" s="369"/>
      <c r="Q210" s="366"/>
      <c r="R210" s="370"/>
      <c r="S210" s="366"/>
      <c r="T210" s="4"/>
      <c r="U210" s="4"/>
      <c r="V210" s="4"/>
    </row>
    <row r="211" spans="1:26" x14ac:dyDescent="0.25">
      <c r="A211" s="324"/>
      <c r="B211" s="265" t="s">
        <v>242</v>
      </c>
      <c r="C211" s="317"/>
      <c r="W211" s="48"/>
      <c r="Y211" s="294"/>
      <c r="Z211" s="48"/>
    </row>
    <row r="212" spans="1:26" ht="13" x14ac:dyDescent="0.3">
      <c r="A212" s="257" t="s">
        <v>161</v>
      </c>
      <c r="B212" s="252"/>
      <c r="C212" s="266"/>
      <c r="D212" s="263" t="s">
        <v>19</v>
      </c>
      <c r="E212" s="262" t="s">
        <v>58</v>
      </c>
      <c r="F212" s="263" t="s">
        <v>27</v>
      </c>
      <c r="G212" s="264" t="s">
        <v>34</v>
      </c>
      <c r="H212" s="253" t="s">
        <v>35</v>
      </c>
      <c r="I212" s="253" t="s">
        <v>34</v>
      </c>
      <c r="J212" s="264" t="s">
        <v>35</v>
      </c>
      <c r="K212" s="264" t="s">
        <v>38</v>
      </c>
      <c r="L212" s="264" t="s">
        <v>39</v>
      </c>
      <c r="M212" s="264" t="s">
        <v>41</v>
      </c>
      <c r="N212" s="264" t="s">
        <v>2</v>
      </c>
      <c r="O212" s="267" t="s">
        <v>179</v>
      </c>
      <c r="P212" s="276" t="s">
        <v>163</v>
      </c>
      <c r="Q212" s="276" t="s">
        <v>183</v>
      </c>
      <c r="R212" s="254"/>
      <c r="W212" s="48"/>
      <c r="Y212" s="295"/>
      <c r="Z212" s="294"/>
    </row>
    <row r="213" spans="1:26" x14ac:dyDescent="0.25">
      <c r="A213" s="16" t="s">
        <v>28</v>
      </c>
      <c r="B213" s="17" t="s">
        <v>225</v>
      </c>
      <c r="C213" s="40" t="s">
        <v>31</v>
      </c>
      <c r="D213" s="40" t="s">
        <v>30</v>
      </c>
      <c r="E213" s="40" t="s">
        <v>158</v>
      </c>
      <c r="F213" s="216" t="s">
        <v>55</v>
      </c>
      <c r="G213" s="256">
        <v>9071.4938000000002</v>
      </c>
      <c r="H213" s="256">
        <v>13513.9483</v>
      </c>
      <c r="I213" s="192">
        <v>3.0207999999999999</v>
      </c>
      <c r="J213" s="192">
        <v>3.0207999999999999</v>
      </c>
      <c r="K213" s="256"/>
      <c r="L213" s="256"/>
      <c r="M213" s="256"/>
      <c r="N213" s="256"/>
      <c r="O213" s="200">
        <f t="shared" ref="O213:O214" si="106">G213*I213+H213*J213</f>
        <v>68226.103495679999</v>
      </c>
      <c r="P213" s="198">
        <f>ROUND(37.24%*O213,2)</f>
        <v>25407.4</v>
      </c>
      <c r="Q213" s="198">
        <f t="shared" ref="Q213:Q214" si="107">ROUND(R213*P213,2)</f>
        <v>12703.7</v>
      </c>
      <c r="R213" s="199">
        <v>0.5</v>
      </c>
      <c r="W213" s="47"/>
      <c r="Y213" s="47"/>
    </row>
    <row r="214" spans="1:26" x14ac:dyDescent="0.25">
      <c r="A214" s="270" t="s">
        <v>28</v>
      </c>
      <c r="B214" s="279" t="str">
        <f>B213</f>
        <v>88 GAS -Pisco</v>
      </c>
      <c r="C214" s="280" t="s">
        <v>31</v>
      </c>
      <c r="D214" s="281" t="s">
        <v>185</v>
      </c>
      <c r="E214" s="281"/>
      <c r="F214" s="286" t="str">
        <f>F213</f>
        <v xml:space="preserve"> MM BTU</v>
      </c>
      <c r="G214" s="388">
        <f>+G213</f>
        <v>9071.4938000000002</v>
      </c>
      <c r="H214" s="319">
        <f>+H213</f>
        <v>13513.9483</v>
      </c>
      <c r="I214" s="272">
        <v>3.1179000000000001</v>
      </c>
      <c r="J214" s="272">
        <v>3.1179000000000001</v>
      </c>
      <c r="K214" s="272"/>
      <c r="L214" s="272"/>
      <c r="M214" s="272"/>
      <c r="N214" s="271"/>
      <c r="O214" s="271">
        <f t="shared" si="106"/>
        <v>70419.149923589997</v>
      </c>
      <c r="P214" s="271">
        <f>ROUND(37.24%*O214,2)</f>
        <v>26224.09</v>
      </c>
      <c r="Q214" s="271">
        <f t="shared" si="107"/>
        <v>13112.05</v>
      </c>
      <c r="R214" s="154">
        <v>0.5</v>
      </c>
      <c r="W214" s="47"/>
      <c r="Y214" s="47"/>
      <c r="Z214" s="47"/>
    </row>
    <row r="215" spans="1:26" x14ac:dyDescent="0.25">
      <c r="A215" s="273"/>
      <c r="B215" s="282" t="s">
        <v>180</v>
      </c>
      <c r="C215" s="71"/>
      <c r="D215" s="165"/>
      <c r="E215" s="165"/>
      <c r="F215" s="273"/>
      <c r="G215" s="255">
        <f t="shared" ref="G215:Q215" si="108">G214-G213</f>
        <v>0</v>
      </c>
      <c r="H215" s="320">
        <f t="shared" si="108"/>
        <v>0</v>
      </c>
      <c r="I215" s="283">
        <f t="shared" si="108"/>
        <v>9.7100000000000186E-2</v>
      </c>
      <c r="J215" s="283">
        <f t="shared" si="108"/>
        <v>9.7100000000000186E-2</v>
      </c>
      <c r="K215" s="283">
        <f t="shared" si="108"/>
        <v>0</v>
      </c>
      <c r="L215" s="283">
        <f t="shared" si="108"/>
        <v>0</v>
      </c>
      <c r="M215" s="283">
        <f t="shared" si="108"/>
        <v>0</v>
      </c>
      <c r="N215" s="284">
        <f t="shared" si="108"/>
        <v>0</v>
      </c>
      <c r="O215" s="255">
        <f t="shared" si="108"/>
        <v>2193.0464279099979</v>
      </c>
      <c r="P215" s="344">
        <f t="shared" si="108"/>
        <v>816.68999999999869</v>
      </c>
      <c r="Q215" s="255">
        <f t="shared" si="108"/>
        <v>408.34999999999854</v>
      </c>
      <c r="R215" s="345"/>
      <c r="S215" s="251" t="s">
        <v>181</v>
      </c>
      <c r="X215" s="47"/>
      <c r="Y215" s="47"/>
    </row>
    <row r="216" spans="1:26" x14ac:dyDescent="0.25">
      <c r="A216" s="96"/>
      <c r="B216" s="5"/>
      <c r="C216" s="96"/>
      <c r="D216" s="96"/>
      <c r="E216" s="96"/>
      <c r="F216" s="96"/>
      <c r="G216" s="366"/>
      <c r="H216" s="366"/>
      <c r="I216" s="387"/>
      <c r="J216" s="387"/>
      <c r="K216" s="367"/>
      <c r="L216" s="367"/>
      <c r="M216" s="367"/>
      <c r="N216" s="368"/>
      <c r="O216" s="366"/>
      <c r="P216" s="369"/>
      <c r="Q216" s="366"/>
      <c r="R216" s="370"/>
      <c r="S216" s="366"/>
      <c r="T216" s="4"/>
      <c r="U216" s="4"/>
      <c r="V216" s="4"/>
    </row>
    <row r="217" spans="1:26" x14ac:dyDescent="0.25">
      <c r="A217" s="324"/>
      <c r="B217" s="265" t="s">
        <v>243</v>
      </c>
      <c r="C217" s="317"/>
      <c r="W217" s="48"/>
      <c r="Y217" s="294"/>
      <c r="Z217" s="48"/>
    </row>
    <row r="218" spans="1:26" ht="13" x14ac:dyDescent="0.3">
      <c r="A218" s="257" t="s">
        <v>161</v>
      </c>
      <c r="B218" s="252"/>
      <c r="C218" s="266"/>
      <c r="D218" s="263" t="s">
        <v>19</v>
      </c>
      <c r="E218" s="262" t="s">
        <v>58</v>
      </c>
      <c r="F218" s="263" t="s">
        <v>27</v>
      </c>
      <c r="G218" s="264" t="s">
        <v>34</v>
      </c>
      <c r="H218" s="253" t="s">
        <v>35</v>
      </c>
      <c r="I218" s="253" t="s">
        <v>34</v>
      </c>
      <c r="J218" s="264" t="s">
        <v>35</v>
      </c>
      <c r="K218" s="264" t="s">
        <v>38</v>
      </c>
      <c r="L218" s="264" t="s">
        <v>39</v>
      </c>
      <c r="M218" s="264" t="s">
        <v>41</v>
      </c>
      <c r="N218" s="264" t="s">
        <v>2</v>
      </c>
      <c r="O218" s="267" t="s">
        <v>179</v>
      </c>
      <c r="P218" s="276" t="s">
        <v>163</v>
      </c>
      <c r="Q218" s="276" t="s">
        <v>183</v>
      </c>
      <c r="R218" s="254"/>
      <c r="W218" s="48"/>
      <c r="Y218" s="295"/>
      <c r="Z218" s="294"/>
    </row>
    <row r="219" spans="1:26" x14ac:dyDescent="0.25">
      <c r="A219" s="16" t="s">
        <v>28</v>
      </c>
      <c r="B219" s="17" t="s">
        <v>225</v>
      </c>
      <c r="C219" s="40" t="s">
        <v>31</v>
      </c>
      <c r="D219" s="40" t="s">
        <v>30</v>
      </c>
      <c r="E219" s="40" t="s">
        <v>158</v>
      </c>
      <c r="F219" s="216" t="s">
        <v>55</v>
      </c>
      <c r="G219" s="256">
        <v>6405.9049000000005</v>
      </c>
      <c r="H219" s="256">
        <v>11652.584199999999</v>
      </c>
      <c r="I219" s="192">
        <v>3.1173999999999999</v>
      </c>
      <c r="J219" s="192">
        <v>3.1173999999999999</v>
      </c>
      <c r="K219" s="256"/>
      <c r="L219" s="256"/>
      <c r="M219" s="256"/>
      <c r="N219" s="256"/>
      <c r="O219" s="200">
        <f t="shared" ref="O219:O220" si="109">G219*I219+H219*J219</f>
        <v>56295.53392034</v>
      </c>
      <c r="P219" s="198">
        <f>ROUND(37.24%*O219,2)</f>
        <v>20964.46</v>
      </c>
      <c r="Q219" s="198">
        <f t="shared" ref="Q219:Q220" si="110">ROUND(R219*P219,2)</f>
        <v>10482.23</v>
      </c>
      <c r="R219" s="199">
        <v>0.5</v>
      </c>
      <c r="W219" s="47"/>
      <c r="Y219" s="47"/>
    </row>
    <row r="220" spans="1:26" x14ac:dyDescent="0.25">
      <c r="A220" s="270" t="s">
        <v>28</v>
      </c>
      <c r="B220" s="279" t="str">
        <f>B219</f>
        <v>88 GAS -Pisco</v>
      </c>
      <c r="C220" s="280" t="s">
        <v>31</v>
      </c>
      <c r="D220" s="281" t="s">
        <v>185</v>
      </c>
      <c r="E220" s="281"/>
      <c r="F220" s="286" t="str">
        <f>F219</f>
        <v xml:space="preserve"> MM BTU</v>
      </c>
      <c r="G220" s="388">
        <f>+G219</f>
        <v>6405.9049000000005</v>
      </c>
      <c r="H220" s="319">
        <f>+H219</f>
        <v>11652.584199999999</v>
      </c>
      <c r="I220" s="272">
        <v>3.1968000000000001</v>
      </c>
      <c r="J220" s="272">
        <v>3.1968000000000001</v>
      </c>
      <c r="K220" s="272"/>
      <c r="L220" s="272"/>
      <c r="M220" s="272"/>
      <c r="N220" s="271"/>
      <c r="O220" s="271">
        <f t="shared" si="109"/>
        <v>57729.377954880001</v>
      </c>
      <c r="P220" s="271">
        <f>ROUND(37.24%*O220,2)</f>
        <v>21498.42</v>
      </c>
      <c r="Q220" s="271">
        <f t="shared" si="110"/>
        <v>10749.21</v>
      </c>
      <c r="R220" s="154">
        <v>0.5</v>
      </c>
      <c r="W220" s="47"/>
      <c r="Y220" s="47"/>
      <c r="Z220" s="47"/>
    </row>
    <row r="221" spans="1:26" x14ac:dyDescent="0.25">
      <c r="A221" s="273"/>
      <c r="B221" s="282" t="s">
        <v>180</v>
      </c>
      <c r="C221" s="71"/>
      <c r="D221" s="165"/>
      <c r="E221" s="165"/>
      <c r="F221" s="273"/>
      <c r="G221" s="255">
        <f t="shared" ref="G221:Q221" si="111">G220-G219</f>
        <v>0</v>
      </c>
      <c r="H221" s="320">
        <f t="shared" si="111"/>
        <v>0</v>
      </c>
      <c r="I221" s="283">
        <f t="shared" si="111"/>
        <v>7.9400000000000137E-2</v>
      </c>
      <c r="J221" s="283">
        <f t="shared" si="111"/>
        <v>7.9400000000000137E-2</v>
      </c>
      <c r="K221" s="283">
        <f t="shared" si="111"/>
        <v>0</v>
      </c>
      <c r="L221" s="283">
        <f t="shared" si="111"/>
        <v>0</v>
      </c>
      <c r="M221" s="283">
        <f t="shared" si="111"/>
        <v>0</v>
      </c>
      <c r="N221" s="284">
        <f t="shared" si="111"/>
        <v>0</v>
      </c>
      <c r="O221" s="255">
        <f t="shared" si="111"/>
        <v>1433.8440345400013</v>
      </c>
      <c r="P221" s="344">
        <f t="shared" si="111"/>
        <v>533.95999999999913</v>
      </c>
      <c r="Q221" s="255">
        <f t="shared" si="111"/>
        <v>266.97999999999956</v>
      </c>
      <c r="R221" s="345"/>
      <c r="S221" s="251" t="s">
        <v>181</v>
      </c>
      <c r="X221" s="47"/>
      <c r="Y221" s="47"/>
    </row>
    <row r="222" spans="1:26" x14ac:dyDescent="0.25">
      <c r="A222" s="96"/>
      <c r="B222" s="5"/>
      <c r="C222" s="96"/>
      <c r="D222" s="96"/>
      <c r="E222" s="96"/>
      <c r="F222" s="96"/>
      <c r="G222" s="366"/>
      <c r="H222" s="366"/>
      <c r="I222" s="387"/>
      <c r="J222" s="387"/>
      <c r="K222" s="367"/>
      <c r="L222" s="367"/>
      <c r="M222" s="367"/>
      <c r="N222" s="368"/>
      <c r="O222" s="366"/>
      <c r="P222" s="369"/>
      <c r="Q222" s="366"/>
      <c r="R222" s="370"/>
      <c r="S222" s="366"/>
      <c r="T222" s="4"/>
      <c r="U222" s="4"/>
      <c r="V222" s="4"/>
    </row>
    <row r="223" spans="1:26" x14ac:dyDescent="0.25">
      <c r="A223" s="324"/>
      <c r="B223" s="265" t="s">
        <v>244</v>
      </c>
      <c r="C223" s="317"/>
      <c r="W223" s="48"/>
      <c r="Y223" s="294"/>
      <c r="Z223" s="48"/>
    </row>
    <row r="224" spans="1:26" ht="13" x14ac:dyDescent="0.3">
      <c r="A224" s="257" t="s">
        <v>161</v>
      </c>
      <c r="B224" s="252"/>
      <c r="C224" s="266"/>
      <c r="D224" s="263" t="s">
        <v>19</v>
      </c>
      <c r="E224" s="262" t="s">
        <v>58</v>
      </c>
      <c r="F224" s="263" t="s">
        <v>27</v>
      </c>
      <c r="G224" s="264" t="s">
        <v>34</v>
      </c>
      <c r="H224" s="253" t="s">
        <v>35</v>
      </c>
      <c r="I224" s="253" t="s">
        <v>34</v>
      </c>
      <c r="J224" s="264" t="s">
        <v>35</v>
      </c>
      <c r="K224" s="264" t="s">
        <v>38</v>
      </c>
      <c r="L224" s="264" t="s">
        <v>39</v>
      </c>
      <c r="M224" s="264" t="s">
        <v>41</v>
      </c>
      <c r="N224" s="264" t="s">
        <v>2</v>
      </c>
      <c r="O224" s="267" t="s">
        <v>179</v>
      </c>
      <c r="P224" s="276" t="s">
        <v>163</v>
      </c>
      <c r="Q224" s="276" t="s">
        <v>183</v>
      </c>
      <c r="R224" s="254"/>
      <c r="W224" s="48"/>
      <c r="Y224" s="295"/>
      <c r="Z224" s="294"/>
    </row>
    <row r="225" spans="1:26" x14ac:dyDescent="0.25">
      <c r="A225" s="16" t="s">
        <v>28</v>
      </c>
      <c r="B225" s="17" t="s">
        <v>225</v>
      </c>
      <c r="C225" s="40" t="s">
        <v>31</v>
      </c>
      <c r="D225" s="40" t="s">
        <v>30</v>
      </c>
      <c r="E225" s="40" t="s">
        <v>158</v>
      </c>
      <c r="F225" s="216" t="s">
        <v>55</v>
      </c>
      <c r="G225" s="256">
        <v>9965.5496999999996</v>
      </c>
      <c r="H225" s="256"/>
      <c r="I225" s="192">
        <v>3.1966999999999999</v>
      </c>
      <c r="J225" s="192"/>
      <c r="K225" s="256"/>
      <c r="L225" s="256"/>
      <c r="M225" s="256"/>
      <c r="N225" s="256"/>
      <c r="O225" s="200">
        <f t="shared" ref="O225:O226" si="112">G225*I225+H225*J225</f>
        <v>31856.872725989997</v>
      </c>
      <c r="P225" s="198">
        <f>ROUND(37.24%*O225,2)</f>
        <v>11863.5</v>
      </c>
      <c r="Q225" s="198">
        <f t="shared" ref="Q225:Q226" si="113">ROUND(R225*P225,2)</f>
        <v>5931.75</v>
      </c>
      <c r="R225" s="199">
        <v>0.5</v>
      </c>
      <c r="W225" s="47"/>
      <c r="Y225" s="47"/>
    </row>
    <row r="226" spans="1:26" x14ac:dyDescent="0.25">
      <c r="A226" s="270" t="s">
        <v>28</v>
      </c>
      <c r="B226" s="279" t="str">
        <f>B225</f>
        <v>88 GAS -Pisco</v>
      </c>
      <c r="C226" s="280" t="s">
        <v>31</v>
      </c>
      <c r="D226" s="281" t="s">
        <v>185</v>
      </c>
      <c r="E226" s="281"/>
      <c r="F226" s="286" t="str">
        <f>F225</f>
        <v xml:space="preserve"> MM BTU</v>
      </c>
      <c r="G226" s="388">
        <f>+G225</f>
        <v>9965.5496999999996</v>
      </c>
      <c r="H226" s="319">
        <f>+H225</f>
        <v>0</v>
      </c>
      <c r="I226" s="272">
        <v>3.1911</v>
      </c>
      <c r="J226" s="272"/>
      <c r="K226" s="272"/>
      <c r="L226" s="272"/>
      <c r="M226" s="272"/>
      <c r="N226" s="271"/>
      <c r="O226" s="271">
        <f t="shared" si="112"/>
        <v>31801.065647669999</v>
      </c>
      <c r="P226" s="271">
        <f>ROUND(37.24%*O226,2)</f>
        <v>11842.72</v>
      </c>
      <c r="Q226" s="271">
        <f t="shared" si="113"/>
        <v>5921.36</v>
      </c>
      <c r="R226" s="154">
        <v>0.5</v>
      </c>
      <c r="W226" s="47"/>
      <c r="Y226" s="47"/>
      <c r="Z226" s="47"/>
    </row>
    <row r="227" spans="1:26" x14ac:dyDescent="0.25">
      <c r="A227" s="273"/>
      <c r="B227" s="282" t="s">
        <v>180</v>
      </c>
      <c r="C227" s="71"/>
      <c r="D227" s="165"/>
      <c r="E227" s="165"/>
      <c r="F227" s="273"/>
      <c r="G227" s="255">
        <f t="shared" ref="G227:Q227" si="114">G226-G225</f>
        <v>0</v>
      </c>
      <c r="H227" s="320">
        <f t="shared" si="114"/>
        <v>0</v>
      </c>
      <c r="I227" s="283">
        <f t="shared" si="114"/>
        <v>-5.5999999999998273E-3</v>
      </c>
      <c r="J227" s="283">
        <f t="shared" si="114"/>
        <v>0</v>
      </c>
      <c r="K227" s="283">
        <f t="shared" si="114"/>
        <v>0</v>
      </c>
      <c r="L227" s="283">
        <f t="shared" si="114"/>
        <v>0</v>
      </c>
      <c r="M227" s="283">
        <f t="shared" si="114"/>
        <v>0</v>
      </c>
      <c r="N227" s="284">
        <f t="shared" si="114"/>
        <v>0</v>
      </c>
      <c r="O227" s="255">
        <f t="shared" si="114"/>
        <v>-55.807078319998254</v>
      </c>
      <c r="P227" s="344">
        <f t="shared" si="114"/>
        <v>-20.780000000000655</v>
      </c>
      <c r="Q227" s="255">
        <f t="shared" si="114"/>
        <v>-10.390000000000327</v>
      </c>
      <c r="R227" s="345"/>
      <c r="S227" s="251" t="s">
        <v>181</v>
      </c>
      <c r="X227" s="47"/>
      <c r="Y227" s="47"/>
    </row>
    <row r="228" spans="1:26" x14ac:dyDescent="0.25">
      <c r="A228" s="96"/>
      <c r="B228" s="5"/>
      <c r="C228" s="96"/>
      <c r="D228" s="96"/>
      <c r="E228" s="96"/>
      <c r="F228" s="96"/>
      <c r="G228" s="366"/>
      <c r="H228" s="366"/>
      <c r="I228" s="387"/>
      <c r="J228" s="387"/>
      <c r="K228" s="367"/>
      <c r="L228" s="367"/>
      <c r="M228" s="367"/>
      <c r="N228" s="368"/>
      <c r="O228" s="366"/>
      <c r="P228" s="369"/>
      <c r="Q228" s="366"/>
      <c r="R228" s="370"/>
      <c r="S228" s="366"/>
      <c r="T228" s="4"/>
      <c r="U228" s="4"/>
      <c r="V228" s="4"/>
    </row>
    <row r="229" spans="1:26" x14ac:dyDescent="0.25">
      <c r="A229" s="324"/>
      <c r="B229" s="265" t="s">
        <v>245</v>
      </c>
      <c r="C229" s="317"/>
      <c r="W229" s="48"/>
      <c r="Y229" s="294"/>
      <c r="Z229" s="48"/>
    </row>
    <row r="230" spans="1:26" ht="13" x14ac:dyDescent="0.3">
      <c r="A230" s="257" t="s">
        <v>161</v>
      </c>
      <c r="B230" s="252"/>
      <c r="C230" s="266"/>
      <c r="D230" s="263" t="s">
        <v>19</v>
      </c>
      <c r="E230" s="262" t="s">
        <v>58</v>
      </c>
      <c r="F230" s="263" t="s">
        <v>27</v>
      </c>
      <c r="G230" s="264" t="s">
        <v>34</v>
      </c>
      <c r="H230" s="253" t="s">
        <v>35</v>
      </c>
      <c r="I230" s="253" t="s">
        <v>34</v>
      </c>
      <c r="J230" s="264" t="s">
        <v>35</v>
      </c>
      <c r="K230" s="264" t="s">
        <v>38</v>
      </c>
      <c r="L230" s="264" t="s">
        <v>39</v>
      </c>
      <c r="M230" s="264" t="s">
        <v>41</v>
      </c>
      <c r="N230" s="264" t="s">
        <v>2</v>
      </c>
      <c r="O230" s="267" t="s">
        <v>179</v>
      </c>
      <c r="P230" s="276" t="s">
        <v>163</v>
      </c>
      <c r="Q230" s="276" t="s">
        <v>183</v>
      </c>
      <c r="R230" s="254"/>
      <c r="W230" s="48"/>
      <c r="Y230" s="295"/>
      <c r="Z230" s="294"/>
    </row>
    <row r="231" spans="1:26" x14ac:dyDescent="0.25">
      <c r="A231" s="16" t="s">
        <v>28</v>
      </c>
      <c r="B231" s="17" t="s">
        <v>225</v>
      </c>
      <c r="C231" s="40" t="s">
        <v>31</v>
      </c>
      <c r="D231" s="40" t="s">
        <v>30</v>
      </c>
      <c r="E231" s="40" t="s">
        <v>158</v>
      </c>
      <c r="F231" s="216" t="s">
        <v>55</v>
      </c>
      <c r="G231" s="256">
        <v>840.65290265985789</v>
      </c>
      <c r="H231" s="256">
        <v>14476.888373695918</v>
      </c>
      <c r="I231" s="192">
        <v>3.1919</v>
      </c>
      <c r="J231" s="192">
        <v>3.1919</v>
      </c>
      <c r="K231" s="256"/>
      <c r="L231" s="256"/>
      <c r="M231" s="256"/>
      <c r="N231" s="256"/>
      <c r="O231" s="200">
        <f t="shared" ref="O231:O232" si="115">G231*I231+H231*J231</f>
        <v>48892.06</v>
      </c>
      <c r="P231" s="198">
        <f>ROUND(37.24%*O231,2)</f>
        <v>18207.400000000001</v>
      </c>
      <c r="Q231" s="198">
        <f t="shared" ref="Q231:Q232" si="116">ROUND(R231*P231,2)</f>
        <v>9103.7000000000007</v>
      </c>
      <c r="R231" s="199">
        <v>0.5</v>
      </c>
      <c r="W231" s="47"/>
      <c r="Y231" s="47"/>
    </row>
    <row r="232" spans="1:26" x14ac:dyDescent="0.25">
      <c r="A232" s="270" t="s">
        <v>28</v>
      </c>
      <c r="B232" s="279" t="str">
        <f>B231</f>
        <v>88 GAS -Pisco</v>
      </c>
      <c r="C232" s="280" t="s">
        <v>31</v>
      </c>
      <c r="D232" s="281" t="s">
        <v>185</v>
      </c>
      <c r="E232" s="281"/>
      <c r="F232" s="286" t="str">
        <f>F231</f>
        <v xml:space="preserve"> MM BTU</v>
      </c>
      <c r="G232" s="388">
        <f>+G231</f>
        <v>840.65290265985789</v>
      </c>
      <c r="H232" s="319">
        <f>+H231</f>
        <v>14476.888373695918</v>
      </c>
      <c r="I232" s="272">
        <v>3.2094999999999998</v>
      </c>
      <c r="J232" s="272">
        <v>3.2094999999999998</v>
      </c>
      <c r="K232" s="272"/>
      <c r="L232" s="272"/>
      <c r="M232" s="272"/>
      <c r="N232" s="271"/>
      <c r="O232" s="271">
        <f t="shared" si="115"/>
        <v>49161.648726463856</v>
      </c>
      <c r="P232" s="271">
        <f>ROUND(37.24%*O232,2)</f>
        <v>18307.8</v>
      </c>
      <c r="Q232" s="271">
        <f t="shared" si="116"/>
        <v>9153.9</v>
      </c>
      <c r="R232" s="154">
        <v>0.5</v>
      </c>
      <c r="W232" s="47"/>
      <c r="Y232" s="47"/>
      <c r="Z232" s="47"/>
    </row>
    <row r="233" spans="1:26" x14ac:dyDescent="0.25">
      <c r="A233" s="273"/>
      <c r="B233" s="282" t="s">
        <v>180</v>
      </c>
      <c r="C233" s="71"/>
      <c r="D233" s="165"/>
      <c r="E233" s="165"/>
      <c r="F233" s="273"/>
      <c r="G233" s="255">
        <f t="shared" ref="G233:Q233" si="117">G232-G231</f>
        <v>0</v>
      </c>
      <c r="H233" s="320">
        <f t="shared" si="117"/>
        <v>0</v>
      </c>
      <c r="I233" s="283">
        <f t="shared" si="117"/>
        <v>1.7599999999999838E-2</v>
      </c>
      <c r="J233" s="283">
        <f t="shared" si="117"/>
        <v>1.7599999999999838E-2</v>
      </c>
      <c r="K233" s="283">
        <f t="shared" si="117"/>
        <v>0</v>
      </c>
      <c r="L233" s="283">
        <f t="shared" si="117"/>
        <v>0</v>
      </c>
      <c r="M233" s="283">
        <f t="shared" si="117"/>
        <v>0</v>
      </c>
      <c r="N233" s="284">
        <f t="shared" si="117"/>
        <v>0</v>
      </c>
      <c r="O233" s="255">
        <f t="shared" si="117"/>
        <v>269.58872646385862</v>
      </c>
      <c r="P233" s="344">
        <f t="shared" si="117"/>
        <v>100.39999999999782</v>
      </c>
      <c r="Q233" s="255">
        <f t="shared" si="117"/>
        <v>50.199999999998909</v>
      </c>
      <c r="R233" s="345"/>
      <c r="S233" s="251" t="s">
        <v>181</v>
      </c>
      <c r="X233" s="47"/>
      <c r="Y233" s="47"/>
    </row>
    <row r="234" spans="1:26" x14ac:dyDescent="0.25">
      <c r="A234" s="96"/>
      <c r="B234" s="5"/>
      <c r="C234" s="96"/>
      <c r="D234" s="96"/>
      <c r="E234" s="96"/>
      <c r="F234" s="96"/>
      <c r="G234" s="366"/>
      <c r="H234" s="366"/>
      <c r="I234" s="387"/>
      <c r="J234" s="387"/>
      <c r="K234" s="367"/>
      <c r="L234" s="367"/>
      <c r="M234" s="367"/>
      <c r="N234" s="368"/>
      <c r="O234" s="366"/>
      <c r="P234" s="369"/>
      <c r="Q234" s="366"/>
      <c r="R234" s="370"/>
      <c r="S234" s="366"/>
      <c r="T234" s="4"/>
      <c r="U234" s="4"/>
      <c r="V234" s="4"/>
    </row>
    <row r="235" spans="1:26" x14ac:dyDescent="0.25">
      <c r="A235" s="324"/>
      <c r="B235" s="265" t="s">
        <v>246</v>
      </c>
      <c r="C235" s="317"/>
      <c r="W235" s="48"/>
      <c r="Y235" s="294"/>
      <c r="Z235" s="48"/>
    </row>
    <row r="236" spans="1:26" ht="13" x14ac:dyDescent="0.3">
      <c r="A236" s="257" t="s">
        <v>161</v>
      </c>
      <c r="B236" s="252"/>
      <c r="C236" s="266"/>
      <c r="D236" s="263" t="s">
        <v>19</v>
      </c>
      <c r="E236" s="262" t="s">
        <v>58</v>
      </c>
      <c r="F236" s="263" t="s">
        <v>27</v>
      </c>
      <c r="G236" s="264" t="s">
        <v>34</v>
      </c>
      <c r="H236" s="253" t="s">
        <v>35</v>
      </c>
      <c r="I236" s="253" t="s">
        <v>34</v>
      </c>
      <c r="J236" s="264" t="s">
        <v>35</v>
      </c>
      <c r="K236" s="264" t="s">
        <v>38</v>
      </c>
      <c r="L236" s="264" t="s">
        <v>39</v>
      </c>
      <c r="M236" s="264" t="s">
        <v>41</v>
      </c>
      <c r="N236" s="264" t="s">
        <v>2</v>
      </c>
      <c r="O236" s="267" t="s">
        <v>179</v>
      </c>
      <c r="P236" s="276" t="s">
        <v>163</v>
      </c>
      <c r="Q236" s="276" t="s">
        <v>183</v>
      </c>
      <c r="R236" s="254"/>
      <c r="W236" s="48"/>
      <c r="Y236" s="295"/>
      <c r="Z236" s="294"/>
    </row>
    <row r="237" spans="1:26" x14ac:dyDescent="0.25">
      <c r="A237" s="16" t="s">
        <v>28</v>
      </c>
      <c r="B237" s="17" t="s">
        <v>225</v>
      </c>
      <c r="C237" s="40" t="s">
        <v>31</v>
      </c>
      <c r="D237" s="40" t="s">
        <v>30</v>
      </c>
      <c r="E237" s="40" t="s">
        <v>158</v>
      </c>
      <c r="F237" s="216" t="s">
        <v>55</v>
      </c>
      <c r="G237" s="256">
        <v>6523.1940999999997</v>
      </c>
      <c r="H237" s="256">
        <v>15605.994000000001</v>
      </c>
      <c r="I237" s="192">
        <v>3.1951000000000001</v>
      </c>
      <c r="J237" s="192">
        <v>3.1951000000000001</v>
      </c>
      <c r="K237" s="256"/>
      <c r="L237" s="256"/>
      <c r="M237" s="256"/>
      <c r="N237" s="256"/>
      <c r="O237" s="200">
        <f t="shared" ref="O237:O238" si="118">G237*I237+H237*J237</f>
        <v>70704.968898310006</v>
      </c>
      <c r="P237" s="198">
        <f>ROUND(37.24%*O237,2)</f>
        <v>26330.53</v>
      </c>
      <c r="Q237" s="198">
        <f t="shared" ref="Q237:Q238" si="119">ROUND(R237*P237,2)</f>
        <v>13165.27</v>
      </c>
      <c r="R237" s="199">
        <v>0.5</v>
      </c>
      <c r="W237" s="47"/>
      <c r="Y237" s="47"/>
    </row>
    <row r="238" spans="1:26" x14ac:dyDescent="0.25">
      <c r="A238" s="270" t="s">
        <v>28</v>
      </c>
      <c r="B238" s="279" t="str">
        <f>B237</f>
        <v>88 GAS -Pisco</v>
      </c>
      <c r="C238" s="280" t="s">
        <v>31</v>
      </c>
      <c r="D238" s="281" t="s">
        <v>185</v>
      </c>
      <c r="E238" s="281"/>
      <c r="F238" s="286" t="str">
        <f>F237</f>
        <v xml:space="preserve"> MM BTU</v>
      </c>
      <c r="G238" s="388">
        <f>+G237</f>
        <v>6523.1940999999997</v>
      </c>
      <c r="H238" s="319">
        <f>+H237</f>
        <v>15605.994000000001</v>
      </c>
      <c r="I238" s="272">
        <v>3.2225000000000001</v>
      </c>
      <c r="J238" s="272">
        <v>3.2225000000000001</v>
      </c>
      <c r="K238" s="272"/>
      <c r="L238" s="272"/>
      <c r="M238" s="272"/>
      <c r="N238" s="271"/>
      <c r="O238" s="271">
        <f t="shared" si="118"/>
        <v>71311.308652250009</v>
      </c>
      <c r="P238" s="271">
        <f>ROUND(37.24%*O238,2)</f>
        <v>26556.33</v>
      </c>
      <c r="Q238" s="271">
        <f t="shared" si="119"/>
        <v>13278.17</v>
      </c>
      <c r="R238" s="154">
        <v>0.5</v>
      </c>
      <c r="W238" s="47"/>
      <c r="Y238" s="47"/>
      <c r="Z238" s="47"/>
    </row>
    <row r="239" spans="1:26" x14ac:dyDescent="0.25">
      <c r="A239" s="273"/>
      <c r="B239" s="282" t="s">
        <v>180</v>
      </c>
      <c r="C239" s="71"/>
      <c r="D239" s="165"/>
      <c r="E239" s="165"/>
      <c r="F239" s="273"/>
      <c r="G239" s="255">
        <f t="shared" ref="G239:Q239" si="120">G238-G237</f>
        <v>0</v>
      </c>
      <c r="H239" s="320">
        <f t="shared" si="120"/>
        <v>0</v>
      </c>
      <c r="I239" s="283">
        <f t="shared" si="120"/>
        <v>2.7400000000000091E-2</v>
      </c>
      <c r="J239" s="283">
        <f t="shared" si="120"/>
        <v>2.7400000000000091E-2</v>
      </c>
      <c r="K239" s="283">
        <f t="shared" si="120"/>
        <v>0</v>
      </c>
      <c r="L239" s="283">
        <f t="shared" si="120"/>
        <v>0</v>
      </c>
      <c r="M239" s="283">
        <f t="shared" si="120"/>
        <v>0</v>
      </c>
      <c r="N239" s="284">
        <f t="shared" si="120"/>
        <v>0</v>
      </c>
      <c r="O239" s="255">
        <f t="shared" si="120"/>
        <v>606.33975394000299</v>
      </c>
      <c r="P239" s="344">
        <f t="shared" si="120"/>
        <v>225.80000000000291</v>
      </c>
      <c r="Q239" s="255">
        <f t="shared" si="120"/>
        <v>112.89999999999964</v>
      </c>
      <c r="R239" s="345"/>
      <c r="S239" s="251" t="s">
        <v>181</v>
      </c>
      <c r="X239" s="47"/>
      <c r="Y239" s="47"/>
    </row>
    <row r="240" spans="1:26" x14ac:dyDescent="0.25">
      <c r="A240" s="96"/>
      <c r="B240" s="5"/>
      <c r="C240" s="96"/>
      <c r="D240" s="96"/>
      <c r="E240" s="96"/>
      <c r="F240" s="96"/>
      <c r="G240" s="366"/>
      <c r="H240" s="366"/>
      <c r="I240" s="387"/>
      <c r="J240" s="387"/>
      <c r="K240" s="367"/>
      <c r="L240" s="367"/>
      <c r="M240" s="367"/>
      <c r="N240" s="368"/>
      <c r="O240" s="366"/>
      <c r="P240" s="369"/>
      <c r="Q240" s="366"/>
      <c r="R240" s="370"/>
      <c r="S240" s="366"/>
      <c r="T240" s="4"/>
      <c r="U240" s="4"/>
      <c r="V240" s="4"/>
    </row>
    <row r="241" spans="1:26" x14ac:dyDescent="0.25">
      <c r="A241" s="324"/>
      <c r="B241" s="265" t="s">
        <v>247</v>
      </c>
      <c r="C241" s="317"/>
      <c r="W241" s="48"/>
      <c r="Y241" s="294"/>
      <c r="Z241" s="48"/>
    </row>
    <row r="242" spans="1:26" ht="13" x14ac:dyDescent="0.3">
      <c r="A242" s="257" t="s">
        <v>161</v>
      </c>
      <c r="B242" s="252"/>
      <c r="C242" s="266"/>
      <c r="D242" s="263" t="s">
        <v>19</v>
      </c>
      <c r="E242" s="262" t="s">
        <v>58</v>
      </c>
      <c r="F242" s="263" t="s">
        <v>27</v>
      </c>
      <c r="G242" s="264" t="s">
        <v>34</v>
      </c>
      <c r="H242" s="253" t="s">
        <v>35</v>
      </c>
      <c r="I242" s="253" t="s">
        <v>34</v>
      </c>
      <c r="J242" s="264" t="s">
        <v>35</v>
      </c>
      <c r="K242" s="264" t="s">
        <v>38</v>
      </c>
      <c r="L242" s="264" t="s">
        <v>39</v>
      </c>
      <c r="M242" s="264" t="s">
        <v>41</v>
      </c>
      <c r="N242" s="264" t="s">
        <v>2</v>
      </c>
      <c r="O242" s="267" t="s">
        <v>179</v>
      </c>
      <c r="P242" s="276" t="s">
        <v>163</v>
      </c>
      <c r="Q242" s="276" t="s">
        <v>183</v>
      </c>
      <c r="R242" s="254"/>
      <c r="W242" s="48"/>
      <c r="Y242" s="295"/>
      <c r="Z242" s="294"/>
    </row>
    <row r="243" spans="1:26" x14ac:dyDescent="0.25">
      <c r="A243" s="16" t="s">
        <v>28</v>
      </c>
      <c r="B243" s="17" t="s">
        <v>225</v>
      </c>
      <c r="C243" s="40" t="s">
        <v>31</v>
      </c>
      <c r="D243" s="40" t="s">
        <v>30</v>
      </c>
      <c r="E243" s="40" t="s">
        <v>158</v>
      </c>
      <c r="F243" s="216" t="s">
        <v>55</v>
      </c>
      <c r="G243" s="256">
        <v>7419.7048000000004</v>
      </c>
      <c r="H243" s="256">
        <v>15567.1636</v>
      </c>
      <c r="I243" s="192">
        <v>3.2223999999999999</v>
      </c>
      <c r="J243" s="192">
        <v>3.2223999999999999</v>
      </c>
      <c r="K243" s="256"/>
      <c r="L243" s="256"/>
      <c r="M243" s="256"/>
      <c r="N243" s="256"/>
      <c r="O243" s="200">
        <f t="shared" ref="O243:O244" si="121">G243*I243+H243*J243</f>
        <v>74072.884732160004</v>
      </c>
      <c r="P243" s="198">
        <f>ROUND(37.24%*O243,2)</f>
        <v>27584.74</v>
      </c>
      <c r="Q243" s="198">
        <f t="shared" ref="Q243:Q244" si="122">ROUND(R243*P243,2)</f>
        <v>13792.37</v>
      </c>
      <c r="R243" s="199">
        <v>0.5</v>
      </c>
      <c r="W243" s="47"/>
      <c r="Y243" s="47"/>
    </row>
    <row r="244" spans="1:26" x14ac:dyDescent="0.25">
      <c r="A244" s="270" t="s">
        <v>28</v>
      </c>
      <c r="B244" s="279" t="str">
        <f>B243</f>
        <v>88 GAS -Pisco</v>
      </c>
      <c r="C244" s="280" t="s">
        <v>31</v>
      </c>
      <c r="D244" s="281" t="s">
        <v>185</v>
      </c>
      <c r="E244" s="281"/>
      <c r="F244" s="286" t="str">
        <f>F243</f>
        <v xml:space="preserve"> MM BTU</v>
      </c>
      <c r="G244" s="388">
        <f>+G243</f>
        <v>7419.7048000000004</v>
      </c>
      <c r="H244" s="319">
        <f>+H243</f>
        <v>15567.1636</v>
      </c>
      <c r="I244" s="272">
        <v>3.1448</v>
      </c>
      <c r="J244" s="272">
        <v>3.1448</v>
      </c>
      <c r="K244" s="272"/>
      <c r="L244" s="272"/>
      <c r="M244" s="272"/>
      <c r="N244" s="271"/>
      <c r="O244" s="271">
        <f t="shared" si="121"/>
        <v>72289.103744320004</v>
      </c>
      <c r="P244" s="271">
        <f>ROUND(37.24%*O244,2)</f>
        <v>26920.46</v>
      </c>
      <c r="Q244" s="271">
        <f t="shared" si="122"/>
        <v>13460.23</v>
      </c>
      <c r="R244" s="154">
        <v>0.5</v>
      </c>
      <c r="W244" s="47"/>
      <c r="Y244" s="47"/>
      <c r="Z244" s="47"/>
    </row>
    <row r="245" spans="1:26" x14ac:dyDescent="0.25">
      <c r="A245" s="273"/>
      <c r="B245" s="282" t="s">
        <v>180</v>
      </c>
      <c r="C245" s="71"/>
      <c r="D245" s="165"/>
      <c r="E245" s="165"/>
      <c r="F245" s="273"/>
      <c r="G245" s="255">
        <f t="shared" ref="G245:Q245" si="123">G244-G243</f>
        <v>0</v>
      </c>
      <c r="H245" s="320">
        <f t="shared" si="123"/>
        <v>0</v>
      </c>
      <c r="I245" s="283">
        <f t="shared" si="123"/>
        <v>-7.7599999999999891E-2</v>
      </c>
      <c r="J245" s="283">
        <f t="shared" si="123"/>
        <v>-7.7599999999999891E-2</v>
      </c>
      <c r="K245" s="283">
        <f t="shared" si="123"/>
        <v>0</v>
      </c>
      <c r="L245" s="283">
        <f t="shared" si="123"/>
        <v>0</v>
      </c>
      <c r="M245" s="283">
        <f t="shared" si="123"/>
        <v>0</v>
      </c>
      <c r="N245" s="284">
        <f t="shared" si="123"/>
        <v>0</v>
      </c>
      <c r="O245" s="255">
        <f t="shared" si="123"/>
        <v>-1783.7809878400003</v>
      </c>
      <c r="P245" s="344">
        <f t="shared" si="123"/>
        <v>-664.28000000000247</v>
      </c>
      <c r="Q245" s="255">
        <f t="shared" si="123"/>
        <v>-332.14000000000124</v>
      </c>
      <c r="R245" s="345"/>
      <c r="S245" s="251" t="s">
        <v>181</v>
      </c>
      <c r="X245" s="47"/>
      <c r="Y245" s="47"/>
    </row>
    <row r="246" spans="1:26" x14ac:dyDescent="0.25">
      <c r="A246" s="96"/>
      <c r="B246" s="5"/>
      <c r="C246" s="96"/>
      <c r="D246" s="96"/>
      <c r="E246" s="96"/>
      <c r="F246" s="96"/>
      <c r="G246" s="366"/>
      <c r="H246" s="366"/>
      <c r="I246" s="387"/>
      <c r="J246" s="387"/>
      <c r="K246" s="367"/>
      <c r="L246" s="367"/>
      <c r="M246" s="367"/>
      <c r="N246" s="368"/>
      <c r="O246" s="366"/>
      <c r="P246" s="369"/>
      <c r="Q246" s="366"/>
      <c r="R246" s="370"/>
      <c r="S246" s="366"/>
      <c r="T246" s="4"/>
      <c r="U246" s="4"/>
      <c r="V246" s="4"/>
    </row>
    <row r="247" spans="1:26" x14ac:dyDescent="0.25">
      <c r="A247" s="324"/>
      <c r="B247" s="265" t="s">
        <v>248</v>
      </c>
      <c r="C247" s="317"/>
      <c r="W247" s="48"/>
      <c r="Y247" s="294"/>
      <c r="Z247" s="48"/>
    </row>
    <row r="248" spans="1:26" ht="13" x14ac:dyDescent="0.3">
      <c r="A248" s="257" t="s">
        <v>161</v>
      </c>
      <c r="B248" s="252"/>
      <c r="C248" s="266"/>
      <c r="D248" s="263" t="s">
        <v>19</v>
      </c>
      <c r="E248" s="262" t="s">
        <v>58</v>
      </c>
      <c r="F248" s="263" t="s">
        <v>27</v>
      </c>
      <c r="G248" s="264" t="s">
        <v>34</v>
      </c>
      <c r="H248" s="253" t="s">
        <v>35</v>
      </c>
      <c r="I248" s="253" t="s">
        <v>34</v>
      </c>
      <c r="J248" s="264" t="s">
        <v>35</v>
      </c>
      <c r="K248" s="264" t="s">
        <v>38</v>
      </c>
      <c r="L248" s="264" t="s">
        <v>39</v>
      </c>
      <c r="M248" s="264" t="s">
        <v>41</v>
      </c>
      <c r="N248" s="264" t="s">
        <v>2</v>
      </c>
      <c r="O248" s="267" t="s">
        <v>179</v>
      </c>
      <c r="P248" s="276" t="s">
        <v>163</v>
      </c>
      <c r="Q248" s="276" t="s">
        <v>183</v>
      </c>
      <c r="R248" s="254"/>
      <c r="W248" s="48"/>
      <c r="Y248" s="295"/>
      <c r="Z248" s="294"/>
    </row>
    <row r="249" spans="1:26" x14ac:dyDescent="0.25">
      <c r="A249" s="16" t="s">
        <v>28</v>
      </c>
      <c r="B249" s="17" t="s">
        <v>225</v>
      </c>
      <c r="C249" s="40" t="s">
        <v>31</v>
      </c>
      <c r="D249" s="40" t="s">
        <v>30</v>
      </c>
      <c r="E249" s="40" t="s">
        <v>158</v>
      </c>
      <c r="F249" s="216" t="s">
        <v>55</v>
      </c>
      <c r="G249" s="256">
        <v>14152.15</v>
      </c>
      <c r="H249" s="256">
        <v>4208.7</v>
      </c>
      <c r="I249" s="192">
        <v>3.1446000000000001</v>
      </c>
      <c r="J249" s="192">
        <v>3.1446000000000001</v>
      </c>
      <c r="K249" s="256"/>
      <c r="L249" s="256"/>
      <c r="M249" s="256"/>
      <c r="N249" s="256"/>
      <c r="O249" s="200">
        <f t="shared" ref="O249:O250" si="124">G249*I249+H249*J249</f>
        <v>57737.528910000001</v>
      </c>
      <c r="P249" s="198">
        <f>ROUND(37.24%*O249,2)</f>
        <v>21501.46</v>
      </c>
      <c r="Q249" s="198">
        <f t="shared" ref="Q249:Q250" si="125">ROUND(R249*P249,2)</f>
        <v>10750.73</v>
      </c>
      <c r="R249" s="199">
        <v>0.5</v>
      </c>
      <c r="W249" s="47"/>
      <c r="Y249" s="47"/>
    </row>
    <row r="250" spans="1:26" x14ac:dyDescent="0.25">
      <c r="A250" s="270" t="s">
        <v>28</v>
      </c>
      <c r="B250" s="279" t="str">
        <f>B249</f>
        <v>88 GAS -Pisco</v>
      </c>
      <c r="C250" s="280" t="s">
        <v>31</v>
      </c>
      <c r="D250" s="281" t="s">
        <v>185</v>
      </c>
      <c r="E250" s="281"/>
      <c r="F250" s="286" t="str">
        <f>F249</f>
        <v xml:space="preserve"> MM BTU</v>
      </c>
      <c r="G250" s="388">
        <f>+G249</f>
        <v>14152.15</v>
      </c>
      <c r="H250" s="319">
        <f>+H249</f>
        <v>4208.7</v>
      </c>
      <c r="I250" s="272">
        <v>3.0840999999999998</v>
      </c>
      <c r="J250" s="272">
        <v>3.0840999999999998</v>
      </c>
      <c r="K250" s="272"/>
      <c r="L250" s="272"/>
      <c r="M250" s="272"/>
      <c r="N250" s="271"/>
      <c r="O250" s="271">
        <f t="shared" si="124"/>
        <v>56626.697484999997</v>
      </c>
      <c r="P250" s="271">
        <f>ROUND(37.24%*O250,2)</f>
        <v>21087.78</v>
      </c>
      <c r="Q250" s="271">
        <f t="shared" si="125"/>
        <v>10543.89</v>
      </c>
      <c r="R250" s="154">
        <v>0.5</v>
      </c>
      <c r="W250" s="47"/>
      <c r="Y250" s="47"/>
      <c r="Z250" s="47"/>
    </row>
    <row r="251" spans="1:26" x14ac:dyDescent="0.25">
      <c r="A251" s="273"/>
      <c r="B251" s="282" t="s">
        <v>180</v>
      </c>
      <c r="C251" s="71"/>
      <c r="D251" s="165"/>
      <c r="E251" s="165"/>
      <c r="F251" s="273"/>
      <c r="G251" s="255">
        <f t="shared" ref="G251:Q251" si="126">G250-G249</f>
        <v>0</v>
      </c>
      <c r="H251" s="320">
        <f t="shared" si="126"/>
        <v>0</v>
      </c>
      <c r="I251" s="283">
        <f t="shared" si="126"/>
        <v>-6.050000000000022E-2</v>
      </c>
      <c r="J251" s="283">
        <f t="shared" si="126"/>
        <v>-6.050000000000022E-2</v>
      </c>
      <c r="K251" s="283">
        <f t="shared" si="126"/>
        <v>0</v>
      </c>
      <c r="L251" s="283">
        <f t="shared" si="126"/>
        <v>0</v>
      </c>
      <c r="M251" s="283">
        <f t="shared" si="126"/>
        <v>0</v>
      </c>
      <c r="N251" s="284">
        <f t="shared" si="126"/>
        <v>0</v>
      </c>
      <c r="O251" s="255">
        <f t="shared" si="126"/>
        <v>-1110.8314250000039</v>
      </c>
      <c r="P251" s="344">
        <f t="shared" si="126"/>
        <v>-413.68000000000029</v>
      </c>
      <c r="Q251" s="255">
        <f t="shared" si="126"/>
        <v>-206.84000000000015</v>
      </c>
      <c r="R251" s="345"/>
      <c r="S251" s="251" t="s">
        <v>181</v>
      </c>
      <c r="X251" s="47"/>
      <c r="Y251" s="47"/>
    </row>
    <row r="252" spans="1:26" x14ac:dyDescent="0.25">
      <c r="A252" s="96"/>
      <c r="B252" s="5"/>
      <c r="C252" s="96"/>
      <c r="D252" s="96"/>
      <c r="E252" s="96"/>
      <c r="F252" s="96"/>
      <c r="G252" s="366"/>
      <c r="H252" s="366"/>
      <c r="I252" s="387"/>
      <c r="J252" s="387"/>
      <c r="K252" s="367"/>
      <c r="L252" s="367"/>
      <c r="M252" s="367"/>
      <c r="N252" s="368"/>
      <c r="O252" s="366"/>
      <c r="P252" s="369"/>
      <c r="Q252" s="366"/>
      <c r="R252" s="370"/>
      <c r="S252" s="366"/>
      <c r="T252" s="4"/>
      <c r="U252" s="4"/>
      <c r="V252" s="4"/>
    </row>
    <row r="253" spans="1:26" x14ac:dyDescent="0.25">
      <c r="A253" s="324"/>
      <c r="B253" s="265" t="s">
        <v>249</v>
      </c>
      <c r="C253" s="317"/>
      <c r="W253" s="48"/>
      <c r="Y253" s="294"/>
      <c r="Z253" s="48"/>
    </row>
    <row r="254" spans="1:26" ht="13" x14ac:dyDescent="0.3">
      <c r="A254" s="257" t="s">
        <v>161</v>
      </c>
      <c r="B254" s="252"/>
      <c r="C254" s="266"/>
      <c r="D254" s="263" t="s">
        <v>19</v>
      </c>
      <c r="E254" s="262" t="s">
        <v>58</v>
      </c>
      <c r="F254" s="263" t="s">
        <v>27</v>
      </c>
      <c r="G254" s="264" t="s">
        <v>34</v>
      </c>
      <c r="H254" s="253" t="s">
        <v>35</v>
      </c>
      <c r="I254" s="253" t="s">
        <v>34</v>
      </c>
      <c r="J254" s="264" t="s">
        <v>35</v>
      </c>
      <c r="K254" s="264" t="s">
        <v>38</v>
      </c>
      <c r="L254" s="264" t="s">
        <v>39</v>
      </c>
      <c r="M254" s="264" t="s">
        <v>41</v>
      </c>
      <c r="N254" s="264" t="s">
        <v>2</v>
      </c>
      <c r="O254" s="267" t="s">
        <v>179</v>
      </c>
      <c r="P254" s="276" t="s">
        <v>163</v>
      </c>
      <c r="Q254" s="276" t="s">
        <v>183</v>
      </c>
      <c r="R254" s="254"/>
      <c r="W254" s="48"/>
      <c r="Y254" s="295"/>
      <c r="Z254" s="294"/>
    </row>
    <row r="255" spans="1:26" x14ac:dyDescent="0.25">
      <c r="A255" s="16" t="s">
        <v>28</v>
      </c>
      <c r="B255" s="17" t="s">
        <v>225</v>
      </c>
      <c r="C255" s="40" t="s">
        <v>31</v>
      </c>
      <c r="D255" s="40" t="s">
        <v>30</v>
      </c>
      <c r="E255" s="40" t="s">
        <v>158</v>
      </c>
      <c r="F255" s="216" t="s">
        <v>55</v>
      </c>
      <c r="G255" s="256">
        <v>12891.930399999999</v>
      </c>
      <c r="H255" s="256">
        <v>3453.3362999999999</v>
      </c>
      <c r="I255" s="192">
        <v>3.0893999999999999</v>
      </c>
      <c r="J255" s="192">
        <v>3.0893999999999999</v>
      </c>
      <c r="K255" s="256"/>
      <c r="L255" s="256"/>
      <c r="M255" s="256"/>
      <c r="N255" s="256"/>
      <c r="O255" s="200">
        <f t="shared" ref="O255:O256" si="127">G255*I255+H255*J255</f>
        <v>50497.066942979996</v>
      </c>
      <c r="P255" s="198">
        <f>ROUND(37.24%*O255,2)</f>
        <v>18805.11</v>
      </c>
      <c r="Q255" s="198">
        <f t="shared" ref="Q255:Q256" si="128">ROUND(R255*P255,2)</f>
        <v>9402.56</v>
      </c>
      <c r="R255" s="199">
        <v>0.5</v>
      </c>
      <c r="W255" s="47"/>
      <c r="Y255" s="47"/>
    </row>
    <row r="256" spans="1:26" x14ac:dyDescent="0.25">
      <c r="A256" s="270" t="s">
        <v>28</v>
      </c>
      <c r="B256" s="279" t="str">
        <f>B255</f>
        <v>88 GAS -Pisco</v>
      </c>
      <c r="C256" s="280" t="s">
        <v>31</v>
      </c>
      <c r="D256" s="281" t="s">
        <v>185</v>
      </c>
      <c r="E256" s="281"/>
      <c r="F256" s="286" t="str">
        <f>F255</f>
        <v xml:space="preserve"> MM BTU</v>
      </c>
      <c r="G256" s="388">
        <f>+G255</f>
        <v>12891.930399999999</v>
      </c>
      <c r="H256" s="319">
        <f>+H255</f>
        <v>3453.3362999999999</v>
      </c>
      <c r="I256" s="272">
        <v>2.8748999999999998</v>
      </c>
      <c r="J256" s="272">
        <v>2.8748999999999998</v>
      </c>
      <c r="K256" s="272"/>
      <c r="L256" s="272"/>
      <c r="M256" s="272"/>
      <c r="N256" s="271"/>
      <c r="O256" s="271">
        <f t="shared" si="127"/>
        <v>46991.007235829995</v>
      </c>
      <c r="P256" s="271">
        <f>ROUND(37.24%*O256,2)</f>
        <v>17499.45</v>
      </c>
      <c r="Q256" s="271">
        <f t="shared" si="128"/>
        <v>8749.73</v>
      </c>
      <c r="R256" s="154">
        <v>0.5</v>
      </c>
      <c r="W256" s="47"/>
      <c r="Y256" s="47"/>
      <c r="Z256" s="47"/>
    </row>
    <row r="257" spans="1:26" x14ac:dyDescent="0.25">
      <c r="A257" s="273"/>
      <c r="B257" s="282" t="s">
        <v>180</v>
      </c>
      <c r="C257" s="71"/>
      <c r="D257" s="165"/>
      <c r="E257" s="165"/>
      <c r="F257" s="273"/>
      <c r="G257" s="255">
        <f t="shared" ref="G257:Q257" si="129">G256-G255</f>
        <v>0</v>
      </c>
      <c r="H257" s="320">
        <f t="shared" si="129"/>
        <v>0</v>
      </c>
      <c r="I257" s="283">
        <f t="shared" si="129"/>
        <v>-0.21450000000000014</v>
      </c>
      <c r="J257" s="283">
        <f t="shared" si="129"/>
        <v>-0.21450000000000014</v>
      </c>
      <c r="K257" s="283">
        <f t="shared" si="129"/>
        <v>0</v>
      </c>
      <c r="L257" s="283">
        <f t="shared" si="129"/>
        <v>0</v>
      </c>
      <c r="M257" s="283">
        <f t="shared" si="129"/>
        <v>0</v>
      </c>
      <c r="N257" s="284">
        <f t="shared" si="129"/>
        <v>0</v>
      </c>
      <c r="O257" s="255">
        <f t="shared" si="129"/>
        <v>-3506.0597071500015</v>
      </c>
      <c r="P257" s="344">
        <f t="shared" si="129"/>
        <v>-1305.6599999999999</v>
      </c>
      <c r="Q257" s="255">
        <f t="shared" si="129"/>
        <v>-652.82999999999993</v>
      </c>
      <c r="R257" s="345"/>
      <c r="S257" s="251" t="s">
        <v>181</v>
      </c>
      <c r="X257" s="47"/>
      <c r="Y257" s="47"/>
    </row>
    <row r="258" spans="1:26" x14ac:dyDescent="0.25">
      <c r="A258" s="96"/>
      <c r="B258" s="5"/>
      <c r="C258" s="96"/>
      <c r="D258" s="96"/>
      <c r="E258" s="96"/>
      <c r="F258" s="96"/>
      <c r="G258" s="366"/>
      <c r="H258" s="366"/>
      <c r="I258" s="387"/>
      <c r="J258" s="387"/>
      <c r="K258" s="367"/>
      <c r="L258" s="367"/>
      <c r="M258" s="367"/>
      <c r="N258" s="368"/>
      <c r="O258" s="366"/>
      <c r="P258" s="369"/>
      <c r="Q258" s="366"/>
      <c r="R258" s="370"/>
      <c r="S258" s="366"/>
      <c r="T258" s="4"/>
      <c r="U258" s="4"/>
      <c r="V258" s="4"/>
    </row>
    <row r="259" spans="1:26" x14ac:dyDescent="0.25">
      <c r="A259" s="324"/>
      <c r="B259" s="265" t="s">
        <v>250</v>
      </c>
      <c r="C259" s="317"/>
      <c r="W259" s="48"/>
      <c r="Y259" s="294"/>
      <c r="Z259" s="48"/>
    </row>
    <row r="260" spans="1:26" ht="13" x14ac:dyDescent="0.3">
      <c r="A260" s="257" t="s">
        <v>161</v>
      </c>
      <c r="B260" s="252"/>
      <c r="C260" s="266"/>
      <c r="D260" s="263" t="s">
        <v>19</v>
      </c>
      <c r="E260" s="262" t="s">
        <v>58</v>
      </c>
      <c r="F260" s="263" t="s">
        <v>27</v>
      </c>
      <c r="G260" s="264" t="s">
        <v>34</v>
      </c>
      <c r="H260" s="253" t="s">
        <v>35</v>
      </c>
      <c r="I260" s="253" t="s">
        <v>34</v>
      </c>
      <c r="J260" s="264" t="s">
        <v>35</v>
      </c>
      <c r="K260" s="264" t="s">
        <v>38</v>
      </c>
      <c r="L260" s="264" t="s">
        <v>39</v>
      </c>
      <c r="M260" s="264" t="s">
        <v>41</v>
      </c>
      <c r="N260" s="264" t="s">
        <v>2</v>
      </c>
      <c r="O260" s="267" t="s">
        <v>179</v>
      </c>
      <c r="P260" s="276" t="s">
        <v>163</v>
      </c>
      <c r="Q260" s="276" t="s">
        <v>183</v>
      </c>
      <c r="R260" s="254"/>
      <c r="W260" s="48"/>
      <c r="Y260" s="295"/>
      <c r="Z260" s="294"/>
    </row>
    <row r="261" spans="1:26" x14ac:dyDescent="0.25">
      <c r="A261" s="16" t="s">
        <v>28</v>
      </c>
      <c r="B261" s="17" t="s">
        <v>225</v>
      </c>
      <c r="C261" s="40" t="s">
        <v>31</v>
      </c>
      <c r="D261" s="40" t="s">
        <v>30</v>
      </c>
      <c r="E261" s="40" t="s">
        <v>158</v>
      </c>
      <c r="F261" s="216" t="s">
        <v>55</v>
      </c>
      <c r="G261" s="256">
        <v>1920.7225000000001</v>
      </c>
      <c r="H261" s="256">
        <v>5772.2912999999999</v>
      </c>
      <c r="I261" s="192">
        <v>2.8776999999999999</v>
      </c>
      <c r="J261" s="192">
        <v>2.8776999999999999</v>
      </c>
      <c r="K261" s="256"/>
      <c r="L261" s="256"/>
      <c r="M261" s="256"/>
      <c r="N261" s="256"/>
      <c r="O261" s="200">
        <f t="shared" ref="O261:O262" si="130">G261*I261+H261*J261</f>
        <v>22138.185812259999</v>
      </c>
      <c r="P261" s="198">
        <f>ROUND(37.24%*O261,2)</f>
        <v>8244.26</v>
      </c>
      <c r="Q261" s="198">
        <f t="shared" ref="Q261:Q262" si="131">ROUND(R261*P261,2)</f>
        <v>4122.13</v>
      </c>
      <c r="R261" s="199">
        <v>0.5</v>
      </c>
      <c r="W261" s="47"/>
      <c r="Y261" s="47"/>
    </row>
    <row r="262" spans="1:26" x14ac:dyDescent="0.25">
      <c r="A262" s="270" t="s">
        <v>28</v>
      </c>
      <c r="B262" s="279" t="str">
        <f>B261</f>
        <v>88 GAS -Pisco</v>
      </c>
      <c r="C262" s="280" t="s">
        <v>31</v>
      </c>
      <c r="D262" s="281" t="s">
        <v>185</v>
      </c>
      <c r="E262" s="281"/>
      <c r="F262" s="286" t="str">
        <f>F261</f>
        <v xml:space="preserve"> MM BTU</v>
      </c>
      <c r="G262" s="388">
        <f>+G261</f>
        <v>1920.7225000000001</v>
      </c>
      <c r="H262" s="319">
        <f>+H261</f>
        <v>5772.2912999999999</v>
      </c>
      <c r="I262" s="272">
        <v>2.8961999999999999</v>
      </c>
      <c r="J262" s="272">
        <v>2.8961999999999999</v>
      </c>
      <c r="K262" s="272"/>
      <c r="L262" s="272"/>
      <c r="M262" s="272"/>
      <c r="N262" s="271"/>
      <c r="O262" s="271">
        <f t="shared" si="130"/>
        <v>22280.506567559998</v>
      </c>
      <c r="P262" s="271">
        <f>ROUND(37.24%*O262,2)</f>
        <v>8297.26</v>
      </c>
      <c r="Q262" s="271">
        <f t="shared" si="131"/>
        <v>4148.63</v>
      </c>
      <c r="R262" s="154">
        <v>0.5</v>
      </c>
      <c r="W262" s="47"/>
      <c r="Y262" s="47"/>
      <c r="Z262" s="47"/>
    </row>
    <row r="263" spans="1:26" x14ac:dyDescent="0.25">
      <c r="A263" s="273"/>
      <c r="B263" s="282" t="s">
        <v>180</v>
      </c>
      <c r="C263" s="71"/>
      <c r="D263" s="165"/>
      <c r="E263" s="165"/>
      <c r="F263" s="273"/>
      <c r="G263" s="255">
        <f t="shared" ref="G263:Q263" si="132">G262-G261</f>
        <v>0</v>
      </c>
      <c r="H263" s="320">
        <f t="shared" si="132"/>
        <v>0</v>
      </c>
      <c r="I263" s="283">
        <f t="shared" si="132"/>
        <v>1.8499999999999961E-2</v>
      </c>
      <c r="J263" s="283">
        <f t="shared" si="132"/>
        <v>1.8499999999999961E-2</v>
      </c>
      <c r="K263" s="283">
        <f t="shared" si="132"/>
        <v>0</v>
      </c>
      <c r="L263" s="283">
        <f t="shared" si="132"/>
        <v>0</v>
      </c>
      <c r="M263" s="283">
        <f t="shared" si="132"/>
        <v>0</v>
      </c>
      <c r="N263" s="284">
        <f t="shared" si="132"/>
        <v>0</v>
      </c>
      <c r="O263" s="255">
        <f t="shared" si="132"/>
        <v>142.32075529999929</v>
      </c>
      <c r="P263" s="344">
        <f t="shared" si="132"/>
        <v>53</v>
      </c>
      <c r="Q263" s="255">
        <f t="shared" si="132"/>
        <v>26.5</v>
      </c>
      <c r="R263" s="345"/>
      <c r="S263" s="251" t="s">
        <v>181</v>
      </c>
      <c r="X263" s="47"/>
      <c r="Y263" s="47"/>
    </row>
    <row r="264" spans="1:26" x14ac:dyDescent="0.25">
      <c r="A264" s="96"/>
      <c r="B264" s="5"/>
      <c r="C264" s="96"/>
      <c r="D264" s="96"/>
      <c r="E264" s="96"/>
      <c r="F264" s="96"/>
      <c r="G264" s="366"/>
      <c r="H264" s="366"/>
      <c r="I264" s="387"/>
      <c r="J264" s="387"/>
      <c r="K264" s="367"/>
      <c r="L264" s="367"/>
      <c r="M264" s="367"/>
      <c r="N264" s="368"/>
      <c r="O264" s="366"/>
      <c r="P264" s="369"/>
      <c r="Q264" s="366"/>
      <c r="R264" s="370"/>
      <c r="S264" s="366"/>
      <c r="T264" s="4"/>
      <c r="U264" s="4"/>
      <c r="V264" s="4"/>
    </row>
    <row r="265" spans="1:26" x14ac:dyDescent="0.25">
      <c r="A265" s="324"/>
      <c r="B265" s="265" t="s">
        <v>251</v>
      </c>
      <c r="C265" s="317"/>
      <c r="W265" s="48"/>
      <c r="Y265" s="294"/>
      <c r="Z265" s="48"/>
    </row>
    <row r="266" spans="1:26" ht="13" x14ac:dyDescent="0.3">
      <c r="A266" s="257" t="s">
        <v>161</v>
      </c>
      <c r="B266" s="252"/>
      <c r="C266" s="266"/>
      <c r="D266" s="263" t="s">
        <v>19</v>
      </c>
      <c r="E266" s="262" t="s">
        <v>58</v>
      </c>
      <c r="F266" s="263" t="s">
        <v>27</v>
      </c>
      <c r="G266" s="264" t="s">
        <v>34</v>
      </c>
      <c r="H266" s="253" t="s">
        <v>35</v>
      </c>
      <c r="I266" s="253" t="s">
        <v>34</v>
      </c>
      <c r="J266" s="264" t="s">
        <v>35</v>
      </c>
      <c r="K266" s="264" t="s">
        <v>38</v>
      </c>
      <c r="L266" s="264" t="s">
        <v>39</v>
      </c>
      <c r="M266" s="264" t="s">
        <v>41</v>
      </c>
      <c r="N266" s="264" t="s">
        <v>2</v>
      </c>
      <c r="O266" s="267" t="s">
        <v>179</v>
      </c>
      <c r="P266" s="276" t="s">
        <v>163</v>
      </c>
      <c r="Q266" s="276" t="s">
        <v>183</v>
      </c>
      <c r="R266" s="254"/>
      <c r="W266" s="48"/>
      <c r="Y266" s="295"/>
      <c r="Z266" s="294"/>
    </row>
    <row r="267" spans="1:26" x14ac:dyDescent="0.25">
      <c r="A267" s="16" t="s">
        <v>28</v>
      </c>
      <c r="B267" s="17" t="s">
        <v>225</v>
      </c>
      <c r="C267" s="40" t="s">
        <v>31</v>
      </c>
      <c r="D267" s="40" t="s">
        <v>30</v>
      </c>
      <c r="E267" s="40" t="s">
        <v>158</v>
      </c>
      <c r="F267" s="216" t="s">
        <v>55</v>
      </c>
      <c r="G267" s="256">
        <v>10240.172399999999</v>
      </c>
      <c r="H267" s="256">
        <v>14414.0422</v>
      </c>
      <c r="I267" s="192">
        <v>2.8978000000000002</v>
      </c>
      <c r="J267" s="192">
        <v>2.8978000000000002</v>
      </c>
      <c r="K267" s="256"/>
      <c r="L267" s="256"/>
      <c r="M267" s="256"/>
      <c r="N267" s="256"/>
      <c r="O267" s="200">
        <f t="shared" ref="O267:O268" si="133">G267*I267+H267*J267</f>
        <v>71442.983067880006</v>
      </c>
      <c r="P267" s="198">
        <f>ROUND(37.24%*O267,2)</f>
        <v>26605.37</v>
      </c>
      <c r="Q267" s="198">
        <f t="shared" ref="Q267:Q268" si="134">ROUND(R267*P267,2)</f>
        <v>13302.69</v>
      </c>
      <c r="R267" s="199">
        <v>0.5</v>
      </c>
      <c r="W267" s="47"/>
      <c r="Y267" s="47"/>
    </row>
    <row r="268" spans="1:26" x14ac:dyDescent="0.25">
      <c r="A268" s="270" t="s">
        <v>28</v>
      </c>
      <c r="B268" s="279" t="str">
        <f>B267</f>
        <v>88 GAS -Pisco</v>
      </c>
      <c r="C268" s="280" t="s">
        <v>31</v>
      </c>
      <c r="D268" s="281" t="s">
        <v>185</v>
      </c>
      <c r="E268" s="281"/>
      <c r="F268" s="286" t="str">
        <f>F267</f>
        <v xml:space="preserve"> MM BTU</v>
      </c>
      <c r="G268" s="388">
        <f>+G267</f>
        <v>10240.172399999999</v>
      </c>
      <c r="H268" s="319">
        <f>+H267</f>
        <v>14414.0422</v>
      </c>
      <c r="I268" s="272">
        <v>2.8900999999999999</v>
      </c>
      <c r="J268" s="272">
        <v>2.8900999999999999</v>
      </c>
      <c r="K268" s="272"/>
      <c r="L268" s="272"/>
      <c r="M268" s="272"/>
      <c r="N268" s="271"/>
      <c r="O268" s="271">
        <f t="shared" si="133"/>
        <v>71253.145615460002</v>
      </c>
      <c r="P268" s="271">
        <f>ROUND(37.24%*O268,2)</f>
        <v>26534.67</v>
      </c>
      <c r="Q268" s="271">
        <f t="shared" si="134"/>
        <v>13267.34</v>
      </c>
      <c r="R268" s="154">
        <v>0.5</v>
      </c>
      <c r="W268" s="47"/>
      <c r="Y268" s="47"/>
      <c r="Z268" s="47"/>
    </row>
    <row r="269" spans="1:26" x14ac:dyDescent="0.25">
      <c r="A269" s="273"/>
      <c r="B269" s="282" t="s">
        <v>180</v>
      </c>
      <c r="C269" s="71"/>
      <c r="D269" s="165"/>
      <c r="E269" s="165"/>
      <c r="F269" s="273"/>
      <c r="G269" s="255">
        <f t="shared" ref="G269:Q269" si="135">G268-G267</f>
        <v>0</v>
      </c>
      <c r="H269" s="320">
        <f t="shared" si="135"/>
        <v>0</v>
      </c>
      <c r="I269" s="283">
        <f t="shared" si="135"/>
        <v>-7.7000000000002622E-3</v>
      </c>
      <c r="J269" s="283">
        <f t="shared" si="135"/>
        <v>-7.7000000000002622E-3</v>
      </c>
      <c r="K269" s="283">
        <f t="shared" si="135"/>
        <v>0</v>
      </c>
      <c r="L269" s="283">
        <f t="shared" si="135"/>
        <v>0</v>
      </c>
      <c r="M269" s="283">
        <f t="shared" si="135"/>
        <v>0</v>
      </c>
      <c r="N269" s="284">
        <f t="shared" si="135"/>
        <v>0</v>
      </c>
      <c r="O269" s="255">
        <f t="shared" si="135"/>
        <v>-189.83745242000441</v>
      </c>
      <c r="P269" s="344">
        <f t="shared" si="135"/>
        <v>-70.700000000000728</v>
      </c>
      <c r="Q269" s="255">
        <f t="shared" si="135"/>
        <v>-35.350000000000364</v>
      </c>
      <c r="R269" s="345"/>
      <c r="S269" s="251" t="s">
        <v>181</v>
      </c>
      <c r="X269" s="47"/>
      <c r="Y269" s="47"/>
    </row>
    <row r="270" spans="1:26" x14ac:dyDescent="0.25">
      <c r="A270" s="96"/>
      <c r="B270" s="5"/>
      <c r="C270" s="96"/>
      <c r="D270" s="96"/>
      <c r="E270" s="96"/>
      <c r="F270" s="96"/>
      <c r="G270" s="366"/>
      <c r="H270" s="366"/>
      <c r="I270" s="387"/>
      <c r="J270" s="387"/>
      <c r="K270" s="367"/>
      <c r="L270" s="367"/>
      <c r="M270" s="367"/>
      <c r="N270" s="368"/>
      <c r="O270" s="366"/>
      <c r="P270" s="369"/>
      <c r="Q270" s="366"/>
      <c r="R270" s="370"/>
      <c r="S270" s="366"/>
      <c r="T270" s="4"/>
      <c r="U270" s="4"/>
      <c r="V270" s="4"/>
    </row>
    <row r="271" spans="1:26" x14ac:dyDescent="0.25">
      <c r="A271" s="324"/>
      <c r="B271" s="265" t="s">
        <v>252</v>
      </c>
      <c r="C271" s="317"/>
      <c r="W271" s="48"/>
      <c r="Y271" s="294"/>
      <c r="Z271" s="48"/>
    </row>
    <row r="272" spans="1:26" ht="13" x14ac:dyDescent="0.3">
      <c r="A272" s="257" t="s">
        <v>161</v>
      </c>
      <c r="B272" s="252"/>
      <c r="C272" s="266"/>
      <c r="D272" s="263" t="s">
        <v>19</v>
      </c>
      <c r="E272" s="262" t="s">
        <v>58</v>
      </c>
      <c r="F272" s="263" t="s">
        <v>27</v>
      </c>
      <c r="G272" s="264" t="s">
        <v>34</v>
      </c>
      <c r="H272" s="253" t="s">
        <v>35</v>
      </c>
      <c r="I272" s="253" t="s">
        <v>34</v>
      </c>
      <c r="J272" s="264" t="s">
        <v>35</v>
      </c>
      <c r="K272" s="264" t="s">
        <v>38</v>
      </c>
      <c r="L272" s="264" t="s">
        <v>39</v>
      </c>
      <c r="M272" s="264" t="s">
        <v>41</v>
      </c>
      <c r="N272" s="264" t="s">
        <v>2</v>
      </c>
      <c r="O272" s="267" t="s">
        <v>179</v>
      </c>
      <c r="P272" s="276" t="s">
        <v>163</v>
      </c>
      <c r="Q272" s="276" t="s">
        <v>183</v>
      </c>
      <c r="R272" s="254"/>
      <c r="W272" s="48"/>
      <c r="Y272" s="295"/>
      <c r="Z272" s="294"/>
    </row>
    <row r="273" spans="1:26" x14ac:dyDescent="0.25">
      <c r="A273" s="16" t="s">
        <v>28</v>
      </c>
      <c r="B273" s="17" t="s">
        <v>225</v>
      </c>
      <c r="C273" s="40" t="s">
        <v>31</v>
      </c>
      <c r="D273" s="40" t="s">
        <v>30</v>
      </c>
      <c r="E273" s="40" t="s">
        <v>158</v>
      </c>
      <c r="F273" s="216" t="s">
        <v>55</v>
      </c>
      <c r="G273" s="256">
        <v>16238.6656</v>
      </c>
      <c r="H273" s="256">
        <v>13990.778700000001</v>
      </c>
      <c r="I273" s="192">
        <v>2.8834</v>
      </c>
      <c r="J273" s="192">
        <v>2.8834</v>
      </c>
      <c r="K273" s="256"/>
      <c r="L273" s="256"/>
      <c r="M273" s="256"/>
      <c r="N273" s="256"/>
      <c r="O273" s="200">
        <f t="shared" ref="O273:O274" si="136">G273*I273+H273*J273</f>
        <v>87163.579694619999</v>
      </c>
      <c r="P273" s="198">
        <f>ROUND(37.24%*O273,2)</f>
        <v>32459.72</v>
      </c>
      <c r="Q273" s="198">
        <f t="shared" ref="Q273:Q274" si="137">ROUND(R273*P273,2)</f>
        <v>16229.86</v>
      </c>
      <c r="R273" s="199">
        <v>0.5</v>
      </c>
      <c r="W273" s="47"/>
      <c r="Y273" s="47"/>
    </row>
    <row r="274" spans="1:26" x14ac:dyDescent="0.25">
      <c r="A274" s="270" t="s">
        <v>28</v>
      </c>
      <c r="B274" s="279" t="str">
        <f>B273</f>
        <v>88 GAS -Pisco</v>
      </c>
      <c r="C274" s="280" t="s">
        <v>31</v>
      </c>
      <c r="D274" s="281" t="s">
        <v>185</v>
      </c>
      <c r="E274" s="281"/>
      <c r="F274" s="286" t="str">
        <f>F273</f>
        <v xml:space="preserve"> MM BTU</v>
      </c>
      <c r="G274" s="388">
        <f>+G273</f>
        <v>16238.6656</v>
      </c>
      <c r="H274" s="319">
        <f>+H273</f>
        <v>13990.778700000001</v>
      </c>
      <c r="I274" s="272">
        <v>2.9093</v>
      </c>
      <c r="J274" s="272">
        <v>2.9093</v>
      </c>
      <c r="K274" s="272"/>
      <c r="L274" s="272"/>
      <c r="M274" s="272"/>
      <c r="N274" s="271"/>
      <c r="O274" s="271">
        <f t="shared" si="136"/>
        <v>87946.52230199</v>
      </c>
      <c r="P274" s="271">
        <f>ROUND(37.24%*O274,2)</f>
        <v>32751.279999999999</v>
      </c>
      <c r="Q274" s="271">
        <f t="shared" si="137"/>
        <v>16375.64</v>
      </c>
      <c r="R274" s="154">
        <v>0.5</v>
      </c>
      <c r="W274" s="47"/>
      <c r="Y274" s="47"/>
      <c r="Z274" s="47"/>
    </row>
    <row r="275" spans="1:26" x14ac:dyDescent="0.25">
      <c r="A275" s="273"/>
      <c r="B275" s="282" t="s">
        <v>180</v>
      </c>
      <c r="C275" s="71"/>
      <c r="D275" s="165"/>
      <c r="E275" s="165"/>
      <c r="F275" s="273"/>
      <c r="G275" s="255">
        <f t="shared" ref="G275:Q275" si="138">G274-G273</f>
        <v>0</v>
      </c>
      <c r="H275" s="320">
        <f t="shared" si="138"/>
        <v>0</v>
      </c>
      <c r="I275" s="283">
        <f t="shared" si="138"/>
        <v>2.5900000000000034E-2</v>
      </c>
      <c r="J275" s="283">
        <f t="shared" si="138"/>
        <v>2.5900000000000034E-2</v>
      </c>
      <c r="K275" s="283">
        <f t="shared" si="138"/>
        <v>0</v>
      </c>
      <c r="L275" s="283">
        <f t="shared" si="138"/>
        <v>0</v>
      </c>
      <c r="M275" s="283">
        <f t="shared" si="138"/>
        <v>0</v>
      </c>
      <c r="N275" s="284">
        <f t="shared" si="138"/>
        <v>0</v>
      </c>
      <c r="O275" s="255">
        <f t="shared" si="138"/>
        <v>782.9426073700015</v>
      </c>
      <c r="P275" s="344">
        <f t="shared" si="138"/>
        <v>291.55999999999767</v>
      </c>
      <c r="Q275" s="255">
        <f t="shared" si="138"/>
        <v>145.77999999999884</v>
      </c>
      <c r="R275" s="345"/>
      <c r="S275" s="251" t="s">
        <v>181</v>
      </c>
      <c r="X275" s="47"/>
      <c r="Y275" s="47"/>
    </row>
    <row r="276" spans="1:26" x14ac:dyDescent="0.25">
      <c r="A276" s="96"/>
      <c r="B276" s="5"/>
      <c r="C276" s="96"/>
      <c r="D276" s="96"/>
      <c r="E276" s="96"/>
      <c r="F276" s="96"/>
      <c r="G276" s="366"/>
      <c r="H276" s="366"/>
      <c r="I276" s="387"/>
      <c r="J276" s="387"/>
      <c r="K276" s="367"/>
      <c r="L276" s="367"/>
      <c r="M276" s="367"/>
      <c r="N276" s="368"/>
      <c r="O276" s="366"/>
      <c r="P276" s="369"/>
      <c r="Q276" s="366"/>
      <c r="R276" s="370"/>
      <c r="S276" s="366"/>
      <c r="T276" s="4"/>
      <c r="U276" s="4"/>
      <c r="V276" s="4"/>
    </row>
    <row r="277" spans="1:26" x14ac:dyDescent="0.25">
      <c r="A277" s="324"/>
      <c r="B277" s="265" t="s">
        <v>253</v>
      </c>
      <c r="C277" s="317"/>
      <c r="W277" s="48"/>
      <c r="Y277" s="294"/>
      <c r="Z277" s="48"/>
    </row>
    <row r="278" spans="1:26" ht="13" x14ac:dyDescent="0.3">
      <c r="A278" s="257" t="s">
        <v>161</v>
      </c>
      <c r="B278" s="252"/>
      <c r="C278" s="266"/>
      <c r="D278" s="263" t="s">
        <v>19</v>
      </c>
      <c r="E278" s="262" t="s">
        <v>58</v>
      </c>
      <c r="F278" s="263" t="s">
        <v>27</v>
      </c>
      <c r="G278" s="264" t="s">
        <v>34</v>
      </c>
      <c r="H278" s="253" t="s">
        <v>35</v>
      </c>
      <c r="I278" s="253" t="s">
        <v>34</v>
      </c>
      <c r="J278" s="264" t="s">
        <v>35</v>
      </c>
      <c r="K278" s="264" t="s">
        <v>38</v>
      </c>
      <c r="L278" s="264" t="s">
        <v>39</v>
      </c>
      <c r="M278" s="264" t="s">
        <v>41</v>
      </c>
      <c r="N278" s="264" t="s">
        <v>2</v>
      </c>
      <c r="O278" s="267" t="s">
        <v>179</v>
      </c>
      <c r="P278" s="276" t="s">
        <v>163</v>
      </c>
      <c r="Q278" s="276" t="s">
        <v>183</v>
      </c>
      <c r="R278" s="254"/>
      <c r="W278" s="48"/>
      <c r="Y278" s="295"/>
      <c r="Z278" s="294"/>
    </row>
    <row r="279" spans="1:26" x14ac:dyDescent="0.25">
      <c r="A279" s="16" t="s">
        <v>28</v>
      </c>
      <c r="B279" s="17" t="s">
        <v>225</v>
      </c>
      <c r="C279" s="40" t="s">
        <v>31</v>
      </c>
      <c r="D279" s="40" t="s">
        <v>30</v>
      </c>
      <c r="E279" s="40" t="s">
        <v>158</v>
      </c>
      <c r="F279" s="216" t="s">
        <v>55</v>
      </c>
      <c r="G279" s="256">
        <v>22600.397700000001</v>
      </c>
      <c r="H279" s="256">
        <v>25059.812699999999</v>
      </c>
      <c r="I279" s="192">
        <v>2.9087999999999998</v>
      </c>
      <c r="J279" s="192">
        <v>2.9087999999999998</v>
      </c>
      <c r="K279" s="256"/>
      <c r="L279" s="256"/>
      <c r="M279" s="256"/>
      <c r="N279" s="256"/>
      <c r="O279" s="200">
        <f t="shared" ref="O279:O280" si="139">G279*I279+H279*J279</f>
        <v>138634.02001152001</v>
      </c>
      <c r="P279" s="198">
        <f>ROUND(37.24%*O279,2)</f>
        <v>51627.31</v>
      </c>
      <c r="Q279" s="198">
        <f t="shared" ref="Q279:Q280" si="140">ROUND(R279*P279,2)</f>
        <v>25813.66</v>
      </c>
      <c r="R279" s="199">
        <v>0.5</v>
      </c>
      <c r="W279" s="47"/>
      <c r="Y279" s="47"/>
    </row>
    <row r="280" spans="1:26" x14ac:dyDescent="0.25">
      <c r="A280" s="270" t="s">
        <v>28</v>
      </c>
      <c r="B280" s="279" t="str">
        <f>B279</f>
        <v>88 GAS -Pisco</v>
      </c>
      <c r="C280" s="280" t="s">
        <v>31</v>
      </c>
      <c r="D280" s="281" t="s">
        <v>185</v>
      </c>
      <c r="E280" s="281"/>
      <c r="F280" s="286" t="str">
        <f>F279</f>
        <v xml:space="preserve"> MM BTU</v>
      </c>
      <c r="G280" s="388">
        <f>+G279</f>
        <v>22600.397700000001</v>
      </c>
      <c r="H280" s="319">
        <f>+H279</f>
        <v>25059.812699999999</v>
      </c>
      <c r="I280" s="272">
        <v>2.9100999999999999</v>
      </c>
      <c r="J280" s="272">
        <v>2.9100999999999999</v>
      </c>
      <c r="K280" s="272"/>
      <c r="L280" s="272"/>
      <c r="M280" s="272"/>
      <c r="N280" s="271"/>
      <c r="O280" s="271">
        <f t="shared" si="139"/>
        <v>138695.97828504001</v>
      </c>
      <c r="P280" s="271">
        <f>ROUND(37.24%*O280,2)</f>
        <v>51650.38</v>
      </c>
      <c r="Q280" s="271">
        <f t="shared" si="140"/>
        <v>25825.19</v>
      </c>
      <c r="R280" s="154">
        <v>0.5</v>
      </c>
      <c r="W280" s="47"/>
      <c r="Y280" s="47"/>
      <c r="Z280" s="47"/>
    </row>
    <row r="281" spans="1:26" x14ac:dyDescent="0.25">
      <c r="A281" s="273"/>
      <c r="B281" s="282" t="s">
        <v>180</v>
      </c>
      <c r="C281" s="71"/>
      <c r="D281" s="165"/>
      <c r="E281" s="165"/>
      <c r="F281" s="273"/>
      <c r="G281" s="255">
        <f t="shared" ref="G281:Q281" si="141">G280-G279</f>
        <v>0</v>
      </c>
      <c r="H281" s="320">
        <f t="shared" si="141"/>
        <v>0</v>
      </c>
      <c r="I281" s="283">
        <f t="shared" si="141"/>
        <v>1.3000000000000789E-3</v>
      </c>
      <c r="J281" s="283">
        <f t="shared" si="141"/>
        <v>1.3000000000000789E-3</v>
      </c>
      <c r="K281" s="283">
        <f t="shared" si="141"/>
        <v>0</v>
      </c>
      <c r="L281" s="283">
        <f t="shared" si="141"/>
        <v>0</v>
      </c>
      <c r="M281" s="283">
        <f t="shared" si="141"/>
        <v>0</v>
      </c>
      <c r="N281" s="284">
        <f t="shared" si="141"/>
        <v>0</v>
      </c>
      <c r="O281" s="255">
        <f t="shared" si="141"/>
        <v>61.958273519994691</v>
      </c>
      <c r="P281" s="344">
        <f t="shared" si="141"/>
        <v>23.069999999999709</v>
      </c>
      <c r="Q281" s="255">
        <f t="shared" si="141"/>
        <v>11.529999999998836</v>
      </c>
      <c r="R281" s="345"/>
      <c r="S281" s="251" t="s">
        <v>181</v>
      </c>
      <c r="X281" s="47"/>
      <c r="Y281" s="47"/>
    </row>
    <row r="282" spans="1:26" x14ac:dyDescent="0.25">
      <c r="A282" s="96"/>
      <c r="B282" s="5"/>
      <c r="C282" s="96"/>
      <c r="D282" s="96"/>
      <c r="E282" s="96"/>
      <c r="F282" s="96"/>
      <c r="G282" s="366"/>
      <c r="H282" s="366"/>
      <c r="I282" s="387"/>
      <c r="J282" s="387"/>
      <c r="K282" s="367"/>
      <c r="L282" s="367"/>
      <c r="M282" s="367"/>
      <c r="N282" s="368"/>
      <c r="O282" s="366"/>
      <c r="P282" s="369"/>
      <c r="Q282" s="366"/>
      <c r="R282" s="370"/>
      <c r="S282" s="366"/>
      <c r="T282" s="4"/>
      <c r="U282" s="4"/>
      <c r="V282" s="4"/>
    </row>
    <row r="283" spans="1:26" x14ac:dyDescent="0.25">
      <c r="A283" s="324"/>
      <c r="B283" s="265" t="s">
        <v>254</v>
      </c>
      <c r="C283" s="317"/>
      <c r="W283" s="48"/>
      <c r="Y283" s="294"/>
      <c r="Z283" s="48"/>
    </row>
    <row r="284" spans="1:26" ht="13" x14ac:dyDescent="0.3">
      <c r="A284" s="257" t="s">
        <v>161</v>
      </c>
      <c r="B284" s="252"/>
      <c r="C284" s="266"/>
      <c r="D284" s="263" t="s">
        <v>19</v>
      </c>
      <c r="E284" s="262" t="s">
        <v>58</v>
      </c>
      <c r="F284" s="263" t="s">
        <v>27</v>
      </c>
      <c r="G284" s="264" t="s">
        <v>34</v>
      </c>
      <c r="H284" s="253" t="s">
        <v>35</v>
      </c>
      <c r="I284" s="253" t="s">
        <v>34</v>
      </c>
      <c r="J284" s="264" t="s">
        <v>35</v>
      </c>
      <c r="K284" s="264" t="s">
        <v>38</v>
      </c>
      <c r="L284" s="264" t="s">
        <v>39</v>
      </c>
      <c r="M284" s="264" t="s">
        <v>41</v>
      </c>
      <c r="N284" s="264" t="s">
        <v>2</v>
      </c>
      <c r="O284" s="267" t="s">
        <v>179</v>
      </c>
      <c r="P284" s="276" t="s">
        <v>163</v>
      </c>
      <c r="Q284" s="276" t="s">
        <v>183</v>
      </c>
      <c r="R284" s="254"/>
      <c r="W284" s="48"/>
      <c r="Y284" s="295"/>
      <c r="Z284" s="294"/>
    </row>
    <row r="285" spans="1:26" x14ac:dyDescent="0.25">
      <c r="A285" s="16" t="s">
        <v>28</v>
      </c>
      <c r="B285" s="17" t="s">
        <v>225</v>
      </c>
      <c r="C285" s="40" t="s">
        <v>31</v>
      </c>
      <c r="D285" s="40" t="s">
        <v>30</v>
      </c>
      <c r="E285" s="40" t="s">
        <v>158</v>
      </c>
      <c r="F285" s="216" t="s">
        <v>55</v>
      </c>
      <c r="G285" s="256">
        <v>24020.011500000001</v>
      </c>
      <c r="H285" s="256">
        <v>14132.633099999999</v>
      </c>
      <c r="I285" s="192">
        <v>2.9097</v>
      </c>
      <c r="J285" s="192">
        <v>2.9097</v>
      </c>
      <c r="K285" s="256"/>
      <c r="L285" s="256"/>
      <c r="M285" s="256"/>
      <c r="N285" s="256"/>
      <c r="O285" s="200">
        <f t="shared" ref="O285:O286" si="142">G285*I285+H285*J285</f>
        <v>111012.74999262</v>
      </c>
      <c r="P285" s="198">
        <f>ROUND(37.24%*O285,2)</f>
        <v>41341.15</v>
      </c>
      <c r="Q285" s="198">
        <f t="shared" ref="Q285:Q286" si="143">ROUND(R285*P285,2)</f>
        <v>20670.580000000002</v>
      </c>
      <c r="R285" s="199">
        <v>0.5</v>
      </c>
      <c r="W285" s="47"/>
      <c r="Y285" s="47"/>
    </row>
    <row r="286" spans="1:26" x14ac:dyDescent="0.25">
      <c r="A286" s="270" t="s">
        <v>28</v>
      </c>
      <c r="B286" s="279" t="str">
        <f>B285</f>
        <v>88 GAS -Pisco</v>
      </c>
      <c r="C286" s="280" t="s">
        <v>31</v>
      </c>
      <c r="D286" s="281" t="s">
        <v>185</v>
      </c>
      <c r="E286" s="281"/>
      <c r="F286" s="286" t="str">
        <f>F285</f>
        <v xml:space="preserve"> MM BTU</v>
      </c>
      <c r="G286" s="388">
        <f>+G285</f>
        <v>24020.011500000001</v>
      </c>
      <c r="H286" s="319">
        <f>+H285</f>
        <v>14132.633099999999</v>
      </c>
      <c r="I286" s="272">
        <v>2.8788999999999998</v>
      </c>
      <c r="J286" s="272">
        <v>2.8788999999999998</v>
      </c>
      <c r="K286" s="272"/>
      <c r="L286" s="272"/>
      <c r="M286" s="272"/>
      <c r="N286" s="271"/>
      <c r="O286" s="271">
        <f t="shared" si="142"/>
        <v>109837.64853893999</v>
      </c>
      <c r="P286" s="271">
        <f>ROUND(37.24%*O286,2)</f>
        <v>40903.54</v>
      </c>
      <c r="Q286" s="271">
        <f t="shared" si="143"/>
        <v>20451.77</v>
      </c>
      <c r="R286" s="154">
        <v>0.5</v>
      </c>
      <c r="W286" s="47"/>
      <c r="Y286" s="47"/>
      <c r="Z286" s="47"/>
    </row>
    <row r="287" spans="1:26" x14ac:dyDescent="0.25">
      <c r="A287" s="273"/>
      <c r="B287" s="282" t="s">
        <v>180</v>
      </c>
      <c r="C287" s="71"/>
      <c r="D287" s="165"/>
      <c r="E287" s="165"/>
      <c r="F287" s="273"/>
      <c r="G287" s="255">
        <f t="shared" ref="G287:Q287" si="144">G286-G285</f>
        <v>0</v>
      </c>
      <c r="H287" s="320">
        <f t="shared" si="144"/>
        <v>0</v>
      </c>
      <c r="I287" s="283">
        <f t="shared" si="144"/>
        <v>-3.0800000000000161E-2</v>
      </c>
      <c r="J287" s="283">
        <f t="shared" si="144"/>
        <v>-3.0800000000000161E-2</v>
      </c>
      <c r="K287" s="283">
        <f t="shared" si="144"/>
        <v>0</v>
      </c>
      <c r="L287" s="283">
        <f t="shared" si="144"/>
        <v>0</v>
      </c>
      <c r="M287" s="283">
        <f t="shared" si="144"/>
        <v>0</v>
      </c>
      <c r="N287" s="284">
        <f t="shared" si="144"/>
        <v>0</v>
      </c>
      <c r="O287" s="255">
        <f t="shared" si="144"/>
        <v>-1175.1014536800067</v>
      </c>
      <c r="P287" s="344">
        <f t="shared" si="144"/>
        <v>-437.61000000000058</v>
      </c>
      <c r="Q287" s="255">
        <f t="shared" si="144"/>
        <v>-218.81000000000131</v>
      </c>
      <c r="R287" s="345"/>
      <c r="S287" s="251" t="s">
        <v>181</v>
      </c>
      <c r="X287" s="47"/>
      <c r="Y287" s="47"/>
    </row>
    <row r="288" spans="1:26" x14ac:dyDescent="0.25">
      <c r="A288" s="96"/>
      <c r="B288" s="5"/>
      <c r="C288" s="96"/>
      <c r="D288" s="96"/>
      <c r="E288" s="96"/>
      <c r="F288" s="96"/>
      <c r="G288" s="366"/>
      <c r="H288" s="366"/>
      <c r="I288" s="387"/>
      <c r="J288" s="387"/>
      <c r="K288" s="367"/>
      <c r="L288" s="367"/>
      <c r="M288" s="367"/>
      <c r="N288" s="368"/>
      <c r="O288" s="366"/>
      <c r="P288" s="369"/>
      <c r="Q288" s="366"/>
      <c r="R288" s="370"/>
      <c r="S288" s="366"/>
      <c r="T288" s="4"/>
      <c r="U288" s="4"/>
      <c r="V288" s="4"/>
    </row>
    <row r="289" spans="1:26" x14ac:dyDescent="0.25">
      <c r="A289" s="324"/>
      <c r="B289" s="265" t="s">
        <v>255</v>
      </c>
      <c r="C289" s="317"/>
      <c r="W289" s="48"/>
      <c r="Y289" s="294"/>
      <c r="Z289" s="48"/>
    </row>
    <row r="290" spans="1:26" ht="13" x14ac:dyDescent="0.3">
      <c r="A290" s="257" t="s">
        <v>161</v>
      </c>
      <c r="B290" s="252"/>
      <c r="C290" s="266"/>
      <c r="D290" s="263" t="s">
        <v>19</v>
      </c>
      <c r="E290" s="262" t="s">
        <v>58</v>
      </c>
      <c r="F290" s="263" t="s">
        <v>27</v>
      </c>
      <c r="G290" s="264" t="s">
        <v>34</v>
      </c>
      <c r="H290" s="253" t="s">
        <v>35</v>
      </c>
      <c r="I290" s="253" t="s">
        <v>34</v>
      </c>
      <c r="J290" s="264" t="s">
        <v>35</v>
      </c>
      <c r="K290" s="264" t="s">
        <v>38</v>
      </c>
      <c r="L290" s="264" t="s">
        <v>39</v>
      </c>
      <c r="M290" s="264" t="s">
        <v>41</v>
      </c>
      <c r="N290" s="264" t="s">
        <v>2</v>
      </c>
      <c r="O290" s="267" t="s">
        <v>179</v>
      </c>
      <c r="P290" s="276" t="s">
        <v>163</v>
      </c>
      <c r="Q290" s="276" t="s">
        <v>183</v>
      </c>
      <c r="R290" s="254"/>
      <c r="W290" s="48"/>
      <c r="Y290" s="295"/>
      <c r="Z290" s="294"/>
    </row>
    <row r="291" spans="1:26" x14ac:dyDescent="0.25">
      <c r="A291" s="16" t="s">
        <v>28</v>
      </c>
      <c r="B291" s="17" t="s">
        <v>225</v>
      </c>
      <c r="C291" s="40" t="s">
        <v>31</v>
      </c>
      <c r="D291" s="40" t="s">
        <v>30</v>
      </c>
      <c r="E291" s="40" t="s">
        <v>158</v>
      </c>
      <c r="F291" s="216" t="s">
        <v>55</v>
      </c>
      <c r="G291" s="256">
        <v>23783.0677</v>
      </c>
      <c r="H291" s="256">
        <v>25679.159500000002</v>
      </c>
      <c r="I291" s="192">
        <v>2.8734000000000002</v>
      </c>
      <c r="J291" s="192">
        <v>2.8734000000000002</v>
      </c>
      <c r="K291" s="256"/>
      <c r="L291" s="256"/>
      <c r="M291" s="256"/>
      <c r="N291" s="256"/>
      <c r="O291" s="200">
        <f t="shared" ref="O291:O292" si="145">G291*I291+H291*J291</f>
        <v>142124.76363648003</v>
      </c>
      <c r="P291" s="198">
        <f>ROUND(37.24%*O291,2)</f>
        <v>52927.26</v>
      </c>
      <c r="Q291" s="198">
        <f t="shared" ref="Q291:Q292" si="146">ROUND(R291*P291,2)</f>
        <v>26463.63</v>
      </c>
      <c r="R291" s="199">
        <v>0.5</v>
      </c>
      <c r="W291" s="47"/>
      <c r="Y291" s="47"/>
    </row>
    <row r="292" spans="1:26" x14ac:dyDescent="0.25">
      <c r="A292" s="270" t="s">
        <v>28</v>
      </c>
      <c r="B292" s="279" t="str">
        <f>B291</f>
        <v>88 GAS -Pisco</v>
      </c>
      <c r="C292" s="280" t="s">
        <v>31</v>
      </c>
      <c r="D292" s="281" t="s">
        <v>185</v>
      </c>
      <c r="E292" s="281"/>
      <c r="F292" s="286" t="str">
        <f>F291</f>
        <v xml:space="preserve"> MM BTU</v>
      </c>
      <c r="G292" s="388">
        <f>+G291</f>
        <v>23783.0677</v>
      </c>
      <c r="H292" s="319">
        <f>+H291</f>
        <v>25679.159500000002</v>
      </c>
      <c r="I292" s="272">
        <v>2.8014000000000001</v>
      </c>
      <c r="J292" s="272">
        <v>2.8014000000000001</v>
      </c>
      <c r="K292" s="272"/>
      <c r="L292" s="272"/>
      <c r="M292" s="272"/>
      <c r="N292" s="271"/>
      <c r="O292" s="271">
        <f t="shared" si="145"/>
        <v>138563.48327808001</v>
      </c>
      <c r="P292" s="271">
        <f>ROUND(37.24%*O292,2)</f>
        <v>51601.04</v>
      </c>
      <c r="Q292" s="271">
        <f t="shared" si="146"/>
        <v>25800.52</v>
      </c>
      <c r="R292" s="154">
        <v>0.5</v>
      </c>
      <c r="W292" s="47"/>
      <c r="Y292" s="47"/>
      <c r="Z292" s="47"/>
    </row>
    <row r="293" spans="1:26" x14ac:dyDescent="0.25">
      <c r="A293" s="273"/>
      <c r="B293" s="282" t="s">
        <v>180</v>
      </c>
      <c r="C293" s="71"/>
      <c r="D293" s="165"/>
      <c r="E293" s="165"/>
      <c r="F293" s="273"/>
      <c r="G293" s="255">
        <f t="shared" ref="G293:Q293" si="147">G292-G291</f>
        <v>0</v>
      </c>
      <c r="H293" s="320">
        <f t="shared" si="147"/>
        <v>0</v>
      </c>
      <c r="I293" s="283">
        <f t="shared" si="147"/>
        <v>-7.2000000000000064E-2</v>
      </c>
      <c r="J293" s="283">
        <f t="shared" si="147"/>
        <v>-7.2000000000000064E-2</v>
      </c>
      <c r="K293" s="283">
        <f t="shared" si="147"/>
        <v>0</v>
      </c>
      <c r="L293" s="283">
        <f t="shared" si="147"/>
        <v>0</v>
      </c>
      <c r="M293" s="283">
        <f t="shared" si="147"/>
        <v>0</v>
      </c>
      <c r="N293" s="284">
        <f t="shared" si="147"/>
        <v>0</v>
      </c>
      <c r="O293" s="255">
        <f t="shared" si="147"/>
        <v>-3561.2803584000212</v>
      </c>
      <c r="P293" s="344">
        <f t="shared" si="147"/>
        <v>-1326.2200000000012</v>
      </c>
      <c r="Q293" s="255">
        <f t="shared" si="147"/>
        <v>-663.11000000000058</v>
      </c>
      <c r="R293" s="345"/>
      <c r="S293" s="251" t="s">
        <v>181</v>
      </c>
      <c r="X293" s="47"/>
      <c r="Y293" s="47"/>
    </row>
    <row r="294" spans="1:26" x14ac:dyDescent="0.25">
      <c r="A294" s="96"/>
      <c r="B294" s="5"/>
      <c r="C294" s="96"/>
      <c r="D294" s="96"/>
      <c r="E294" s="96"/>
      <c r="F294" s="96"/>
      <c r="G294" s="366"/>
      <c r="H294" s="366"/>
      <c r="I294" s="387"/>
      <c r="J294" s="387"/>
      <c r="K294" s="367"/>
      <c r="L294" s="367"/>
      <c r="M294" s="367"/>
      <c r="N294" s="368"/>
      <c r="O294" s="366"/>
      <c r="P294" s="369"/>
      <c r="Q294" s="366"/>
      <c r="R294" s="370"/>
      <c r="S294" s="366"/>
      <c r="T294" s="4"/>
      <c r="U294" s="4"/>
      <c r="V294" s="4"/>
    </row>
    <row r="295" spans="1:26" x14ac:dyDescent="0.25">
      <c r="A295" s="324"/>
      <c r="B295" s="265" t="s">
        <v>256</v>
      </c>
      <c r="C295" s="317"/>
      <c r="W295" s="48"/>
      <c r="Y295" s="294"/>
      <c r="Z295" s="48"/>
    </row>
    <row r="296" spans="1:26" ht="13" x14ac:dyDescent="0.3">
      <c r="A296" s="257" t="s">
        <v>161</v>
      </c>
      <c r="B296" s="252"/>
      <c r="C296" s="266"/>
      <c r="D296" s="263" t="s">
        <v>19</v>
      </c>
      <c r="E296" s="262" t="s">
        <v>58</v>
      </c>
      <c r="F296" s="263" t="s">
        <v>27</v>
      </c>
      <c r="G296" s="264" t="s">
        <v>34</v>
      </c>
      <c r="H296" s="253" t="s">
        <v>35</v>
      </c>
      <c r="I296" s="253" t="s">
        <v>34</v>
      </c>
      <c r="J296" s="264" t="s">
        <v>35</v>
      </c>
      <c r="K296" s="264" t="s">
        <v>38</v>
      </c>
      <c r="L296" s="264" t="s">
        <v>39</v>
      </c>
      <c r="M296" s="264" t="s">
        <v>41</v>
      </c>
      <c r="N296" s="264" t="s">
        <v>2</v>
      </c>
      <c r="O296" s="267" t="s">
        <v>179</v>
      </c>
      <c r="P296" s="276" t="s">
        <v>163</v>
      </c>
      <c r="Q296" s="276" t="s">
        <v>183</v>
      </c>
      <c r="R296" s="254"/>
      <c r="W296" s="48"/>
      <c r="Y296" s="295"/>
      <c r="Z296" s="294"/>
    </row>
    <row r="297" spans="1:26" x14ac:dyDescent="0.25">
      <c r="A297" s="16" t="s">
        <v>28</v>
      </c>
      <c r="B297" s="17" t="s">
        <v>225</v>
      </c>
      <c r="C297" s="40" t="s">
        <v>31</v>
      </c>
      <c r="D297" s="40" t="s">
        <v>30</v>
      </c>
      <c r="E297" s="40" t="s">
        <v>158</v>
      </c>
      <c r="F297" s="216" t="s">
        <v>55</v>
      </c>
      <c r="G297" s="256">
        <v>23397.790499999999</v>
      </c>
      <c r="H297" s="256">
        <v>24555.771100000002</v>
      </c>
      <c r="I297" s="192">
        <v>2.7909000000000002</v>
      </c>
      <c r="J297" s="192">
        <v>2.7909000000000002</v>
      </c>
      <c r="K297" s="256"/>
      <c r="L297" s="256"/>
      <c r="M297" s="256"/>
      <c r="N297" s="256"/>
      <c r="O297" s="200">
        <f t="shared" ref="O297:O298" si="148">G297*I297+H297*J297</f>
        <v>133833.59506944002</v>
      </c>
      <c r="P297" s="198">
        <f>ROUND(37.24%*O297,2)</f>
        <v>49839.63</v>
      </c>
      <c r="Q297" s="198">
        <f t="shared" ref="Q297:Q298" si="149">ROUND(R297*P297,2)</f>
        <v>24919.82</v>
      </c>
      <c r="R297" s="199">
        <v>0.5</v>
      </c>
      <c r="W297" s="47"/>
      <c r="Y297" s="47"/>
    </row>
    <row r="298" spans="1:26" x14ac:dyDescent="0.25">
      <c r="A298" s="270" t="s">
        <v>28</v>
      </c>
      <c r="B298" s="279" t="str">
        <f>B297</f>
        <v>88 GAS -Pisco</v>
      </c>
      <c r="C298" s="280" t="s">
        <v>31</v>
      </c>
      <c r="D298" s="281" t="s">
        <v>185</v>
      </c>
      <c r="E298" s="281"/>
      <c r="F298" s="286" t="str">
        <f>F297</f>
        <v xml:space="preserve"> MM BTU</v>
      </c>
      <c r="G298" s="388">
        <f>+G297</f>
        <v>23397.790499999999</v>
      </c>
      <c r="H298" s="319">
        <f>+H297</f>
        <v>24555.771100000002</v>
      </c>
      <c r="I298" s="272">
        <v>2.88</v>
      </c>
      <c r="J298" s="272">
        <v>2.88</v>
      </c>
      <c r="K298" s="272"/>
      <c r="L298" s="272"/>
      <c r="M298" s="272"/>
      <c r="N298" s="271"/>
      <c r="O298" s="271">
        <f t="shared" si="148"/>
        <v>138106.257408</v>
      </c>
      <c r="P298" s="271">
        <f>ROUND(37.24%*O298,2)</f>
        <v>51430.77</v>
      </c>
      <c r="Q298" s="271">
        <f t="shared" si="149"/>
        <v>25715.39</v>
      </c>
      <c r="R298" s="154">
        <v>0.5</v>
      </c>
      <c r="W298" s="47"/>
      <c r="Y298" s="47"/>
      <c r="Z298" s="47"/>
    </row>
    <row r="299" spans="1:26" x14ac:dyDescent="0.25">
      <c r="A299" s="273"/>
      <c r="B299" s="282" t="s">
        <v>180</v>
      </c>
      <c r="C299" s="71"/>
      <c r="D299" s="165"/>
      <c r="E299" s="165"/>
      <c r="F299" s="273"/>
      <c r="G299" s="255">
        <f t="shared" ref="G299:Q299" si="150">G298-G297</f>
        <v>0</v>
      </c>
      <c r="H299" s="320">
        <f t="shared" si="150"/>
        <v>0</v>
      </c>
      <c r="I299" s="283">
        <f t="shared" si="150"/>
        <v>8.9099999999999735E-2</v>
      </c>
      <c r="J299" s="283">
        <f t="shared" si="150"/>
        <v>8.9099999999999735E-2</v>
      </c>
      <c r="K299" s="283">
        <f t="shared" si="150"/>
        <v>0</v>
      </c>
      <c r="L299" s="283">
        <f t="shared" si="150"/>
        <v>0</v>
      </c>
      <c r="M299" s="283">
        <f t="shared" si="150"/>
        <v>0</v>
      </c>
      <c r="N299" s="284">
        <f t="shared" si="150"/>
        <v>0</v>
      </c>
      <c r="O299" s="255">
        <f t="shared" si="150"/>
        <v>4272.6623385599814</v>
      </c>
      <c r="P299" s="344">
        <f t="shared" si="150"/>
        <v>1591.1399999999994</v>
      </c>
      <c r="Q299" s="255">
        <f t="shared" si="150"/>
        <v>795.56999999999971</v>
      </c>
      <c r="R299" s="345"/>
      <c r="S299" s="251" t="s">
        <v>181</v>
      </c>
      <c r="X299" s="47"/>
      <c r="Y299" s="47"/>
    </row>
    <row r="300" spans="1:26" x14ac:dyDescent="0.25">
      <c r="A300" s="96"/>
      <c r="B300" s="5"/>
      <c r="C300" s="96"/>
      <c r="D300" s="96"/>
      <c r="E300" s="96"/>
      <c r="F300" s="96"/>
      <c r="G300" s="366"/>
      <c r="H300" s="366"/>
      <c r="I300" s="387"/>
      <c r="J300" s="387"/>
      <c r="K300" s="367"/>
      <c r="L300" s="367"/>
      <c r="M300" s="367"/>
      <c r="N300" s="368"/>
      <c r="O300" s="366"/>
      <c r="P300" s="369"/>
      <c r="Q300" s="366"/>
      <c r="R300" s="370"/>
      <c r="S300" s="366"/>
      <c r="T300" s="4"/>
      <c r="U300" s="4"/>
      <c r="V300" s="4"/>
    </row>
    <row r="301" spans="1:26" x14ac:dyDescent="0.25">
      <c r="A301" s="324"/>
      <c r="B301" s="265" t="s">
        <v>258</v>
      </c>
      <c r="C301" s="317"/>
      <c r="W301" s="48"/>
      <c r="Y301" s="294"/>
      <c r="Z301" s="48"/>
    </row>
    <row r="302" spans="1:26" ht="13" x14ac:dyDescent="0.3">
      <c r="A302" s="257" t="s">
        <v>161</v>
      </c>
      <c r="B302" s="252"/>
      <c r="C302" s="266"/>
      <c r="D302" s="263" t="s">
        <v>19</v>
      </c>
      <c r="E302" s="262" t="s">
        <v>58</v>
      </c>
      <c r="F302" s="263" t="s">
        <v>27</v>
      </c>
      <c r="G302" s="264" t="s">
        <v>34</v>
      </c>
      <c r="H302" s="253" t="s">
        <v>35</v>
      </c>
      <c r="I302" s="253" t="s">
        <v>34</v>
      </c>
      <c r="J302" s="264" t="s">
        <v>35</v>
      </c>
      <c r="K302" s="264" t="s">
        <v>38</v>
      </c>
      <c r="L302" s="264" t="s">
        <v>39</v>
      </c>
      <c r="M302" s="264" t="s">
        <v>41</v>
      </c>
      <c r="N302" s="264" t="s">
        <v>2</v>
      </c>
      <c r="O302" s="267" t="s">
        <v>179</v>
      </c>
      <c r="P302" s="276" t="s">
        <v>163</v>
      </c>
      <c r="Q302" s="276" t="s">
        <v>183</v>
      </c>
      <c r="R302" s="254"/>
      <c r="W302" s="48"/>
      <c r="Y302" s="295"/>
      <c r="Z302" s="294"/>
    </row>
    <row r="303" spans="1:26" x14ac:dyDescent="0.25">
      <c r="A303" s="16" t="s">
        <v>28</v>
      </c>
      <c r="B303" s="17" t="s">
        <v>225</v>
      </c>
      <c r="C303" s="40" t="s">
        <v>31</v>
      </c>
      <c r="D303" s="40" t="s">
        <v>30</v>
      </c>
      <c r="E303" s="40" t="s">
        <v>158</v>
      </c>
      <c r="F303" s="216" t="s">
        <v>55</v>
      </c>
      <c r="G303" s="256">
        <v>23546.915199999999</v>
      </c>
      <c r="H303" s="256">
        <v>16895.627799999998</v>
      </c>
      <c r="I303" s="192">
        <v>2.8818999999999999</v>
      </c>
      <c r="J303" s="192">
        <v>2.8818999999999999</v>
      </c>
      <c r="K303" s="256"/>
      <c r="L303" s="256"/>
      <c r="M303" s="256"/>
      <c r="N303" s="256"/>
      <c r="O303" s="200">
        <f t="shared" ref="O303:O304" si="151">G303*I303+H303*J303</f>
        <v>116551.36467169999</v>
      </c>
      <c r="P303" s="198">
        <f>ROUND(37.24%*O303,2)</f>
        <v>43403.73</v>
      </c>
      <c r="Q303" s="198">
        <f t="shared" ref="Q303:Q304" si="152">ROUND(R303*P303,2)</f>
        <v>21701.87</v>
      </c>
      <c r="R303" s="199">
        <v>0.5</v>
      </c>
      <c r="W303" s="47"/>
      <c r="Y303" s="47"/>
    </row>
    <row r="304" spans="1:26" x14ac:dyDescent="0.25">
      <c r="A304" s="270" t="s">
        <v>28</v>
      </c>
      <c r="B304" s="279" t="str">
        <f>B303</f>
        <v>88 GAS -Pisco</v>
      </c>
      <c r="C304" s="280" t="s">
        <v>31</v>
      </c>
      <c r="D304" s="281" t="s">
        <v>185</v>
      </c>
      <c r="E304" s="281"/>
      <c r="F304" s="286" t="str">
        <f>F303</f>
        <v xml:space="preserve"> MM BTU</v>
      </c>
      <c r="G304" s="388">
        <f>+G303</f>
        <v>23546.915199999999</v>
      </c>
      <c r="H304" s="319">
        <f>+H303</f>
        <v>16895.627799999998</v>
      </c>
      <c r="I304" s="272">
        <v>2.9253</v>
      </c>
      <c r="J304" s="272">
        <v>2.9253</v>
      </c>
      <c r="K304" s="272"/>
      <c r="L304" s="272"/>
      <c r="M304" s="272"/>
      <c r="N304" s="271"/>
      <c r="O304" s="271">
        <f t="shared" si="151"/>
        <v>118306.57103789999</v>
      </c>
      <c r="P304" s="271">
        <f>ROUND(37.24%*O304,2)</f>
        <v>44057.37</v>
      </c>
      <c r="Q304" s="271">
        <f t="shared" si="152"/>
        <v>22028.69</v>
      </c>
      <c r="R304" s="154">
        <v>0.5</v>
      </c>
      <c r="W304" s="47"/>
      <c r="Y304" s="47"/>
      <c r="Z304" s="47"/>
    </row>
    <row r="305" spans="1:26" x14ac:dyDescent="0.25">
      <c r="A305" s="273"/>
      <c r="B305" s="282" t="s">
        <v>180</v>
      </c>
      <c r="C305" s="71"/>
      <c r="D305" s="165"/>
      <c r="E305" s="165"/>
      <c r="F305" s="273"/>
      <c r="G305" s="255">
        <f t="shared" ref="G305:Q305" si="153">G304-G303</f>
        <v>0</v>
      </c>
      <c r="H305" s="320">
        <f t="shared" si="153"/>
        <v>0</v>
      </c>
      <c r="I305" s="283">
        <f t="shared" si="153"/>
        <v>4.3400000000000105E-2</v>
      </c>
      <c r="J305" s="283">
        <f t="shared" si="153"/>
        <v>4.3400000000000105E-2</v>
      </c>
      <c r="K305" s="283">
        <f t="shared" si="153"/>
        <v>0</v>
      </c>
      <c r="L305" s="283">
        <f t="shared" si="153"/>
        <v>0</v>
      </c>
      <c r="M305" s="283">
        <f t="shared" si="153"/>
        <v>0</v>
      </c>
      <c r="N305" s="284">
        <f t="shared" si="153"/>
        <v>0</v>
      </c>
      <c r="O305" s="255">
        <f t="shared" si="153"/>
        <v>1755.2063662</v>
      </c>
      <c r="P305" s="344">
        <f t="shared" si="153"/>
        <v>653.63999999999942</v>
      </c>
      <c r="Q305" s="255">
        <f t="shared" si="153"/>
        <v>326.81999999999971</v>
      </c>
      <c r="R305" s="345"/>
      <c r="S305" s="251" t="s">
        <v>181</v>
      </c>
      <c r="X305" s="47"/>
      <c r="Y305" s="47"/>
    </row>
    <row r="306" spans="1:26" x14ac:dyDescent="0.25">
      <c r="A306" s="96"/>
      <c r="B306" s="5"/>
      <c r="C306" s="96"/>
      <c r="D306" s="96"/>
      <c r="E306" s="96"/>
      <c r="F306" s="96"/>
      <c r="G306" s="366"/>
      <c r="H306" s="366"/>
      <c r="I306" s="387"/>
      <c r="J306" s="387"/>
      <c r="K306" s="367"/>
      <c r="L306" s="367"/>
      <c r="M306" s="367"/>
      <c r="N306" s="368"/>
      <c r="O306" s="366"/>
      <c r="P306" s="369"/>
      <c r="Q306" s="366"/>
      <c r="R306" s="370"/>
      <c r="S306" s="366"/>
      <c r="T306" s="4"/>
      <c r="U306" s="4"/>
      <c r="V306" s="4"/>
    </row>
    <row r="307" spans="1:26" x14ac:dyDescent="0.25">
      <c r="A307" s="324"/>
      <c r="B307" s="265" t="s">
        <v>257</v>
      </c>
      <c r="C307" s="317"/>
      <c r="W307" s="48"/>
      <c r="Y307" s="294"/>
      <c r="Z307" s="48"/>
    </row>
    <row r="308" spans="1:26" ht="13" x14ac:dyDescent="0.3">
      <c r="A308" s="257" t="s">
        <v>161</v>
      </c>
      <c r="B308" s="252"/>
      <c r="C308" s="266"/>
      <c r="D308" s="263" t="s">
        <v>19</v>
      </c>
      <c r="E308" s="262" t="s">
        <v>58</v>
      </c>
      <c r="F308" s="263" t="s">
        <v>27</v>
      </c>
      <c r="G308" s="264" t="s">
        <v>34</v>
      </c>
      <c r="H308" s="253" t="s">
        <v>35</v>
      </c>
      <c r="I308" s="253" t="s">
        <v>34</v>
      </c>
      <c r="J308" s="264" t="s">
        <v>35</v>
      </c>
      <c r="K308" s="264" t="s">
        <v>38</v>
      </c>
      <c r="L308" s="264" t="s">
        <v>39</v>
      </c>
      <c r="M308" s="264" t="s">
        <v>41</v>
      </c>
      <c r="N308" s="264" t="s">
        <v>2</v>
      </c>
      <c r="O308" s="267" t="s">
        <v>179</v>
      </c>
      <c r="P308" s="276" t="s">
        <v>163</v>
      </c>
      <c r="Q308" s="276" t="s">
        <v>183</v>
      </c>
      <c r="R308" s="254"/>
      <c r="W308" s="48"/>
      <c r="Y308" s="295"/>
      <c r="Z308" s="294"/>
    </row>
    <row r="309" spans="1:26" x14ac:dyDescent="0.25">
      <c r="A309" s="16" t="s">
        <v>28</v>
      </c>
      <c r="B309" s="17" t="s">
        <v>225</v>
      </c>
      <c r="C309" s="40" t="s">
        <v>31</v>
      </c>
      <c r="D309" s="40" t="s">
        <v>30</v>
      </c>
      <c r="E309" s="40" t="s">
        <v>158</v>
      </c>
      <c r="F309" s="216" t="s">
        <v>55</v>
      </c>
      <c r="G309" s="256">
        <v>19564.926599999999</v>
      </c>
      <c r="H309" s="256">
        <v>20877.2997</v>
      </c>
      <c r="I309" s="192">
        <v>2.9272999999999998</v>
      </c>
      <c r="J309" s="192">
        <v>2.9272999999999998</v>
      </c>
      <c r="K309" s="256"/>
      <c r="L309" s="256"/>
      <c r="M309" s="256"/>
      <c r="N309" s="256"/>
      <c r="O309" s="200">
        <f t="shared" ref="O309:O310" si="154">G309*I309+H309*J309</f>
        <v>118386.52904798998</v>
      </c>
      <c r="P309" s="198">
        <f>ROUND(37.24%*O309,2)</f>
        <v>44087.14</v>
      </c>
      <c r="Q309" s="198">
        <f t="shared" ref="Q309:Q310" si="155">ROUND(R309*P309,2)</f>
        <v>22043.57</v>
      </c>
      <c r="R309" s="199">
        <v>0.5</v>
      </c>
      <c r="W309" s="47"/>
      <c r="Y309" s="47"/>
    </row>
    <row r="310" spans="1:26" x14ac:dyDescent="0.25">
      <c r="A310" s="270" t="s">
        <v>28</v>
      </c>
      <c r="B310" s="279" t="str">
        <f>B309</f>
        <v>88 GAS -Pisco</v>
      </c>
      <c r="C310" s="280" t="s">
        <v>31</v>
      </c>
      <c r="D310" s="281" t="s">
        <v>185</v>
      </c>
      <c r="E310" s="281"/>
      <c r="F310" s="286" t="str">
        <f>F309</f>
        <v xml:space="preserve"> MM BTU</v>
      </c>
      <c r="G310" s="388">
        <f>+G309</f>
        <v>19564.926599999999</v>
      </c>
      <c r="H310" s="319">
        <f>+H309</f>
        <v>20877.2997</v>
      </c>
      <c r="I310" s="272">
        <v>2.9106000000000001</v>
      </c>
      <c r="J310" s="272">
        <v>2.9106000000000001</v>
      </c>
      <c r="K310" s="272"/>
      <c r="L310" s="272"/>
      <c r="M310" s="272"/>
      <c r="N310" s="271"/>
      <c r="O310" s="271">
        <f t="shared" si="154"/>
        <v>117711.14386878</v>
      </c>
      <c r="P310" s="271">
        <f>ROUND(37.24%*O310,2)</f>
        <v>43835.63</v>
      </c>
      <c r="Q310" s="271">
        <f t="shared" si="155"/>
        <v>21917.82</v>
      </c>
      <c r="R310" s="154">
        <v>0.5</v>
      </c>
      <c r="W310" s="47"/>
      <c r="Y310" s="47"/>
      <c r="Z310" s="47"/>
    </row>
    <row r="311" spans="1:26" x14ac:dyDescent="0.25">
      <c r="A311" s="273"/>
      <c r="B311" s="282" t="s">
        <v>180</v>
      </c>
      <c r="C311" s="71"/>
      <c r="D311" s="165"/>
      <c r="E311" s="165"/>
      <c r="F311" s="273"/>
      <c r="G311" s="255">
        <f t="shared" ref="G311:Q311" si="156">G310-G309</f>
        <v>0</v>
      </c>
      <c r="H311" s="320">
        <f t="shared" si="156"/>
        <v>0</v>
      </c>
      <c r="I311" s="283">
        <f t="shared" si="156"/>
        <v>-1.6699999999999715E-2</v>
      </c>
      <c r="J311" s="283">
        <f t="shared" si="156"/>
        <v>-1.6699999999999715E-2</v>
      </c>
      <c r="K311" s="283">
        <f t="shared" si="156"/>
        <v>0</v>
      </c>
      <c r="L311" s="283">
        <f t="shared" si="156"/>
        <v>0</v>
      </c>
      <c r="M311" s="283">
        <f t="shared" si="156"/>
        <v>0</v>
      </c>
      <c r="N311" s="284">
        <f t="shared" si="156"/>
        <v>0</v>
      </c>
      <c r="O311" s="255">
        <f t="shared" si="156"/>
        <v>-675.38517920998856</v>
      </c>
      <c r="P311" s="344">
        <f t="shared" si="156"/>
        <v>-251.51000000000204</v>
      </c>
      <c r="Q311" s="255">
        <f t="shared" si="156"/>
        <v>-125.75</v>
      </c>
      <c r="R311" s="345"/>
      <c r="S311" s="251" t="s">
        <v>181</v>
      </c>
      <c r="X311" s="47"/>
      <c r="Y311" s="47"/>
    </row>
    <row r="312" spans="1:26" x14ac:dyDescent="0.25">
      <c r="A312" s="96"/>
      <c r="B312" s="5"/>
      <c r="C312" s="96"/>
      <c r="D312" s="96"/>
      <c r="E312" s="96"/>
      <c r="F312" s="96"/>
      <c r="G312" s="366"/>
      <c r="H312" s="366"/>
      <c r="I312" s="387"/>
      <c r="J312" s="387"/>
      <c r="K312" s="367"/>
      <c r="L312" s="367"/>
      <c r="M312" s="367"/>
      <c r="N312" s="368"/>
      <c r="O312" s="366"/>
      <c r="P312" s="369"/>
      <c r="Q312" s="366"/>
      <c r="R312" s="370"/>
      <c r="S312" s="366"/>
      <c r="T312" s="4"/>
      <c r="U312" s="4"/>
      <c r="V312" s="4"/>
    </row>
    <row r="313" spans="1:26" x14ac:dyDescent="0.25">
      <c r="A313" s="324"/>
      <c r="B313" s="265" t="s">
        <v>259</v>
      </c>
      <c r="C313" s="317"/>
      <c r="W313" s="48"/>
      <c r="Y313" s="294"/>
      <c r="Z313" s="48"/>
    </row>
    <row r="314" spans="1:26" ht="13" x14ac:dyDescent="0.3">
      <c r="A314" s="257" t="s">
        <v>161</v>
      </c>
      <c r="B314" s="252"/>
      <c r="C314" s="266"/>
      <c r="D314" s="263" t="s">
        <v>19</v>
      </c>
      <c r="E314" s="262" t="s">
        <v>58</v>
      </c>
      <c r="F314" s="263" t="s">
        <v>27</v>
      </c>
      <c r="G314" s="264" t="s">
        <v>34</v>
      </c>
      <c r="H314" s="253" t="s">
        <v>35</v>
      </c>
      <c r="I314" s="253" t="s">
        <v>34</v>
      </c>
      <c r="J314" s="264" t="s">
        <v>35</v>
      </c>
      <c r="K314" s="264" t="s">
        <v>38</v>
      </c>
      <c r="L314" s="264" t="s">
        <v>39</v>
      </c>
      <c r="M314" s="264" t="s">
        <v>41</v>
      </c>
      <c r="N314" s="264" t="s">
        <v>2</v>
      </c>
      <c r="O314" s="267" t="s">
        <v>179</v>
      </c>
      <c r="P314" s="276" t="s">
        <v>163</v>
      </c>
      <c r="Q314" s="276" t="s">
        <v>183</v>
      </c>
      <c r="R314" s="254"/>
      <c r="W314" s="48"/>
      <c r="Y314" s="295"/>
      <c r="Z314" s="294"/>
    </row>
    <row r="315" spans="1:26" x14ac:dyDescent="0.25">
      <c r="A315" s="16" t="s">
        <v>28</v>
      </c>
      <c r="B315" s="17" t="s">
        <v>225</v>
      </c>
      <c r="C315" s="40" t="s">
        <v>31</v>
      </c>
      <c r="D315" s="40" t="s">
        <v>30</v>
      </c>
      <c r="E315" s="40" t="s">
        <v>158</v>
      </c>
      <c r="F315" s="216" t="s">
        <v>55</v>
      </c>
      <c r="G315" s="256">
        <v>21379.106299999999</v>
      </c>
      <c r="H315" s="256">
        <v>21089.808099999998</v>
      </c>
      <c r="I315" s="192">
        <v>2.9121999999999999</v>
      </c>
      <c r="J315" s="192">
        <v>2.9121999999999999</v>
      </c>
      <c r="K315" s="256"/>
      <c r="L315" s="256"/>
      <c r="M315" s="256"/>
      <c r="N315" s="256"/>
      <c r="O315" s="200">
        <f t="shared" ref="O315:O316" si="157">G315*I315+H315*J315</f>
        <v>123677.97251567998</v>
      </c>
      <c r="P315" s="198">
        <f>ROUND(37.24%*O315,2)</f>
        <v>46057.68</v>
      </c>
      <c r="Q315" s="198">
        <f t="shared" ref="Q315:Q316" si="158">ROUND(R315*P315,2)</f>
        <v>23028.84</v>
      </c>
      <c r="R315" s="199">
        <v>0.5</v>
      </c>
      <c r="W315" s="47"/>
      <c r="Y315" s="47"/>
    </row>
    <row r="316" spans="1:26" x14ac:dyDescent="0.25">
      <c r="A316" s="270" t="s">
        <v>28</v>
      </c>
      <c r="B316" s="279" t="str">
        <f>B315</f>
        <v>88 GAS -Pisco</v>
      </c>
      <c r="C316" s="280" t="s">
        <v>31</v>
      </c>
      <c r="D316" s="281" t="s">
        <v>185</v>
      </c>
      <c r="E316" s="281"/>
      <c r="F316" s="286" t="str">
        <f>F315</f>
        <v xml:space="preserve"> MM BTU</v>
      </c>
      <c r="G316" s="388">
        <f>+G315</f>
        <v>21379.106299999999</v>
      </c>
      <c r="H316" s="319">
        <f>+H315</f>
        <v>21089.808099999998</v>
      </c>
      <c r="I316" s="272">
        <v>2.9068999999999998</v>
      </c>
      <c r="J316" s="272">
        <v>2.9068999999999998</v>
      </c>
      <c r="K316" s="272"/>
      <c r="L316" s="272"/>
      <c r="M316" s="272"/>
      <c r="N316" s="271"/>
      <c r="O316" s="271">
        <f t="shared" si="157"/>
        <v>123452.88726935998</v>
      </c>
      <c r="P316" s="271">
        <f>ROUND(37.24%*O316,2)</f>
        <v>45973.86</v>
      </c>
      <c r="Q316" s="271">
        <f t="shared" si="158"/>
        <v>22986.93</v>
      </c>
      <c r="R316" s="154">
        <v>0.5</v>
      </c>
      <c r="W316" s="47"/>
      <c r="Y316" s="47"/>
      <c r="Z316" s="47"/>
    </row>
    <row r="317" spans="1:26" x14ac:dyDescent="0.25">
      <c r="A317" s="273"/>
      <c r="B317" s="282" t="s">
        <v>180</v>
      </c>
      <c r="C317" s="71"/>
      <c r="D317" s="165"/>
      <c r="E317" s="165"/>
      <c r="F317" s="273"/>
      <c r="G317" s="255">
        <f t="shared" ref="G317:Q317" si="159">G316-G315</f>
        <v>0</v>
      </c>
      <c r="H317" s="320">
        <f t="shared" si="159"/>
        <v>0</v>
      </c>
      <c r="I317" s="283">
        <f t="shared" si="159"/>
        <v>-5.3000000000000824E-3</v>
      </c>
      <c r="J317" s="283">
        <f t="shared" si="159"/>
        <v>-5.3000000000000824E-3</v>
      </c>
      <c r="K317" s="283">
        <f t="shared" si="159"/>
        <v>0</v>
      </c>
      <c r="L317" s="283">
        <f t="shared" si="159"/>
        <v>0</v>
      </c>
      <c r="M317" s="283">
        <f t="shared" si="159"/>
        <v>0</v>
      </c>
      <c r="N317" s="284">
        <f t="shared" si="159"/>
        <v>0</v>
      </c>
      <c r="O317" s="255">
        <f t="shared" si="159"/>
        <v>-225.08524631999899</v>
      </c>
      <c r="P317" s="344">
        <f t="shared" si="159"/>
        <v>-83.819999999999709</v>
      </c>
      <c r="Q317" s="255">
        <f t="shared" si="159"/>
        <v>-41.909999999999854</v>
      </c>
      <c r="R317" s="345"/>
      <c r="S317" s="251" t="s">
        <v>181</v>
      </c>
      <c r="X317" s="47"/>
      <c r="Y317" s="47"/>
    </row>
    <row r="318" spans="1:26" x14ac:dyDescent="0.25">
      <c r="A318" s="96"/>
      <c r="B318" s="5"/>
      <c r="C318" s="96"/>
      <c r="D318" s="96"/>
      <c r="E318" s="96"/>
      <c r="F318" s="96"/>
      <c r="G318" s="366"/>
      <c r="H318" s="366"/>
      <c r="I318" s="387"/>
      <c r="J318" s="387"/>
      <c r="K318" s="367"/>
      <c r="L318" s="367"/>
      <c r="M318" s="367"/>
      <c r="N318" s="368"/>
      <c r="O318" s="366"/>
      <c r="P318" s="369"/>
      <c r="Q318" s="366"/>
      <c r="R318" s="370"/>
      <c r="S318" s="366"/>
      <c r="T318" s="4"/>
      <c r="U318" s="4"/>
      <c r="V318" s="4"/>
    </row>
    <row r="319" spans="1:26" x14ac:dyDescent="0.25">
      <c r="A319" s="324"/>
      <c r="B319" s="265" t="s">
        <v>260</v>
      </c>
      <c r="C319" s="317"/>
      <c r="W319" s="48"/>
      <c r="Y319" s="294"/>
      <c r="Z319" s="48"/>
    </row>
    <row r="320" spans="1:26" ht="13" x14ac:dyDescent="0.3">
      <c r="A320" s="257" t="s">
        <v>161</v>
      </c>
      <c r="B320" s="252"/>
      <c r="C320" s="266"/>
      <c r="D320" s="263" t="s">
        <v>19</v>
      </c>
      <c r="E320" s="262" t="s">
        <v>58</v>
      </c>
      <c r="F320" s="263" t="s">
        <v>27</v>
      </c>
      <c r="G320" s="264" t="s">
        <v>34</v>
      </c>
      <c r="H320" s="253" t="s">
        <v>35</v>
      </c>
      <c r="I320" s="253" t="s">
        <v>34</v>
      </c>
      <c r="J320" s="264" t="s">
        <v>35</v>
      </c>
      <c r="K320" s="264" t="s">
        <v>38</v>
      </c>
      <c r="L320" s="264" t="s">
        <v>39</v>
      </c>
      <c r="M320" s="264" t="s">
        <v>41</v>
      </c>
      <c r="N320" s="264" t="s">
        <v>2</v>
      </c>
      <c r="O320" s="267" t="s">
        <v>179</v>
      </c>
      <c r="P320" s="276" t="s">
        <v>163</v>
      </c>
      <c r="Q320" s="276" t="s">
        <v>183</v>
      </c>
      <c r="R320" s="254"/>
      <c r="W320" s="48"/>
      <c r="Y320" s="295"/>
      <c r="Z320" s="294"/>
    </row>
    <row r="321" spans="1:26" x14ac:dyDescent="0.25">
      <c r="A321" s="16" t="s">
        <v>28</v>
      </c>
      <c r="B321" s="17" t="s">
        <v>225</v>
      </c>
      <c r="C321" s="40" t="s">
        <v>31</v>
      </c>
      <c r="D321" s="40" t="s">
        <v>30</v>
      </c>
      <c r="E321" s="40" t="s">
        <v>158</v>
      </c>
      <c r="F321" s="216" t="s">
        <v>55</v>
      </c>
      <c r="G321" s="256">
        <v>20358.802800000001</v>
      </c>
      <c r="H321" s="256">
        <v>21048.1751</v>
      </c>
      <c r="I321" s="192">
        <v>2.9009999999999998</v>
      </c>
      <c r="J321" s="192">
        <v>2.9009999999999998</v>
      </c>
      <c r="K321" s="256"/>
      <c r="L321" s="256"/>
      <c r="M321" s="256"/>
      <c r="N321" s="256"/>
      <c r="O321" s="200">
        <f t="shared" ref="O321:O322" si="160">G321*I321+H321*J321</f>
        <v>120121.6428879</v>
      </c>
      <c r="P321" s="198">
        <f>ROUND(37.24%*O321,2)</f>
        <v>44733.3</v>
      </c>
      <c r="Q321" s="198">
        <f t="shared" ref="Q321:Q322" si="161">ROUND(R321*P321,2)</f>
        <v>22366.65</v>
      </c>
      <c r="R321" s="199">
        <v>0.5</v>
      </c>
      <c r="W321" s="47"/>
      <c r="Y321" s="47"/>
    </row>
    <row r="322" spans="1:26" x14ac:dyDescent="0.25">
      <c r="A322" s="270" t="s">
        <v>28</v>
      </c>
      <c r="B322" s="279" t="str">
        <f>B321</f>
        <v>88 GAS -Pisco</v>
      </c>
      <c r="C322" s="280" t="s">
        <v>31</v>
      </c>
      <c r="D322" s="281" t="s">
        <v>185</v>
      </c>
      <c r="E322" s="281"/>
      <c r="F322" s="286" t="str">
        <f>F321</f>
        <v xml:space="preserve"> MM BTU</v>
      </c>
      <c r="G322" s="388">
        <f>+G321</f>
        <v>20358.802800000001</v>
      </c>
      <c r="H322" s="319">
        <f>+H321</f>
        <v>21048.1751</v>
      </c>
      <c r="I322" s="272">
        <v>2.9028</v>
      </c>
      <c r="J322" s="272">
        <v>2.9028</v>
      </c>
      <c r="K322" s="272"/>
      <c r="L322" s="272"/>
      <c r="M322" s="272"/>
      <c r="N322" s="271"/>
      <c r="O322" s="271">
        <f t="shared" si="160"/>
        <v>120196.17544812002</v>
      </c>
      <c r="P322" s="271">
        <f>ROUND(37.24%*O322,2)</f>
        <v>44761.06</v>
      </c>
      <c r="Q322" s="271">
        <f t="shared" si="161"/>
        <v>22380.53</v>
      </c>
      <c r="R322" s="154">
        <v>0.5</v>
      </c>
      <c r="W322" s="47"/>
      <c r="Y322" s="47"/>
      <c r="Z322" s="47"/>
    </row>
    <row r="323" spans="1:26" x14ac:dyDescent="0.25">
      <c r="A323" s="273"/>
      <c r="B323" s="282" t="s">
        <v>180</v>
      </c>
      <c r="C323" s="71"/>
      <c r="D323" s="165"/>
      <c r="E323" s="165"/>
      <c r="F323" s="273"/>
      <c r="G323" s="255">
        <f t="shared" ref="G323:Q323" si="162">G322-G321</f>
        <v>0</v>
      </c>
      <c r="H323" s="320">
        <f t="shared" si="162"/>
        <v>0</v>
      </c>
      <c r="I323" s="283">
        <f t="shared" si="162"/>
        <v>1.8000000000002458E-3</v>
      </c>
      <c r="J323" s="283">
        <f t="shared" si="162"/>
        <v>1.8000000000002458E-3</v>
      </c>
      <c r="K323" s="283">
        <f t="shared" si="162"/>
        <v>0</v>
      </c>
      <c r="L323" s="283">
        <f t="shared" si="162"/>
        <v>0</v>
      </c>
      <c r="M323" s="283">
        <f t="shared" si="162"/>
        <v>0</v>
      </c>
      <c r="N323" s="284">
        <f t="shared" si="162"/>
        <v>0</v>
      </c>
      <c r="O323" s="255">
        <f t="shared" si="162"/>
        <v>74.532560220017331</v>
      </c>
      <c r="P323" s="344">
        <f t="shared" si="162"/>
        <v>27.759999999994761</v>
      </c>
      <c r="Q323" s="255">
        <f t="shared" si="162"/>
        <v>13.879999999997381</v>
      </c>
      <c r="R323" s="345"/>
      <c r="S323" s="251" t="s">
        <v>181</v>
      </c>
      <c r="X323" s="47"/>
      <c r="Y323" s="47"/>
    </row>
    <row r="324" spans="1:26" x14ac:dyDescent="0.25">
      <c r="A324" s="96"/>
      <c r="B324" s="5"/>
      <c r="C324" s="96"/>
      <c r="D324" s="96"/>
      <c r="E324" s="96"/>
      <c r="F324" s="96"/>
      <c r="G324" s="366"/>
      <c r="H324" s="366"/>
      <c r="I324" s="387"/>
      <c r="J324" s="387"/>
      <c r="K324" s="367"/>
      <c r="L324" s="367"/>
      <c r="M324" s="367"/>
      <c r="N324" s="368"/>
      <c r="O324" s="366"/>
      <c r="P324" s="369"/>
      <c r="Q324" s="366"/>
      <c r="R324" s="370"/>
      <c r="S324" s="366"/>
      <c r="T324" s="4"/>
      <c r="U324" s="4"/>
      <c r="V324" s="4"/>
    </row>
    <row r="325" spans="1:26" x14ac:dyDescent="0.25">
      <c r="A325" s="324"/>
      <c r="B325" s="265" t="s">
        <v>261</v>
      </c>
      <c r="C325" s="317"/>
      <c r="W325" s="48"/>
      <c r="Y325" s="294"/>
      <c r="Z325" s="48"/>
    </row>
    <row r="326" spans="1:26" ht="13" x14ac:dyDescent="0.3">
      <c r="A326" s="257" t="s">
        <v>161</v>
      </c>
      <c r="B326" s="252"/>
      <c r="C326" s="266"/>
      <c r="D326" s="263" t="s">
        <v>19</v>
      </c>
      <c r="E326" s="262" t="s">
        <v>58</v>
      </c>
      <c r="F326" s="263" t="s">
        <v>27</v>
      </c>
      <c r="G326" s="264" t="s">
        <v>34</v>
      </c>
      <c r="H326" s="253" t="s">
        <v>35</v>
      </c>
      <c r="I326" s="253" t="s">
        <v>34</v>
      </c>
      <c r="J326" s="264" t="s">
        <v>35</v>
      </c>
      <c r="K326" s="264" t="s">
        <v>38</v>
      </c>
      <c r="L326" s="264" t="s">
        <v>39</v>
      </c>
      <c r="M326" s="264" t="s">
        <v>41</v>
      </c>
      <c r="N326" s="264" t="s">
        <v>2</v>
      </c>
      <c r="O326" s="267" t="s">
        <v>179</v>
      </c>
      <c r="P326" s="276" t="s">
        <v>163</v>
      </c>
      <c r="Q326" s="276" t="s">
        <v>183</v>
      </c>
      <c r="R326" s="254"/>
      <c r="W326" s="48"/>
      <c r="Y326" s="295"/>
      <c r="Z326" s="294"/>
    </row>
    <row r="327" spans="1:26" x14ac:dyDescent="0.25">
      <c r="A327" s="16" t="s">
        <v>28</v>
      </c>
      <c r="B327" s="17" t="s">
        <v>225</v>
      </c>
      <c r="C327" s="40" t="s">
        <v>31</v>
      </c>
      <c r="D327" s="40" t="s">
        <v>30</v>
      </c>
      <c r="E327" s="40" t="s">
        <v>158</v>
      </c>
      <c r="F327" s="216" t="s">
        <v>55</v>
      </c>
      <c r="G327" s="256">
        <v>21740.535800000001</v>
      </c>
      <c r="H327" s="256">
        <v>23870.67</v>
      </c>
      <c r="I327" s="192">
        <v>2.9045000000000001</v>
      </c>
      <c r="J327" s="192">
        <v>2.9045000000000001</v>
      </c>
      <c r="K327" s="256"/>
      <c r="L327" s="256"/>
      <c r="M327" s="256"/>
      <c r="N327" s="256"/>
      <c r="O327" s="200">
        <f t="shared" ref="O327:O328" si="163">G327*I327+H327*J327</f>
        <v>132477.74724610001</v>
      </c>
      <c r="P327" s="198">
        <f>ROUND(37.24%*O327,2)</f>
        <v>49334.71</v>
      </c>
      <c r="Q327" s="198">
        <f t="shared" ref="Q327:Q328" si="164">ROUND(R327*P327,2)</f>
        <v>24667.360000000001</v>
      </c>
      <c r="R327" s="199">
        <v>0.5</v>
      </c>
      <c r="W327" s="47"/>
      <c r="Y327" s="47"/>
    </row>
    <row r="328" spans="1:26" x14ac:dyDescent="0.25">
      <c r="A328" s="270" t="s">
        <v>28</v>
      </c>
      <c r="B328" s="279" t="str">
        <f>B327</f>
        <v>88 GAS -Pisco</v>
      </c>
      <c r="C328" s="280" t="s">
        <v>31</v>
      </c>
      <c r="D328" s="281" t="s">
        <v>185</v>
      </c>
      <c r="E328" s="281"/>
      <c r="F328" s="286" t="str">
        <f>F327</f>
        <v xml:space="preserve"> MM BTU</v>
      </c>
      <c r="G328" s="388">
        <f>+G327</f>
        <v>21740.535800000001</v>
      </c>
      <c r="H328" s="319">
        <f>+H327</f>
        <v>23870.67</v>
      </c>
      <c r="I328" s="272">
        <v>2.7416</v>
      </c>
      <c r="J328" s="272">
        <v>2.7416</v>
      </c>
      <c r="K328" s="272"/>
      <c r="L328" s="272"/>
      <c r="M328" s="272"/>
      <c r="N328" s="271"/>
      <c r="O328" s="271">
        <f t="shared" si="163"/>
        <v>125047.68182128001</v>
      </c>
      <c r="P328" s="271">
        <f>ROUND(37.24%*O328,2)</f>
        <v>46567.76</v>
      </c>
      <c r="Q328" s="271">
        <f t="shared" si="164"/>
        <v>23283.88</v>
      </c>
      <c r="R328" s="154">
        <v>0.5</v>
      </c>
      <c r="W328" s="47"/>
      <c r="Y328" s="47"/>
      <c r="Z328" s="47"/>
    </row>
    <row r="329" spans="1:26" x14ac:dyDescent="0.25">
      <c r="A329" s="273"/>
      <c r="B329" s="282" t="s">
        <v>180</v>
      </c>
      <c r="C329" s="71"/>
      <c r="D329" s="165"/>
      <c r="E329" s="165"/>
      <c r="F329" s="273"/>
      <c r="G329" s="255">
        <f t="shared" ref="G329:Q329" si="165">G328-G327</f>
        <v>0</v>
      </c>
      <c r="H329" s="320">
        <f t="shared" si="165"/>
        <v>0</v>
      </c>
      <c r="I329" s="283">
        <f t="shared" si="165"/>
        <v>-0.16290000000000004</v>
      </c>
      <c r="J329" s="283">
        <f t="shared" si="165"/>
        <v>-0.16290000000000004</v>
      </c>
      <c r="K329" s="283">
        <f t="shared" si="165"/>
        <v>0</v>
      </c>
      <c r="L329" s="283">
        <f t="shared" si="165"/>
        <v>0</v>
      </c>
      <c r="M329" s="283">
        <f t="shared" si="165"/>
        <v>0</v>
      </c>
      <c r="N329" s="284">
        <f t="shared" si="165"/>
        <v>0</v>
      </c>
      <c r="O329" s="255">
        <f t="shared" si="165"/>
        <v>-7430.0654248200008</v>
      </c>
      <c r="P329" s="344">
        <f t="shared" si="165"/>
        <v>-2766.9499999999971</v>
      </c>
      <c r="Q329" s="255">
        <f t="shared" si="165"/>
        <v>-1383.4799999999996</v>
      </c>
      <c r="R329" s="345"/>
      <c r="S329" s="251" t="s">
        <v>181</v>
      </c>
      <c r="X329" s="47"/>
      <c r="Y329" s="47"/>
    </row>
    <row r="330" spans="1:26" x14ac:dyDescent="0.25">
      <c r="A330" s="96"/>
      <c r="B330" s="5"/>
      <c r="C330" s="96"/>
      <c r="D330" s="96"/>
      <c r="E330" s="96"/>
      <c r="F330" s="96"/>
      <c r="G330" s="366"/>
      <c r="H330" s="366"/>
      <c r="I330" s="387"/>
      <c r="J330" s="387"/>
      <c r="K330" s="367"/>
      <c r="L330" s="367"/>
      <c r="M330" s="367"/>
      <c r="N330" s="368"/>
      <c r="O330" s="366"/>
      <c r="P330" s="369"/>
      <c r="Q330" s="366"/>
      <c r="R330" s="370"/>
      <c r="S330" s="366"/>
      <c r="T330" s="4"/>
      <c r="U330" s="4"/>
      <c r="V330" s="4"/>
    </row>
    <row r="331" spans="1:26" x14ac:dyDescent="0.25">
      <c r="A331" s="324"/>
      <c r="B331" s="265" t="s">
        <v>262</v>
      </c>
      <c r="C331" s="317"/>
      <c r="W331" s="48"/>
      <c r="Y331" s="294"/>
      <c r="Z331" s="48"/>
    </row>
    <row r="332" spans="1:26" ht="13" x14ac:dyDescent="0.3">
      <c r="A332" s="257" t="s">
        <v>161</v>
      </c>
      <c r="B332" s="252"/>
      <c r="C332" s="266"/>
      <c r="D332" s="263" t="s">
        <v>19</v>
      </c>
      <c r="E332" s="262" t="s">
        <v>58</v>
      </c>
      <c r="F332" s="263" t="s">
        <v>27</v>
      </c>
      <c r="G332" s="264" t="s">
        <v>34</v>
      </c>
      <c r="H332" s="253" t="s">
        <v>35</v>
      </c>
      <c r="I332" s="253" t="s">
        <v>34</v>
      </c>
      <c r="J332" s="264" t="s">
        <v>35</v>
      </c>
      <c r="K332" s="264" t="s">
        <v>38</v>
      </c>
      <c r="L332" s="264" t="s">
        <v>39</v>
      </c>
      <c r="M332" s="264" t="s">
        <v>41</v>
      </c>
      <c r="N332" s="264" t="s">
        <v>2</v>
      </c>
      <c r="O332" s="267" t="s">
        <v>179</v>
      </c>
      <c r="P332" s="276" t="s">
        <v>163</v>
      </c>
      <c r="Q332" s="276" t="s">
        <v>183</v>
      </c>
      <c r="R332" s="254"/>
      <c r="W332" s="48"/>
      <c r="Y332" s="295"/>
      <c r="Z332" s="294"/>
    </row>
    <row r="333" spans="1:26" x14ac:dyDescent="0.25">
      <c r="A333" s="16" t="s">
        <v>28</v>
      </c>
      <c r="B333" s="17" t="s">
        <v>225</v>
      </c>
      <c r="C333" s="40" t="s">
        <v>31</v>
      </c>
      <c r="D333" s="40" t="s">
        <v>30</v>
      </c>
      <c r="E333" s="40" t="s">
        <v>158</v>
      </c>
      <c r="F333" s="216" t="s">
        <v>55</v>
      </c>
      <c r="G333" s="256">
        <v>21161.37</v>
      </c>
      <c r="H333" s="256">
        <v>19015.93</v>
      </c>
      <c r="I333" s="192">
        <v>2.7404000000000002</v>
      </c>
      <c r="J333" s="192">
        <v>2.7404000000000002</v>
      </c>
      <c r="K333" s="256"/>
      <c r="L333" s="256"/>
      <c r="M333" s="256"/>
      <c r="N333" s="256"/>
      <c r="O333" s="200">
        <f t="shared" ref="O333:O334" si="166">G333*I333+H333*J333</f>
        <v>110101.87292000001</v>
      </c>
      <c r="P333" s="198">
        <f>ROUND(37.24%*O333,2)</f>
        <v>41001.94</v>
      </c>
      <c r="Q333" s="198">
        <f t="shared" ref="Q333:Q334" si="167">ROUND(R333*P333,2)</f>
        <v>20500.97</v>
      </c>
      <c r="R333" s="199">
        <v>0.5</v>
      </c>
      <c r="W333" s="47"/>
      <c r="Y333" s="47"/>
    </row>
    <row r="334" spans="1:26" x14ac:dyDescent="0.25">
      <c r="A334" s="270" t="s">
        <v>28</v>
      </c>
      <c r="B334" s="279" t="str">
        <f>B333</f>
        <v>88 GAS -Pisco</v>
      </c>
      <c r="C334" s="280" t="s">
        <v>31</v>
      </c>
      <c r="D334" s="281" t="s">
        <v>185</v>
      </c>
      <c r="E334" s="281"/>
      <c r="F334" s="286" t="str">
        <f>F333</f>
        <v xml:space="preserve"> MM BTU</v>
      </c>
      <c r="G334" s="388">
        <f>+G333</f>
        <v>21161.37</v>
      </c>
      <c r="H334" s="319">
        <f>+H333</f>
        <v>19015.93</v>
      </c>
      <c r="I334" s="272">
        <v>2.7776999999999998</v>
      </c>
      <c r="J334" s="272">
        <v>2.7776999999999998</v>
      </c>
      <c r="K334" s="272"/>
      <c r="L334" s="272"/>
      <c r="M334" s="272"/>
      <c r="N334" s="271"/>
      <c r="O334" s="271">
        <f t="shared" si="166"/>
        <v>111600.48621</v>
      </c>
      <c r="P334" s="271">
        <f>ROUND(37.24%*O334,2)</f>
        <v>41560.019999999997</v>
      </c>
      <c r="Q334" s="271">
        <f t="shared" si="167"/>
        <v>20780.009999999998</v>
      </c>
      <c r="R334" s="154">
        <v>0.5</v>
      </c>
      <c r="W334" s="47"/>
      <c r="Y334" s="47"/>
      <c r="Z334" s="47"/>
    </row>
    <row r="335" spans="1:26" x14ac:dyDescent="0.25">
      <c r="A335" s="273"/>
      <c r="B335" s="282" t="s">
        <v>180</v>
      </c>
      <c r="C335" s="71"/>
      <c r="D335" s="165"/>
      <c r="E335" s="165"/>
      <c r="F335" s="273"/>
      <c r="G335" s="255">
        <f t="shared" ref="G335:Q335" si="168">G334-G333</f>
        <v>0</v>
      </c>
      <c r="H335" s="320">
        <f t="shared" si="168"/>
        <v>0</v>
      </c>
      <c r="I335" s="283">
        <f t="shared" si="168"/>
        <v>3.7299999999999667E-2</v>
      </c>
      <c r="J335" s="283">
        <f t="shared" si="168"/>
        <v>3.7299999999999667E-2</v>
      </c>
      <c r="K335" s="283">
        <f t="shared" si="168"/>
        <v>0</v>
      </c>
      <c r="L335" s="283">
        <f t="shared" si="168"/>
        <v>0</v>
      </c>
      <c r="M335" s="283">
        <f t="shared" si="168"/>
        <v>0</v>
      </c>
      <c r="N335" s="284">
        <f t="shared" si="168"/>
        <v>0</v>
      </c>
      <c r="O335" s="255">
        <f t="shared" si="168"/>
        <v>1498.6132899999939</v>
      </c>
      <c r="P335" s="344">
        <f t="shared" si="168"/>
        <v>558.07999999999447</v>
      </c>
      <c r="Q335" s="255">
        <f t="shared" si="168"/>
        <v>279.03999999999724</v>
      </c>
      <c r="R335" s="345"/>
      <c r="S335" s="251" t="s">
        <v>181</v>
      </c>
      <c r="X335" s="47"/>
      <c r="Y335" s="47"/>
    </row>
    <row r="336" spans="1:26" x14ac:dyDescent="0.25">
      <c r="A336" s="96"/>
      <c r="B336" s="5"/>
      <c r="C336" s="96"/>
      <c r="D336" s="96"/>
      <c r="E336" s="96"/>
      <c r="F336" s="96"/>
      <c r="G336" s="366"/>
      <c r="H336" s="366"/>
      <c r="I336" s="387"/>
      <c r="J336" s="387"/>
      <c r="K336" s="367"/>
      <c r="L336" s="367"/>
      <c r="M336" s="367"/>
      <c r="N336" s="368"/>
      <c r="O336" s="366"/>
      <c r="P336" s="369"/>
      <c r="Q336" s="366"/>
      <c r="R336" s="370"/>
      <c r="S336" s="366"/>
      <c r="T336" s="4"/>
      <c r="U336" s="4"/>
      <c r="V336" s="4"/>
    </row>
    <row r="337" spans="1:26" x14ac:dyDescent="0.25">
      <c r="A337" s="324"/>
      <c r="B337" s="265" t="s">
        <v>263</v>
      </c>
      <c r="C337" s="317"/>
      <c r="W337" s="48"/>
      <c r="Y337" s="294"/>
      <c r="Z337" s="48"/>
    </row>
    <row r="338" spans="1:26" ht="13" x14ac:dyDescent="0.3">
      <c r="A338" s="257" t="s">
        <v>161</v>
      </c>
      <c r="B338" s="252"/>
      <c r="C338" s="266"/>
      <c r="D338" s="263" t="s">
        <v>19</v>
      </c>
      <c r="E338" s="262" t="s">
        <v>58</v>
      </c>
      <c r="F338" s="263" t="s">
        <v>27</v>
      </c>
      <c r="G338" s="264" t="s">
        <v>34</v>
      </c>
      <c r="H338" s="253" t="s">
        <v>35</v>
      </c>
      <c r="I338" s="253" t="s">
        <v>34</v>
      </c>
      <c r="J338" s="264" t="s">
        <v>35</v>
      </c>
      <c r="K338" s="264" t="s">
        <v>38</v>
      </c>
      <c r="L338" s="264" t="s">
        <v>39</v>
      </c>
      <c r="M338" s="264" t="s">
        <v>41</v>
      </c>
      <c r="N338" s="264" t="s">
        <v>2</v>
      </c>
      <c r="O338" s="267" t="s">
        <v>179</v>
      </c>
      <c r="P338" s="276" t="s">
        <v>163</v>
      </c>
      <c r="Q338" s="276" t="s">
        <v>183</v>
      </c>
      <c r="R338" s="254"/>
      <c r="W338" s="48"/>
      <c r="Y338" s="295"/>
      <c r="Z338" s="294"/>
    </row>
    <row r="339" spans="1:26" x14ac:dyDescent="0.25">
      <c r="A339" s="16" t="s">
        <v>28</v>
      </c>
      <c r="B339" s="17" t="s">
        <v>225</v>
      </c>
      <c r="C339" s="40" t="s">
        <v>31</v>
      </c>
      <c r="D339" s="40" t="s">
        <v>30</v>
      </c>
      <c r="E339" s="40" t="s">
        <v>158</v>
      </c>
      <c r="F339" s="216" t="s">
        <v>55</v>
      </c>
      <c r="G339" s="256">
        <v>24645.119999999999</v>
      </c>
      <c r="H339" s="256">
        <v>19268.77</v>
      </c>
      <c r="I339" s="192">
        <v>2.7789999999999999</v>
      </c>
      <c r="J339" s="192">
        <v>2.7789999999999999</v>
      </c>
      <c r="K339" s="256"/>
      <c r="L339" s="256"/>
      <c r="M339" s="256"/>
      <c r="N339" s="256"/>
      <c r="O339" s="200">
        <f t="shared" ref="O339:O340" si="169">G339*I339+H339*J339</f>
        <v>122036.70030999999</v>
      </c>
      <c r="P339" s="198">
        <f>ROUND(37.24%*O339,2)</f>
        <v>45446.47</v>
      </c>
      <c r="Q339" s="198">
        <f t="shared" ref="Q339:Q340" si="170">ROUND(R339*P339,2)</f>
        <v>22723.24</v>
      </c>
      <c r="R339" s="199">
        <v>0.5</v>
      </c>
      <c r="W339" s="47"/>
      <c r="Y339" s="47"/>
    </row>
    <row r="340" spans="1:26" x14ac:dyDescent="0.25">
      <c r="A340" s="270" t="s">
        <v>28</v>
      </c>
      <c r="B340" s="279" t="str">
        <f>B339</f>
        <v>88 GAS -Pisco</v>
      </c>
      <c r="C340" s="280" t="s">
        <v>31</v>
      </c>
      <c r="D340" s="281" t="s">
        <v>185</v>
      </c>
      <c r="E340" s="281"/>
      <c r="F340" s="286" t="str">
        <f>F339</f>
        <v xml:space="preserve"> MM BTU</v>
      </c>
      <c r="G340" s="388">
        <f>+G339</f>
        <v>24645.119999999999</v>
      </c>
      <c r="H340" s="319">
        <f>+H339</f>
        <v>19268.77</v>
      </c>
      <c r="I340" s="272">
        <v>2.7776000000000001</v>
      </c>
      <c r="J340" s="272">
        <v>2.7776000000000001</v>
      </c>
      <c r="K340" s="272"/>
      <c r="L340" s="272"/>
      <c r="M340" s="272"/>
      <c r="N340" s="271"/>
      <c r="O340" s="271">
        <f t="shared" si="169"/>
        <v>121975.220864</v>
      </c>
      <c r="P340" s="271">
        <f>ROUND(37.24%*O340,2)</f>
        <v>45423.57</v>
      </c>
      <c r="Q340" s="271">
        <f t="shared" si="170"/>
        <v>22711.79</v>
      </c>
      <c r="R340" s="154">
        <v>0.5</v>
      </c>
      <c r="W340" s="47"/>
      <c r="Y340" s="47"/>
      <c r="Z340" s="47"/>
    </row>
    <row r="341" spans="1:26" x14ac:dyDescent="0.25">
      <c r="A341" s="273"/>
      <c r="B341" s="282" t="s">
        <v>180</v>
      </c>
      <c r="C341" s="71"/>
      <c r="D341" s="165"/>
      <c r="E341" s="165"/>
      <c r="F341" s="273"/>
      <c r="G341" s="255">
        <f t="shared" ref="G341:Q341" si="171">G340-G339</f>
        <v>0</v>
      </c>
      <c r="H341" s="320">
        <f t="shared" si="171"/>
        <v>0</v>
      </c>
      <c r="I341" s="283">
        <f t="shared" si="171"/>
        <v>-1.3999999999998458E-3</v>
      </c>
      <c r="J341" s="283">
        <f t="shared" si="171"/>
        <v>-1.3999999999998458E-3</v>
      </c>
      <c r="K341" s="283">
        <f t="shared" si="171"/>
        <v>0</v>
      </c>
      <c r="L341" s="283">
        <f t="shared" si="171"/>
        <v>0</v>
      </c>
      <c r="M341" s="283">
        <f t="shared" si="171"/>
        <v>0</v>
      </c>
      <c r="N341" s="284">
        <f t="shared" si="171"/>
        <v>0</v>
      </c>
      <c r="O341" s="255">
        <f t="shared" si="171"/>
        <v>-61.479445999983</v>
      </c>
      <c r="P341" s="344">
        <f t="shared" si="171"/>
        <v>-22.900000000001455</v>
      </c>
      <c r="Q341" s="255">
        <f t="shared" si="171"/>
        <v>-11.450000000000728</v>
      </c>
      <c r="R341" s="345"/>
      <c r="S341" s="251" t="s">
        <v>181</v>
      </c>
      <c r="X341" s="47"/>
      <c r="Y341" s="47"/>
    </row>
    <row r="342" spans="1:26" x14ac:dyDescent="0.25">
      <c r="A342" s="96"/>
      <c r="B342" s="5"/>
      <c r="C342" s="96"/>
      <c r="D342" s="96"/>
      <c r="E342" s="96"/>
      <c r="F342" s="96"/>
      <c r="G342" s="366"/>
      <c r="H342" s="366"/>
      <c r="I342" s="387"/>
      <c r="J342" s="387"/>
      <c r="K342" s="367"/>
      <c r="L342" s="367"/>
      <c r="M342" s="367"/>
      <c r="N342" s="368"/>
      <c r="O342" s="366"/>
      <c r="P342" s="369"/>
      <c r="Q342" s="366"/>
      <c r="R342" s="370"/>
      <c r="S342" s="366"/>
      <c r="T342" s="4"/>
      <c r="U342" s="4"/>
      <c r="V342" s="4"/>
    </row>
    <row r="343" spans="1:26" x14ac:dyDescent="0.25">
      <c r="A343" s="324"/>
      <c r="B343" s="265" t="s">
        <v>264</v>
      </c>
      <c r="C343" s="317"/>
      <c r="W343" s="48"/>
      <c r="Y343" s="294"/>
      <c r="Z343" s="48"/>
    </row>
    <row r="344" spans="1:26" ht="13" x14ac:dyDescent="0.3">
      <c r="A344" s="257" t="s">
        <v>161</v>
      </c>
      <c r="B344" s="252"/>
      <c r="C344" s="266"/>
      <c r="D344" s="263" t="s">
        <v>19</v>
      </c>
      <c r="E344" s="262" t="s">
        <v>58</v>
      </c>
      <c r="F344" s="263" t="s">
        <v>27</v>
      </c>
      <c r="G344" s="264" t="s">
        <v>34</v>
      </c>
      <c r="H344" s="253" t="s">
        <v>35</v>
      </c>
      <c r="I344" s="253" t="s">
        <v>34</v>
      </c>
      <c r="J344" s="264" t="s">
        <v>35</v>
      </c>
      <c r="K344" s="264" t="s">
        <v>38</v>
      </c>
      <c r="L344" s="264" t="s">
        <v>39</v>
      </c>
      <c r="M344" s="264" t="s">
        <v>41</v>
      </c>
      <c r="N344" s="264" t="s">
        <v>2</v>
      </c>
      <c r="O344" s="267" t="s">
        <v>179</v>
      </c>
      <c r="P344" s="276" t="s">
        <v>163</v>
      </c>
      <c r="Q344" s="276" t="s">
        <v>183</v>
      </c>
      <c r="R344" s="254"/>
      <c r="W344" s="48"/>
      <c r="Y344" s="295"/>
      <c r="Z344" s="294"/>
    </row>
    <row r="345" spans="1:26" x14ac:dyDescent="0.25">
      <c r="A345" s="16" t="s">
        <v>28</v>
      </c>
      <c r="B345" s="17" t="s">
        <v>225</v>
      </c>
      <c r="C345" s="40" t="s">
        <v>31</v>
      </c>
      <c r="D345" s="40" t="s">
        <v>30</v>
      </c>
      <c r="E345" s="40" t="s">
        <v>158</v>
      </c>
      <c r="F345" s="216" t="s">
        <v>55</v>
      </c>
      <c r="G345" s="256">
        <v>22059.93</v>
      </c>
      <c r="H345" s="256">
        <v>18955.97</v>
      </c>
      <c r="I345" s="192">
        <v>2.7774000000000001</v>
      </c>
      <c r="J345" s="192">
        <v>2.7774000000000001</v>
      </c>
      <c r="K345" s="256"/>
      <c r="L345" s="256"/>
      <c r="M345" s="256"/>
      <c r="N345" s="256"/>
      <c r="O345" s="200">
        <f t="shared" ref="O345:O346" si="172">G345*I345+H345*J345</f>
        <v>113917.56066000002</v>
      </c>
      <c r="P345" s="198">
        <f>ROUND(37.24%*O345,2)</f>
        <v>42422.9</v>
      </c>
      <c r="Q345" s="198">
        <f t="shared" ref="Q345:Q346" si="173">ROUND(R345*P345,2)</f>
        <v>21211.45</v>
      </c>
      <c r="R345" s="199">
        <v>0.5</v>
      </c>
      <c r="W345" s="47"/>
      <c r="Y345" s="47"/>
    </row>
    <row r="346" spans="1:26" x14ac:dyDescent="0.25">
      <c r="A346" s="270" t="s">
        <v>28</v>
      </c>
      <c r="B346" s="279" t="str">
        <f>B345</f>
        <v>88 GAS -Pisco</v>
      </c>
      <c r="C346" s="280" t="s">
        <v>31</v>
      </c>
      <c r="D346" s="281" t="s">
        <v>185</v>
      </c>
      <c r="E346" s="281"/>
      <c r="F346" s="286" t="str">
        <f>F345</f>
        <v xml:space="preserve"> MM BTU</v>
      </c>
      <c r="G346" s="388">
        <f>+G345</f>
        <v>22059.93</v>
      </c>
      <c r="H346" s="319">
        <f>+H345</f>
        <v>18955.97</v>
      </c>
      <c r="I346" s="272">
        <v>2.7519</v>
      </c>
      <c r="J346" s="272">
        <v>2.7519</v>
      </c>
      <c r="K346" s="272"/>
      <c r="L346" s="272"/>
      <c r="M346" s="272"/>
      <c r="N346" s="271"/>
      <c r="O346" s="271">
        <f t="shared" si="172"/>
        <v>112871.65521</v>
      </c>
      <c r="P346" s="271">
        <f>ROUND(37.24%*O346,2)</f>
        <v>42033.4</v>
      </c>
      <c r="Q346" s="271">
        <f t="shared" si="173"/>
        <v>21016.7</v>
      </c>
      <c r="R346" s="154">
        <v>0.5</v>
      </c>
      <c r="W346" s="47"/>
      <c r="Y346" s="47"/>
      <c r="Z346" s="47"/>
    </row>
    <row r="347" spans="1:26" x14ac:dyDescent="0.25">
      <c r="A347" s="273"/>
      <c r="B347" s="282" t="s">
        <v>180</v>
      </c>
      <c r="C347" s="71"/>
      <c r="D347" s="165"/>
      <c r="E347" s="165"/>
      <c r="F347" s="273"/>
      <c r="G347" s="255">
        <f t="shared" ref="G347:Q347" si="174">G346-G345</f>
        <v>0</v>
      </c>
      <c r="H347" s="320">
        <f t="shared" si="174"/>
        <v>0</v>
      </c>
      <c r="I347" s="283">
        <f t="shared" si="174"/>
        <v>-2.5500000000000078E-2</v>
      </c>
      <c r="J347" s="283">
        <f t="shared" si="174"/>
        <v>-2.5500000000000078E-2</v>
      </c>
      <c r="K347" s="283">
        <f t="shared" si="174"/>
        <v>0</v>
      </c>
      <c r="L347" s="283">
        <f t="shared" si="174"/>
        <v>0</v>
      </c>
      <c r="M347" s="283">
        <f t="shared" si="174"/>
        <v>0</v>
      </c>
      <c r="N347" s="284">
        <f t="shared" si="174"/>
        <v>0</v>
      </c>
      <c r="O347" s="255">
        <f t="shared" si="174"/>
        <v>-1045.9054500000202</v>
      </c>
      <c r="P347" s="344">
        <f t="shared" si="174"/>
        <v>-389.5</v>
      </c>
      <c r="Q347" s="255">
        <f t="shared" si="174"/>
        <v>-194.75</v>
      </c>
      <c r="R347" s="345"/>
      <c r="S347" s="251" t="s">
        <v>181</v>
      </c>
      <c r="X347" s="47"/>
      <c r="Y347" s="47"/>
    </row>
    <row r="348" spans="1:26" x14ac:dyDescent="0.25">
      <c r="A348" s="96"/>
      <c r="B348" s="5"/>
      <c r="C348" s="96"/>
      <c r="D348" s="96"/>
      <c r="E348" s="96"/>
      <c r="F348" s="96"/>
      <c r="G348" s="366"/>
      <c r="H348" s="366"/>
      <c r="I348" s="387"/>
      <c r="J348" s="387"/>
      <c r="K348" s="367"/>
      <c r="L348" s="367"/>
      <c r="M348" s="367"/>
      <c r="N348" s="368"/>
      <c r="O348" s="366"/>
      <c r="P348" s="369"/>
      <c r="Q348" s="366"/>
      <c r="R348" s="370"/>
      <c r="S348" s="366"/>
      <c r="T348" s="4"/>
      <c r="U348" s="4"/>
      <c r="V348" s="4"/>
    </row>
    <row r="349" spans="1:26" x14ac:dyDescent="0.25">
      <c r="A349" s="324"/>
      <c r="B349" s="265" t="s">
        <v>265</v>
      </c>
      <c r="C349" s="317"/>
      <c r="W349" s="48"/>
      <c r="Y349" s="294"/>
      <c r="Z349" s="48"/>
    </row>
    <row r="350" spans="1:26" ht="13" x14ac:dyDescent="0.3">
      <c r="A350" s="257" t="s">
        <v>161</v>
      </c>
      <c r="B350" s="252"/>
      <c r="C350" s="266"/>
      <c r="D350" s="263" t="s">
        <v>19</v>
      </c>
      <c r="E350" s="262" t="s">
        <v>58</v>
      </c>
      <c r="F350" s="263" t="s">
        <v>27</v>
      </c>
      <c r="G350" s="264" t="s">
        <v>34</v>
      </c>
      <c r="H350" s="253" t="s">
        <v>35</v>
      </c>
      <c r="I350" s="253" t="s">
        <v>34</v>
      </c>
      <c r="J350" s="264" t="s">
        <v>35</v>
      </c>
      <c r="K350" s="264" t="s">
        <v>38</v>
      </c>
      <c r="L350" s="264" t="s">
        <v>39</v>
      </c>
      <c r="M350" s="264" t="s">
        <v>41</v>
      </c>
      <c r="N350" s="264" t="s">
        <v>2</v>
      </c>
      <c r="O350" s="267" t="s">
        <v>179</v>
      </c>
      <c r="P350" s="276" t="s">
        <v>163</v>
      </c>
      <c r="Q350" s="276" t="s">
        <v>183</v>
      </c>
      <c r="R350" s="254"/>
      <c r="W350" s="48"/>
      <c r="Y350" s="295"/>
      <c r="Z350" s="294"/>
    </row>
    <row r="351" spans="1:26" x14ac:dyDescent="0.25">
      <c r="A351" s="16" t="s">
        <v>28</v>
      </c>
      <c r="B351" s="17" t="s">
        <v>225</v>
      </c>
      <c r="C351" s="40" t="s">
        <v>31</v>
      </c>
      <c r="D351" s="40" t="s">
        <v>30</v>
      </c>
      <c r="E351" s="40" t="s">
        <v>158</v>
      </c>
      <c r="F351" s="216" t="s">
        <v>55</v>
      </c>
      <c r="G351" s="256">
        <v>23375.038799999998</v>
      </c>
      <c r="H351" s="256">
        <v>17210.830000000002</v>
      </c>
      <c r="I351" s="192">
        <v>2.7538999999999998</v>
      </c>
      <c r="J351" s="192">
        <v>2.7538999999999998</v>
      </c>
      <c r="K351" s="256"/>
      <c r="L351" s="256"/>
      <c r="M351" s="256"/>
      <c r="N351" s="256"/>
      <c r="O351" s="200">
        <f t="shared" ref="O351:O352" si="175">G351*I351+H351*J351</f>
        <v>111769.42408832</v>
      </c>
      <c r="P351" s="198">
        <f>ROUND(37.24%*O351,2)</f>
        <v>41622.93</v>
      </c>
      <c r="Q351" s="198">
        <f t="shared" ref="Q351:Q352" si="176">ROUND(R351*P351,2)</f>
        <v>20811.47</v>
      </c>
      <c r="R351" s="199">
        <v>0.5</v>
      </c>
      <c r="W351" s="47"/>
      <c r="Y351" s="47"/>
    </row>
    <row r="352" spans="1:26" x14ac:dyDescent="0.25">
      <c r="A352" s="270" t="s">
        <v>28</v>
      </c>
      <c r="B352" s="279" t="str">
        <f>B351</f>
        <v>88 GAS -Pisco</v>
      </c>
      <c r="C352" s="280" t="s">
        <v>31</v>
      </c>
      <c r="D352" s="281" t="s">
        <v>185</v>
      </c>
      <c r="E352" s="281"/>
      <c r="F352" s="286" t="str">
        <f>F351</f>
        <v xml:space="preserve"> MM BTU</v>
      </c>
      <c r="G352" s="388">
        <f>+G351</f>
        <v>23375.038799999998</v>
      </c>
      <c r="H352" s="319">
        <f>+H351</f>
        <v>17210.830000000002</v>
      </c>
      <c r="I352" s="272">
        <v>2.6956000000000002</v>
      </c>
      <c r="J352" s="272">
        <v>2.6956000000000002</v>
      </c>
      <c r="K352" s="272"/>
      <c r="L352" s="272"/>
      <c r="M352" s="272"/>
      <c r="N352" s="271"/>
      <c r="O352" s="271">
        <f t="shared" si="175"/>
        <v>109403.26793728</v>
      </c>
      <c r="P352" s="271">
        <f>ROUND(37.24%*O352,2)</f>
        <v>40741.78</v>
      </c>
      <c r="Q352" s="271">
        <f t="shared" si="176"/>
        <v>20370.89</v>
      </c>
      <c r="R352" s="154">
        <v>0.5</v>
      </c>
      <c r="W352" s="47"/>
      <c r="Y352" s="47"/>
      <c r="Z352" s="47"/>
    </row>
    <row r="353" spans="1:26" x14ac:dyDescent="0.25">
      <c r="A353" s="273"/>
      <c r="B353" s="282" t="s">
        <v>180</v>
      </c>
      <c r="C353" s="71"/>
      <c r="D353" s="165"/>
      <c r="E353" s="165"/>
      <c r="F353" s="273"/>
      <c r="G353" s="255">
        <f t="shared" ref="G353:Q353" si="177">G352-G351</f>
        <v>0</v>
      </c>
      <c r="H353" s="320">
        <f t="shared" si="177"/>
        <v>0</v>
      </c>
      <c r="I353" s="283">
        <f t="shared" si="177"/>
        <v>-5.8299999999999574E-2</v>
      </c>
      <c r="J353" s="283">
        <f t="shared" si="177"/>
        <v>-5.8299999999999574E-2</v>
      </c>
      <c r="K353" s="283">
        <f t="shared" si="177"/>
        <v>0</v>
      </c>
      <c r="L353" s="283">
        <f t="shared" si="177"/>
        <v>0</v>
      </c>
      <c r="M353" s="283">
        <f t="shared" si="177"/>
        <v>0</v>
      </c>
      <c r="N353" s="284">
        <f t="shared" si="177"/>
        <v>0</v>
      </c>
      <c r="O353" s="255">
        <f t="shared" si="177"/>
        <v>-2366.1561510399915</v>
      </c>
      <c r="P353" s="344">
        <f t="shared" si="177"/>
        <v>-881.15000000000146</v>
      </c>
      <c r="Q353" s="255">
        <f t="shared" si="177"/>
        <v>-440.58000000000175</v>
      </c>
      <c r="R353" s="345"/>
      <c r="S353" s="251" t="s">
        <v>181</v>
      </c>
      <c r="X353" s="47"/>
      <c r="Y353" s="47"/>
    </row>
    <row r="354" spans="1:26" x14ac:dyDescent="0.25">
      <c r="A354" s="96"/>
      <c r="B354" s="5"/>
      <c r="C354" s="96"/>
      <c r="D354" s="96"/>
      <c r="E354" s="96"/>
      <c r="F354" s="96"/>
      <c r="G354" s="366"/>
      <c r="H354" s="366"/>
      <c r="I354" s="387"/>
      <c r="J354" s="387"/>
      <c r="K354" s="367"/>
      <c r="L354" s="367"/>
      <c r="M354" s="367"/>
      <c r="N354" s="368"/>
      <c r="O354" s="366"/>
      <c r="P354" s="369"/>
      <c r="Q354" s="366"/>
      <c r="R354" s="370"/>
      <c r="S354" s="366"/>
      <c r="T354" s="4"/>
      <c r="U354" s="4"/>
      <c r="V354" s="4"/>
    </row>
    <row r="355" spans="1:26" x14ac:dyDescent="0.25">
      <c r="A355" s="324"/>
      <c r="B355" s="265" t="s">
        <v>266</v>
      </c>
      <c r="C355" s="317"/>
      <c r="W355" s="48"/>
      <c r="Y355" s="294"/>
      <c r="Z355" s="48"/>
    </row>
    <row r="356" spans="1:26" ht="13" x14ac:dyDescent="0.3">
      <c r="A356" s="257" t="s">
        <v>161</v>
      </c>
      <c r="B356" s="252"/>
      <c r="C356" s="266"/>
      <c r="D356" s="263" t="s">
        <v>19</v>
      </c>
      <c r="E356" s="262" t="s">
        <v>58</v>
      </c>
      <c r="F356" s="263" t="s">
        <v>27</v>
      </c>
      <c r="G356" s="264" t="s">
        <v>34</v>
      </c>
      <c r="H356" s="253" t="s">
        <v>35</v>
      </c>
      <c r="I356" s="253" t="s">
        <v>34</v>
      </c>
      <c r="J356" s="264" t="s">
        <v>35</v>
      </c>
      <c r="K356" s="264" t="s">
        <v>38</v>
      </c>
      <c r="L356" s="264" t="s">
        <v>39</v>
      </c>
      <c r="M356" s="264" t="s">
        <v>41</v>
      </c>
      <c r="N356" s="264" t="s">
        <v>2</v>
      </c>
      <c r="O356" s="267" t="s">
        <v>179</v>
      </c>
      <c r="P356" s="276" t="s">
        <v>163</v>
      </c>
      <c r="Q356" s="276" t="s">
        <v>183</v>
      </c>
      <c r="R356" s="254"/>
      <c r="W356" s="48"/>
      <c r="Y356" s="295"/>
      <c r="Z356" s="294"/>
    </row>
    <row r="357" spans="1:26" x14ac:dyDescent="0.25">
      <c r="A357" s="16" t="s">
        <v>28</v>
      </c>
      <c r="B357" s="17" t="s">
        <v>225</v>
      </c>
      <c r="C357" s="40" t="s">
        <v>31</v>
      </c>
      <c r="D357" s="40" t="s">
        <v>30</v>
      </c>
      <c r="E357" s="40" t="s">
        <v>158</v>
      </c>
      <c r="F357" s="216" t="s">
        <v>55</v>
      </c>
      <c r="G357" s="256">
        <v>18906.919999999998</v>
      </c>
      <c r="H357" s="256">
        <v>23031.4</v>
      </c>
      <c r="I357" s="192">
        <v>2.6966000000000001</v>
      </c>
      <c r="J357" s="192">
        <v>2.6966000000000001</v>
      </c>
      <c r="K357" s="256"/>
      <c r="L357" s="256"/>
      <c r="M357" s="256"/>
      <c r="N357" s="256"/>
      <c r="O357" s="200">
        <f t="shared" ref="O357:O358" si="178">G357*I357+H357*J357</f>
        <v>113090.873712</v>
      </c>
      <c r="P357" s="198">
        <f>ROUND(37.24%*O357,2)</f>
        <v>42115.040000000001</v>
      </c>
      <c r="Q357" s="198">
        <f t="shared" ref="Q357:Q358" si="179">ROUND(R357*P357,2)</f>
        <v>21057.52</v>
      </c>
      <c r="R357" s="199">
        <v>0.5</v>
      </c>
      <c r="W357" s="47"/>
      <c r="Y357" s="47"/>
    </row>
    <row r="358" spans="1:26" x14ac:dyDescent="0.25">
      <c r="A358" s="270" t="s">
        <v>28</v>
      </c>
      <c r="B358" s="279" t="str">
        <f>B357</f>
        <v>88 GAS -Pisco</v>
      </c>
      <c r="C358" s="280" t="s">
        <v>31</v>
      </c>
      <c r="D358" s="281" t="s">
        <v>185</v>
      </c>
      <c r="E358" s="281"/>
      <c r="F358" s="286" t="str">
        <f>F357</f>
        <v xml:space="preserve"> MM BTU</v>
      </c>
      <c r="G358" s="388">
        <f>+G357</f>
        <v>18906.919999999998</v>
      </c>
      <c r="H358" s="319">
        <f>+H357</f>
        <v>23031.4</v>
      </c>
      <c r="I358" s="272">
        <v>2.7118000000000002</v>
      </c>
      <c r="J358" s="272">
        <v>2.7118000000000002</v>
      </c>
      <c r="K358" s="272"/>
      <c r="L358" s="272"/>
      <c r="M358" s="272"/>
      <c r="N358" s="271"/>
      <c r="O358" s="271">
        <f t="shared" si="178"/>
        <v>113728.33617600001</v>
      </c>
      <c r="P358" s="271">
        <f>ROUND(37.24%*O358,2)</f>
        <v>42352.43</v>
      </c>
      <c r="Q358" s="271">
        <f t="shared" si="179"/>
        <v>21176.22</v>
      </c>
      <c r="R358" s="154">
        <v>0.5</v>
      </c>
      <c r="W358" s="47"/>
      <c r="Y358" s="47"/>
      <c r="Z358" s="47"/>
    </row>
    <row r="359" spans="1:26" x14ac:dyDescent="0.25">
      <c r="A359" s="273"/>
      <c r="B359" s="282" t="s">
        <v>180</v>
      </c>
      <c r="C359" s="71"/>
      <c r="D359" s="165"/>
      <c r="E359" s="165"/>
      <c r="F359" s="273"/>
      <c r="G359" s="255">
        <f t="shared" ref="G359:Q359" si="180">G358-G357</f>
        <v>0</v>
      </c>
      <c r="H359" s="320">
        <f t="shared" si="180"/>
        <v>0</v>
      </c>
      <c r="I359" s="283">
        <f t="shared" si="180"/>
        <v>1.5200000000000102E-2</v>
      </c>
      <c r="J359" s="283">
        <f t="shared" si="180"/>
        <v>1.5200000000000102E-2</v>
      </c>
      <c r="K359" s="283">
        <f t="shared" si="180"/>
        <v>0</v>
      </c>
      <c r="L359" s="283">
        <f t="shared" si="180"/>
        <v>0</v>
      </c>
      <c r="M359" s="283">
        <f t="shared" si="180"/>
        <v>0</v>
      </c>
      <c r="N359" s="284">
        <f t="shared" si="180"/>
        <v>0</v>
      </c>
      <c r="O359" s="255">
        <f t="shared" si="180"/>
        <v>637.4624640000111</v>
      </c>
      <c r="P359" s="344">
        <f t="shared" si="180"/>
        <v>237.38999999999942</v>
      </c>
      <c r="Q359" s="255">
        <f t="shared" si="180"/>
        <v>118.70000000000073</v>
      </c>
      <c r="R359" s="345"/>
      <c r="S359" s="251" t="s">
        <v>181</v>
      </c>
      <c r="X359" s="47"/>
      <c r="Y359" s="47"/>
    </row>
    <row r="360" spans="1:26" x14ac:dyDescent="0.25">
      <c r="A360" s="96"/>
      <c r="B360" s="5"/>
      <c r="C360" s="96"/>
      <c r="D360" s="96"/>
      <c r="E360" s="96"/>
      <c r="F360" s="96"/>
      <c r="G360" s="366"/>
      <c r="H360" s="366"/>
      <c r="I360" s="387"/>
      <c r="J360" s="387"/>
      <c r="K360" s="367"/>
      <c r="L360" s="367"/>
      <c r="M360" s="367"/>
      <c r="N360" s="368"/>
      <c r="O360" s="366"/>
      <c r="P360" s="369"/>
      <c r="Q360" s="366"/>
      <c r="R360" s="370"/>
      <c r="S360" s="366"/>
      <c r="T360" s="4"/>
      <c r="U360" s="4"/>
      <c r="V360" s="4"/>
    </row>
    <row r="361" spans="1:26" x14ac:dyDescent="0.25">
      <c r="A361" s="324"/>
      <c r="B361" s="265" t="s">
        <v>267</v>
      </c>
      <c r="C361" s="317"/>
      <c r="W361" s="48"/>
      <c r="Y361" s="294"/>
      <c r="Z361" s="48"/>
    </row>
    <row r="362" spans="1:26" ht="13" x14ac:dyDescent="0.3">
      <c r="A362" s="257" t="s">
        <v>161</v>
      </c>
      <c r="B362" s="252"/>
      <c r="C362" s="266"/>
      <c r="D362" s="263" t="s">
        <v>19</v>
      </c>
      <c r="E362" s="262" t="s">
        <v>58</v>
      </c>
      <c r="F362" s="263" t="s">
        <v>27</v>
      </c>
      <c r="G362" s="264" t="s">
        <v>34</v>
      </c>
      <c r="H362" s="253" t="s">
        <v>35</v>
      </c>
      <c r="I362" s="253" t="s">
        <v>34</v>
      </c>
      <c r="J362" s="264" t="s">
        <v>35</v>
      </c>
      <c r="K362" s="264" t="s">
        <v>38</v>
      </c>
      <c r="L362" s="264" t="s">
        <v>39</v>
      </c>
      <c r="M362" s="264" t="s">
        <v>41</v>
      </c>
      <c r="N362" s="264" t="s">
        <v>2</v>
      </c>
      <c r="O362" s="267" t="s">
        <v>179</v>
      </c>
      <c r="P362" s="276" t="s">
        <v>163</v>
      </c>
      <c r="Q362" s="276" t="s">
        <v>183</v>
      </c>
      <c r="R362" s="254"/>
      <c r="W362" s="48"/>
      <c r="Y362" s="295"/>
      <c r="Z362" s="294"/>
    </row>
    <row r="363" spans="1:26" x14ac:dyDescent="0.25">
      <c r="A363" s="16" t="s">
        <v>28</v>
      </c>
      <c r="B363" s="17" t="s">
        <v>225</v>
      </c>
      <c r="C363" s="40" t="s">
        <v>31</v>
      </c>
      <c r="D363" s="40" t="s">
        <v>30</v>
      </c>
      <c r="E363" s="40" t="s">
        <v>158</v>
      </c>
      <c r="F363" s="216" t="s">
        <v>55</v>
      </c>
      <c r="G363" s="256">
        <v>18456.39</v>
      </c>
      <c r="H363" s="256">
        <v>5255.54</v>
      </c>
      <c r="I363" s="192">
        <v>2.7107999999999999</v>
      </c>
      <c r="J363" s="192">
        <v>2.7107999999999999</v>
      </c>
      <c r="K363" s="256"/>
      <c r="L363" s="256"/>
      <c r="M363" s="256"/>
      <c r="N363" s="256"/>
      <c r="O363" s="200">
        <f t="shared" ref="O363:O364" si="181">G363*I363+H363*J363</f>
        <v>64278.299843999994</v>
      </c>
      <c r="P363" s="198">
        <f>ROUND(37.24%*O363,2)</f>
        <v>23937.24</v>
      </c>
      <c r="Q363" s="198">
        <f t="shared" ref="Q363:Q364" si="182">ROUND(R363*P363,2)</f>
        <v>11968.62</v>
      </c>
      <c r="R363" s="199">
        <v>0.5</v>
      </c>
      <c r="W363" s="47"/>
      <c r="Y363" s="47"/>
    </row>
    <row r="364" spans="1:26" x14ac:dyDescent="0.25">
      <c r="A364" s="270" t="s">
        <v>28</v>
      </c>
      <c r="B364" s="279" t="str">
        <f>B363</f>
        <v>88 GAS -Pisco</v>
      </c>
      <c r="C364" s="280" t="s">
        <v>31</v>
      </c>
      <c r="D364" s="281" t="s">
        <v>185</v>
      </c>
      <c r="E364" s="281"/>
      <c r="F364" s="286" t="str">
        <f>F363</f>
        <v xml:space="preserve"> MM BTU</v>
      </c>
      <c r="G364" s="388">
        <f>+G363</f>
        <v>18456.39</v>
      </c>
      <c r="H364" s="319">
        <f>+H363</f>
        <v>5255.54</v>
      </c>
      <c r="I364" s="272">
        <v>2.7610999999999999</v>
      </c>
      <c r="J364" s="272">
        <v>2.7610999999999999</v>
      </c>
      <c r="K364" s="272"/>
      <c r="L364" s="272"/>
      <c r="M364" s="272"/>
      <c r="N364" s="271"/>
      <c r="O364" s="271">
        <f t="shared" si="181"/>
        <v>65471.009922999991</v>
      </c>
      <c r="P364" s="271">
        <f>ROUND(37.24%*O364,2)</f>
        <v>24381.4</v>
      </c>
      <c r="Q364" s="271">
        <f t="shared" si="182"/>
        <v>12190.7</v>
      </c>
      <c r="R364" s="154">
        <v>0.5</v>
      </c>
      <c r="W364" s="47"/>
      <c r="Y364" s="47"/>
      <c r="Z364" s="47"/>
    </row>
    <row r="365" spans="1:26" x14ac:dyDescent="0.25">
      <c r="A365" s="273"/>
      <c r="B365" s="282" t="s">
        <v>180</v>
      </c>
      <c r="C365" s="71"/>
      <c r="D365" s="165"/>
      <c r="E365" s="165"/>
      <c r="F365" s="273"/>
      <c r="G365" s="255">
        <f t="shared" ref="G365:Q365" si="183">G364-G363</f>
        <v>0</v>
      </c>
      <c r="H365" s="320">
        <f t="shared" si="183"/>
        <v>0</v>
      </c>
      <c r="I365" s="283">
        <f t="shared" si="183"/>
        <v>5.0300000000000011E-2</v>
      </c>
      <c r="J365" s="283">
        <f t="shared" si="183"/>
        <v>5.0300000000000011E-2</v>
      </c>
      <c r="K365" s="283">
        <f t="shared" si="183"/>
        <v>0</v>
      </c>
      <c r="L365" s="283">
        <f t="shared" si="183"/>
        <v>0</v>
      </c>
      <c r="M365" s="283">
        <f t="shared" si="183"/>
        <v>0</v>
      </c>
      <c r="N365" s="284">
        <f t="shared" si="183"/>
        <v>0</v>
      </c>
      <c r="O365" s="255">
        <f t="shared" si="183"/>
        <v>1192.7100789999968</v>
      </c>
      <c r="P365" s="344">
        <f t="shared" si="183"/>
        <v>444.15999999999985</v>
      </c>
      <c r="Q365" s="255">
        <f t="shared" si="183"/>
        <v>222.07999999999993</v>
      </c>
      <c r="R365" s="345"/>
      <c r="S365" s="251" t="s">
        <v>181</v>
      </c>
      <c r="X365" s="47"/>
      <c r="Y365" s="47"/>
    </row>
    <row r="366" spans="1:26" x14ac:dyDescent="0.25">
      <c r="A366" s="96"/>
      <c r="B366" s="5"/>
      <c r="C366" s="96"/>
      <c r="D366" s="96"/>
      <c r="E366" s="96"/>
      <c r="F366" s="96"/>
      <c r="G366" s="366"/>
      <c r="H366" s="366"/>
      <c r="I366" s="387"/>
      <c r="J366" s="387"/>
      <c r="K366" s="367"/>
      <c r="L366" s="367"/>
      <c r="M366" s="367"/>
      <c r="N366" s="368"/>
      <c r="O366" s="366"/>
      <c r="P366" s="369"/>
      <c r="Q366" s="366"/>
      <c r="R366" s="370"/>
      <c r="S366" s="366"/>
      <c r="T366" s="4"/>
      <c r="U366" s="4"/>
      <c r="V366" s="4"/>
    </row>
    <row r="367" spans="1:26" x14ac:dyDescent="0.25">
      <c r="A367" s="324"/>
      <c r="B367" s="265" t="s">
        <v>268</v>
      </c>
      <c r="C367" s="317"/>
      <c r="W367" s="48"/>
      <c r="Y367" s="294"/>
      <c r="Z367" s="48"/>
    </row>
    <row r="368" spans="1:26" ht="13" x14ac:dyDescent="0.3">
      <c r="A368" s="257" t="s">
        <v>161</v>
      </c>
      <c r="B368" s="252"/>
      <c r="C368" s="266"/>
      <c r="D368" s="263" t="s">
        <v>19</v>
      </c>
      <c r="E368" s="262" t="s">
        <v>58</v>
      </c>
      <c r="F368" s="263" t="s">
        <v>27</v>
      </c>
      <c r="G368" s="264" t="s">
        <v>34</v>
      </c>
      <c r="H368" s="253" t="s">
        <v>35</v>
      </c>
      <c r="I368" s="253" t="s">
        <v>34</v>
      </c>
      <c r="J368" s="264" t="s">
        <v>35</v>
      </c>
      <c r="K368" s="264" t="s">
        <v>38</v>
      </c>
      <c r="L368" s="264" t="s">
        <v>39</v>
      </c>
      <c r="M368" s="264" t="s">
        <v>41</v>
      </c>
      <c r="N368" s="264" t="s">
        <v>2</v>
      </c>
      <c r="O368" s="267" t="s">
        <v>179</v>
      </c>
      <c r="P368" s="276" t="s">
        <v>163</v>
      </c>
      <c r="Q368" s="276" t="s">
        <v>183</v>
      </c>
      <c r="R368" s="254"/>
      <c r="W368" s="48"/>
      <c r="Y368" s="295"/>
      <c r="Z368" s="294"/>
    </row>
    <row r="369" spans="1:26" x14ac:dyDescent="0.25">
      <c r="A369" s="16" t="s">
        <v>28</v>
      </c>
      <c r="B369" s="17" t="s">
        <v>225</v>
      </c>
      <c r="C369" s="40" t="s">
        <v>31</v>
      </c>
      <c r="D369" s="40" t="s">
        <v>30</v>
      </c>
      <c r="E369" s="40" t="s">
        <v>158</v>
      </c>
      <c r="F369" s="216" t="s">
        <v>55</v>
      </c>
      <c r="G369" s="256">
        <v>22243.97</v>
      </c>
      <c r="H369" s="256">
        <v>24094.240000000002</v>
      </c>
      <c r="I369" s="192">
        <v>2.7612999999999999</v>
      </c>
      <c r="J369" s="192">
        <v>2.7612999999999999</v>
      </c>
      <c r="K369" s="256"/>
      <c r="L369" s="256"/>
      <c r="M369" s="256"/>
      <c r="N369" s="256"/>
      <c r="O369" s="200">
        <f t="shared" ref="O369:O370" si="184">G369*I369+H369*J369</f>
        <v>127953.69927300001</v>
      </c>
      <c r="P369" s="198">
        <f>ROUND(37.24%*O369,2)</f>
        <v>47649.96</v>
      </c>
      <c r="Q369" s="198">
        <f t="shared" ref="Q369:Q370" si="185">ROUND(R369*P369,2)</f>
        <v>23824.98</v>
      </c>
      <c r="R369" s="199">
        <v>0.5</v>
      </c>
      <c r="W369" s="47"/>
      <c r="Y369" s="47"/>
    </row>
    <row r="370" spans="1:26" x14ac:dyDescent="0.25">
      <c r="A370" s="270" t="s">
        <v>28</v>
      </c>
      <c r="B370" s="279" t="str">
        <f>B369</f>
        <v>88 GAS -Pisco</v>
      </c>
      <c r="C370" s="280" t="s">
        <v>31</v>
      </c>
      <c r="D370" s="281" t="s">
        <v>185</v>
      </c>
      <c r="E370" s="281"/>
      <c r="F370" s="286" t="str">
        <f>F369</f>
        <v xml:space="preserve"> MM BTU</v>
      </c>
      <c r="G370" s="388">
        <f>+G369</f>
        <v>22243.97</v>
      </c>
      <c r="H370" s="319">
        <f>+H369</f>
        <v>24094.240000000002</v>
      </c>
      <c r="I370" s="272">
        <v>2.7694999999999999</v>
      </c>
      <c r="J370" s="272">
        <v>2.7694999999999999</v>
      </c>
      <c r="K370" s="272"/>
      <c r="L370" s="272"/>
      <c r="M370" s="272"/>
      <c r="N370" s="271"/>
      <c r="O370" s="271">
        <f t="shared" si="184"/>
        <v>128333.67259500001</v>
      </c>
      <c r="P370" s="271">
        <f>ROUND(37.24%*O370,2)</f>
        <v>47791.46</v>
      </c>
      <c r="Q370" s="271">
        <f t="shared" si="185"/>
        <v>23895.73</v>
      </c>
      <c r="R370" s="154">
        <v>0.5</v>
      </c>
      <c r="W370" s="47"/>
      <c r="Y370" s="47"/>
      <c r="Z370" s="47"/>
    </row>
    <row r="371" spans="1:26" x14ac:dyDescent="0.25">
      <c r="A371" s="273"/>
      <c r="B371" s="282" t="s">
        <v>180</v>
      </c>
      <c r="C371" s="71"/>
      <c r="D371" s="165"/>
      <c r="E371" s="165"/>
      <c r="F371" s="273"/>
      <c r="G371" s="255">
        <f t="shared" ref="G371:Q371" si="186">G370-G369</f>
        <v>0</v>
      </c>
      <c r="H371" s="320">
        <f t="shared" si="186"/>
        <v>0</v>
      </c>
      <c r="I371" s="283">
        <f t="shared" si="186"/>
        <v>8.1999999999999851E-3</v>
      </c>
      <c r="J371" s="283">
        <f t="shared" si="186"/>
        <v>8.1999999999999851E-3</v>
      </c>
      <c r="K371" s="283">
        <f t="shared" si="186"/>
        <v>0</v>
      </c>
      <c r="L371" s="283">
        <f t="shared" si="186"/>
        <v>0</v>
      </c>
      <c r="M371" s="283">
        <f t="shared" si="186"/>
        <v>0</v>
      </c>
      <c r="N371" s="284">
        <f t="shared" si="186"/>
        <v>0</v>
      </c>
      <c r="O371" s="255">
        <f t="shared" si="186"/>
        <v>379.97332200000528</v>
      </c>
      <c r="P371" s="344">
        <f t="shared" si="186"/>
        <v>141.5</v>
      </c>
      <c r="Q371" s="255">
        <f t="shared" si="186"/>
        <v>70.75</v>
      </c>
      <c r="R371" s="345"/>
      <c r="S371" s="251" t="s">
        <v>181</v>
      </c>
      <c r="X371" s="47"/>
      <c r="Y371" s="47"/>
    </row>
    <row r="372" spans="1:26" x14ac:dyDescent="0.25">
      <c r="A372" s="96"/>
      <c r="B372" s="5"/>
      <c r="C372" s="96"/>
      <c r="D372" s="96"/>
      <c r="E372" s="96"/>
      <c r="F372" s="96"/>
      <c r="G372" s="366"/>
      <c r="H372" s="366"/>
      <c r="I372" s="387"/>
      <c r="J372" s="387"/>
      <c r="K372" s="367"/>
      <c r="L372" s="367"/>
      <c r="M372" s="367"/>
      <c r="N372" s="368"/>
      <c r="O372" s="366"/>
      <c r="P372" s="369"/>
      <c r="Q372" s="366"/>
      <c r="R372" s="370"/>
      <c r="S372" s="366"/>
      <c r="T372" s="4"/>
      <c r="U372" s="4"/>
      <c r="V372" s="4"/>
    </row>
    <row r="373" spans="1:26" x14ac:dyDescent="0.25">
      <c r="A373" s="324"/>
      <c r="B373" s="265" t="s">
        <v>269</v>
      </c>
      <c r="C373" s="317"/>
      <c r="W373" s="48"/>
      <c r="Y373" s="294"/>
      <c r="Z373" s="48"/>
    </row>
    <row r="374" spans="1:26" ht="13" x14ac:dyDescent="0.3">
      <c r="A374" s="257" t="s">
        <v>161</v>
      </c>
      <c r="B374" s="252"/>
      <c r="C374" s="266"/>
      <c r="D374" s="263" t="s">
        <v>19</v>
      </c>
      <c r="E374" s="262" t="s">
        <v>58</v>
      </c>
      <c r="F374" s="263" t="s">
        <v>27</v>
      </c>
      <c r="G374" s="264" t="s">
        <v>34</v>
      </c>
      <c r="H374" s="253" t="s">
        <v>35</v>
      </c>
      <c r="I374" s="253" t="s">
        <v>34</v>
      </c>
      <c r="J374" s="264" t="s">
        <v>35</v>
      </c>
      <c r="K374" s="264" t="s">
        <v>38</v>
      </c>
      <c r="L374" s="264" t="s">
        <v>39</v>
      </c>
      <c r="M374" s="264" t="s">
        <v>41</v>
      </c>
      <c r="N374" s="264" t="s">
        <v>2</v>
      </c>
      <c r="O374" s="267" t="s">
        <v>179</v>
      </c>
      <c r="P374" s="276" t="s">
        <v>163</v>
      </c>
      <c r="Q374" s="276" t="s">
        <v>183</v>
      </c>
      <c r="R374" s="254"/>
      <c r="W374" s="48"/>
      <c r="Y374" s="295"/>
      <c r="Z374" s="294"/>
    </row>
    <row r="375" spans="1:26" x14ac:dyDescent="0.25">
      <c r="A375" s="16" t="s">
        <v>28</v>
      </c>
      <c r="B375" s="17" t="s">
        <v>225</v>
      </c>
      <c r="C375" s="40" t="s">
        <v>31</v>
      </c>
      <c r="D375" s="40" t="s">
        <v>30</v>
      </c>
      <c r="E375" s="40" t="s">
        <v>158</v>
      </c>
      <c r="F375" s="216" t="s">
        <v>55</v>
      </c>
      <c r="G375" s="256">
        <v>19546.21</v>
      </c>
      <c r="H375" s="256">
        <v>22889.84</v>
      </c>
      <c r="I375" s="192">
        <v>2.7694000000000001</v>
      </c>
      <c r="J375" s="192">
        <v>2.7694000000000001</v>
      </c>
      <c r="K375" s="256"/>
      <c r="L375" s="256"/>
      <c r="M375" s="256"/>
      <c r="N375" s="256"/>
      <c r="O375" s="200">
        <f t="shared" ref="O375:O376" si="187">G375*I375+H375*J375</f>
        <v>117522.39687</v>
      </c>
      <c r="P375" s="198">
        <f>ROUND(37.24%*O375,2)</f>
        <v>43765.34</v>
      </c>
      <c r="Q375" s="198">
        <f t="shared" ref="Q375:Q376" si="188">ROUND(R375*P375,2)</f>
        <v>21882.67</v>
      </c>
      <c r="R375" s="199">
        <v>0.5</v>
      </c>
      <c r="W375" s="47"/>
      <c r="Y375" s="47"/>
    </row>
    <row r="376" spans="1:26" x14ac:dyDescent="0.25">
      <c r="A376" s="270" t="s">
        <v>28</v>
      </c>
      <c r="B376" s="279" t="str">
        <f>B375</f>
        <v>88 GAS -Pisco</v>
      </c>
      <c r="C376" s="280" t="s">
        <v>31</v>
      </c>
      <c r="D376" s="281" t="s">
        <v>185</v>
      </c>
      <c r="E376" s="281"/>
      <c r="F376" s="286" t="str">
        <f>F375</f>
        <v xml:space="preserve"> MM BTU</v>
      </c>
      <c r="G376" s="388">
        <f>+G375</f>
        <v>19546.21</v>
      </c>
      <c r="H376" s="319">
        <f>+H375</f>
        <v>22889.84</v>
      </c>
      <c r="I376" s="272">
        <v>2.7726000000000002</v>
      </c>
      <c r="J376" s="272">
        <v>2.7726000000000002</v>
      </c>
      <c r="K376" s="272"/>
      <c r="L376" s="272"/>
      <c r="M376" s="272"/>
      <c r="N376" s="271"/>
      <c r="O376" s="271">
        <f t="shared" si="187"/>
        <v>117658.19223</v>
      </c>
      <c r="P376" s="271">
        <f>ROUND(37.24%*O376,2)</f>
        <v>43815.91</v>
      </c>
      <c r="Q376" s="271">
        <f t="shared" si="188"/>
        <v>21907.96</v>
      </c>
      <c r="R376" s="154">
        <v>0.5</v>
      </c>
      <c r="W376" s="47"/>
      <c r="Y376" s="47"/>
      <c r="Z376" s="47"/>
    </row>
    <row r="377" spans="1:26" x14ac:dyDescent="0.25">
      <c r="A377" s="273"/>
      <c r="B377" s="282" t="s">
        <v>180</v>
      </c>
      <c r="C377" s="71"/>
      <c r="D377" s="165"/>
      <c r="E377" s="165"/>
      <c r="F377" s="273"/>
      <c r="G377" s="255">
        <f t="shared" ref="G377:Q377" si="189">G376-G375</f>
        <v>0</v>
      </c>
      <c r="H377" s="320">
        <f t="shared" si="189"/>
        <v>0</v>
      </c>
      <c r="I377" s="283">
        <f t="shared" si="189"/>
        <v>3.2000000000000917E-3</v>
      </c>
      <c r="J377" s="283">
        <f t="shared" si="189"/>
        <v>3.2000000000000917E-3</v>
      </c>
      <c r="K377" s="283">
        <f t="shared" si="189"/>
        <v>0</v>
      </c>
      <c r="L377" s="283">
        <f t="shared" si="189"/>
        <v>0</v>
      </c>
      <c r="M377" s="283">
        <f t="shared" si="189"/>
        <v>0</v>
      </c>
      <c r="N377" s="284">
        <f t="shared" si="189"/>
        <v>0</v>
      </c>
      <c r="O377" s="255">
        <f t="shared" si="189"/>
        <v>135.79536000000371</v>
      </c>
      <c r="P377" s="344">
        <f t="shared" si="189"/>
        <v>50.570000000006985</v>
      </c>
      <c r="Q377" s="255">
        <f t="shared" si="189"/>
        <v>25.290000000000873</v>
      </c>
      <c r="R377" s="345"/>
      <c r="S377" s="251" t="s">
        <v>181</v>
      </c>
      <c r="X377" s="47"/>
      <c r="Y377" s="47"/>
    </row>
    <row r="378" spans="1:26" x14ac:dyDescent="0.25">
      <c r="A378" s="96"/>
      <c r="B378" s="5"/>
      <c r="C378" s="96"/>
      <c r="D378" s="96"/>
      <c r="E378" s="96"/>
      <c r="F378" s="96"/>
      <c r="G378" s="366"/>
      <c r="H378" s="366"/>
      <c r="I378" s="387"/>
      <c r="J378" s="387"/>
      <c r="K378" s="367"/>
      <c r="L378" s="367"/>
      <c r="M378" s="367"/>
      <c r="N378" s="368"/>
      <c r="O378" s="366"/>
      <c r="P378" s="369"/>
      <c r="Q378" s="366"/>
      <c r="R378" s="370"/>
      <c r="S378" s="366"/>
      <c r="T378" s="4"/>
      <c r="U378" s="4"/>
      <c r="V378" s="4"/>
    </row>
    <row r="379" spans="1:26" x14ac:dyDescent="0.25">
      <c r="A379" s="324"/>
      <c r="B379" s="265" t="s">
        <v>270</v>
      </c>
      <c r="C379" s="317"/>
      <c r="T379" s="290"/>
      <c r="W379" s="48"/>
      <c r="Y379" s="294"/>
      <c r="Z379" s="48"/>
    </row>
    <row r="380" spans="1:26" ht="13" x14ac:dyDescent="0.3">
      <c r="A380" s="257" t="s">
        <v>161</v>
      </c>
      <c r="B380" s="252"/>
      <c r="C380" s="266"/>
      <c r="D380" s="263" t="s">
        <v>19</v>
      </c>
      <c r="E380" s="262" t="s">
        <v>58</v>
      </c>
      <c r="F380" s="263" t="s">
        <v>27</v>
      </c>
      <c r="G380" s="264" t="s">
        <v>34</v>
      </c>
      <c r="H380" s="253" t="s">
        <v>35</v>
      </c>
      <c r="I380" s="253" t="s">
        <v>34</v>
      </c>
      <c r="J380" s="264" t="s">
        <v>35</v>
      </c>
      <c r="K380" s="264" t="s">
        <v>38</v>
      </c>
      <c r="L380" s="264" t="s">
        <v>39</v>
      </c>
      <c r="M380" s="264" t="s">
        <v>41</v>
      </c>
      <c r="N380" s="264" t="s">
        <v>2</v>
      </c>
      <c r="O380" s="267" t="s">
        <v>179</v>
      </c>
      <c r="P380" s="276" t="s">
        <v>163</v>
      </c>
      <c r="Q380" s="276" t="s">
        <v>183</v>
      </c>
      <c r="R380" s="254"/>
      <c r="W380" s="48"/>
      <c r="Y380" s="295"/>
      <c r="Z380" s="294"/>
    </row>
    <row r="381" spans="1:26" x14ac:dyDescent="0.25">
      <c r="A381" s="16" t="s">
        <v>28</v>
      </c>
      <c r="B381" s="17" t="s">
        <v>225</v>
      </c>
      <c r="C381" s="40" t="s">
        <v>31</v>
      </c>
      <c r="D381" s="40" t="s">
        <v>30</v>
      </c>
      <c r="E381" s="40" t="s">
        <v>158</v>
      </c>
      <c r="F381" s="216" t="s">
        <v>55</v>
      </c>
      <c r="G381" s="256">
        <v>19622.03</v>
      </c>
      <c r="H381" s="256">
        <v>26376.2</v>
      </c>
      <c r="I381" s="192">
        <v>2.7726999999999999</v>
      </c>
      <c r="J381" s="192">
        <v>2.7726999999999999</v>
      </c>
      <c r="K381" s="256"/>
      <c r="L381" s="256"/>
      <c r="M381" s="256"/>
      <c r="N381" s="256"/>
      <c r="O381" s="200">
        <f t="shared" ref="O381:O382" si="190">G381*I381+H381*J381</f>
        <v>127539.292321</v>
      </c>
      <c r="P381" s="198">
        <f>ROUND(37.24%*O381,2)</f>
        <v>47495.63</v>
      </c>
      <c r="Q381" s="198">
        <f t="shared" ref="Q381:Q382" si="191">ROUND(R381*P381,2)</f>
        <v>23747.82</v>
      </c>
      <c r="R381" s="199">
        <v>0.5</v>
      </c>
      <c r="W381" s="47"/>
      <c r="Y381" s="47"/>
    </row>
    <row r="382" spans="1:26" x14ac:dyDescent="0.25">
      <c r="A382" s="270" t="s">
        <v>28</v>
      </c>
      <c r="B382" s="279" t="str">
        <f>B381</f>
        <v>88 GAS -Pisco</v>
      </c>
      <c r="C382" s="280" t="s">
        <v>31</v>
      </c>
      <c r="D382" s="281" t="s">
        <v>185</v>
      </c>
      <c r="E382" s="281"/>
      <c r="F382" s="286" t="str">
        <f>F381</f>
        <v xml:space="preserve"> MM BTU</v>
      </c>
      <c r="G382" s="388">
        <f>+G381</f>
        <v>19622.03</v>
      </c>
      <c r="H382" s="319">
        <f>+H381</f>
        <v>26376.2</v>
      </c>
      <c r="I382" s="272">
        <v>2.7709999999999999</v>
      </c>
      <c r="J382" s="272">
        <v>2.7709999999999999</v>
      </c>
      <c r="K382" s="272"/>
      <c r="L382" s="272"/>
      <c r="M382" s="272"/>
      <c r="N382" s="271"/>
      <c r="O382" s="271">
        <f t="shared" si="190"/>
        <v>127461.09533000001</v>
      </c>
      <c r="P382" s="271">
        <f>ROUND(37.24%*O382,2)</f>
        <v>47466.51</v>
      </c>
      <c r="Q382" s="271">
        <f t="shared" si="191"/>
        <v>23733.26</v>
      </c>
      <c r="R382" s="154">
        <v>0.5</v>
      </c>
      <c r="W382" s="47"/>
      <c r="Y382" s="47"/>
      <c r="Z382" s="47"/>
    </row>
    <row r="383" spans="1:26" x14ac:dyDescent="0.25">
      <c r="A383" s="273"/>
      <c r="B383" s="282" t="s">
        <v>180</v>
      </c>
      <c r="C383" s="71"/>
      <c r="D383" s="165"/>
      <c r="E383" s="165"/>
      <c r="F383" s="273"/>
      <c r="G383" s="255">
        <f t="shared" ref="G383:Q383" si="192">G382-G381</f>
        <v>0</v>
      </c>
      <c r="H383" s="320">
        <f t="shared" si="192"/>
        <v>0</v>
      </c>
      <c r="I383" s="283">
        <f t="shared" si="192"/>
        <v>-1.7000000000000348E-3</v>
      </c>
      <c r="J383" s="283">
        <f t="shared" si="192"/>
        <v>-1.7000000000000348E-3</v>
      </c>
      <c r="K383" s="283">
        <f t="shared" si="192"/>
        <v>0</v>
      </c>
      <c r="L383" s="283">
        <f t="shared" si="192"/>
        <v>0</v>
      </c>
      <c r="M383" s="283">
        <f t="shared" si="192"/>
        <v>0</v>
      </c>
      <c r="N383" s="284">
        <f t="shared" si="192"/>
        <v>0</v>
      </c>
      <c r="O383" s="255">
        <f t="shared" si="192"/>
        <v>-78.196990999989794</v>
      </c>
      <c r="P383" s="344">
        <f t="shared" si="192"/>
        <v>-29.119999999995343</v>
      </c>
      <c r="Q383" s="255">
        <f t="shared" si="192"/>
        <v>-14.56000000000131</v>
      </c>
      <c r="R383" s="345"/>
      <c r="S383" s="251" t="s">
        <v>181</v>
      </c>
      <c r="X383" s="47"/>
      <c r="Y383" s="47"/>
    </row>
    <row r="384" spans="1:26" x14ac:dyDescent="0.25">
      <c r="A384" s="96"/>
      <c r="B384" s="5"/>
      <c r="C384" s="96"/>
      <c r="D384" s="96"/>
      <c r="E384" s="96"/>
      <c r="F384" s="96"/>
      <c r="G384" s="366"/>
      <c r="H384" s="366"/>
      <c r="I384" s="387"/>
      <c r="J384" s="387"/>
      <c r="K384" s="367"/>
      <c r="L384" s="367"/>
      <c r="M384" s="367"/>
      <c r="N384" s="368"/>
      <c r="O384" s="366"/>
      <c r="P384" s="369"/>
      <c r="Q384" s="366"/>
      <c r="R384" s="370"/>
      <c r="S384" s="366"/>
      <c r="T384" s="4"/>
      <c r="U384" s="4"/>
      <c r="V384" s="4"/>
    </row>
    <row r="385" spans="1:26" x14ac:dyDescent="0.25">
      <c r="A385" s="324"/>
      <c r="B385" s="265" t="s">
        <v>271</v>
      </c>
      <c r="C385" s="317"/>
      <c r="T385" s="290"/>
      <c r="W385" s="48"/>
      <c r="Y385" s="294"/>
      <c r="Z385" s="48"/>
    </row>
    <row r="386" spans="1:26" ht="13" x14ac:dyDescent="0.3">
      <c r="A386" s="257" t="s">
        <v>161</v>
      </c>
      <c r="B386" s="252"/>
      <c r="C386" s="266"/>
      <c r="D386" s="263" t="s">
        <v>19</v>
      </c>
      <c r="E386" s="262" t="s">
        <v>58</v>
      </c>
      <c r="F386" s="263" t="s">
        <v>27</v>
      </c>
      <c r="G386" s="264" t="s">
        <v>34</v>
      </c>
      <c r="H386" s="253" t="s">
        <v>35</v>
      </c>
      <c r="I386" s="253" t="s">
        <v>34</v>
      </c>
      <c r="J386" s="264" t="s">
        <v>35</v>
      </c>
      <c r="K386" s="264" t="s">
        <v>38</v>
      </c>
      <c r="L386" s="264" t="s">
        <v>39</v>
      </c>
      <c r="M386" s="264" t="s">
        <v>41</v>
      </c>
      <c r="N386" s="264" t="s">
        <v>2</v>
      </c>
      <c r="O386" s="267" t="s">
        <v>179</v>
      </c>
      <c r="P386" s="276" t="s">
        <v>163</v>
      </c>
      <c r="Q386" s="276" t="s">
        <v>183</v>
      </c>
      <c r="R386" s="254"/>
      <c r="W386" s="48"/>
      <c r="Y386" s="295"/>
      <c r="Z386" s="294"/>
    </row>
    <row r="387" spans="1:26" x14ac:dyDescent="0.25">
      <c r="A387" s="16" t="s">
        <v>28</v>
      </c>
      <c r="B387" s="17" t="s">
        <v>225</v>
      </c>
      <c r="C387" s="40" t="s">
        <v>31</v>
      </c>
      <c r="D387" s="40" t="s">
        <v>30</v>
      </c>
      <c r="E387" s="40" t="s">
        <v>158</v>
      </c>
      <c r="F387" s="216" t="s">
        <v>55</v>
      </c>
      <c r="G387" s="256">
        <v>24061.160100000001</v>
      </c>
      <c r="H387" s="256">
        <v>22103.116399999999</v>
      </c>
      <c r="I387" s="192">
        <v>2.7711999999999999</v>
      </c>
      <c r="J387" s="192">
        <v>2.7711999999999999</v>
      </c>
      <c r="K387" s="256"/>
      <c r="L387" s="256"/>
      <c r="M387" s="256"/>
      <c r="N387" s="256"/>
      <c r="O387" s="200">
        <f t="shared" ref="O387:O388" si="193">G387*I387+H387*J387</f>
        <v>127930.44303679999</v>
      </c>
      <c r="P387" s="198">
        <f>ROUND(37.24%*O387,2)</f>
        <v>47641.3</v>
      </c>
      <c r="Q387" s="198">
        <f t="shared" ref="Q387:Q388" si="194">ROUND(R387*P387,2)</f>
        <v>23820.65</v>
      </c>
      <c r="R387" s="199">
        <v>0.5</v>
      </c>
      <c r="W387" s="47"/>
      <c r="Y387" s="47"/>
    </row>
    <row r="388" spans="1:26" x14ac:dyDescent="0.25">
      <c r="A388" s="270" t="s">
        <v>28</v>
      </c>
      <c r="B388" s="279" t="str">
        <f>B387</f>
        <v>88 GAS -Pisco</v>
      </c>
      <c r="C388" s="280" t="s">
        <v>31</v>
      </c>
      <c r="D388" s="281" t="s">
        <v>185</v>
      </c>
      <c r="E388" s="281"/>
      <c r="F388" s="286" t="str">
        <f>F387</f>
        <v xml:space="preserve"> MM BTU</v>
      </c>
      <c r="G388" s="388">
        <f>+G387</f>
        <v>24061.160100000001</v>
      </c>
      <c r="H388" s="319">
        <f>+H387</f>
        <v>22103.116399999999</v>
      </c>
      <c r="I388" s="272">
        <v>2.7753999999999999</v>
      </c>
      <c r="J388" s="272">
        <v>2.7753999999999999</v>
      </c>
      <c r="K388" s="272"/>
      <c r="L388" s="272"/>
      <c r="M388" s="272"/>
      <c r="N388" s="271"/>
      <c r="O388" s="271">
        <f t="shared" si="193"/>
        <v>128124.3329981</v>
      </c>
      <c r="P388" s="271">
        <f>ROUND(37.24%*O388,2)</f>
        <v>47713.5</v>
      </c>
      <c r="Q388" s="271">
        <f t="shared" si="194"/>
        <v>23856.75</v>
      </c>
      <c r="R388" s="154">
        <v>0.5</v>
      </c>
      <c r="W388" s="47"/>
      <c r="Y388" s="47"/>
      <c r="Z388" s="47"/>
    </row>
    <row r="389" spans="1:26" x14ac:dyDescent="0.25">
      <c r="A389" s="273"/>
      <c r="B389" s="282" t="s">
        <v>180</v>
      </c>
      <c r="C389" s="71"/>
      <c r="D389" s="165"/>
      <c r="E389" s="165"/>
      <c r="F389" s="273"/>
      <c r="G389" s="255">
        <f t="shared" ref="G389:Q389" si="195">G388-G387</f>
        <v>0</v>
      </c>
      <c r="H389" s="320">
        <f t="shared" si="195"/>
        <v>0</v>
      </c>
      <c r="I389" s="283">
        <f t="shared" si="195"/>
        <v>4.1999999999999815E-3</v>
      </c>
      <c r="J389" s="283">
        <f t="shared" si="195"/>
        <v>4.1999999999999815E-3</v>
      </c>
      <c r="K389" s="283">
        <f t="shared" si="195"/>
        <v>0</v>
      </c>
      <c r="L389" s="283">
        <f t="shared" si="195"/>
        <v>0</v>
      </c>
      <c r="M389" s="283">
        <f t="shared" si="195"/>
        <v>0</v>
      </c>
      <c r="N389" s="284">
        <f t="shared" si="195"/>
        <v>0</v>
      </c>
      <c r="O389" s="255">
        <f t="shared" si="195"/>
        <v>193.88996130001033</v>
      </c>
      <c r="P389" s="344">
        <f t="shared" si="195"/>
        <v>72.19999999999709</v>
      </c>
      <c r="Q389" s="255">
        <f t="shared" si="195"/>
        <v>36.099999999998545</v>
      </c>
      <c r="R389" s="345"/>
      <c r="S389" s="251" t="s">
        <v>181</v>
      </c>
      <c r="X389" s="47"/>
      <c r="Y389" s="47"/>
    </row>
    <row r="390" spans="1:26" x14ac:dyDescent="0.25">
      <c r="A390" s="96"/>
      <c r="B390" s="5"/>
      <c r="C390" s="96"/>
      <c r="D390" s="96"/>
      <c r="E390" s="96"/>
      <c r="F390" s="96"/>
      <c r="G390" s="366"/>
      <c r="H390" s="366"/>
      <c r="I390" s="387"/>
      <c r="J390" s="387"/>
      <c r="K390" s="367"/>
      <c r="L390" s="367"/>
      <c r="M390" s="367"/>
      <c r="N390" s="368"/>
      <c r="O390" s="366"/>
      <c r="P390" s="369"/>
      <c r="Q390" s="366"/>
      <c r="R390" s="370"/>
      <c r="S390" s="366"/>
      <c r="T390" s="4"/>
      <c r="U390" s="4"/>
      <c r="V390" s="4"/>
    </row>
    <row r="391" spans="1:26" x14ac:dyDescent="0.25">
      <c r="A391" s="324"/>
      <c r="B391" s="265" t="s">
        <v>272</v>
      </c>
      <c r="C391" s="317"/>
      <c r="T391" s="290"/>
      <c r="W391" s="48"/>
      <c r="Y391" s="294"/>
      <c r="Z391" s="48"/>
    </row>
    <row r="392" spans="1:26" ht="13" x14ac:dyDescent="0.3">
      <c r="A392" s="257" t="s">
        <v>161</v>
      </c>
      <c r="B392" s="252"/>
      <c r="C392" s="266"/>
      <c r="D392" s="263" t="s">
        <v>19</v>
      </c>
      <c r="E392" s="262" t="s">
        <v>58</v>
      </c>
      <c r="F392" s="263" t="s">
        <v>27</v>
      </c>
      <c r="G392" s="264" t="s">
        <v>34</v>
      </c>
      <c r="H392" s="253" t="s">
        <v>35</v>
      </c>
      <c r="I392" s="253" t="s">
        <v>34</v>
      </c>
      <c r="J392" s="264" t="s">
        <v>35</v>
      </c>
      <c r="K392" s="264" t="s">
        <v>38</v>
      </c>
      <c r="L392" s="264" t="s">
        <v>39</v>
      </c>
      <c r="M392" s="264" t="s">
        <v>41</v>
      </c>
      <c r="N392" s="264" t="s">
        <v>2</v>
      </c>
      <c r="O392" s="267" t="s">
        <v>179</v>
      </c>
      <c r="P392" s="276" t="s">
        <v>163</v>
      </c>
      <c r="Q392" s="276" t="s">
        <v>183</v>
      </c>
      <c r="R392" s="254"/>
      <c r="W392" s="48"/>
      <c r="Y392" s="295"/>
      <c r="Z392" s="294"/>
    </row>
    <row r="393" spans="1:26" x14ac:dyDescent="0.25">
      <c r="A393" s="16" t="s">
        <v>28</v>
      </c>
      <c r="B393" s="17" t="s">
        <v>225</v>
      </c>
      <c r="C393" s="40" t="s">
        <v>31</v>
      </c>
      <c r="D393" s="40" t="s">
        <v>30</v>
      </c>
      <c r="E393" s="40" t="s">
        <v>158</v>
      </c>
      <c r="F393" s="216" t="s">
        <v>55</v>
      </c>
      <c r="G393" s="256">
        <v>24300.12</v>
      </c>
      <c r="H393" s="256">
        <v>25520.17</v>
      </c>
      <c r="I393" s="192">
        <v>2.7753000000000001</v>
      </c>
      <c r="J393" s="192">
        <v>2.7753000000000001</v>
      </c>
      <c r="K393" s="256"/>
      <c r="L393" s="256"/>
      <c r="M393" s="256"/>
      <c r="N393" s="256"/>
      <c r="O393" s="200">
        <f t="shared" ref="O393:O394" si="196">G393*I393+H393*J393</f>
        <v>138266.250837</v>
      </c>
      <c r="P393" s="198">
        <f>ROUND(37.24%*O393,2)</f>
        <v>51490.35</v>
      </c>
      <c r="Q393" s="198">
        <f t="shared" ref="Q393:Q394" si="197">ROUND(R393*P393,2)</f>
        <v>25745.18</v>
      </c>
      <c r="R393" s="199">
        <v>0.5</v>
      </c>
      <c r="W393" s="47"/>
      <c r="Y393" s="47"/>
    </row>
    <row r="394" spans="1:26" x14ac:dyDescent="0.25">
      <c r="A394" s="270" t="s">
        <v>28</v>
      </c>
      <c r="B394" s="279" t="str">
        <f>B393</f>
        <v>88 GAS -Pisco</v>
      </c>
      <c r="C394" s="280" t="s">
        <v>31</v>
      </c>
      <c r="D394" s="281" t="s">
        <v>185</v>
      </c>
      <c r="E394" s="281"/>
      <c r="F394" s="286" t="str">
        <f>F393</f>
        <v xml:space="preserve"> MM BTU</v>
      </c>
      <c r="G394" s="388">
        <f>+G393</f>
        <v>24300.12</v>
      </c>
      <c r="H394" s="319">
        <f>+H393</f>
        <v>25520.17</v>
      </c>
      <c r="I394" s="272">
        <v>2.7631000000000001</v>
      </c>
      <c r="J394" s="272">
        <v>2.7631000000000001</v>
      </c>
      <c r="K394" s="272"/>
      <c r="L394" s="272"/>
      <c r="M394" s="272"/>
      <c r="N394" s="271"/>
      <c r="O394" s="271">
        <f t="shared" si="196"/>
        <v>137658.44329899998</v>
      </c>
      <c r="P394" s="271">
        <f>ROUND(37.24%*O394,2)</f>
        <v>51264</v>
      </c>
      <c r="Q394" s="271">
        <f t="shared" si="197"/>
        <v>25632</v>
      </c>
      <c r="R394" s="154">
        <v>0.5</v>
      </c>
      <c r="W394" s="47"/>
      <c r="Y394" s="47"/>
      <c r="Z394" s="47"/>
    </row>
    <row r="395" spans="1:26" x14ac:dyDescent="0.25">
      <c r="A395" s="273"/>
      <c r="B395" s="282" t="s">
        <v>180</v>
      </c>
      <c r="C395" s="71"/>
      <c r="D395" s="165"/>
      <c r="E395" s="165"/>
      <c r="F395" s="273"/>
      <c r="G395" s="255">
        <f t="shared" ref="G395:Q395" si="198">G394-G393</f>
        <v>0</v>
      </c>
      <c r="H395" s="320">
        <f t="shared" si="198"/>
        <v>0</v>
      </c>
      <c r="I395" s="283">
        <f t="shared" si="198"/>
        <v>-1.2199999999999989E-2</v>
      </c>
      <c r="J395" s="283">
        <f t="shared" si="198"/>
        <v>-1.2199999999999989E-2</v>
      </c>
      <c r="K395" s="283">
        <f t="shared" si="198"/>
        <v>0</v>
      </c>
      <c r="L395" s="283">
        <f t="shared" si="198"/>
        <v>0</v>
      </c>
      <c r="M395" s="283">
        <f t="shared" si="198"/>
        <v>0</v>
      </c>
      <c r="N395" s="284">
        <f t="shared" si="198"/>
        <v>0</v>
      </c>
      <c r="O395" s="255">
        <f t="shared" si="198"/>
        <v>-607.80753800002276</v>
      </c>
      <c r="P395" s="344">
        <f t="shared" si="198"/>
        <v>-226.34999999999854</v>
      </c>
      <c r="Q395" s="255">
        <f t="shared" si="198"/>
        <v>-113.18000000000029</v>
      </c>
      <c r="R395" s="345"/>
      <c r="S395" s="251" t="s">
        <v>181</v>
      </c>
      <c r="X395" s="47"/>
      <c r="Y395" s="47"/>
    </row>
    <row r="396" spans="1:26" x14ac:dyDescent="0.25">
      <c r="A396" s="96"/>
      <c r="B396" s="5"/>
      <c r="C396" s="96"/>
      <c r="D396" s="96"/>
      <c r="E396" s="96"/>
      <c r="F396" s="96"/>
      <c r="G396" s="366"/>
      <c r="H396" s="366"/>
      <c r="I396" s="387"/>
      <c r="J396" s="387"/>
      <c r="K396" s="367"/>
      <c r="L396" s="367"/>
      <c r="M396" s="367"/>
      <c r="N396" s="368"/>
      <c r="O396" s="366"/>
      <c r="P396" s="369"/>
      <c r="Q396" s="366"/>
      <c r="R396" s="370"/>
      <c r="S396" s="366"/>
      <c r="T396" s="4"/>
      <c r="U396" s="4"/>
      <c r="V396" s="4"/>
    </row>
    <row r="397" spans="1:26" x14ac:dyDescent="0.25">
      <c r="A397" s="324"/>
      <c r="B397" s="265" t="s">
        <v>273</v>
      </c>
      <c r="C397" s="317"/>
      <c r="T397" s="290"/>
      <c r="W397" s="48"/>
      <c r="Y397" s="294"/>
      <c r="Z397" s="48"/>
    </row>
    <row r="398" spans="1:26" ht="13" x14ac:dyDescent="0.3">
      <c r="A398" s="257" t="s">
        <v>161</v>
      </c>
      <c r="B398" s="252"/>
      <c r="C398" s="266"/>
      <c r="D398" s="263" t="s">
        <v>19</v>
      </c>
      <c r="E398" s="262" t="s">
        <v>58</v>
      </c>
      <c r="F398" s="263" t="s">
        <v>27</v>
      </c>
      <c r="G398" s="264" t="s">
        <v>34</v>
      </c>
      <c r="H398" s="253" t="s">
        <v>35</v>
      </c>
      <c r="I398" s="253" t="s">
        <v>34</v>
      </c>
      <c r="J398" s="264" t="s">
        <v>35</v>
      </c>
      <c r="K398" s="264" t="s">
        <v>38</v>
      </c>
      <c r="L398" s="264" t="s">
        <v>39</v>
      </c>
      <c r="M398" s="264" t="s">
        <v>41</v>
      </c>
      <c r="N398" s="264" t="s">
        <v>2</v>
      </c>
      <c r="O398" s="267" t="s">
        <v>179</v>
      </c>
      <c r="P398" s="276" t="s">
        <v>163</v>
      </c>
      <c r="Q398" s="276" t="s">
        <v>183</v>
      </c>
      <c r="R398" s="254"/>
      <c r="W398" s="48"/>
      <c r="Y398" s="295"/>
      <c r="Z398" s="294"/>
    </row>
    <row r="399" spans="1:26" x14ac:dyDescent="0.25">
      <c r="A399" s="16" t="s">
        <v>28</v>
      </c>
      <c r="B399" s="17" t="s">
        <v>225</v>
      </c>
      <c r="C399" s="40" t="s">
        <v>31</v>
      </c>
      <c r="D399" s="40" t="s">
        <v>30</v>
      </c>
      <c r="E399" s="40" t="s">
        <v>158</v>
      </c>
      <c r="F399" s="216" t="s">
        <v>55</v>
      </c>
      <c r="G399" s="256">
        <v>21481.439999999999</v>
      </c>
      <c r="H399" s="256">
        <v>31441.16</v>
      </c>
      <c r="I399" s="192">
        <v>2.7627999999999999</v>
      </c>
      <c r="J399" s="192">
        <v>2.7627999999999999</v>
      </c>
      <c r="K399" s="256"/>
      <c r="L399" s="256"/>
      <c r="M399" s="256"/>
      <c r="N399" s="256"/>
      <c r="O399" s="200">
        <f t="shared" ref="O399:O400" si="199">G399*I399+H399*J399</f>
        <v>146214.55927999999</v>
      </c>
      <c r="P399" s="198">
        <f>ROUND(37.24%*O399,2)</f>
        <v>54450.3</v>
      </c>
      <c r="Q399" s="198">
        <f t="shared" ref="Q399:Q400" si="200">ROUND(R399*P399,2)</f>
        <v>27225.15</v>
      </c>
      <c r="R399" s="199">
        <v>0.5</v>
      </c>
      <c r="W399" s="47"/>
      <c r="Y399" s="47"/>
    </row>
    <row r="400" spans="1:26" x14ac:dyDescent="0.25">
      <c r="A400" s="270" t="s">
        <v>28</v>
      </c>
      <c r="B400" s="279" t="str">
        <f>B399</f>
        <v>88 GAS -Pisco</v>
      </c>
      <c r="C400" s="280" t="s">
        <v>31</v>
      </c>
      <c r="D400" s="281" t="s">
        <v>185</v>
      </c>
      <c r="E400" s="281"/>
      <c r="F400" s="286" t="str">
        <f>F399</f>
        <v xml:space="preserve"> MM BTU</v>
      </c>
      <c r="G400" s="388">
        <f>+G399</f>
        <v>21481.439999999999</v>
      </c>
      <c r="H400" s="319">
        <f>+H399</f>
        <v>31441.16</v>
      </c>
      <c r="I400" s="272">
        <v>2.8784000000000001</v>
      </c>
      <c r="J400" s="272">
        <v>2.8784000000000001</v>
      </c>
      <c r="K400" s="272"/>
      <c r="L400" s="272"/>
      <c r="M400" s="272"/>
      <c r="N400" s="271"/>
      <c r="O400" s="271">
        <f t="shared" si="199"/>
        <v>152332.41183999999</v>
      </c>
      <c r="P400" s="271">
        <f>ROUND(37.24%*O400,2)</f>
        <v>56728.59</v>
      </c>
      <c r="Q400" s="271">
        <f t="shared" si="200"/>
        <v>28364.3</v>
      </c>
      <c r="R400" s="154">
        <v>0.5</v>
      </c>
      <c r="W400" s="47"/>
      <c r="Y400" s="47"/>
      <c r="Z400" s="47"/>
    </row>
    <row r="401" spans="1:26" x14ac:dyDescent="0.25">
      <c r="A401" s="273"/>
      <c r="B401" s="282" t="s">
        <v>180</v>
      </c>
      <c r="C401" s="71"/>
      <c r="D401" s="165"/>
      <c r="E401" s="165"/>
      <c r="F401" s="273"/>
      <c r="G401" s="255">
        <f t="shared" ref="G401:Q401" si="201">G400-G399</f>
        <v>0</v>
      </c>
      <c r="H401" s="320">
        <f t="shared" si="201"/>
        <v>0</v>
      </c>
      <c r="I401" s="283">
        <f t="shared" si="201"/>
        <v>0.11560000000000015</v>
      </c>
      <c r="J401" s="283">
        <f t="shared" si="201"/>
        <v>0.11560000000000015</v>
      </c>
      <c r="K401" s="283">
        <f t="shared" si="201"/>
        <v>0</v>
      </c>
      <c r="L401" s="283">
        <f t="shared" si="201"/>
        <v>0</v>
      </c>
      <c r="M401" s="283">
        <f t="shared" si="201"/>
        <v>0</v>
      </c>
      <c r="N401" s="284">
        <f t="shared" si="201"/>
        <v>0</v>
      </c>
      <c r="O401" s="255">
        <f t="shared" si="201"/>
        <v>6117.8525599999994</v>
      </c>
      <c r="P401" s="344">
        <f t="shared" si="201"/>
        <v>2278.2899999999936</v>
      </c>
      <c r="Q401" s="255">
        <f t="shared" si="201"/>
        <v>1139.1499999999978</v>
      </c>
      <c r="R401" s="345"/>
      <c r="S401" s="251" t="s">
        <v>181</v>
      </c>
      <c r="X401" s="47"/>
      <c r="Y401" s="47"/>
    </row>
    <row r="402" spans="1:26" x14ac:dyDescent="0.25">
      <c r="A402" s="96"/>
      <c r="B402" s="5"/>
      <c r="C402" s="96"/>
      <c r="D402" s="96"/>
      <c r="E402" s="96"/>
      <c r="F402" s="96"/>
      <c r="G402" s="366"/>
      <c r="H402" s="366"/>
      <c r="I402" s="387"/>
      <c r="J402" s="387"/>
      <c r="K402" s="367"/>
      <c r="L402" s="367"/>
      <c r="M402" s="367"/>
      <c r="N402" s="368"/>
      <c r="O402" s="366"/>
      <c r="P402" s="369"/>
      <c r="Q402" s="366"/>
      <c r="R402" s="370"/>
      <c r="S402" s="366"/>
      <c r="T402" s="4"/>
      <c r="U402" s="4"/>
      <c r="V402" s="4"/>
    </row>
    <row r="403" spans="1:26" x14ac:dyDescent="0.25">
      <c r="A403" s="324"/>
      <c r="B403" s="265" t="s">
        <v>274</v>
      </c>
      <c r="C403" s="317"/>
      <c r="T403" s="290"/>
      <c r="W403" s="48"/>
      <c r="Y403" s="294"/>
      <c r="Z403" s="48"/>
    </row>
    <row r="404" spans="1:26" ht="13" x14ac:dyDescent="0.3">
      <c r="A404" s="257" t="s">
        <v>161</v>
      </c>
      <c r="B404" s="252"/>
      <c r="C404" s="266"/>
      <c r="D404" s="263" t="s">
        <v>19</v>
      </c>
      <c r="E404" s="262" t="s">
        <v>58</v>
      </c>
      <c r="F404" s="263" t="s">
        <v>27</v>
      </c>
      <c r="G404" s="264" t="s">
        <v>34</v>
      </c>
      <c r="H404" s="253" t="s">
        <v>35</v>
      </c>
      <c r="I404" s="253" t="s">
        <v>34</v>
      </c>
      <c r="J404" s="264" t="s">
        <v>35</v>
      </c>
      <c r="K404" s="264" t="s">
        <v>38</v>
      </c>
      <c r="L404" s="264" t="s">
        <v>39</v>
      </c>
      <c r="M404" s="264" t="s">
        <v>41</v>
      </c>
      <c r="N404" s="264" t="s">
        <v>2</v>
      </c>
      <c r="O404" s="267" t="s">
        <v>179</v>
      </c>
      <c r="P404" s="276" t="s">
        <v>163</v>
      </c>
      <c r="Q404" s="276" t="s">
        <v>183</v>
      </c>
      <c r="R404" s="254"/>
      <c r="W404" s="48"/>
      <c r="Y404" s="295"/>
      <c r="Z404" s="294"/>
    </row>
    <row r="405" spans="1:26" x14ac:dyDescent="0.25">
      <c r="A405" s="16" t="s">
        <v>28</v>
      </c>
      <c r="B405" s="17" t="s">
        <v>225</v>
      </c>
      <c r="C405" s="40" t="s">
        <v>31</v>
      </c>
      <c r="D405" s="40" t="s">
        <v>30</v>
      </c>
      <c r="E405" s="40" t="s">
        <v>158</v>
      </c>
      <c r="F405" s="216" t="s">
        <v>55</v>
      </c>
      <c r="G405" s="256">
        <v>5329.8662000000004</v>
      </c>
      <c r="H405" s="256">
        <v>20568.6021</v>
      </c>
      <c r="I405" s="192">
        <v>2.8782999999999999</v>
      </c>
      <c r="J405" s="192">
        <v>2.8782999999999999</v>
      </c>
      <c r="K405" s="256"/>
      <c r="L405" s="256"/>
      <c r="M405" s="256"/>
      <c r="N405" s="256"/>
      <c r="O405" s="200">
        <f t="shared" ref="O405:O406" si="202">G405*I405+H405*J405</f>
        <v>74543.561307889991</v>
      </c>
      <c r="P405" s="198">
        <f>ROUND(37.24%*O405,2)</f>
        <v>27760.02</v>
      </c>
      <c r="Q405" s="198">
        <f>ROUND(R405*P405,2)</f>
        <v>13880.01</v>
      </c>
      <c r="R405" s="199">
        <v>0.5</v>
      </c>
      <c r="W405" s="47"/>
      <c r="Y405" s="47"/>
    </row>
    <row r="406" spans="1:26" x14ac:dyDescent="0.25">
      <c r="A406" s="270" t="s">
        <v>28</v>
      </c>
      <c r="B406" s="279" t="str">
        <f>B405</f>
        <v>88 GAS -Pisco</v>
      </c>
      <c r="C406" s="280" t="s">
        <v>31</v>
      </c>
      <c r="D406" s="281" t="s">
        <v>185</v>
      </c>
      <c r="E406" s="281"/>
      <c r="F406" s="286" t="str">
        <f>F405</f>
        <v xml:space="preserve"> MM BTU</v>
      </c>
      <c r="G406" s="388">
        <f>+G405</f>
        <v>5329.8662000000004</v>
      </c>
      <c r="H406" s="319">
        <f>+H405</f>
        <v>20568.6021</v>
      </c>
      <c r="I406" s="272">
        <v>2.8683999999999998</v>
      </c>
      <c r="J406" s="272">
        <v>2.8683999999999998</v>
      </c>
      <c r="K406" s="272"/>
      <c r="L406" s="272"/>
      <c r="M406" s="272"/>
      <c r="N406" s="271"/>
      <c r="O406" s="271">
        <f t="shared" si="202"/>
        <v>74287.166471720004</v>
      </c>
      <c r="P406" s="271">
        <f>ROUND(37.24%*O406,2)</f>
        <v>27664.54</v>
      </c>
      <c r="Q406" s="271">
        <f>ROUND(R406*P406,2)</f>
        <v>13832.27</v>
      </c>
      <c r="R406" s="154">
        <v>0.5</v>
      </c>
      <c r="W406" s="47"/>
      <c r="Y406" s="47"/>
      <c r="Z406" s="47"/>
    </row>
    <row r="407" spans="1:26" x14ac:dyDescent="0.25">
      <c r="A407" s="273"/>
      <c r="B407" s="282" t="s">
        <v>180</v>
      </c>
      <c r="C407" s="71"/>
      <c r="D407" s="165"/>
      <c r="E407" s="165"/>
      <c r="F407" s="273"/>
      <c r="G407" s="255">
        <f t="shared" ref="G407:Q407" si="203">G406-G405</f>
        <v>0</v>
      </c>
      <c r="H407" s="320">
        <f t="shared" si="203"/>
        <v>0</v>
      </c>
      <c r="I407" s="283">
        <f t="shared" si="203"/>
        <v>-9.9000000000000199E-3</v>
      </c>
      <c r="J407" s="283">
        <f t="shared" si="203"/>
        <v>-9.9000000000000199E-3</v>
      </c>
      <c r="K407" s="283">
        <f t="shared" si="203"/>
        <v>0</v>
      </c>
      <c r="L407" s="283">
        <f t="shared" si="203"/>
        <v>0</v>
      </c>
      <c r="M407" s="283">
        <f t="shared" si="203"/>
        <v>0</v>
      </c>
      <c r="N407" s="284">
        <f t="shared" si="203"/>
        <v>0</v>
      </c>
      <c r="O407" s="255">
        <f t="shared" si="203"/>
        <v>-256.39483616998768</v>
      </c>
      <c r="P407" s="344">
        <f t="shared" si="203"/>
        <v>-95.479999999999563</v>
      </c>
      <c r="Q407" s="255">
        <f t="shared" si="203"/>
        <v>-47.739999999999782</v>
      </c>
      <c r="R407" s="345"/>
      <c r="S407" s="251" t="s">
        <v>181</v>
      </c>
      <c r="X407" s="47"/>
      <c r="Y407" s="47"/>
    </row>
    <row r="408" spans="1:26" x14ac:dyDescent="0.25">
      <c r="A408" s="96"/>
      <c r="B408" s="5"/>
      <c r="C408" s="96"/>
      <c r="D408" s="96"/>
      <c r="E408" s="96"/>
      <c r="F408" s="96"/>
      <c r="G408" s="366"/>
      <c r="H408" s="366"/>
      <c r="I408" s="387"/>
      <c r="J408" s="387"/>
      <c r="K408" s="367"/>
      <c r="L408" s="367"/>
      <c r="M408" s="367"/>
      <c r="N408" s="368"/>
      <c r="O408" s="366"/>
      <c r="P408" s="369"/>
      <c r="Q408" s="366"/>
      <c r="R408" s="370"/>
      <c r="S408" s="366"/>
      <c r="T408" s="4"/>
      <c r="U408" s="4"/>
      <c r="V408" s="4"/>
    </row>
    <row r="409" spans="1:26" x14ac:dyDescent="0.25">
      <c r="A409" s="96"/>
      <c r="B409" s="5"/>
      <c r="C409" s="96"/>
      <c r="D409" s="96"/>
      <c r="E409" s="96"/>
      <c r="F409" s="96"/>
      <c r="G409" s="366"/>
      <c r="H409" s="366"/>
      <c r="I409" s="387"/>
      <c r="J409" s="387"/>
      <c r="K409" s="367"/>
      <c r="L409" s="367"/>
      <c r="M409" s="367"/>
      <c r="N409" s="368"/>
      <c r="O409" s="366"/>
      <c r="P409" s="369"/>
      <c r="Q409" s="366"/>
      <c r="R409" s="370"/>
      <c r="S409" s="366"/>
      <c r="T409" s="4"/>
      <c r="U409" s="4"/>
      <c r="V409" s="4"/>
    </row>
    <row r="410" spans="1:26" x14ac:dyDescent="0.25">
      <c r="A410" s="324" t="s">
        <v>216</v>
      </c>
      <c r="B410" s="265" t="s">
        <v>221</v>
      </c>
    </row>
    <row r="411" spans="1:26" ht="13" x14ac:dyDescent="0.3">
      <c r="A411" s="257" t="s">
        <v>217</v>
      </c>
      <c r="B411" s="252"/>
      <c r="C411" s="266"/>
      <c r="D411" s="263" t="s">
        <v>19</v>
      </c>
      <c r="E411" s="262" t="s">
        <v>58</v>
      </c>
      <c r="F411" s="263" t="s">
        <v>27</v>
      </c>
      <c r="G411" s="264" t="s">
        <v>34</v>
      </c>
      <c r="H411" s="253" t="s">
        <v>35</v>
      </c>
      <c r="I411" s="253" t="s">
        <v>34</v>
      </c>
      <c r="J411" s="264" t="s">
        <v>35</v>
      </c>
      <c r="K411" s="264" t="s">
        <v>38</v>
      </c>
      <c r="L411" s="264" t="s">
        <v>39</v>
      </c>
      <c r="M411" s="264" t="s">
        <v>41</v>
      </c>
      <c r="N411" s="326" t="s">
        <v>2</v>
      </c>
      <c r="O411" s="267" t="s">
        <v>179</v>
      </c>
      <c r="P411" s="276" t="s">
        <v>163</v>
      </c>
      <c r="Q411" s="276" t="s">
        <v>46</v>
      </c>
      <c r="R411" s="254"/>
      <c r="S411" s="276" t="s">
        <v>47</v>
      </c>
      <c r="T411" s="254"/>
    </row>
    <row r="412" spans="1:26" x14ac:dyDescent="0.25">
      <c r="A412" s="268" t="s">
        <v>28</v>
      </c>
      <c r="B412" s="269" t="s">
        <v>164</v>
      </c>
      <c r="C412" s="40" t="s">
        <v>31</v>
      </c>
      <c r="D412" s="40" t="s">
        <v>21</v>
      </c>
      <c r="E412" s="40" t="s">
        <v>98</v>
      </c>
      <c r="F412" s="214" t="s">
        <v>36</v>
      </c>
      <c r="G412" s="191"/>
      <c r="H412" s="191"/>
      <c r="I412" s="193"/>
      <c r="J412" s="192"/>
      <c r="K412" s="256"/>
      <c r="L412" s="256"/>
      <c r="M412" s="256"/>
      <c r="N412" s="191">
        <v>0</v>
      </c>
      <c r="O412" s="200">
        <f>ROUND(G412*I412,2)+ROUND(H412*J412,2)-K412-L412-M412-N412</f>
        <v>0</v>
      </c>
      <c r="P412" s="198">
        <f>ROUND(18.75%*O412,2)</f>
        <v>0</v>
      </c>
      <c r="Q412" s="198">
        <f>ROUND($O412*R412,2)</f>
        <v>0</v>
      </c>
      <c r="R412" s="199">
        <v>0.15</v>
      </c>
      <c r="S412" s="198">
        <f>ROUND($O412*T412,2)</f>
        <v>0</v>
      </c>
      <c r="T412" s="236">
        <v>3.7499999999999999E-2</v>
      </c>
    </row>
    <row r="413" spans="1:26" x14ac:dyDescent="0.25">
      <c r="A413" s="270" t="s">
        <v>28</v>
      </c>
      <c r="B413" s="279" t="s">
        <v>164</v>
      </c>
      <c r="C413" s="40" t="s">
        <v>31</v>
      </c>
      <c r="D413" s="40" t="s">
        <v>185</v>
      </c>
      <c r="E413" s="40"/>
      <c r="F413" s="286" t="s">
        <v>36</v>
      </c>
      <c r="G413" s="271"/>
      <c r="H413" s="271">
        <v>1460</v>
      </c>
      <c r="I413" s="359"/>
      <c r="J413" s="195">
        <v>57.582500000000003</v>
      </c>
      <c r="K413" s="272"/>
      <c r="L413" s="272"/>
      <c r="M413" s="272"/>
      <c r="N413" s="375"/>
      <c r="O413" s="288">
        <f t="shared" ref="O413" si="204">ROUND(G413*I413,2)+ROUND(H413*J413,2)-K413-L413-M413-N413</f>
        <v>84070.45</v>
      </c>
      <c r="P413" s="289">
        <f>ROUND(18.75%*O413,2)</f>
        <v>15763.21</v>
      </c>
      <c r="Q413" s="289">
        <f>ROUND($O413*R413,2)</f>
        <v>12610.57</v>
      </c>
      <c r="R413" s="34">
        <v>0.15</v>
      </c>
      <c r="S413" s="289">
        <f>ROUND($O413*T413,2)</f>
        <v>3152.64</v>
      </c>
      <c r="T413" s="349">
        <v>3.7499999999999999E-2</v>
      </c>
    </row>
    <row r="414" spans="1:26" ht="13" x14ac:dyDescent="0.3">
      <c r="A414" s="273"/>
      <c r="B414" s="282"/>
      <c r="C414" s="71"/>
      <c r="D414" s="165"/>
      <c r="E414" s="165"/>
      <c r="F414" s="273"/>
      <c r="G414" s="318">
        <f>+G413-G412</f>
        <v>0</v>
      </c>
      <c r="H414" s="318">
        <f>+H413-H412</f>
        <v>1460</v>
      </c>
      <c r="I414" s="274">
        <f>+I413-I412</f>
        <v>0</v>
      </c>
      <c r="J414" s="373">
        <f>+J413-J412</f>
        <v>57.582500000000003</v>
      </c>
      <c r="K414" s="321"/>
      <c r="L414" s="321"/>
      <c r="M414" s="321"/>
      <c r="N414" s="327">
        <f>SUM(N412:N413)</f>
        <v>0</v>
      </c>
      <c r="O414" s="274">
        <f>+O413-O412</f>
        <v>84070.45</v>
      </c>
      <c r="P414" s="275">
        <f>+P413-P412</f>
        <v>15763.21</v>
      </c>
      <c r="Q414" s="274">
        <f>+Q413-Q412</f>
        <v>12610.57</v>
      </c>
      <c r="R414" s="285"/>
      <c r="S414" s="314">
        <f>+S413-S412</f>
        <v>3152.64</v>
      </c>
      <c r="T414" s="313"/>
      <c r="U414" s="251" t="s">
        <v>181</v>
      </c>
    </row>
    <row r="415" spans="1:26" ht="13" x14ac:dyDescent="0.3">
      <c r="A415" s="96"/>
      <c r="B415" s="5"/>
      <c r="C415" s="96"/>
      <c r="D415" s="96"/>
      <c r="E415" s="96"/>
      <c r="F415" s="96"/>
      <c r="G415" s="366"/>
      <c r="H415" s="366"/>
      <c r="I415" s="366"/>
      <c r="J415" s="366"/>
      <c r="K415" s="367"/>
      <c r="L415" s="367"/>
      <c r="M415" s="367"/>
      <c r="N415" s="368"/>
      <c r="O415" s="366"/>
      <c r="P415" s="369"/>
      <c r="Q415" s="366"/>
      <c r="R415" s="116"/>
      <c r="S415" s="371"/>
      <c r="T415" s="4"/>
    </row>
    <row r="416" spans="1:26" x14ac:dyDescent="0.25">
      <c r="A416" s="324"/>
      <c r="B416" s="265" t="s">
        <v>221</v>
      </c>
      <c r="Q416" s="290"/>
    </row>
    <row r="417" spans="1:22" ht="13" x14ac:dyDescent="0.3">
      <c r="A417" s="257" t="s">
        <v>24</v>
      </c>
      <c r="B417" s="252"/>
      <c r="C417" s="266"/>
      <c r="D417" s="263" t="s">
        <v>19</v>
      </c>
      <c r="E417" s="262" t="s">
        <v>58</v>
      </c>
      <c r="F417" s="263" t="s">
        <v>27</v>
      </c>
      <c r="G417" s="264" t="s">
        <v>34</v>
      </c>
      <c r="H417" s="253" t="s">
        <v>35</v>
      </c>
      <c r="I417" s="253" t="s">
        <v>34</v>
      </c>
      <c r="J417" s="264" t="s">
        <v>35</v>
      </c>
      <c r="K417" s="264" t="s">
        <v>38</v>
      </c>
      <c r="L417" s="264" t="s">
        <v>39</v>
      </c>
      <c r="M417" s="264" t="s">
        <v>41</v>
      </c>
      <c r="N417" s="326" t="s">
        <v>2</v>
      </c>
      <c r="O417" s="267" t="s">
        <v>179</v>
      </c>
      <c r="P417" s="276" t="s">
        <v>163</v>
      </c>
      <c r="Q417" s="276" t="s">
        <v>46</v>
      </c>
      <c r="R417" s="254"/>
      <c r="S417" s="276" t="s">
        <v>47</v>
      </c>
      <c r="T417" s="254"/>
    </row>
    <row r="418" spans="1:22" x14ac:dyDescent="0.25">
      <c r="A418" s="268" t="s">
        <v>28</v>
      </c>
      <c r="B418" s="269" t="s">
        <v>10</v>
      </c>
      <c r="C418" s="40" t="s">
        <v>31</v>
      </c>
      <c r="D418" s="40" t="s">
        <v>21</v>
      </c>
      <c r="E418" s="40" t="s">
        <v>98</v>
      </c>
      <c r="F418" s="214" t="s">
        <v>36</v>
      </c>
      <c r="G418" s="191"/>
      <c r="H418" s="191"/>
      <c r="I418" s="191"/>
      <c r="J418" s="391"/>
      <c r="K418" s="256"/>
      <c r="L418" s="256"/>
      <c r="M418" s="256"/>
      <c r="N418" s="191"/>
      <c r="O418" s="200">
        <f t="shared" ref="O418:O419" si="205">ROUND(G418*I418,2)+ROUND(H418*J418,2)-K418-L418-M418-N418</f>
        <v>0</v>
      </c>
      <c r="P418" s="198">
        <f>ROUND(18.75%*O418,2)</f>
        <v>0</v>
      </c>
      <c r="Q418" s="198">
        <f>ROUND($O418*R418,2)</f>
        <v>0</v>
      </c>
      <c r="R418" s="199">
        <v>0.15</v>
      </c>
      <c r="S418" s="198">
        <f>ROUND($O418*T418,2)</f>
        <v>0</v>
      </c>
      <c r="T418" s="236">
        <v>3.7499999999999999E-2</v>
      </c>
    </row>
    <row r="419" spans="1:22" x14ac:dyDescent="0.25">
      <c r="A419" s="270" t="s">
        <v>28</v>
      </c>
      <c r="B419" s="279" t="str">
        <f>+B418</f>
        <v>31-B</v>
      </c>
      <c r="C419" s="40" t="s">
        <v>31</v>
      </c>
      <c r="D419" s="40" t="s">
        <v>185</v>
      </c>
      <c r="E419" s="40" t="str">
        <f>+E418</f>
        <v>F2</v>
      </c>
      <c r="F419" s="286" t="str">
        <f>F418</f>
        <v>Bls</v>
      </c>
      <c r="G419" s="309"/>
      <c r="H419" s="309">
        <v>1293</v>
      </c>
      <c r="I419" s="309"/>
      <c r="J419" s="392">
        <v>68.201400000000007</v>
      </c>
      <c r="K419" s="272"/>
      <c r="L419" s="272"/>
      <c r="M419" s="272"/>
      <c r="N419" s="338"/>
      <c r="O419" s="288">
        <f t="shared" si="205"/>
        <v>88184.41</v>
      </c>
      <c r="P419" s="289">
        <f>ROUND(18.75%*O419,2)</f>
        <v>16534.580000000002</v>
      </c>
      <c r="Q419" s="289">
        <f>ROUND($O419*R419,2)</f>
        <v>13227.66</v>
      </c>
      <c r="R419" s="34">
        <v>0.15</v>
      </c>
      <c r="S419" s="289">
        <f>ROUND($O419*T419,2)</f>
        <v>3306.92</v>
      </c>
      <c r="T419" s="349">
        <v>3.7499999999999999E-2</v>
      </c>
    </row>
    <row r="420" spans="1:22" ht="13" x14ac:dyDescent="0.3">
      <c r="A420" s="273"/>
      <c r="B420" s="282"/>
      <c r="C420" s="71"/>
      <c r="D420" s="165"/>
      <c r="E420" s="165"/>
      <c r="F420" s="273"/>
      <c r="G420" s="274">
        <f>+G419-G418</f>
        <v>0</v>
      </c>
      <c r="H420" s="274">
        <f>+H419-H418</f>
        <v>1293</v>
      </c>
      <c r="I420" s="274">
        <f>+I419-I418</f>
        <v>0</v>
      </c>
      <c r="J420" s="373">
        <f>+J419-J418</f>
        <v>68.201400000000007</v>
      </c>
      <c r="K420" s="372"/>
      <c r="L420" s="321"/>
      <c r="M420" s="321"/>
      <c r="N420" s="327">
        <f>SUM(N418:N419)</f>
        <v>0</v>
      </c>
      <c r="O420" s="274">
        <f>+O419-O418</f>
        <v>88184.41</v>
      </c>
      <c r="P420" s="275">
        <f>+P419-P418</f>
        <v>16534.580000000002</v>
      </c>
      <c r="Q420" s="274">
        <f>+Q419-Q418</f>
        <v>13227.66</v>
      </c>
      <c r="R420" s="285"/>
      <c r="S420" s="314">
        <f>+S419-S418</f>
        <v>3306.92</v>
      </c>
      <c r="T420" s="313"/>
      <c r="U420" s="251" t="s">
        <v>181</v>
      </c>
    </row>
    <row r="421" spans="1:22" x14ac:dyDescent="0.25">
      <c r="A421" s="96"/>
      <c r="B421" s="5"/>
      <c r="C421" s="96"/>
      <c r="D421" s="96"/>
      <c r="E421" s="96"/>
      <c r="F421" s="96"/>
      <c r="G421" s="366"/>
      <c r="H421" s="366"/>
      <c r="I421" s="366"/>
      <c r="J421" s="366"/>
      <c r="K421" s="367"/>
      <c r="L421" s="367"/>
      <c r="M421" s="367"/>
      <c r="N421" s="368"/>
      <c r="O421" s="366"/>
      <c r="P421" s="366"/>
      <c r="Q421" s="366"/>
      <c r="R421" s="116"/>
      <c r="S421" s="366"/>
      <c r="T421" s="4"/>
    </row>
    <row r="422" spans="1:22" ht="13" x14ac:dyDescent="0.3">
      <c r="A422" s="96"/>
      <c r="B422" s="5"/>
      <c r="C422" s="96"/>
      <c r="D422" s="96"/>
      <c r="E422" s="96"/>
      <c r="F422" s="96"/>
      <c r="G422" s="366"/>
      <c r="H422" s="366"/>
      <c r="I422" s="366"/>
      <c r="J422" s="366"/>
      <c r="K422" s="367"/>
      <c r="L422" s="367"/>
      <c r="M422" s="367"/>
      <c r="N422" s="368"/>
      <c r="O422" s="366"/>
      <c r="P422" s="369"/>
      <c r="Q422" s="366"/>
      <c r="R422" s="370"/>
      <c r="S422" s="371"/>
      <c r="T422" s="4"/>
    </row>
    <row r="423" spans="1:22" x14ac:dyDescent="0.25">
      <c r="A423" s="324"/>
      <c r="B423" s="265" t="s">
        <v>221</v>
      </c>
    </row>
    <row r="424" spans="1:22" ht="13" x14ac:dyDescent="0.3">
      <c r="A424" s="257" t="s">
        <v>190</v>
      </c>
      <c r="B424" s="252"/>
      <c r="C424" s="266"/>
      <c r="D424" s="263" t="s">
        <v>19</v>
      </c>
      <c r="E424" s="262" t="s">
        <v>58</v>
      </c>
      <c r="F424" s="263" t="s">
        <v>27</v>
      </c>
      <c r="G424" s="264" t="s">
        <v>34</v>
      </c>
      <c r="H424" s="253" t="s">
        <v>35</v>
      </c>
      <c r="I424" s="253" t="s">
        <v>34</v>
      </c>
      <c r="J424" s="264" t="s">
        <v>35</v>
      </c>
      <c r="K424" s="264" t="s">
        <v>38</v>
      </c>
      <c r="L424" s="264" t="s">
        <v>39</v>
      </c>
      <c r="M424" s="264" t="s">
        <v>41</v>
      </c>
      <c r="N424" s="326" t="s">
        <v>2</v>
      </c>
      <c r="O424" s="267" t="s">
        <v>179</v>
      </c>
      <c r="P424" s="276" t="s">
        <v>163</v>
      </c>
      <c r="Q424" s="276" t="s">
        <v>220</v>
      </c>
      <c r="R424" s="254"/>
      <c r="S424" s="290"/>
    </row>
    <row r="425" spans="1:22" x14ac:dyDescent="0.25">
      <c r="A425" s="268" t="s">
        <v>28</v>
      </c>
      <c r="B425" s="269" t="s">
        <v>11</v>
      </c>
      <c r="C425" s="40" t="s">
        <v>31</v>
      </c>
      <c r="D425" s="40" t="s">
        <v>21</v>
      </c>
      <c r="E425" s="40" t="s">
        <v>98</v>
      </c>
      <c r="F425" s="214" t="s">
        <v>36</v>
      </c>
      <c r="G425" s="191"/>
      <c r="H425" s="191"/>
      <c r="I425" s="191"/>
      <c r="J425" s="391"/>
      <c r="K425" s="256"/>
      <c r="L425" s="256"/>
      <c r="M425" s="256"/>
      <c r="N425" s="191"/>
      <c r="O425" s="200">
        <f>ROUND(G425*I425,2)+ROUND(H425*J425,2)-K425-L425-M425-N425</f>
        <v>0</v>
      </c>
      <c r="P425" s="198">
        <f>ROUND(15%*O425,2)</f>
        <v>0</v>
      </c>
      <c r="Q425" s="198">
        <f>ROUND($O425*R425,2)</f>
        <v>0</v>
      </c>
      <c r="R425" s="199">
        <v>0.15</v>
      </c>
    </row>
    <row r="426" spans="1:22" x14ac:dyDescent="0.25">
      <c r="A426" s="270" t="s">
        <v>28</v>
      </c>
      <c r="B426" s="279" t="str">
        <f>+B425</f>
        <v>31-D</v>
      </c>
      <c r="C426" s="40" t="s">
        <v>31</v>
      </c>
      <c r="D426" s="40" t="s">
        <v>185</v>
      </c>
      <c r="E426" s="40" t="str">
        <f>+E425</f>
        <v>F2</v>
      </c>
      <c r="F426" s="286" t="str">
        <f>F425</f>
        <v>Bls</v>
      </c>
      <c r="G426" s="309"/>
      <c r="H426" s="309">
        <v>2156</v>
      </c>
      <c r="I426" s="309"/>
      <c r="J426" s="392">
        <v>68.201400000000007</v>
      </c>
      <c r="K426" s="272"/>
      <c r="L426" s="272"/>
      <c r="M426" s="272"/>
      <c r="N426" s="338"/>
      <c r="O426" s="288">
        <f>ROUND(G426*I426,2)+ROUND(H426*J426,2)-K426-L426-M426-N426</f>
        <v>147042.22</v>
      </c>
      <c r="P426" s="289">
        <f>ROUND(15%*O426,2)</f>
        <v>22056.33</v>
      </c>
      <c r="Q426" s="289">
        <f>ROUND($O426*R426,2)</f>
        <v>22056.33</v>
      </c>
      <c r="R426" s="34">
        <v>0.15</v>
      </c>
    </row>
    <row r="427" spans="1:22" x14ac:dyDescent="0.25">
      <c r="A427" s="273"/>
      <c r="B427" s="282"/>
      <c r="C427" s="71"/>
      <c r="D427" s="165"/>
      <c r="E427" s="165"/>
      <c r="F427" s="273"/>
      <c r="G427" s="274">
        <f>+G426-G425</f>
        <v>0</v>
      </c>
      <c r="H427" s="274">
        <f>+H426-H425</f>
        <v>2156</v>
      </c>
      <c r="I427" s="274">
        <f>+I426-I425</f>
        <v>0</v>
      </c>
      <c r="J427" s="373">
        <f>+J426-J425</f>
        <v>68.201400000000007</v>
      </c>
      <c r="K427" s="372"/>
      <c r="L427" s="321"/>
      <c r="M427" s="321"/>
      <c r="N427" s="327">
        <f>SUM(N425:N426)</f>
        <v>0</v>
      </c>
      <c r="O427" s="274">
        <f>+O426-O425</f>
        <v>147042.22</v>
      </c>
      <c r="P427" s="275">
        <f>+P426-P425</f>
        <v>22056.33</v>
      </c>
      <c r="Q427" s="274">
        <f>+Q426-Q425</f>
        <v>22056.33</v>
      </c>
      <c r="R427" s="285"/>
    </row>
    <row r="428" spans="1:22" x14ac:dyDescent="0.25">
      <c r="A428" s="96"/>
      <c r="B428" s="5"/>
      <c r="C428" s="96"/>
      <c r="D428" s="96"/>
      <c r="E428" s="96"/>
      <c r="F428" s="96"/>
      <c r="G428" s="366"/>
      <c r="H428" s="366"/>
      <c r="I428" s="387"/>
      <c r="J428" s="387"/>
      <c r="K428" s="367"/>
      <c r="L428" s="367"/>
      <c r="M428" s="367"/>
      <c r="N428" s="368"/>
      <c r="O428" s="366"/>
      <c r="P428" s="369"/>
      <c r="Q428" s="366"/>
      <c r="R428" s="370"/>
      <c r="S428" s="366"/>
      <c r="T428" s="4"/>
      <c r="U428" s="4"/>
      <c r="V428" s="4"/>
    </row>
    <row r="429" spans="1:22" x14ac:dyDescent="0.25">
      <c r="A429" s="96"/>
      <c r="B429" s="5"/>
      <c r="C429" s="96"/>
      <c r="D429" s="96"/>
      <c r="E429" s="96"/>
      <c r="F429" s="96"/>
      <c r="G429" s="366"/>
      <c r="H429" s="366"/>
      <c r="I429" s="387"/>
      <c r="J429" s="387"/>
      <c r="K429" s="367"/>
      <c r="L429" s="367"/>
      <c r="M429" s="367"/>
      <c r="N429" s="368"/>
      <c r="O429" s="366"/>
      <c r="P429" s="369"/>
      <c r="Q429" s="366"/>
      <c r="R429" s="370"/>
      <c r="S429" s="366"/>
      <c r="T429" s="4"/>
      <c r="U429" s="4"/>
      <c r="V429" s="4"/>
    </row>
    <row r="430" spans="1:22" x14ac:dyDescent="0.25">
      <c r="A430" s="324" t="s">
        <v>200</v>
      </c>
      <c r="B430" s="265" t="s">
        <v>224</v>
      </c>
      <c r="N430" s="325"/>
    </row>
    <row r="431" spans="1:22" ht="13" x14ac:dyDescent="0.3">
      <c r="A431" s="257" t="s">
        <v>161</v>
      </c>
      <c r="B431" s="252"/>
      <c r="C431" s="266"/>
      <c r="D431" s="263" t="s">
        <v>19</v>
      </c>
      <c r="E431" s="262" t="s">
        <v>58</v>
      </c>
      <c r="F431" s="263" t="s">
        <v>27</v>
      </c>
      <c r="G431" s="264" t="s">
        <v>34</v>
      </c>
      <c r="H431" s="253" t="s">
        <v>35</v>
      </c>
      <c r="I431" s="253" t="s">
        <v>34</v>
      </c>
      <c r="J431" s="264" t="s">
        <v>35</v>
      </c>
      <c r="K431" s="264" t="s">
        <v>38</v>
      </c>
      <c r="L431" s="264" t="s">
        <v>39</v>
      </c>
      <c r="M431" s="264" t="s">
        <v>41</v>
      </c>
      <c r="N431" s="326" t="s">
        <v>2</v>
      </c>
      <c r="O431" s="267" t="s">
        <v>179</v>
      </c>
      <c r="P431" s="276" t="s">
        <v>163</v>
      </c>
      <c r="Q431" s="276" t="s">
        <v>42</v>
      </c>
      <c r="R431" s="254"/>
      <c r="S431" s="399" t="s">
        <v>43</v>
      </c>
      <c r="T431" s="254"/>
      <c r="U431" s="383"/>
      <c r="V431" s="383"/>
    </row>
    <row r="432" spans="1:22" x14ac:dyDescent="0.25">
      <c r="A432" s="268" t="s">
        <v>28</v>
      </c>
      <c r="B432" s="269" t="s">
        <v>209</v>
      </c>
      <c r="C432" s="214" t="s">
        <v>31</v>
      </c>
      <c r="D432" s="278" t="s">
        <v>21</v>
      </c>
      <c r="E432" s="278" t="s">
        <v>98</v>
      </c>
      <c r="F432" s="379" t="s">
        <v>36</v>
      </c>
      <c r="G432" s="191">
        <v>55673</v>
      </c>
      <c r="H432" s="191">
        <v>62945</v>
      </c>
      <c r="I432" s="193">
        <v>61.302300000000002</v>
      </c>
      <c r="J432" s="192">
        <v>64.704800000000006</v>
      </c>
      <c r="K432" s="180"/>
      <c r="L432" s="180"/>
      <c r="M432" s="180"/>
      <c r="N432" s="180"/>
      <c r="O432" s="200">
        <f t="shared" ref="O432:O433" si="206">ROUND(G432*I432,2)+ROUND(H432*J432,2)-K432-L432-M432-N432</f>
        <v>7485726.5899999999</v>
      </c>
      <c r="P432" s="198">
        <f t="shared" ref="P432:P433" si="207">ROUND(18.75%*O432,2)</f>
        <v>1403573.74</v>
      </c>
      <c r="Q432" s="198">
        <f>ROUND($O432*R432,2)</f>
        <v>1122858.99</v>
      </c>
      <c r="R432" s="199">
        <v>0.15</v>
      </c>
      <c r="S432" s="198">
        <f>ROUND($O432*T432,2)</f>
        <v>280714.75</v>
      </c>
      <c r="T432" s="236">
        <v>3.7499999999999999E-2</v>
      </c>
      <c r="U432" s="384"/>
      <c r="V432" s="384"/>
    </row>
    <row r="433" spans="1:22" x14ac:dyDescent="0.25">
      <c r="A433" s="270" t="s">
        <v>28</v>
      </c>
      <c r="B433" s="279" t="str">
        <f>B432</f>
        <v>VII-VI Petroleo</v>
      </c>
      <c r="C433" s="40" t="s">
        <v>31</v>
      </c>
      <c r="D433" s="281" t="s">
        <v>185</v>
      </c>
      <c r="E433" s="281"/>
      <c r="F433" s="286" t="str">
        <f>F432</f>
        <v>Bls</v>
      </c>
      <c r="G433" s="271">
        <f>+G432</f>
        <v>55673</v>
      </c>
      <c r="H433" s="271">
        <f t="shared" ref="H433" si="208">+H432</f>
        <v>62945</v>
      </c>
      <c r="I433" s="359">
        <v>61.103400000000001</v>
      </c>
      <c r="J433" s="359">
        <v>64.505899999999997</v>
      </c>
      <c r="K433" s="272"/>
      <c r="L433" s="272"/>
      <c r="M433" s="272"/>
      <c r="N433" s="338"/>
      <c r="O433" s="200">
        <f t="shared" si="206"/>
        <v>7462133.4699999997</v>
      </c>
      <c r="P433" s="198">
        <f t="shared" si="207"/>
        <v>1399150.03</v>
      </c>
      <c r="Q433" s="198">
        <f>ROUND($O433*R433,2)</f>
        <v>1119320.02</v>
      </c>
      <c r="R433" s="199">
        <v>0.15</v>
      </c>
      <c r="S433" s="198">
        <f>ROUND($O433*T433,2)</f>
        <v>279830.01</v>
      </c>
      <c r="T433" s="236">
        <v>3.7499999999999999E-2</v>
      </c>
      <c r="U433" s="384"/>
      <c r="V433" s="384"/>
    </row>
    <row r="434" spans="1:22" x14ac:dyDescent="0.25">
      <c r="A434" s="273"/>
      <c r="B434" s="282" t="s">
        <v>180</v>
      </c>
      <c r="C434" s="71"/>
      <c r="D434" s="165"/>
      <c r="E434" s="165"/>
      <c r="F434" s="273"/>
      <c r="G434" s="318">
        <f>+G433-G432</f>
        <v>0</v>
      </c>
      <c r="H434" s="318">
        <f t="shared" ref="H434:J434" si="209">+H433-H432</f>
        <v>0</v>
      </c>
      <c r="I434" s="373">
        <f t="shared" si="209"/>
        <v>-0.19890000000000185</v>
      </c>
      <c r="J434" s="373">
        <f t="shared" si="209"/>
        <v>-0.19890000000000896</v>
      </c>
      <c r="K434" s="321">
        <f t="shared" ref="K434:Q434" si="210">K433-K432</f>
        <v>0</v>
      </c>
      <c r="L434" s="321">
        <f t="shared" si="210"/>
        <v>0</v>
      </c>
      <c r="M434" s="321">
        <f t="shared" si="210"/>
        <v>0</v>
      </c>
      <c r="N434" s="327">
        <f t="shared" si="210"/>
        <v>0</v>
      </c>
      <c r="O434" s="255">
        <f t="shared" si="210"/>
        <v>-23593.120000000112</v>
      </c>
      <c r="P434" s="344">
        <f t="shared" si="210"/>
        <v>-4423.7099999999627</v>
      </c>
      <c r="Q434" s="255">
        <f t="shared" si="210"/>
        <v>-3538.9699999999721</v>
      </c>
      <c r="R434" s="345"/>
      <c r="S434" s="255">
        <f>+S433-S432</f>
        <v>-884.73999999999069</v>
      </c>
      <c r="T434" s="311"/>
      <c r="U434" s="4"/>
      <c r="V434" s="4"/>
    </row>
    <row r="435" spans="1:22" x14ac:dyDescent="0.25">
      <c r="A435" s="96"/>
      <c r="B435" s="5"/>
      <c r="C435" s="96"/>
      <c r="D435" s="96"/>
      <c r="E435" s="96"/>
      <c r="F435" s="96"/>
      <c r="G435" s="366"/>
      <c r="H435" s="366"/>
      <c r="I435" s="387"/>
      <c r="J435" s="387"/>
      <c r="K435" s="367"/>
      <c r="L435" s="367"/>
      <c r="M435" s="367"/>
      <c r="N435" s="368"/>
      <c r="O435" s="366"/>
      <c r="P435" s="369"/>
      <c r="Q435" s="366"/>
      <c r="R435" s="370"/>
      <c r="S435" s="366"/>
      <c r="T435" s="4"/>
      <c r="U435" s="4"/>
      <c r="V435" s="4"/>
    </row>
    <row r="436" spans="1:22" x14ac:dyDescent="0.25">
      <c r="T436" s="290"/>
    </row>
    <row r="437" spans="1:22" x14ac:dyDescent="0.25">
      <c r="N437" s="325" t="s">
        <v>1</v>
      </c>
      <c r="O437" s="45">
        <f>O434+O427+O420+O414+O407+O401+O395+O389+O383+O377+O371+O365+O359+O353+O347+O341+O335+O329+O323+O317+O311+O305+O299+O293+O287+O281+O275+O269+O263+O257+O251+O245+O239+O233+O227+O221+O215+O209+O203+O197+O191+O185+O179+O173+O167+O161+O155+O149+O143+O137+O131+O125+O119+O113+O107+O101+O95+O89</f>
        <v>2622270.3778975252</v>
      </c>
      <c r="P437" s="45">
        <f>P434+P427+P420+P414+P407+P401+P395+P389+P383+P377+P371+P365+P359+P353+P347+P341+P335+P329+P323+P317+P311+P305+P299+P293+P287+P281+P275+P269+P263+P257+P251+P245+P239+P233+P227+P221+P215+P209+P203+P197+P191+P185+P179+P173+P167+P161+P155+P149+P143+P137+P131+P125+P119+P113+P107+P101+P95+P89</f>
        <v>-77872.21015799942</v>
      </c>
      <c r="Q437" s="45">
        <f>Q434+Q427+Q420+Q414+Q407+Q401+Q395+Q389+Q383+Q377+Q371+Q365+Q359+Q353+Q347+Q341+Q335+Q329+Q323+Q317+Q311+Q305+Q299+Q293+Q287+Q281+Q275+Q269+Q263+Q257+Q251+Q245+Q239+Q233+Q227+Q221+Q215+Q209+Q203+Q197+Q191+Q185+Q179+Q173+Q167+Q161+Q155+Q149+Q143+Q137+Q131+Q125+Q119+Q113+Q107+Q101+Q95+Q89</f>
        <v>-19545.719999998924</v>
      </c>
      <c r="R437" s="45"/>
      <c r="S437" s="45">
        <f>S434+S420+S414</f>
        <v>5574.8200000000088</v>
      </c>
      <c r="T437" s="45"/>
    </row>
    <row r="438" spans="1:22" x14ac:dyDescent="0.25">
      <c r="N438" s="325"/>
      <c r="O438" s="325"/>
      <c r="P438" s="45"/>
      <c r="Q438" s="45"/>
      <c r="R438" s="45"/>
      <c r="S438" s="45"/>
      <c r="T438" s="45"/>
    </row>
    <row r="439" spans="1:22" x14ac:dyDescent="0.25">
      <c r="M439" s="401" t="s">
        <v>200</v>
      </c>
      <c r="N439" s="325" t="s">
        <v>201</v>
      </c>
      <c r="O439" s="377">
        <f>O434</f>
        <v>-23593.120000000112</v>
      </c>
      <c r="P439" s="377">
        <f t="shared" ref="P439:S439" si="211">P434</f>
        <v>-4423.7099999999627</v>
      </c>
      <c r="Q439" s="377">
        <f t="shared" si="211"/>
        <v>-3538.9699999999721</v>
      </c>
      <c r="R439" s="377"/>
      <c r="S439" s="377">
        <f t="shared" si="211"/>
        <v>-884.73999999999069</v>
      </c>
      <c r="T439" s="377"/>
    </row>
    <row r="440" spans="1:22" ht="13" x14ac:dyDescent="0.3">
      <c r="N440" s="325"/>
      <c r="O440" s="378">
        <f>O439</f>
        <v>-23593.120000000112</v>
      </c>
      <c r="P440" s="378">
        <f t="shared" ref="P440:S440" si="212">P439</f>
        <v>-4423.7099999999627</v>
      </c>
      <c r="Q440" s="378">
        <f t="shared" si="212"/>
        <v>-3538.9699999999721</v>
      </c>
      <c r="R440" s="378"/>
      <c r="S440" s="378">
        <f t="shared" si="212"/>
        <v>-884.73999999999069</v>
      </c>
      <c r="T440" s="378"/>
    </row>
    <row r="441" spans="1:22" ht="13" x14ac:dyDescent="0.3">
      <c r="N441" s="325"/>
      <c r="O441" s="378"/>
      <c r="P441" s="378"/>
      <c r="Q441" s="378"/>
      <c r="R441" s="378"/>
      <c r="S441" s="378"/>
      <c r="T441" s="378"/>
    </row>
    <row r="442" spans="1:22" ht="13" x14ac:dyDescent="0.3">
      <c r="M442" s="401" t="s">
        <v>216</v>
      </c>
      <c r="N442" s="325" t="s">
        <v>219</v>
      </c>
      <c r="O442" s="374">
        <f>O427</f>
        <v>147042.22</v>
      </c>
      <c r="P442" s="374">
        <f t="shared" ref="P442:Q442" si="213">P427</f>
        <v>22056.33</v>
      </c>
      <c r="Q442" s="374">
        <f t="shared" si="213"/>
        <v>22056.33</v>
      </c>
      <c r="R442" s="292"/>
      <c r="S442" s="292"/>
      <c r="T442" s="378"/>
    </row>
    <row r="443" spans="1:22" ht="13" x14ac:dyDescent="0.3">
      <c r="N443" s="325"/>
      <c r="O443" s="292">
        <f>O442</f>
        <v>147042.22</v>
      </c>
      <c r="P443" s="292">
        <f t="shared" ref="P443:Q443" si="214">P442</f>
        <v>22056.33</v>
      </c>
      <c r="Q443" s="292">
        <f t="shared" si="214"/>
        <v>22056.33</v>
      </c>
      <c r="R443" s="292"/>
      <c r="S443" s="292"/>
      <c r="T443" s="378"/>
    </row>
    <row r="444" spans="1:22" ht="13" x14ac:dyDescent="0.3">
      <c r="N444" s="325"/>
      <c r="O444" s="325"/>
      <c r="P444" s="378"/>
      <c r="Q444" s="378"/>
      <c r="R444" s="378"/>
      <c r="S444" s="378"/>
      <c r="T444" s="378"/>
    </row>
    <row r="445" spans="1:22" ht="13" x14ac:dyDescent="0.3">
      <c r="M445" s="401" t="s">
        <v>198</v>
      </c>
      <c r="N445" s="325" t="s">
        <v>218</v>
      </c>
      <c r="O445" s="397">
        <f>O419</f>
        <v>88184.41</v>
      </c>
      <c r="P445" s="397">
        <f t="shared" ref="P445:Q445" si="215">P419</f>
        <v>16534.580000000002</v>
      </c>
      <c r="Q445" s="397">
        <f t="shared" si="215"/>
        <v>13227.66</v>
      </c>
      <c r="R445" s="397"/>
      <c r="S445" s="397">
        <f t="shared" ref="S445" si="216">S419</f>
        <v>3306.92</v>
      </c>
      <c r="T445" s="378"/>
    </row>
    <row r="446" spans="1:22" ht="13" x14ac:dyDescent="0.3">
      <c r="N446" s="325" t="s">
        <v>211</v>
      </c>
      <c r="O446" s="374">
        <f>O414</f>
        <v>84070.45</v>
      </c>
      <c r="P446" s="374">
        <f t="shared" ref="P446:Q446" si="217">P414</f>
        <v>15763.21</v>
      </c>
      <c r="Q446" s="374">
        <f t="shared" si="217"/>
        <v>12610.57</v>
      </c>
      <c r="R446" s="398"/>
      <c r="S446" s="374">
        <f t="shared" ref="S446" si="218">S414</f>
        <v>3152.64</v>
      </c>
      <c r="T446" s="378"/>
    </row>
    <row r="447" spans="1:22" ht="13" x14ac:dyDescent="0.3">
      <c r="N447" s="325"/>
      <c r="O447" s="292">
        <f>SUM(O445:O446)</f>
        <v>172254.86</v>
      </c>
      <c r="P447" s="292">
        <f t="shared" ref="P447:S447" si="219">SUM(P445:P446)</f>
        <v>32297.79</v>
      </c>
      <c r="Q447" s="292">
        <f t="shared" si="219"/>
        <v>25838.23</v>
      </c>
      <c r="R447" s="292"/>
      <c r="S447" s="292">
        <f t="shared" si="219"/>
        <v>6459.5599999999995</v>
      </c>
      <c r="T447" s="378"/>
    </row>
    <row r="448" spans="1:22" ht="13" x14ac:dyDescent="0.3">
      <c r="N448" s="325"/>
      <c r="O448" s="292"/>
      <c r="P448" s="292"/>
      <c r="Q448" s="292"/>
      <c r="R448" s="378"/>
      <c r="S448" s="378"/>
      <c r="T448" s="378"/>
    </row>
    <row r="449" spans="1:20" x14ac:dyDescent="0.25">
      <c r="M449" s="401" t="s">
        <v>182</v>
      </c>
      <c r="N449" s="325" t="s">
        <v>202</v>
      </c>
      <c r="O449" s="47">
        <f>O89</f>
        <v>429.27016221010126</v>
      </c>
      <c r="P449" s="47">
        <f t="shared" ref="P449:Q449" si="220">P89</f>
        <v>159.85999999998603</v>
      </c>
      <c r="Q449" s="47">
        <f t="shared" si="220"/>
        <v>79.929999999993015</v>
      </c>
      <c r="R449" s="47"/>
      <c r="S449" s="47"/>
      <c r="T449" s="47"/>
    </row>
    <row r="450" spans="1:20" x14ac:dyDescent="0.25">
      <c r="N450" s="325" t="s">
        <v>187</v>
      </c>
      <c r="O450" s="376">
        <f>O95</f>
        <v>884982.94348400086</v>
      </c>
      <c r="P450" s="376">
        <f t="shared" ref="P450:Q450" si="221">P95</f>
        <v>85322.528652000008</v>
      </c>
      <c r="Q450" s="376">
        <f t="shared" si="221"/>
        <v>42661.270000000019</v>
      </c>
      <c r="R450" s="376"/>
      <c r="S450" s="47"/>
      <c r="T450" s="47"/>
    </row>
    <row r="451" spans="1:20" x14ac:dyDescent="0.25">
      <c r="N451" s="325" t="s">
        <v>199</v>
      </c>
      <c r="O451" s="147">
        <f>O119</f>
        <v>2433323.4070000015</v>
      </c>
      <c r="P451" s="147">
        <f t="shared" ref="P451:Q451" si="222">P119</f>
        <v>156198.80119000003</v>
      </c>
      <c r="Q451" s="147">
        <f t="shared" si="222"/>
        <v>78099.400000000023</v>
      </c>
      <c r="R451" s="376"/>
      <c r="S451" s="47"/>
      <c r="T451" s="47"/>
    </row>
    <row r="452" spans="1:20" x14ac:dyDescent="0.25">
      <c r="N452" s="325" t="s">
        <v>197</v>
      </c>
      <c r="O452" s="376">
        <f>O101+O107</f>
        <v>-979388.74633045495</v>
      </c>
      <c r="P452" s="376">
        <f t="shared" ref="P452:Q452" si="223">P101+P107</f>
        <v>-364724.3599999994</v>
      </c>
      <c r="Q452" s="376">
        <f t="shared" si="223"/>
        <v>-182362.16999999899</v>
      </c>
      <c r="R452" s="376"/>
      <c r="S452" s="47"/>
      <c r="T452" s="47"/>
    </row>
    <row r="453" spans="1:20" x14ac:dyDescent="0.25">
      <c r="N453" s="325" t="s">
        <v>226</v>
      </c>
      <c r="O453" s="376">
        <f>O407+O401+O395+O389+O383+O377+O371+O365+O359+O353+O347+O341+O335+O329+O323+O317+O311+O305+O299+O293+O287+O281+O275+O269+O263+O257+O251+O245+O239+O233+O227+O221+O215+O209+O203+O197+O191+O185+O179+O173+O167+O161+O155+O149+O143+O137+O131+O125</f>
        <v>-12658.265949481953</v>
      </c>
      <c r="P453" s="376">
        <f>P407+P401+P395+P389+P383+P377+P371+P365+P359+P353+P347+P341+P335+P329+P323+P317+P311+P305+P299+P293+P287+P281+P275+P269+P263+P257+P251+P245+P239+P233+P227+P221+P215+P209+P203+P197+P191+P185+P179+P173+P167+P161+P155+P149+P143+P137+P131+P125</f>
        <v>-4713.9400000000278</v>
      </c>
      <c r="Q453" s="376">
        <f>Q407+Q401+Q395+Q389+Q383+Q377+Q371+Q365+Q359+Q353+Q347+Q341+Q335+Q329+Q323+Q317+Q311+Q305+Q299+Q293+Q287+Q281+Q275+Q269+Q263+Q257+Q251+Q245+Q239+Q233+Q227+Q221+Q215+Q209+Q203+Q197+Q191+Q185+Q179+Q173+Q167+Q161+Q155+Q149+Q143+Q137+Q131+Q125</f>
        <v>-2356.9800000000241</v>
      </c>
      <c r="R453" s="376"/>
      <c r="S453" s="47"/>
      <c r="T453" s="47"/>
    </row>
    <row r="454" spans="1:20" ht="13" x14ac:dyDescent="0.3">
      <c r="N454" s="325"/>
      <c r="O454" s="381">
        <f>SUM(O449:O453)</f>
        <v>2326688.6083662752</v>
      </c>
      <c r="P454" s="381">
        <f>SUM(P449:P453)</f>
        <v>-127757.11015799941</v>
      </c>
      <c r="Q454" s="381">
        <f>SUM(Q449:Q453)</f>
        <v>-63878.549999998984</v>
      </c>
      <c r="R454" s="381"/>
      <c r="S454" s="389"/>
      <c r="T454" s="47"/>
    </row>
    <row r="455" spans="1:20" x14ac:dyDescent="0.25">
      <c r="N455" s="325"/>
      <c r="O455" s="325"/>
      <c r="P455" s="47"/>
      <c r="Q455" s="47"/>
      <c r="R455" s="47"/>
      <c r="S455" s="47"/>
      <c r="T455" s="47"/>
    </row>
    <row r="456" spans="1:20" ht="13" x14ac:dyDescent="0.3">
      <c r="N456" s="325" t="s">
        <v>1</v>
      </c>
      <c r="O456" s="378">
        <f>+O454+O447+O443+O440</f>
        <v>2622392.5683662752</v>
      </c>
      <c r="P456" s="378">
        <f>+P454+P447+P443+P440</f>
        <v>-77826.700157999367</v>
      </c>
      <c r="Q456" s="378">
        <f>+Q454+Q447+Q443+Q440</f>
        <v>-19522.959999998959</v>
      </c>
      <c r="R456" s="376"/>
      <c r="S456" s="378">
        <f>+S454+S447+S443+S440</f>
        <v>5574.8200000000088</v>
      </c>
      <c r="T456" s="376"/>
    </row>
    <row r="457" spans="1:20" x14ac:dyDescent="0.25">
      <c r="N457" s="325"/>
      <c r="O457" s="325"/>
      <c r="P457" s="47"/>
      <c r="Q457" s="47"/>
      <c r="R457" s="47"/>
      <c r="S457" s="47"/>
      <c r="T457" s="47"/>
    </row>
    <row r="458" spans="1:20" x14ac:dyDescent="0.25">
      <c r="N458" s="325" t="s">
        <v>203</v>
      </c>
      <c r="O458" s="47">
        <f>+O456-O437</f>
        <v>122.19046874996275</v>
      </c>
      <c r="P458" s="47">
        <f>+P456-P437</f>
        <v>45.510000000052969</v>
      </c>
      <c r="Q458" s="47">
        <f>+Q456-Q437</f>
        <v>22.759999999965657</v>
      </c>
      <c r="R458" s="47"/>
      <c r="S458" s="47">
        <f>+S456-S437</f>
        <v>0</v>
      </c>
      <c r="T458" s="47"/>
    </row>
    <row r="460" spans="1:20" x14ac:dyDescent="0.25">
      <c r="A460" s="96"/>
      <c r="B460" s="5"/>
      <c r="C460" s="96"/>
      <c r="D460" s="96"/>
      <c r="E460" s="96"/>
      <c r="F460" s="96"/>
      <c r="G460" s="366"/>
      <c r="H460" s="366"/>
      <c r="I460" s="366"/>
      <c r="J460" s="366"/>
      <c r="K460" s="367"/>
      <c r="L460" s="367"/>
      <c r="M460" s="367"/>
      <c r="N460" s="368"/>
      <c r="O460" s="366">
        <f>+O330</f>
        <v>0</v>
      </c>
      <c r="P460" s="366">
        <f>+P330</f>
        <v>0</v>
      </c>
      <c r="Q460" s="366">
        <f>+Q330</f>
        <v>0</v>
      </c>
      <c r="R460" s="116"/>
    </row>
    <row r="464" spans="1:20" x14ac:dyDescent="0.25">
      <c r="O464" s="47"/>
    </row>
    <row r="465" spans="15:15" x14ac:dyDescent="0.25">
      <c r="O465" s="402"/>
    </row>
  </sheetData>
  <mergeCells count="2">
    <mergeCell ref="C7:C8"/>
    <mergeCell ref="O7:O8"/>
  </mergeCells>
  <printOptions horizontalCentered="1" verticalCentered="1"/>
  <pageMargins left="0.25" right="0.25" top="0.5" bottom="0.5" header="0" footer="0"/>
  <pageSetup paperSize="9" scale="52"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74"/>
  <sheetViews>
    <sheetView view="pageBreakPreview" topLeftCell="H16" zoomScale="145" zoomScaleNormal="95" zoomScaleSheetLayoutView="145" workbookViewId="0">
      <selection activeCell="B37" sqref="B37"/>
    </sheetView>
  </sheetViews>
  <sheetFormatPr baseColWidth="10" defaultColWidth="8.84375" defaultRowHeight="12.5" outlineLevelRow="1" x14ac:dyDescent="0.25"/>
  <cols>
    <col min="1" max="1" width="3" style="251" customWidth="1"/>
    <col min="2" max="2" width="16.53515625" style="251" customWidth="1"/>
    <col min="3" max="3" width="7.69140625" style="251" customWidth="1"/>
    <col min="4" max="4" width="8.3046875" style="251" customWidth="1"/>
    <col min="5" max="5" width="8.84375" style="251" customWidth="1"/>
    <col min="6" max="6" width="8.4609375" style="251" customWidth="1"/>
    <col min="7" max="7" width="11.84375" style="251" customWidth="1"/>
    <col min="8" max="8" width="15.765625" style="251" customWidth="1"/>
    <col min="9" max="10" width="10.4609375" style="251" customWidth="1"/>
    <col min="11" max="13" width="10.4609375" style="251" hidden="1" customWidth="1"/>
    <col min="14" max="14" width="12.69140625" style="251" customWidth="1"/>
    <col min="15" max="15" width="12.4609375" style="251" customWidth="1"/>
    <col min="16" max="16" width="15.3046875" style="251" customWidth="1"/>
    <col min="17" max="17" width="13.84375" style="251" customWidth="1"/>
    <col min="18" max="18" width="5.69140625" style="251" customWidth="1"/>
    <col min="19" max="19" width="11.53515625" style="251" customWidth="1"/>
    <col min="20" max="20" width="5.69140625" style="251" customWidth="1"/>
    <col min="21" max="21" width="10.69140625" style="251" customWidth="1"/>
    <col min="22" max="16384" width="8.84375" style="251"/>
  </cols>
  <sheetData>
    <row r="1" spans="1:20" x14ac:dyDescent="0.25">
      <c r="A1" s="251" t="s">
        <v>50</v>
      </c>
      <c r="C1" s="1"/>
      <c r="D1" s="1"/>
      <c r="E1" s="7">
        <v>45688</v>
      </c>
      <c r="F1" s="248">
        <v>3.69</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309</v>
      </c>
      <c r="B4" s="109"/>
      <c r="C4" s="109"/>
      <c r="D4" s="109"/>
      <c r="E4" s="109"/>
      <c r="F4" s="109"/>
      <c r="G4" s="109"/>
      <c r="H4" s="109"/>
      <c r="I4" s="109"/>
      <c r="J4" s="109"/>
      <c r="K4" s="109"/>
      <c r="L4" s="109"/>
      <c r="M4" s="109"/>
      <c r="N4" s="109"/>
      <c r="O4" s="109"/>
      <c r="P4" s="109"/>
      <c r="Q4" s="109"/>
      <c r="R4" s="109"/>
      <c r="S4" s="109"/>
      <c r="T4" s="109"/>
    </row>
    <row r="5" spans="1:20" x14ac:dyDescent="0.25">
      <c r="A5" s="109" t="s">
        <v>310</v>
      </c>
      <c r="B5" s="109"/>
      <c r="C5" s="109"/>
      <c r="D5" s="109"/>
      <c r="E5" s="109"/>
      <c r="F5" s="109"/>
      <c r="G5" s="109"/>
      <c r="H5" s="109"/>
      <c r="I5" s="109"/>
      <c r="J5" s="109"/>
      <c r="K5" s="109"/>
      <c r="L5" s="109"/>
      <c r="M5" s="109"/>
      <c r="N5" s="109"/>
      <c r="O5" s="109"/>
      <c r="P5" s="109"/>
      <c r="Q5" s="109"/>
      <c r="R5" s="109"/>
      <c r="S5" s="109"/>
      <c r="T5" s="109"/>
    </row>
    <row r="6" spans="1:20" x14ac:dyDescent="0.25">
      <c r="H6" s="464"/>
      <c r="P6" s="467"/>
    </row>
    <row r="7" spans="1:20"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row>
    <row r="8" spans="1:20"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5" t="s">
        <v>28</v>
      </c>
      <c r="B10" s="17" t="s">
        <v>13</v>
      </c>
      <c r="C10" s="69" t="s">
        <v>31</v>
      </c>
      <c r="D10" s="406" t="s">
        <v>30</v>
      </c>
      <c r="E10" s="69" t="s">
        <v>98</v>
      </c>
      <c r="F10" s="223" t="s">
        <v>36</v>
      </c>
      <c r="G10" s="407">
        <v>4669</v>
      </c>
      <c r="H10" s="407">
        <v>12235</v>
      </c>
      <c r="I10" s="408">
        <v>78.909000000000006</v>
      </c>
      <c r="J10" s="408">
        <v>80.647499999999994</v>
      </c>
      <c r="K10" s="409"/>
      <c r="L10" s="409"/>
      <c r="M10" s="409"/>
      <c r="N10" s="458">
        <v>79.05</v>
      </c>
      <c r="O10" s="407">
        <v>1355069.23</v>
      </c>
      <c r="P10" s="409">
        <v>254075.48</v>
      </c>
      <c r="Q10" s="409">
        <v>203260.38</v>
      </c>
      <c r="R10" s="199">
        <v>0.15</v>
      </c>
      <c r="S10" s="409">
        <v>50815.1</v>
      </c>
      <c r="T10" s="236">
        <v>3.7499999999999999E-2</v>
      </c>
    </row>
    <row r="11" spans="1:20" ht="12.75" customHeight="1" x14ac:dyDescent="0.25">
      <c r="A11" s="405" t="s">
        <v>28</v>
      </c>
      <c r="B11" s="17" t="s">
        <v>14</v>
      </c>
      <c r="C11" s="69" t="s">
        <v>31</v>
      </c>
      <c r="D11" s="406" t="s">
        <v>30</v>
      </c>
      <c r="E11" s="69" t="s">
        <v>98</v>
      </c>
      <c r="F11" s="223" t="s">
        <v>55</v>
      </c>
      <c r="G11" s="407">
        <v>46200.457300000002</v>
      </c>
      <c r="H11" s="407">
        <v>52886.763899999998</v>
      </c>
      <c r="I11" s="408">
        <v>3.8633000000000002</v>
      </c>
      <c r="J11" s="408">
        <v>3.8633000000000002</v>
      </c>
      <c r="K11" s="409"/>
      <c r="L11" s="409"/>
      <c r="M11" s="409"/>
      <c r="N11" s="458">
        <v>221.34</v>
      </c>
      <c r="O11" s="407">
        <v>382582.32</v>
      </c>
      <c r="P11" s="409">
        <v>71734.19</v>
      </c>
      <c r="Q11" s="409">
        <v>57387.35</v>
      </c>
      <c r="R11" s="199">
        <v>0.15</v>
      </c>
      <c r="S11" s="409">
        <v>14346.84</v>
      </c>
      <c r="T11" s="236">
        <v>3.7499999999999999E-2</v>
      </c>
    </row>
    <row r="12" spans="1:20" x14ac:dyDescent="0.25">
      <c r="A12" s="405" t="s">
        <v>28</v>
      </c>
      <c r="B12" s="17" t="s">
        <v>3</v>
      </c>
      <c r="C12" s="69" t="s">
        <v>31</v>
      </c>
      <c r="D12" s="406" t="s">
        <v>30</v>
      </c>
      <c r="E12" s="69" t="s">
        <v>98</v>
      </c>
      <c r="F12" s="223" t="s">
        <v>36</v>
      </c>
      <c r="G12" s="407">
        <v>4868</v>
      </c>
      <c r="H12" s="407">
        <v>5386</v>
      </c>
      <c r="I12" s="408">
        <v>78.405799999999999</v>
      </c>
      <c r="J12" s="408">
        <v>78.236500000000007</v>
      </c>
      <c r="K12" s="409"/>
      <c r="L12" s="409"/>
      <c r="M12" s="409"/>
      <c r="N12" s="458">
        <v>635.55999999999995</v>
      </c>
      <c r="O12" s="407">
        <v>802425.65999999992</v>
      </c>
      <c r="P12" s="409">
        <v>150454.81</v>
      </c>
      <c r="Q12" s="409">
        <v>120363.85</v>
      </c>
      <c r="R12" s="199">
        <v>0.15</v>
      </c>
      <c r="S12" s="409">
        <v>30090.959999999999</v>
      </c>
      <c r="T12" s="236">
        <v>3.7499999999999999E-2</v>
      </c>
    </row>
    <row r="13" spans="1:20" x14ac:dyDescent="0.25">
      <c r="A13" s="411" t="s">
        <v>28</v>
      </c>
      <c r="B13" s="412" t="s">
        <v>172</v>
      </c>
      <c r="C13" s="69" t="s">
        <v>31</v>
      </c>
      <c r="D13" s="406" t="s">
        <v>30</v>
      </c>
      <c r="E13" s="69" t="s">
        <v>98</v>
      </c>
      <c r="F13" s="223" t="s">
        <v>55</v>
      </c>
      <c r="G13" s="407">
        <v>11396.981100000001</v>
      </c>
      <c r="H13" s="407">
        <v>16566.7726</v>
      </c>
      <c r="I13" s="408">
        <v>2.8113999999999999</v>
      </c>
      <c r="J13" s="408">
        <v>2.8113999999999999</v>
      </c>
      <c r="K13" s="409"/>
      <c r="L13" s="409"/>
      <c r="M13" s="409"/>
      <c r="N13" s="458">
        <v>679.83</v>
      </c>
      <c r="O13" s="407">
        <v>77937.460000000006</v>
      </c>
      <c r="P13" s="409">
        <v>14613.27</v>
      </c>
      <c r="Q13" s="409">
        <v>11690.62</v>
      </c>
      <c r="R13" s="199">
        <v>0.15</v>
      </c>
      <c r="S13" s="409">
        <v>2922.65</v>
      </c>
      <c r="T13" s="236">
        <v>3.7499999999999999E-2</v>
      </c>
    </row>
    <row r="14" spans="1:20" x14ac:dyDescent="0.25">
      <c r="A14" s="405" t="s">
        <v>28</v>
      </c>
      <c r="B14" s="17" t="s">
        <v>4</v>
      </c>
      <c r="C14" s="69" t="s">
        <v>31</v>
      </c>
      <c r="D14" s="406" t="s">
        <v>30</v>
      </c>
      <c r="E14" s="69" t="s">
        <v>98</v>
      </c>
      <c r="F14" s="223" t="s">
        <v>36</v>
      </c>
      <c r="G14" s="407">
        <v>29174</v>
      </c>
      <c r="H14" s="407">
        <v>31872</v>
      </c>
      <c r="I14" s="408">
        <v>78.909000000000006</v>
      </c>
      <c r="J14" s="408">
        <v>80.647499999999994</v>
      </c>
      <c r="K14" s="409"/>
      <c r="L14" s="409"/>
      <c r="M14" s="409"/>
      <c r="N14" s="458">
        <v>1053.8499999999999</v>
      </c>
      <c r="O14" s="407">
        <v>4871434.4400000004</v>
      </c>
      <c r="P14" s="409">
        <v>913393.96</v>
      </c>
      <c r="Q14" s="409">
        <v>730715.17</v>
      </c>
      <c r="R14" s="199">
        <v>0.15</v>
      </c>
      <c r="S14" s="409">
        <v>182678.79</v>
      </c>
      <c r="T14" s="236">
        <v>3.7499999999999999E-2</v>
      </c>
    </row>
    <row r="15" spans="1:20" s="474" customFormat="1" x14ac:dyDescent="0.25">
      <c r="A15" s="468" t="s">
        <v>28</v>
      </c>
      <c r="B15" s="403" t="s">
        <v>300</v>
      </c>
      <c r="C15" s="69" t="s">
        <v>31</v>
      </c>
      <c r="D15" s="406" t="s">
        <v>30</v>
      </c>
      <c r="E15" s="69" t="s">
        <v>98</v>
      </c>
      <c r="F15" s="471" t="s">
        <v>55</v>
      </c>
      <c r="G15" s="465">
        <v>8444.6128000000008</v>
      </c>
      <c r="H15" s="407">
        <v>13057.5767</v>
      </c>
      <c r="I15" s="462">
        <v>3.2</v>
      </c>
      <c r="J15" s="408">
        <v>3.2</v>
      </c>
      <c r="K15" s="444"/>
      <c r="L15" s="444"/>
      <c r="M15" s="444"/>
      <c r="N15" s="458"/>
      <c r="O15" s="505">
        <v>68807.009999999995</v>
      </c>
      <c r="P15" s="444">
        <v>12901.31</v>
      </c>
      <c r="Q15" s="444">
        <v>10321.049999999999</v>
      </c>
      <c r="R15" s="472">
        <v>0.15</v>
      </c>
      <c r="S15" s="444">
        <v>2580.2600000000002</v>
      </c>
      <c r="T15" s="473">
        <v>3.7499999999999999E-2</v>
      </c>
    </row>
    <row r="16" spans="1:20" x14ac:dyDescent="0.25">
      <c r="A16" s="405" t="s">
        <v>28</v>
      </c>
      <c r="B16" s="17" t="s">
        <v>5</v>
      </c>
      <c r="C16" s="69" t="s">
        <v>31</v>
      </c>
      <c r="D16" s="406" t="s">
        <v>30</v>
      </c>
      <c r="E16" s="69" t="s">
        <v>98</v>
      </c>
      <c r="F16" s="223" t="s">
        <v>36</v>
      </c>
      <c r="G16" s="407">
        <v>40970</v>
      </c>
      <c r="H16" s="407">
        <v>44264</v>
      </c>
      <c r="I16" s="408">
        <v>78.909000000000006</v>
      </c>
      <c r="J16" s="408">
        <v>80.647499999999994</v>
      </c>
      <c r="K16" s="409"/>
      <c r="L16" s="409"/>
      <c r="M16" s="409"/>
      <c r="N16" s="458">
        <v>1771.63</v>
      </c>
      <c r="O16" s="407">
        <v>6800911.04</v>
      </c>
      <c r="P16" s="409">
        <v>1275170.82</v>
      </c>
      <c r="Q16" s="409">
        <v>1020136.66</v>
      </c>
      <c r="R16" s="199">
        <v>0.15</v>
      </c>
      <c r="S16" s="409">
        <v>255034.16</v>
      </c>
      <c r="T16" s="236">
        <v>3.7499999999999999E-2</v>
      </c>
    </row>
    <row r="17" spans="1:20" x14ac:dyDescent="0.25">
      <c r="A17" s="405" t="s">
        <v>28</v>
      </c>
      <c r="B17" s="17" t="s">
        <v>282</v>
      </c>
      <c r="C17" s="69" t="s">
        <v>31</v>
      </c>
      <c r="D17" s="406" t="s">
        <v>30</v>
      </c>
      <c r="E17" s="69" t="s">
        <v>98</v>
      </c>
      <c r="F17" s="223" t="s">
        <v>36</v>
      </c>
      <c r="G17" s="407">
        <v>55338.229299999999</v>
      </c>
      <c r="H17" s="407">
        <v>40417.508800000003</v>
      </c>
      <c r="I17" s="408">
        <v>3.6086</v>
      </c>
      <c r="J17" s="408">
        <v>3.6086</v>
      </c>
      <c r="K17" s="409"/>
      <c r="L17" s="409"/>
      <c r="M17" s="409"/>
      <c r="N17" s="458">
        <v>601.69000000000005</v>
      </c>
      <c r="O17" s="407">
        <v>344942.46</v>
      </c>
      <c r="P17" s="409">
        <v>64676.71</v>
      </c>
      <c r="Q17" s="409">
        <v>51741.37</v>
      </c>
      <c r="R17" s="199">
        <v>0.15</v>
      </c>
      <c r="S17" s="409">
        <v>12935.34</v>
      </c>
      <c r="T17" s="236">
        <v>3.7499999999999999E-2</v>
      </c>
    </row>
    <row r="18" spans="1:20" x14ac:dyDescent="0.25">
      <c r="A18" s="405" t="s">
        <v>28</v>
      </c>
      <c r="B18" s="17" t="s">
        <v>17</v>
      </c>
      <c r="C18" s="69" t="s">
        <v>31</v>
      </c>
      <c r="D18" s="406" t="s">
        <v>30</v>
      </c>
      <c r="E18" s="69" t="s">
        <v>98</v>
      </c>
      <c r="F18" s="223" t="s">
        <v>36</v>
      </c>
      <c r="G18" s="407">
        <v>3925</v>
      </c>
      <c r="H18" s="407">
        <v>3200</v>
      </c>
      <c r="I18" s="408">
        <v>78.415800000000004</v>
      </c>
      <c r="J18" s="408">
        <v>78.250699999999995</v>
      </c>
      <c r="K18" s="409"/>
      <c r="L18" s="409"/>
      <c r="M18" s="409"/>
      <c r="N18" s="458">
        <v>414.22</v>
      </c>
      <c r="O18" s="410">
        <v>557770.04</v>
      </c>
      <c r="P18" s="409">
        <v>104581.88</v>
      </c>
      <c r="Q18" s="409">
        <v>83665.509999999995</v>
      </c>
      <c r="R18" s="199">
        <v>0.15</v>
      </c>
      <c r="S18" s="409">
        <v>20916.38</v>
      </c>
      <c r="T18" s="236">
        <v>3.7499999999999999E-2</v>
      </c>
    </row>
    <row r="19" spans="1:20" x14ac:dyDescent="0.25">
      <c r="A19" s="468" t="s">
        <v>28</v>
      </c>
      <c r="B19" s="403" t="s">
        <v>293</v>
      </c>
      <c r="C19" s="69" t="s">
        <v>31</v>
      </c>
      <c r="D19" s="406" t="s">
        <v>30</v>
      </c>
      <c r="E19" s="69" t="s">
        <v>98</v>
      </c>
      <c r="F19" s="223" t="s">
        <v>36</v>
      </c>
      <c r="G19" s="407">
        <v>20783</v>
      </c>
      <c r="H19" s="407">
        <v>27532</v>
      </c>
      <c r="I19" s="417">
        <v>78.909000000000006</v>
      </c>
      <c r="J19" s="408">
        <v>80.647499999999994</v>
      </c>
      <c r="K19" s="409"/>
      <c r="L19" s="409"/>
      <c r="M19" s="409"/>
      <c r="N19" s="458">
        <v>499.59</v>
      </c>
      <c r="O19" s="410">
        <v>3859853.1300000004</v>
      </c>
      <c r="P19" s="409">
        <v>723722.46</v>
      </c>
      <c r="Q19" s="409">
        <v>578977.97</v>
      </c>
      <c r="R19" s="199">
        <v>0.15</v>
      </c>
      <c r="S19" s="409">
        <v>144744.49</v>
      </c>
      <c r="T19" s="236">
        <v>3.7499999999999999E-2</v>
      </c>
    </row>
    <row r="20" spans="1:20" x14ac:dyDescent="0.25">
      <c r="A20" s="468" t="s">
        <v>28</v>
      </c>
      <c r="B20" s="403" t="s">
        <v>294</v>
      </c>
      <c r="C20" s="69" t="s">
        <v>31</v>
      </c>
      <c r="D20" s="406" t="s">
        <v>30</v>
      </c>
      <c r="E20" s="69" t="s">
        <v>98</v>
      </c>
      <c r="F20" s="223" t="s">
        <v>55</v>
      </c>
      <c r="G20" s="407">
        <v>58375.692900000002</v>
      </c>
      <c r="H20" s="407">
        <v>57555.926700000004</v>
      </c>
      <c r="I20" s="417">
        <v>3.8449</v>
      </c>
      <c r="J20" s="408">
        <v>3.8449</v>
      </c>
      <c r="K20" s="409"/>
      <c r="L20" s="409"/>
      <c r="M20" s="409"/>
      <c r="N20" s="458">
        <v>215.02</v>
      </c>
      <c r="O20" s="410">
        <v>445530.45999999996</v>
      </c>
      <c r="P20" s="409">
        <v>83536.960000000006</v>
      </c>
      <c r="Q20" s="409">
        <v>66829.570000000007</v>
      </c>
      <c r="R20" s="199">
        <v>0.15</v>
      </c>
      <c r="S20" s="409">
        <v>16707.39</v>
      </c>
      <c r="T20" s="236">
        <v>3.7499999999999999E-2</v>
      </c>
    </row>
    <row r="21" spans="1:20" x14ac:dyDescent="0.25">
      <c r="A21" s="468" t="s">
        <v>28</v>
      </c>
      <c r="B21" s="403" t="s">
        <v>295</v>
      </c>
      <c r="C21" s="69" t="s">
        <v>31</v>
      </c>
      <c r="D21" s="406" t="s">
        <v>30</v>
      </c>
      <c r="E21" s="69" t="s">
        <v>98</v>
      </c>
      <c r="F21" s="223" t="s">
        <v>36</v>
      </c>
      <c r="G21" s="407">
        <v>14360</v>
      </c>
      <c r="H21" s="407">
        <v>17820</v>
      </c>
      <c r="I21" s="417">
        <v>78.415800000000004</v>
      </c>
      <c r="J21" s="408">
        <v>78.250699999999995</v>
      </c>
      <c r="K21" s="409"/>
      <c r="L21" s="409"/>
      <c r="M21" s="409"/>
      <c r="N21" s="458">
        <v>246.63</v>
      </c>
      <c r="O21" s="410">
        <v>2520231.73</v>
      </c>
      <c r="P21" s="409">
        <v>472543.45</v>
      </c>
      <c r="Q21" s="409">
        <v>378034.76</v>
      </c>
      <c r="R21" s="199">
        <v>0.15</v>
      </c>
      <c r="S21" s="409">
        <v>94508.69</v>
      </c>
      <c r="T21" s="236">
        <v>3.7499999999999999E-2</v>
      </c>
    </row>
    <row r="22" spans="1:20" x14ac:dyDescent="0.25">
      <c r="A22" s="405" t="s">
        <v>28</v>
      </c>
      <c r="B22" s="17" t="s">
        <v>18</v>
      </c>
      <c r="C22" s="69" t="s">
        <v>31</v>
      </c>
      <c r="D22" s="406" t="s">
        <v>30</v>
      </c>
      <c r="E22" s="69" t="s">
        <v>98</v>
      </c>
      <c r="F22" s="223" t="s">
        <v>36</v>
      </c>
      <c r="G22" s="407">
        <v>1515</v>
      </c>
      <c r="H22" s="407">
        <v>3095</v>
      </c>
      <c r="I22" s="408">
        <v>78.909000000000006</v>
      </c>
      <c r="J22" s="408">
        <v>80.647499999999994</v>
      </c>
      <c r="K22" s="409"/>
      <c r="L22" s="409"/>
      <c r="M22" s="409"/>
      <c r="N22" s="458">
        <v>265.61</v>
      </c>
      <c r="O22" s="410">
        <v>368885.54000000004</v>
      </c>
      <c r="P22" s="409">
        <v>69166.039999999994</v>
      </c>
      <c r="Q22" s="409">
        <v>55332.83</v>
      </c>
      <c r="R22" s="199">
        <v>0.15</v>
      </c>
      <c r="S22" s="409">
        <v>13833.21</v>
      </c>
      <c r="T22" s="236">
        <v>3.7499999999999999E-2</v>
      </c>
    </row>
    <row r="23" spans="1:20" x14ac:dyDescent="0.25">
      <c r="A23" s="405" t="s">
        <v>28</v>
      </c>
      <c r="B23" s="17" t="s">
        <v>20</v>
      </c>
      <c r="C23" s="69" t="s">
        <v>31</v>
      </c>
      <c r="D23" s="406" t="s">
        <v>30</v>
      </c>
      <c r="E23" s="69" t="s">
        <v>98</v>
      </c>
      <c r="F23" s="223" t="s">
        <v>36</v>
      </c>
      <c r="G23" s="407">
        <v>116840</v>
      </c>
      <c r="H23" s="407">
        <v>127940</v>
      </c>
      <c r="I23" s="408">
        <v>79.662999999999997</v>
      </c>
      <c r="J23" s="408">
        <v>79.628900000000002</v>
      </c>
      <c r="K23" s="409"/>
      <c r="L23" s="409"/>
      <c r="M23" s="409"/>
      <c r="N23" s="458">
        <v>1207.9000000000001</v>
      </c>
      <c r="O23" s="410">
        <v>19494338.490000002</v>
      </c>
      <c r="P23" s="409">
        <v>3655188.47</v>
      </c>
      <c r="Q23" s="409">
        <v>2924150.77</v>
      </c>
      <c r="R23" s="199">
        <v>0.15</v>
      </c>
      <c r="S23" s="409">
        <v>731037.69</v>
      </c>
      <c r="T23" s="236">
        <v>3.7499999999999999E-2</v>
      </c>
    </row>
    <row r="24" spans="1:20" x14ac:dyDescent="0.25">
      <c r="A24" s="405" t="s">
        <v>28</v>
      </c>
      <c r="B24" s="17" t="s">
        <v>8</v>
      </c>
      <c r="C24" s="69" t="s">
        <v>31</v>
      </c>
      <c r="D24" s="406" t="s">
        <v>30</v>
      </c>
      <c r="E24" s="69" t="s">
        <v>98</v>
      </c>
      <c r="F24" s="223" t="s">
        <v>55</v>
      </c>
      <c r="G24" s="407">
        <v>204250.66</v>
      </c>
      <c r="H24" s="407">
        <v>226421.16</v>
      </c>
      <c r="I24" s="408">
        <v>2.9</v>
      </c>
      <c r="J24" s="408">
        <v>2.9</v>
      </c>
      <c r="K24" s="409"/>
      <c r="L24" s="409"/>
      <c r="M24" s="409"/>
      <c r="N24" s="458">
        <v>916.99</v>
      </c>
      <c r="O24" s="410">
        <v>1248031.28</v>
      </c>
      <c r="P24" s="409">
        <v>234005.87</v>
      </c>
      <c r="Q24" s="409">
        <v>187204.69</v>
      </c>
      <c r="R24" s="199">
        <v>0.15</v>
      </c>
      <c r="S24" s="409">
        <v>46801.17</v>
      </c>
      <c r="T24" s="236">
        <v>3.7499999999999999E-2</v>
      </c>
    </row>
    <row r="25" spans="1:20" x14ac:dyDescent="0.25">
      <c r="A25" s="405" t="s">
        <v>28</v>
      </c>
      <c r="B25" s="17" t="s">
        <v>9</v>
      </c>
      <c r="C25" s="69" t="s">
        <v>31</v>
      </c>
      <c r="D25" s="406" t="s">
        <v>30</v>
      </c>
      <c r="E25" s="69" t="s">
        <v>98</v>
      </c>
      <c r="F25" s="223" t="s">
        <v>36</v>
      </c>
      <c r="G25" s="407">
        <v>286</v>
      </c>
      <c r="H25" s="407">
        <v>273</v>
      </c>
      <c r="I25" s="408">
        <v>78.415800000000004</v>
      </c>
      <c r="J25" s="408">
        <v>78.250699999999995</v>
      </c>
      <c r="K25" s="409"/>
      <c r="L25" s="409"/>
      <c r="M25" s="409"/>
      <c r="N25" s="458">
        <v>287.74</v>
      </c>
      <c r="O25" s="410">
        <v>43501.62</v>
      </c>
      <c r="P25" s="409">
        <v>8156.55</v>
      </c>
      <c r="Q25" s="409">
        <v>6525.24</v>
      </c>
      <c r="R25" s="199">
        <v>0.15</v>
      </c>
      <c r="S25" s="409">
        <v>1631.31</v>
      </c>
      <c r="T25" s="236">
        <v>3.7499999999999999E-2</v>
      </c>
    </row>
    <row r="26" spans="1:20" x14ac:dyDescent="0.25">
      <c r="A26" s="405" t="s">
        <v>28</v>
      </c>
      <c r="B26" s="17" t="s">
        <v>165</v>
      </c>
      <c r="C26" s="69" t="s">
        <v>31</v>
      </c>
      <c r="D26" s="406" t="s">
        <v>30</v>
      </c>
      <c r="E26" s="69" t="s">
        <v>98</v>
      </c>
      <c r="F26" s="223" t="s">
        <v>36</v>
      </c>
      <c r="G26" s="407">
        <v>14571</v>
      </c>
      <c r="H26" s="407">
        <v>15247</v>
      </c>
      <c r="I26" s="408">
        <v>76.269000000000005</v>
      </c>
      <c r="J26" s="408">
        <v>80.577500000000001</v>
      </c>
      <c r="K26" s="409"/>
      <c r="L26" s="409"/>
      <c r="M26" s="409"/>
      <c r="N26" s="458">
        <v>2741.44</v>
      </c>
      <c r="O26" s="410">
        <v>2337139.3000000003</v>
      </c>
      <c r="P26" s="409">
        <v>438213.62</v>
      </c>
      <c r="Q26" s="409">
        <v>350570.9</v>
      </c>
      <c r="R26" s="199">
        <v>0.15</v>
      </c>
      <c r="S26" s="409">
        <v>87642.72</v>
      </c>
      <c r="T26" s="236">
        <v>3.7499999999999999E-2</v>
      </c>
    </row>
    <row r="27" spans="1:20" x14ac:dyDescent="0.25">
      <c r="A27" s="405" t="s">
        <v>28</v>
      </c>
      <c r="B27" s="17" t="s">
        <v>157</v>
      </c>
      <c r="C27" s="69" t="s">
        <v>31</v>
      </c>
      <c r="D27" s="406" t="s">
        <v>30</v>
      </c>
      <c r="E27" s="69" t="s">
        <v>98</v>
      </c>
      <c r="F27" s="223" t="s">
        <v>55</v>
      </c>
      <c r="G27" s="458">
        <v>407996.30369999999</v>
      </c>
      <c r="H27" s="458">
        <v>427347.64110000001</v>
      </c>
      <c r="I27" s="417">
        <v>3.1923192396313866</v>
      </c>
      <c r="J27" s="417">
        <v>3.3871627939120499</v>
      </c>
      <c r="K27" s="409"/>
      <c r="L27" s="409"/>
      <c r="M27" s="409"/>
      <c r="N27" s="458">
        <v>1141.48</v>
      </c>
      <c r="O27" s="410">
        <v>2748809</v>
      </c>
      <c r="P27" s="410">
        <v>515401.68000000005</v>
      </c>
      <c r="Q27" s="410">
        <v>412321.35</v>
      </c>
      <c r="R27" s="199">
        <v>0.15</v>
      </c>
      <c r="S27" s="410">
        <v>103080.34</v>
      </c>
      <c r="T27" s="236">
        <v>3.7499999999999999E-2</v>
      </c>
    </row>
    <row r="28" spans="1:20" x14ac:dyDescent="0.25">
      <c r="A28" s="405" t="s">
        <v>28</v>
      </c>
      <c r="B28" s="17" t="s">
        <v>170</v>
      </c>
      <c r="C28" s="69" t="s">
        <v>31</v>
      </c>
      <c r="D28" s="406" t="s">
        <v>30</v>
      </c>
      <c r="E28" s="69" t="s">
        <v>98</v>
      </c>
      <c r="F28" s="223" t="s">
        <v>36</v>
      </c>
      <c r="G28" s="407">
        <v>174</v>
      </c>
      <c r="H28" s="407">
        <v>180</v>
      </c>
      <c r="I28" s="408">
        <v>78.909000000000006</v>
      </c>
      <c r="J28" s="408">
        <v>80.647499999999994</v>
      </c>
      <c r="K28" s="409"/>
      <c r="L28" s="409"/>
      <c r="M28" s="409"/>
      <c r="N28" s="458">
        <v>170.75</v>
      </c>
      <c r="O28" s="410">
        <v>28075.97</v>
      </c>
      <c r="P28" s="409">
        <v>5264.24</v>
      </c>
      <c r="Q28" s="409">
        <v>1052.8499999999999</v>
      </c>
      <c r="R28" s="236">
        <v>3.7499999999999999E-2</v>
      </c>
      <c r="S28" s="409">
        <v>4211.3999999999996</v>
      </c>
      <c r="T28" s="199">
        <v>0.15</v>
      </c>
    </row>
    <row r="29" spans="1:20" x14ac:dyDescent="0.25">
      <c r="A29" s="405" t="s">
        <v>28</v>
      </c>
      <c r="B29" s="17" t="s">
        <v>166</v>
      </c>
      <c r="C29" s="69" t="s">
        <v>31</v>
      </c>
      <c r="D29" s="406" t="s">
        <v>30</v>
      </c>
      <c r="E29" s="69" t="s">
        <v>98</v>
      </c>
      <c r="F29" s="223" t="s">
        <v>36</v>
      </c>
      <c r="G29" s="407"/>
      <c r="H29" s="407">
        <v>57356</v>
      </c>
      <c r="I29" s="408"/>
      <c r="J29" s="408">
        <v>77.897499999999994</v>
      </c>
      <c r="K29" s="409"/>
      <c r="L29" s="409"/>
      <c r="M29" s="409"/>
      <c r="N29" s="458">
        <v>863.22</v>
      </c>
      <c r="O29" s="410">
        <v>4467025.79</v>
      </c>
      <c r="P29" s="409">
        <v>837567.34</v>
      </c>
      <c r="Q29" s="409">
        <v>167513.47</v>
      </c>
      <c r="R29" s="236">
        <v>3.7499999999999999E-2</v>
      </c>
      <c r="S29" s="409">
        <v>670053.87</v>
      </c>
      <c r="T29" s="199">
        <v>0.15</v>
      </c>
    </row>
    <row r="30" spans="1:20" x14ac:dyDescent="0.25">
      <c r="A30" s="413" t="s">
        <v>28</v>
      </c>
      <c r="B30" s="414" t="s">
        <v>296</v>
      </c>
      <c r="C30" s="69" t="s">
        <v>31</v>
      </c>
      <c r="D30" s="406" t="s">
        <v>30</v>
      </c>
      <c r="E30" s="69" t="s">
        <v>98</v>
      </c>
      <c r="F30" s="223" t="s">
        <v>36</v>
      </c>
      <c r="G30" s="458">
        <v>48651</v>
      </c>
      <c r="H30" s="458">
        <v>66320</v>
      </c>
      <c r="I30" s="408">
        <v>78.159000000000006</v>
      </c>
      <c r="J30" s="408">
        <v>78.507499999999993</v>
      </c>
      <c r="K30" s="407"/>
      <c r="L30" s="409"/>
      <c r="M30" s="409"/>
      <c r="N30" s="458">
        <v>439.52</v>
      </c>
      <c r="O30" s="410">
        <v>9008691.3900000006</v>
      </c>
      <c r="P30" s="409">
        <v>1689129.64</v>
      </c>
      <c r="Q30" s="409">
        <v>1351303.71</v>
      </c>
      <c r="R30" s="227">
        <v>0.15</v>
      </c>
      <c r="S30" s="409">
        <v>337825.93</v>
      </c>
      <c r="T30" s="236">
        <v>3.7499999999999999E-2</v>
      </c>
    </row>
    <row r="31" spans="1:20" x14ac:dyDescent="0.25">
      <c r="A31" s="413" t="s">
        <v>28</v>
      </c>
      <c r="B31" s="414" t="s">
        <v>297</v>
      </c>
      <c r="C31" s="69" t="s">
        <v>31</v>
      </c>
      <c r="D31" s="406" t="s">
        <v>30</v>
      </c>
      <c r="E31" s="69" t="s">
        <v>98</v>
      </c>
      <c r="F31" s="223" t="s">
        <v>55</v>
      </c>
      <c r="G31" s="458">
        <v>120928.26</v>
      </c>
      <c r="H31" s="458">
        <v>149821.44</v>
      </c>
      <c r="I31" s="408">
        <v>2.837799369642795</v>
      </c>
      <c r="J31" s="408">
        <v>2.8284846948474129</v>
      </c>
      <c r="K31" s="407"/>
      <c r="L31" s="409"/>
      <c r="M31" s="409"/>
      <c r="N31" s="458">
        <v>388.92</v>
      </c>
      <c r="O31" s="410">
        <v>766548.87000000011</v>
      </c>
      <c r="P31" s="410">
        <v>143727.90999999997</v>
      </c>
      <c r="Q31" s="410">
        <v>114982.34</v>
      </c>
      <c r="R31" s="227">
        <v>0.15</v>
      </c>
      <c r="S31" s="410">
        <v>28745.58</v>
      </c>
      <c r="T31" s="236">
        <v>3.7499999999999999E-2</v>
      </c>
    </row>
    <row r="32" spans="1:20" x14ac:dyDescent="0.25">
      <c r="A32" s="413" t="s">
        <v>28</v>
      </c>
      <c r="B32" s="414" t="s">
        <v>298</v>
      </c>
      <c r="C32" s="69" t="s">
        <v>31</v>
      </c>
      <c r="D32" s="406" t="s">
        <v>30</v>
      </c>
      <c r="E32" s="69" t="s">
        <v>98</v>
      </c>
      <c r="F32" s="223" t="s">
        <v>36</v>
      </c>
      <c r="G32" s="458">
        <v>10318</v>
      </c>
      <c r="H32" s="458">
        <v>11016</v>
      </c>
      <c r="I32" s="408">
        <v>61.468499999999999</v>
      </c>
      <c r="J32" s="408">
        <v>47.684199999999997</v>
      </c>
      <c r="K32" s="407"/>
      <c r="L32" s="409"/>
      <c r="M32" s="409"/>
      <c r="N32" s="458">
        <v>423.71</v>
      </c>
      <c r="O32" s="410">
        <v>1159097.42</v>
      </c>
      <c r="P32" s="409">
        <v>217330.77</v>
      </c>
      <c r="Q32" s="409">
        <v>173864.61</v>
      </c>
      <c r="R32" s="227">
        <v>0.15</v>
      </c>
      <c r="S32" s="409">
        <v>43466.15</v>
      </c>
      <c r="T32" s="236">
        <v>3.7499999999999999E-2</v>
      </c>
    </row>
    <row r="33" spans="1:20" x14ac:dyDescent="0.25">
      <c r="A33" s="413" t="s">
        <v>28</v>
      </c>
      <c r="B33" s="414" t="s">
        <v>51</v>
      </c>
      <c r="C33" s="415"/>
      <c r="D33" s="415"/>
      <c r="E33" s="416"/>
      <c r="F33" s="223"/>
      <c r="G33" s="409"/>
      <c r="H33" s="409"/>
      <c r="I33" s="417"/>
      <c r="J33" s="417"/>
      <c r="K33" s="409"/>
      <c r="L33" s="409"/>
      <c r="M33" s="409"/>
      <c r="N33" s="409"/>
      <c r="O33" s="508">
        <v>-11688.409999999989</v>
      </c>
      <c r="P33" s="508">
        <v>-2191.5799999999963</v>
      </c>
      <c r="Q33" s="508">
        <v>-1753.2699999999859</v>
      </c>
      <c r="R33" s="550"/>
      <c r="S33" s="508">
        <v>-438.3100000000004</v>
      </c>
      <c r="T33" s="199"/>
    </row>
    <row r="34" spans="1:20" x14ac:dyDescent="0.25">
      <c r="A34" s="24"/>
      <c r="B34" s="127" t="s">
        <v>105</v>
      </c>
      <c r="C34" s="25" t="s">
        <v>283</v>
      </c>
      <c r="D34" s="30"/>
      <c r="E34" s="31"/>
      <c r="F34" s="224"/>
      <c r="G34" s="418"/>
      <c r="H34" s="418"/>
      <c r="I34" s="419"/>
      <c r="J34" s="419"/>
      <c r="K34" s="418"/>
      <c r="L34" s="418"/>
      <c r="M34" s="418"/>
      <c r="N34" s="420"/>
      <c r="O34" s="420">
        <v>63745951.240000002</v>
      </c>
      <c r="P34" s="420">
        <v>11952365.85</v>
      </c>
      <c r="Q34" s="420">
        <v>9056193.75</v>
      </c>
      <c r="R34" s="207"/>
      <c r="S34" s="420">
        <v>2896172.11</v>
      </c>
      <c r="T34" s="476">
        <v>0</v>
      </c>
    </row>
    <row r="35" spans="1:20" x14ac:dyDescent="0.25">
      <c r="A35" s="102"/>
      <c r="B35" s="265"/>
      <c r="C35" s="25" t="s">
        <v>284</v>
      </c>
      <c r="D35" s="415"/>
      <c r="E35" s="415"/>
      <c r="F35" s="115"/>
      <c r="G35" s="421"/>
      <c r="H35" s="421"/>
      <c r="I35" s="422"/>
      <c r="J35" s="422"/>
      <c r="K35" s="421"/>
      <c r="L35" s="421"/>
      <c r="M35" s="421"/>
      <c r="N35" s="421"/>
      <c r="O35" s="423"/>
      <c r="P35" s="424">
        <v>44104229.990000002</v>
      </c>
      <c r="Q35" s="425">
        <v>33417354.940000001</v>
      </c>
      <c r="R35" s="117"/>
      <c r="S35" s="426">
        <v>10686875.09</v>
      </c>
      <c r="T35" s="131"/>
    </row>
    <row r="36" spans="1:20" ht="13" x14ac:dyDescent="0.3">
      <c r="A36" s="257" t="s">
        <v>22</v>
      </c>
      <c r="B36" s="11"/>
      <c r="C36" s="41"/>
      <c r="D36" s="41"/>
      <c r="E36" s="12"/>
      <c r="F36" s="27"/>
      <c r="G36" s="427"/>
      <c r="H36" s="427"/>
      <c r="I36" s="428"/>
      <c r="J36" s="428"/>
      <c r="K36" s="427"/>
      <c r="L36" s="427"/>
      <c r="M36" s="427"/>
      <c r="N36" s="427"/>
      <c r="O36" s="429"/>
      <c r="P36" s="427"/>
      <c r="Q36" s="211" t="s">
        <v>48</v>
      </c>
      <c r="R36" s="189"/>
      <c r="S36" s="430"/>
      <c r="T36" s="261"/>
    </row>
    <row r="37" spans="1:20" x14ac:dyDescent="0.25">
      <c r="A37" s="413" t="s">
        <v>28</v>
      </c>
      <c r="B37" s="22">
        <v>131</v>
      </c>
      <c r="C37" s="69" t="s">
        <v>31</v>
      </c>
      <c r="D37" s="406" t="s">
        <v>30</v>
      </c>
      <c r="E37" s="69" t="s">
        <v>98</v>
      </c>
      <c r="F37" s="190" t="s">
        <v>36</v>
      </c>
      <c r="G37" s="407">
        <v>8116</v>
      </c>
      <c r="H37" s="407">
        <v>10054</v>
      </c>
      <c r="I37" s="408">
        <v>67.260999999999996</v>
      </c>
      <c r="J37" s="408">
        <v>67.133099999999999</v>
      </c>
      <c r="K37" s="409"/>
      <c r="L37" s="409"/>
      <c r="M37" s="409"/>
      <c r="N37" s="458">
        <v>3402.29</v>
      </c>
      <c r="O37" s="410">
        <v>1217444.18</v>
      </c>
      <c r="P37" s="409">
        <v>182616.63</v>
      </c>
      <c r="Q37" s="409">
        <v>182616.63</v>
      </c>
      <c r="R37" s="199">
        <v>0.15</v>
      </c>
      <c r="S37" s="431"/>
      <c r="T37" s="202"/>
    </row>
    <row r="38" spans="1:20"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row>
    <row r="39" spans="1:20" x14ac:dyDescent="0.25">
      <c r="A39" s="24"/>
      <c r="B39" s="127" t="s">
        <v>105</v>
      </c>
      <c r="C39" s="25" t="s">
        <v>285</v>
      </c>
      <c r="D39" s="30"/>
      <c r="E39" s="31"/>
      <c r="F39" s="30"/>
      <c r="G39" s="418"/>
      <c r="H39" s="418"/>
      <c r="I39" s="419"/>
      <c r="J39" s="419"/>
      <c r="K39" s="418"/>
      <c r="L39" s="418"/>
      <c r="M39" s="418"/>
      <c r="N39" s="418"/>
      <c r="O39" s="420">
        <v>1217444.18</v>
      </c>
      <c r="P39" s="420">
        <v>182616.63</v>
      </c>
      <c r="Q39" s="420">
        <v>182616.63</v>
      </c>
      <c r="R39" s="207"/>
      <c r="S39" s="420">
        <v>0</v>
      </c>
      <c r="T39" s="207"/>
    </row>
    <row r="40" spans="1:20" x14ac:dyDescent="0.25">
      <c r="A40" s="102"/>
      <c r="B40" s="265"/>
      <c r="C40" s="25" t="s">
        <v>286</v>
      </c>
      <c r="D40" s="415"/>
      <c r="E40" s="415"/>
      <c r="F40" s="115"/>
      <c r="G40" s="421"/>
      <c r="H40" s="421"/>
      <c r="I40" s="422"/>
      <c r="J40" s="422"/>
      <c r="K40" s="421"/>
      <c r="L40" s="421"/>
      <c r="M40" s="421"/>
      <c r="N40" s="421"/>
      <c r="O40" s="423"/>
      <c r="P40" s="424">
        <v>673855.36</v>
      </c>
      <c r="Q40" s="425">
        <v>673855.36</v>
      </c>
      <c r="R40" s="117"/>
      <c r="S40" s="424">
        <v>0</v>
      </c>
      <c r="T40" s="117"/>
    </row>
    <row r="41" spans="1:20"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row>
    <row r="42" spans="1:20" x14ac:dyDescent="0.25">
      <c r="A42" s="405" t="s">
        <v>28</v>
      </c>
      <c r="B42" s="22">
        <v>8</v>
      </c>
      <c r="C42" s="69" t="s">
        <v>31</v>
      </c>
      <c r="D42" s="69" t="s">
        <v>30</v>
      </c>
      <c r="E42" s="69" t="s">
        <v>98</v>
      </c>
      <c r="F42" s="217" t="s">
        <v>36</v>
      </c>
      <c r="G42" s="409">
        <v>9752</v>
      </c>
      <c r="H42" s="407">
        <v>16409</v>
      </c>
      <c r="I42" s="408">
        <v>64.603800000000007</v>
      </c>
      <c r="J42" s="408">
        <v>65.082099999999997</v>
      </c>
      <c r="K42" s="409"/>
      <c r="L42" s="409"/>
      <c r="M42" s="409"/>
      <c r="N42" s="458">
        <v>4559.58</v>
      </c>
      <c r="O42" s="410">
        <v>1693388.8599999999</v>
      </c>
      <c r="P42" s="409">
        <v>317510.40999999997</v>
      </c>
      <c r="Q42" s="409">
        <v>254008.33</v>
      </c>
      <c r="R42" s="199">
        <v>0.15</v>
      </c>
      <c r="S42" s="409">
        <v>63502.080000000002</v>
      </c>
      <c r="T42" s="236">
        <v>3.7499999999999999E-2</v>
      </c>
    </row>
    <row r="43" spans="1:20" x14ac:dyDescent="0.25">
      <c r="A43" s="405" t="s">
        <v>28</v>
      </c>
      <c r="B43" s="17" t="s">
        <v>12</v>
      </c>
      <c r="C43" s="69" t="s">
        <v>31</v>
      </c>
      <c r="D43" s="69" t="s">
        <v>30</v>
      </c>
      <c r="E43" s="69" t="s">
        <v>98</v>
      </c>
      <c r="F43" s="217" t="s">
        <v>55</v>
      </c>
      <c r="G43" s="407">
        <v>9951.3264999999992</v>
      </c>
      <c r="H43" s="407">
        <v>58273.916299999997</v>
      </c>
      <c r="I43" s="408">
        <v>3.6055000000000001</v>
      </c>
      <c r="J43" s="408">
        <v>3.6059000000000001</v>
      </c>
      <c r="K43" s="409"/>
      <c r="L43" s="409"/>
      <c r="M43" s="409"/>
      <c r="N43" s="458">
        <v>1630.26</v>
      </c>
      <c r="O43" s="410">
        <v>244379.16</v>
      </c>
      <c r="P43" s="409">
        <v>45821.09</v>
      </c>
      <c r="Q43" s="409">
        <v>9164.2199999999993</v>
      </c>
      <c r="R43" s="236">
        <v>3.7499999999999999E-2</v>
      </c>
      <c r="S43" s="409">
        <v>36656.870000000003</v>
      </c>
      <c r="T43" s="199">
        <v>0.15</v>
      </c>
    </row>
    <row r="44" spans="1:20" x14ac:dyDescent="0.25">
      <c r="A44" s="405" t="s">
        <v>28</v>
      </c>
      <c r="B44" s="17" t="s">
        <v>74</v>
      </c>
      <c r="C44" s="69" t="s">
        <v>31</v>
      </c>
      <c r="D44" s="69" t="s">
        <v>30</v>
      </c>
      <c r="E44" s="69" t="s">
        <v>100</v>
      </c>
      <c r="F44" s="217" t="s">
        <v>36</v>
      </c>
      <c r="G44" s="407"/>
      <c r="H44" s="407">
        <v>36</v>
      </c>
      <c r="I44" s="408"/>
      <c r="J44" s="408">
        <v>65.265600000000006</v>
      </c>
      <c r="K44" s="409"/>
      <c r="L44" s="409"/>
      <c r="M44" s="409"/>
      <c r="N44" s="458">
        <v>3138.52</v>
      </c>
      <c r="O44" s="410">
        <v>-788.96</v>
      </c>
      <c r="P44" s="409">
        <v>-147.93</v>
      </c>
      <c r="Q44" s="409">
        <v>-29.59</v>
      </c>
      <c r="R44" s="236">
        <v>3.7499999999999999E-2</v>
      </c>
      <c r="S44" s="409">
        <v>-118.34</v>
      </c>
      <c r="T44" s="199">
        <v>0.15</v>
      </c>
    </row>
    <row r="45" spans="1:20" x14ac:dyDescent="0.25">
      <c r="A45" s="405" t="s">
        <v>28</v>
      </c>
      <c r="B45" s="22">
        <v>95</v>
      </c>
      <c r="C45" s="69" t="s">
        <v>31</v>
      </c>
      <c r="D45" s="69" t="s">
        <v>30</v>
      </c>
      <c r="E45" s="69" t="s">
        <v>98</v>
      </c>
      <c r="F45" s="223" t="s">
        <v>36</v>
      </c>
      <c r="G45" s="407">
        <v>335917</v>
      </c>
      <c r="H45" s="407">
        <v>357171</v>
      </c>
      <c r="I45" s="408">
        <v>58.262</v>
      </c>
      <c r="J45" s="408">
        <v>58.334299999999999</v>
      </c>
      <c r="K45" s="407"/>
      <c r="L45" s="409"/>
      <c r="M45" s="409"/>
      <c r="N45" s="458">
        <v>4562.74</v>
      </c>
      <c r="O45" s="410">
        <v>40401953.779999994</v>
      </c>
      <c r="P45" s="409">
        <v>7575366.3300000001</v>
      </c>
      <c r="Q45" s="409">
        <v>6060293.0600000005</v>
      </c>
      <c r="R45" s="199">
        <v>0.15</v>
      </c>
      <c r="S45" s="409">
        <v>1515073.27</v>
      </c>
      <c r="T45" s="236">
        <v>3.7499999999999999E-2</v>
      </c>
    </row>
    <row r="46" spans="1:20" x14ac:dyDescent="0.25">
      <c r="A46" s="405" t="s">
        <v>28</v>
      </c>
      <c r="B46" s="250">
        <v>67</v>
      </c>
      <c r="C46" s="69" t="s">
        <v>31</v>
      </c>
      <c r="D46" s="69" t="s">
        <v>30</v>
      </c>
      <c r="E46" s="69" t="s">
        <v>98</v>
      </c>
      <c r="F46" s="217" t="s">
        <v>36</v>
      </c>
      <c r="G46" s="407"/>
      <c r="H46" s="407"/>
      <c r="I46" s="408"/>
      <c r="J46" s="408"/>
      <c r="K46" s="407"/>
      <c r="L46" s="409"/>
      <c r="M46" s="409"/>
      <c r="N46" s="458"/>
      <c r="O46" s="410">
        <v>0</v>
      </c>
      <c r="P46" s="409">
        <v>0</v>
      </c>
      <c r="Q46" s="409">
        <v>0</v>
      </c>
      <c r="R46" s="199">
        <v>0.15</v>
      </c>
      <c r="S46" s="409">
        <v>0</v>
      </c>
      <c r="T46" s="236">
        <v>3.7499999999999999E-2</v>
      </c>
    </row>
    <row r="47" spans="1:20" x14ac:dyDescent="0.25">
      <c r="A47" s="432" t="s">
        <v>28</v>
      </c>
      <c r="B47" s="414" t="s">
        <v>53</v>
      </c>
      <c r="C47" s="415"/>
      <c r="D47" s="416"/>
      <c r="E47" s="416"/>
      <c r="F47" s="217"/>
      <c r="G47" s="409"/>
      <c r="H47" s="409"/>
      <c r="I47" s="417"/>
      <c r="J47" s="417"/>
      <c r="K47" s="409"/>
      <c r="L47" s="409"/>
      <c r="M47" s="409"/>
      <c r="N47" s="409"/>
      <c r="O47" s="409">
        <v>-318742.29999999981</v>
      </c>
      <c r="P47" s="409">
        <v>-59764.179999999993</v>
      </c>
      <c r="Q47" s="409">
        <v>-47811.349999999977</v>
      </c>
      <c r="R47" s="409"/>
      <c r="S47" s="409">
        <v>-11952.830000000002</v>
      </c>
      <c r="T47" s="199"/>
    </row>
    <row r="48" spans="1:20" x14ac:dyDescent="0.25">
      <c r="A48" s="24"/>
      <c r="B48" s="127" t="s">
        <v>105</v>
      </c>
      <c r="C48" s="25" t="s">
        <v>287</v>
      </c>
      <c r="D48" s="14"/>
      <c r="E48" s="14"/>
      <c r="F48" s="230"/>
      <c r="G48" s="433"/>
      <c r="H48" s="433"/>
      <c r="I48" s="434"/>
      <c r="J48" s="435"/>
      <c r="K48" s="436"/>
      <c r="L48" s="436"/>
      <c r="M48" s="436"/>
      <c r="N48" s="420"/>
      <c r="O48" s="420">
        <v>42020190.539999999</v>
      </c>
      <c r="P48" s="420">
        <v>7878785.7200000007</v>
      </c>
      <c r="Q48" s="420">
        <v>6275624.6700000009</v>
      </c>
      <c r="R48" s="220"/>
      <c r="S48" s="420">
        <v>1603161.05</v>
      </c>
      <c r="T48" s="207"/>
    </row>
    <row r="49" spans="1:21" x14ac:dyDescent="0.25">
      <c r="A49" s="121"/>
      <c r="B49" s="122"/>
      <c r="C49" s="25" t="s">
        <v>288</v>
      </c>
      <c r="D49" s="85"/>
      <c r="E49" s="85"/>
      <c r="F49" s="121"/>
      <c r="G49" s="437"/>
      <c r="H49" s="437"/>
      <c r="I49" s="438"/>
      <c r="J49" s="438"/>
      <c r="K49" s="437"/>
      <c r="L49" s="437"/>
      <c r="M49" s="437"/>
      <c r="N49" s="437"/>
      <c r="O49" s="255"/>
      <c r="P49" s="255">
        <v>29072719.309999999</v>
      </c>
      <c r="Q49" s="426">
        <v>23157055.030000001</v>
      </c>
      <c r="R49" s="131"/>
      <c r="S49" s="426">
        <v>5915664.2699999996</v>
      </c>
      <c r="T49" s="123"/>
    </row>
    <row r="50" spans="1:21"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row>
    <row r="51" spans="1:21" x14ac:dyDescent="0.25">
      <c r="A51" s="405" t="s">
        <v>28</v>
      </c>
      <c r="B51" s="17" t="s">
        <v>160</v>
      </c>
      <c r="C51" s="69" t="s">
        <v>31</v>
      </c>
      <c r="D51" s="69" t="s">
        <v>30</v>
      </c>
      <c r="E51" s="69" t="s">
        <v>158</v>
      </c>
      <c r="F51" s="217" t="s">
        <v>36</v>
      </c>
      <c r="G51" s="409">
        <v>696480</v>
      </c>
      <c r="H51" s="409">
        <v>677278</v>
      </c>
      <c r="I51" s="417">
        <v>46.961100000000002</v>
      </c>
      <c r="J51" s="417">
        <v>46.825400000000002</v>
      </c>
      <c r="K51" s="409"/>
      <c r="L51" s="409"/>
      <c r="M51" s="409"/>
      <c r="N51" s="409"/>
      <c r="O51" s="410">
        <v>64421280.189199999</v>
      </c>
      <c r="P51" s="444">
        <v>23990484.739999998</v>
      </c>
      <c r="Q51" s="444">
        <v>11995242.369999999</v>
      </c>
      <c r="R51" s="199">
        <v>0.5</v>
      </c>
      <c r="S51" s="409"/>
      <c r="T51" s="236"/>
      <c r="U51" s="290"/>
    </row>
    <row r="52" spans="1:21" x14ac:dyDescent="0.25">
      <c r="A52" s="405" t="s">
        <v>28</v>
      </c>
      <c r="B52" s="17" t="s">
        <v>159</v>
      </c>
      <c r="C52" s="69" t="s">
        <v>31</v>
      </c>
      <c r="D52" s="69" t="s">
        <v>30</v>
      </c>
      <c r="E52" s="69" t="s">
        <v>158</v>
      </c>
      <c r="F52" s="217" t="s">
        <v>55</v>
      </c>
      <c r="G52" s="409">
        <v>9514193.2869000006</v>
      </c>
      <c r="H52" s="409">
        <v>11953698.1589</v>
      </c>
      <c r="I52" s="417">
        <v>3.0874999999999999</v>
      </c>
      <c r="J52" s="417">
        <v>3.0167999999999999</v>
      </c>
      <c r="K52" s="409"/>
      <c r="L52" s="409"/>
      <c r="M52" s="409"/>
      <c r="N52" s="409"/>
      <c r="O52" s="444">
        <v>65436505.090000004</v>
      </c>
      <c r="P52" s="444">
        <v>24445881.749999996</v>
      </c>
      <c r="Q52" s="444">
        <v>12222940.880000001</v>
      </c>
      <c r="R52" s="199">
        <v>0.5</v>
      </c>
      <c r="S52" s="409"/>
      <c r="T52" s="199"/>
      <c r="U52" s="290"/>
    </row>
    <row r="53" spans="1:21" x14ac:dyDescent="0.25">
      <c r="A53" s="405" t="s">
        <v>28</v>
      </c>
      <c r="B53" s="17" t="s">
        <v>168</v>
      </c>
      <c r="C53" s="69" t="s">
        <v>31</v>
      </c>
      <c r="D53" s="69" t="s">
        <v>30</v>
      </c>
      <c r="E53" s="69" t="s">
        <v>158</v>
      </c>
      <c r="F53" s="217" t="s">
        <v>36</v>
      </c>
      <c r="G53" s="409">
        <v>153684</v>
      </c>
      <c r="H53" s="409">
        <v>135325</v>
      </c>
      <c r="I53" s="417">
        <v>46.9634</v>
      </c>
      <c r="J53" s="417">
        <v>46.731099999999998</v>
      </c>
      <c r="K53" s="409"/>
      <c r="L53" s="409"/>
      <c r="M53" s="409"/>
      <c r="N53" s="409"/>
      <c r="O53" s="410">
        <v>13541409.2731</v>
      </c>
      <c r="P53" s="444">
        <v>5416563.71</v>
      </c>
      <c r="Q53" s="444">
        <v>2708281.86</v>
      </c>
      <c r="R53" s="199">
        <v>0.5</v>
      </c>
      <c r="S53" s="409"/>
      <c r="T53" s="199"/>
      <c r="U53" s="290"/>
    </row>
    <row r="54" spans="1:21" x14ac:dyDescent="0.25">
      <c r="A54" s="405" t="s">
        <v>28</v>
      </c>
      <c r="B54" s="17" t="s">
        <v>169</v>
      </c>
      <c r="C54" s="69" t="s">
        <v>31</v>
      </c>
      <c r="D54" s="69" t="s">
        <v>30</v>
      </c>
      <c r="E54" s="69" t="s">
        <v>158</v>
      </c>
      <c r="F54" s="217" t="s">
        <v>55</v>
      </c>
      <c r="G54" s="409">
        <v>4425452.8132999996</v>
      </c>
      <c r="H54" s="409">
        <v>3816614.5452000001</v>
      </c>
      <c r="I54" s="503">
        <v>6.2480000000000002</v>
      </c>
      <c r="J54" s="417">
        <v>6.0880000000000001</v>
      </c>
      <c r="K54" s="409"/>
      <c r="L54" s="409"/>
      <c r="M54" s="409"/>
      <c r="N54" s="409"/>
      <c r="O54" s="410">
        <v>50885778.528675996</v>
      </c>
      <c r="P54" s="444">
        <v>19336595.84</v>
      </c>
      <c r="Q54" s="444">
        <v>9668297.9199999999</v>
      </c>
      <c r="R54" s="199">
        <v>0.5</v>
      </c>
      <c r="S54" s="409"/>
      <c r="T54" s="199"/>
      <c r="U54" s="290"/>
    </row>
    <row r="55" spans="1:21" x14ac:dyDescent="0.25">
      <c r="A55" s="405" t="s">
        <v>28</v>
      </c>
      <c r="B55" s="22" t="s">
        <v>175</v>
      </c>
      <c r="C55" s="69" t="s">
        <v>31</v>
      </c>
      <c r="D55" s="69" t="s">
        <v>30</v>
      </c>
      <c r="E55" s="69" t="s">
        <v>158</v>
      </c>
      <c r="F55" s="217" t="s">
        <v>36</v>
      </c>
      <c r="G55" s="409">
        <v>220877</v>
      </c>
      <c r="H55" s="409">
        <v>162482</v>
      </c>
      <c r="I55" s="417">
        <v>45.907299999999999</v>
      </c>
      <c r="J55" s="417">
        <v>44.132300000000001</v>
      </c>
      <c r="K55" s="407"/>
      <c r="L55" s="409"/>
      <c r="M55" s="409"/>
      <c r="N55" s="407"/>
      <c r="O55" s="410">
        <v>17310571.070699997</v>
      </c>
      <c r="P55" s="444">
        <v>1148335.134698</v>
      </c>
      <c r="Q55" s="444">
        <v>574167.56999999995</v>
      </c>
      <c r="R55" s="199">
        <v>0.5</v>
      </c>
      <c r="S55" s="409"/>
      <c r="T55" s="236"/>
      <c r="U55" s="290"/>
    </row>
    <row r="56" spans="1:21" x14ac:dyDescent="0.25">
      <c r="A56" s="405" t="s">
        <v>28</v>
      </c>
      <c r="B56" s="250" t="s">
        <v>176</v>
      </c>
      <c r="C56" s="69" t="s">
        <v>31</v>
      </c>
      <c r="D56" s="69" t="s">
        <v>30</v>
      </c>
      <c r="E56" s="69" t="s">
        <v>158</v>
      </c>
      <c r="F56" s="217" t="s">
        <v>55</v>
      </c>
      <c r="G56" s="409">
        <v>3777923.7431000001</v>
      </c>
      <c r="H56" s="409">
        <v>2726026.2892999998</v>
      </c>
      <c r="I56" s="417">
        <v>5.8040000000000003</v>
      </c>
      <c r="J56" s="417">
        <v>5.8040000000000003</v>
      </c>
      <c r="K56" s="504"/>
      <c r="L56" s="409"/>
      <c r="M56" s="409"/>
      <c r="N56" s="407"/>
      <c r="O56" s="410">
        <v>37748925.988049604</v>
      </c>
      <c r="P56" s="444">
        <v>4173861.8675759998</v>
      </c>
      <c r="Q56" s="444">
        <v>2086930.93</v>
      </c>
      <c r="R56" s="199">
        <v>0.5</v>
      </c>
      <c r="S56" s="409"/>
      <c r="T56" s="236"/>
      <c r="U56" s="290"/>
    </row>
    <row r="57" spans="1:21" x14ac:dyDescent="0.25">
      <c r="A57" s="445" t="s">
        <v>28</v>
      </c>
      <c r="B57" s="446" t="s">
        <v>162</v>
      </c>
      <c r="C57" s="447"/>
      <c r="D57" s="447"/>
      <c r="E57" s="448"/>
      <c r="F57" s="190"/>
      <c r="G57" s="239"/>
      <c r="H57" s="240"/>
      <c r="I57" s="240"/>
      <c r="J57" s="241"/>
      <c r="K57" s="241"/>
      <c r="L57" s="241"/>
      <c r="M57" s="155"/>
      <c r="N57" s="155"/>
      <c r="O57" s="551">
        <v>15735462.79002808</v>
      </c>
      <c r="P57" s="551">
        <v>2365478.2891079998</v>
      </c>
      <c r="Q57" s="551">
        <v>1182739.1399999999</v>
      </c>
      <c r="R57" s="123"/>
      <c r="S57" s="156"/>
      <c r="T57" s="123"/>
    </row>
    <row r="58" spans="1:21" x14ac:dyDescent="0.25">
      <c r="A58" s="24"/>
      <c r="B58" s="127" t="s">
        <v>105</v>
      </c>
      <c r="C58" s="25" t="s">
        <v>289</v>
      </c>
      <c r="D58" s="14"/>
      <c r="E58" s="14"/>
      <c r="F58" s="245"/>
      <c r="G58" s="232">
        <v>4425452.8132999996</v>
      </c>
      <c r="H58" s="552">
        <v>3816614.5452000001</v>
      </c>
      <c r="I58" s="299"/>
      <c r="J58" s="552"/>
      <c r="K58" s="243"/>
      <c r="L58" s="237"/>
      <c r="M58" s="297"/>
      <c r="N58" s="174"/>
      <c r="O58" s="174">
        <v>265079932.92975366</v>
      </c>
      <c r="P58" s="174">
        <v>80877201.331381992</v>
      </c>
      <c r="Q58" s="174">
        <v>40438600.670000002</v>
      </c>
      <c r="R58" s="498"/>
      <c r="S58" s="162"/>
      <c r="T58" s="123"/>
    </row>
    <row r="59" spans="1:21" x14ac:dyDescent="0.25">
      <c r="A59" s="121"/>
      <c r="B59" s="122"/>
      <c r="C59" s="25" t="s">
        <v>290</v>
      </c>
      <c r="D59" s="85"/>
      <c r="E59" s="85"/>
      <c r="F59" s="245"/>
      <c r="G59" s="233">
        <v>6.2480000000000002</v>
      </c>
      <c r="H59" s="553">
        <v>6.0880000000000001</v>
      </c>
      <c r="I59" s="300"/>
      <c r="J59" s="552"/>
      <c r="K59" s="244"/>
      <c r="L59" s="238"/>
      <c r="M59" s="361"/>
      <c r="N59" s="362"/>
      <c r="O59" s="362"/>
      <c r="P59" s="164"/>
      <c r="Q59" s="164">
        <v>149218436.47229999</v>
      </c>
      <c r="R59" s="153"/>
      <c r="S59" s="162"/>
      <c r="T59" s="123"/>
      <c r="U59" s="294"/>
    </row>
    <row r="60" spans="1:21" ht="13" x14ac:dyDescent="0.3">
      <c r="A60" s="8" t="s">
        <v>54</v>
      </c>
      <c r="B60" s="252"/>
      <c r="C60" s="252"/>
      <c r="D60" s="252"/>
      <c r="E60" s="252"/>
      <c r="F60" s="246"/>
      <c r="G60" s="234">
        <v>27650229.177498396</v>
      </c>
      <c r="H60" s="554">
        <v>23235549.351177599</v>
      </c>
      <c r="I60" s="232">
        <v>50885778.528675996</v>
      </c>
      <c r="J60" s="552" t="e">
        <v>#REF!</v>
      </c>
      <c r="K60" s="301" t="e">
        <v>#REF!</v>
      </c>
      <c r="L60" s="302"/>
      <c r="M60" s="255">
        <v>0</v>
      </c>
      <c r="N60" s="255">
        <v>32559.079999999994</v>
      </c>
      <c r="O60" s="255">
        <v>372063518.8897537</v>
      </c>
      <c r="P60" s="426">
        <v>60452368.870000005</v>
      </c>
      <c r="Q60" s="166">
        <v>223069241.16229999</v>
      </c>
      <c r="R60" s="38"/>
      <c r="S60" s="166"/>
      <c r="T60" s="38"/>
      <c r="U60" s="294"/>
    </row>
    <row r="61" spans="1:21" x14ac:dyDescent="0.25">
      <c r="N61" s="477"/>
      <c r="O61" s="460"/>
      <c r="Q61" s="47"/>
      <c r="S61" s="290"/>
      <c r="U61" s="294"/>
    </row>
    <row r="62" spans="1:21" x14ac:dyDescent="0.25">
      <c r="A62" s="449" t="s">
        <v>92</v>
      </c>
      <c r="B62" s="251" t="s">
        <v>75</v>
      </c>
      <c r="H62" s="449" t="s">
        <v>76</v>
      </c>
      <c r="I62" s="449" t="s">
        <v>76</v>
      </c>
      <c r="K62" s="47"/>
      <c r="L62" s="47"/>
      <c r="N62" s="477"/>
      <c r="O62" s="477"/>
      <c r="P62" s="290"/>
      <c r="Q62" s="47"/>
      <c r="S62" s="290"/>
      <c r="U62" s="294"/>
    </row>
    <row r="63" spans="1:21" ht="13" x14ac:dyDescent="0.3">
      <c r="B63" s="97" t="s">
        <v>77</v>
      </c>
      <c r="C63" s="98" t="s">
        <v>78</v>
      </c>
      <c r="D63" s="99"/>
      <c r="E63" s="100" t="s">
        <v>34</v>
      </c>
      <c r="F63" s="100" t="s">
        <v>79</v>
      </c>
      <c r="H63" s="71" t="s">
        <v>34</v>
      </c>
      <c r="I63" s="71"/>
      <c r="J63" s="252"/>
      <c r="K63" s="252"/>
      <c r="L63" s="252"/>
      <c r="M63" s="72"/>
      <c r="N63" s="477"/>
      <c r="O63" s="477"/>
      <c r="P63" s="290"/>
      <c r="Q63" s="47"/>
    </row>
    <row r="64" spans="1:21" x14ac:dyDescent="0.25">
      <c r="B64" s="450" t="s">
        <v>80</v>
      </c>
      <c r="C64" s="74" t="s">
        <v>81</v>
      </c>
      <c r="D64" s="451"/>
      <c r="E64" s="76"/>
      <c r="F64" s="76"/>
      <c r="H64" s="77" t="s">
        <v>292</v>
      </c>
      <c r="I64" s="77"/>
      <c r="M64" s="78"/>
      <c r="N64" s="499"/>
      <c r="O64" s="555"/>
      <c r="P64" s="556"/>
      <c r="Q64" s="47"/>
      <c r="U64" s="294"/>
    </row>
    <row r="65" spans="1:21" ht="13" x14ac:dyDescent="0.3">
      <c r="B65" s="452" t="s">
        <v>82</v>
      </c>
      <c r="C65" s="80" t="s">
        <v>83</v>
      </c>
      <c r="D65" s="453"/>
      <c r="E65" s="82"/>
      <c r="F65" s="83"/>
      <c r="H65" s="84">
        <v>0</v>
      </c>
      <c r="I65" s="84"/>
      <c r="J65" s="85"/>
      <c r="K65" s="85"/>
      <c r="L65" s="85"/>
      <c r="M65" s="86"/>
      <c r="N65" s="499"/>
      <c r="O65" s="556"/>
      <c r="P65" s="556"/>
      <c r="Q65" s="500"/>
      <c r="U65" s="294"/>
    </row>
    <row r="66" spans="1:21" x14ac:dyDescent="0.25">
      <c r="B66" s="452" t="s">
        <v>84</v>
      </c>
      <c r="C66" s="80" t="s">
        <v>85</v>
      </c>
      <c r="D66" s="453"/>
      <c r="E66" s="82"/>
      <c r="F66" s="82"/>
      <c r="J66" s="454"/>
      <c r="N66" s="499"/>
      <c r="P66" s="290"/>
      <c r="Q66" s="290"/>
      <c r="U66" s="294"/>
    </row>
    <row r="67" spans="1:21" x14ac:dyDescent="0.25">
      <c r="B67" s="452" t="s">
        <v>86</v>
      </c>
      <c r="C67" s="80" t="s">
        <v>87</v>
      </c>
      <c r="D67" s="453"/>
      <c r="E67" s="88"/>
      <c r="F67" s="88"/>
      <c r="H67" s="71" t="s">
        <v>79</v>
      </c>
      <c r="I67" s="71"/>
      <c r="J67" s="89"/>
      <c r="K67" s="252"/>
      <c r="L67" s="252"/>
      <c r="M67" s="72"/>
      <c r="N67" s="499"/>
      <c r="O67" s="332"/>
      <c r="U67" s="294"/>
    </row>
    <row r="68" spans="1:21" x14ac:dyDescent="0.25">
      <c r="B68" s="452" t="s">
        <v>88</v>
      </c>
      <c r="C68" s="80" t="s">
        <v>89</v>
      </c>
      <c r="D68" s="453"/>
      <c r="E68" s="90"/>
      <c r="F68" s="83"/>
      <c r="H68" s="77" t="s">
        <v>292</v>
      </c>
      <c r="I68" s="77"/>
      <c r="J68" s="454"/>
      <c r="M68" s="78"/>
      <c r="N68" s="501"/>
      <c r="O68" s="332"/>
      <c r="U68" s="294"/>
    </row>
    <row r="69" spans="1:21" x14ac:dyDescent="0.25">
      <c r="B69" s="455" t="s">
        <v>90</v>
      </c>
      <c r="C69" s="92" t="s">
        <v>91</v>
      </c>
      <c r="D69" s="456"/>
      <c r="E69" s="94"/>
      <c r="F69" s="94"/>
      <c r="H69" s="84">
        <v>0</v>
      </c>
      <c r="I69" s="84"/>
      <c r="J69" s="95"/>
      <c r="K69" s="85"/>
      <c r="L69" s="85"/>
      <c r="M69" s="86"/>
      <c r="N69" s="332"/>
      <c r="O69" s="332"/>
      <c r="U69" s="294"/>
    </row>
    <row r="70" spans="1:21" x14ac:dyDescent="0.25">
      <c r="A70" s="449"/>
      <c r="H70" s="421"/>
      <c r="M70" s="332"/>
      <c r="N70" s="332"/>
      <c r="O70" s="332"/>
      <c r="U70" s="294"/>
    </row>
    <row r="71" spans="1:21" ht="15.5" outlineLevel="1" x14ac:dyDescent="0.35">
      <c r="A71"/>
      <c r="B71"/>
      <c r="C71"/>
      <c r="D71"/>
      <c r="E71"/>
      <c r="F71"/>
      <c r="G71"/>
      <c r="H71"/>
      <c r="I71"/>
      <c r="J71"/>
      <c r="K71"/>
      <c r="L71"/>
      <c r="M71"/>
      <c r="N71"/>
      <c r="O71"/>
      <c r="P71"/>
      <c r="Q71"/>
      <c r="R71"/>
      <c r="S71"/>
      <c r="T71"/>
    </row>
    <row r="72" spans="1:21" ht="15.5" outlineLevel="1" x14ac:dyDescent="0.35">
      <c r="A72"/>
      <c r="B72"/>
      <c r="C72"/>
      <c r="D72"/>
      <c r="E72"/>
      <c r="F72"/>
      <c r="G72"/>
      <c r="H72"/>
      <c r="I72"/>
      <c r="J72"/>
      <c r="K72"/>
      <c r="L72"/>
      <c r="M72"/>
      <c r="N72"/>
      <c r="O72"/>
      <c r="P72"/>
      <c r="Q72"/>
      <c r="R72"/>
      <c r="S72"/>
      <c r="T72"/>
    </row>
    <row r="73" spans="1:21" ht="15.5" outlineLevel="1" x14ac:dyDescent="0.35">
      <c r="A73"/>
      <c r="B73"/>
      <c r="C73"/>
      <c r="D73"/>
      <c r="E73"/>
      <c r="F73"/>
      <c r="G73"/>
      <c r="H73"/>
      <c r="I73"/>
      <c r="J73"/>
      <c r="K73"/>
      <c r="L73"/>
      <c r="M73"/>
      <c r="N73"/>
      <c r="O73"/>
      <c r="P73"/>
      <c r="Q73"/>
      <c r="R73"/>
      <c r="S73"/>
      <c r="T73"/>
    </row>
    <row r="74" spans="1:21" ht="15.5" x14ac:dyDescent="0.35">
      <c r="A74"/>
      <c r="B74"/>
      <c r="C74"/>
      <c r="D74"/>
      <c r="E74"/>
      <c r="F74"/>
      <c r="G74"/>
      <c r="H74"/>
      <c r="I74"/>
      <c r="J74"/>
      <c r="K74"/>
      <c r="L74"/>
      <c r="M74"/>
      <c r="N74"/>
      <c r="O74"/>
      <c r="P74"/>
      <c r="Q74"/>
      <c r="R74"/>
      <c r="S74"/>
      <c r="T74"/>
    </row>
  </sheetData>
  <mergeCells count="2">
    <mergeCell ref="C7:C8"/>
    <mergeCell ref="O7:O8"/>
  </mergeCells>
  <printOptions horizontalCentered="1" verticalCentered="1"/>
  <pageMargins left="0.23622047244094491" right="0.23622047244094491" top="0.51181102362204722" bottom="0.51181102362204722" header="0" footer="0"/>
  <pageSetup paperSize="9" scale="63"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65"/>
  <sheetViews>
    <sheetView view="pageBreakPreview" zoomScaleNormal="95" zoomScaleSheetLayoutView="100" workbookViewId="0">
      <pane xSplit="2" ySplit="9" topLeftCell="C76" activePane="bottomRight" state="frozen"/>
      <selection pane="topRight" activeCell="C1" sqref="C1"/>
      <selection pane="bottomLeft" activeCell="A10" sqref="A10"/>
      <selection pane="bottomRight" activeCell="B140" sqref="B140"/>
    </sheetView>
  </sheetViews>
  <sheetFormatPr baseColWidth="10" defaultColWidth="8.84375" defaultRowHeight="12.5" x14ac:dyDescent="0.25"/>
  <cols>
    <col min="1" max="1" width="3" style="251" customWidth="1"/>
    <col min="2" max="2" width="9.53515625" style="251" customWidth="1"/>
    <col min="3" max="4" width="7.07421875" style="251" customWidth="1"/>
    <col min="5" max="5" width="7.4609375" style="251" customWidth="1"/>
    <col min="6" max="6" width="9.84375" style="251" customWidth="1"/>
    <col min="7" max="8" width="10.4609375" style="172" customWidth="1"/>
    <col min="9" max="10" width="10" style="172" customWidth="1"/>
    <col min="11" max="11" width="11.07421875" style="172" customWidth="1"/>
    <col min="12" max="12" width="11.53515625" style="251" customWidth="1"/>
    <col min="13" max="13" width="9.53515625" style="251" customWidth="1"/>
    <col min="14" max="14" width="10.30468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11.3046875" style="251" customWidth="1"/>
    <col min="22" max="22" width="10.07421875" style="251" customWidth="1"/>
    <col min="23" max="23" width="10" style="251" customWidth="1"/>
    <col min="24" max="24" width="10.53515625" style="251" customWidth="1"/>
    <col min="25" max="16384" width="8.84375" style="251"/>
  </cols>
  <sheetData>
    <row r="1" spans="1:33" x14ac:dyDescent="0.25">
      <c r="A1" s="2" t="s">
        <v>50</v>
      </c>
      <c r="C1" s="1"/>
      <c r="D1" s="1"/>
      <c r="E1" s="7">
        <v>43101</v>
      </c>
      <c r="F1" s="248"/>
      <c r="U1" s="48" t="s">
        <v>59</v>
      </c>
      <c r="V1" s="48"/>
      <c r="W1" s="49">
        <f>DATE(YEAR(E1),MONTH(E1)+1,1)-DATE(YEAR(E1),MONTH(E1),1)</f>
        <v>31</v>
      </c>
    </row>
    <row r="2" spans="1:33" x14ac:dyDescent="0.25">
      <c r="A2" s="1" t="s">
        <v>0</v>
      </c>
    </row>
    <row r="3" spans="1:33" ht="13" x14ac:dyDescent="0.25">
      <c r="A3" s="110" t="s">
        <v>106</v>
      </c>
      <c r="B3" s="169"/>
      <c r="C3" s="110"/>
      <c r="D3" s="110"/>
      <c r="E3" s="110"/>
      <c r="F3" s="110"/>
      <c r="G3" s="110"/>
      <c r="H3" s="110"/>
      <c r="I3" s="110"/>
      <c r="J3" s="110"/>
      <c r="K3" s="110"/>
      <c r="L3" s="110"/>
      <c r="M3" s="110"/>
      <c r="N3" s="110"/>
      <c r="O3" s="110"/>
      <c r="P3" s="110"/>
      <c r="Q3" s="110"/>
      <c r="R3" s="110"/>
      <c r="S3" s="110"/>
      <c r="T3" s="110"/>
      <c r="V3" s="2"/>
      <c r="W3" s="2"/>
    </row>
    <row r="4" spans="1:33" x14ac:dyDescent="0.25">
      <c r="A4" s="109" t="str">
        <f>"Correspondiente a  "&amp;TEXT(E1,"MMMMMMM YYYY")</f>
        <v>Correspondiente a  Enero 2018</v>
      </c>
      <c r="B4" s="170"/>
      <c r="C4" s="109"/>
      <c r="D4" s="109"/>
      <c r="E4" s="109"/>
      <c r="F4" s="109"/>
      <c r="G4" s="109"/>
      <c r="H4" s="109"/>
      <c r="I4" s="109"/>
      <c r="J4" s="109"/>
      <c r="K4" s="109"/>
      <c r="L4" s="109"/>
      <c r="M4" s="109"/>
      <c r="N4" s="109"/>
      <c r="O4" s="109"/>
      <c r="P4" s="109"/>
      <c r="Q4" s="109"/>
      <c r="R4" s="109"/>
      <c r="S4" s="109"/>
      <c r="T4" s="109"/>
    </row>
    <row r="5" spans="1:33" x14ac:dyDescent="0.25">
      <c r="A5" s="109" t="str">
        <f>"Tipo de Cambio= "&amp;TEXT(F1,"0.000")</f>
        <v>Tipo de Cambio= 0.000</v>
      </c>
      <c r="B5" s="170"/>
      <c r="C5" s="109"/>
      <c r="D5" s="109"/>
      <c r="E5" s="109"/>
      <c r="F5" s="109"/>
      <c r="G5" s="109"/>
      <c r="H5" s="109"/>
      <c r="I5" s="109"/>
      <c r="J5" s="109"/>
      <c r="K5" s="109"/>
      <c r="L5" s="109"/>
      <c r="M5" s="109"/>
      <c r="N5" s="109"/>
      <c r="O5" s="109"/>
      <c r="P5" s="109"/>
      <c r="Q5" s="109"/>
      <c r="R5" s="109"/>
      <c r="S5" s="109"/>
      <c r="T5" s="109"/>
    </row>
    <row r="6" spans="1:33" x14ac:dyDescent="0.25">
      <c r="E6" s="47"/>
      <c r="F6" s="47"/>
      <c r="G6" s="242"/>
      <c r="H6" s="173"/>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111" t="s">
        <v>60</v>
      </c>
      <c r="V7" s="112"/>
      <c r="W7" s="112"/>
      <c r="X7" s="112"/>
      <c r="Y7" s="112"/>
      <c r="Z7" s="113"/>
      <c r="AA7" s="145" t="s">
        <v>61</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16" t="s">
        <v>28</v>
      </c>
      <c r="B10" s="17" t="s">
        <v>13</v>
      </c>
      <c r="C10" s="40" t="s">
        <v>29</v>
      </c>
      <c r="D10" s="18" t="s">
        <v>21</v>
      </c>
      <c r="E10" s="40" t="s">
        <v>95</v>
      </c>
      <c r="F10" s="214" t="s">
        <v>36</v>
      </c>
      <c r="G10" s="256"/>
      <c r="H10" s="191">
        <v>24582</v>
      </c>
      <c r="I10" s="192"/>
      <c r="J10" s="193">
        <v>67.081199999999995</v>
      </c>
      <c r="K10" s="256"/>
      <c r="L10" s="256"/>
      <c r="M10" s="256"/>
      <c r="N10" s="191">
        <v>683.58</v>
      </c>
      <c r="O10" s="191">
        <f t="shared" ref="O10:O29" si="0">ROUND(G10*I10,2)+ROUND(H10*J10,2)-K10-L10-M10-N10</f>
        <v>1648306.48</v>
      </c>
      <c r="P10" s="198">
        <f>ROUND(18.75%*O10,2)</f>
        <v>309057.46999999997</v>
      </c>
      <c r="Q10" s="198">
        <f>ROUND($O10*R10,2)</f>
        <v>247245.97</v>
      </c>
      <c r="R10" s="199">
        <v>0.15</v>
      </c>
      <c r="S10" s="198">
        <f t="shared" ref="S10:S34" si="1">ROUND($O10*T10,2)</f>
        <v>61811.49</v>
      </c>
      <c r="T10" s="236">
        <v>3.7499999999999999E-2</v>
      </c>
      <c r="U10" s="46">
        <f t="shared" ref="U10:U29" si="2">IF($F10&amp;"/Día"=W$9,SUM($G10:$H10),"")</f>
        <v>24582</v>
      </c>
      <c r="V10" s="46">
        <f>IF(U10&lt;&gt;"",$O10,"")</f>
        <v>1648306.48</v>
      </c>
      <c r="W10" s="55">
        <f>IF($F10&amp;"/Día"=W$9,ROUND(U10/$W$1,1),"")</f>
        <v>793</v>
      </c>
      <c r="X10" s="56">
        <f t="shared" ref="X10:X29" si="3">IF(U10=0,0,IF($F10&amp;"/Día"=W$9,ROUND(V10/U10,4),""))</f>
        <v>67.053399999999996</v>
      </c>
      <c r="Y10" s="56">
        <f t="shared" ref="Y10:Y29" si="4">IF(U10=0,0,IF($F10&amp;"/Día"=W$9,ROUND(Z10/U10,4),""))</f>
        <v>12.5725</v>
      </c>
      <c r="Z10" s="46">
        <f t="shared" ref="Z10:Z29" si="5">IF(U10&lt;&gt;"",$P10,"")</f>
        <v>309057.46999999997</v>
      </c>
      <c r="AA10" s="46" t="str">
        <f t="shared" ref="AA10:AA29" si="6">IF($F10&amp;"/Día"=AC$9,SUM($G10:$H10),"")</f>
        <v/>
      </c>
      <c r="AB10" s="46" t="str">
        <f>IF(AA10&lt;&gt;"",$O10,"")</f>
        <v/>
      </c>
      <c r="AC10" s="55" t="str">
        <f>IF($F10&amp;"/Día"=AC$9,ROUND(AA10/$W$1,1),"")</f>
        <v/>
      </c>
      <c r="AD10" s="56" t="str">
        <f t="shared" ref="AD10:AD29" si="7">IF(AA10=0,0,IF($F10&amp;"/Día"=AC$9,ROUND(AB10/AA10,4),""))</f>
        <v/>
      </c>
      <c r="AE10" s="56" t="str">
        <f t="shared" ref="AE10:AE29" si="8">IF(AA10=0,0,IF($F10&amp;"/Día"=AC$9,ROUND(AF10/AA10,4),""))</f>
        <v/>
      </c>
      <c r="AF10" s="46" t="str">
        <f t="shared" ref="AF10:AF29" si="9">IF(AA10&lt;&gt;"",$P10,"")</f>
        <v/>
      </c>
      <c r="AG10" s="36"/>
    </row>
    <row r="11" spans="1:33" x14ac:dyDescent="0.25">
      <c r="A11" s="16" t="s">
        <v>28</v>
      </c>
      <c r="B11" s="17" t="s">
        <v>14</v>
      </c>
      <c r="C11" s="40" t="s">
        <v>29</v>
      </c>
      <c r="D11" s="18" t="s">
        <v>21</v>
      </c>
      <c r="E11" s="40" t="s">
        <v>95</v>
      </c>
      <c r="F11" s="214" t="s">
        <v>55</v>
      </c>
      <c r="G11" s="256"/>
      <c r="H11" s="191">
        <v>253218.78</v>
      </c>
      <c r="I11" s="192"/>
      <c r="J11" s="193">
        <v>2.9822000000000002</v>
      </c>
      <c r="K11" s="256"/>
      <c r="L11" s="256"/>
      <c r="M11" s="256"/>
      <c r="N11" s="191">
        <v>1914.05</v>
      </c>
      <c r="O11" s="191">
        <f t="shared" si="0"/>
        <v>753235</v>
      </c>
      <c r="P11" s="198">
        <f t="shared" ref="P11:P35" si="10">ROUND(18.75%*O11,2)</f>
        <v>141231.56</v>
      </c>
      <c r="Q11" s="198">
        <f t="shared" ref="Q11:Q29" si="11">ROUND($O11*R11,2)</f>
        <v>112985.25</v>
      </c>
      <c r="R11" s="199">
        <v>0.15</v>
      </c>
      <c r="S11" s="198">
        <f t="shared" si="1"/>
        <v>28246.31</v>
      </c>
      <c r="T11" s="236">
        <v>3.7499999999999999E-2</v>
      </c>
      <c r="U11" s="32" t="str">
        <f t="shared" si="2"/>
        <v/>
      </c>
      <c r="V11" s="32" t="str">
        <f t="shared" ref="V11:V35" si="12">IF(U11&lt;&gt;"",$O11,"")</f>
        <v/>
      </c>
      <c r="W11" s="57" t="str">
        <f t="shared" ref="W11:W41" si="13">IF($F11&amp;"/Día"=W$9,ROUND(U11/$W$1,1),"")</f>
        <v/>
      </c>
      <c r="X11" s="58" t="str">
        <f t="shared" si="3"/>
        <v/>
      </c>
      <c r="Y11" s="58" t="str">
        <f t="shared" si="4"/>
        <v/>
      </c>
      <c r="Z11" s="32" t="str">
        <f t="shared" si="5"/>
        <v/>
      </c>
      <c r="AA11" s="32">
        <f t="shared" si="6"/>
        <v>253218.78</v>
      </c>
      <c r="AB11" s="32">
        <f t="shared" ref="AB11:AB35" si="14">IF(AA11&lt;&gt;"",$O11,"")</f>
        <v>753235</v>
      </c>
      <c r="AC11" s="57">
        <f t="shared" ref="AC11:AC41" si="15">IF($F11&amp;"/Día"=AC$9,ROUND(AA11/$W$1,1),"")</f>
        <v>8168.3</v>
      </c>
      <c r="AD11" s="58">
        <f t="shared" si="7"/>
        <v>2.9746000000000001</v>
      </c>
      <c r="AE11" s="58">
        <f t="shared" si="8"/>
        <v>0.55769999999999997</v>
      </c>
      <c r="AF11" s="32">
        <f t="shared" si="9"/>
        <v>141231.56</v>
      </c>
      <c r="AG11" s="37"/>
    </row>
    <row r="12" spans="1:33" x14ac:dyDescent="0.25">
      <c r="A12" s="16" t="s">
        <v>28</v>
      </c>
      <c r="B12" s="17" t="s">
        <v>3</v>
      </c>
      <c r="C12" s="40" t="s">
        <v>31</v>
      </c>
      <c r="D12" s="18" t="s">
        <v>30</v>
      </c>
      <c r="E12" s="40" t="s">
        <v>98</v>
      </c>
      <c r="F12" s="214" t="s">
        <v>36</v>
      </c>
      <c r="G12" s="191">
        <v>4562</v>
      </c>
      <c r="H12" s="191">
        <v>4721</v>
      </c>
      <c r="I12" s="193">
        <v>64.161299999999997</v>
      </c>
      <c r="J12" s="193">
        <v>65.157499999999999</v>
      </c>
      <c r="K12" s="256"/>
      <c r="L12" s="256"/>
      <c r="M12" s="256"/>
      <c r="N12" s="191">
        <v>1764.83</v>
      </c>
      <c r="O12" s="191">
        <f t="shared" si="0"/>
        <v>598547.57999999996</v>
      </c>
      <c r="P12" s="198">
        <f t="shared" si="10"/>
        <v>112227.67</v>
      </c>
      <c r="Q12" s="198">
        <f>ROUND($O12*R12,2)</f>
        <v>89782.14</v>
      </c>
      <c r="R12" s="199">
        <v>0.15</v>
      </c>
      <c r="S12" s="198">
        <f t="shared" si="1"/>
        <v>22445.53</v>
      </c>
      <c r="T12" s="236">
        <v>3.7499999999999999E-2</v>
      </c>
      <c r="U12" s="32">
        <f t="shared" si="2"/>
        <v>9283</v>
      </c>
      <c r="V12" s="32">
        <f t="shared" si="12"/>
        <v>598547.57999999996</v>
      </c>
      <c r="W12" s="57">
        <f t="shared" si="13"/>
        <v>299.5</v>
      </c>
      <c r="X12" s="58">
        <f t="shared" si="3"/>
        <v>64.477800000000002</v>
      </c>
      <c r="Y12" s="58">
        <f t="shared" si="4"/>
        <v>12.089600000000001</v>
      </c>
      <c r="Z12" s="32">
        <f t="shared" si="5"/>
        <v>112227.67</v>
      </c>
      <c r="AA12" s="32" t="str">
        <f t="shared" si="6"/>
        <v/>
      </c>
      <c r="AB12" s="32" t="str">
        <f t="shared" si="14"/>
        <v/>
      </c>
      <c r="AC12" s="57" t="str">
        <f t="shared" si="15"/>
        <v/>
      </c>
      <c r="AD12" s="58" t="str">
        <f t="shared" si="7"/>
        <v/>
      </c>
      <c r="AE12" s="58" t="str">
        <f t="shared" si="8"/>
        <v/>
      </c>
      <c r="AF12" s="32" t="str">
        <f t="shared" si="9"/>
        <v/>
      </c>
      <c r="AG12" s="37"/>
    </row>
    <row r="13" spans="1:33" x14ac:dyDescent="0.25">
      <c r="A13" s="221" t="s">
        <v>28</v>
      </c>
      <c r="B13" s="225" t="s">
        <v>172</v>
      </c>
      <c r="C13" s="214" t="s">
        <v>29</v>
      </c>
      <c r="D13" s="222" t="s">
        <v>21</v>
      </c>
      <c r="E13" s="214" t="s">
        <v>95</v>
      </c>
      <c r="F13" s="214" t="s">
        <v>55</v>
      </c>
      <c r="G13" s="191">
        <v>40281.6973</v>
      </c>
      <c r="H13" s="191">
        <v>44653.33</v>
      </c>
      <c r="I13" s="193">
        <v>2.5499999999999998</v>
      </c>
      <c r="J13" s="193">
        <v>2.5499999999999998</v>
      </c>
      <c r="K13" s="256"/>
      <c r="L13" s="256"/>
      <c r="M13" s="256"/>
      <c r="N13" s="191">
        <v>1884.53</v>
      </c>
      <c r="O13" s="191">
        <f>ROUND(G13*I13,2)+ROUND(H13*J13,2)-K13-L13-M13-N13</f>
        <v>214699.79</v>
      </c>
      <c r="P13" s="198">
        <f t="shared" si="10"/>
        <v>40256.21</v>
      </c>
      <c r="Q13" s="198">
        <f>ROUND($P13*R13/(R13+T13),2)</f>
        <v>32204.97</v>
      </c>
      <c r="R13" s="199">
        <v>0.15</v>
      </c>
      <c r="S13" s="198">
        <f>P13-Q13</f>
        <v>8051.239999999998</v>
      </c>
      <c r="T13" s="236">
        <v>3.7499999999999999E-2</v>
      </c>
      <c r="U13" s="32" t="str">
        <f t="shared" si="2"/>
        <v/>
      </c>
      <c r="V13" s="32" t="str">
        <f t="shared" si="12"/>
        <v/>
      </c>
      <c r="W13" s="57" t="str">
        <f t="shared" si="13"/>
        <v/>
      </c>
      <c r="X13" s="58" t="str">
        <f t="shared" si="3"/>
        <v/>
      </c>
      <c r="Y13" s="58" t="str">
        <f t="shared" si="4"/>
        <v/>
      </c>
      <c r="Z13" s="32" t="str">
        <f t="shared" si="5"/>
        <v/>
      </c>
      <c r="AA13" s="32">
        <f t="shared" si="6"/>
        <v>84935.027300000002</v>
      </c>
      <c r="AB13" s="32">
        <f t="shared" si="14"/>
        <v>214699.79</v>
      </c>
      <c r="AC13" s="57">
        <f t="shared" si="15"/>
        <v>2739.8</v>
      </c>
      <c r="AD13" s="58">
        <f t="shared" si="7"/>
        <v>2.5278</v>
      </c>
      <c r="AE13" s="58">
        <f t="shared" si="8"/>
        <v>0.47399999999999998</v>
      </c>
      <c r="AF13" s="32">
        <f t="shared" si="9"/>
        <v>40256.21</v>
      </c>
      <c r="AG13" s="37"/>
    </row>
    <row r="14" spans="1:33" x14ac:dyDescent="0.25">
      <c r="A14" s="16" t="s">
        <v>28</v>
      </c>
      <c r="B14" s="17" t="s">
        <v>4</v>
      </c>
      <c r="C14" s="40" t="s">
        <v>31</v>
      </c>
      <c r="D14" s="18" t="s">
        <v>30</v>
      </c>
      <c r="E14" s="40" t="s">
        <v>98</v>
      </c>
      <c r="F14" s="214" t="s">
        <v>36</v>
      </c>
      <c r="G14" s="191">
        <v>11836</v>
      </c>
      <c r="H14" s="191">
        <v>12495</v>
      </c>
      <c r="I14" s="193">
        <v>66.797200000000004</v>
      </c>
      <c r="J14" s="192">
        <v>67.317899999999995</v>
      </c>
      <c r="K14" s="256"/>
      <c r="L14" s="256"/>
      <c r="M14" s="256"/>
      <c r="N14" s="191">
        <v>1257.31</v>
      </c>
      <c r="O14" s="191">
        <f t="shared" si="0"/>
        <v>1630491.51</v>
      </c>
      <c r="P14" s="198">
        <f t="shared" si="10"/>
        <v>305717.15999999997</v>
      </c>
      <c r="Q14" s="198">
        <f t="shared" si="11"/>
        <v>244573.73</v>
      </c>
      <c r="R14" s="199">
        <v>0.15</v>
      </c>
      <c r="S14" s="198">
        <f t="shared" si="1"/>
        <v>61143.43</v>
      </c>
      <c r="T14" s="236">
        <v>3.7499999999999999E-2</v>
      </c>
      <c r="U14" s="32">
        <f t="shared" si="2"/>
        <v>24331</v>
      </c>
      <c r="V14" s="32">
        <f t="shared" si="12"/>
        <v>1630491.51</v>
      </c>
      <c r="W14" s="57">
        <f t="shared" si="13"/>
        <v>784.9</v>
      </c>
      <c r="X14" s="58">
        <f t="shared" si="3"/>
        <v>67.012900000000002</v>
      </c>
      <c r="Y14" s="58">
        <f t="shared" si="4"/>
        <v>12.5649</v>
      </c>
      <c r="Z14" s="32">
        <f t="shared" si="5"/>
        <v>305717.15999999997</v>
      </c>
      <c r="AA14" s="32" t="str">
        <f t="shared" si="6"/>
        <v/>
      </c>
      <c r="AB14" s="32" t="str">
        <f t="shared" si="14"/>
        <v/>
      </c>
      <c r="AC14" s="57" t="str">
        <f t="shared" si="15"/>
        <v/>
      </c>
      <c r="AD14" s="58" t="str">
        <f t="shared" si="7"/>
        <v/>
      </c>
      <c r="AE14" s="58" t="str">
        <f t="shared" si="8"/>
        <v/>
      </c>
      <c r="AF14" s="32" t="str">
        <f t="shared" si="9"/>
        <v/>
      </c>
      <c r="AG14" s="37"/>
    </row>
    <row r="15" spans="1:33" x14ac:dyDescent="0.25">
      <c r="A15" s="16" t="s">
        <v>28</v>
      </c>
      <c r="B15" s="17" t="s">
        <v>5</v>
      </c>
      <c r="C15" s="40" t="s">
        <v>31</v>
      </c>
      <c r="D15" s="18" t="s">
        <v>30</v>
      </c>
      <c r="E15" s="40" t="s">
        <v>98</v>
      </c>
      <c r="F15" s="214" t="s">
        <v>36</v>
      </c>
      <c r="G15" s="191">
        <v>17378</v>
      </c>
      <c r="H15" s="191">
        <v>20845</v>
      </c>
      <c r="I15" s="193">
        <v>66.797200000000004</v>
      </c>
      <c r="J15" s="192">
        <v>67.317899999999995</v>
      </c>
      <c r="K15" s="256"/>
      <c r="L15" s="256"/>
      <c r="M15" s="256"/>
      <c r="N15" s="191">
        <v>3247.24</v>
      </c>
      <c r="O15" s="191">
        <f t="shared" si="0"/>
        <v>2560796.13</v>
      </c>
      <c r="P15" s="198">
        <f t="shared" si="10"/>
        <v>480149.27</v>
      </c>
      <c r="Q15" s="198">
        <f t="shared" si="11"/>
        <v>384119.42</v>
      </c>
      <c r="R15" s="199">
        <v>0.15</v>
      </c>
      <c r="S15" s="198">
        <f t="shared" si="1"/>
        <v>96029.85</v>
      </c>
      <c r="T15" s="236">
        <v>3.7499999999999999E-2</v>
      </c>
      <c r="U15" s="32">
        <f t="shared" si="2"/>
        <v>38223</v>
      </c>
      <c r="V15" s="32">
        <f t="shared" si="12"/>
        <v>2560796.13</v>
      </c>
      <c r="W15" s="57">
        <f t="shared" si="13"/>
        <v>1233</v>
      </c>
      <c r="X15" s="58">
        <f t="shared" si="3"/>
        <v>66.996200000000002</v>
      </c>
      <c r="Y15" s="58">
        <f t="shared" si="4"/>
        <v>12.5618</v>
      </c>
      <c r="Z15" s="32">
        <f t="shared" si="5"/>
        <v>480149.27</v>
      </c>
      <c r="AA15" s="32" t="str">
        <f t="shared" si="6"/>
        <v/>
      </c>
      <c r="AB15" s="32" t="str">
        <f t="shared" si="14"/>
        <v/>
      </c>
      <c r="AC15" s="57" t="str">
        <f t="shared" si="15"/>
        <v/>
      </c>
      <c r="AD15" s="58" t="str">
        <f t="shared" si="7"/>
        <v/>
      </c>
      <c r="AE15" s="58" t="str">
        <f t="shared" si="8"/>
        <v/>
      </c>
      <c r="AF15" s="32" t="str">
        <f t="shared" si="9"/>
        <v/>
      </c>
      <c r="AG15" s="37"/>
    </row>
    <row r="16" spans="1:33" x14ac:dyDescent="0.25">
      <c r="A16" s="16" t="s">
        <v>28</v>
      </c>
      <c r="B16" s="17" t="s">
        <v>17</v>
      </c>
      <c r="C16" s="40" t="s">
        <v>29</v>
      </c>
      <c r="D16" s="18" t="s">
        <v>21</v>
      </c>
      <c r="E16" s="40" t="s">
        <v>95</v>
      </c>
      <c r="F16" s="214" t="s">
        <v>36</v>
      </c>
      <c r="G16" s="256"/>
      <c r="H16" s="191">
        <v>2532</v>
      </c>
      <c r="I16" s="192"/>
      <c r="J16" s="193">
        <v>67.081199999999995</v>
      </c>
      <c r="K16" s="256"/>
      <c r="L16" s="256"/>
      <c r="M16" s="256"/>
      <c r="N16" s="191">
        <v>1487.58</v>
      </c>
      <c r="O16" s="200">
        <f t="shared" si="0"/>
        <v>168362.02000000002</v>
      </c>
      <c r="P16" s="198">
        <f t="shared" si="10"/>
        <v>31567.88</v>
      </c>
      <c r="Q16" s="198">
        <f t="shared" si="11"/>
        <v>25254.3</v>
      </c>
      <c r="R16" s="199">
        <v>0.15</v>
      </c>
      <c r="S16" s="198">
        <f t="shared" si="1"/>
        <v>6313.58</v>
      </c>
      <c r="T16" s="236">
        <v>3.7499999999999999E-2</v>
      </c>
      <c r="U16" s="32">
        <f t="shared" si="2"/>
        <v>2532</v>
      </c>
      <c r="V16" s="32">
        <f t="shared" si="12"/>
        <v>168362.02000000002</v>
      </c>
      <c r="W16" s="57">
        <f t="shared" si="13"/>
        <v>81.7</v>
      </c>
      <c r="X16" s="58">
        <f t="shared" si="3"/>
        <v>66.493700000000004</v>
      </c>
      <c r="Y16" s="58">
        <f t="shared" si="4"/>
        <v>12.467599999999999</v>
      </c>
      <c r="Z16" s="32">
        <f t="shared" si="5"/>
        <v>31567.88</v>
      </c>
      <c r="AA16" s="32" t="str">
        <f t="shared" si="6"/>
        <v/>
      </c>
      <c r="AB16" s="32" t="str">
        <f t="shared" si="14"/>
        <v/>
      </c>
      <c r="AC16" s="57" t="str">
        <f t="shared" si="15"/>
        <v/>
      </c>
      <c r="AD16" s="58" t="str">
        <f t="shared" si="7"/>
        <v/>
      </c>
      <c r="AE16" s="58" t="str">
        <f t="shared" si="8"/>
        <v/>
      </c>
      <c r="AF16" s="32" t="str">
        <f t="shared" si="9"/>
        <v/>
      </c>
      <c r="AG16" s="37"/>
    </row>
    <row r="17" spans="1:33" x14ac:dyDescent="0.25">
      <c r="A17" s="16" t="s">
        <v>28</v>
      </c>
      <c r="B17" s="17" t="s">
        <v>6</v>
      </c>
      <c r="C17" s="40" t="s">
        <v>31</v>
      </c>
      <c r="D17" s="18" t="s">
        <v>30</v>
      </c>
      <c r="E17" s="40" t="s">
        <v>98</v>
      </c>
      <c r="F17" s="214" t="s">
        <v>36</v>
      </c>
      <c r="G17" s="191">
        <v>46815</v>
      </c>
      <c r="H17" s="191">
        <v>59830</v>
      </c>
      <c r="I17" s="193">
        <v>66.247200000000007</v>
      </c>
      <c r="J17" s="192">
        <v>66.767899999999997</v>
      </c>
      <c r="K17" s="256"/>
      <c r="L17" s="256"/>
      <c r="M17" s="256"/>
      <c r="N17" s="191">
        <v>2221.88</v>
      </c>
      <c r="O17" s="200">
        <f>ROUND(G17*I17,2)+ROUND(H17*J17,2)-K17-L17-M17-N17</f>
        <v>7093864.25</v>
      </c>
      <c r="P17" s="198">
        <f>ROUND(18.75%*O17,2)</f>
        <v>1330099.55</v>
      </c>
      <c r="Q17" s="198">
        <f>ROUND($O17*R17,2)</f>
        <v>1064079.6399999999</v>
      </c>
      <c r="R17" s="199">
        <v>0.15</v>
      </c>
      <c r="S17" s="198">
        <f t="shared" si="1"/>
        <v>266019.90999999997</v>
      </c>
      <c r="T17" s="236">
        <v>3.7499999999999999E-2</v>
      </c>
      <c r="U17" s="32">
        <f t="shared" si="2"/>
        <v>106645</v>
      </c>
      <c r="V17" s="32">
        <f t="shared" si="12"/>
        <v>7093864.25</v>
      </c>
      <c r="W17" s="57">
        <f t="shared" si="13"/>
        <v>3440.2</v>
      </c>
      <c r="X17" s="58">
        <f t="shared" si="3"/>
        <v>66.518500000000003</v>
      </c>
      <c r="Y17" s="58">
        <f t="shared" si="4"/>
        <v>12.472200000000001</v>
      </c>
      <c r="Z17" s="32">
        <f t="shared" si="5"/>
        <v>1330099.55</v>
      </c>
      <c r="AA17" s="32" t="str">
        <f t="shared" si="6"/>
        <v/>
      </c>
      <c r="AB17" s="32" t="str">
        <f t="shared" si="14"/>
        <v/>
      </c>
      <c r="AC17" s="57" t="str">
        <f t="shared" si="15"/>
        <v/>
      </c>
      <c r="AD17" s="58" t="str">
        <f t="shared" si="7"/>
        <v/>
      </c>
      <c r="AE17" s="58" t="str">
        <f t="shared" si="8"/>
        <v/>
      </c>
      <c r="AF17" s="32" t="str">
        <f t="shared" si="9"/>
        <v/>
      </c>
      <c r="AG17" s="37"/>
    </row>
    <row r="18" spans="1:33" x14ac:dyDescent="0.25">
      <c r="A18" s="16" t="s">
        <v>28</v>
      </c>
      <c r="B18" s="19" t="s">
        <v>155</v>
      </c>
      <c r="C18" s="40" t="s">
        <v>29</v>
      </c>
      <c r="D18" s="18" t="s">
        <v>21</v>
      </c>
      <c r="E18" s="40" t="s">
        <v>95</v>
      </c>
      <c r="F18" s="214" t="s">
        <v>36</v>
      </c>
      <c r="G18" s="256"/>
      <c r="H18" s="256"/>
      <c r="I18" s="192"/>
      <c r="J18" s="192"/>
      <c r="K18" s="256"/>
      <c r="L18" s="256"/>
      <c r="M18" s="256"/>
      <c r="N18" s="256"/>
      <c r="O18" s="200">
        <f t="shared" si="0"/>
        <v>0</v>
      </c>
      <c r="P18" s="198">
        <f t="shared" si="10"/>
        <v>0</v>
      </c>
      <c r="Q18" s="198">
        <f t="shared" si="11"/>
        <v>0</v>
      </c>
      <c r="R18" s="199">
        <v>0.15</v>
      </c>
      <c r="S18" s="198">
        <f t="shared" si="1"/>
        <v>0</v>
      </c>
      <c r="T18" s="236">
        <v>3.7499999999999999E-2</v>
      </c>
      <c r="U18" s="32">
        <f t="shared" si="2"/>
        <v>0</v>
      </c>
      <c r="V18" s="32">
        <f t="shared" si="12"/>
        <v>0</v>
      </c>
      <c r="W18" s="57">
        <f t="shared" si="13"/>
        <v>0</v>
      </c>
      <c r="X18" s="58">
        <f t="shared" si="3"/>
        <v>0</v>
      </c>
      <c r="Y18" s="58">
        <f t="shared" si="4"/>
        <v>0</v>
      </c>
      <c r="Z18" s="32">
        <f t="shared" si="5"/>
        <v>0</v>
      </c>
      <c r="AA18" s="32" t="str">
        <f t="shared" si="6"/>
        <v/>
      </c>
      <c r="AB18" s="32" t="str">
        <f t="shared" si="14"/>
        <v/>
      </c>
      <c r="AC18" s="57" t="str">
        <f t="shared" si="15"/>
        <v/>
      </c>
      <c r="AD18" s="58" t="str">
        <f t="shared" si="7"/>
        <v/>
      </c>
      <c r="AE18" s="58" t="str">
        <f t="shared" si="8"/>
        <v/>
      </c>
      <c r="AF18" s="32" t="str">
        <f t="shared" si="9"/>
        <v/>
      </c>
      <c r="AG18" s="37"/>
    </row>
    <row r="19" spans="1:33" x14ac:dyDescent="0.25">
      <c r="A19" s="16" t="s">
        <v>28</v>
      </c>
      <c r="B19" s="17" t="s">
        <v>7</v>
      </c>
      <c r="C19" s="40" t="s">
        <v>31</v>
      </c>
      <c r="D19" s="18" t="s">
        <v>30</v>
      </c>
      <c r="E19" s="40" t="s">
        <v>98</v>
      </c>
      <c r="F19" s="214" t="s">
        <v>55</v>
      </c>
      <c r="G19" s="256">
        <v>58474.37</v>
      </c>
      <c r="H19" s="191">
        <v>64682.42</v>
      </c>
      <c r="I19" s="293">
        <v>2.1707999999999998</v>
      </c>
      <c r="J19" s="192">
        <v>2.1707999999999998</v>
      </c>
      <c r="K19" s="256"/>
      <c r="L19" s="256"/>
      <c r="M19" s="256"/>
      <c r="N19" s="256">
        <v>2121.65</v>
      </c>
      <c r="O19" s="200">
        <f t="shared" si="0"/>
        <v>265227.11</v>
      </c>
      <c r="P19" s="198">
        <f t="shared" si="10"/>
        <v>49730.080000000002</v>
      </c>
      <c r="Q19" s="198">
        <f t="shared" si="11"/>
        <v>39784.07</v>
      </c>
      <c r="R19" s="199">
        <v>0.15</v>
      </c>
      <c r="S19" s="198">
        <f t="shared" si="1"/>
        <v>9946.02</v>
      </c>
      <c r="T19" s="236">
        <v>3.7499999999999999E-2</v>
      </c>
      <c r="U19" s="32" t="str">
        <f t="shared" si="2"/>
        <v/>
      </c>
      <c r="V19" s="32" t="str">
        <f t="shared" si="12"/>
        <v/>
      </c>
      <c r="W19" s="57" t="str">
        <f t="shared" si="13"/>
        <v/>
      </c>
      <c r="X19" s="58" t="str">
        <f t="shared" si="3"/>
        <v/>
      </c>
      <c r="Y19" s="58" t="str">
        <f t="shared" si="4"/>
        <v/>
      </c>
      <c r="Z19" s="32" t="str">
        <f t="shared" si="5"/>
        <v/>
      </c>
      <c r="AA19" s="32">
        <f t="shared" si="6"/>
        <v>123156.79000000001</v>
      </c>
      <c r="AB19" s="32">
        <f t="shared" si="14"/>
        <v>265227.11</v>
      </c>
      <c r="AC19" s="57">
        <f t="shared" si="15"/>
        <v>3972.8</v>
      </c>
      <c r="AD19" s="58">
        <f t="shared" si="7"/>
        <v>2.1536</v>
      </c>
      <c r="AE19" s="58">
        <f t="shared" si="8"/>
        <v>0.40379999999999999</v>
      </c>
      <c r="AF19" s="32">
        <f t="shared" si="9"/>
        <v>49730.080000000002</v>
      </c>
      <c r="AG19" s="37"/>
    </row>
    <row r="20" spans="1:33" x14ac:dyDescent="0.25">
      <c r="A20" s="16" t="s">
        <v>28</v>
      </c>
      <c r="B20" s="17" t="s">
        <v>18</v>
      </c>
      <c r="C20" s="40" t="s">
        <v>31</v>
      </c>
      <c r="D20" s="18" t="s">
        <v>30</v>
      </c>
      <c r="E20" s="40" t="s">
        <v>98</v>
      </c>
      <c r="F20" s="214" t="s">
        <v>36</v>
      </c>
      <c r="G20" s="256">
        <v>2083</v>
      </c>
      <c r="H20" s="256">
        <v>3260</v>
      </c>
      <c r="I20" s="192">
        <v>66.797200000000004</v>
      </c>
      <c r="J20" s="193">
        <v>67.317899999999995</v>
      </c>
      <c r="K20" s="256"/>
      <c r="L20" s="256"/>
      <c r="M20" s="256"/>
      <c r="N20" s="191">
        <v>737.78</v>
      </c>
      <c r="O20" s="200">
        <f t="shared" si="0"/>
        <v>357857.14</v>
      </c>
      <c r="P20" s="198">
        <f t="shared" si="10"/>
        <v>67098.210000000006</v>
      </c>
      <c r="Q20" s="198">
        <f t="shared" si="11"/>
        <v>53678.57</v>
      </c>
      <c r="R20" s="199">
        <v>0.15</v>
      </c>
      <c r="S20" s="198">
        <f t="shared" si="1"/>
        <v>13419.64</v>
      </c>
      <c r="T20" s="236">
        <v>3.7499999999999999E-2</v>
      </c>
      <c r="U20" s="32">
        <f t="shared" si="2"/>
        <v>5343</v>
      </c>
      <c r="V20" s="32">
        <f t="shared" si="12"/>
        <v>357857.14</v>
      </c>
      <c r="W20" s="57">
        <f t="shared" si="13"/>
        <v>172.4</v>
      </c>
      <c r="X20" s="58">
        <f t="shared" si="3"/>
        <v>66.976799999999997</v>
      </c>
      <c r="Y20" s="58">
        <f t="shared" si="4"/>
        <v>12.558199999999999</v>
      </c>
      <c r="Z20" s="32">
        <f t="shared" si="5"/>
        <v>67098.210000000006</v>
      </c>
      <c r="AA20" s="32" t="str">
        <f t="shared" si="6"/>
        <v/>
      </c>
      <c r="AB20" s="32" t="str">
        <f t="shared" si="14"/>
        <v/>
      </c>
      <c r="AC20" s="57" t="str">
        <f t="shared" si="15"/>
        <v/>
      </c>
      <c r="AD20" s="58" t="str">
        <f t="shared" si="7"/>
        <v/>
      </c>
      <c r="AE20" s="58" t="str">
        <f t="shared" si="8"/>
        <v/>
      </c>
      <c r="AF20" s="32" t="str">
        <f t="shared" si="9"/>
        <v/>
      </c>
      <c r="AG20" s="37"/>
    </row>
    <row r="21" spans="1:33" x14ac:dyDescent="0.25">
      <c r="A21" s="16" t="s">
        <v>28</v>
      </c>
      <c r="B21" s="19" t="s">
        <v>20</v>
      </c>
      <c r="C21" s="40" t="s">
        <v>31</v>
      </c>
      <c r="D21" s="18" t="s">
        <v>30</v>
      </c>
      <c r="E21" s="40" t="s">
        <v>98</v>
      </c>
      <c r="F21" s="214" t="s">
        <v>36</v>
      </c>
      <c r="G21" s="256">
        <v>195037</v>
      </c>
      <c r="H21" s="256">
        <v>205982</v>
      </c>
      <c r="I21" s="192">
        <v>66.797200000000004</v>
      </c>
      <c r="J21" s="193">
        <v>67.317899999999995</v>
      </c>
      <c r="K21" s="256"/>
      <c r="L21" s="256"/>
      <c r="M21" s="256"/>
      <c r="N21" s="191">
        <v>4334.18</v>
      </c>
      <c r="O21" s="200">
        <f t="shared" si="0"/>
        <v>26889867</v>
      </c>
      <c r="P21" s="198">
        <f t="shared" si="10"/>
        <v>5041850.0599999996</v>
      </c>
      <c r="Q21" s="198">
        <f t="shared" si="11"/>
        <v>4033480.05</v>
      </c>
      <c r="R21" s="199">
        <v>0.15</v>
      </c>
      <c r="S21" s="198">
        <f t="shared" si="1"/>
        <v>1008370.01</v>
      </c>
      <c r="T21" s="236">
        <v>3.7499999999999999E-2</v>
      </c>
      <c r="U21" s="32">
        <f t="shared" si="2"/>
        <v>401019</v>
      </c>
      <c r="V21" s="32">
        <f t="shared" si="12"/>
        <v>26889867</v>
      </c>
      <c r="W21" s="57">
        <f t="shared" si="13"/>
        <v>12936.1</v>
      </c>
      <c r="X21" s="58">
        <f t="shared" si="3"/>
        <v>67.053799999999995</v>
      </c>
      <c r="Y21" s="58">
        <f t="shared" si="4"/>
        <v>12.5726</v>
      </c>
      <c r="Z21" s="32">
        <f t="shared" si="5"/>
        <v>5041850.0599999996</v>
      </c>
      <c r="AA21" s="32" t="str">
        <f t="shared" si="6"/>
        <v/>
      </c>
      <c r="AB21" s="32" t="str">
        <f t="shared" si="14"/>
        <v/>
      </c>
      <c r="AC21" s="57" t="str">
        <f t="shared" si="15"/>
        <v/>
      </c>
      <c r="AD21" s="58" t="str">
        <f t="shared" si="7"/>
        <v/>
      </c>
      <c r="AE21" s="58" t="str">
        <f t="shared" si="8"/>
        <v/>
      </c>
      <c r="AF21" s="32" t="str">
        <f t="shared" si="9"/>
        <v/>
      </c>
      <c r="AG21" s="37"/>
    </row>
    <row r="22" spans="1:33" x14ac:dyDescent="0.25">
      <c r="A22" s="16" t="s">
        <v>28</v>
      </c>
      <c r="B22" s="17" t="s">
        <v>8</v>
      </c>
      <c r="C22" s="40" t="s">
        <v>31</v>
      </c>
      <c r="D22" s="18" t="s">
        <v>21</v>
      </c>
      <c r="E22" s="40" t="s">
        <v>98</v>
      </c>
      <c r="F22" s="214" t="s">
        <v>55</v>
      </c>
      <c r="G22" s="256">
        <v>251980.16</v>
      </c>
      <c r="H22" s="191">
        <v>254840.6</v>
      </c>
      <c r="I22" s="305">
        <v>1.8011999999999999</v>
      </c>
      <c r="J22" s="193">
        <v>1.8011999999999999</v>
      </c>
      <c r="K22" s="256"/>
      <c r="L22" s="256"/>
      <c r="M22" s="256"/>
      <c r="N22" s="191">
        <v>2235.16</v>
      </c>
      <c r="O22" s="200">
        <f t="shared" si="0"/>
        <v>910650.39</v>
      </c>
      <c r="P22" s="198">
        <f t="shared" si="10"/>
        <v>170746.95</v>
      </c>
      <c r="Q22" s="198">
        <f t="shared" si="11"/>
        <v>136597.56</v>
      </c>
      <c r="R22" s="199">
        <v>0.15</v>
      </c>
      <c r="S22" s="198">
        <f t="shared" si="1"/>
        <v>34149.39</v>
      </c>
      <c r="T22" s="236">
        <v>3.7499999999999999E-2</v>
      </c>
      <c r="U22" s="32" t="str">
        <f t="shared" si="2"/>
        <v/>
      </c>
      <c r="V22" s="32" t="str">
        <f t="shared" si="12"/>
        <v/>
      </c>
      <c r="W22" s="57" t="str">
        <f t="shared" si="13"/>
        <v/>
      </c>
      <c r="X22" s="58" t="str">
        <f t="shared" si="3"/>
        <v/>
      </c>
      <c r="Y22" s="58" t="str">
        <f t="shared" si="4"/>
        <v/>
      </c>
      <c r="Z22" s="32" t="str">
        <f t="shared" si="5"/>
        <v/>
      </c>
      <c r="AA22" s="32">
        <f t="shared" si="6"/>
        <v>506820.76</v>
      </c>
      <c r="AB22" s="32">
        <f t="shared" si="14"/>
        <v>910650.39</v>
      </c>
      <c r="AC22" s="57">
        <f t="shared" si="15"/>
        <v>16349.1</v>
      </c>
      <c r="AD22" s="58">
        <f t="shared" si="7"/>
        <v>1.7968</v>
      </c>
      <c r="AE22" s="58">
        <f t="shared" si="8"/>
        <v>0.33689999999999998</v>
      </c>
      <c r="AF22" s="32">
        <f t="shared" si="9"/>
        <v>170746.95</v>
      </c>
      <c r="AG22" s="37"/>
    </row>
    <row r="23" spans="1:33" x14ac:dyDescent="0.25">
      <c r="A23" s="16" t="s">
        <v>28</v>
      </c>
      <c r="B23" s="19" t="s">
        <v>56</v>
      </c>
      <c r="C23" s="40" t="s">
        <v>31</v>
      </c>
      <c r="D23" s="18" t="s">
        <v>21</v>
      </c>
      <c r="E23" s="40" t="s">
        <v>98</v>
      </c>
      <c r="F23" s="214" t="s">
        <v>36</v>
      </c>
      <c r="G23" s="256"/>
      <c r="H23" s="256"/>
      <c r="I23" s="192"/>
      <c r="J23" s="192"/>
      <c r="K23" s="256"/>
      <c r="L23" s="256"/>
      <c r="M23" s="256"/>
      <c r="N23" s="256"/>
      <c r="O23" s="200">
        <f t="shared" si="0"/>
        <v>0</v>
      </c>
      <c r="P23" s="198">
        <f t="shared" si="10"/>
        <v>0</v>
      </c>
      <c r="Q23" s="198">
        <f t="shared" si="11"/>
        <v>0</v>
      </c>
      <c r="R23" s="199">
        <v>0.15</v>
      </c>
      <c r="S23" s="198">
        <f t="shared" si="1"/>
        <v>0</v>
      </c>
      <c r="T23" s="236">
        <v>3.7499999999999999E-2</v>
      </c>
      <c r="U23" s="32">
        <f t="shared" si="2"/>
        <v>0</v>
      </c>
      <c r="V23" s="32">
        <f t="shared" si="12"/>
        <v>0</v>
      </c>
      <c r="W23" s="57">
        <f t="shared" si="13"/>
        <v>0</v>
      </c>
      <c r="X23" s="58">
        <f t="shared" si="3"/>
        <v>0</v>
      </c>
      <c r="Y23" s="58">
        <f t="shared" si="4"/>
        <v>0</v>
      </c>
      <c r="Z23" s="32">
        <f t="shared" si="5"/>
        <v>0</v>
      </c>
      <c r="AA23" s="32" t="str">
        <f t="shared" si="6"/>
        <v/>
      </c>
      <c r="AB23" s="32" t="str">
        <f t="shared" si="14"/>
        <v/>
      </c>
      <c r="AC23" s="57" t="str">
        <f t="shared" si="15"/>
        <v/>
      </c>
      <c r="AD23" s="58" t="str">
        <f t="shared" si="7"/>
        <v/>
      </c>
      <c r="AE23" s="58" t="str">
        <f t="shared" si="8"/>
        <v/>
      </c>
      <c r="AF23" s="32" t="str">
        <f t="shared" si="9"/>
        <v/>
      </c>
      <c r="AG23" s="37"/>
    </row>
    <row r="24" spans="1:33" x14ac:dyDescent="0.25">
      <c r="A24" s="16" t="s">
        <v>28</v>
      </c>
      <c r="B24" s="17" t="s">
        <v>9</v>
      </c>
      <c r="C24" s="40" t="s">
        <v>31</v>
      </c>
      <c r="D24" s="18" t="s">
        <v>30</v>
      </c>
      <c r="E24" s="40" t="s">
        <v>98</v>
      </c>
      <c r="F24" s="214" t="s">
        <v>36</v>
      </c>
      <c r="G24" s="256">
        <v>564</v>
      </c>
      <c r="H24" s="256">
        <v>535</v>
      </c>
      <c r="I24" s="192">
        <v>66.536500000000004</v>
      </c>
      <c r="J24" s="193">
        <v>67.701400000000007</v>
      </c>
      <c r="K24" s="256"/>
      <c r="L24" s="256"/>
      <c r="M24" s="256"/>
      <c r="N24" s="256">
        <v>802.26</v>
      </c>
      <c r="O24" s="200">
        <f t="shared" si="0"/>
        <v>72944.58</v>
      </c>
      <c r="P24" s="198">
        <f t="shared" si="10"/>
        <v>13677.11</v>
      </c>
      <c r="Q24" s="198">
        <f t="shared" si="11"/>
        <v>10941.69</v>
      </c>
      <c r="R24" s="199">
        <v>0.15</v>
      </c>
      <c r="S24" s="198">
        <f t="shared" si="1"/>
        <v>2735.42</v>
      </c>
      <c r="T24" s="236">
        <v>3.7499999999999999E-2</v>
      </c>
      <c r="U24" s="32">
        <f t="shared" si="2"/>
        <v>1099</v>
      </c>
      <c r="V24" s="32">
        <f t="shared" si="12"/>
        <v>72944.58</v>
      </c>
      <c r="W24" s="57">
        <f t="shared" si="13"/>
        <v>35.5</v>
      </c>
      <c r="X24" s="58">
        <f t="shared" si="3"/>
        <v>66.373599999999996</v>
      </c>
      <c r="Y24" s="58">
        <f t="shared" si="4"/>
        <v>12.4451</v>
      </c>
      <c r="Z24" s="32">
        <f t="shared" si="5"/>
        <v>13677.11</v>
      </c>
      <c r="AA24" s="32" t="str">
        <f t="shared" si="6"/>
        <v/>
      </c>
      <c r="AB24" s="32" t="str">
        <f t="shared" si="14"/>
        <v/>
      </c>
      <c r="AC24" s="57" t="str">
        <f t="shared" si="15"/>
        <v/>
      </c>
      <c r="AD24" s="58" t="str">
        <f t="shared" si="7"/>
        <v/>
      </c>
      <c r="AE24" s="58" t="str">
        <f t="shared" si="8"/>
        <v/>
      </c>
      <c r="AF24" s="32" t="str">
        <f t="shared" si="9"/>
        <v/>
      </c>
      <c r="AG24" s="37"/>
    </row>
    <row r="25" spans="1:33" x14ac:dyDescent="0.25">
      <c r="A25" s="16" t="s">
        <v>28</v>
      </c>
      <c r="B25" s="19" t="s">
        <v>165</v>
      </c>
      <c r="C25" s="40" t="s">
        <v>31</v>
      </c>
      <c r="D25" s="18" t="s">
        <v>30</v>
      </c>
      <c r="E25" s="40" t="s">
        <v>98</v>
      </c>
      <c r="F25" s="214" t="s">
        <v>36</v>
      </c>
      <c r="G25" s="191">
        <v>28828</v>
      </c>
      <c r="H25" s="191">
        <v>36208</v>
      </c>
      <c r="I25" s="193">
        <v>66.797200000000004</v>
      </c>
      <c r="J25" s="193">
        <v>67.317899999999995</v>
      </c>
      <c r="K25" s="256"/>
      <c r="L25" s="256"/>
      <c r="M25" s="256"/>
      <c r="N25" s="191">
        <v>1530.48</v>
      </c>
      <c r="O25" s="200">
        <f>ROUND(G25*I25,2)+ROUND(H25*J25,2)-K25-L25-M25-N25</f>
        <v>4361545.72</v>
      </c>
      <c r="P25" s="198">
        <f t="shared" si="10"/>
        <v>817789.82</v>
      </c>
      <c r="Q25" s="198">
        <f>ROUND($O25*R25,2)</f>
        <v>654231.86</v>
      </c>
      <c r="R25" s="199">
        <v>0.15</v>
      </c>
      <c r="S25" s="198">
        <f>ROUND($O25*T25,2)</f>
        <v>163557.96</v>
      </c>
      <c r="T25" s="236">
        <v>3.7499999999999999E-2</v>
      </c>
      <c r="U25" s="32">
        <f>IF($F25&amp;"/Día"=W$9,SUM($G25:$H25),"")</f>
        <v>65036</v>
      </c>
      <c r="V25" s="32">
        <f t="shared" si="12"/>
        <v>4361545.72</v>
      </c>
      <c r="W25" s="57">
        <f>IF($F25&amp;"/Día"=W$9,ROUND(U25/$W$1,1),"")</f>
        <v>2097.9</v>
      </c>
      <c r="X25" s="58">
        <f>IF(U25=0,0,IF($F25&amp;"/Día"=W$9,ROUND(V25/U25,4),""))</f>
        <v>67.063599999999994</v>
      </c>
      <c r="Y25" s="58">
        <f>IF(U25=0,0,IF($F25&amp;"/Día"=W$9,ROUND(Z25/U25,4),""))</f>
        <v>12.574400000000001</v>
      </c>
      <c r="Z25" s="32">
        <f>IF(U25&lt;&gt;"",$P25,"")</f>
        <v>817789.82</v>
      </c>
      <c r="AA25" s="32" t="str">
        <f>IF($F25&amp;"/Día"=AC$9,SUM($G25:$H25),"")</f>
        <v/>
      </c>
      <c r="AB25" s="32" t="str">
        <f t="shared" si="14"/>
        <v/>
      </c>
      <c r="AC25" s="57" t="str">
        <f>IF($F25&amp;"/Día"=AC$9,ROUND(AA25/$W$1,1),"")</f>
        <v/>
      </c>
      <c r="AD25" s="58" t="str">
        <f>IF(AA25=0,0,IF($F25&amp;"/Día"=AC$9,ROUND(AB25/AA25,4),""))</f>
        <v/>
      </c>
      <c r="AE25" s="58" t="str">
        <f>IF(AA25=0,0,IF($F25&amp;"/Día"=AC$9,ROUND(AF25/AA25,4),""))</f>
        <v/>
      </c>
      <c r="AF25" s="32" t="str">
        <f>IF(AA25&lt;&gt;"",$P25,"")</f>
        <v/>
      </c>
      <c r="AG25" s="37"/>
    </row>
    <row r="26" spans="1:33" x14ac:dyDescent="0.25">
      <c r="A26" s="16" t="s">
        <v>28</v>
      </c>
      <c r="B26" s="19" t="s">
        <v>186</v>
      </c>
      <c r="C26" s="40" t="s">
        <v>31</v>
      </c>
      <c r="D26" s="18" t="s">
        <v>30</v>
      </c>
      <c r="E26" s="40" t="s">
        <v>98</v>
      </c>
      <c r="F26" s="214" t="s">
        <v>36</v>
      </c>
      <c r="G26" s="191"/>
      <c r="H26" s="256"/>
      <c r="I26" s="192"/>
      <c r="J26" s="192"/>
      <c r="K26" s="256"/>
      <c r="L26" s="256"/>
      <c r="M26" s="256"/>
      <c r="N26" s="191"/>
      <c r="O26" s="200">
        <f>ROUND(G26*I26,2)+ROUND(H26*J26,2)-K26-L26-M26-N26</f>
        <v>0</v>
      </c>
      <c r="P26" s="198">
        <f>ROUND(18.75%*O26,2)</f>
        <v>0</v>
      </c>
      <c r="Q26" s="198">
        <f>ROUND($O26*R26,2)</f>
        <v>0</v>
      </c>
      <c r="R26" s="199">
        <v>0.15</v>
      </c>
      <c r="S26" s="198">
        <f>ROUND($O26*T26,2)</f>
        <v>0</v>
      </c>
      <c r="T26" s="236">
        <v>3.7499999999999999E-2</v>
      </c>
      <c r="U26" s="32">
        <f>IF($F26&amp;"/Día"=W$9,SUM($G26:$H26),"")</f>
        <v>0</v>
      </c>
      <c r="V26" s="32">
        <f>IF(U26&lt;&gt;"",$O26,"")</f>
        <v>0</v>
      </c>
      <c r="W26" s="57">
        <f>IF($F26&amp;"/Día"=W$9,ROUND(U26/$W$1,1),"")</f>
        <v>0</v>
      </c>
      <c r="X26" s="58">
        <f>IF(U26=0,0,IF($F26&amp;"/Día"=W$9,ROUND(V26/U26,4),""))</f>
        <v>0</v>
      </c>
      <c r="Y26" s="58">
        <f>IF(U26=0,0,IF($F26&amp;"/Día"=W$9,ROUND(Z26/U26,4),""))</f>
        <v>0</v>
      </c>
      <c r="Z26" s="32">
        <f>IF(U26&lt;&gt;"",$P26,"")</f>
        <v>0</v>
      </c>
      <c r="AA26" s="32" t="str">
        <f>IF($F26&amp;"/Día"=AC$9,SUM($G26:$H26),"")</f>
        <v/>
      </c>
      <c r="AB26" s="32" t="str">
        <f>IF(AA26&lt;&gt;"",$O26,"")</f>
        <v/>
      </c>
      <c r="AC26" s="57" t="str">
        <f>IF($F26&amp;"/Día"=AC$9,ROUND(AA26/$W$1,1),"")</f>
        <v/>
      </c>
      <c r="AD26" s="58" t="str">
        <f>IF(AA26=0,0,IF($F26&amp;"/Día"=AC$9,ROUND(AB26/AA26,4),""))</f>
        <v/>
      </c>
      <c r="AE26" s="58" t="str">
        <f>IF(AA26=0,0,IF($F26&amp;"/Día"=AC$9,ROUND(AF26/AA26,4),""))</f>
        <v/>
      </c>
      <c r="AF26" s="32" t="str">
        <f>IF(AA26&lt;&gt;"",$P26,"")</f>
        <v/>
      </c>
      <c r="AG26" s="37"/>
    </row>
    <row r="27" spans="1:33" x14ac:dyDescent="0.25">
      <c r="A27" s="16" t="s">
        <v>28</v>
      </c>
      <c r="B27" s="19" t="s">
        <v>157</v>
      </c>
      <c r="C27" s="40" t="s">
        <v>31</v>
      </c>
      <c r="D27" s="18" t="s">
        <v>30</v>
      </c>
      <c r="E27" s="40" t="s">
        <v>98</v>
      </c>
      <c r="F27" s="214" t="s">
        <v>55</v>
      </c>
      <c r="G27" s="191">
        <f>109679.9639+69454.7114</f>
        <v>179134.6753</v>
      </c>
      <c r="H27" s="256">
        <f>115352.29+94462.85</f>
        <v>209815.14</v>
      </c>
      <c r="I27" s="192">
        <v>2.4759774692264731</v>
      </c>
      <c r="J27" s="192">
        <v>2.6336074222289199</v>
      </c>
      <c r="K27" s="256"/>
      <c r="L27" s="256"/>
      <c r="M27" s="256"/>
      <c r="N27" s="191">
        <v>3163.29</v>
      </c>
      <c r="O27" s="200">
        <f t="shared" si="0"/>
        <v>992940.83999999985</v>
      </c>
      <c r="P27" s="198">
        <f t="shared" si="10"/>
        <v>186176.41</v>
      </c>
      <c r="Q27" s="198">
        <f t="shared" si="11"/>
        <v>148941.13</v>
      </c>
      <c r="R27" s="199">
        <v>0.15</v>
      </c>
      <c r="S27" s="198">
        <f t="shared" si="1"/>
        <v>37235.279999999999</v>
      </c>
      <c r="T27" s="236">
        <v>3.7499999999999999E-2</v>
      </c>
      <c r="U27" s="32" t="str">
        <f t="shared" si="2"/>
        <v/>
      </c>
      <c r="V27" s="32" t="str">
        <f t="shared" si="12"/>
        <v/>
      </c>
      <c r="W27" s="57" t="str">
        <f t="shared" si="13"/>
        <v/>
      </c>
      <c r="X27" s="58" t="str">
        <f t="shared" si="3"/>
        <v/>
      </c>
      <c r="Y27" s="58" t="str">
        <f t="shared" si="4"/>
        <v/>
      </c>
      <c r="Z27" s="32" t="str">
        <f t="shared" si="5"/>
        <v/>
      </c>
      <c r="AA27" s="32">
        <f t="shared" si="6"/>
        <v>388949.81530000002</v>
      </c>
      <c r="AB27" s="32">
        <f t="shared" si="14"/>
        <v>992940.83999999985</v>
      </c>
      <c r="AC27" s="57">
        <f t="shared" si="15"/>
        <v>12546.8</v>
      </c>
      <c r="AD27" s="58">
        <f t="shared" si="7"/>
        <v>2.5529000000000002</v>
      </c>
      <c r="AE27" s="58">
        <f t="shared" si="8"/>
        <v>0.47870000000000001</v>
      </c>
      <c r="AF27" s="32">
        <f t="shared" si="9"/>
        <v>186176.41</v>
      </c>
      <c r="AG27" s="37"/>
    </row>
    <row r="28" spans="1:33" x14ac:dyDescent="0.25">
      <c r="A28" s="16" t="s">
        <v>28</v>
      </c>
      <c r="B28" s="17" t="s">
        <v>15</v>
      </c>
      <c r="C28" s="40" t="s">
        <v>29</v>
      </c>
      <c r="D28" s="18" t="s">
        <v>21</v>
      </c>
      <c r="E28" s="40" t="s">
        <v>95</v>
      </c>
      <c r="F28" s="214" t="s">
        <v>36</v>
      </c>
      <c r="G28" s="256"/>
      <c r="H28" s="191">
        <f>39453+207131</f>
        <v>246584</v>
      </c>
      <c r="I28" s="192"/>
      <c r="J28" s="193">
        <v>64.0398</v>
      </c>
      <c r="K28" s="256"/>
      <c r="L28" s="256"/>
      <c r="M28" s="256"/>
      <c r="N28" s="191">
        <v>2445.75</v>
      </c>
      <c r="O28" s="200">
        <f t="shared" si="0"/>
        <v>15788744.289999999</v>
      </c>
      <c r="P28" s="198">
        <f t="shared" si="10"/>
        <v>2960389.55</v>
      </c>
      <c r="Q28" s="198">
        <f t="shared" si="11"/>
        <v>2368311.64</v>
      </c>
      <c r="R28" s="199">
        <v>0.15</v>
      </c>
      <c r="S28" s="198">
        <f t="shared" si="1"/>
        <v>592077.91</v>
      </c>
      <c r="T28" s="236">
        <v>3.7499999999999999E-2</v>
      </c>
      <c r="U28" s="32">
        <f t="shared" si="2"/>
        <v>246584</v>
      </c>
      <c r="V28" s="32">
        <f t="shared" si="12"/>
        <v>15788744.289999999</v>
      </c>
      <c r="W28" s="57">
        <f t="shared" si="13"/>
        <v>7954.3</v>
      </c>
      <c r="X28" s="58">
        <f t="shared" si="3"/>
        <v>64.029899999999998</v>
      </c>
      <c r="Y28" s="58">
        <f t="shared" si="4"/>
        <v>12.005599999999999</v>
      </c>
      <c r="Z28" s="32">
        <f t="shared" si="5"/>
        <v>2960389.55</v>
      </c>
      <c r="AA28" s="32" t="str">
        <f t="shared" si="6"/>
        <v/>
      </c>
      <c r="AB28" s="32" t="str">
        <f t="shared" si="14"/>
        <v/>
      </c>
      <c r="AC28" s="57" t="str">
        <f t="shared" si="15"/>
        <v/>
      </c>
      <c r="AD28" s="58" t="str">
        <f t="shared" si="7"/>
        <v/>
      </c>
      <c r="AE28" s="58" t="str">
        <f t="shared" si="8"/>
        <v/>
      </c>
      <c r="AF28" s="32" t="str">
        <f t="shared" si="9"/>
        <v/>
      </c>
      <c r="AG28" s="37"/>
    </row>
    <row r="29" spans="1:33" x14ac:dyDescent="0.25">
      <c r="A29" s="16" t="s">
        <v>28</v>
      </c>
      <c r="B29" s="17" t="s">
        <v>16</v>
      </c>
      <c r="C29" s="40" t="s">
        <v>29</v>
      </c>
      <c r="D29" s="18" t="s">
        <v>21</v>
      </c>
      <c r="E29" s="40" t="s">
        <v>95</v>
      </c>
      <c r="F29" s="214" t="s">
        <v>55</v>
      </c>
      <c r="G29" s="256"/>
      <c r="H29" s="191">
        <f>28128.11+153471.87+1104.62</f>
        <v>182704.59999999998</v>
      </c>
      <c r="I29" s="192"/>
      <c r="J29" s="363">
        <v>5.4650450508635302</v>
      </c>
      <c r="K29" s="256"/>
      <c r="L29" s="256"/>
      <c r="M29" s="256"/>
      <c r="N29" s="191">
        <v>2156.75</v>
      </c>
      <c r="O29" s="200">
        <f t="shared" si="0"/>
        <v>996332.12</v>
      </c>
      <c r="P29" s="198">
        <f t="shared" si="10"/>
        <v>186812.27</v>
      </c>
      <c r="Q29" s="198">
        <f t="shared" si="11"/>
        <v>149449.82</v>
      </c>
      <c r="R29" s="199">
        <v>0.15</v>
      </c>
      <c r="S29" s="198">
        <f t="shared" si="1"/>
        <v>37362.449999999997</v>
      </c>
      <c r="T29" s="236">
        <v>3.7499999999999999E-2</v>
      </c>
      <c r="U29" s="32" t="str">
        <f t="shared" si="2"/>
        <v/>
      </c>
      <c r="V29" s="32" t="str">
        <f t="shared" si="12"/>
        <v/>
      </c>
      <c r="W29" s="57" t="str">
        <f t="shared" si="13"/>
        <v/>
      </c>
      <c r="X29" s="58" t="str">
        <f t="shared" si="3"/>
        <v/>
      </c>
      <c r="Y29" s="58" t="str">
        <f t="shared" si="4"/>
        <v/>
      </c>
      <c r="Z29" s="32" t="str">
        <f t="shared" si="5"/>
        <v/>
      </c>
      <c r="AA29" s="32">
        <f t="shared" si="6"/>
        <v>182704.59999999998</v>
      </c>
      <c r="AB29" s="32">
        <f t="shared" si="14"/>
        <v>996332.12</v>
      </c>
      <c r="AC29" s="57">
        <f t="shared" si="15"/>
        <v>5893.7</v>
      </c>
      <c r="AD29" s="58">
        <f t="shared" si="7"/>
        <v>5.4531999999999998</v>
      </c>
      <c r="AE29" s="58">
        <f t="shared" si="8"/>
        <v>1.0225</v>
      </c>
      <c r="AF29" s="32">
        <f t="shared" si="9"/>
        <v>186812.27</v>
      </c>
      <c r="AG29" s="37"/>
    </row>
    <row r="30" spans="1:33" x14ac:dyDescent="0.25">
      <c r="A30" s="16" t="s">
        <v>28</v>
      </c>
      <c r="B30" s="17" t="s">
        <v>170</v>
      </c>
      <c r="C30" s="40" t="s">
        <v>31</v>
      </c>
      <c r="D30" s="18" t="s">
        <v>30</v>
      </c>
      <c r="E30" s="40" t="s">
        <v>98</v>
      </c>
      <c r="F30" s="214" t="s">
        <v>36</v>
      </c>
      <c r="G30" s="256">
        <v>480</v>
      </c>
      <c r="H30" s="191">
        <v>368</v>
      </c>
      <c r="I30" s="193">
        <v>66.797200000000004</v>
      </c>
      <c r="J30" s="193">
        <v>67.317899999999995</v>
      </c>
      <c r="K30" s="256"/>
      <c r="L30" s="256"/>
      <c r="M30" s="256"/>
      <c r="N30" s="191">
        <v>471.2</v>
      </c>
      <c r="O30" s="200">
        <f>ROUND(G30*I30,2)+ROUND(H30*J30,2)-K30-L30-M30-N30</f>
        <v>56364.450000000004</v>
      </c>
      <c r="P30" s="198">
        <f t="shared" si="10"/>
        <v>10568.33</v>
      </c>
      <c r="Q30" s="198">
        <f>ROUND($O30*R30,2)</f>
        <v>2113.67</v>
      </c>
      <c r="R30" s="236">
        <v>3.7499999999999999E-2</v>
      </c>
      <c r="S30" s="198">
        <f t="shared" si="1"/>
        <v>8454.67</v>
      </c>
      <c r="T30" s="199">
        <v>0.15</v>
      </c>
      <c r="U30" s="32">
        <f>IF($F30&amp;"/Día"=W$9,SUM($G30:$H30),"")</f>
        <v>848</v>
      </c>
      <c r="V30" s="32">
        <f t="shared" si="12"/>
        <v>56364.450000000004</v>
      </c>
      <c r="W30" s="57">
        <f>IF($F30&amp;"/Día"=W$9,ROUND(U30/$W$1,1),"")</f>
        <v>27.4</v>
      </c>
      <c r="X30" s="58">
        <f>IF(U30=0,0,IF($F30&amp;"/Día"=W$9,ROUND(V30/U30,4),""))</f>
        <v>66.467500000000001</v>
      </c>
      <c r="Y30" s="58">
        <f>IF(U30=0,0,IF($F30&amp;"/Día"=W$9,ROUND(Z30/U30,4),""))</f>
        <v>12.4627</v>
      </c>
      <c r="Z30" s="32">
        <f>IF(U30&lt;&gt;"",$P30,"")</f>
        <v>10568.33</v>
      </c>
      <c r="AA30" s="32" t="str">
        <f>IF($F30&amp;"/Día"=AC$9,SUM($G30:$H30),"")</f>
        <v/>
      </c>
      <c r="AB30" s="32" t="str">
        <f t="shared" si="14"/>
        <v/>
      </c>
      <c r="AC30" s="57" t="str">
        <f>IF($F30&amp;"/Día"=AC$9,ROUND(AA30/$W$1,1),"")</f>
        <v/>
      </c>
      <c r="AD30" s="58" t="str">
        <f>IF(AA30=0,0,IF($F30&amp;"/Día"=AC$9,ROUND(AB30/AA30,4),""))</f>
        <v/>
      </c>
      <c r="AE30" s="58" t="str">
        <f>IF(AA30=0,0,IF($F30&amp;"/Día"=AC$9,ROUND(AF30/AA30,4),""))</f>
        <v/>
      </c>
      <c r="AF30" s="32" t="str">
        <f>IF(AA30&lt;&gt;"",$P30,"")</f>
        <v/>
      </c>
      <c r="AG30" s="37"/>
    </row>
    <row r="31" spans="1:33" x14ac:dyDescent="0.25">
      <c r="A31" s="16" t="s">
        <v>28</v>
      </c>
      <c r="B31" s="171" t="s">
        <v>166</v>
      </c>
      <c r="C31" s="40" t="s">
        <v>31</v>
      </c>
      <c r="D31" s="18" t="s">
        <v>30</v>
      </c>
      <c r="E31" s="40" t="s">
        <v>98</v>
      </c>
      <c r="F31" s="214" t="s">
        <v>36</v>
      </c>
      <c r="G31" s="191"/>
      <c r="H31" s="191"/>
      <c r="I31" s="193"/>
      <c r="J31" s="193"/>
      <c r="K31" s="191"/>
      <c r="L31" s="256"/>
      <c r="M31" s="256"/>
      <c r="N31" s="191">
        <v>1450.98</v>
      </c>
      <c r="O31" s="200">
        <f>ROUND(G31*I31,2)+ROUND(H31*J31,2)-K31-L31-M31-N31</f>
        <v>-1450.98</v>
      </c>
      <c r="P31" s="198">
        <f t="shared" si="10"/>
        <v>-272.06</v>
      </c>
      <c r="Q31" s="198">
        <f>ROUND($O31*R31,2)</f>
        <v>-54.41</v>
      </c>
      <c r="R31" s="236">
        <v>3.7499999999999999E-2</v>
      </c>
      <c r="S31" s="198">
        <f t="shared" si="1"/>
        <v>-217.65</v>
      </c>
      <c r="T31" s="199">
        <v>0.15</v>
      </c>
      <c r="U31" s="32">
        <f>IF($F31&amp;"/Día"=W$9,SUM($G31:$H31),"")</f>
        <v>0</v>
      </c>
      <c r="V31" s="32">
        <f t="shared" si="12"/>
        <v>-1450.98</v>
      </c>
      <c r="W31" s="57">
        <f>IF($F31&amp;"/Día"=W$9,ROUND(U31/$W$1,1),"")</f>
        <v>0</v>
      </c>
      <c r="X31" s="58">
        <f>IF(U31=0,0,IF($F31&amp;"/Día"=W$9,ROUND(V31/U31,4),""))</f>
        <v>0</v>
      </c>
      <c r="Y31" s="58">
        <f>IF(U31=0,0,IF($F31&amp;"/Día"=W$9,ROUND(Z31/U31,4),""))</f>
        <v>0</v>
      </c>
      <c r="Z31" s="32">
        <f>IF(U31&lt;&gt;"",$P31,"")</f>
        <v>-272.06</v>
      </c>
      <c r="AA31" s="32" t="str">
        <f>IF($F31&amp;"/Día"=AC$9,SUM($G31:$H31),"")</f>
        <v/>
      </c>
      <c r="AB31" s="32" t="str">
        <f t="shared" si="14"/>
        <v/>
      </c>
      <c r="AC31" s="57" t="str">
        <f>IF($F31&amp;"/Día"=AC$9,ROUND(AA31/$W$1,1),"")</f>
        <v/>
      </c>
      <c r="AD31" s="58" t="str">
        <f>IF(AA31=0,0,IF($F31&amp;"/Día"=AC$9,ROUND(AB31/AA31,4),""))</f>
        <v/>
      </c>
      <c r="AE31" s="58" t="str">
        <f>IF(AA31=0,0,IF($F31&amp;"/Día"=AC$9,ROUND(AF31/AA31,4),""))</f>
        <v/>
      </c>
      <c r="AF31" s="32" t="str">
        <f>IF(AA31&lt;&gt;"",$P31,"")</f>
        <v/>
      </c>
      <c r="AG31" s="37"/>
    </row>
    <row r="32" spans="1:33" x14ac:dyDescent="0.25">
      <c r="A32" s="16" t="s">
        <v>28</v>
      </c>
      <c r="B32" s="171" t="s">
        <v>167</v>
      </c>
      <c r="C32" s="40" t="s">
        <v>31</v>
      </c>
      <c r="D32" s="18" t="s">
        <v>30</v>
      </c>
      <c r="E32" s="40" t="s">
        <v>98</v>
      </c>
      <c r="F32" s="214" t="s">
        <v>55</v>
      </c>
      <c r="G32" s="191"/>
      <c r="H32" s="191"/>
      <c r="I32" s="193"/>
      <c r="J32" s="193"/>
      <c r="K32" s="191"/>
      <c r="L32" s="256"/>
      <c r="M32" s="256"/>
      <c r="N32" s="191"/>
      <c r="O32" s="200">
        <f>ROUND(G32*I32,2)+ROUND(H32*J32,2)-K32-L32-M32-N32</f>
        <v>0</v>
      </c>
      <c r="P32" s="198">
        <f t="shared" si="10"/>
        <v>0</v>
      </c>
      <c r="Q32" s="198">
        <f>ROUND($O32*R32,2)</f>
        <v>0</v>
      </c>
      <c r="R32" s="236">
        <v>3.7499999999999999E-2</v>
      </c>
      <c r="S32" s="198">
        <f t="shared" si="1"/>
        <v>0</v>
      </c>
      <c r="T32" s="199">
        <v>0.15</v>
      </c>
      <c r="U32" s="32" t="str">
        <f>IF($F32&amp;"/Día"=W$9,SUM($G32:$H32),"")</f>
        <v/>
      </c>
      <c r="V32" s="32" t="str">
        <f t="shared" si="12"/>
        <v/>
      </c>
      <c r="W32" s="57" t="str">
        <f>IF($F32&amp;"/Día"=W$9,ROUND(U32/$W$1,1),"")</f>
        <v/>
      </c>
      <c r="X32" s="58" t="str">
        <f>IF(U32=0,0,IF($F32&amp;"/Día"=W$9,ROUND(V32/U32,4),""))</f>
        <v/>
      </c>
      <c r="Y32" s="58" t="str">
        <f>IF(U32=0,0,IF($F32&amp;"/Día"=W$9,ROUND(Z32/U32,4),""))</f>
        <v/>
      </c>
      <c r="Z32" s="32" t="str">
        <f>IF(U32&lt;&gt;"",$P32,"")</f>
        <v/>
      </c>
      <c r="AA32" s="32">
        <f>IF($F32&amp;"/Día"=AC$9,SUM($G32:$H32),"")</f>
        <v>0</v>
      </c>
      <c r="AB32" s="32">
        <f t="shared" si="14"/>
        <v>0</v>
      </c>
      <c r="AC32" s="57">
        <f>IF($F32&amp;"/Día"=AC$9,ROUND(AA32/$W$1,1),"")</f>
        <v>0</v>
      </c>
      <c r="AD32" s="58">
        <f>IF(AA32=0,0,IF($F32&amp;"/Día"=AC$9,ROUND(AB32/AA32,4),""))</f>
        <v>0</v>
      </c>
      <c r="AE32" s="58">
        <f>IF(AA32=0,0,IF($F32&amp;"/Día"=AC$9,ROUND(AF32/AA32,4),""))</f>
        <v>0</v>
      </c>
      <c r="AF32" s="32">
        <f>IF(AA32&lt;&gt;"",$P32,"")</f>
        <v>0</v>
      </c>
      <c r="AG32" s="37"/>
    </row>
    <row r="33" spans="1:33" x14ac:dyDescent="0.25">
      <c r="A33" s="20" t="s">
        <v>28</v>
      </c>
      <c r="B33" s="225" t="s">
        <v>171</v>
      </c>
      <c r="C33" s="214" t="s">
        <v>29</v>
      </c>
      <c r="D33" s="222" t="s">
        <v>21</v>
      </c>
      <c r="E33" s="214" t="s">
        <v>95</v>
      </c>
      <c r="F33" s="214" t="s">
        <v>36</v>
      </c>
      <c r="G33" s="191"/>
      <c r="H33" s="191">
        <f>5522+28988</f>
        <v>34510</v>
      </c>
      <c r="I33" s="193"/>
      <c r="J33" s="193">
        <v>59.056100000000001</v>
      </c>
      <c r="K33" s="191"/>
      <c r="L33" s="256"/>
      <c r="M33" s="256"/>
      <c r="N33" s="191">
        <v>2349.3200000000002</v>
      </c>
      <c r="O33" s="200">
        <f>ROUND(G33*I33,2)+ROUND(H33*J33,2)-K33-L33-M33-N33</f>
        <v>2035676.69</v>
      </c>
      <c r="P33" s="198">
        <f t="shared" si="10"/>
        <v>381689.38</v>
      </c>
      <c r="Q33" s="198">
        <f>ROUND($O33*R33,2)</f>
        <v>305351.5</v>
      </c>
      <c r="R33" s="202">
        <v>0.15</v>
      </c>
      <c r="S33" s="198">
        <f t="shared" si="1"/>
        <v>76337.88</v>
      </c>
      <c r="T33" s="236">
        <v>3.7499999999999999E-2</v>
      </c>
      <c r="U33" s="32">
        <f>IF($F33&amp;"/Día"=W$9,SUM($G33:$H33),"")</f>
        <v>34510</v>
      </c>
      <c r="V33" s="32">
        <f t="shared" si="12"/>
        <v>2035676.69</v>
      </c>
      <c r="W33" s="57">
        <f>IF($F33&amp;"/Día"=W$9,ROUND(U33/$W$1,1),"")</f>
        <v>1113.2</v>
      </c>
      <c r="X33" s="58">
        <f>IF(U33=0,0,IF($F33&amp;"/Día"=W$9,ROUND(V33/U33,4),""))</f>
        <v>58.988</v>
      </c>
      <c r="Y33" s="58">
        <f>IF(U33=0,0,IF($F33&amp;"/Día"=W$9,ROUND(Z33/U33,4),""))</f>
        <v>11.0603</v>
      </c>
      <c r="Z33" s="32">
        <f>IF(U33&lt;&gt;"",$P33,"")</f>
        <v>381689.38</v>
      </c>
      <c r="AA33" s="32" t="str">
        <f>IF($F33&amp;"/Día"=AC$9,SUM($G33:$H33),"")</f>
        <v/>
      </c>
      <c r="AB33" s="32" t="str">
        <f t="shared" si="14"/>
        <v/>
      </c>
      <c r="AC33" s="57" t="str">
        <f>IF($F33&amp;"/Día"=AC$9,ROUND(AA33/$W$1,1),"")</f>
        <v/>
      </c>
      <c r="AD33" s="58" t="str">
        <f>IF(AA33=0,0,IF($F33&amp;"/Día"=AC$9,ROUND(AB33/AA33,4),""))</f>
        <v/>
      </c>
      <c r="AE33" s="58" t="str">
        <f>IF(AA33=0,0,IF($F33&amp;"/Día"=AC$9,ROUND(AF33/AA33,4),""))</f>
        <v/>
      </c>
      <c r="AF33" s="32" t="str">
        <f>IF(AA33&lt;&gt;"",$P33,"")</f>
        <v/>
      </c>
      <c r="AG33" s="37"/>
    </row>
    <row r="34" spans="1:33" x14ac:dyDescent="0.25">
      <c r="A34" s="20" t="s">
        <v>28</v>
      </c>
      <c r="B34" s="171" t="s">
        <v>174</v>
      </c>
      <c r="C34" s="40" t="s">
        <v>31</v>
      </c>
      <c r="D34" s="18" t="s">
        <v>30</v>
      </c>
      <c r="E34" s="40" t="s">
        <v>98</v>
      </c>
      <c r="F34" s="214" t="s">
        <v>55</v>
      </c>
      <c r="G34" s="191"/>
      <c r="H34" s="191"/>
      <c r="I34" s="193"/>
      <c r="J34" s="193"/>
      <c r="K34" s="191"/>
      <c r="L34" s="256"/>
      <c r="M34" s="256"/>
      <c r="N34" s="191"/>
      <c r="O34" s="200">
        <f>ROUND(G34*I34,2)+ROUND(H34*J34,2)-K34-L34-M34-N34</f>
        <v>0</v>
      </c>
      <c r="P34" s="198">
        <f t="shared" si="10"/>
        <v>0</v>
      </c>
      <c r="Q34" s="198">
        <f>ROUND($O34*R34,2)</f>
        <v>0</v>
      </c>
      <c r="R34" s="227">
        <v>0.15</v>
      </c>
      <c r="S34" s="198">
        <f t="shared" si="1"/>
        <v>0</v>
      </c>
      <c r="T34" s="236">
        <v>3.7499999999999999E-2</v>
      </c>
      <c r="U34" s="32"/>
      <c r="V34" s="32"/>
      <c r="W34" s="57"/>
      <c r="X34" s="58"/>
      <c r="Y34" s="58"/>
      <c r="Z34" s="32"/>
      <c r="AA34" s="32"/>
      <c r="AB34" s="32"/>
      <c r="AC34" s="57"/>
      <c r="AD34" s="58"/>
      <c r="AE34" s="58"/>
      <c r="AF34" s="32"/>
      <c r="AG34" s="37"/>
    </row>
    <row r="35" spans="1:33" x14ac:dyDescent="0.25">
      <c r="A35" s="20" t="s">
        <v>28</v>
      </c>
      <c r="B35" s="23" t="s">
        <v>51</v>
      </c>
      <c r="C35" s="39"/>
      <c r="D35" s="39"/>
      <c r="E35" s="21"/>
      <c r="F35" s="223"/>
      <c r="G35" s="256"/>
      <c r="H35" s="256"/>
      <c r="I35" s="192"/>
      <c r="J35" s="192"/>
      <c r="K35" s="256"/>
      <c r="L35" s="256"/>
      <c r="M35" s="256"/>
      <c r="N35" s="256"/>
      <c r="O35" s="200">
        <f>+O149</f>
        <v>-23595.169999999925</v>
      </c>
      <c r="P35" s="198">
        <f t="shared" si="10"/>
        <v>-4424.09</v>
      </c>
      <c r="Q35" s="200">
        <f>+Q149</f>
        <v>-3539.2800000000279</v>
      </c>
      <c r="R35" s="227"/>
      <c r="S35" s="200">
        <f>+S149</f>
        <v>-884.82000000000698</v>
      </c>
      <c r="T35" s="199"/>
      <c r="U35" s="32" t="str">
        <f>IF($F35&amp;"/Día"=W$9,SUM($G35:$H35),"")</f>
        <v/>
      </c>
      <c r="V35" s="32" t="str">
        <f t="shared" si="12"/>
        <v/>
      </c>
      <c r="W35" s="57" t="str">
        <f>IF($F35&amp;"/Día"=W$9,ROUND(U35/$W$1,1),"")</f>
        <v/>
      </c>
      <c r="X35" s="58" t="str">
        <f>IF(U35=0,0,IF($F35&amp;"/Día"=W$9,ROUND(V35/U35,4),""))</f>
        <v/>
      </c>
      <c r="Y35" s="58" t="str">
        <f>IF(U35=0,0,IF($F35&amp;"/Día"=W$9,ROUND(Z35/U35,4),""))</f>
        <v/>
      </c>
      <c r="Z35" s="32" t="str">
        <f>IF(U35&lt;&gt;"",$P35,"")</f>
        <v/>
      </c>
      <c r="AA35" s="32" t="str">
        <f>IF($F35&amp;"/Día"=AC$9,SUM($G35:$H35),"")</f>
        <v/>
      </c>
      <c r="AB35" s="32" t="str">
        <f t="shared" si="14"/>
        <v/>
      </c>
      <c r="AC35" s="57" t="str">
        <f>IF($F35&amp;"/Día"=AC$9,ROUND(AA35/$W$1,1),"")</f>
        <v/>
      </c>
      <c r="AD35" s="58" t="str">
        <f>IF(AA35=0,0,IF($F35&amp;"/Día"=AC$9,ROUND(AB35/AA35,4),""))</f>
        <v/>
      </c>
      <c r="AE35" s="58" t="str">
        <f>IF(AA35=0,0,IF($F35&amp;"/Día"=AC$9,ROUND(AF35/AA35,4),""))</f>
        <v/>
      </c>
      <c r="AF35" s="32" t="str">
        <f>IF(AA35&lt;&gt;"",$P35,"")</f>
        <v/>
      </c>
      <c r="AG35" s="37"/>
    </row>
    <row r="36" spans="1:33" x14ac:dyDescent="0.25">
      <c r="A36" s="24"/>
      <c r="B36" s="127" t="s">
        <v>105</v>
      </c>
      <c r="C36" s="25" t="str">
        <f>TEXT(A$9,)&amp;" US$"</f>
        <v>Piura / Tumbes US$</v>
      </c>
      <c r="D36" s="30"/>
      <c r="E36" s="31"/>
      <c r="F36" s="224"/>
      <c r="G36" s="194"/>
      <c r="H36" s="194"/>
      <c r="I36" s="195"/>
      <c r="J36" s="195"/>
      <c r="K36" s="194"/>
      <c r="L36" s="194"/>
      <c r="M36" s="194"/>
      <c r="N36" s="194"/>
      <c r="O36" s="204">
        <f>SUM(O10:O35)</f>
        <v>67371406.939999998</v>
      </c>
      <c r="P36" s="205">
        <f>SUM(P10:P35)</f>
        <v>12632138.790000001</v>
      </c>
      <c r="Q36" s="206">
        <f>SUM(Q10:Q35)</f>
        <v>10099533.290000001</v>
      </c>
      <c r="R36" s="207"/>
      <c r="S36" s="208">
        <f>SUM(S10:S35)</f>
        <v>2532605.5</v>
      </c>
      <c r="T36" s="207"/>
      <c r="U36" s="59">
        <f>SUM(U10:U35)</f>
        <v>960035</v>
      </c>
      <c r="V36" s="59">
        <f>SUM(V10:V35)</f>
        <v>63261916.859999999</v>
      </c>
      <c r="W36" s="60">
        <f>SUM(W10:W35)</f>
        <v>30969.100000000002</v>
      </c>
      <c r="X36" s="61">
        <f>ROUND(V36/U36,4)</f>
        <v>65.895399999999995</v>
      </c>
      <c r="Y36" s="61">
        <f>ROUND(Z36/U36,4)</f>
        <v>12.355399999999999</v>
      </c>
      <c r="Z36" s="59">
        <f>SUM(Z10:Z35)</f>
        <v>11861609.4</v>
      </c>
      <c r="AA36" s="59">
        <f>SUM(AA10:AA35)</f>
        <v>1539785.7726000003</v>
      </c>
      <c r="AB36" s="59">
        <f>SUM(AB10:AB35)</f>
        <v>4133085.25</v>
      </c>
      <c r="AC36" s="60">
        <f>SUM(AC10:AC35)</f>
        <v>49670.5</v>
      </c>
      <c r="AD36" s="61">
        <f>ROUND(AB36/AA36,4)</f>
        <v>2.6842000000000001</v>
      </c>
      <c r="AE36" s="61">
        <f>ROUND(AF36/AA36,4)</f>
        <v>0.50329999999999997</v>
      </c>
      <c r="AF36" s="59">
        <f>SUM(AF10:AF35)</f>
        <v>774953.48</v>
      </c>
      <c r="AG36" s="33">
        <f>P36-Z36-AF36</f>
        <v>-4424.0899999993853</v>
      </c>
    </row>
    <row r="37" spans="1:33" x14ac:dyDescent="0.25">
      <c r="A37" s="102"/>
      <c r="B37" s="103"/>
      <c r="C37" s="25" t="str">
        <f>TEXT(A$9,)&amp;" S/."</f>
        <v>Piura / Tumbes S/.</v>
      </c>
      <c r="D37" s="114"/>
      <c r="E37" s="114"/>
      <c r="F37" s="115"/>
      <c r="G37" s="247"/>
      <c r="H37" s="247"/>
      <c r="I37" s="176"/>
      <c r="J37" s="176"/>
      <c r="K37" s="247"/>
      <c r="L37" s="247"/>
      <c r="M37" s="247"/>
      <c r="N37" s="247"/>
      <c r="O37" s="183"/>
      <c r="P37" s="184">
        <f>ROUND($F$1*P36,2)</f>
        <v>0</v>
      </c>
      <c r="Q37" s="184">
        <f>ROUND($F$1*Q36,2)</f>
        <v>0</v>
      </c>
      <c r="R37" s="117"/>
      <c r="S37" s="186">
        <f>ROUND($F$1*S36,2)</f>
        <v>0</v>
      </c>
      <c r="T37" s="131"/>
      <c r="U37" s="118"/>
      <c r="V37" s="118"/>
      <c r="W37" s="119"/>
      <c r="X37" s="120"/>
      <c r="Y37" s="120"/>
      <c r="Z37" s="118"/>
      <c r="AA37" s="118"/>
      <c r="AB37" s="118"/>
      <c r="AC37" s="119"/>
      <c r="AD37" s="120"/>
      <c r="AE37" s="120"/>
      <c r="AF37" s="118"/>
      <c r="AG37" s="118"/>
    </row>
    <row r="38" spans="1:33" ht="13" x14ac:dyDescent="0.3">
      <c r="A38" s="257" t="s">
        <v>22</v>
      </c>
      <c r="B38" s="11"/>
      <c r="C38" s="41"/>
      <c r="D38" s="41"/>
      <c r="E38" s="12"/>
      <c r="F38" s="27"/>
      <c r="G38" s="196"/>
      <c r="H38" s="196"/>
      <c r="I38" s="197"/>
      <c r="J38" s="197"/>
      <c r="K38" s="196"/>
      <c r="L38" s="196"/>
      <c r="M38" s="196"/>
      <c r="N38" s="196"/>
      <c r="O38" s="209"/>
      <c r="P38" s="210"/>
      <c r="Q38" s="211" t="s">
        <v>48</v>
      </c>
      <c r="R38" s="189"/>
      <c r="S38" s="260"/>
      <c r="T38" s="261"/>
      <c r="U38" s="36"/>
      <c r="V38" s="36"/>
      <c r="W38" s="62"/>
      <c r="X38" s="63"/>
      <c r="Y38" s="63"/>
      <c r="Z38" s="63"/>
      <c r="AA38" s="36"/>
      <c r="AB38" s="36"/>
      <c r="AC38" s="62"/>
      <c r="AD38" s="63"/>
      <c r="AE38" s="63"/>
      <c r="AF38" s="63"/>
      <c r="AG38" s="35"/>
    </row>
    <row r="39" spans="1:33" x14ac:dyDescent="0.25">
      <c r="A39" s="20" t="s">
        <v>28</v>
      </c>
      <c r="B39" s="17" t="s">
        <v>11</v>
      </c>
      <c r="C39" s="40" t="s">
        <v>31</v>
      </c>
      <c r="D39" s="18" t="s">
        <v>30</v>
      </c>
      <c r="E39" s="40" t="s">
        <v>98</v>
      </c>
      <c r="F39" s="28" t="s">
        <v>36</v>
      </c>
      <c r="G39" s="191"/>
      <c r="H39" s="191">
        <v>2156</v>
      </c>
      <c r="I39" s="193"/>
      <c r="J39" s="193">
        <v>68.201400000000007</v>
      </c>
      <c r="K39" s="256"/>
      <c r="L39" s="256"/>
      <c r="M39" s="256"/>
      <c r="N39" s="191">
        <v>1112.44</v>
      </c>
      <c r="O39" s="200">
        <f>ROUND(G39*I39,2)+ROUND(H39*J39,2)-K39-L39-M39-N39</f>
        <v>145929.78</v>
      </c>
      <c r="P39" s="198">
        <f>ROUND(15%*O39,2)</f>
        <v>21889.47</v>
      </c>
      <c r="Q39" s="198">
        <f>ROUND($O39*R39,2)</f>
        <v>21889.47</v>
      </c>
      <c r="R39" s="199">
        <v>0.15</v>
      </c>
      <c r="S39" s="203"/>
      <c r="T39" s="202"/>
      <c r="U39" s="32">
        <f>IF($F39&amp;"/Día"=W$9,SUM($G39:$H39),"")</f>
        <v>2156</v>
      </c>
      <c r="V39" s="32">
        <f>IF(U39&lt;&gt;"",$O39,"")</f>
        <v>145929.78</v>
      </c>
      <c r="W39" s="57">
        <f t="shared" si="13"/>
        <v>69.5</v>
      </c>
      <c r="X39" s="58">
        <f>IF(U39=0,0,IF($F39&amp;"/Día"=W$9,ROUND(V39/U39,4),""))</f>
        <v>67.685400000000001</v>
      </c>
      <c r="Y39" s="58">
        <f>IF(U39=0,0,IF($F39&amp;"/Día"=W$9,ROUND(Z39/U39,4),""))</f>
        <v>10.152799999999999</v>
      </c>
      <c r="Z39" s="32">
        <f>IF(U39&lt;&gt;"",$P39,"")</f>
        <v>21889.47</v>
      </c>
      <c r="AA39" s="32" t="str">
        <f>IF($F39&amp;"/Día"=AC$9,SUM($G39:$H39),"")</f>
        <v/>
      </c>
      <c r="AB39" s="32" t="str">
        <f>IF(AA39&lt;&gt;"",$O39,"")</f>
        <v/>
      </c>
      <c r="AC39" s="57" t="str">
        <f t="shared" si="15"/>
        <v/>
      </c>
      <c r="AD39" s="58" t="str">
        <f>IF(AA39=0,0,IF($F39&amp;"/Día"=AC$9,ROUND(AB39/AA39,4),""))</f>
        <v/>
      </c>
      <c r="AE39" s="58" t="str">
        <f>IF(AA39=0,0,IF($F39&amp;"/Día"=AC$9,ROUND(AF39/AA39,4),""))</f>
        <v/>
      </c>
      <c r="AF39" s="32" t="str">
        <f>IF(AA39&lt;&gt;"",$P39,"")</f>
        <v/>
      </c>
      <c r="AG39" s="37"/>
    </row>
    <row r="40" spans="1:33" x14ac:dyDescent="0.25">
      <c r="A40" s="20" t="s">
        <v>28</v>
      </c>
      <c r="B40" s="259">
        <v>131</v>
      </c>
      <c r="C40" s="40" t="s">
        <v>31</v>
      </c>
      <c r="D40" s="18" t="s">
        <v>30</v>
      </c>
      <c r="E40" s="40" t="s">
        <v>98</v>
      </c>
      <c r="F40" s="28" t="s">
        <v>36</v>
      </c>
      <c r="G40" s="191">
        <v>41943</v>
      </c>
      <c r="H40" s="191">
        <v>45761</v>
      </c>
      <c r="I40" s="193">
        <v>64.135000000000005</v>
      </c>
      <c r="J40" s="193">
        <v>64.826400000000007</v>
      </c>
      <c r="K40" s="256"/>
      <c r="L40" s="256"/>
      <c r="M40" s="256"/>
      <c r="N40" s="191">
        <v>9444.89</v>
      </c>
      <c r="O40" s="200">
        <f>ROUND(G40*I40,2)+ROUND(H40*J40,2)-K40-L40-M40-N40</f>
        <v>5647090.3100000005</v>
      </c>
      <c r="P40" s="198">
        <f>ROUND(15%*O40,2)</f>
        <v>847063.55</v>
      </c>
      <c r="Q40" s="198">
        <f>ROUND($O40*R40,2)</f>
        <v>847063.55</v>
      </c>
      <c r="R40" s="199">
        <v>0.15</v>
      </c>
      <c r="S40" s="203"/>
      <c r="T40" s="202"/>
      <c r="U40" s="32">
        <f>IF($F40&amp;"/Día"=W$9,SUM($G40:$H40),"")</f>
        <v>87704</v>
      </c>
      <c r="V40" s="32">
        <f>IF(U40&lt;&gt;"",$O40,"")</f>
        <v>5647090.3100000005</v>
      </c>
      <c r="W40" s="57">
        <f t="shared" si="13"/>
        <v>2829.2</v>
      </c>
      <c r="X40" s="58">
        <f>IF(U40=0,0,IF($F40&amp;"/Día"=W$9,ROUND(V40/U40,4),""))</f>
        <v>64.388099999999994</v>
      </c>
      <c r="Y40" s="58">
        <f>IF(U40=0,0,IF($F40&amp;"/Día"=W$9,ROUND(Z40/U40,4),""))</f>
        <v>9.6582000000000008</v>
      </c>
      <c r="Z40" s="32">
        <f>IF(U40&lt;&gt;"",$P40,"")</f>
        <v>847063.55</v>
      </c>
      <c r="AA40" s="32" t="str">
        <f>IF($F40&amp;"/Día"=AC$9,SUM($G40:$H40),"")</f>
        <v/>
      </c>
      <c r="AB40" s="32" t="str">
        <f>IF(AA40&lt;&gt;"",$O40,"")</f>
        <v/>
      </c>
      <c r="AC40" s="57" t="str">
        <f t="shared" si="15"/>
        <v/>
      </c>
      <c r="AD40" s="58" t="str">
        <f>IF(AA40=0,0,IF($F40&amp;"/Día"=AC$9,ROUND(AB40/AA40,4),""))</f>
        <v/>
      </c>
      <c r="AE40" s="58" t="str">
        <f>IF(AA40=0,0,IF($F40&amp;"/Día"=AC$9,ROUND(AF40/AA40,4),""))</f>
        <v/>
      </c>
      <c r="AF40" s="32" t="str">
        <f>IF(AA40&lt;&gt;"",$P40,"")</f>
        <v/>
      </c>
      <c r="AG40" s="37"/>
    </row>
    <row r="41" spans="1:33" ht="13" x14ac:dyDescent="0.3">
      <c r="A41" s="20" t="s">
        <v>28</v>
      </c>
      <c r="B41" s="23" t="s">
        <v>52</v>
      </c>
      <c r="C41" s="39"/>
      <c r="D41" s="39"/>
      <c r="E41" s="6"/>
      <c r="F41" s="190"/>
      <c r="G41" s="256"/>
      <c r="H41" s="256"/>
      <c r="I41" s="192"/>
      <c r="J41" s="192"/>
      <c r="K41" s="256"/>
      <c r="L41" s="256"/>
      <c r="M41" s="256"/>
      <c r="N41" s="256"/>
      <c r="O41" s="256"/>
      <c r="P41" s="198"/>
      <c r="Q41" s="201"/>
      <c r="R41" s="202"/>
      <c r="S41" s="203"/>
      <c r="T41" s="202"/>
      <c r="U41" s="32" t="str">
        <f>IF($F41&amp;"/Día"=W$9,SUM($G41:$H41),"")</f>
        <v/>
      </c>
      <c r="V41" s="32" t="str">
        <f>IF(U41&lt;&gt;"",$O41,"")</f>
        <v/>
      </c>
      <c r="W41" s="57" t="str">
        <f t="shared" si="13"/>
        <v/>
      </c>
      <c r="X41" s="58" t="str">
        <f>IF(U41=0,0,IF($F41&amp;"/Día"=W$9,ROUND(V41/U41,4),""))</f>
        <v/>
      </c>
      <c r="Y41" s="58" t="str">
        <f>IF(U41=0,0,IF($F41&amp;"/Día"=W$9,ROUND(Z41/U41,4),""))</f>
        <v/>
      </c>
      <c r="Z41" s="32" t="str">
        <f>IF(U41&lt;&gt;"",$P41,"")</f>
        <v/>
      </c>
      <c r="AA41" s="32" t="str">
        <f>IF($F41&amp;"/Día"=AC$9,SUM($G41:$H41),"")</f>
        <v/>
      </c>
      <c r="AB41" s="32" t="str">
        <f>IF(AA41&lt;&gt;"",$O41,"")</f>
        <v/>
      </c>
      <c r="AC41" s="57" t="str">
        <f t="shared" si="15"/>
        <v/>
      </c>
      <c r="AD41" s="58" t="str">
        <f>IF(AA41=0,0,IF($F41&amp;"/Día"=AC$9,ROUND(AB41/AA41,4),""))</f>
        <v/>
      </c>
      <c r="AE41" s="58" t="str">
        <f>IF(AA41=0,0,IF($F41&amp;"/Día"=AC$9,ROUND(AF41/AA41,4),""))</f>
        <v/>
      </c>
      <c r="AF41" s="32" t="str">
        <f>IF(AA41&lt;&gt;"",$P41,"")</f>
        <v/>
      </c>
      <c r="AG41" s="37"/>
    </row>
    <row r="42" spans="1:33" x14ac:dyDescent="0.25">
      <c r="A42" s="24"/>
      <c r="B42" s="127" t="s">
        <v>105</v>
      </c>
      <c r="C42" s="25" t="str">
        <f>TEXT(A$38,)&amp;" US$"</f>
        <v>Provincia Puerto Inca Huanuco US$</v>
      </c>
      <c r="D42" s="30"/>
      <c r="E42" s="31"/>
      <c r="F42" s="30"/>
      <c r="G42" s="194"/>
      <c r="H42" s="194"/>
      <c r="I42" s="195"/>
      <c r="J42" s="195"/>
      <c r="K42" s="194"/>
      <c r="L42" s="194"/>
      <c r="M42" s="194"/>
      <c r="N42" s="194"/>
      <c r="O42" s="204">
        <f>SUM(O39:O41)</f>
        <v>5793020.0900000008</v>
      </c>
      <c r="P42" s="205">
        <f>SUM(P39:P41)</f>
        <v>868953.02</v>
      </c>
      <c r="Q42" s="205">
        <f>SUM(Q39:Q41)</f>
        <v>868953.02</v>
      </c>
      <c r="R42" s="207"/>
      <c r="S42" s="205">
        <f>SUM(S39:S41)</f>
        <v>0</v>
      </c>
      <c r="T42" s="207"/>
      <c r="U42" s="33">
        <f>SUM(U39:U41)</f>
        <v>89860</v>
      </c>
      <c r="V42" s="33">
        <f>SUM(V39:V41)</f>
        <v>5793020.0900000008</v>
      </c>
      <c r="W42" s="64">
        <f>SUM(W39:W41)</f>
        <v>2898.7</v>
      </c>
      <c r="X42" s="65">
        <f>ROUND(V42/U42,4)</f>
        <v>64.467200000000005</v>
      </c>
      <c r="Y42" s="65">
        <f>ROUND(Z42/U42,4)</f>
        <v>9.6700999999999997</v>
      </c>
      <c r="Z42" s="33">
        <f>SUM(Z39:Z41)</f>
        <v>868953.02</v>
      </c>
      <c r="AA42" s="33">
        <f>SUM(AA39:AA41)</f>
        <v>0</v>
      </c>
      <c r="AB42" s="33">
        <f>SUM(AB39:AB41)</f>
        <v>0</v>
      </c>
      <c r="AC42" s="64">
        <f>SUM(AC39:AC41)</f>
        <v>0</v>
      </c>
      <c r="AD42" s="65">
        <f>IF(AA42=0,0,ROUND(AB42/AA42,4))</f>
        <v>0</v>
      </c>
      <c r="AE42" s="65">
        <f>IF(AA42=0,0,ROUND(AF42/AA42,4))</f>
        <v>0</v>
      </c>
      <c r="AF42" s="33">
        <f>SUM(AF39:AF41)</f>
        <v>0</v>
      </c>
      <c r="AG42" s="59">
        <f>P42-Z42-AF42</f>
        <v>0</v>
      </c>
    </row>
    <row r="43" spans="1:33" x14ac:dyDescent="0.25">
      <c r="A43" s="102"/>
      <c r="B43" s="103"/>
      <c r="C43" s="25" t="str">
        <f>TEXT(A$38,)&amp;" S/."</f>
        <v>Provincia Puerto Inca Huanuco S/.</v>
      </c>
      <c r="D43" s="114"/>
      <c r="E43" s="114"/>
      <c r="F43" s="115"/>
      <c r="G43" s="247"/>
      <c r="H43" s="247"/>
      <c r="I43" s="176"/>
      <c r="J43" s="176"/>
      <c r="K43" s="247"/>
      <c r="L43" s="247"/>
      <c r="M43" s="247"/>
      <c r="N43" s="247"/>
      <c r="O43" s="183"/>
      <c r="P43" s="184">
        <f>ROUND($F$1*P42,2)</f>
        <v>0</v>
      </c>
      <c r="Q43" s="184">
        <f>ROUND($F$1*Q42,2)</f>
        <v>0</v>
      </c>
      <c r="R43" s="117"/>
      <c r="S43" s="184">
        <f>ROUND($F$1*S42,2)</f>
        <v>0</v>
      </c>
      <c r="T43" s="117"/>
      <c r="U43" s="118"/>
      <c r="V43" s="118"/>
      <c r="W43" s="119"/>
      <c r="X43" s="120"/>
      <c r="Y43" s="120"/>
      <c r="Z43" s="118"/>
      <c r="AA43" s="118"/>
      <c r="AB43" s="118"/>
      <c r="AC43" s="119"/>
      <c r="AD43" s="120"/>
      <c r="AE43" s="120"/>
      <c r="AF43" s="118"/>
      <c r="AG43" s="118"/>
    </row>
    <row r="44" spans="1:33" ht="13" x14ac:dyDescent="0.3">
      <c r="A44" s="257" t="s">
        <v>24</v>
      </c>
      <c r="B44" s="11"/>
      <c r="C44" s="41"/>
      <c r="D44" s="41"/>
      <c r="E44" s="12"/>
      <c r="F44" s="212"/>
      <c r="G44" s="196"/>
      <c r="H44" s="196"/>
      <c r="I44" s="197"/>
      <c r="J44" s="197"/>
      <c r="K44" s="196"/>
      <c r="L44" s="196"/>
      <c r="M44" s="196"/>
      <c r="N44" s="196"/>
      <c r="O44" s="209"/>
      <c r="P44" s="210"/>
      <c r="Q44" s="211" t="s">
        <v>46</v>
      </c>
      <c r="R44" s="189"/>
      <c r="S44" s="213" t="s">
        <v>47</v>
      </c>
      <c r="T44" s="189"/>
      <c r="U44" s="35"/>
      <c r="V44" s="35"/>
      <c r="W44" s="55"/>
      <c r="X44" s="56"/>
      <c r="Y44" s="56"/>
      <c r="Z44" s="56"/>
      <c r="AA44" s="35"/>
      <c r="AB44" s="35"/>
      <c r="AC44" s="55"/>
      <c r="AD44" s="56"/>
      <c r="AE44" s="56"/>
      <c r="AF44" s="56"/>
      <c r="AG44" s="35"/>
    </row>
    <row r="45" spans="1:33" x14ac:dyDescent="0.25">
      <c r="A45" s="16" t="s">
        <v>28</v>
      </c>
      <c r="B45" s="19" t="s">
        <v>164</v>
      </c>
      <c r="C45" s="40" t="s">
        <v>31</v>
      </c>
      <c r="D45" s="40" t="s">
        <v>21</v>
      </c>
      <c r="E45" s="101" t="s">
        <v>98</v>
      </c>
      <c r="F45" s="215" t="s">
        <v>36</v>
      </c>
      <c r="G45" s="191"/>
      <c r="H45" s="191">
        <v>1460</v>
      </c>
      <c r="I45" s="193"/>
      <c r="J45" s="193">
        <v>57.582500000000003</v>
      </c>
      <c r="K45" s="191"/>
      <c r="L45" s="256"/>
      <c r="M45" s="256"/>
      <c r="N45" s="191">
        <v>513.71</v>
      </c>
      <c r="O45" s="200">
        <f>ROUND(G45*I45,2)+ROUND(H45*J45,2)-K45-L45-M45-N45</f>
        <v>83556.739999999991</v>
      </c>
      <c r="P45" s="198">
        <f>ROUND(18.75%*O45,2)</f>
        <v>15666.89</v>
      </c>
      <c r="Q45" s="198">
        <f t="shared" ref="Q45:Q51" si="16">ROUND($O45*R45,2)</f>
        <v>12533.51</v>
      </c>
      <c r="R45" s="199">
        <v>0.15</v>
      </c>
      <c r="S45" s="198">
        <f t="shared" ref="S45:S51" si="17">ROUND($O45*T45,2)</f>
        <v>3133.38</v>
      </c>
      <c r="T45" s="236">
        <v>3.7499999999999999E-2</v>
      </c>
      <c r="U45" s="32">
        <f t="shared" ref="U45:U55" si="18">IF($F45&amp;"/Día"=W$9,SUM($G45:$H45),"")</f>
        <v>1460</v>
      </c>
      <c r="V45" s="32">
        <f t="shared" ref="V45:V55" si="19">IF(U45&lt;&gt;"",$O45,"")</f>
        <v>83556.739999999991</v>
      </c>
      <c r="W45" s="57">
        <f t="shared" ref="W45:W55" si="20">IF($F45&amp;"/Día"=W$9,ROUND(U45/$W$1,1),"")</f>
        <v>47.1</v>
      </c>
      <c r="X45" s="58">
        <f t="shared" ref="X45:X55" si="21">IF(U45=0,0,IF($F45&amp;"/Día"=W$9,ROUND(V45/U45,4),""))</f>
        <v>57.230600000000003</v>
      </c>
      <c r="Y45" s="58">
        <f t="shared" ref="Y45:Y55" si="22">IF(U45=0,0,IF($F45&amp;"/Día"=W$9,ROUND(Z45/U45,4),""))</f>
        <v>10.730700000000001</v>
      </c>
      <c r="Z45" s="32">
        <f t="shared" ref="Z45:Z55" si="23">IF(U45&lt;&gt;"",$P45,"")</f>
        <v>15666.89</v>
      </c>
      <c r="AA45" s="32" t="str">
        <f t="shared" ref="AA45:AA55" si="24">IF($F45&amp;"/Día"=AC$9,SUM($G45:$H45),"")</f>
        <v/>
      </c>
      <c r="AB45" s="32" t="str">
        <f t="shared" ref="AB45:AB55" si="25">IF(AA45&lt;&gt;"",$O45,"")</f>
        <v/>
      </c>
      <c r="AC45" s="57" t="str">
        <f t="shared" ref="AC45:AC55" si="26">IF($F45&amp;"/Día"=AC$9,ROUND(AA45/$W$1,1),"")</f>
        <v/>
      </c>
      <c r="AD45" s="58" t="str">
        <f t="shared" ref="AD45:AD55" si="27">IF(AA45=0,0,IF($F45&amp;"/Día"=AC$9,ROUND(AB45/AA45,4),""))</f>
        <v/>
      </c>
      <c r="AE45" s="58" t="str">
        <f t="shared" ref="AE45:AE55" si="28">IF(AA45=0,0,IF($F45&amp;"/Día"=AC$9,ROUND(AF45/AA45,4),""))</f>
        <v/>
      </c>
      <c r="AF45" s="32" t="str">
        <f t="shared" ref="AF45:AF55" si="29">IF(AA45&lt;&gt;"",$P45,"")</f>
        <v/>
      </c>
      <c r="AG45" s="37"/>
    </row>
    <row r="46" spans="1:33" x14ac:dyDescent="0.25">
      <c r="A46" s="16" t="s">
        <v>28</v>
      </c>
      <c r="B46" s="226">
        <v>192</v>
      </c>
      <c r="C46" s="40" t="s">
        <v>29</v>
      </c>
      <c r="D46" s="40" t="s">
        <v>21</v>
      </c>
      <c r="E46" s="40" t="s">
        <v>95</v>
      </c>
      <c r="F46" s="215" t="s">
        <v>36</v>
      </c>
      <c r="G46" s="191">
        <v>56090</v>
      </c>
      <c r="H46" s="191">
        <f>253581</f>
        <v>253581</v>
      </c>
      <c r="I46" s="193">
        <f>62.879+0.55</f>
        <v>63.428999999999995</v>
      </c>
      <c r="J46" s="193">
        <v>50.774900000000002</v>
      </c>
      <c r="K46" s="191"/>
      <c r="L46" s="256"/>
      <c r="M46" s="256">
        <v>488728.87</v>
      </c>
      <c r="N46" s="256">
        <v>10608.43</v>
      </c>
      <c r="O46" s="200">
        <f t="shared" ref="O46:O51" si="30">ROUND(G46*I46,2)+ROUND(H46*J46,2)-K46-L46-M46-N46</f>
        <v>15933945.23</v>
      </c>
      <c r="P46" s="198">
        <f t="shared" ref="P46:P51" si="31">ROUND(18.75%*O46,2)</f>
        <v>2987614.73</v>
      </c>
      <c r="Q46" s="198">
        <f t="shared" si="16"/>
        <v>2390091.7799999998</v>
      </c>
      <c r="R46" s="199">
        <v>0.15</v>
      </c>
      <c r="S46" s="198">
        <f t="shared" si="17"/>
        <v>597522.94999999995</v>
      </c>
      <c r="T46" s="236">
        <v>3.7499999999999999E-2</v>
      </c>
      <c r="U46" s="32">
        <f t="shared" si="18"/>
        <v>309671</v>
      </c>
      <c r="V46" s="32">
        <f t="shared" si="19"/>
        <v>15933945.23</v>
      </c>
      <c r="W46" s="57">
        <f t="shared" si="20"/>
        <v>9989.4</v>
      </c>
      <c r="X46" s="58">
        <f t="shared" si="21"/>
        <v>51.4544</v>
      </c>
      <c r="Y46" s="58">
        <f t="shared" si="22"/>
        <v>9.6477000000000004</v>
      </c>
      <c r="Z46" s="32">
        <f t="shared" si="23"/>
        <v>2987614.73</v>
      </c>
      <c r="AA46" s="32" t="str">
        <f t="shared" si="24"/>
        <v/>
      </c>
      <c r="AB46" s="32" t="str">
        <f t="shared" si="25"/>
        <v/>
      </c>
      <c r="AC46" s="57" t="str">
        <f t="shared" si="26"/>
        <v/>
      </c>
      <c r="AD46" s="58" t="str">
        <f t="shared" si="27"/>
        <v/>
      </c>
      <c r="AE46" s="58" t="str">
        <f t="shared" si="28"/>
        <v/>
      </c>
      <c r="AF46" s="32" t="str">
        <f t="shared" si="29"/>
        <v/>
      </c>
      <c r="AG46" s="37"/>
    </row>
    <row r="47" spans="1:33" x14ac:dyDescent="0.25">
      <c r="A47" s="16" t="s">
        <v>28</v>
      </c>
      <c r="B47" s="22">
        <v>8</v>
      </c>
      <c r="C47" s="40" t="s">
        <v>31</v>
      </c>
      <c r="D47" s="40" t="s">
        <v>30</v>
      </c>
      <c r="E47" s="40" t="s">
        <v>98</v>
      </c>
      <c r="F47" s="215" t="s">
        <v>36</v>
      </c>
      <c r="G47" s="256">
        <v>83109</v>
      </c>
      <c r="H47" s="191">
        <v>105805</v>
      </c>
      <c r="I47" s="192">
        <v>50.730699999999999</v>
      </c>
      <c r="J47" s="193">
        <v>52.156599999999997</v>
      </c>
      <c r="K47" s="256"/>
      <c r="L47" s="256"/>
      <c r="M47" s="256"/>
      <c r="N47" s="256">
        <v>12654.24</v>
      </c>
      <c r="O47" s="200">
        <f t="shared" si="30"/>
        <v>9721952.5699999984</v>
      </c>
      <c r="P47" s="198">
        <f t="shared" si="31"/>
        <v>1822866.11</v>
      </c>
      <c r="Q47" s="198">
        <f t="shared" si="16"/>
        <v>1458292.89</v>
      </c>
      <c r="R47" s="199">
        <v>0.15</v>
      </c>
      <c r="S47" s="198">
        <f t="shared" si="17"/>
        <v>364573.22</v>
      </c>
      <c r="T47" s="236">
        <v>3.7499999999999999E-2</v>
      </c>
      <c r="U47" s="32">
        <f t="shared" si="18"/>
        <v>188914</v>
      </c>
      <c r="V47" s="32">
        <f t="shared" si="19"/>
        <v>9721952.5699999984</v>
      </c>
      <c r="W47" s="57">
        <f t="shared" si="20"/>
        <v>6094</v>
      </c>
      <c r="X47" s="58">
        <f t="shared" si="21"/>
        <v>51.462299999999999</v>
      </c>
      <c r="Y47" s="58">
        <f t="shared" si="22"/>
        <v>9.6492000000000004</v>
      </c>
      <c r="Z47" s="32">
        <f t="shared" si="23"/>
        <v>1822866.11</v>
      </c>
      <c r="AA47" s="32" t="str">
        <f t="shared" si="24"/>
        <v/>
      </c>
      <c r="AB47" s="32" t="str">
        <f t="shared" si="25"/>
        <v/>
      </c>
      <c r="AC47" s="57" t="str">
        <f t="shared" si="26"/>
        <v/>
      </c>
      <c r="AD47" s="58" t="str">
        <f t="shared" si="27"/>
        <v/>
      </c>
      <c r="AE47" s="58" t="str">
        <f t="shared" si="28"/>
        <v/>
      </c>
      <c r="AF47" s="32" t="str">
        <f t="shared" si="29"/>
        <v/>
      </c>
      <c r="AG47" s="37"/>
    </row>
    <row r="48" spans="1:33" x14ac:dyDescent="0.25">
      <c r="A48" s="16" t="s">
        <v>28</v>
      </c>
      <c r="B48" s="17" t="s">
        <v>10</v>
      </c>
      <c r="C48" s="40" t="s">
        <v>31</v>
      </c>
      <c r="D48" s="40" t="s">
        <v>30</v>
      </c>
      <c r="E48" s="40" t="s">
        <v>98</v>
      </c>
      <c r="F48" s="215" t="s">
        <v>36</v>
      </c>
      <c r="G48" s="191"/>
      <c r="H48" s="191">
        <v>1293</v>
      </c>
      <c r="I48" s="193"/>
      <c r="J48" s="193">
        <v>68.201400000000007</v>
      </c>
      <c r="K48" s="256"/>
      <c r="L48" s="256"/>
      <c r="M48" s="256"/>
      <c r="N48" s="191">
        <v>657.07</v>
      </c>
      <c r="O48" s="200">
        <f>ROUND(G48*I48,2)+ROUND(H48*J48,2)-K48-L48-M48-N48</f>
        <v>87527.34</v>
      </c>
      <c r="P48" s="198">
        <f t="shared" si="31"/>
        <v>16411.38</v>
      </c>
      <c r="Q48" s="198">
        <f>ROUND($O48*R48,2)</f>
        <v>13129.1</v>
      </c>
      <c r="R48" s="199">
        <v>0.15</v>
      </c>
      <c r="S48" s="198">
        <f t="shared" si="17"/>
        <v>3282.28</v>
      </c>
      <c r="T48" s="236">
        <v>3.7499999999999999E-2</v>
      </c>
      <c r="U48" s="32">
        <f t="shared" si="18"/>
        <v>1293</v>
      </c>
      <c r="V48" s="32">
        <f t="shared" si="19"/>
        <v>87527.34</v>
      </c>
      <c r="W48" s="57">
        <f t="shared" si="20"/>
        <v>41.7</v>
      </c>
      <c r="X48" s="58">
        <f t="shared" si="21"/>
        <v>67.693200000000004</v>
      </c>
      <c r="Y48" s="58">
        <f t="shared" si="22"/>
        <v>12.692500000000001</v>
      </c>
      <c r="Z48" s="32">
        <f t="shared" si="23"/>
        <v>16411.38</v>
      </c>
      <c r="AA48" s="32" t="str">
        <f t="shared" si="24"/>
        <v/>
      </c>
      <c r="AB48" s="32" t="str">
        <f t="shared" si="25"/>
        <v/>
      </c>
      <c r="AC48" s="57" t="str">
        <f t="shared" si="26"/>
        <v/>
      </c>
      <c r="AD48" s="58" t="str">
        <f t="shared" si="27"/>
        <v/>
      </c>
      <c r="AE48" s="58" t="str">
        <f t="shared" si="28"/>
        <v/>
      </c>
      <c r="AF48" s="32" t="str">
        <f t="shared" si="29"/>
        <v/>
      </c>
      <c r="AG48" s="37"/>
    </row>
    <row r="49" spans="1:33" x14ac:dyDescent="0.25">
      <c r="A49" s="16" t="s">
        <v>28</v>
      </c>
      <c r="B49" s="17" t="s">
        <v>12</v>
      </c>
      <c r="C49" s="40" t="s">
        <v>31</v>
      </c>
      <c r="D49" s="40" t="s">
        <v>30</v>
      </c>
      <c r="E49" s="40" t="s">
        <v>98</v>
      </c>
      <c r="F49" s="216" t="s">
        <v>55</v>
      </c>
      <c r="G49" s="191">
        <v>997.64459999999997</v>
      </c>
      <c r="H49" s="191">
        <v>112703.94</v>
      </c>
      <c r="I49" s="193">
        <v>3.7465000000000002</v>
      </c>
      <c r="J49" s="193">
        <v>3.7467000000000001</v>
      </c>
      <c r="K49" s="256"/>
      <c r="L49" s="256"/>
      <c r="M49" s="256"/>
      <c r="N49" s="191">
        <v>1184.26</v>
      </c>
      <c r="O49" s="200">
        <f t="shared" si="30"/>
        <v>424821.26999999996</v>
      </c>
      <c r="P49" s="198">
        <f t="shared" si="31"/>
        <v>79653.990000000005</v>
      </c>
      <c r="Q49" s="198">
        <f t="shared" si="16"/>
        <v>15930.8</v>
      </c>
      <c r="R49" s="236">
        <v>3.7499999999999999E-2</v>
      </c>
      <c r="S49" s="198">
        <f t="shared" si="17"/>
        <v>63723.19</v>
      </c>
      <c r="T49" s="199">
        <v>0.15</v>
      </c>
      <c r="U49" s="32" t="str">
        <f t="shared" si="18"/>
        <v/>
      </c>
      <c r="V49" s="32" t="str">
        <f t="shared" si="19"/>
        <v/>
      </c>
      <c r="W49" s="57" t="str">
        <f t="shared" si="20"/>
        <v/>
      </c>
      <c r="X49" s="58" t="str">
        <f t="shared" si="21"/>
        <v/>
      </c>
      <c r="Y49" s="58" t="str">
        <f t="shared" si="22"/>
        <v/>
      </c>
      <c r="Z49" s="32" t="str">
        <f t="shared" si="23"/>
        <v/>
      </c>
      <c r="AA49" s="32">
        <f t="shared" si="24"/>
        <v>113701.5846</v>
      </c>
      <c r="AB49" s="32">
        <f t="shared" si="25"/>
        <v>424821.26999999996</v>
      </c>
      <c r="AC49" s="57">
        <f t="shared" si="26"/>
        <v>3667.8</v>
      </c>
      <c r="AD49" s="58">
        <f t="shared" si="27"/>
        <v>3.7363</v>
      </c>
      <c r="AE49" s="58">
        <f t="shared" si="28"/>
        <v>0.7006</v>
      </c>
      <c r="AF49" s="32">
        <f t="shared" si="29"/>
        <v>79653.990000000005</v>
      </c>
      <c r="AG49" s="37"/>
    </row>
    <row r="50" spans="1:33" x14ac:dyDescent="0.25">
      <c r="A50" s="16" t="s">
        <v>28</v>
      </c>
      <c r="B50" s="19" t="s">
        <v>74</v>
      </c>
      <c r="C50" s="40" t="s">
        <v>31</v>
      </c>
      <c r="D50" s="40" t="s">
        <v>30</v>
      </c>
      <c r="E50" s="40" t="s">
        <v>100</v>
      </c>
      <c r="F50" s="215" t="s">
        <v>36</v>
      </c>
      <c r="G50" s="191">
        <v>17616</v>
      </c>
      <c r="H50" s="191">
        <v>18887</v>
      </c>
      <c r="I50" s="193">
        <v>57.373399999999997</v>
      </c>
      <c r="J50" s="193">
        <v>57.320500000000003</v>
      </c>
      <c r="K50" s="256"/>
      <c r="L50" s="256"/>
      <c r="M50" s="256"/>
      <c r="N50" s="256">
        <v>5359.58</v>
      </c>
      <c r="O50" s="200">
        <f t="shared" si="30"/>
        <v>2087942.51</v>
      </c>
      <c r="P50" s="198">
        <f t="shared" si="31"/>
        <v>391489.22</v>
      </c>
      <c r="Q50" s="198">
        <f t="shared" si="16"/>
        <v>78297.84</v>
      </c>
      <c r="R50" s="236">
        <v>3.7499999999999999E-2</v>
      </c>
      <c r="S50" s="198">
        <f t="shared" si="17"/>
        <v>313191.38</v>
      </c>
      <c r="T50" s="199">
        <v>0.15</v>
      </c>
      <c r="U50" s="32">
        <f t="shared" si="18"/>
        <v>36503</v>
      </c>
      <c r="V50" s="32">
        <f t="shared" si="19"/>
        <v>2087942.51</v>
      </c>
      <c r="W50" s="57">
        <f t="shared" si="20"/>
        <v>1177.5</v>
      </c>
      <c r="X50" s="58">
        <f t="shared" si="21"/>
        <v>57.199199999999998</v>
      </c>
      <c r="Y50" s="58">
        <f t="shared" si="22"/>
        <v>10.7249</v>
      </c>
      <c r="Z50" s="32">
        <f t="shared" si="23"/>
        <v>391489.22</v>
      </c>
      <c r="AA50" s="32" t="str">
        <f t="shared" si="24"/>
        <v/>
      </c>
      <c r="AB50" s="32" t="str">
        <f t="shared" si="25"/>
        <v/>
      </c>
      <c r="AC50" s="57" t="str">
        <f t="shared" si="26"/>
        <v/>
      </c>
      <c r="AD50" s="58" t="str">
        <f t="shared" si="27"/>
        <v/>
      </c>
      <c r="AE50" s="58" t="str">
        <f t="shared" si="28"/>
        <v/>
      </c>
      <c r="AF50" s="32" t="str">
        <f t="shared" si="29"/>
        <v/>
      </c>
      <c r="AG50" s="37"/>
    </row>
    <row r="51" spans="1:33" x14ac:dyDescent="0.25">
      <c r="A51" s="16" t="s">
        <v>28</v>
      </c>
      <c r="B51" s="19" t="s">
        <v>32</v>
      </c>
      <c r="C51" s="40" t="s">
        <v>31</v>
      </c>
      <c r="D51" s="40" t="s">
        <v>30</v>
      </c>
      <c r="E51" s="40" t="s">
        <v>98</v>
      </c>
      <c r="F51" s="215" t="s">
        <v>36</v>
      </c>
      <c r="G51" s="256"/>
      <c r="H51" s="256"/>
      <c r="I51" s="193"/>
      <c r="J51" s="193"/>
      <c r="K51" s="256"/>
      <c r="L51" s="256"/>
      <c r="M51" s="256"/>
      <c r="N51" s="256"/>
      <c r="O51" s="200">
        <f t="shared" si="30"/>
        <v>0</v>
      </c>
      <c r="P51" s="198">
        <f t="shared" si="31"/>
        <v>0</v>
      </c>
      <c r="Q51" s="198">
        <f t="shared" si="16"/>
        <v>0</v>
      </c>
      <c r="R51" s="236">
        <v>3.7499999999999999E-2</v>
      </c>
      <c r="S51" s="198">
        <f t="shared" si="17"/>
        <v>0</v>
      </c>
      <c r="T51" s="199">
        <v>0.15</v>
      </c>
      <c r="U51" s="32">
        <f t="shared" si="18"/>
        <v>0</v>
      </c>
      <c r="V51" s="32">
        <f t="shared" si="19"/>
        <v>0</v>
      </c>
      <c r="W51" s="57">
        <f t="shared" si="20"/>
        <v>0</v>
      </c>
      <c r="X51" s="58">
        <f t="shared" si="21"/>
        <v>0</v>
      </c>
      <c r="Y51" s="58">
        <f t="shared" si="22"/>
        <v>0</v>
      </c>
      <c r="Z51" s="32">
        <f t="shared" si="23"/>
        <v>0</v>
      </c>
      <c r="AA51" s="32" t="str">
        <f t="shared" si="24"/>
        <v/>
      </c>
      <c r="AB51" s="32" t="str">
        <f t="shared" si="25"/>
        <v/>
      </c>
      <c r="AC51" s="57" t="str">
        <f t="shared" si="26"/>
        <v/>
      </c>
      <c r="AD51" s="58" t="str">
        <f t="shared" si="27"/>
        <v/>
      </c>
      <c r="AE51" s="58" t="str">
        <f t="shared" si="28"/>
        <v/>
      </c>
      <c r="AF51" s="32" t="str">
        <f t="shared" si="29"/>
        <v/>
      </c>
      <c r="AG51" s="37"/>
    </row>
    <row r="52" spans="1:33" x14ac:dyDescent="0.25">
      <c r="A52" s="16" t="s">
        <v>28</v>
      </c>
      <c r="B52" s="22">
        <v>102</v>
      </c>
      <c r="C52" s="40" t="s">
        <v>31</v>
      </c>
      <c r="D52" s="40" t="s">
        <v>30</v>
      </c>
      <c r="E52" s="40" t="s">
        <v>98</v>
      </c>
      <c r="F52" s="215" t="s">
        <v>36</v>
      </c>
      <c r="G52" s="191"/>
      <c r="H52" s="191"/>
      <c r="I52" s="193"/>
      <c r="J52" s="193"/>
      <c r="K52" s="191"/>
      <c r="L52" s="256"/>
      <c r="M52" s="256"/>
      <c r="N52" s="191"/>
      <c r="O52" s="200">
        <f>ROUND(G52*I52,2)+ROUND(H52*J52,2)-K52-L52-M52-N52</f>
        <v>0</v>
      </c>
      <c r="P52" s="198">
        <f>ROUND(18.75%*O52,2)</f>
        <v>0</v>
      </c>
      <c r="Q52" s="198">
        <f>P52-S52</f>
        <v>0</v>
      </c>
      <c r="R52" s="199">
        <v>0.15</v>
      </c>
      <c r="S52" s="198">
        <f>ROUND($O52*T52,2)</f>
        <v>0</v>
      </c>
      <c r="T52" s="236">
        <v>3.7499999999999999E-2</v>
      </c>
      <c r="U52" s="32">
        <f>IF($F52&amp;"/Día"=W$9,SUM($G52:$H52),"")</f>
        <v>0</v>
      </c>
      <c r="V52" s="32">
        <f>IF(U52&lt;&gt;"",$O52,"")</f>
        <v>0</v>
      </c>
      <c r="W52" s="57">
        <f>IF($F52&amp;"/Día"=W$9,ROUND(U52/$W$1,1),"")</f>
        <v>0</v>
      </c>
      <c r="X52" s="58">
        <f>IF(U52=0,0,IF($F52&amp;"/Día"=W$9,ROUND(V52/U52,4),""))</f>
        <v>0</v>
      </c>
      <c r="Y52" s="58">
        <f>IF(U52=0,0,IF($F52&amp;"/Día"=W$9,ROUND(Z52/U52,4),""))</f>
        <v>0</v>
      </c>
      <c r="Z52" s="32">
        <f>IF(U52&lt;&gt;"",$P52,"")</f>
        <v>0</v>
      </c>
      <c r="AA52" s="32" t="str">
        <f>IF($F52&amp;"/Día"=AC$9,SUM($G52:$H52),"")</f>
        <v/>
      </c>
      <c r="AB52" s="32" t="str">
        <f>IF(AA52&lt;&gt;"",$O52,"")</f>
        <v/>
      </c>
      <c r="AC52" s="57" t="str">
        <f>IF($F52&amp;"/Día"=AC$9,ROUND(AA52/$W$1,1),"")</f>
        <v/>
      </c>
      <c r="AD52" s="58" t="str">
        <f>IF(AA52=0,0,IF($F52&amp;"/Día"=AC$9,ROUND(AB52/AA52,4),""))</f>
        <v/>
      </c>
      <c r="AE52" s="58" t="str">
        <f>IF(AA52=0,0,IF($F52&amp;"/Día"=AC$9,ROUND(AF52/AA52,4),""))</f>
        <v/>
      </c>
      <c r="AF52" s="32" t="str">
        <f>IF(AA52&lt;&gt;"",$P52,"")</f>
        <v/>
      </c>
      <c r="AG52" s="37"/>
    </row>
    <row r="53" spans="1:33" x14ac:dyDescent="0.25">
      <c r="A53" s="16" t="s">
        <v>28</v>
      </c>
      <c r="B53" s="22">
        <v>95</v>
      </c>
      <c r="C53" s="40" t="s">
        <v>31</v>
      </c>
      <c r="D53" s="40" t="s">
        <v>30</v>
      </c>
      <c r="E53" s="40" t="s">
        <v>98</v>
      </c>
      <c r="F53" s="215" t="s">
        <v>36</v>
      </c>
      <c r="G53" s="191"/>
      <c r="H53" s="191"/>
      <c r="I53" s="193"/>
      <c r="J53" s="193"/>
      <c r="K53" s="191"/>
      <c r="L53" s="256"/>
      <c r="M53" s="256"/>
      <c r="N53" s="191"/>
      <c r="O53" s="200">
        <f>ROUND(G53*I53,2)+ROUND(H53*J53,2)-K53-L53-M53-N53</f>
        <v>0</v>
      </c>
      <c r="P53" s="198">
        <f>ROUND(18.75%*O53,2)</f>
        <v>0</v>
      </c>
      <c r="Q53" s="198">
        <f>P53-S53</f>
        <v>0</v>
      </c>
      <c r="R53" s="199">
        <v>0.15</v>
      </c>
      <c r="S53" s="198">
        <f>ROUND($O53*T53,2)</f>
        <v>0</v>
      </c>
      <c r="T53" s="236">
        <v>3.7499999999999999E-2</v>
      </c>
      <c r="U53" s="32">
        <f>IF($F53&amp;"/Día"=W$9,SUM($G53:$H53),"")</f>
        <v>0</v>
      </c>
      <c r="V53" s="32">
        <f>IF(U53&lt;&gt;"",$O53,"")</f>
        <v>0</v>
      </c>
      <c r="W53" s="57">
        <f>IF($F53&amp;"/Día"=W$9,ROUND(U53/$W$1,1),"")</f>
        <v>0</v>
      </c>
      <c r="X53" s="58">
        <f>IF(U53=0,0,IF($F53&amp;"/Día"=W$9,ROUND(V53/U53,4),""))</f>
        <v>0</v>
      </c>
      <c r="Y53" s="58">
        <f>IF(U53=0,0,IF($F53&amp;"/Día"=W$9,ROUND(Z53/U53,4),""))</f>
        <v>0</v>
      </c>
      <c r="Z53" s="32">
        <f>IF(U53&lt;&gt;"",$P53,"")</f>
        <v>0</v>
      </c>
      <c r="AA53" s="32" t="str">
        <f>IF($F53&amp;"/Día"=AC$9,SUM($G53:$H53),"")</f>
        <v/>
      </c>
      <c r="AB53" s="32" t="str">
        <f>IF(AA53&lt;&gt;"",$O53,"")</f>
        <v/>
      </c>
      <c r="AC53" s="57" t="str">
        <f>IF($F53&amp;"/Día"=AC$9,ROUND(AA53/$W$1,1),"")</f>
        <v/>
      </c>
      <c r="AD53" s="58" t="str">
        <f>IF(AA53=0,0,IF($F53&amp;"/Día"=AC$9,ROUND(AB53/AA53,4),""))</f>
        <v/>
      </c>
      <c r="AE53" s="58" t="str">
        <f>IF(AA53=0,0,IF($F53&amp;"/Día"=AC$9,ROUND(AF53/AA53,4),""))</f>
        <v/>
      </c>
      <c r="AF53" s="32" t="str">
        <f>IF(AA53&lt;&gt;"",$P53,"")</f>
        <v/>
      </c>
      <c r="AG53" s="37"/>
    </row>
    <row r="54" spans="1:33" x14ac:dyDescent="0.25">
      <c r="A54" s="16" t="s">
        <v>28</v>
      </c>
      <c r="B54" s="250">
        <v>67</v>
      </c>
      <c r="C54" s="40" t="s">
        <v>31</v>
      </c>
      <c r="D54" s="40" t="s">
        <v>30</v>
      </c>
      <c r="E54" s="40" t="s">
        <v>98</v>
      </c>
      <c r="F54" s="215" t="s">
        <v>36</v>
      </c>
      <c r="G54" s="191"/>
      <c r="H54" s="191"/>
      <c r="I54" s="193"/>
      <c r="J54" s="193"/>
      <c r="K54" s="191"/>
      <c r="L54" s="256"/>
      <c r="M54" s="256"/>
      <c r="N54" s="191"/>
      <c r="O54" s="200">
        <f>ROUND(G54*I54,2)+ROUND(H54*J54,2)-K54-L54-M54-N54</f>
        <v>0</v>
      </c>
      <c r="P54" s="198">
        <f>ROUND(18.75%*O54,2)</f>
        <v>0</v>
      </c>
      <c r="Q54" s="198">
        <f>P54-S54</f>
        <v>0</v>
      </c>
      <c r="R54" s="199">
        <v>0.15</v>
      </c>
      <c r="S54" s="198">
        <f>ROUND($O54*T54,2)</f>
        <v>0</v>
      </c>
      <c r="T54" s="236">
        <v>3.7499999999999999E-2</v>
      </c>
      <c r="U54" s="32">
        <f>IF($F54&amp;"/Día"=W$9,SUM($G54:$H54),"")</f>
        <v>0</v>
      </c>
      <c r="V54" s="32">
        <f>IF(U54&lt;&gt;"",$O54,"")</f>
        <v>0</v>
      </c>
      <c r="W54" s="57">
        <f>IF($F54&amp;"/Día"=W$9,ROUND(U54/$W$1,1),"")</f>
        <v>0</v>
      </c>
      <c r="X54" s="58">
        <f>IF(U54=0,0,IF($F54&amp;"/Día"=W$9,ROUND(V54/U54,4),""))</f>
        <v>0</v>
      </c>
      <c r="Y54" s="58">
        <f>IF(U54=0,0,IF($F54&amp;"/Día"=W$9,ROUND(Z54/U54,4),""))</f>
        <v>0</v>
      </c>
      <c r="Z54" s="32">
        <f>IF(U54&lt;&gt;"",$P54,"")</f>
        <v>0</v>
      </c>
      <c r="AA54" s="32" t="str">
        <f>IF($F54&amp;"/Día"=AC$9,SUM($G54:$H54),"")</f>
        <v/>
      </c>
      <c r="AB54" s="32" t="str">
        <f>IF(AA54&lt;&gt;"",$O54,"")</f>
        <v/>
      </c>
      <c r="AC54" s="57" t="str">
        <f>IF($F54&amp;"/Día"=AC$9,ROUND(AA54/$W$1,1),"")</f>
        <v/>
      </c>
      <c r="AD54" s="58" t="str">
        <f>IF(AA54=0,0,IF($F54&amp;"/Día"=AC$9,ROUND(AB54/AA54,4),""))</f>
        <v/>
      </c>
      <c r="AE54" s="58" t="str">
        <f>IF(AA54=0,0,IF($F54&amp;"/Día"=AC$9,ROUND(AF54/AA54,4),""))</f>
        <v/>
      </c>
      <c r="AF54" s="32" t="str">
        <f>IF(AA54&lt;&gt;"",$P54,"")</f>
        <v/>
      </c>
      <c r="AG54" s="37"/>
    </row>
    <row r="55" spans="1:33" x14ac:dyDescent="0.25">
      <c r="A55" s="13" t="s">
        <v>28</v>
      </c>
      <c r="B55" s="23" t="s">
        <v>53</v>
      </c>
      <c r="C55" s="39"/>
      <c r="D55" s="21"/>
      <c r="E55" s="21"/>
      <c r="F55" s="217"/>
      <c r="G55" s="256"/>
      <c r="H55" s="256"/>
      <c r="I55" s="192"/>
      <c r="J55" s="192"/>
      <c r="K55" s="256"/>
      <c r="L55" s="256"/>
      <c r="M55" s="256"/>
      <c r="N55" s="256"/>
      <c r="O55" s="256">
        <f>+O152</f>
        <v>1253.6399999999994</v>
      </c>
      <c r="P55" s="256">
        <f>ROUND(18.75%*O55,2)</f>
        <v>235.06</v>
      </c>
      <c r="Q55" s="256">
        <f>+Q152</f>
        <v>188.05000000000109</v>
      </c>
      <c r="R55" s="199"/>
      <c r="S55" s="256">
        <f>+S152</f>
        <v>47.009999999999764</v>
      </c>
      <c r="T55" s="199"/>
      <c r="U55" s="32" t="str">
        <f t="shared" si="18"/>
        <v/>
      </c>
      <c r="V55" s="32" t="str">
        <f t="shared" si="19"/>
        <v/>
      </c>
      <c r="W55" s="57" t="str">
        <f t="shared" si="20"/>
        <v/>
      </c>
      <c r="X55" s="58" t="str">
        <f t="shared" si="21"/>
        <v/>
      </c>
      <c r="Y55" s="58" t="str">
        <f t="shared" si="22"/>
        <v/>
      </c>
      <c r="Z55" s="32" t="str">
        <f t="shared" si="23"/>
        <v/>
      </c>
      <c r="AA55" s="32" t="str">
        <f t="shared" si="24"/>
        <v/>
      </c>
      <c r="AB55" s="32" t="str">
        <f t="shared" si="25"/>
        <v/>
      </c>
      <c r="AC55" s="57" t="str">
        <f t="shared" si="26"/>
        <v/>
      </c>
      <c r="AD55" s="58" t="str">
        <f t="shared" si="27"/>
        <v/>
      </c>
      <c r="AE55" s="58" t="str">
        <f t="shared" si="28"/>
        <v/>
      </c>
      <c r="AF55" s="32" t="str">
        <f t="shared" si="29"/>
        <v/>
      </c>
      <c r="AG55" s="37"/>
    </row>
    <row r="56" spans="1:33" x14ac:dyDescent="0.25">
      <c r="A56" s="24"/>
      <c r="B56" s="127" t="s">
        <v>105</v>
      </c>
      <c r="C56" s="25" t="str">
        <f>TEXT(A$44,)&amp;" US$"</f>
        <v>Loreto / Ucayali US$</v>
      </c>
      <c r="D56" s="14"/>
      <c r="E56" s="14"/>
      <c r="F56" s="230"/>
      <c r="G56" s="228"/>
      <c r="H56" s="228"/>
      <c r="I56" s="229"/>
      <c r="J56" s="219"/>
      <c r="K56" s="218"/>
      <c r="L56" s="218"/>
      <c r="M56" s="218"/>
      <c r="N56" s="204"/>
      <c r="O56" s="204">
        <f>SUM(O45:O55)</f>
        <v>28340999.300000001</v>
      </c>
      <c r="P56" s="205">
        <f>SUM(P45:P55)</f>
        <v>5313937.38</v>
      </c>
      <c r="Q56" s="205">
        <f>SUM(Q45:Q55)</f>
        <v>3968463.9699999993</v>
      </c>
      <c r="R56" s="220"/>
      <c r="S56" s="205">
        <f>SUM(S45:S55)</f>
        <v>1345473.41</v>
      </c>
      <c r="T56" s="207"/>
      <c r="U56" s="59">
        <f>SUM(U45:U55)</f>
        <v>537841</v>
      </c>
      <c r="V56" s="59">
        <f>SUM(V45:V55)</f>
        <v>27914924.390000001</v>
      </c>
      <c r="W56" s="60">
        <f>SUM(W45:W55)</f>
        <v>17349.7</v>
      </c>
      <c r="X56" s="61">
        <f>ROUND(V56/U56,4)</f>
        <v>51.901800000000001</v>
      </c>
      <c r="Y56" s="61">
        <f>ROUND(Z56/U56,4)</f>
        <v>9.7316000000000003</v>
      </c>
      <c r="Z56" s="59">
        <f>SUM(Z45:Z55)</f>
        <v>5234048.33</v>
      </c>
      <c r="AA56" s="59">
        <f>SUM(AA45:AA55)</f>
        <v>113701.5846</v>
      </c>
      <c r="AB56" s="59">
        <f>SUM(AB45:AB55)</f>
        <v>424821.26999999996</v>
      </c>
      <c r="AC56" s="60">
        <f>SUM(AC45:AC55)</f>
        <v>3667.8</v>
      </c>
      <c r="AD56" s="61">
        <f>ROUND(AB56/AA56,4)</f>
        <v>3.7363</v>
      </c>
      <c r="AE56" s="61">
        <f>ROUND(AF56/AA56,4)</f>
        <v>0.7006</v>
      </c>
      <c r="AF56" s="59">
        <f>SUM(AF45:AF55)</f>
        <v>79653.990000000005</v>
      </c>
      <c r="AG56" s="59">
        <f>P56-Z56-AF56</f>
        <v>235.0599999998085</v>
      </c>
    </row>
    <row r="57" spans="1:33" x14ac:dyDescent="0.25">
      <c r="A57" s="121"/>
      <c r="B57" s="122"/>
      <c r="C57" s="25" t="str">
        <f>TEXT(A$44,)&amp;" S/."</f>
        <v>Loreto / Ucayali S/.</v>
      </c>
      <c r="D57" s="85"/>
      <c r="E57" s="85"/>
      <c r="F57" s="121"/>
      <c r="G57" s="182"/>
      <c r="H57" s="182"/>
      <c r="I57" s="179"/>
      <c r="J57" s="179"/>
      <c r="K57" s="182"/>
      <c r="L57" s="182"/>
      <c r="M57" s="182"/>
      <c r="N57" s="182"/>
      <c r="O57" s="185"/>
      <c r="P57" s="186">
        <f>ROUND($F$1*P56,2)</f>
        <v>0</v>
      </c>
      <c r="Q57" s="186">
        <f>ROUND($F$1*Q56,2)</f>
        <v>0</v>
      </c>
      <c r="R57" s="131"/>
      <c r="S57" s="186">
        <f>ROUND($F$1*S56,2)</f>
        <v>0</v>
      </c>
      <c r="T57" s="123"/>
      <c r="U57" s="124"/>
      <c r="V57" s="124"/>
      <c r="W57" s="125"/>
      <c r="X57" s="126"/>
      <c r="Y57" s="126"/>
      <c r="Z57" s="124"/>
      <c r="AA57" s="124"/>
      <c r="AB57" s="124"/>
      <c r="AC57" s="125"/>
      <c r="AD57" s="126"/>
      <c r="AE57" s="126"/>
      <c r="AF57" s="124"/>
      <c r="AG57" s="124"/>
    </row>
    <row r="58" spans="1:33" ht="13" x14ac:dyDescent="0.3">
      <c r="A58" s="257" t="s">
        <v>161</v>
      </c>
      <c r="B58" s="11"/>
      <c r="C58" s="11"/>
      <c r="D58" s="11"/>
      <c r="E58" s="15"/>
      <c r="F58" s="257"/>
      <c r="G58" s="180"/>
      <c r="H58" s="181"/>
      <c r="I58" s="177"/>
      <c r="J58" s="178"/>
      <c r="K58" s="180"/>
      <c r="L58" s="180"/>
      <c r="M58" s="180"/>
      <c r="N58" s="180"/>
      <c r="O58" s="180"/>
      <c r="P58" s="188" t="s">
        <v>163</v>
      </c>
      <c r="Q58" s="188" t="s">
        <v>161</v>
      </c>
      <c r="R58" s="140"/>
      <c r="S58" s="187"/>
      <c r="T58" s="148"/>
      <c r="U58" s="124"/>
      <c r="V58" s="124"/>
      <c r="W58" s="125"/>
      <c r="X58" s="126"/>
      <c r="Y58" s="126"/>
      <c r="Z58" s="124"/>
      <c r="AA58" s="124"/>
      <c r="AB58" s="124"/>
      <c r="AC58" s="125"/>
      <c r="AD58" s="126"/>
      <c r="AE58" s="126"/>
      <c r="AF58" s="124"/>
      <c r="AG58" s="124"/>
    </row>
    <row r="59" spans="1:33" x14ac:dyDescent="0.25">
      <c r="A59" s="16" t="s">
        <v>28</v>
      </c>
      <c r="B59" s="17" t="s">
        <v>160</v>
      </c>
      <c r="C59" s="40" t="s">
        <v>31</v>
      </c>
      <c r="D59" s="40" t="s">
        <v>30</v>
      </c>
      <c r="E59" s="40" t="s">
        <v>158</v>
      </c>
      <c r="F59" s="215" t="s">
        <v>36</v>
      </c>
      <c r="G59" s="256">
        <v>755338</v>
      </c>
      <c r="H59" s="256">
        <v>820304</v>
      </c>
      <c r="I59" s="192">
        <v>43.116300000000003</v>
      </c>
      <c r="J59" s="192">
        <v>42.268700000000003</v>
      </c>
      <c r="K59" s="256"/>
      <c r="L59" s="256"/>
      <c r="M59" s="256"/>
      <c r="N59" s="256"/>
      <c r="O59" s="200">
        <f>G59*I59+H59*J59</f>
        <v>67240563.494200006</v>
      </c>
      <c r="P59" s="198">
        <f>ROUND(37.24%*(G59*I59+H59*J59),2)</f>
        <v>25040385.850000001</v>
      </c>
      <c r="Q59" s="198">
        <f t="shared" ref="Q59:Q67" si="32">ROUND(R59*P59,2)</f>
        <v>12520192.93</v>
      </c>
      <c r="R59" s="199">
        <v>0.5</v>
      </c>
      <c r="S59" s="198"/>
      <c r="T59" s="236"/>
      <c r="U59" s="32">
        <f t="shared" ref="U59:U68" si="33">IF($F59&amp;"/Día"=W$9,SUM($G59:$H59),"")</f>
        <v>1575642</v>
      </c>
      <c r="V59" s="32">
        <f t="shared" ref="V59:V68" si="34">IF(U59&lt;&gt;"",$O59,"")</f>
        <v>67240563.494200006</v>
      </c>
      <c r="W59" s="57">
        <f t="shared" ref="W59:W68" si="35">IF($F59&amp;"/Día"=W$9,ROUND(U59/$W$1,1),"")</f>
        <v>50827.199999999997</v>
      </c>
      <c r="X59" s="58">
        <f t="shared" ref="X59:X68" si="36">IF(U59=0,0,IF($F59&amp;"/Día"=W$9,ROUND(V59/U59,4),""))</f>
        <v>42.674999999999997</v>
      </c>
      <c r="Y59" s="58">
        <f t="shared" ref="Y59:Y68" si="37">IF(U59=0,0,IF($F59&amp;"/Día"=W$9,ROUND(Z59/U59,4),""))</f>
        <v>7.9461000000000004</v>
      </c>
      <c r="Z59" s="32">
        <f t="shared" ref="Z59:Z68" si="38">IF(U59&lt;&gt;"",$Q59,"")</f>
        <v>12520192.93</v>
      </c>
      <c r="AA59" s="32" t="str">
        <f t="shared" ref="AA59:AA68" si="39">IF($F59&amp;"/Día"=AC$9,SUM($G59:$H59),"")</f>
        <v/>
      </c>
      <c r="AB59" s="32" t="str">
        <f t="shared" ref="AB59:AB68" si="40">IF(AA59&lt;&gt;"",$O59,"")</f>
        <v/>
      </c>
      <c r="AC59" s="57" t="str">
        <f t="shared" ref="AC59:AC68" si="41">IF($F59&amp;"/Día"=AC$9,ROUND(AA59/$W$1,1),"")</f>
        <v/>
      </c>
      <c r="AD59" s="58" t="str">
        <f t="shared" ref="AD59:AD68" si="42">IF(AA59=0,0,IF($F59&amp;"/Día"=AC$9,ROUND(AB59/AA59,4),""))</f>
        <v/>
      </c>
      <c r="AE59" s="58" t="str">
        <f t="shared" ref="AE59:AE68" si="43">IF(AA59=0,0,IF($F59&amp;"/Día"=AC$9,ROUND(AF59/AA59,4),""))</f>
        <v/>
      </c>
      <c r="AF59" s="32" t="str">
        <f t="shared" ref="AF59:AF68" si="44">IF(AA59&lt;&gt;"",$Q59,"")</f>
        <v/>
      </c>
      <c r="AG59" s="124"/>
    </row>
    <row r="60" spans="1:33" x14ac:dyDescent="0.25">
      <c r="A60" s="16" t="s">
        <v>28</v>
      </c>
      <c r="B60" s="17" t="s">
        <v>159</v>
      </c>
      <c r="C60" s="40" t="s">
        <v>31</v>
      </c>
      <c r="D60" s="40" t="s">
        <v>30</v>
      </c>
      <c r="E60" s="40" t="s">
        <v>158</v>
      </c>
      <c r="F60" s="216" t="s">
        <v>55</v>
      </c>
      <c r="G60" s="256">
        <v>7816183.6699999999</v>
      </c>
      <c r="H60" s="256">
        <v>8555912.25</v>
      </c>
      <c r="I60" s="192">
        <v>1.9641</v>
      </c>
      <c r="J60" s="192">
        <v>1.9641</v>
      </c>
      <c r="K60" s="256"/>
      <c r="L60" s="256"/>
      <c r="M60" s="256"/>
      <c r="N60" s="256"/>
      <c r="O60" s="200">
        <f>G60*I60+H60*J60</f>
        <v>32156433.596471999</v>
      </c>
      <c r="P60" s="198">
        <f>ROUND(37.24%*(G60*I60+H60*J60),2)</f>
        <v>11975055.869999999</v>
      </c>
      <c r="Q60" s="198">
        <f t="shared" si="32"/>
        <v>5987527.9400000004</v>
      </c>
      <c r="R60" s="199">
        <v>0.5</v>
      </c>
      <c r="S60" s="198"/>
      <c r="T60" s="199"/>
      <c r="U60" s="32" t="str">
        <f t="shared" si="33"/>
        <v/>
      </c>
      <c r="V60" s="32" t="str">
        <f t="shared" si="34"/>
        <v/>
      </c>
      <c r="W60" s="57" t="str">
        <f t="shared" si="35"/>
        <v/>
      </c>
      <c r="X60" s="58" t="str">
        <f t="shared" si="36"/>
        <v/>
      </c>
      <c r="Y60" s="58" t="str">
        <f t="shared" si="37"/>
        <v/>
      </c>
      <c r="Z60" s="32" t="str">
        <f t="shared" si="38"/>
        <v/>
      </c>
      <c r="AA60" s="32">
        <f t="shared" si="39"/>
        <v>16372095.92</v>
      </c>
      <c r="AB60" s="32">
        <f t="shared" si="40"/>
        <v>32156433.596471999</v>
      </c>
      <c r="AC60" s="57">
        <f t="shared" si="41"/>
        <v>528132.1</v>
      </c>
      <c r="AD60" s="58">
        <f t="shared" si="42"/>
        <v>1.9641</v>
      </c>
      <c r="AE60" s="58">
        <f t="shared" si="43"/>
        <v>0.36570000000000003</v>
      </c>
      <c r="AF60" s="32">
        <f t="shared" si="44"/>
        <v>5987527.9400000004</v>
      </c>
      <c r="AG60" s="124"/>
    </row>
    <row r="61" spans="1:33" x14ac:dyDescent="0.25">
      <c r="A61" s="16" t="s">
        <v>28</v>
      </c>
      <c r="B61" s="17" t="s">
        <v>177</v>
      </c>
      <c r="C61" s="40" t="s">
        <v>31</v>
      </c>
      <c r="D61" s="40" t="s">
        <v>30</v>
      </c>
      <c r="E61" s="40" t="s">
        <v>158</v>
      </c>
      <c r="F61" s="216" t="s">
        <v>55</v>
      </c>
      <c r="G61" s="256">
        <v>21481.439999999999</v>
      </c>
      <c r="H61" s="256">
        <v>31441.16</v>
      </c>
      <c r="I61" s="192">
        <v>2.7627999999999999</v>
      </c>
      <c r="J61" s="192">
        <v>2.7627999999999999</v>
      </c>
      <c r="K61" s="256"/>
      <c r="L61" s="256"/>
      <c r="M61" s="256"/>
      <c r="N61" s="256"/>
      <c r="O61" s="200">
        <f t="shared" ref="O61:O67" si="45">G61*I61+H61*J61</f>
        <v>146214.55927999999</v>
      </c>
      <c r="P61" s="198">
        <f>ROUND(37.24%*O61,2)</f>
        <v>54450.3</v>
      </c>
      <c r="Q61" s="198">
        <f t="shared" si="32"/>
        <v>27225.15</v>
      </c>
      <c r="R61" s="199">
        <v>0.5</v>
      </c>
      <c r="S61" s="198"/>
      <c r="T61" s="199"/>
      <c r="U61" s="32" t="str">
        <f>IF($F61&amp;"/Día"=W$9,SUM($G61:$H61),"")</f>
        <v/>
      </c>
      <c r="V61" s="32" t="str">
        <f>IF(U61&lt;&gt;"",$O61,"")</f>
        <v/>
      </c>
      <c r="W61" s="57" t="str">
        <f>IF($F61&amp;"/Día"=W$9,ROUND(U61/$W$1,1),"")</f>
        <v/>
      </c>
      <c r="X61" s="58" t="str">
        <f>IF(U61=0,0,IF($F61&amp;"/Día"=W$9,ROUND(V61/U61,4),""))</f>
        <v/>
      </c>
      <c r="Y61" s="58" t="str">
        <f>IF(U61=0,0,IF($F61&amp;"/Día"=W$9,ROUND(Z61/U61,4),""))</f>
        <v/>
      </c>
      <c r="Z61" s="32" t="str">
        <f>IF(U61&lt;&gt;"",$Q61,"")</f>
        <v/>
      </c>
      <c r="AA61" s="32">
        <f t="shared" si="39"/>
        <v>52922.6</v>
      </c>
      <c r="AB61" s="32">
        <f>IF(AA61&lt;&gt;"",$O61,"")</f>
        <v>146214.55927999999</v>
      </c>
      <c r="AC61" s="57">
        <f t="shared" si="41"/>
        <v>1707.2</v>
      </c>
      <c r="AD61" s="58">
        <f>IF(AA61=0,0,IF($F61&amp;"/Día"=AC$9,ROUND(AB61/AA61,4),""))</f>
        <v>2.7627999999999999</v>
      </c>
      <c r="AE61" s="58">
        <f t="shared" si="43"/>
        <v>0.51439999999999997</v>
      </c>
      <c r="AF61" s="32">
        <f t="shared" si="44"/>
        <v>27225.15</v>
      </c>
      <c r="AG61" s="124"/>
    </row>
    <row r="62" spans="1:33" ht="12" customHeight="1" x14ac:dyDescent="0.25">
      <c r="A62" s="16" t="s">
        <v>28</v>
      </c>
      <c r="B62" s="17" t="s">
        <v>178</v>
      </c>
      <c r="C62" s="40" t="s">
        <v>31</v>
      </c>
      <c r="D62" s="40" t="s">
        <v>30</v>
      </c>
      <c r="E62" s="40" t="s">
        <v>158</v>
      </c>
      <c r="F62" s="216" t="s">
        <v>55</v>
      </c>
      <c r="G62" s="256">
        <v>736346.49</v>
      </c>
      <c r="H62" s="256">
        <v>923857.55</v>
      </c>
      <c r="I62" s="192">
        <v>1.798</v>
      </c>
      <c r="J62" s="192">
        <v>3.3090000000000002</v>
      </c>
      <c r="K62" s="256"/>
      <c r="L62" s="256"/>
      <c r="M62" s="256"/>
      <c r="N62" s="256"/>
      <c r="O62" s="200">
        <f t="shared" si="45"/>
        <v>4380995.6219700007</v>
      </c>
      <c r="P62" s="198">
        <f>ROUND(38%*G62*I62,2)+ROUND(38%*H62*J62,2)</f>
        <v>1664778.3399999999</v>
      </c>
      <c r="Q62" s="198">
        <f t="shared" si="32"/>
        <v>832389.17</v>
      </c>
      <c r="R62" s="258">
        <v>0.5</v>
      </c>
      <c r="S62" s="198"/>
      <c r="T62" s="199"/>
      <c r="U62" s="32" t="str">
        <f>IF($F62&amp;"/Día"=W$9,SUM($G62:$H62),"")</f>
        <v/>
      </c>
      <c r="V62" s="32" t="str">
        <f>IF(U62&lt;&gt;"",$O62,"")</f>
        <v/>
      </c>
      <c r="W62" s="57" t="str">
        <f>IF($F62&amp;"/Día"=W$9,ROUND(U62/$W$1,1),"")</f>
        <v/>
      </c>
      <c r="X62" s="58" t="str">
        <f>IF(U62=0,0,IF($F62&amp;"/Día"=W$9,ROUND(V62/U62,4),""))</f>
        <v/>
      </c>
      <c r="Y62" s="58" t="str">
        <f>IF(U62=0,0,IF($F62&amp;"/Día"=W$9,ROUND(Z62/U62,4),""))</f>
        <v/>
      </c>
      <c r="Z62" s="32" t="str">
        <f>IF(U62&lt;&gt;"",$Q62,"")</f>
        <v/>
      </c>
      <c r="AA62" s="32">
        <f t="shared" si="39"/>
        <v>1660204.04</v>
      </c>
      <c r="AB62" s="32">
        <f>IF(AA62&lt;&gt;"",$O62,"")</f>
        <v>4380995.6219700007</v>
      </c>
      <c r="AC62" s="57">
        <f t="shared" si="41"/>
        <v>53555</v>
      </c>
      <c r="AD62" s="58">
        <f>IF(AA62=0,0,IF($F62&amp;"/Día"=AC$9,ROUND(AB62/AA62,4),""))</f>
        <v>2.6387999999999998</v>
      </c>
      <c r="AE62" s="58">
        <f t="shared" si="43"/>
        <v>0.50139999999999996</v>
      </c>
      <c r="AF62" s="32">
        <f t="shared" si="44"/>
        <v>832389.17</v>
      </c>
      <c r="AG62" s="124"/>
    </row>
    <row r="63" spans="1:33" x14ac:dyDescent="0.25">
      <c r="A63" s="16" t="s">
        <v>28</v>
      </c>
      <c r="B63" s="19" t="s">
        <v>168</v>
      </c>
      <c r="C63" s="40" t="s">
        <v>31</v>
      </c>
      <c r="D63" s="40" t="s">
        <v>30</v>
      </c>
      <c r="E63" s="40" t="s">
        <v>158</v>
      </c>
      <c r="F63" s="215" t="s">
        <v>36</v>
      </c>
      <c r="G63" s="256">
        <v>304982</v>
      </c>
      <c r="H63" s="256">
        <v>452645</v>
      </c>
      <c r="I63" s="192">
        <v>43.069099999999999</v>
      </c>
      <c r="J63" s="192">
        <v>42.268999999999998</v>
      </c>
      <c r="K63" s="256"/>
      <c r="L63" s="256"/>
      <c r="M63" s="256"/>
      <c r="N63" s="256"/>
      <c r="O63" s="200">
        <f t="shared" si="45"/>
        <v>32268151.761199996</v>
      </c>
      <c r="P63" s="198">
        <f>ROUND(40%*G63*I63,2)+ROUND(40%*H63*J63,2)</f>
        <v>12907260.699999999</v>
      </c>
      <c r="Q63" s="198">
        <f t="shared" si="32"/>
        <v>6453630.3499999996</v>
      </c>
      <c r="R63" s="199">
        <v>0.5</v>
      </c>
      <c r="S63" s="198"/>
      <c r="T63" s="199"/>
      <c r="U63" s="32">
        <f t="shared" si="33"/>
        <v>757627</v>
      </c>
      <c r="V63" s="32">
        <f t="shared" si="34"/>
        <v>32268151.761199996</v>
      </c>
      <c r="W63" s="57">
        <f t="shared" si="35"/>
        <v>24439.599999999999</v>
      </c>
      <c r="X63" s="58">
        <f t="shared" si="36"/>
        <v>42.591099999999997</v>
      </c>
      <c r="Y63" s="58">
        <f t="shared" si="37"/>
        <v>8.5182000000000002</v>
      </c>
      <c r="Z63" s="32">
        <f t="shared" si="38"/>
        <v>6453630.3499999996</v>
      </c>
      <c r="AA63" s="32" t="str">
        <f t="shared" si="39"/>
        <v/>
      </c>
      <c r="AB63" s="32" t="str">
        <f t="shared" si="40"/>
        <v/>
      </c>
      <c r="AC63" s="57" t="str">
        <f t="shared" si="41"/>
        <v/>
      </c>
      <c r="AD63" s="58" t="str">
        <f t="shared" si="42"/>
        <v/>
      </c>
      <c r="AE63" s="58" t="str">
        <f t="shared" si="43"/>
        <v/>
      </c>
      <c r="AF63" s="32" t="str">
        <f t="shared" si="44"/>
        <v/>
      </c>
      <c r="AG63" s="124"/>
    </row>
    <row r="64" spans="1:33" x14ac:dyDescent="0.25">
      <c r="A64" s="16" t="s">
        <v>28</v>
      </c>
      <c r="B64" s="19" t="s">
        <v>169</v>
      </c>
      <c r="C64" s="40" t="s">
        <v>31</v>
      </c>
      <c r="D64" s="40" t="s">
        <v>30</v>
      </c>
      <c r="E64" s="40" t="s">
        <v>158</v>
      </c>
      <c r="F64" s="215" t="s">
        <v>55</v>
      </c>
      <c r="G64" s="256">
        <v>4773948.47</v>
      </c>
      <c r="H64" s="256">
        <v>6910967.5199999996</v>
      </c>
      <c r="I64" s="192">
        <v>1.798</v>
      </c>
      <c r="J64" s="192">
        <v>3.3090000000000002</v>
      </c>
      <c r="K64" s="256"/>
      <c r="L64" s="256"/>
      <c r="M64" s="256"/>
      <c r="N64" s="256"/>
      <c r="O64" s="200">
        <f t="shared" si="45"/>
        <v>31451950.87274</v>
      </c>
      <c r="P64" s="198">
        <f>ROUND(38%*G64*I64,2)+ROUND(38%*H64*J64,2)</f>
        <v>11951741.329999998</v>
      </c>
      <c r="Q64" s="198">
        <f t="shared" si="32"/>
        <v>5975870.6699999999</v>
      </c>
      <c r="R64" s="199">
        <v>0.5</v>
      </c>
      <c r="S64" s="198"/>
      <c r="T64" s="199"/>
      <c r="U64" s="32" t="str">
        <f t="shared" si="33"/>
        <v/>
      </c>
      <c r="V64" s="32" t="str">
        <f t="shared" si="34"/>
        <v/>
      </c>
      <c r="W64" s="57" t="str">
        <f t="shared" si="35"/>
        <v/>
      </c>
      <c r="X64" s="58" t="str">
        <f t="shared" si="36"/>
        <v/>
      </c>
      <c r="Y64" s="58" t="str">
        <f t="shared" si="37"/>
        <v/>
      </c>
      <c r="Z64" s="32" t="str">
        <f t="shared" si="38"/>
        <v/>
      </c>
      <c r="AA64" s="32">
        <f t="shared" si="39"/>
        <v>11684915.989999998</v>
      </c>
      <c r="AB64" s="32">
        <f t="shared" si="40"/>
        <v>31451950.87274</v>
      </c>
      <c r="AC64" s="57">
        <f t="shared" si="41"/>
        <v>376932.8</v>
      </c>
      <c r="AD64" s="58">
        <f t="shared" si="42"/>
        <v>2.6917</v>
      </c>
      <c r="AE64" s="58">
        <f t="shared" si="43"/>
        <v>0.51139999999999997</v>
      </c>
      <c r="AF64" s="32">
        <f t="shared" si="44"/>
        <v>5975870.6699999999</v>
      </c>
      <c r="AG64" s="124"/>
    </row>
    <row r="65" spans="1:33" x14ac:dyDescent="0.25">
      <c r="A65" s="16" t="s">
        <v>28</v>
      </c>
      <c r="B65" s="22" t="s">
        <v>173</v>
      </c>
      <c r="C65" s="40" t="s">
        <v>31</v>
      </c>
      <c r="D65" s="40" t="s">
        <v>30</v>
      </c>
      <c r="E65" s="40" t="s">
        <v>158</v>
      </c>
      <c r="F65" s="215" t="s">
        <v>55</v>
      </c>
      <c r="G65" s="256">
        <v>191112.54</v>
      </c>
      <c r="H65" s="256">
        <v>282162.15000000002</v>
      </c>
      <c r="I65" s="192">
        <v>1.8266</v>
      </c>
      <c r="J65" s="192">
        <v>1.8266</v>
      </c>
      <c r="K65" s="191"/>
      <c r="L65" s="256"/>
      <c r="M65" s="256"/>
      <c r="N65" s="191"/>
      <c r="O65" s="200">
        <f t="shared" si="45"/>
        <v>864483.5487540001</v>
      </c>
      <c r="P65" s="198">
        <f>ROUND(37.24%*(G65*I65+H65*J65),2)</f>
        <v>321933.67</v>
      </c>
      <c r="Q65" s="198">
        <f t="shared" si="32"/>
        <v>160966.84</v>
      </c>
      <c r="R65" s="199">
        <v>0.5</v>
      </c>
      <c r="S65" s="198"/>
      <c r="T65" s="236"/>
      <c r="U65" s="32" t="str">
        <f t="shared" si="33"/>
        <v/>
      </c>
      <c r="V65" s="32" t="str">
        <f t="shared" si="34"/>
        <v/>
      </c>
      <c r="W65" s="57" t="str">
        <f t="shared" si="35"/>
        <v/>
      </c>
      <c r="X65" s="58" t="str">
        <f t="shared" si="36"/>
        <v/>
      </c>
      <c r="Y65" s="58" t="str">
        <f t="shared" si="37"/>
        <v/>
      </c>
      <c r="Z65" s="32" t="str">
        <f t="shared" si="38"/>
        <v/>
      </c>
      <c r="AA65" s="32">
        <f t="shared" si="39"/>
        <v>473274.69000000006</v>
      </c>
      <c r="AB65" s="32">
        <f t="shared" si="40"/>
        <v>864483.5487540001</v>
      </c>
      <c r="AC65" s="57">
        <f t="shared" si="41"/>
        <v>15266.9</v>
      </c>
      <c r="AD65" s="58">
        <f t="shared" si="42"/>
        <v>1.8266</v>
      </c>
      <c r="AE65" s="58">
        <f t="shared" si="43"/>
        <v>0.34010000000000001</v>
      </c>
      <c r="AF65" s="32">
        <f t="shared" si="44"/>
        <v>160966.84</v>
      </c>
      <c r="AG65" s="124"/>
    </row>
    <row r="66" spans="1:33" x14ac:dyDescent="0.25">
      <c r="A66" s="16" t="s">
        <v>28</v>
      </c>
      <c r="B66" s="22" t="s">
        <v>175</v>
      </c>
      <c r="C66" s="40" t="s">
        <v>31</v>
      </c>
      <c r="D66" s="40" t="s">
        <v>30</v>
      </c>
      <c r="E66" s="40" t="s">
        <v>158</v>
      </c>
      <c r="F66" s="215" t="s">
        <v>36</v>
      </c>
      <c r="G66" s="256">
        <v>152939</v>
      </c>
      <c r="H66" s="256">
        <v>223448</v>
      </c>
      <c r="I66" s="192">
        <v>38.984499999999997</v>
      </c>
      <c r="J66" s="192">
        <v>38.186799999999998</v>
      </c>
      <c r="K66" s="191"/>
      <c r="L66" s="256"/>
      <c r="M66" s="256"/>
      <c r="N66" s="191"/>
      <c r="O66" s="200">
        <f t="shared" si="45"/>
        <v>14495014.5319</v>
      </c>
      <c r="P66" s="231">
        <f>ROUND(G66*I66,2)*6.22%+ROUND(H66*J66,2)*6.42%</f>
        <v>918655.43256799993</v>
      </c>
      <c r="Q66" s="198">
        <f t="shared" si="32"/>
        <v>459327.72</v>
      </c>
      <c r="R66" s="199">
        <v>0.5</v>
      </c>
      <c r="S66" s="198"/>
      <c r="T66" s="236"/>
      <c r="U66" s="32">
        <f>IF($F66&amp;"/Día"=W$9,SUM($G66:$H66),"")</f>
        <v>376387</v>
      </c>
      <c r="V66" s="32">
        <f t="shared" si="34"/>
        <v>14495014.5319</v>
      </c>
      <c r="W66" s="57">
        <f t="shared" si="35"/>
        <v>12141.5</v>
      </c>
      <c r="X66" s="58">
        <f t="shared" si="36"/>
        <v>38.510899999999999</v>
      </c>
      <c r="Y66" s="58">
        <f>IF(U66=0,0,IF($F66&amp;"/Día"=W$9,ROUND(Z66/U66,4),""))</f>
        <v>1.2203999999999999</v>
      </c>
      <c r="Z66" s="32">
        <f>IF(U66&lt;&gt;"",$Q66,"")</f>
        <v>459327.72</v>
      </c>
      <c r="AA66" s="32" t="str">
        <f t="shared" si="39"/>
        <v/>
      </c>
      <c r="AB66" s="32" t="str">
        <f t="shared" si="40"/>
        <v/>
      </c>
      <c r="AC66" s="57" t="str">
        <f t="shared" si="41"/>
        <v/>
      </c>
      <c r="AD66" s="58" t="str">
        <f t="shared" si="42"/>
        <v/>
      </c>
      <c r="AE66" s="58" t="str">
        <f>IF(AA66=0,0,IF($F66&amp;"/Día"=AC$9,ROUND(AF66/AA66,4),""))</f>
        <v/>
      </c>
      <c r="AF66" s="32" t="str">
        <f>IF(AA66&lt;&gt;"",$Q66,"")</f>
        <v/>
      </c>
      <c r="AG66" s="124"/>
    </row>
    <row r="67" spans="1:33" x14ac:dyDescent="0.25">
      <c r="A67" s="16" t="s">
        <v>28</v>
      </c>
      <c r="B67" s="250" t="s">
        <v>176</v>
      </c>
      <c r="C67" s="40" t="s">
        <v>31</v>
      </c>
      <c r="D67" s="40" t="s">
        <v>30</v>
      </c>
      <c r="E67" s="40" t="s">
        <v>158</v>
      </c>
      <c r="F67" s="215" t="s">
        <v>55</v>
      </c>
      <c r="G67" s="256">
        <v>2377392.5499999998</v>
      </c>
      <c r="H67" s="256">
        <v>3455909.84</v>
      </c>
      <c r="I67" s="192">
        <v>3.1179999999999999</v>
      </c>
      <c r="J67" s="192">
        <v>3.1179999999999999</v>
      </c>
      <c r="K67" s="355"/>
      <c r="L67" s="256"/>
      <c r="M67" s="256"/>
      <c r="N67" s="191"/>
      <c r="O67" s="200">
        <f t="shared" si="45"/>
        <v>18188236.852019999</v>
      </c>
      <c r="P67" s="231">
        <f>ROUND(G67*I67,2)*9.42%+ROUND(H67*J67,2)*9.89%</f>
        <v>1763976.8876060001</v>
      </c>
      <c r="Q67" s="198">
        <f t="shared" si="32"/>
        <v>881988.44</v>
      </c>
      <c r="R67" s="199">
        <v>0.5</v>
      </c>
      <c r="S67" s="198"/>
      <c r="T67" s="236"/>
      <c r="U67" s="32" t="str">
        <f>IF($F67&amp;"/Día"=W$9,SUM($G67:$H67),"")</f>
        <v/>
      </c>
      <c r="V67" s="32" t="str">
        <f t="shared" si="34"/>
        <v/>
      </c>
      <c r="W67" s="57" t="str">
        <f t="shared" si="35"/>
        <v/>
      </c>
      <c r="X67" s="58" t="str">
        <f t="shared" si="36"/>
        <v/>
      </c>
      <c r="Y67" s="58" t="str">
        <f>IF(U67=0,0,IF($F67&amp;"/Día"=W$9,ROUND(Z67/U67,4),""))</f>
        <v/>
      </c>
      <c r="Z67" s="32" t="str">
        <f>IF(U67&lt;&gt;"",$Q67,"")</f>
        <v/>
      </c>
      <c r="AA67" s="32">
        <f t="shared" si="39"/>
        <v>5833302.3899999997</v>
      </c>
      <c r="AB67" s="32">
        <f t="shared" si="40"/>
        <v>18188236.852019999</v>
      </c>
      <c r="AC67" s="57">
        <f t="shared" si="41"/>
        <v>188171</v>
      </c>
      <c r="AD67" s="58">
        <f t="shared" si="42"/>
        <v>3.1179999999999999</v>
      </c>
      <c r="AE67" s="58">
        <f>IF(AA67=0,0,IF($F67&amp;"/Día"=AC$9,ROUND(AF67/AA67,4),""))</f>
        <v>0.1512</v>
      </c>
      <c r="AF67" s="32">
        <f>IF(AA67&lt;&gt;"",$Q67,"")</f>
        <v>881988.44</v>
      </c>
      <c r="AG67" s="124"/>
    </row>
    <row r="68" spans="1:33" x14ac:dyDescent="0.25">
      <c r="A68" s="149" t="s">
        <v>28</v>
      </c>
      <c r="B68" s="150" t="s">
        <v>162</v>
      </c>
      <c r="C68" s="151"/>
      <c r="D68" s="151"/>
      <c r="E68" s="152"/>
      <c r="F68" s="26"/>
      <c r="G68" s="239"/>
      <c r="H68" s="240"/>
      <c r="I68" s="240"/>
      <c r="J68" s="241"/>
      <c r="K68" s="241"/>
      <c r="L68" s="241"/>
      <c r="M68" s="155"/>
      <c r="N68" s="155"/>
      <c r="O68" s="168">
        <f>+O159</f>
        <v>7563365.7415325306</v>
      </c>
      <c r="P68" s="168">
        <f>+P159</f>
        <v>990126.66385300073</v>
      </c>
      <c r="Q68" s="168">
        <f>+Q159</f>
        <v>495063.34000000049</v>
      </c>
      <c r="R68" s="123"/>
      <c r="S68" s="156"/>
      <c r="T68" s="123"/>
      <c r="U68" s="32" t="str">
        <f t="shared" si="33"/>
        <v/>
      </c>
      <c r="V68" s="32" t="str">
        <f t="shared" si="34"/>
        <v/>
      </c>
      <c r="W68" s="57" t="str">
        <f t="shared" si="35"/>
        <v/>
      </c>
      <c r="X68" s="58" t="str">
        <f t="shared" si="36"/>
        <v/>
      </c>
      <c r="Y68" s="58" t="str">
        <f t="shared" si="37"/>
        <v/>
      </c>
      <c r="Z68" s="32" t="str">
        <f t="shared" si="38"/>
        <v/>
      </c>
      <c r="AA68" s="32" t="str">
        <f t="shared" si="39"/>
        <v/>
      </c>
      <c r="AB68" s="32" t="str">
        <f t="shared" si="40"/>
        <v/>
      </c>
      <c r="AC68" s="57" t="str">
        <f t="shared" si="41"/>
        <v/>
      </c>
      <c r="AD68" s="58" t="str">
        <f t="shared" si="42"/>
        <v/>
      </c>
      <c r="AE68" s="58" t="str">
        <f t="shared" si="43"/>
        <v/>
      </c>
      <c r="AF68" s="32" t="str">
        <f t="shared" si="44"/>
        <v/>
      </c>
      <c r="AG68" s="124"/>
    </row>
    <row r="69" spans="1:33" x14ac:dyDescent="0.25">
      <c r="A69" s="24"/>
      <c r="B69" s="127" t="s">
        <v>105</v>
      </c>
      <c r="C69" s="25" t="str">
        <f>TEXT(A$58,)&amp;" US$"</f>
        <v>Cusco US$</v>
      </c>
      <c r="D69" s="14"/>
      <c r="E69" s="14"/>
      <c r="F69" s="245"/>
      <c r="G69" s="232">
        <f>SUM(G64:G65)</f>
        <v>4965061.01</v>
      </c>
      <c r="H69" s="232">
        <f>SUM(H64:H65)</f>
        <v>7193129.6699999999</v>
      </c>
      <c r="I69" s="299"/>
      <c r="J69" s="232"/>
      <c r="K69" s="243"/>
      <c r="L69" s="237"/>
      <c r="M69" s="297"/>
      <c r="N69" s="174"/>
      <c r="O69" s="174">
        <f>SUM(O59:O68)</f>
        <v>208755410.58006853</v>
      </c>
      <c r="P69" s="174">
        <f>SUM(P59:P68)</f>
        <v>67588365.044027001</v>
      </c>
      <c r="Q69" s="174">
        <f>SUM(Q59:Q68)</f>
        <v>33794182.550000004</v>
      </c>
      <c r="R69" s="154"/>
      <c r="S69" s="162"/>
      <c r="T69" s="123"/>
      <c r="U69" s="59">
        <f>SUM(U59:U68)</f>
        <v>2709656</v>
      </c>
      <c r="V69" s="59">
        <f>SUM(V59:V68)</f>
        <v>114003729.78730001</v>
      </c>
      <c r="W69" s="60">
        <f>SUM(W59:W68)</f>
        <v>87408.299999999988</v>
      </c>
      <c r="X69" s="61">
        <f>ROUND(V69/U69,4)</f>
        <v>42.073099999999997</v>
      </c>
      <c r="Y69" s="61">
        <f>ROUND(Z69/U69,4)</f>
        <v>7.1718000000000002</v>
      </c>
      <c r="Z69" s="59">
        <f>SUM(Z59:Z68)</f>
        <v>19433151</v>
      </c>
      <c r="AA69" s="59">
        <f>SUM(AA59:AA68)</f>
        <v>36076715.629999995</v>
      </c>
      <c r="AB69" s="59">
        <f>SUM(AB59:AB68)</f>
        <v>87188315.051236004</v>
      </c>
      <c r="AC69" s="60">
        <f>SUM(AC59:AC68)</f>
        <v>1163765</v>
      </c>
      <c r="AD69" s="61">
        <f>ROUND(AB69/AA69,4)</f>
        <v>2.4167000000000001</v>
      </c>
      <c r="AE69" s="61">
        <f>ROUND(AF69/AA69,4)</f>
        <v>0.38429999999999997</v>
      </c>
      <c r="AF69" s="59">
        <f>SUM(AF59:AF68)</f>
        <v>13865968.209999999</v>
      </c>
      <c r="AG69" s="59">
        <f>Q69-Z69-AF69</f>
        <v>495063.34000000544</v>
      </c>
    </row>
    <row r="70" spans="1:33" x14ac:dyDescent="0.25">
      <c r="A70" s="121"/>
      <c r="B70" s="122"/>
      <c r="C70" s="25" t="str">
        <f>TEXT(A$58,)&amp;" S/."</f>
        <v>Cusco S/.</v>
      </c>
      <c r="D70" s="85"/>
      <c r="E70" s="85"/>
      <c r="F70" s="245"/>
      <c r="G70" s="233">
        <f>SUMPRODUCT(I64:I65,G64:G65)/SUM(G64:G65)</f>
        <v>1.7991008562901829</v>
      </c>
      <c r="H70" s="233">
        <f>SUMPRODUCT(J64:J65,H64:H65)/SUM(H64:H65)</f>
        <v>3.2508504614334304</v>
      </c>
      <c r="I70" s="300"/>
      <c r="J70" s="232"/>
      <c r="K70" s="244"/>
      <c r="L70" s="238"/>
      <c r="M70" s="361"/>
      <c r="N70" s="362"/>
      <c r="O70" s="362"/>
      <c r="P70" s="164"/>
      <c r="Q70" s="164">
        <f>Q69*F1</f>
        <v>0</v>
      </c>
      <c r="R70" s="153"/>
      <c r="S70" s="162"/>
      <c r="T70" s="123"/>
      <c r="U70" s="124"/>
      <c r="V70" s="124"/>
      <c r="W70" s="125"/>
      <c r="X70" s="126"/>
      <c r="Y70" s="126"/>
      <c r="Z70" s="124"/>
      <c r="AA70" s="124"/>
      <c r="AB70" s="124"/>
      <c r="AC70" s="125"/>
      <c r="AD70" s="126"/>
      <c r="AE70" s="126"/>
      <c r="AF70" s="124"/>
      <c r="AG70" s="124"/>
    </row>
    <row r="71" spans="1:33" ht="13" x14ac:dyDescent="0.3">
      <c r="A71" s="8" t="s">
        <v>54</v>
      </c>
      <c r="B71" s="252"/>
      <c r="C71" s="252"/>
      <c r="D71" s="252"/>
      <c r="E71" s="252"/>
      <c r="F71" s="246"/>
      <c r="G71" s="234">
        <f>G69*G70</f>
        <v>8932645.5146239996</v>
      </c>
      <c r="H71" s="234">
        <f>H69*H70</f>
        <v>23383788.90687</v>
      </c>
      <c r="I71" s="232">
        <f>H71+G71</f>
        <v>32316434.421494</v>
      </c>
      <c r="J71" s="232">
        <f>O64+O65</f>
        <v>32316434.421494</v>
      </c>
      <c r="K71" s="301">
        <f>I71-J71</f>
        <v>0</v>
      </c>
      <c r="L71" s="302"/>
      <c r="M71" s="255">
        <f>SUM(M10:M67)</f>
        <v>488728.87</v>
      </c>
      <c r="N71" s="255">
        <f>SUM(N10:N67)</f>
        <v>79794.420000000013</v>
      </c>
      <c r="O71" s="255">
        <f>O36+O42+O56+O69</f>
        <v>310260836.91006851</v>
      </c>
      <c r="P71" s="255">
        <f>Q69+P56+P42+P36</f>
        <v>52609211.74000001</v>
      </c>
      <c r="Q71" s="166">
        <f>Q70+P57+P43+P37</f>
        <v>0</v>
      </c>
      <c r="R71" s="38"/>
      <c r="S71" s="166"/>
      <c r="T71" s="38"/>
      <c r="U71" s="66">
        <f>U36+U42+U56+U69</f>
        <v>4297392</v>
      </c>
      <c r="V71" s="66">
        <f>V36+V42+V56+V69</f>
        <v>210973591.12730002</v>
      </c>
      <c r="W71" s="67">
        <f>W36+W42+W56+W69</f>
        <v>138625.79999999999</v>
      </c>
      <c r="X71" s="68">
        <f>ROUND(V71/U71,4)</f>
        <v>49.093400000000003</v>
      </c>
      <c r="Y71" s="68">
        <f>ROUND(Z71/U71,4)</f>
        <v>8.7024000000000008</v>
      </c>
      <c r="Z71" s="66">
        <f>Z36+Z42+Z56+Z69</f>
        <v>37397761.75</v>
      </c>
      <c r="AA71" s="66">
        <f>AA36+AA42+AA56+AA69</f>
        <v>37730202.987199992</v>
      </c>
      <c r="AB71" s="66">
        <f>AB36+AB42+AB56+AB69</f>
        <v>91746221.571235999</v>
      </c>
      <c r="AC71" s="66">
        <f>AC36+AC42+AC56+AC69</f>
        <v>1217103.3</v>
      </c>
      <c r="AD71" s="68">
        <f>ROUND(AB71/AA71,4)</f>
        <v>2.4316</v>
      </c>
      <c r="AE71" s="68">
        <f>ROUND(AF71/AA71,4)</f>
        <v>0.39019999999999999</v>
      </c>
      <c r="AF71" s="66">
        <f>AF36+AF42+AF56+AF69</f>
        <v>14720575.68</v>
      </c>
      <c r="AG71" s="66">
        <f>P71-Z71-AF71</f>
        <v>490874.31000000983</v>
      </c>
    </row>
    <row r="72" spans="1:33" x14ac:dyDescent="0.25">
      <c r="A72" s="4"/>
      <c r="B72" s="4"/>
      <c r="C72" s="4"/>
      <c r="D72" s="4"/>
      <c r="E72" s="4"/>
      <c r="F72" s="4"/>
      <c r="G72" s="4"/>
      <c r="H72" s="4"/>
      <c r="I72" s="4"/>
      <c r="J72" s="4"/>
      <c r="K72" s="4"/>
      <c r="L72" s="4"/>
      <c r="M72" s="4"/>
      <c r="N72" s="4"/>
      <c r="O72" s="4"/>
      <c r="P72" s="4"/>
      <c r="Q72" s="4"/>
      <c r="R72" s="4"/>
      <c r="S72" s="4"/>
      <c r="T72" s="4"/>
      <c r="U72" s="4"/>
      <c r="V72" s="4"/>
      <c r="W72" s="4"/>
      <c r="X72" s="4"/>
      <c r="Y72" s="4"/>
      <c r="Z72" s="48"/>
      <c r="AA72" s="48"/>
      <c r="AB72" s="48"/>
      <c r="AC72" s="48"/>
      <c r="AD72" s="48"/>
      <c r="AE72" s="48"/>
    </row>
    <row r="73" spans="1:33" x14ac:dyDescent="0.25">
      <c r="A73" s="70" t="s">
        <v>92</v>
      </c>
      <c r="B73" s="5" t="s">
        <v>75</v>
      </c>
      <c r="C73" s="5"/>
      <c r="D73" s="4"/>
      <c r="E73" s="4"/>
      <c r="F73" s="4"/>
      <c r="G73" s="251"/>
      <c r="H73" s="70" t="s">
        <v>76</v>
      </c>
      <c r="I73" s="251"/>
      <c r="J73" s="45"/>
      <c r="K73" s="45"/>
      <c r="L73" s="4"/>
      <c r="M73" s="4"/>
      <c r="N73" s="175"/>
      <c r="O73" s="303">
        <f>114343802.37+0.82-0.01+151152570.31+0.2+0.01+0.01+0.01-152.04-42861.83+7541024.21-488728.87-79794.42+37804126.66+30849.5</f>
        <v>310260836.92999995</v>
      </c>
      <c r="P73" s="235"/>
      <c r="Q73" s="175"/>
      <c r="R73" s="4"/>
      <c r="S73" s="4"/>
      <c r="T73" s="4"/>
      <c r="U73" s="48" t="s">
        <v>188</v>
      </c>
      <c r="V73" s="294">
        <v>5444409.790000001</v>
      </c>
      <c r="W73" s="294">
        <f>P36</f>
        <v>12632138.790000001</v>
      </c>
      <c r="X73" s="294" t="s">
        <v>23</v>
      </c>
      <c r="Y73" s="4"/>
    </row>
    <row r="74" spans="1:33" ht="13" x14ac:dyDescent="0.3">
      <c r="A74" s="4"/>
      <c r="B74" s="97" t="s">
        <v>77</v>
      </c>
      <c r="C74" s="98" t="s">
        <v>78</v>
      </c>
      <c r="D74" s="99"/>
      <c r="E74" s="100" t="s">
        <v>34</v>
      </c>
      <c r="F74" s="100" t="s">
        <v>79</v>
      </c>
      <c r="G74" s="251"/>
      <c r="H74" s="71" t="s">
        <v>34</v>
      </c>
      <c r="I74" s="252"/>
      <c r="J74" s="252"/>
      <c r="K74" s="252"/>
      <c r="L74" s="72"/>
      <c r="M74" s="4"/>
      <c r="N74" s="334"/>
      <c r="O74" s="330">
        <f>+O73-O71</f>
        <v>1.9931435585021973E-2</v>
      </c>
      <c r="R74" s="4"/>
      <c r="S74" s="4"/>
      <c r="T74" s="4"/>
      <c r="U74" s="48" t="s">
        <v>189</v>
      </c>
      <c r="V74" s="294">
        <f>7125040.18-V82</f>
        <v>6318288.6399999997</v>
      </c>
      <c r="W74" s="294">
        <f>P56</f>
        <v>5313937.38</v>
      </c>
      <c r="X74" s="294" t="s">
        <v>24</v>
      </c>
      <c r="Y74" s="4"/>
    </row>
    <row r="75" spans="1:33" x14ac:dyDescent="0.25">
      <c r="A75" s="5"/>
      <c r="B75" s="73" t="s">
        <v>80</v>
      </c>
      <c r="C75" s="74" t="s">
        <v>81</v>
      </c>
      <c r="D75" s="75"/>
      <c r="E75" s="76"/>
      <c r="F75" s="76"/>
      <c r="G75" s="251"/>
      <c r="H75" s="77" t="str">
        <f>"=  ("&amp;TEXT(E75,"0.0000")&amp;" * "&amp;TEXT(E78,"0.00%")&amp;" + ("&amp;TEXT(E76,"0.0000")&amp;" - "&amp;TEXT(E77,"0.0000")&amp;" - "&amp;TEXT(E80,"0.0000")&amp;") * (1 - "&amp;TEXT(E78,"0.00%")&amp;"))"</f>
        <v>=  (0.0000 * 0.00% + (0.0000 - 0.0000 - 0.0000) * (1 - 0.00%))</v>
      </c>
      <c r="I75" s="4"/>
      <c r="J75" s="4"/>
      <c r="K75" s="4"/>
      <c r="L75" s="78"/>
      <c r="M75" s="323">
        <f>370851.98/5962250.45</f>
        <v>6.2200000337121024E-2</v>
      </c>
      <c r="N75" s="323">
        <f>547803.45/8532764.09</f>
        <v>6.4199999463479832E-2</v>
      </c>
      <c r="P75" s="175"/>
      <c r="Q75" s="4"/>
      <c r="R75" s="4"/>
      <c r="S75" s="4"/>
      <c r="T75" s="4"/>
      <c r="U75" s="48" t="s">
        <v>29</v>
      </c>
      <c r="V75" s="294">
        <v>6998362.8481250005</v>
      </c>
      <c r="W75" s="294">
        <f>P42</f>
        <v>868953.02</v>
      </c>
      <c r="X75" s="294" t="s">
        <v>190</v>
      </c>
      <c r="Y75" s="4"/>
    </row>
    <row r="76" spans="1:33" x14ac:dyDescent="0.25">
      <c r="A76" s="4"/>
      <c r="B76" s="79" t="s">
        <v>82</v>
      </c>
      <c r="C76" s="80" t="s">
        <v>83</v>
      </c>
      <c r="D76" s="81"/>
      <c r="E76" s="82"/>
      <c r="F76" s="83"/>
      <c r="G76" s="251"/>
      <c r="H76" s="84">
        <f>((85.98%*E75+4.4221)*E78+(E76-E77-E80)*(1-E78))</f>
        <v>0</v>
      </c>
      <c r="I76" s="85"/>
      <c r="J76" s="85"/>
      <c r="K76" s="85"/>
      <c r="L76" s="86"/>
      <c r="M76" s="323">
        <f>698277.28/7412709.99</f>
        <v>9.4199999857272176E-2</v>
      </c>
      <c r="N76" s="323">
        <f>1065699.61/10775526.87</f>
        <v>9.8900000237297003E-2</v>
      </c>
      <c r="O76" s="331"/>
      <c r="P76" s="175"/>
      <c r="Q76" s="4"/>
      <c r="R76" s="4"/>
      <c r="S76" s="4"/>
      <c r="T76" s="4"/>
      <c r="U76" s="48"/>
      <c r="V76" s="295">
        <f>SUM(V73:V75)</f>
        <v>18761061.278124999</v>
      </c>
      <c r="W76" s="295">
        <f>SUM(W73:W75)</f>
        <v>18815029.190000001</v>
      </c>
      <c r="X76" s="294">
        <f>V76-W76</f>
        <v>-53967.911875002086</v>
      </c>
      <c r="Y76" s="4">
        <v>16411.38</v>
      </c>
    </row>
    <row r="77" spans="1:33" x14ac:dyDescent="0.25">
      <c r="A77" s="4"/>
      <c r="B77" s="79" t="s">
        <v>84</v>
      </c>
      <c r="C77" s="80" t="s">
        <v>85</v>
      </c>
      <c r="D77" s="81"/>
      <c r="E77" s="82"/>
      <c r="F77" s="82"/>
      <c r="G77" s="4"/>
      <c r="H77" s="251"/>
      <c r="I77" s="87"/>
      <c r="J77" s="4"/>
      <c r="K77" s="4"/>
      <c r="L77" s="4"/>
      <c r="M77" s="323">
        <f>5254120.1/13135300.26</f>
        <v>0.39999999969547706</v>
      </c>
      <c r="N77" s="323">
        <f>7653140.6/19132851.51</f>
        <v>0.39999999979093542</v>
      </c>
      <c r="O77" s="329"/>
      <c r="P77" s="4"/>
      <c r="Q77" s="4"/>
      <c r="R77" s="4"/>
      <c r="S77" s="4"/>
      <c r="T77" s="4"/>
      <c r="U77" s="48" t="s">
        <v>191</v>
      </c>
      <c r="V77" s="294">
        <v>4324077.9400000004</v>
      </c>
      <c r="W77" s="294"/>
      <c r="X77" s="294"/>
      <c r="Y77" s="4">
        <v>21889.47</v>
      </c>
    </row>
    <row r="78" spans="1:33" x14ac:dyDescent="0.25">
      <c r="A78" s="4"/>
      <c r="B78" s="79" t="s">
        <v>86</v>
      </c>
      <c r="C78" s="80" t="s">
        <v>87</v>
      </c>
      <c r="D78" s="81"/>
      <c r="E78" s="88"/>
      <c r="F78" s="88"/>
      <c r="G78" s="4"/>
      <c r="H78" s="71" t="s">
        <v>79</v>
      </c>
      <c r="I78" s="89"/>
      <c r="J78" s="252"/>
      <c r="K78" s="252"/>
      <c r="L78" s="72"/>
      <c r="M78" s="323">
        <f>503101.38/1323950.99</f>
        <v>0.38000000287019686</v>
      </c>
      <c r="N78" s="323"/>
      <c r="O78" s="329"/>
      <c r="P78" s="4"/>
      <c r="Q78" s="4"/>
      <c r="R78" s="4"/>
      <c r="S78" s="4"/>
      <c r="T78" s="4"/>
      <c r="U78" s="48" t="s">
        <v>192</v>
      </c>
      <c r="V78" s="294">
        <v>9393842.4600000009</v>
      </c>
      <c r="W78" s="294"/>
      <c r="X78" s="294"/>
      <c r="Y78" s="4">
        <v>15666.89</v>
      </c>
    </row>
    <row r="79" spans="1:33" x14ac:dyDescent="0.25">
      <c r="A79" s="4"/>
      <c r="B79" s="79" t="s">
        <v>88</v>
      </c>
      <c r="C79" s="80" t="s">
        <v>89</v>
      </c>
      <c r="D79" s="81"/>
      <c r="E79" s="90"/>
      <c r="F79" s="83"/>
      <c r="G79" s="4"/>
      <c r="H79" s="77" t="str">
        <f>"=  ("&amp;TEXT(F75,"0.0000")&amp;" * "&amp;TEXT(F78,"0.00%")&amp;" + ("&amp;TEXT(F76,"0.0000")&amp;" - "&amp;TEXT(F77,"0.0000")&amp;" - "&amp;TEXT(F80,"0.0000")&amp;") * (1 - "&amp;TEXT(F78,"0.00%")&amp;"))"</f>
        <v>=  (0.0000 * 0.00% + (0.0000 - 0.0000 - 0.0000) * (1 - 0.00%))</v>
      </c>
      <c r="I79" s="87"/>
      <c r="J79" s="4"/>
      <c r="K79" s="4"/>
      <c r="L79" s="78"/>
      <c r="M79" s="5"/>
      <c r="N79" s="356"/>
      <c r="O79" s="329"/>
      <c r="P79" s="4"/>
      <c r="Q79" s="4"/>
      <c r="R79" s="4"/>
      <c r="S79" s="4"/>
      <c r="T79" s="4"/>
      <c r="U79" s="48" t="s">
        <v>193</v>
      </c>
      <c r="V79" s="294">
        <v>819790.22</v>
      </c>
      <c r="W79" s="294"/>
      <c r="X79" s="294"/>
      <c r="Y79" s="4">
        <f>SUM(Y76:Y78)</f>
        <v>53967.740000000005</v>
      </c>
      <c r="Z79" s="251" t="s">
        <v>213</v>
      </c>
    </row>
    <row r="80" spans="1:33" ht="13" x14ac:dyDescent="0.3">
      <c r="A80" s="4"/>
      <c r="B80" s="91" t="s">
        <v>90</v>
      </c>
      <c r="C80" s="92" t="s">
        <v>91</v>
      </c>
      <c r="D80" s="93"/>
      <c r="E80" s="94"/>
      <c r="F80" s="94"/>
      <c r="G80" s="4"/>
      <c r="H80" s="84">
        <f>((85.98%*F75+4.4221)*F78+(F76-F77-F80)*(1-F78))</f>
        <v>0</v>
      </c>
      <c r="I80" s="95"/>
      <c r="J80" s="85"/>
      <c r="K80" s="85"/>
      <c r="L80" s="86"/>
      <c r="M80" s="329"/>
      <c r="N80" s="329"/>
      <c r="O80" s="329"/>
      <c r="P80" s="4"/>
      <c r="Q80" s="4"/>
      <c r="R80" s="4"/>
      <c r="S80" s="4"/>
      <c r="T80" s="4"/>
      <c r="U80" s="48" t="s">
        <v>194</v>
      </c>
      <c r="V80" s="294">
        <v>8267531.6900000004</v>
      </c>
      <c r="W80" s="294"/>
      <c r="X80" s="294"/>
      <c r="Y80" s="364" t="s">
        <v>214</v>
      </c>
      <c r="Z80" s="365" t="s">
        <v>215</v>
      </c>
    </row>
    <row r="81" spans="1:27" x14ac:dyDescent="0.25">
      <c r="A81" s="3"/>
      <c r="C81" s="2"/>
      <c r="D81" s="2"/>
      <c r="G81" s="251"/>
      <c r="H81" s="146"/>
      <c r="I81" s="251"/>
      <c r="J81" s="251"/>
      <c r="K81" s="251"/>
      <c r="M81" s="332"/>
      <c r="N81" s="332"/>
      <c r="O81" s="332"/>
      <c r="U81" s="48" t="s">
        <v>195</v>
      </c>
      <c r="V81" s="294">
        <v>10182188.710000001</v>
      </c>
      <c r="W81" s="294"/>
      <c r="X81" s="294"/>
      <c r="Y81" s="4">
        <v>88184.41</v>
      </c>
      <c r="Z81" s="2">
        <v>-657.06</v>
      </c>
    </row>
    <row r="82" spans="1:27" x14ac:dyDescent="0.25">
      <c r="G82" s="251"/>
      <c r="H82" s="251"/>
      <c r="I82" s="251"/>
      <c r="J82" s="251"/>
      <c r="K82" s="251"/>
      <c r="U82" s="48" t="s">
        <v>196</v>
      </c>
      <c r="V82" s="294">
        <v>806751.54</v>
      </c>
      <c r="W82" s="294"/>
      <c r="X82" s="294"/>
      <c r="Y82" s="4">
        <v>147042.22</v>
      </c>
      <c r="Z82" s="2">
        <v>-1112.44</v>
      </c>
    </row>
    <row r="83" spans="1:27" ht="18" x14ac:dyDescent="0.4">
      <c r="A83" s="249" t="str">
        <f>"AJUSTES PARA "&amp;UPPER(TEXT(E1,"MMMMMMM YYYY"))</f>
        <v>AJUSTES PARA ENERO 2018</v>
      </c>
      <c r="B83" s="249"/>
      <c r="C83" s="249"/>
      <c r="D83" s="249"/>
      <c r="E83" s="249"/>
      <c r="F83" s="249"/>
      <c r="G83" s="249"/>
      <c r="H83" s="249"/>
      <c r="I83" s="249"/>
      <c r="J83" s="249"/>
      <c r="K83" s="249"/>
      <c r="L83" s="249"/>
      <c r="M83" s="249"/>
      <c r="N83" s="249"/>
      <c r="O83" s="360">
        <v>37804126.659999996</v>
      </c>
      <c r="P83" s="4" t="s">
        <v>212</v>
      </c>
      <c r="Q83" s="249"/>
      <c r="R83" s="249"/>
      <c r="S83" s="249"/>
      <c r="T83" s="249"/>
      <c r="U83" s="48"/>
      <c r="V83" s="295">
        <f>SUM(V77:V82)</f>
        <v>33794182.560000002</v>
      </c>
      <c r="W83" s="295">
        <f>Q69</f>
        <v>33794182.550000004</v>
      </c>
      <c r="X83" s="294">
        <f>V83-W83</f>
        <v>9.9999979138374329E-3</v>
      </c>
      <c r="Y83" s="4">
        <v>84070.45</v>
      </c>
      <c r="Z83" s="2">
        <v>-513.71</v>
      </c>
    </row>
    <row r="84" spans="1:27" x14ac:dyDescent="0.25">
      <c r="Y84" s="47">
        <f>SUM(Y81:Y83)</f>
        <v>319297.08</v>
      </c>
      <c r="Z84" s="47">
        <f>SUM(Z81:Z83)</f>
        <v>-2283.21</v>
      </c>
      <c r="AA84" s="47">
        <f>+Z84+Y84</f>
        <v>317013.87</v>
      </c>
    </row>
    <row r="85" spans="1:27" x14ac:dyDescent="0.25">
      <c r="A85" s="335" t="s">
        <v>182</v>
      </c>
      <c r="B85" s="265" t="s">
        <v>204</v>
      </c>
      <c r="C85" s="317"/>
      <c r="G85" s="251"/>
      <c r="H85" s="251"/>
      <c r="I85" s="251"/>
      <c r="J85" s="251"/>
      <c r="K85" s="251"/>
      <c r="U85" s="48"/>
      <c r="V85" s="294">
        <f>+V73+V77+V78+V79</f>
        <v>19982120.41</v>
      </c>
      <c r="W85" s="294"/>
      <c r="X85" s="48"/>
    </row>
    <row r="86" spans="1:27" ht="13" x14ac:dyDescent="0.3">
      <c r="A86" s="257" t="s">
        <v>161</v>
      </c>
      <c r="B86" s="252"/>
      <c r="C86" s="266"/>
      <c r="D86" s="263" t="s">
        <v>19</v>
      </c>
      <c r="E86" s="262" t="s">
        <v>58</v>
      </c>
      <c r="F86" s="263" t="s">
        <v>27</v>
      </c>
      <c r="G86" s="264" t="s">
        <v>34</v>
      </c>
      <c r="H86" s="253" t="s">
        <v>35</v>
      </c>
      <c r="I86" s="253" t="s">
        <v>34</v>
      </c>
      <c r="J86" s="264" t="s">
        <v>35</v>
      </c>
      <c r="K86" s="264" t="s">
        <v>38</v>
      </c>
      <c r="L86" s="264" t="s">
        <v>39</v>
      </c>
      <c r="M86" s="264" t="s">
        <v>41</v>
      </c>
      <c r="N86" s="264" t="s">
        <v>2</v>
      </c>
      <c r="O86" s="267" t="s">
        <v>179</v>
      </c>
      <c r="P86" s="276" t="s">
        <v>163</v>
      </c>
      <c r="Q86" s="276" t="s">
        <v>183</v>
      </c>
      <c r="R86" s="254"/>
      <c r="U86" s="48"/>
      <c r="V86" s="294">
        <f>+V74+V80+V81+V82</f>
        <v>25574760.579999998</v>
      </c>
      <c r="W86" s="295"/>
      <c r="X86" s="294"/>
    </row>
    <row r="87" spans="1:27" x14ac:dyDescent="0.25">
      <c r="A87" s="268" t="s">
        <v>28</v>
      </c>
      <c r="B87" s="269" t="s">
        <v>173</v>
      </c>
      <c r="C87" s="277" t="s">
        <v>31</v>
      </c>
      <c r="D87" s="278" t="s">
        <v>184</v>
      </c>
      <c r="E87" s="278"/>
      <c r="F87" s="287" t="s">
        <v>55</v>
      </c>
      <c r="G87" s="256">
        <v>178674.45</v>
      </c>
      <c r="H87" s="256">
        <v>212775.22</v>
      </c>
      <c r="I87" s="192">
        <v>1.8093999999999999</v>
      </c>
      <c r="J87" s="192">
        <v>1.8093999999999999</v>
      </c>
      <c r="K87" s="191"/>
      <c r="L87" s="256"/>
      <c r="M87" s="256"/>
      <c r="N87" s="191"/>
      <c r="O87" s="336">
        <f>G87*I87+H87*J87</f>
        <v>708289.03289799998</v>
      </c>
      <c r="P87" s="210">
        <f>ROUND(37.24%*(G87*I87+H87*J87),2)</f>
        <v>263766.84000000003</v>
      </c>
      <c r="Q87" s="210">
        <f t="shared" ref="Q87:Q88" si="46">ROUND(R87*P87,2)</f>
        <v>131883.42000000001</v>
      </c>
      <c r="R87" s="337">
        <v>0.5</v>
      </c>
      <c r="U87" s="47"/>
      <c r="V87" s="294">
        <f>+V75</f>
        <v>6998362.8481250005</v>
      </c>
      <c r="W87" s="47"/>
    </row>
    <row r="88" spans="1:27" x14ac:dyDescent="0.25">
      <c r="A88" s="270" t="s">
        <v>28</v>
      </c>
      <c r="B88" s="269" t="s">
        <v>173</v>
      </c>
      <c r="C88" s="280" t="s">
        <v>31</v>
      </c>
      <c r="D88" s="281" t="s">
        <v>185</v>
      </c>
      <c r="E88" s="281"/>
      <c r="F88" s="286" t="str">
        <f>F87</f>
        <v xml:space="preserve"> MM BTU</v>
      </c>
      <c r="G88" s="319">
        <f>+G87</f>
        <v>178674.45</v>
      </c>
      <c r="H88" s="319">
        <f>+H87</f>
        <v>212775.22</v>
      </c>
      <c r="I88" s="272">
        <v>1.8102</v>
      </c>
      <c r="J88" s="272">
        <v>1.8102</v>
      </c>
      <c r="K88" s="272"/>
      <c r="L88" s="272"/>
      <c r="M88" s="272"/>
      <c r="N88" s="271"/>
      <c r="O88" s="347">
        <f t="shared" ref="O88" si="47">G88*I88+H88*J88</f>
        <v>708602.19263399998</v>
      </c>
      <c r="P88" s="348">
        <f>ROUND(37.24%*(G88*I88+H88*J88),2)</f>
        <v>263883.46000000002</v>
      </c>
      <c r="Q88" s="348">
        <f t="shared" si="46"/>
        <v>131941.73000000001</v>
      </c>
      <c r="R88" s="34">
        <v>0.5</v>
      </c>
      <c r="U88" s="47"/>
      <c r="V88" s="296">
        <f>SUM(V85:V87)</f>
        <v>52555243.838124998</v>
      </c>
      <c r="W88" s="47"/>
      <c r="X88" s="47">
        <f>+V88-P71</f>
        <v>-53967.901875011623</v>
      </c>
    </row>
    <row r="89" spans="1:27" x14ac:dyDescent="0.25">
      <c r="A89" s="273"/>
      <c r="B89" s="282" t="s">
        <v>180</v>
      </c>
      <c r="C89" s="71"/>
      <c r="D89" s="165"/>
      <c r="E89" s="165"/>
      <c r="F89" s="273"/>
      <c r="G89" s="318">
        <f t="shared" ref="G89:Q89" si="48">G88-G87</f>
        <v>0</v>
      </c>
      <c r="H89" s="320">
        <f t="shared" si="48"/>
        <v>0</v>
      </c>
      <c r="I89" s="283">
        <f t="shared" si="48"/>
        <v>8.0000000000013394E-4</v>
      </c>
      <c r="J89" s="283">
        <f t="shared" si="48"/>
        <v>8.0000000000013394E-4</v>
      </c>
      <c r="K89" s="283">
        <f t="shared" si="48"/>
        <v>0</v>
      </c>
      <c r="L89" s="283">
        <f t="shared" si="48"/>
        <v>0</v>
      </c>
      <c r="M89" s="283">
        <f t="shared" si="48"/>
        <v>0</v>
      </c>
      <c r="N89" s="284">
        <f t="shared" si="48"/>
        <v>0</v>
      </c>
      <c r="O89" s="274">
        <f t="shared" si="48"/>
        <v>313.15973600000143</v>
      </c>
      <c r="P89" s="275">
        <f t="shared" si="48"/>
        <v>116.61999999999534</v>
      </c>
      <c r="Q89" s="274">
        <f t="shared" si="48"/>
        <v>58.309999999997672</v>
      </c>
      <c r="R89" s="285"/>
      <c r="S89" s="251" t="s">
        <v>181</v>
      </c>
    </row>
    <row r="91" spans="1:27" x14ac:dyDescent="0.25">
      <c r="A91" s="335"/>
      <c r="B91" s="265" t="s">
        <v>205</v>
      </c>
      <c r="C91" s="317"/>
      <c r="G91" s="251"/>
      <c r="H91" s="251"/>
      <c r="I91" s="251"/>
      <c r="J91" s="251"/>
      <c r="K91" s="251"/>
      <c r="U91" s="48"/>
      <c r="V91" s="294"/>
      <c r="W91" s="294"/>
      <c r="X91" s="48"/>
    </row>
    <row r="92" spans="1:27" ht="13" x14ac:dyDescent="0.3">
      <c r="A92" s="257" t="s">
        <v>161</v>
      </c>
      <c r="B92" s="252"/>
      <c r="C92" s="266"/>
      <c r="D92" s="263" t="s">
        <v>19</v>
      </c>
      <c r="E92" s="262" t="s">
        <v>58</v>
      </c>
      <c r="F92" s="263" t="s">
        <v>27</v>
      </c>
      <c r="G92" s="264" t="s">
        <v>34</v>
      </c>
      <c r="H92" s="253" t="s">
        <v>35</v>
      </c>
      <c r="I92" s="253" t="s">
        <v>34</v>
      </c>
      <c r="J92" s="264" t="s">
        <v>35</v>
      </c>
      <c r="K92" s="264" t="s">
        <v>38</v>
      </c>
      <c r="L92" s="264" t="s">
        <v>39</v>
      </c>
      <c r="M92" s="264" t="s">
        <v>41</v>
      </c>
      <c r="N92" s="264" t="s">
        <v>2</v>
      </c>
      <c r="O92" s="267" t="s">
        <v>179</v>
      </c>
      <c r="P92" s="276" t="s">
        <v>163</v>
      </c>
      <c r="Q92" s="276" t="s">
        <v>183</v>
      </c>
      <c r="R92" s="254"/>
      <c r="U92" s="48"/>
      <c r="V92" s="294"/>
      <c r="W92" s="295"/>
      <c r="X92" s="294"/>
    </row>
    <row r="93" spans="1:27" x14ac:dyDescent="0.25">
      <c r="A93" s="268" t="s">
        <v>28</v>
      </c>
      <c r="B93" s="269" t="s">
        <v>173</v>
      </c>
      <c r="C93" s="277" t="s">
        <v>31</v>
      </c>
      <c r="D93" s="278" t="s">
        <v>184</v>
      </c>
      <c r="E93" s="278"/>
      <c r="F93" s="287" t="s">
        <v>55</v>
      </c>
      <c r="G93" s="256">
        <v>264856.53000000003</v>
      </c>
      <c r="H93" s="256">
        <v>282980.90999999997</v>
      </c>
      <c r="I93" s="192">
        <v>1.8103</v>
      </c>
      <c r="J93" s="192">
        <v>1.8103</v>
      </c>
      <c r="K93" s="191"/>
      <c r="L93" s="256"/>
      <c r="M93" s="256"/>
      <c r="N93" s="191"/>
      <c r="O93" s="336">
        <f t="shared" ref="O93:O94" si="49">G93*I93+H93*J93</f>
        <v>991750.11763200001</v>
      </c>
      <c r="P93" s="210">
        <f>ROUND(37.24%*(G93*I93+H93*J93),2)</f>
        <v>369327.74</v>
      </c>
      <c r="Q93" s="210">
        <f t="shared" ref="Q93:Q94" si="50">ROUND(R93*P93,2)</f>
        <v>184663.87</v>
      </c>
      <c r="R93" s="337">
        <v>0.5</v>
      </c>
      <c r="U93" s="47"/>
      <c r="V93" s="47"/>
      <c r="W93" s="47"/>
    </row>
    <row r="94" spans="1:27" x14ac:dyDescent="0.25">
      <c r="A94" s="270" t="s">
        <v>28</v>
      </c>
      <c r="B94" s="279" t="str">
        <f>B93</f>
        <v>56 GAS-Mlocal</v>
      </c>
      <c r="C94" s="280" t="s">
        <v>31</v>
      </c>
      <c r="D94" s="281" t="s">
        <v>185</v>
      </c>
      <c r="E94" s="281"/>
      <c r="F94" s="286" t="str">
        <f>F93</f>
        <v xml:space="preserve"> MM BTU</v>
      </c>
      <c r="G94" s="319">
        <f>+G93</f>
        <v>264856.53000000003</v>
      </c>
      <c r="H94" s="319">
        <f>+H93</f>
        <v>282980.90999999997</v>
      </c>
      <c r="I94" s="272">
        <v>1.8121</v>
      </c>
      <c r="J94" s="272">
        <v>1.8121</v>
      </c>
      <c r="K94" s="272"/>
      <c r="L94" s="272"/>
      <c r="M94" s="272"/>
      <c r="N94" s="271"/>
      <c r="O94" s="347">
        <f t="shared" si="49"/>
        <v>992736.22502400004</v>
      </c>
      <c r="P94" s="348">
        <f>ROUND(37.24%*(G94*I94+H94*J94),2)</f>
        <v>369694.97</v>
      </c>
      <c r="Q94" s="348">
        <f t="shared" si="50"/>
        <v>184847.49</v>
      </c>
      <c r="R94" s="34">
        <v>0.5</v>
      </c>
      <c r="U94" s="47"/>
      <c r="V94" s="47"/>
      <c r="W94" s="47"/>
      <c r="X94" s="47"/>
    </row>
    <row r="95" spans="1:27" x14ac:dyDescent="0.25">
      <c r="A95" s="273"/>
      <c r="B95" s="282" t="s">
        <v>180</v>
      </c>
      <c r="C95" s="71"/>
      <c r="D95" s="165"/>
      <c r="E95" s="165"/>
      <c r="F95" s="273"/>
      <c r="G95" s="318">
        <f t="shared" ref="G95:Q95" si="51">G94-G93</f>
        <v>0</v>
      </c>
      <c r="H95" s="320">
        <f t="shared" si="51"/>
        <v>0</v>
      </c>
      <c r="I95" s="283">
        <f t="shared" si="51"/>
        <v>1.8000000000000238E-3</v>
      </c>
      <c r="J95" s="283">
        <f>J94-J93</f>
        <v>1.8000000000000238E-3</v>
      </c>
      <c r="K95" s="283">
        <f t="shared" si="51"/>
        <v>0</v>
      </c>
      <c r="L95" s="283">
        <f t="shared" si="51"/>
        <v>0</v>
      </c>
      <c r="M95" s="283">
        <f t="shared" si="51"/>
        <v>0</v>
      </c>
      <c r="N95" s="284">
        <f t="shared" si="51"/>
        <v>0</v>
      </c>
      <c r="O95" s="274">
        <f>O94-O93</f>
        <v>986.10739200003445</v>
      </c>
      <c r="P95" s="275">
        <f>P94-P93</f>
        <v>367.22999999998137</v>
      </c>
      <c r="Q95" s="274">
        <f t="shared" si="51"/>
        <v>183.61999999999534</v>
      </c>
      <c r="R95" s="285"/>
      <c r="S95" s="251" t="s">
        <v>181</v>
      </c>
    </row>
    <row r="97" spans="1:25" x14ac:dyDescent="0.25">
      <c r="A97" s="335"/>
      <c r="B97" s="265" t="s">
        <v>206</v>
      </c>
      <c r="C97" s="317"/>
      <c r="G97" s="251"/>
      <c r="H97" s="251"/>
      <c r="I97" s="251"/>
      <c r="J97" s="251"/>
      <c r="K97" s="251"/>
      <c r="N97" s="325"/>
      <c r="U97" s="48"/>
      <c r="V97" s="294"/>
      <c r="W97" s="294"/>
      <c r="X97" s="48"/>
    </row>
    <row r="98" spans="1:25" ht="13" x14ac:dyDescent="0.3">
      <c r="A98" s="257" t="s">
        <v>161</v>
      </c>
      <c r="B98" s="252"/>
      <c r="C98" s="266"/>
      <c r="D98" s="263" t="s">
        <v>19</v>
      </c>
      <c r="E98" s="262" t="s">
        <v>58</v>
      </c>
      <c r="F98" s="263" t="s">
        <v>27</v>
      </c>
      <c r="G98" s="264" t="s">
        <v>34</v>
      </c>
      <c r="H98" s="253" t="s">
        <v>35</v>
      </c>
      <c r="I98" s="253" t="s">
        <v>34</v>
      </c>
      <c r="J98" s="264" t="s">
        <v>35</v>
      </c>
      <c r="K98" s="264" t="s">
        <v>38</v>
      </c>
      <c r="L98" s="264" t="s">
        <v>39</v>
      </c>
      <c r="M98" s="264" t="s">
        <v>41</v>
      </c>
      <c r="N98" s="326" t="s">
        <v>2</v>
      </c>
      <c r="O98" s="267" t="s">
        <v>179</v>
      </c>
      <c r="P98" s="276" t="s">
        <v>163</v>
      </c>
      <c r="Q98" s="276" t="s">
        <v>183</v>
      </c>
      <c r="R98" s="254"/>
      <c r="U98" s="48"/>
      <c r="V98" s="294"/>
      <c r="W98" s="295"/>
      <c r="X98" s="294"/>
    </row>
    <row r="99" spans="1:25" x14ac:dyDescent="0.25">
      <c r="A99" s="268" t="s">
        <v>28</v>
      </c>
      <c r="B99" s="269" t="s">
        <v>173</v>
      </c>
      <c r="C99" s="277" t="s">
        <v>31</v>
      </c>
      <c r="D99" s="278" t="s">
        <v>184</v>
      </c>
      <c r="E99" s="278"/>
      <c r="F99" s="287" t="s">
        <v>55</v>
      </c>
      <c r="G99" s="256">
        <v>229509.74</v>
      </c>
      <c r="H99" s="256">
        <v>282759.39</v>
      </c>
      <c r="I99" s="192">
        <v>1.8121</v>
      </c>
      <c r="J99" s="192">
        <v>1.8121</v>
      </c>
      <c r="K99" s="191"/>
      <c r="L99" s="256"/>
      <c r="M99" s="256"/>
      <c r="N99" s="191"/>
      <c r="O99" s="336">
        <f t="shared" ref="O99:O100" si="52">G99*I99+H99*J99</f>
        <v>928282.89047300001</v>
      </c>
      <c r="P99" s="210">
        <f>ROUND(37.24%*(G99*I99+H99*J99),2)</f>
        <v>345692.55</v>
      </c>
      <c r="Q99" s="210">
        <f t="shared" ref="Q99:Q100" si="53">ROUND(R99*P99,2)</f>
        <v>172846.28</v>
      </c>
      <c r="R99" s="337">
        <v>0.5</v>
      </c>
      <c r="U99" s="47"/>
      <c r="V99" s="294"/>
      <c r="W99" s="47"/>
    </row>
    <row r="100" spans="1:25" x14ac:dyDescent="0.25">
      <c r="A100" s="270" t="s">
        <v>28</v>
      </c>
      <c r="B100" s="279" t="str">
        <f>B99</f>
        <v>56 GAS-Mlocal</v>
      </c>
      <c r="C100" s="280" t="s">
        <v>31</v>
      </c>
      <c r="D100" s="281" t="s">
        <v>185</v>
      </c>
      <c r="E100" s="281"/>
      <c r="F100" s="286" t="str">
        <f>F99</f>
        <v xml:space="preserve"> MM BTU</v>
      </c>
      <c r="G100" s="319">
        <f>+G99</f>
        <v>229509.74</v>
      </c>
      <c r="H100" s="319">
        <f>+H99</f>
        <v>282759.39</v>
      </c>
      <c r="I100" s="272">
        <v>1.8149</v>
      </c>
      <c r="J100" s="272">
        <v>1.8149</v>
      </c>
      <c r="K100" s="272"/>
      <c r="L100" s="272"/>
      <c r="M100" s="272"/>
      <c r="N100" s="338"/>
      <c r="O100" s="347">
        <f t="shared" si="52"/>
        <v>929717.244037</v>
      </c>
      <c r="P100" s="348">
        <f>ROUND(37.24%*(G100*I100+H100*J100),2)</f>
        <v>346226.7</v>
      </c>
      <c r="Q100" s="348">
        <f t="shared" si="53"/>
        <v>173113.35</v>
      </c>
      <c r="R100" s="34">
        <v>0.5</v>
      </c>
      <c r="U100" s="47"/>
      <c r="V100" s="296"/>
      <c r="W100" s="47"/>
      <c r="X100" s="47"/>
    </row>
    <row r="101" spans="1:25" x14ac:dyDescent="0.25">
      <c r="A101" s="273"/>
      <c r="B101" s="282" t="s">
        <v>180</v>
      </c>
      <c r="C101" s="71"/>
      <c r="D101" s="165"/>
      <c r="E101" s="165"/>
      <c r="F101" s="273"/>
      <c r="G101" s="318">
        <f t="shared" ref="G101:Q101" si="54">G100-G99</f>
        <v>0</v>
      </c>
      <c r="H101" s="320">
        <f t="shared" si="54"/>
        <v>0</v>
      </c>
      <c r="I101" s="283">
        <f t="shared" si="54"/>
        <v>2.7999999999999137E-3</v>
      </c>
      <c r="J101" s="283">
        <f t="shared" si="54"/>
        <v>2.7999999999999137E-3</v>
      </c>
      <c r="K101" s="283">
        <f t="shared" si="54"/>
        <v>0</v>
      </c>
      <c r="L101" s="283">
        <f t="shared" si="54"/>
        <v>0</v>
      </c>
      <c r="M101" s="283">
        <f t="shared" si="54"/>
        <v>0</v>
      </c>
      <c r="N101" s="339">
        <f t="shared" si="54"/>
        <v>0</v>
      </c>
      <c r="O101" s="274">
        <f t="shared" si="54"/>
        <v>1434.35356399999</v>
      </c>
      <c r="P101" s="275">
        <f t="shared" si="54"/>
        <v>534.15000000002328</v>
      </c>
      <c r="Q101" s="274">
        <f t="shared" si="54"/>
        <v>267.07000000000698</v>
      </c>
      <c r="R101" s="285"/>
      <c r="S101" s="251" t="s">
        <v>181</v>
      </c>
      <c r="V101" s="328"/>
      <c r="W101" s="328"/>
      <c r="X101" s="328"/>
      <c r="Y101" s="328"/>
    </row>
    <row r="103" spans="1:25" x14ac:dyDescent="0.25">
      <c r="A103" s="335"/>
      <c r="B103" s="265" t="s">
        <v>207</v>
      </c>
      <c r="C103" s="317"/>
      <c r="G103" s="251"/>
      <c r="H103" s="251"/>
      <c r="I103" s="251"/>
      <c r="J103" s="251"/>
      <c r="K103" s="251"/>
      <c r="N103" s="325"/>
      <c r="U103" s="48"/>
      <c r="V103" s="294"/>
      <c r="W103" s="294"/>
      <c r="X103" s="48"/>
    </row>
    <row r="104" spans="1:25" ht="13" x14ac:dyDescent="0.3">
      <c r="A104" s="257" t="s">
        <v>161</v>
      </c>
      <c r="B104" s="252"/>
      <c r="C104" s="266"/>
      <c r="D104" s="263" t="s">
        <v>19</v>
      </c>
      <c r="E104" s="262" t="s">
        <v>58</v>
      </c>
      <c r="F104" s="263" t="s">
        <v>27</v>
      </c>
      <c r="G104" s="264" t="s">
        <v>34</v>
      </c>
      <c r="H104" s="253" t="s">
        <v>35</v>
      </c>
      <c r="I104" s="253" t="s">
        <v>34</v>
      </c>
      <c r="J104" s="264" t="s">
        <v>35</v>
      </c>
      <c r="K104" s="264" t="s">
        <v>38</v>
      </c>
      <c r="L104" s="264" t="s">
        <v>39</v>
      </c>
      <c r="M104" s="264" t="s">
        <v>41</v>
      </c>
      <c r="N104" s="326" t="s">
        <v>2</v>
      </c>
      <c r="O104" s="267" t="s">
        <v>179</v>
      </c>
      <c r="P104" s="276" t="s">
        <v>163</v>
      </c>
      <c r="Q104" s="276" t="s">
        <v>183</v>
      </c>
      <c r="R104" s="254"/>
      <c r="U104" s="48"/>
      <c r="V104" s="294"/>
      <c r="W104" s="295"/>
      <c r="X104" s="294"/>
    </row>
    <row r="105" spans="1:25" x14ac:dyDescent="0.25">
      <c r="A105" s="268" t="s">
        <v>28</v>
      </c>
      <c r="B105" s="269" t="s">
        <v>173</v>
      </c>
      <c r="C105" s="277" t="s">
        <v>31</v>
      </c>
      <c r="D105" s="278" t="s">
        <v>184</v>
      </c>
      <c r="E105" s="278"/>
      <c r="F105" s="287" t="s">
        <v>55</v>
      </c>
      <c r="G105" s="256">
        <v>275481.21000000002</v>
      </c>
      <c r="H105" s="256">
        <v>272627.36</v>
      </c>
      <c r="I105" s="192">
        <v>1.8204</v>
      </c>
      <c r="J105" s="192">
        <v>1.8204</v>
      </c>
      <c r="K105" s="191"/>
      <c r="L105" s="256"/>
      <c r="M105" s="256"/>
      <c r="N105" s="191"/>
      <c r="O105" s="200">
        <f t="shared" ref="O105" si="55">G105*I105+H105*J105</f>
        <v>997776.84082799999</v>
      </c>
      <c r="P105" s="198">
        <f>ROUND(37.24%*(G105*I105+H105*J105),2)</f>
        <v>371572.1</v>
      </c>
      <c r="Q105" s="198">
        <f t="shared" ref="Q105" si="56">ROUND(R105*P105,2)</f>
        <v>185786.05</v>
      </c>
      <c r="R105" s="199">
        <v>0.5</v>
      </c>
      <c r="U105" s="47"/>
      <c r="V105" s="294"/>
      <c r="W105" s="47"/>
    </row>
    <row r="106" spans="1:25" x14ac:dyDescent="0.25">
      <c r="A106" s="270" t="s">
        <v>28</v>
      </c>
      <c r="B106" s="279" t="str">
        <f>B105</f>
        <v>56 GAS-Mlocal</v>
      </c>
      <c r="C106" s="280" t="s">
        <v>31</v>
      </c>
      <c r="D106" s="281" t="s">
        <v>185</v>
      </c>
      <c r="E106" s="281"/>
      <c r="F106" s="286" t="str">
        <f>F105</f>
        <v xml:space="preserve"> MM BTU</v>
      </c>
      <c r="G106" s="319">
        <f>+G105</f>
        <v>275481.21000000002</v>
      </c>
      <c r="H106" s="319">
        <f>+H105</f>
        <v>272627.36</v>
      </c>
      <c r="I106" s="272">
        <v>1.8266</v>
      </c>
      <c r="J106" s="272">
        <v>1.8266</v>
      </c>
      <c r="K106" s="272"/>
      <c r="L106" s="272"/>
      <c r="M106" s="272"/>
      <c r="N106" s="338"/>
      <c r="O106" s="347">
        <f>G106*I106+H106*J106</f>
        <v>1001175.113962</v>
      </c>
      <c r="P106" s="348">
        <f>ROUND(37.24%*(G106*I106+H106*J106),2)</f>
        <v>372837.61</v>
      </c>
      <c r="Q106" s="348">
        <f t="shared" ref="Q106" si="57">ROUND(R106*P106,2)</f>
        <v>186418.81</v>
      </c>
      <c r="R106" s="34">
        <v>0.5</v>
      </c>
      <c r="U106" s="47"/>
      <c r="V106" s="296"/>
      <c r="W106" s="47"/>
      <c r="X106" s="47"/>
    </row>
    <row r="107" spans="1:25" x14ac:dyDescent="0.25">
      <c r="A107" s="273"/>
      <c r="B107" s="282" t="s">
        <v>180</v>
      </c>
      <c r="C107" s="71"/>
      <c r="D107" s="165"/>
      <c r="E107" s="165"/>
      <c r="F107" s="273"/>
      <c r="G107" s="318">
        <f t="shared" ref="G107:Q107" si="58">G106-G105</f>
        <v>0</v>
      </c>
      <c r="H107" s="320">
        <f t="shared" si="58"/>
        <v>0</v>
      </c>
      <c r="I107" s="283">
        <f t="shared" si="58"/>
        <v>6.1999999999999833E-3</v>
      </c>
      <c r="J107" s="283">
        <f t="shared" si="58"/>
        <v>6.1999999999999833E-3</v>
      </c>
      <c r="K107" s="283">
        <f t="shared" si="58"/>
        <v>0</v>
      </c>
      <c r="L107" s="283">
        <f t="shared" si="58"/>
        <v>0</v>
      </c>
      <c r="M107" s="283">
        <f t="shared" si="58"/>
        <v>0</v>
      </c>
      <c r="N107" s="339">
        <f t="shared" si="58"/>
        <v>0</v>
      </c>
      <c r="O107" s="274">
        <f t="shared" si="58"/>
        <v>3398.2731340000173</v>
      </c>
      <c r="P107" s="275">
        <f t="shared" si="58"/>
        <v>1265.5100000000093</v>
      </c>
      <c r="Q107" s="274">
        <f t="shared" si="58"/>
        <v>632.76000000000931</v>
      </c>
      <c r="R107" s="285"/>
      <c r="S107" s="251" t="s">
        <v>181</v>
      </c>
      <c r="T107" s="340"/>
      <c r="V107" s="328"/>
      <c r="W107" s="328"/>
      <c r="X107" s="328"/>
      <c r="Y107" s="328"/>
    </row>
    <row r="108" spans="1:25" x14ac:dyDescent="0.25">
      <c r="S108" s="290">
        <f>+P89+P95+P101+P107</f>
        <v>2283.5100000000093</v>
      </c>
    </row>
    <row r="109" spans="1:25" x14ac:dyDescent="0.25">
      <c r="A109" s="324" t="s">
        <v>182</v>
      </c>
      <c r="B109" s="265" t="s">
        <v>207</v>
      </c>
      <c r="C109" s="317"/>
      <c r="G109" s="251"/>
      <c r="H109" s="251"/>
      <c r="I109" s="251"/>
      <c r="J109" s="251"/>
      <c r="K109" s="251"/>
      <c r="U109" s="48"/>
      <c r="V109" s="294"/>
      <c r="W109" s="294"/>
      <c r="X109" s="48"/>
    </row>
    <row r="110" spans="1:25" ht="13" x14ac:dyDescent="0.3">
      <c r="A110" s="257" t="s">
        <v>161</v>
      </c>
      <c r="B110" s="252"/>
      <c r="C110" s="266"/>
      <c r="D110" s="263" t="s">
        <v>19</v>
      </c>
      <c r="E110" s="262" t="s">
        <v>58</v>
      </c>
      <c r="F110" s="263" t="s">
        <v>27</v>
      </c>
      <c r="G110" s="264" t="s">
        <v>34</v>
      </c>
      <c r="H110" s="253" t="s">
        <v>35</v>
      </c>
      <c r="I110" s="253" t="s">
        <v>34</v>
      </c>
      <c r="J110" s="264" t="s">
        <v>35</v>
      </c>
      <c r="K110" s="264" t="s">
        <v>38</v>
      </c>
      <c r="L110" s="264" t="s">
        <v>39</v>
      </c>
      <c r="M110" s="264" t="s">
        <v>41</v>
      </c>
      <c r="N110" s="264" t="s">
        <v>2</v>
      </c>
      <c r="O110" s="267" t="s">
        <v>179</v>
      </c>
      <c r="P110" s="276" t="s">
        <v>163</v>
      </c>
      <c r="Q110" s="276" t="s">
        <v>183</v>
      </c>
      <c r="R110" s="254"/>
      <c r="U110" s="48"/>
      <c r="V110" s="294"/>
      <c r="W110" s="295"/>
      <c r="X110" s="294"/>
    </row>
    <row r="111" spans="1:25" x14ac:dyDescent="0.25">
      <c r="A111" s="16" t="s">
        <v>28</v>
      </c>
      <c r="B111" s="250" t="s">
        <v>176</v>
      </c>
      <c r="C111" s="40" t="s">
        <v>31</v>
      </c>
      <c r="D111" s="40" t="s">
        <v>30</v>
      </c>
      <c r="E111" s="40" t="s">
        <v>158</v>
      </c>
      <c r="F111" s="216" t="s">
        <v>55</v>
      </c>
      <c r="G111" s="256">
        <v>2724943.05</v>
      </c>
      <c r="H111" s="256">
        <v>2811643.4</v>
      </c>
      <c r="I111" s="192">
        <v>1.974</v>
      </c>
      <c r="J111" s="192">
        <v>1.974</v>
      </c>
      <c r="K111" s="350"/>
      <c r="L111" s="351"/>
      <c r="M111" s="351"/>
      <c r="N111" s="350"/>
      <c r="O111" s="341">
        <f t="shared" ref="O111" si="59">G111*I111+H111*J111</f>
        <v>10929221.6523</v>
      </c>
      <c r="P111" s="342">
        <f>ROUND(G111*I111,2)*8.99%+ROUND(H111*J111,2)*8.83%</f>
        <v>973656.73182300013</v>
      </c>
      <c r="Q111" s="343">
        <f t="shared" ref="Q111" si="60">ROUND(R111*P111,2)</f>
        <v>486828.37</v>
      </c>
      <c r="R111" s="227">
        <v>0.5</v>
      </c>
    </row>
    <row r="112" spans="1:25" x14ac:dyDescent="0.25">
      <c r="A112" s="270" t="s">
        <v>28</v>
      </c>
      <c r="B112" s="279" t="str">
        <f>B111</f>
        <v>57 GAS</v>
      </c>
      <c r="C112" s="280" t="s">
        <v>31</v>
      </c>
      <c r="D112" s="281" t="s">
        <v>185</v>
      </c>
      <c r="E112" s="281"/>
      <c r="F112" s="286" t="str">
        <f>F111</f>
        <v xml:space="preserve"> MM BTU</v>
      </c>
      <c r="G112" s="319">
        <f>+G111</f>
        <v>2724943.05</v>
      </c>
      <c r="H112" s="319">
        <f>+H111</f>
        <v>2811643.4</v>
      </c>
      <c r="I112" s="272">
        <v>3.1179999999999999</v>
      </c>
      <c r="J112" s="272">
        <v>3.1179999999999999</v>
      </c>
      <c r="K112" s="352"/>
      <c r="L112" s="353"/>
      <c r="M112" s="353"/>
      <c r="N112" s="352"/>
      <c r="O112" s="347">
        <f t="shared" ref="O112" si="61">G112*I112+H112*J112</f>
        <v>17263076.551100001</v>
      </c>
      <c r="P112" s="354">
        <f>ROUND(G112*I112,2)*8.99%+ROUND(H112*J112,2)*8.83%</f>
        <v>1537923.855253</v>
      </c>
      <c r="Q112" s="348">
        <f t="shared" ref="Q112" si="62">ROUND(R112*P112,2)</f>
        <v>768961.93</v>
      </c>
      <c r="R112" s="34">
        <v>0.5</v>
      </c>
    </row>
    <row r="113" spans="1:24" x14ac:dyDescent="0.25">
      <c r="A113" s="273"/>
      <c r="B113" s="282" t="s">
        <v>180</v>
      </c>
      <c r="C113" s="71"/>
      <c r="D113" s="165"/>
      <c r="E113" s="165"/>
      <c r="F113" s="273"/>
      <c r="G113" s="318">
        <f t="shared" ref="G113:P113" si="63">G112-G111</f>
        <v>0</v>
      </c>
      <c r="H113" s="320">
        <f t="shared" si="63"/>
        <v>0</v>
      </c>
      <c r="I113" s="283">
        <f t="shared" si="63"/>
        <v>1.1439999999999999</v>
      </c>
      <c r="J113" s="283">
        <f t="shared" si="63"/>
        <v>1.1439999999999999</v>
      </c>
      <c r="K113" s="283">
        <f t="shared" si="63"/>
        <v>0</v>
      </c>
      <c r="L113" s="283">
        <f t="shared" si="63"/>
        <v>0</v>
      </c>
      <c r="M113" s="283">
        <f t="shared" si="63"/>
        <v>0</v>
      </c>
      <c r="N113" s="284">
        <f t="shared" si="63"/>
        <v>0</v>
      </c>
      <c r="O113" s="255">
        <f t="shared" si="63"/>
        <v>6333854.8988000005</v>
      </c>
      <c r="P113" s="344">
        <f t="shared" si="63"/>
        <v>564267.12342999992</v>
      </c>
      <c r="Q113" s="255">
        <f>Q112-Q111</f>
        <v>282133.56000000006</v>
      </c>
      <c r="R113" s="345"/>
      <c r="S113" s="251" t="s">
        <v>181</v>
      </c>
    </row>
    <row r="115" spans="1:24" x14ac:dyDescent="0.25">
      <c r="A115" s="324" t="s">
        <v>182</v>
      </c>
      <c r="B115" s="265" t="s">
        <v>208</v>
      </c>
      <c r="C115" s="317"/>
      <c r="G115" s="251"/>
      <c r="H115" s="251"/>
      <c r="I115" s="251"/>
      <c r="J115" s="251"/>
      <c r="K115" s="251"/>
      <c r="U115" s="48"/>
      <c r="V115" s="294"/>
      <c r="W115" s="294"/>
      <c r="X115" s="48"/>
    </row>
    <row r="116" spans="1:24" ht="13" x14ac:dyDescent="0.3">
      <c r="A116" s="257" t="s">
        <v>161</v>
      </c>
      <c r="B116" s="252"/>
      <c r="C116" s="266"/>
      <c r="D116" s="263" t="s">
        <v>19</v>
      </c>
      <c r="E116" s="262" t="s">
        <v>58</v>
      </c>
      <c r="F116" s="263" t="s">
        <v>27</v>
      </c>
      <c r="G116" s="264" t="s">
        <v>34</v>
      </c>
      <c r="H116" s="253" t="s">
        <v>35</v>
      </c>
      <c r="I116" s="253" t="s">
        <v>34</v>
      </c>
      <c r="J116" s="264" t="s">
        <v>35</v>
      </c>
      <c r="K116" s="264" t="s">
        <v>38</v>
      </c>
      <c r="L116" s="264" t="s">
        <v>39</v>
      </c>
      <c r="M116" s="264" t="s">
        <v>41</v>
      </c>
      <c r="N116" s="264" t="s">
        <v>2</v>
      </c>
      <c r="O116" s="267" t="s">
        <v>179</v>
      </c>
      <c r="P116" s="276" t="s">
        <v>163</v>
      </c>
      <c r="Q116" s="276" t="s">
        <v>183</v>
      </c>
      <c r="R116" s="254"/>
      <c r="U116" s="48"/>
      <c r="V116" s="294"/>
      <c r="W116" s="295"/>
      <c r="X116" s="294"/>
    </row>
    <row r="117" spans="1:24" x14ac:dyDescent="0.25">
      <c r="A117" s="16" t="s">
        <v>28</v>
      </c>
      <c r="B117" s="17" t="s">
        <v>159</v>
      </c>
      <c r="C117" s="40" t="s">
        <v>31</v>
      </c>
      <c r="D117" s="40" t="s">
        <v>30</v>
      </c>
      <c r="E117" s="40" t="s">
        <v>158</v>
      </c>
      <c r="F117" s="216" t="s">
        <v>55</v>
      </c>
      <c r="G117" s="256">
        <v>10667901.2116</v>
      </c>
      <c r="H117" s="256">
        <v>10565974.9606</v>
      </c>
      <c r="I117" s="192">
        <v>1.9083000000000001</v>
      </c>
      <c r="J117" s="192">
        <v>1.9083000000000001</v>
      </c>
      <c r="K117" s="256"/>
      <c r="L117" s="256"/>
      <c r="M117" s="256"/>
      <c r="N117" s="256"/>
      <c r="O117" s="200">
        <f>G117*I117+H117*J117</f>
        <v>40520605.899409264</v>
      </c>
      <c r="P117" s="198">
        <f>ROUND(37.24%*(G117*I117+H117*J117),2)</f>
        <v>15089873.640000001</v>
      </c>
      <c r="Q117" s="198">
        <f t="shared" ref="Q117:Q118" si="64">ROUND(R117*P117,2)</f>
        <v>7544936.8200000003</v>
      </c>
      <c r="R117" s="199">
        <v>0.5</v>
      </c>
      <c r="U117" s="47"/>
      <c r="V117" s="47"/>
      <c r="W117" s="47"/>
    </row>
    <row r="118" spans="1:24" x14ac:dyDescent="0.25">
      <c r="A118" s="270" t="s">
        <v>28</v>
      </c>
      <c r="B118" s="279" t="str">
        <f>B117</f>
        <v>88 GAS</v>
      </c>
      <c r="C118" s="280" t="s">
        <v>31</v>
      </c>
      <c r="D118" s="281" t="s">
        <v>185</v>
      </c>
      <c r="E118" s="281"/>
      <c r="F118" s="286" t="str">
        <f>F117</f>
        <v xml:space="preserve"> MM BTU</v>
      </c>
      <c r="G118" s="319">
        <f>+G117</f>
        <v>10667901.2116</v>
      </c>
      <c r="H118" s="319">
        <f>+H117</f>
        <v>10565974.9606</v>
      </c>
      <c r="I118" s="272">
        <v>1.909</v>
      </c>
      <c r="J118" s="272">
        <v>1.909</v>
      </c>
      <c r="K118" s="272"/>
      <c r="L118" s="272"/>
      <c r="M118" s="272"/>
      <c r="N118" s="271"/>
      <c r="O118" s="347">
        <f>G118*I118+H118*J118</f>
        <v>40535469.612729803</v>
      </c>
      <c r="P118" s="348">
        <f>ROUND(37.24%*(G118*I118+H118*J118),2)</f>
        <v>15095408.880000001</v>
      </c>
      <c r="Q118" s="348">
        <f t="shared" si="64"/>
        <v>7547704.4400000004</v>
      </c>
      <c r="R118" s="34">
        <v>0.5</v>
      </c>
      <c r="U118" s="47"/>
      <c r="V118" s="47"/>
      <c r="W118" s="47"/>
      <c r="X118" s="47"/>
    </row>
    <row r="119" spans="1:24" x14ac:dyDescent="0.25">
      <c r="A119" s="273"/>
      <c r="B119" s="282" t="s">
        <v>180</v>
      </c>
      <c r="C119" s="71"/>
      <c r="D119" s="165"/>
      <c r="E119" s="165"/>
      <c r="F119" s="273"/>
      <c r="G119" s="318">
        <f t="shared" ref="G119:Q119" si="65">G118-G117</f>
        <v>0</v>
      </c>
      <c r="H119" s="320">
        <f t="shared" si="65"/>
        <v>0</v>
      </c>
      <c r="I119" s="283">
        <f t="shared" si="65"/>
        <v>6.9999999999992291E-4</v>
      </c>
      <c r="J119" s="283">
        <f t="shared" si="65"/>
        <v>6.9999999999992291E-4</v>
      </c>
      <c r="K119" s="283">
        <f t="shared" si="65"/>
        <v>0</v>
      </c>
      <c r="L119" s="283">
        <f t="shared" si="65"/>
        <v>0</v>
      </c>
      <c r="M119" s="283">
        <f t="shared" si="65"/>
        <v>0</v>
      </c>
      <c r="N119" s="284">
        <f t="shared" si="65"/>
        <v>0</v>
      </c>
      <c r="O119" s="255">
        <f t="shared" si="65"/>
        <v>14863.713320538402</v>
      </c>
      <c r="P119" s="344">
        <f t="shared" si="65"/>
        <v>5535.2400000002235</v>
      </c>
      <c r="Q119" s="255">
        <f t="shared" si="65"/>
        <v>2767.6200000001118</v>
      </c>
      <c r="R119" s="345"/>
      <c r="S119" s="251" t="s">
        <v>181</v>
      </c>
    </row>
    <row r="121" spans="1:24" x14ac:dyDescent="0.25">
      <c r="A121" s="324"/>
      <c r="B121" s="265" t="s">
        <v>207</v>
      </c>
      <c r="C121" s="317"/>
      <c r="G121" s="251"/>
      <c r="H121" s="251"/>
      <c r="I121" s="251"/>
      <c r="J121" s="251"/>
      <c r="K121" s="251"/>
      <c r="U121" s="48"/>
      <c r="V121" s="294"/>
      <c r="W121" s="294"/>
      <c r="X121" s="48"/>
    </row>
    <row r="122" spans="1:24" ht="13" x14ac:dyDescent="0.3">
      <c r="A122" s="257" t="s">
        <v>161</v>
      </c>
      <c r="B122" s="252"/>
      <c r="C122" s="266"/>
      <c r="D122" s="263" t="s">
        <v>19</v>
      </c>
      <c r="E122" s="262" t="s">
        <v>58</v>
      </c>
      <c r="F122" s="263" t="s">
        <v>27</v>
      </c>
      <c r="G122" s="264" t="s">
        <v>34</v>
      </c>
      <c r="H122" s="253" t="s">
        <v>35</v>
      </c>
      <c r="I122" s="253" t="s">
        <v>34</v>
      </c>
      <c r="J122" s="264" t="s">
        <v>35</v>
      </c>
      <c r="K122" s="264" t="s">
        <v>38</v>
      </c>
      <c r="L122" s="264" t="s">
        <v>39</v>
      </c>
      <c r="M122" s="264" t="s">
        <v>41</v>
      </c>
      <c r="N122" s="264" t="s">
        <v>2</v>
      </c>
      <c r="O122" s="267" t="s">
        <v>179</v>
      </c>
      <c r="P122" s="276" t="s">
        <v>163</v>
      </c>
      <c r="Q122" s="276" t="s">
        <v>183</v>
      </c>
      <c r="R122" s="254"/>
      <c r="U122" s="48"/>
      <c r="V122" s="294"/>
      <c r="W122" s="295"/>
      <c r="X122" s="294"/>
    </row>
    <row r="123" spans="1:24" x14ac:dyDescent="0.25">
      <c r="A123" s="16" t="s">
        <v>28</v>
      </c>
      <c r="B123" s="17" t="s">
        <v>159</v>
      </c>
      <c r="C123" s="40" t="s">
        <v>31</v>
      </c>
      <c r="D123" s="40" t="s">
        <v>30</v>
      </c>
      <c r="E123" s="40" t="s">
        <v>158</v>
      </c>
      <c r="F123" s="216" t="s">
        <v>55</v>
      </c>
      <c r="G123" s="256">
        <v>10073302.630000001</v>
      </c>
      <c r="H123" s="256">
        <v>9746635.0399999991</v>
      </c>
      <c r="I123" s="192">
        <v>1.9083000000000001</v>
      </c>
      <c r="J123" s="192">
        <v>1.9083000000000001</v>
      </c>
      <c r="K123" s="256"/>
      <c r="L123" s="256"/>
      <c r="M123" s="256"/>
      <c r="N123" s="256"/>
      <c r="O123" s="341">
        <f>G123*I123+H123*J123</f>
        <v>37822387.055661008</v>
      </c>
      <c r="P123" s="343">
        <f>ROUND(37.24%*(G123*I123+H123*J123),2)</f>
        <v>14085056.939999999</v>
      </c>
      <c r="Q123" s="343">
        <f t="shared" ref="Q123" si="66">ROUND(R123*P123,2)</f>
        <v>7042528.4699999997</v>
      </c>
      <c r="R123" s="227">
        <v>0.5</v>
      </c>
      <c r="U123" s="47"/>
      <c r="V123" s="47"/>
      <c r="W123" s="47"/>
    </row>
    <row r="124" spans="1:24" x14ac:dyDescent="0.25">
      <c r="A124" s="270" t="s">
        <v>28</v>
      </c>
      <c r="B124" s="279" t="str">
        <f>B123</f>
        <v>88 GAS</v>
      </c>
      <c r="C124" s="280" t="s">
        <v>31</v>
      </c>
      <c r="D124" s="281" t="s">
        <v>185</v>
      </c>
      <c r="E124" s="281"/>
      <c r="F124" s="286" t="str">
        <f>F123</f>
        <v xml:space="preserve"> MM BTU</v>
      </c>
      <c r="G124" s="319">
        <f>+G123</f>
        <v>10073302.630000001</v>
      </c>
      <c r="H124" s="319">
        <f>+H123</f>
        <v>9746635.0399999991</v>
      </c>
      <c r="I124" s="272">
        <v>1.9641</v>
      </c>
      <c r="J124" s="272">
        <v>1.9641</v>
      </c>
      <c r="K124" s="272"/>
      <c r="L124" s="272"/>
      <c r="M124" s="272"/>
      <c r="N124" s="271"/>
      <c r="O124" s="347">
        <f>G124*I124+H124*J124</f>
        <v>38928339.577647001</v>
      </c>
      <c r="P124" s="348">
        <f>ROUND(37.24%*(G124*I124+H124*J124),2)</f>
        <v>14496913.66</v>
      </c>
      <c r="Q124" s="348">
        <f t="shared" ref="Q124" si="67">ROUND(R124*P124,2)</f>
        <v>7248456.8300000001</v>
      </c>
      <c r="R124" s="34">
        <v>0.5</v>
      </c>
      <c r="U124" s="47"/>
      <c r="V124" s="47"/>
      <c r="W124" s="47"/>
      <c r="X124" s="47"/>
    </row>
    <row r="125" spans="1:24" x14ac:dyDescent="0.25">
      <c r="A125" s="273"/>
      <c r="B125" s="282" t="s">
        <v>180</v>
      </c>
      <c r="C125" s="71"/>
      <c r="D125" s="165"/>
      <c r="E125" s="165"/>
      <c r="F125" s="273"/>
      <c r="G125" s="318">
        <f t="shared" ref="G125:Q125" si="68">G124-G123</f>
        <v>0</v>
      </c>
      <c r="H125" s="320">
        <f t="shared" si="68"/>
        <v>0</v>
      </c>
      <c r="I125" s="283">
        <f t="shared" si="68"/>
        <v>5.579999999999985E-2</v>
      </c>
      <c r="J125" s="283">
        <f t="shared" si="68"/>
        <v>5.579999999999985E-2</v>
      </c>
      <c r="K125" s="283">
        <f t="shared" si="68"/>
        <v>0</v>
      </c>
      <c r="L125" s="283">
        <f t="shared" si="68"/>
        <v>0</v>
      </c>
      <c r="M125" s="283">
        <f t="shared" si="68"/>
        <v>0</v>
      </c>
      <c r="N125" s="284">
        <f t="shared" si="68"/>
        <v>0</v>
      </c>
      <c r="O125" s="255">
        <f t="shared" si="68"/>
        <v>1105952.5219859928</v>
      </c>
      <c r="P125" s="344">
        <f t="shared" si="68"/>
        <v>411856.72000000067</v>
      </c>
      <c r="Q125" s="255">
        <f t="shared" si="68"/>
        <v>205928.36000000034</v>
      </c>
      <c r="R125" s="345"/>
      <c r="S125" s="251" t="s">
        <v>181</v>
      </c>
    </row>
    <row r="126" spans="1:24" x14ac:dyDescent="0.25">
      <c r="S126" s="290">
        <f>+P119+P125</f>
        <v>417391.96000000089</v>
      </c>
    </row>
    <row r="127" spans="1:24" x14ac:dyDescent="0.25">
      <c r="A127" s="324" t="s">
        <v>182</v>
      </c>
      <c r="B127" s="265" t="s">
        <v>207</v>
      </c>
      <c r="C127" s="317"/>
      <c r="G127" s="251"/>
      <c r="H127" s="251"/>
      <c r="I127" s="251"/>
      <c r="J127" s="251"/>
      <c r="K127" s="251"/>
      <c r="U127" s="48"/>
      <c r="V127" s="294"/>
      <c r="W127" s="294"/>
      <c r="X127" s="48"/>
    </row>
    <row r="128" spans="1:24" ht="13" x14ac:dyDescent="0.3">
      <c r="A128" s="257" t="s">
        <v>161</v>
      </c>
      <c r="B128" s="252"/>
      <c r="C128" s="266"/>
      <c r="D128" s="263" t="s">
        <v>19</v>
      </c>
      <c r="E128" s="262" t="s">
        <v>58</v>
      </c>
      <c r="F128" s="263" t="s">
        <v>27</v>
      </c>
      <c r="G128" s="264" t="s">
        <v>34</v>
      </c>
      <c r="H128" s="253" t="s">
        <v>35</v>
      </c>
      <c r="I128" s="253" t="s">
        <v>34</v>
      </c>
      <c r="J128" s="264" t="s">
        <v>35</v>
      </c>
      <c r="K128" s="264" t="s">
        <v>38</v>
      </c>
      <c r="L128" s="264" t="s">
        <v>39</v>
      </c>
      <c r="M128" s="264" t="s">
        <v>41</v>
      </c>
      <c r="N128" s="264" t="s">
        <v>2</v>
      </c>
      <c r="O128" s="267" t="s">
        <v>179</v>
      </c>
      <c r="P128" s="276" t="s">
        <v>163</v>
      </c>
      <c r="Q128" s="276" t="s">
        <v>183</v>
      </c>
      <c r="R128" s="254"/>
      <c r="U128" s="48"/>
      <c r="V128" s="294"/>
      <c r="W128" s="295"/>
      <c r="X128" s="294"/>
    </row>
    <row r="129" spans="1:21" x14ac:dyDescent="0.25">
      <c r="A129" s="16" t="s">
        <v>28</v>
      </c>
      <c r="B129" s="22" t="s">
        <v>175</v>
      </c>
      <c r="C129" s="40" t="s">
        <v>31</v>
      </c>
      <c r="D129" s="40" t="s">
        <v>30</v>
      </c>
      <c r="E129" s="40" t="s">
        <v>158</v>
      </c>
      <c r="F129" s="216" t="s">
        <v>36</v>
      </c>
      <c r="G129" s="256">
        <v>174422</v>
      </c>
      <c r="H129" s="256">
        <v>182442</v>
      </c>
      <c r="I129" s="192">
        <v>37.166200000000003</v>
      </c>
      <c r="J129" s="192">
        <v>39.107700000000001</v>
      </c>
      <c r="K129" s="350"/>
      <c r="L129" s="351"/>
      <c r="M129" s="351"/>
      <c r="N129" s="350"/>
      <c r="O129" s="341">
        <f>G129*I129+H129*J129</f>
        <v>13617489.939800002</v>
      </c>
      <c r="P129" s="342">
        <f>ROUND(G129*I129,2)*6.05%+ROUND(H129*J129,2)*6.01%</f>
        <v>821004.18657000002</v>
      </c>
      <c r="Q129" s="343">
        <f t="shared" ref="Q129" si="69">ROUND(R129*P129,2)</f>
        <v>410502.09</v>
      </c>
      <c r="R129" s="227">
        <v>0.5</v>
      </c>
    </row>
    <row r="130" spans="1:21" x14ac:dyDescent="0.25">
      <c r="A130" s="270" t="s">
        <v>28</v>
      </c>
      <c r="B130" s="279" t="str">
        <f>B129</f>
        <v>57 LGN</v>
      </c>
      <c r="C130" s="280" t="s">
        <v>31</v>
      </c>
      <c r="D130" s="281" t="s">
        <v>185</v>
      </c>
      <c r="E130" s="281"/>
      <c r="F130" s="286" t="str">
        <f>F129</f>
        <v>Bls</v>
      </c>
      <c r="G130" s="319">
        <f>+G129</f>
        <v>174422</v>
      </c>
      <c r="H130" s="319">
        <f>+H129</f>
        <v>182442</v>
      </c>
      <c r="I130" s="272">
        <v>37.453600000000002</v>
      </c>
      <c r="J130" s="272">
        <v>39.395099999999999</v>
      </c>
      <c r="K130" s="352"/>
      <c r="L130" s="353"/>
      <c r="M130" s="353"/>
      <c r="N130" s="352"/>
      <c r="O130" s="347">
        <f t="shared" ref="O130" si="70">G130*I130+H130*J130</f>
        <v>13720052.6534</v>
      </c>
      <c r="P130" s="354">
        <f>ROUND(G130*I130,2)*6.05%+ROUND(H130*J130,2)*6.01%</f>
        <v>827188.25699299993</v>
      </c>
      <c r="Q130" s="348">
        <f t="shared" ref="Q130" si="71">ROUND(R130*P130,2)</f>
        <v>413594.13</v>
      </c>
      <c r="R130" s="34">
        <v>0.5</v>
      </c>
    </row>
    <row r="131" spans="1:21" x14ac:dyDescent="0.25">
      <c r="A131" s="273"/>
      <c r="B131" s="282" t="s">
        <v>180</v>
      </c>
      <c r="C131" s="71"/>
      <c r="D131" s="165"/>
      <c r="E131" s="165"/>
      <c r="F131" s="273"/>
      <c r="G131" s="318">
        <f t="shared" ref="G131:P131" si="72">G130-G129</f>
        <v>0</v>
      </c>
      <c r="H131" s="320">
        <f t="shared" si="72"/>
        <v>0</v>
      </c>
      <c r="I131" s="283">
        <f t="shared" si="72"/>
        <v>0.2873999999999981</v>
      </c>
      <c r="J131" s="283">
        <f t="shared" si="72"/>
        <v>0.2873999999999981</v>
      </c>
      <c r="K131" s="283">
        <f t="shared" si="72"/>
        <v>0</v>
      </c>
      <c r="L131" s="283">
        <f t="shared" si="72"/>
        <v>0</v>
      </c>
      <c r="M131" s="283">
        <f t="shared" si="72"/>
        <v>0</v>
      </c>
      <c r="N131" s="284">
        <f t="shared" si="72"/>
        <v>0</v>
      </c>
      <c r="O131" s="255">
        <f t="shared" si="72"/>
        <v>102562.7135999985</v>
      </c>
      <c r="P131" s="344">
        <f t="shared" si="72"/>
        <v>6184.0704229999101</v>
      </c>
      <c r="Q131" s="255">
        <f>Q130-Q129</f>
        <v>3092.039999999979</v>
      </c>
      <c r="R131" s="345"/>
      <c r="S131" s="251" t="s">
        <v>181</v>
      </c>
    </row>
    <row r="133" spans="1:21" x14ac:dyDescent="0.25">
      <c r="A133" s="324" t="s">
        <v>200</v>
      </c>
      <c r="B133" s="265" t="s">
        <v>207</v>
      </c>
      <c r="G133" s="251"/>
      <c r="H133" s="251"/>
      <c r="I133" s="251"/>
      <c r="J133" s="251"/>
      <c r="K133" s="251"/>
      <c r="N133" s="325"/>
    </row>
    <row r="134" spans="1:21" ht="13" x14ac:dyDescent="0.3">
      <c r="A134" s="257" t="s">
        <v>161</v>
      </c>
      <c r="B134" s="252"/>
      <c r="C134" s="266"/>
      <c r="D134" s="263" t="s">
        <v>19</v>
      </c>
      <c r="E134" s="262" t="s">
        <v>58</v>
      </c>
      <c r="F134" s="263" t="s">
        <v>27</v>
      </c>
      <c r="G134" s="264"/>
      <c r="H134" s="253"/>
      <c r="I134" s="253"/>
      <c r="J134" s="264"/>
      <c r="K134" s="264" t="s">
        <v>38</v>
      </c>
      <c r="L134" s="264" t="s">
        <v>39</v>
      </c>
      <c r="M134" s="264" t="s">
        <v>41</v>
      </c>
      <c r="N134" s="326" t="s">
        <v>2</v>
      </c>
      <c r="O134" s="267" t="s">
        <v>179</v>
      </c>
      <c r="P134" s="276" t="s">
        <v>163</v>
      </c>
      <c r="Q134" s="276" t="s">
        <v>42</v>
      </c>
      <c r="R134" s="254"/>
      <c r="S134" s="276" t="s">
        <v>43</v>
      </c>
      <c r="T134" s="254"/>
    </row>
    <row r="135" spans="1:21" x14ac:dyDescent="0.25">
      <c r="A135" s="268" t="s">
        <v>28</v>
      </c>
      <c r="B135" s="269" t="s">
        <v>209</v>
      </c>
      <c r="C135" s="40" t="s">
        <v>31</v>
      </c>
      <c r="D135" s="40" t="s">
        <v>21</v>
      </c>
      <c r="E135" s="40" t="s">
        <v>98</v>
      </c>
      <c r="F135" s="214" t="s">
        <v>36</v>
      </c>
      <c r="G135" s="191">
        <v>46539</v>
      </c>
      <c r="H135" s="191">
        <v>63257</v>
      </c>
      <c r="I135" s="357">
        <v>61.026800000000001</v>
      </c>
      <c r="J135" s="358">
        <v>62.637700000000002</v>
      </c>
      <c r="K135" s="256"/>
      <c r="L135" s="256"/>
      <c r="M135" s="256"/>
      <c r="N135" s="191"/>
      <c r="O135" s="341">
        <f>ROUND(G135*I135,2)+ROUND(H135*J135,2)-K135-L135-M135-N135</f>
        <v>6802399.2400000002</v>
      </c>
      <c r="P135" s="343">
        <f t="shared" ref="P135" si="73">ROUND(18.75%*O135,2)</f>
        <v>1275449.8600000001</v>
      </c>
      <c r="Q135" s="343">
        <f t="shared" ref="Q135" si="74">ROUND($O135*R135,2)</f>
        <v>1020359.89</v>
      </c>
      <c r="R135" s="227">
        <v>0.15</v>
      </c>
      <c r="S135" s="343">
        <f>ROUND($O135*T135,2)</f>
        <v>255089.97</v>
      </c>
      <c r="T135" s="346">
        <v>3.7499999999999999E-2</v>
      </c>
    </row>
    <row r="136" spans="1:21" x14ac:dyDescent="0.25">
      <c r="A136" s="270" t="s">
        <v>28</v>
      </c>
      <c r="B136" s="279" t="str">
        <f>B135</f>
        <v>VII-VI Petroleo</v>
      </c>
      <c r="C136" s="40" t="s">
        <v>31</v>
      </c>
      <c r="D136" s="40" t="s">
        <v>21</v>
      </c>
      <c r="E136" s="40" t="s">
        <v>98</v>
      </c>
      <c r="F136" s="286" t="str">
        <f>F135</f>
        <v>Bls</v>
      </c>
      <c r="G136" s="271">
        <f>+G135</f>
        <v>46539</v>
      </c>
      <c r="H136" s="271">
        <f t="shared" ref="H136" si="75">+H135</f>
        <v>63257</v>
      </c>
      <c r="I136" s="359">
        <v>60.811900000000001</v>
      </c>
      <c r="J136" s="359">
        <v>62.422800000000002</v>
      </c>
      <c r="K136" s="272"/>
      <c r="L136" s="272"/>
      <c r="M136" s="272"/>
      <c r="N136" s="338"/>
      <c r="O136" s="347">
        <f t="shared" ref="O136" si="76">ROUND(G136*I136,2)+ROUND(H136*J136,2)-K136-L136-M136-N136</f>
        <v>6778804.0700000003</v>
      </c>
      <c r="P136" s="348">
        <f t="shared" ref="P136" si="77">ROUND(18.75%*O136,2)</f>
        <v>1271025.76</v>
      </c>
      <c r="Q136" s="348">
        <f t="shared" ref="Q136" si="78">ROUND($O136*R136,2)</f>
        <v>1016820.61</v>
      </c>
      <c r="R136" s="34">
        <v>0.15</v>
      </c>
      <c r="S136" s="348">
        <f t="shared" ref="S136" si="79">ROUND($O136*T136,2)</f>
        <v>254205.15</v>
      </c>
      <c r="T136" s="349">
        <v>3.7499999999999999E-2</v>
      </c>
    </row>
    <row r="137" spans="1:21" ht="13" x14ac:dyDescent="0.3">
      <c r="A137" s="273"/>
      <c r="B137" s="282" t="s">
        <v>180</v>
      </c>
      <c r="C137" s="71"/>
      <c r="D137" s="165"/>
      <c r="E137" s="165"/>
      <c r="F137" s="273"/>
      <c r="G137" s="318">
        <f>+G136-G135</f>
        <v>0</v>
      </c>
      <c r="H137" s="318">
        <f t="shared" ref="H137:J137" si="80">+H136-H135</f>
        <v>0</v>
      </c>
      <c r="I137" s="274">
        <f t="shared" si="80"/>
        <v>-0.21490000000000009</v>
      </c>
      <c r="J137" s="274">
        <f t="shared" si="80"/>
        <v>-0.21490000000000009</v>
      </c>
      <c r="K137" s="321">
        <f t="shared" ref="K137:Q137" si="81">K136-K135</f>
        <v>0</v>
      </c>
      <c r="L137" s="321">
        <f t="shared" si="81"/>
        <v>0</v>
      </c>
      <c r="M137" s="321">
        <f t="shared" si="81"/>
        <v>0</v>
      </c>
      <c r="N137" s="327">
        <f t="shared" si="81"/>
        <v>0</v>
      </c>
      <c r="O137" s="274">
        <f t="shared" si="81"/>
        <v>-23595.169999999925</v>
      </c>
      <c r="P137" s="275">
        <f t="shared" si="81"/>
        <v>-4424.1000000000931</v>
      </c>
      <c r="Q137" s="274">
        <f t="shared" si="81"/>
        <v>-3539.2800000000279</v>
      </c>
      <c r="R137" s="285"/>
      <c r="S137" s="314">
        <f>+S136-S135</f>
        <v>-884.82000000000698</v>
      </c>
      <c r="T137" s="311"/>
      <c r="U137" s="251" t="s">
        <v>181</v>
      </c>
    </row>
    <row r="139" spans="1:21" x14ac:dyDescent="0.25">
      <c r="A139" s="324" t="s">
        <v>198</v>
      </c>
      <c r="B139" s="265" t="s">
        <v>210</v>
      </c>
      <c r="G139" s="251"/>
      <c r="H139" s="251"/>
      <c r="I139" s="251"/>
      <c r="J139" s="251"/>
      <c r="K139" s="251"/>
    </row>
    <row r="140" spans="1:21" ht="13" x14ac:dyDescent="0.3">
      <c r="A140" s="257" t="s">
        <v>190</v>
      </c>
      <c r="B140" s="252"/>
      <c r="C140" s="266"/>
      <c r="D140" s="263" t="s">
        <v>19</v>
      </c>
      <c r="E140" s="262" t="s">
        <v>58</v>
      </c>
      <c r="F140" s="263" t="s">
        <v>27</v>
      </c>
      <c r="G140" s="264" t="s">
        <v>34</v>
      </c>
      <c r="H140" s="253" t="s">
        <v>35</v>
      </c>
      <c r="I140" s="253" t="s">
        <v>34</v>
      </c>
      <c r="J140" s="264" t="s">
        <v>35</v>
      </c>
      <c r="K140" s="264" t="s">
        <v>38</v>
      </c>
      <c r="L140" s="264" t="s">
        <v>39</v>
      </c>
      <c r="M140" s="264" t="s">
        <v>41</v>
      </c>
      <c r="N140" s="326" t="s">
        <v>2</v>
      </c>
      <c r="O140" s="267" t="s">
        <v>179</v>
      </c>
      <c r="P140" s="276" t="s">
        <v>163</v>
      </c>
      <c r="Q140" s="276" t="s">
        <v>46</v>
      </c>
      <c r="R140" s="254"/>
      <c r="S140" s="276" t="s">
        <v>47</v>
      </c>
      <c r="T140" s="254"/>
    </row>
    <row r="141" spans="1:21" x14ac:dyDescent="0.25">
      <c r="A141" s="268" t="s">
        <v>28</v>
      </c>
      <c r="B141" s="269" t="s">
        <v>164</v>
      </c>
      <c r="C141" s="40" t="s">
        <v>31</v>
      </c>
      <c r="D141" s="40" t="s">
        <v>21</v>
      </c>
      <c r="E141" s="40" t="s">
        <v>98</v>
      </c>
      <c r="F141" s="214" t="s">
        <v>36</v>
      </c>
      <c r="G141" s="191">
        <v>1368</v>
      </c>
      <c r="H141" s="191"/>
      <c r="I141" s="193">
        <v>50.715499999999999</v>
      </c>
      <c r="J141" s="192"/>
      <c r="K141" s="256"/>
      <c r="L141" s="256"/>
      <c r="M141" s="256"/>
      <c r="N141" s="191"/>
      <c r="O141" s="200">
        <f t="shared" ref="O141" si="82">ROUND(G141*I141,2)+ROUND(H141*J141,2)-K141-L141-M141-N141</f>
        <v>69378.8</v>
      </c>
      <c r="P141" s="198">
        <f>ROUND(18.75%*O141,2)</f>
        <v>13008.53</v>
      </c>
      <c r="Q141" s="198">
        <f t="shared" ref="Q141" si="83">ROUND($O141*R141,2)</f>
        <v>10406.82</v>
      </c>
      <c r="R141" s="199">
        <v>0.15</v>
      </c>
      <c r="S141" s="198">
        <f t="shared" ref="S141" si="84">ROUND($O141*T141,2)</f>
        <v>2601.71</v>
      </c>
      <c r="T141" s="236">
        <v>3.7499999999999999E-2</v>
      </c>
    </row>
    <row r="142" spans="1:21" x14ac:dyDescent="0.25">
      <c r="A142" s="270" t="s">
        <v>28</v>
      </c>
      <c r="B142" s="279" t="str">
        <f>+B141</f>
        <v>31-E</v>
      </c>
      <c r="C142" s="40" t="s">
        <v>31</v>
      </c>
      <c r="D142" s="40" t="s">
        <v>185</v>
      </c>
      <c r="E142" s="40"/>
      <c r="F142" s="286" t="str">
        <f>F141</f>
        <v>Bls</v>
      </c>
      <c r="G142" s="271">
        <f>+G141</f>
        <v>1368</v>
      </c>
      <c r="H142" s="271"/>
      <c r="I142" s="359">
        <v>51.631900000000002</v>
      </c>
      <c r="J142" s="359"/>
      <c r="K142" s="272"/>
      <c r="L142" s="272"/>
      <c r="M142" s="272"/>
      <c r="N142" s="338"/>
      <c r="O142" s="347">
        <f t="shared" ref="O142" si="85">ROUND(G142*I142,2)+ROUND(H142*J142,2)-K142-L142-M142-N142</f>
        <v>70632.44</v>
      </c>
      <c r="P142" s="348">
        <f>ROUND(18.75%*O142,2)</f>
        <v>13243.58</v>
      </c>
      <c r="Q142" s="348">
        <f t="shared" ref="Q142" si="86">ROUND($O142*R142,2)</f>
        <v>10594.87</v>
      </c>
      <c r="R142" s="34">
        <v>0.15</v>
      </c>
      <c r="S142" s="348">
        <f t="shared" ref="S142" si="87">ROUND($O142*T142,2)</f>
        <v>2648.72</v>
      </c>
      <c r="T142" s="349">
        <v>3.7499999999999999E-2</v>
      </c>
    </row>
    <row r="143" spans="1:21" ht="13" x14ac:dyDescent="0.3">
      <c r="A143" s="273"/>
      <c r="B143" s="282"/>
      <c r="C143" s="71"/>
      <c r="D143" s="165"/>
      <c r="E143" s="165"/>
      <c r="F143" s="273"/>
      <c r="G143" s="318">
        <f>+G142-G141</f>
        <v>0</v>
      </c>
      <c r="H143" s="318">
        <f>+H142-H141</f>
        <v>0</v>
      </c>
      <c r="I143" s="274">
        <f>+I142-I141</f>
        <v>0.91640000000000299</v>
      </c>
      <c r="J143" s="274">
        <f>+J142-J141</f>
        <v>0</v>
      </c>
      <c r="K143" s="321"/>
      <c r="L143" s="321"/>
      <c r="M143" s="321"/>
      <c r="N143" s="327"/>
      <c r="O143" s="274">
        <f>+O142-O141</f>
        <v>1253.6399999999994</v>
      </c>
      <c r="P143" s="275">
        <f>+P142-P141</f>
        <v>235.04999999999927</v>
      </c>
      <c r="Q143" s="274">
        <f>+Q142-Q141</f>
        <v>188.05000000000109</v>
      </c>
      <c r="R143" s="285"/>
      <c r="S143" s="314">
        <f>+S142-S141</f>
        <v>47.009999999999764</v>
      </c>
      <c r="T143" s="311"/>
      <c r="U143" s="251" t="s">
        <v>181</v>
      </c>
    </row>
    <row r="144" spans="1:21" ht="13" x14ac:dyDescent="0.3">
      <c r="A144" s="96"/>
      <c r="B144" s="5"/>
      <c r="C144" s="96"/>
      <c r="D144" s="96"/>
      <c r="E144" s="96"/>
      <c r="F144" s="96"/>
      <c r="G144" s="366"/>
      <c r="H144" s="366"/>
      <c r="I144" s="366"/>
      <c r="J144" s="366"/>
      <c r="K144" s="367"/>
      <c r="L144" s="367"/>
      <c r="M144" s="367"/>
      <c r="N144" s="368"/>
      <c r="O144" s="366"/>
      <c r="P144" s="369"/>
      <c r="Q144" s="366"/>
      <c r="R144" s="370"/>
      <c r="S144" s="371"/>
      <c r="T144" s="4"/>
    </row>
    <row r="146" spans="14:19" x14ac:dyDescent="0.25">
      <c r="N146" s="325" t="s">
        <v>1</v>
      </c>
      <c r="O146" s="175">
        <f>+O89+O95+O101+O107+O113+O119+O125+O131+O137+O143</f>
        <v>7541024.2115325304</v>
      </c>
      <c r="P146" s="175">
        <f>+P89+P95+P101+P107+P113+P119+P125+P131+P137+P143</f>
        <v>985937.61385300069</v>
      </c>
      <c r="Q146" s="175">
        <f>+Q89+Q95+Q101+Q107+Q113+Q119+Q125+Q131+Q137+Q143</f>
        <v>491712.11000000045</v>
      </c>
      <c r="R146" s="175"/>
      <c r="S146" s="175">
        <f>+S137+S143</f>
        <v>-837.81000000000722</v>
      </c>
    </row>
    <row r="147" spans="14:19" x14ac:dyDescent="0.25">
      <c r="N147" s="325"/>
      <c r="O147" s="4"/>
      <c r="P147" s="4"/>
      <c r="Q147" s="4"/>
      <c r="R147" s="4"/>
      <c r="S147" s="4"/>
    </row>
    <row r="148" spans="14:19" x14ac:dyDescent="0.25">
      <c r="N148" s="325"/>
    </row>
    <row r="149" spans="14:19" x14ac:dyDescent="0.25">
      <c r="N149" s="325" t="s">
        <v>201</v>
      </c>
      <c r="O149" s="304">
        <f>+O137</f>
        <v>-23595.169999999925</v>
      </c>
      <c r="P149" s="304">
        <f>+P137</f>
        <v>-4424.1000000000931</v>
      </c>
      <c r="Q149" s="304">
        <f>+Q137</f>
        <v>-3539.2800000000279</v>
      </c>
      <c r="R149" s="304"/>
      <c r="S149" s="304">
        <f>+S137</f>
        <v>-884.82000000000698</v>
      </c>
    </row>
    <row r="150" spans="14:19" ht="13" x14ac:dyDescent="0.3">
      <c r="N150" s="325"/>
      <c r="O150" s="292">
        <f>+O149</f>
        <v>-23595.169999999925</v>
      </c>
      <c r="P150" s="292">
        <f t="shared" ref="P150:S150" si="88">+P149</f>
        <v>-4424.1000000000931</v>
      </c>
      <c r="Q150" s="292">
        <f t="shared" si="88"/>
        <v>-3539.2800000000279</v>
      </c>
      <c r="R150" s="292"/>
      <c r="S150" s="292">
        <f t="shared" si="88"/>
        <v>-884.82000000000698</v>
      </c>
    </row>
    <row r="151" spans="14:19" ht="13" x14ac:dyDescent="0.3">
      <c r="N151" s="325"/>
      <c r="O151" s="292"/>
      <c r="P151" s="292"/>
      <c r="Q151" s="292"/>
      <c r="R151" s="292"/>
      <c r="S151" s="292"/>
    </row>
    <row r="152" spans="14:19" x14ac:dyDescent="0.25">
      <c r="N152" s="325" t="s">
        <v>211</v>
      </c>
      <c r="O152" s="304">
        <f>+O143</f>
        <v>1253.6399999999994</v>
      </c>
      <c r="P152" s="304">
        <f>+P143</f>
        <v>235.04999999999927</v>
      </c>
      <c r="Q152" s="304">
        <f>+Q143</f>
        <v>188.05000000000109</v>
      </c>
      <c r="R152" s="304"/>
      <c r="S152" s="304">
        <f>+S143</f>
        <v>47.009999999999764</v>
      </c>
    </row>
    <row r="153" spans="14:19" ht="13" x14ac:dyDescent="0.3">
      <c r="N153" s="325"/>
      <c r="O153" s="292">
        <f>+O152</f>
        <v>1253.6399999999994</v>
      </c>
      <c r="P153" s="292">
        <f t="shared" ref="P153:Q153" si="89">+P152</f>
        <v>235.04999999999927</v>
      </c>
      <c r="Q153" s="292">
        <f t="shared" si="89"/>
        <v>188.05000000000109</v>
      </c>
      <c r="R153" s="292"/>
      <c r="S153" s="292">
        <f t="shared" ref="S153" si="90">+S152</f>
        <v>47.009999999999764</v>
      </c>
    </row>
    <row r="154" spans="14:19" ht="13" x14ac:dyDescent="0.3">
      <c r="N154" s="325"/>
      <c r="O154" s="292"/>
      <c r="P154" s="292"/>
      <c r="Q154" s="292"/>
      <c r="R154" s="292"/>
      <c r="S154" s="292"/>
    </row>
    <row r="155" spans="14:19" x14ac:dyDescent="0.25">
      <c r="N155" s="325" t="s">
        <v>202</v>
      </c>
      <c r="O155" s="147">
        <f>+O89+O95+O101+O107</f>
        <v>6131.8938260000432</v>
      </c>
      <c r="P155" s="147">
        <f>+P89+P95+P101+P107</f>
        <v>2283.5100000000093</v>
      </c>
      <c r="Q155" s="147">
        <f>+Q89+Q95+Q101+Q107</f>
        <v>1141.7600000000093</v>
      </c>
      <c r="R155" s="147"/>
      <c r="S155" s="147"/>
    </row>
    <row r="156" spans="14:19" x14ac:dyDescent="0.25">
      <c r="N156" s="325" t="s">
        <v>187</v>
      </c>
      <c r="O156" s="290">
        <f>+O113</f>
        <v>6333854.8988000005</v>
      </c>
      <c r="P156" s="290">
        <f>+P113</f>
        <v>564267.12342999992</v>
      </c>
      <c r="Q156" s="290">
        <f>+Q113</f>
        <v>282133.56000000006</v>
      </c>
      <c r="R156" s="322"/>
      <c r="S156" s="322"/>
    </row>
    <row r="157" spans="14:19" x14ac:dyDescent="0.25">
      <c r="N157" s="325" t="s">
        <v>199</v>
      </c>
      <c r="O157" s="147">
        <f>+O131</f>
        <v>102562.7135999985</v>
      </c>
      <c r="P157" s="147">
        <f>+P131</f>
        <v>6184.0704229999101</v>
      </c>
      <c r="Q157" s="147">
        <f>+Q131</f>
        <v>3092.039999999979</v>
      </c>
      <c r="R157" s="147"/>
      <c r="S157" s="147"/>
    </row>
    <row r="158" spans="14:19" x14ac:dyDescent="0.25">
      <c r="N158" s="325" t="s">
        <v>197</v>
      </c>
      <c r="O158" s="291">
        <f>+O119+O125</f>
        <v>1120816.2353065312</v>
      </c>
      <c r="P158" s="291">
        <f>+P119+P125</f>
        <v>417391.96000000089</v>
      </c>
      <c r="Q158" s="291">
        <f>+Q119+Q125</f>
        <v>208695.98000000045</v>
      </c>
      <c r="R158" s="290"/>
      <c r="S158" s="290"/>
    </row>
    <row r="159" spans="14:19" ht="13" x14ac:dyDescent="0.3">
      <c r="N159" s="325"/>
      <c r="O159" s="292">
        <f>SUM(O155:O158)</f>
        <v>7563365.7415325306</v>
      </c>
      <c r="P159" s="292">
        <f t="shared" ref="P159:Q159" si="91">SUM(P155:P158)</f>
        <v>990126.66385300073</v>
      </c>
      <c r="Q159" s="292">
        <f t="shared" si="91"/>
        <v>495063.34000000049</v>
      </c>
    </row>
    <row r="160" spans="14:19" x14ac:dyDescent="0.25">
      <c r="N160" s="325"/>
    </row>
    <row r="161" spans="14:20" x14ac:dyDescent="0.25">
      <c r="N161" s="325" t="s">
        <v>1</v>
      </c>
      <c r="O161" s="47">
        <f>+O159+O150+O153</f>
        <v>7541024.2115325304</v>
      </c>
      <c r="P161" s="47">
        <f>+P159+P150+P153</f>
        <v>985937.61385300069</v>
      </c>
      <c r="Q161" s="47">
        <f>+Q159+Q150+Q153</f>
        <v>491712.11000000045</v>
      </c>
      <c r="R161" s="47"/>
      <c r="S161" s="47">
        <f>+S159+S150+S153</f>
        <v>-837.81000000000722</v>
      </c>
      <c r="T161" s="47"/>
    </row>
    <row r="162" spans="14:20" x14ac:dyDescent="0.25">
      <c r="N162" s="325"/>
    </row>
    <row r="163" spans="14:20" x14ac:dyDescent="0.25">
      <c r="N163" s="325" t="s">
        <v>203</v>
      </c>
      <c r="O163" s="290">
        <f>+O161-O146</f>
        <v>0</v>
      </c>
      <c r="P163" s="290">
        <f>+P161-P146</f>
        <v>0</v>
      </c>
      <c r="Q163" s="290">
        <f>+Q161-Q146</f>
        <v>0</v>
      </c>
      <c r="R163" s="290"/>
      <c r="S163" s="290">
        <f>+S161-S146</f>
        <v>0</v>
      </c>
    </row>
    <row r="165" spans="14:20" ht="15" customHeight="1" x14ac:dyDescent="0.25"/>
  </sheetData>
  <mergeCells count="2">
    <mergeCell ref="C7:C8"/>
    <mergeCell ref="O7:O8"/>
  </mergeCells>
  <printOptions horizontalCentered="1" verticalCentered="1"/>
  <pageMargins left="0.23622047244094491" right="0.23622047244094491" top="0.51181102362204722" bottom="0.51181102362204722" header="0" footer="0"/>
  <pageSetup paperSize="9" scale="54"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pageSetUpPr fitToPage="1"/>
  </sheetPr>
  <dimension ref="A1:V72"/>
  <sheetViews>
    <sheetView view="pageBreakPreview" topLeftCell="I22" zoomScale="145" zoomScaleNormal="95" zoomScaleSheetLayoutView="145" workbookViewId="0">
      <selection activeCell="A28" sqref="A28"/>
    </sheetView>
  </sheetViews>
  <sheetFormatPr baseColWidth="10" defaultColWidth="8.84375" defaultRowHeight="12.5" x14ac:dyDescent="0.25"/>
  <cols>
    <col min="1" max="1" width="3" style="251" customWidth="1"/>
    <col min="2" max="2" width="14.4609375" style="251" customWidth="1"/>
    <col min="3" max="3" width="7.69140625" style="251" customWidth="1"/>
    <col min="4" max="4" width="8.3046875" style="251" customWidth="1"/>
    <col min="5" max="5" width="8.84375" style="251" customWidth="1"/>
    <col min="6" max="6" width="8.4609375" style="251" customWidth="1"/>
    <col min="7" max="7" width="11.4609375" style="172" customWidth="1"/>
    <col min="8" max="11" width="10.4609375" style="172" customWidth="1"/>
    <col min="12" max="13" width="10.4609375" style="251" customWidth="1"/>
    <col min="14" max="14" width="12.23046875" style="251" customWidth="1"/>
    <col min="15" max="15" width="12.4609375" style="251" customWidth="1"/>
    <col min="16" max="16" width="11.53515625" style="251" customWidth="1"/>
    <col min="17" max="17" width="12.07421875" style="251" bestFit="1" customWidth="1"/>
    <col min="18" max="18" width="5.69140625" style="251" customWidth="1"/>
    <col min="19" max="19" width="11.53515625" style="251" customWidth="1"/>
    <col min="20" max="20" width="5.69140625" style="251" customWidth="1"/>
    <col min="21" max="21" width="8.84375" style="251" customWidth="1"/>
    <col min="22" max="22" width="10.3046875" style="251" customWidth="1"/>
    <col min="23" max="16384" width="8.84375" style="251"/>
  </cols>
  <sheetData>
    <row r="1" spans="1:20" ht="12.75" customHeight="1" x14ac:dyDescent="0.25">
      <c r="A1" s="251" t="s">
        <v>50</v>
      </c>
      <c r="C1" s="1"/>
      <c r="D1" s="1"/>
      <c r="E1" s="7">
        <v>45689</v>
      </c>
      <c r="F1" s="502" t="s">
        <v>311</v>
      </c>
      <c r="S1" s="251" t="s">
        <v>306</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312</v>
      </c>
      <c r="B4" s="109"/>
      <c r="C4" s="109"/>
      <c r="D4" s="109"/>
      <c r="E4" s="109"/>
      <c r="F4" s="109"/>
      <c r="G4" s="109"/>
      <c r="H4" s="109"/>
      <c r="I4" s="109"/>
      <c r="J4" s="109"/>
      <c r="K4" s="109"/>
      <c r="L4" s="109"/>
      <c r="M4" s="109"/>
      <c r="N4" s="109"/>
      <c r="O4" s="109"/>
      <c r="P4" s="109"/>
      <c r="Q4" s="109"/>
      <c r="R4" s="109"/>
      <c r="S4" s="109"/>
      <c r="T4" s="109"/>
    </row>
    <row r="5" spans="1:20" x14ac:dyDescent="0.25">
      <c r="A5" s="109" t="s">
        <v>313</v>
      </c>
      <c r="B5" s="109"/>
      <c r="C5" s="109"/>
      <c r="D5" s="109"/>
      <c r="E5" s="109"/>
      <c r="F5" s="109"/>
      <c r="G5" s="109"/>
      <c r="H5" s="109"/>
      <c r="I5" s="109"/>
      <c r="J5" s="109"/>
      <c r="K5" s="109"/>
      <c r="L5" s="109"/>
      <c r="M5" s="109"/>
      <c r="N5" s="109"/>
      <c r="O5" s="109"/>
      <c r="P5" s="109"/>
      <c r="Q5" s="496"/>
      <c r="R5" s="109"/>
      <c r="S5" s="109"/>
      <c r="T5" s="109"/>
    </row>
    <row r="6" spans="1:20" x14ac:dyDescent="0.25">
      <c r="E6" s="47"/>
      <c r="F6" s="47"/>
      <c r="G6" s="242"/>
      <c r="H6" s="173"/>
      <c r="Q6" s="496"/>
    </row>
    <row r="7" spans="1:20"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row>
    <row r="8" spans="1:20"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5" t="s">
        <v>28</v>
      </c>
      <c r="B10" s="17" t="s">
        <v>13</v>
      </c>
      <c r="C10" s="69" t="s">
        <v>31</v>
      </c>
      <c r="D10" s="406" t="s">
        <v>30</v>
      </c>
      <c r="E10" s="69" t="s">
        <v>98</v>
      </c>
      <c r="F10" s="223" t="s">
        <v>36</v>
      </c>
      <c r="G10" s="407">
        <v>8517</v>
      </c>
      <c r="H10" s="407">
        <v>7379</v>
      </c>
      <c r="I10" s="408">
        <v>76.895499999999998</v>
      </c>
      <c r="J10" s="408">
        <v>76.132300000000001</v>
      </c>
      <c r="K10" s="409"/>
      <c r="L10" s="409"/>
      <c r="M10" s="409"/>
      <c r="N10" s="458">
        <v>77.180000000000007</v>
      </c>
      <c r="O10" s="407">
        <v>1216622.03</v>
      </c>
      <c r="P10" s="409">
        <v>228116.63</v>
      </c>
      <c r="Q10" s="409">
        <v>182493.3</v>
      </c>
      <c r="R10" s="199">
        <v>0.15</v>
      </c>
      <c r="S10" s="409">
        <v>45623.33</v>
      </c>
      <c r="T10" s="236">
        <v>3.7499999999999999E-2</v>
      </c>
    </row>
    <row r="11" spans="1:20" ht="12.75" customHeight="1" x14ac:dyDescent="0.25">
      <c r="A11" s="405" t="s">
        <v>28</v>
      </c>
      <c r="B11" s="17" t="s">
        <v>14</v>
      </c>
      <c r="C11" s="69" t="s">
        <v>31</v>
      </c>
      <c r="D11" s="406" t="s">
        <v>30</v>
      </c>
      <c r="E11" s="69" t="s">
        <v>98</v>
      </c>
      <c r="F11" s="223" t="s">
        <v>55</v>
      </c>
      <c r="G11" s="407">
        <v>47099.049500000001</v>
      </c>
      <c r="H11" s="407">
        <v>40893.949999999997</v>
      </c>
      <c r="I11" s="408">
        <v>3.8742999999999999</v>
      </c>
      <c r="J11" s="408">
        <v>3.8742999999999999</v>
      </c>
      <c r="K11" s="409"/>
      <c r="L11" s="409"/>
      <c r="M11" s="409"/>
      <c r="N11" s="458">
        <v>216.11</v>
      </c>
      <c r="O11" s="407">
        <v>340695.17000000004</v>
      </c>
      <c r="P11" s="409">
        <v>63880.34</v>
      </c>
      <c r="Q11" s="409">
        <v>51104.28</v>
      </c>
      <c r="R11" s="199">
        <v>0.15</v>
      </c>
      <c r="S11" s="409">
        <v>12776.07</v>
      </c>
      <c r="T11" s="236">
        <v>3.7499999999999999E-2</v>
      </c>
    </row>
    <row r="12" spans="1:20" x14ac:dyDescent="0.25">
      <c r="A12" s="405" t="s">
        <v>28</v>
      </c>
      <c r="B12" s="17" t="s">
        <v>3</v>
      </c>
      <c r="C12" s="69" t="s">
        <v>31</v>
      </c>
      <c r="D12" s="406" t="s">
        <v>30</v>
      </c>
      <c r="E12" s="69" t="s">
        <v>98</v>
      </c>
      <c r="F12" s="223" t="s">
        <v>36</v>
      </c>
      <c r="G12" s="407">
        <v>5065</v>
      </c>
      <c r="H12" s="407">
        <v>4040</v>
      </c>
      <c r="I12" s="408">
        <v>75.747799999999998</v>
      </c>
      <c r="J12" s="408">
        <v>74.839100000000002</v>
      </c>
      <c r="K12" s="409"/>
      <c r="L12" s="409"/>
      <c r="M12" s="409"/>
      <c r="N12" s="458">
        <v>620.54999999999995</v>
      </c>
      <c r="O12" s="407">
        <v>685392.02</v>
      </c>
      <c r="P12" s="409">
        <v>128511</v>
      </c>
      <c r="Q12" s="409">
        <v>102808.8</v>
      </c>
      <c r="R12" s="199">
        <v>0.15</v>
      </c>
      <c r="S12" s="409">
        <v>25702.2</v>
      </c>
      <c r="T12" s="236">
        <v>3.7499999999999999E-2</v>
      </c>
    </row>
    <row r="13" spans="1:20" x14ac:dyDescent="0.25">
      <c r="A13" s="411" t="s">
        <v>28</v>
      </c>
      <c r="B13" s="412" t="s">
        <v>172</v>
      </c>
      <c r="C13" s="69" t="s">
        <v>31</v>
      </c>
      <c r="D13" s="406" t="s">
        <v>30</v>
      </c>
      <c r="E13" s="69" t="s">
        <v>98</v>
      </c>
      <c r="F13" s="223" t="s">
        <v>55</v>
      </c>
      <c r="G13" s="407">
        <v>17210.9663</v>
      </c>
      <c r="H13" s="407">
        <v>13902.47</v>
      </c>
      <c r="I13" s="408">
        <v>2.8113999999999999</v>
      </c>
      <c r="J13" s="408">
        <v>2.8113999999999999</v>
      </c>
      <c r="K13" s="409"/>
      <c r="L13" s="409"/>
      <c r="M13" s="409"/>
      <c r="N13" s="458">
        <v>663.77</v>
      </c>
      <c r="O13" s="407">
        <v>86808.54</v>
      </c>
      <c r="P13" s="409">
        <v>16276.6</v>
      </c>
      <c r="Q13" s="409">
        <v>13021.28</v>
      </c>
      <c r="R13" s="199">
        <v>0.15</v>
      </c>
      <c r="S13" s="409">
        <v>3255.32</v>
      </c>
      <c r="T13" s="236">
        <v>3.7499999999999999E-2</v>
      </c>
    </row>
    <row r="14" spans="1:20" x14ac:dyDescent="0.25">
      <c r="A14" s="405" t="s">
        <v>28</v>
      </c>
      <c r="B14" s="17" t="s">
        <v>4</v>
      </c>
      <c r="C14" s="69" t="s">
        <v>31</v>
      </c>
      <c r="D14" s="406" t="s">
        <v>30</v>
      </c>
      <c r="E14" s="69" t="s">
        <v>98</v>
      </c>
      <c r="F14" s="223" t="s">
        <v>36</v>
      </c>
      <c r="G14" s="407">
        <v>26790</v>
      </c>
      <c r="H14" s="407">
        <v>26756</v>
      </c>
      <c r="I14" s="408">
        <v>76.895499999999998</v>
      </c>
      <c r="J14" s="408">
        <v>76.132300000000001</v>
      </c>
      <c r="K14" s="409"/>
      <c r="L14" s="409"/>
      <c r="M14" s="409"/>
      <c r="N14" s="458">
        <v>1043.18</v>
      </c>
      <c r="O14" s="407">
        <v>4095983.09</v>
      </c>
      <c r="P14" s="409">
        <v>767996.83</v>
      </c>
      <c r="Q14" s="409">
        <v>614397.46</v>
      </c>
      <c r="R14" s="199">
        <v>0.15</v>
      </c>
      <c r="S14" s="409">
        <v>153599.37</v>
      </c>
      <c r="T14" s="236">
        <v>3.7499999999999999E-2</v>
      </c>
    </row>
    <row r="15" spans="1:20" x14ac:dyDescent="0.25">
      <c r="A15" s="405" t="s">
        <v>28</v>
      </c>
      <c r="B15" s="17" t="s">
        <v>300</v>
      </c>
      <c r="C15" s="69" t="s">
        <v>31</v>
      </c>
      <c r="D15" s="406" t="s">
        <v>30</v>
      </c>
      <c r="E15" s="69" t="s">
        <v>98</v>
      </c>
      <c r="F15" s="223" t="s">
        <v>55</v>
      </c>
      <c r="G15" s="407">
        <v>18574.126400000001</v>
      </c>
      <c r="H15" s="407">
        <v>20553.099999999999</v>
      </c>
      <c r="I15" s="408">
        <v>3.2</v>
      </c>
      <c r="J15" s="408">
        <v>3.2</v>
      </c>
      <c r="K15" s="409"/>
      <c r="L15" s="409"/>
      <c r="M15" s="409"/>
      <c r="N15" s="409"/>
      <c r="O15" s="410">
        <v>125207.12</v>
      </c>
      <c r="P15" s="409">
        <v>23476.34</v>
      </c>
      <c r="Q15" s="409">
        <v>18781.07</v>
      </c>
      <c r="R15" s="199">
        <v>0.15</v>
      </c>
      <c r="S15" s="409">
        <v>4695.2700000000004</v>
      </c>
      <c r="T15" s="236">
        <v>3.7499999999999999E-2</v>
      </c>
    </row>
    <row r="16" spans="1:20" x14ac:dyDescent="0.25">
      <c r="A16" s="405" t="s">
        <v>28</v>
      </c>
      <c r="B16" s="17" t="s">
        <v>5</v>
      </c>
      <c r="C16" s="69" t="s">
        <v>31</v>
      </c>
      <c r="D16" s="406" t="s">
        <v>30</v>
      </c>
      <c r="E16" s="69" t="s">
        <v>98</v>
      </c>
      <c r="F16" s="223" t="s">
        <v>36</v>
      </c>
      <c r="G16" s="407">
        <v>38808</v>
      </c>
      <c r="H16" s="407">
        <v>34352</v>
      </c>
      <c r="I16" s="408">
        <v>76.895499999999998</v>
      </c>
      <c r="J16" s="408">
        <v>76.132300000000001</v>
      </c>
      <c r="K16" s="409"/>
      <c r="L16" s="409"/>
      <c r="M16" s="409"/>
      <c r="N16" s="458">
        <v>1743.99</v>
      </c>
      <c r="O16" s="407">
        <v>5597713.3399999999</v>
      </c>
      <c r="P16" s="409">
        <v>1049571.25</v>
      </c>
      <c r="Q16" s="409">
        <v>839657</v>
      </c>
      <c r="R16" s="199">
        <v>0.15</v>
      </c>
      <c r="S16" s="409">
        <v>209914.25</v>
      </c>
      <c r="T16" s="236">
        <v>3.7499999999999999E-2</v>
      </c>
    </row>
    <row r="17" spans="1:22" x14ac:dyDescent="0.25">
      <c r="A17" s="405" t="s">
        <v>28</v>
      </c>
      <c r="B17" s="17" t="s">
        <v>282</v>
      </c>
      <c r="C17" s="69" t="s">
        <v>31</v>
      </c>
      <c r="D17" s="406" t="s">
        <v>30</v>
      </c>
      <c r="E17" s="69" t="s">
        <v>98</v>
      </c>
      <c r="F17" s="223" t="s">
        <v>36</v>
      </c>
      <c r="G17" s="407">
        <v>55693.4764</v>
      </c>
      <c r="H17" s="407">
        <v>34431.22</v>
      </c>
      <c r="I17" s="408">
        <v>3.6855000000000002</v>
      </c>
      <c r="J17" s="408">
        <v>3.6855000000000002</v>
      </c>
      <c r="K17" s="409"/>
      <c r="L17" s="409"/>
      <c r="M17" s="409"/>
      <c r="N17" s="458">
        <v>601.69000000000005</v>
      </c>
      <c r="O17" s="407">
        <v>331552.88</v>
      </c>
      <c r="P17" s="409">
        <v>62166.17</v>
      </c>
      <c r="Q17" s="409">
        <v>49732.93</v>
      </c>
      <c r="R17" s="199">
        <v>0.15</v>
      </c>
      <c r="S17" s="409">
        <v>12433.23</v>
      </c>
      <c r="T17" s="236">
        <v>3.7499999999999999E-2</v>
      </c>
    </row>
    <row r="18" spans="1:22" x14ac:dyDescent="0.25">
      <c r="A18" s="405" t="s">
        <v>28</v>
      </c>
      <c r="B18" s="17" t="s">
        <v>17</v>
      </c>
      <c r="C18" s="69" t="s">
        <v>31</v>
      </c>
      <c r="D18" s="406" t="s">
        <v>30</v>
      </c>
      <c r="E18" s="69" t="s">
        <v>98</v>
      </c>
      <c r="F18" s="223" t="s">
        <v>36</v>
      </c>
      <c r="G18" s="407">
        <v>3363</v>
      </c>
      <c r="H18" s="407">
        <v>3195</v>
      </c>
      <c r="I18" s="408">
        <v>75.802000000000007</v>
      </c>
      <c r="J18" s="408">
        <v>74.839399999999998</v>
      </c>
      <c r="K18" s="409"/>
      <c r="L18" s="409"/>
      <c r="M18" s="409"/>
      <c r="N18" s="458">
        <v>404.44</v>
      </c>
      <c r="O18" s="410">
        <v>493629.57</v>
      </c>
      <c r="P18" s="409">
        <v>92555.54</v>
      </c>
      <c r="Q18" s="409">
        <v>74044.44</v>
      </c>
      <c r="R18" s="199">
        <v>0.15</v>
      </c>
      <c r="S18" s="409">
        <v>18511.11</v>
      </c>
      <c r="T18" s="236">
        <v>3.7499999999999999E-2</v>
      </c>
    </row>
    <row r="19" spans="1:22" x14ac:dyDescent="0.25">
      <c r="A19" s="468" t="s">
        <v>28</v>
      </c>
      <c r="B19" s="403" t="s">
        <v>293</v>
      </c>
      <c r="C19" s="69" t="s">
        <v>31</v>
      </c>
      <c r="D19" s="406" t="s">
        <v>30</v>
      </c>
      <c r="E19" s="69" t="s">
        <v>98</v>
      </c>
      <c r="F19" s="223" t="s">
        <v>36</v>
      </c>
      <c r="G19" s="407">
        <v>21067</v>
      </c>
      <c r="H19" s="407">
        <v>22528</v>
      </c>
      <c r="I19" s="417">
        <v>76.895499999999998</v>
      </c>
      <c r="J19" s="408">
        <v>76.132300000000001</v>
      </c>
      <c r="K19" s="409"/>
      <c r="L19" s="409"/>
      <c r="M19" s="409"/>
      <c r="N19" s="458">
        <v>487.79</v>
      </c>
      <c r="O19" s="410">
        <v>3334578.16</v>
      </c>
      <c r="P19" s="409">
        <v>625233.41</v>
      </c>
      <c r="Q19" s="409">
        <v>500186.72</v>
      </c>
      <c r="R19" s="199">
        <v>0.15</v>
      </c>
      <c r="S19" s="409">
        <v>125046.68</v>
      </c>
      <c r="T19" s="236">
        <v>3.7499999999999999E-2</v>
      </c>
    </row>
    <row r="20" spans="1:22" x14ac:dyDescent="0.25">
      <c r="A20" s="468" t="s">
        <v>28</v>
      </c>
      <c r="B20" s="403" t="s">
        <v>294</v>
      </c>
      <c r="C20" s="69" t="s">
        <v>31</v>
      </c>
      <c r="D20" s="406" t="s">
        <v>30</v>
      </c>
      <c r="E20" s="69" t="s">
        <v>98</v>
      </c>
      <c r="F20" s="223" t="s">
        <v>55</v>
      </c>
      <c r="G20" s="407">
        <v>53493.5959</v>
      </c>
      <c r="H20" s="407">
        <v>48445.58</v>
      </c>
      <c r="I20" s="417">
        <v>3.9039000000000001</v>
      </c>
      <c r="J20" s="408">
        <v>3.9039000000000001</v>
      </c>
      <c r="K20" s="409"/>
      <c r="L20" s="409"/>
      <c r="M20" s="409"/>
      <c r="N20" s="458">
        <v>209.93</v>
      </c>
      <c r="O20" s="410">
        <v>397750.42</v>
      </c>
      <c r="P20" s="409">
        <v>74578.2</v>
      </c>
      <c r="Q20" s="409">
        <v>59662.559999999998</v>
      </c>
      <c r="R20" s="199">
        <v>0.15</v>
      </c>
      <c r="S20" s="409">
        <v>14915.64</v>
      </c>
      <c r="T20" s="236">
        <v>3.7499999999999999E-2</v>
      </c>
    </row>
    <row r="21" spans="1:22" x14ac:dyDescent="0.25">
      <c r="A21" s="468" t="s">
        <v>28</v>
      </c>
      <c r="B21" s="403" t="s">
        <v>295</v>
      </c>
      <c r="C21" s="69" t="s">
        <v>31</v>
      </c>
      <c r="D21" s="406" t="s">
        <v>30</v>
      </c>
      <c r="E21" s="69" t="s">
        <v>98</v>
      </c>
      <c r="F21" s="223" t="s">
        <v>36</v>
      </c>
      <c r="G21" s="407">
        <v>13403</v>
      </c>
      <c r="H21" s="407">
        <v>12376</v>
      </c>
      <c r="I21" s="417">
        <v>75.802000000000007</v>
      </c>
      <c r="J21" s="408">
        <v>74.839399999999998</v>
      </c>
      <c r="K21" s="409"/>
      <c r="L21" s="409"/>
      <c r="M21" s="409"/>
      <c r="N21" s="458">
        <v>240.81</v>
      </c>
      <c r="O21" s="410">
        <v>1941945.81</v>
      </c>
      <c r="P21" s="409">
        <v>364114.84</v>
      </c>
      <c r="Q21" s="409">
        <v>291291.87</v>
      </c>
      <c r="R21" s="199">
        <v>0.15</v>
      </c>
      <c r="S21" s="409">
        <v>72822.97</v>
      </c>
      <c r="T21" s="236">
        <v>3.7499999999999999E-2</v>
      </c>
    </row>
    <row r="22" spans="1:22" x14ac:dyDescent="0.25">
      <c r="A22" s="405" t="s">
        <v>28</v>
      </c>
      <c r="B22" s="17" t="s">
        <v>18</v>
      </c>
      <c r="C22" s="69" t="s">
        <v>31</v>
      </c>
      <c r="D22" s="406" t="s">
        <v>30</v>
      </c>
      <c r="E22" s="69" t="s">
        <v>98</v>
      </c>
      <c r="F22" s="223" t="s">
        <v>36</v>
      </c>
      <c r="G22" s="407">
        <v>1723</v>
      </c>
      <c r="H22" s="407">
        <v>1746</v>
      </c>
      <c r="I22" s="408">
        <v>76.895499999999998</v>
      </c>
      <c r="J22" s="408">
        <v>76.132300000000001</v>
      </c>
      <c r="K22" s="409"/>
      <c r="L22" s="409"/>
      <c r="M22" s="409"/>
      <c r="N22" s="458">
        <v>259.33</v>
      </c>
      <c r="O22" s="410">
        <v>265158.62</v>
      </c>
      <c r="P22" s="409">
        <v>49717.24</v>
      </c>
      <c r="Q22" s="409">
        <v>39773.79</v>
      </c>
      <c r="R22" s="199">
        <v>0.15</v>
      </c>
      <c r="S22" s="409">
        <v>9943.4500000000007</v>
      </c>
      <c r="T22" s="236">
        <v>3.7499999999999999E-2</v>
      </c>
    </row>
    <row r="23" spans="1:22" x14ac:dyDescent="0.25">
      <c r="A23" s="405" t="s">
        <v>28</v>
      </c>
      <c r="B23" s="17" t="s">
        <v>20</v>
      </c>
      <c r="C23" s="69" t="s">
        <v>31</v>
      </c>
      <c r="D23" s="406" t="s">
        <v>30</v>
      </c>
      <c r="E23" s="69" t="s">
        <v>98</v>
      </c>
      <c r="F23" s="223" t="s">
        <v>36</v>
      </c>
      <c r="G23" s="407">
        <v>118603</v>
      </c>
      <c r="H23" s="407">
        <v>100877</v>
      </c>
      <c r="I23" s="408">
        <v>76.533199999999994</v>
      </c>
      <c r="J23" s="408">
        <v>75.565700000000007</v>
      </c>
      <c r="K23" s="409"/>
      <c r="L23" s="409"/>
      <c r="M23" s="409"/>
      <c r="N23" s="458">
        <v>1201.19</v>
      </c>
      <c r="O23" s="410">
        <v>16698707.049999999</v>
      </c>
      <c r="P23" s="409">
        <v>3131007.57</v>
      </c>
      <c r="Q23" s="409">
        <v>2504806.06</v>
      </c>
      <c r="R23" s="199">
        <v>0.15</v>
      </c>
      <c r="S23" s="409">
        <v>626201.51</v>
      </c>
      <c r="T23" s="236">
        <v>3.7499999999999999E-2</v>
      </c>
    </row>
    <row r="24" spans="1:22" x14ac:dyDescent="0.25">
      <c r="A24" s="405" t="s">
        <v>28</v>
      </c>
      <c r="B24" s="17" t="s">
        <v>8</v>
      </c>
      <c r="C24" s="69" t="s">
        <v>31</v>
      </c>
      <c r="D24" s="406" t="s">
        <v>30</v>
      </c>
      <c r="E24" s="69" t="s">
        <v>98</v>
      </c>
      <c r="F24" s="223" t="s">
        <v>55</v>
      </c>
      <c r="G24" s="407">
        <v>203371.05</v>
      </c>
      <c r="H24" s="407">
        <v>177675.49</v>
      </c>
      <c r="I24" s="408">
        <v>2.9</v>
      </c>
      <c r="J24" s="408">
        <v>2.9</v>
      </c>
      <c r="K24" s="409"/>
      <c r="L24" s="409"/>
      <c r="M24" s="409"/>
      <c r="N24" s="458">
        <v>917.16</v>
      </c>
      <c r="O24" s="410">
        <v>1104117.81</v>
      </c>
      <c r="P24" s="409">
        <v>207022.09</v>
      </c>
      <c r="Q24" s="409">
        <v>165617.67000000001</v>
      </c>
      <c r="R24" s="199">
        <v>0.15</v>
      </c>
      <c r="S24" s="409">
        <v>41404.42</v>
      </c>
      <c r="T24" s="236">
        <v>3.7499999999999999E-2</v>
      </c>
    </row>
    <row r="25" spans="1:22" x14ac:dyDescent="0.25">
      <c r="A25" s="405" t="s">
        <v>28</v>
      </c>
      <c r="B25" s="17" t="s">
        <v>9</v>
      </c>
      <c r="C25" s="69" t="s">
        <v>31</v>
      </c>
      <c r="D25" s="406" t="s">
        <v>30</v>
      </c>
      <c r="E25" s="69" t="s">
        <v>98</v>
      </c>
      <c r="F25" s="223" t="s">
        <v>36</v>
      </c>
      <c r="G25" s="407">
        <v>289</v>
      </c>
      <c r="H25" s="407">
        <v>215</v>
      </c>
      <c r="I25" s="408">
        <v>75.802000000000007</v>
      </c>
      <c r="J25" s="408">
        <v>74.839399999999998</v>
      </c>
      <c r="K25" s="409"/>
      <c r="L25" s="409"/>
      <c r="M25" s="409"/>
      <c r="N25" s="458">
        <v>280.94</v>
      </c>
      <c r="O25" s="410">
        <v>37716.31</v>
      </c>
      <c r="P25" s="409">
        <v>7071.81</v>
      </c>
      <c r="Q25" s="409">
        <v>5657.45</v>
      </c>
      <c r="R25" s="199">
        <v>0.15</v>
      </c>
      <c r="S25" s="409">
        <v>1414.36</v>
      </c>
      <c r="T25" s="236">
        <v>3.7499999999999999E-2</v>
      </c>
    </row>
    <row r="26" spans="1:22" x14ac:dyDescent="0.25">
      <c r="A26" s="405" t="s">
        <v>28</v>
      </c>
      <c r="B26" s="17" t="s">
        <v>165</v>
      </c>
      <c r="C26" s="69" t="s">
        <v>31</v>
      </c>
      <c r="D26" s="406" t="s">
        <v>30</v>
      </c>
      <c r="E26" s="69" t="s">
        <v>98</v>
      </c>
      <c r="F26" s="223" t="s">
        <v>36</v>
      </c>
      <c r="G26" s="407">
        <v>14009</v>
      </c>
      <c r="H26" s="407">
        <v>11945</v>
      </c>
      <c r="I26" s="408">
        <v>74.155500000000004</v>
      </c>
      <c r="J26" s="408">
        <v>76.132300000000001</v>
      </c>
      <c r="K26" s="409"/>
      <c r="L26" s="409"/>
      <c r="M26" s="409"/>
      <c r="N26" s="458">
        <v>2676.69</v>
      </c>
      <c r="O26" s="410">
        <v>1945568.03</v>
      </c>
      <c r="P26" s="409">
        <v>364794.01</v>
      </c>
      <c r="Q26" s="409">
        <v>291835.2</v>
      </c>
      <c r="R26" s="199">
        <v>0.15</v>
      </c>
      <c r="S26" s="409">
        <v>72958.8</v>
      </c>
      <c r="T26" s="236">
        <v>3.7499999999999999E-2</v>
      </c>
    </row>
    <row r="27" spans="1:22" x14ac:dyDescent="0.25">
      <c r="A27" s="405" t="s">
        <v>28</v>
      </c>
      <c r="B27" s="17" t="s">
        <v>157</v>
      </c>
      <c r="C27" s="69" t="s">
        <v>31</v>
      </c>
      <c r="D27" s="406" t="s">
        <v>30</v>
      </c>
      <c r="E27" s="69" t="s">
        <v>98</v>
      </c>
      <c r="F27" s="223" t="s">
        <v>55</v>
      </c>
      <c r="G27" s="458">
        <v>427489.25999999995</v>
      </c>
      <c r="H27" s="458">
        <v>336512.31000000006</v>
      </c>
      <c r="I27" s="417">
        <v>3.2529123421720585</v>
      </c>
      <c r="J27" s="417">
        <v>3.3837230798481035</v>
      </c>
      <c r="K27" s="409"/>
      <c r="L27" s="409"/>
      <c r="M27" s="409"/>
      <c r="N27" s="458">
        <v>1114.52</v>
      </c>
      <c r="O27" s="410">
        <v>2529249.5599999996</v>
      </c>
      <c r="P27" s="410">
        <v>474234.29000000004</v>
      </c>
      <c r="Q27" s="410">
        <v>379387.43000000005</v>
      </c>
      <c r="R27" s="199">
        <v>0.15</v>
      </c>
      <c r="S27" s="410">
        <v>94846.86</v>
      </c>
      <c r="T27" s="236">
        <v>3.7499999999999999E-2</v>
      </c>
    </row>
    <row r="28" spans="1:22" x14ac:dyDescent="0.25">
      <c r="A28" s="405" t="s">
        <v>28</v>
      </c>
      <c r="B28" s="17" t="s">
        <v>170</v>
      </c>
      <c r="C28" s="69" t="s">
        <v>31</v>
      </c>
      <c r="D28" s="406" t="s">
        <v>30</v>
      </c>
      <c r="E28" s="69" t="s">
        <v>98</v>
      </c>
      <c r="F28" s="223" t="s">
        <v>36</v>
      </c>
      <c r="G28" s="407">
        <v>175</v>
      </c>
      <c r="H28" s="407">
        <v>148</v>
      </c>
      <c r="I28" s="408">
        <v>76.895499999999998</v>
      </c>
      <c r="J28" s="408">
        <v>76.132300000000001</v>
      </c>
      <c r="K28" s="409"/>
      <c r="L28" s="409"/>
      <c r="M28" s="409"/>
      <c r="N28" s="458">
        <v>166.71</v>
      </c>
      <c r="O28" s="410">
        <v>24557.58</v>
      </c>
      <c r="P28" s="409">
        <v>4604.55</v>
      </c>
      <c r="Q28" s="409">
        <v>920.91</v>
      </c>
      <c r="R28" s="473">
        <v>3.7499999999999999E-2</v>
      </c>
      <c r="S28" s="409">
        <v>3683.64</v>
      </c>
      <c r="T28" s="199">
        <v>0.15</v>
      </c>
    </row>
    <row r="29" spans="1:22" x14ac:dyDescent="0.25">
      <c r="A29" s="405" t="s">
        <v>28</v>
      </c>
      <c r="B29" s="17" t="s">
        <v>166</v>
      </c>
      <c r="C29" s="69" t="s">
        <v>31</v>
      </c>
      <c r="D29" s="406" t="s">
        <v>30</v>
      </c>
      <c r="E29" s="69" t="s">
        <v>98</v>
      </c>
      <c r="F29" s="223" t="s">
        <v>36</v>
      </c>
      <c r="G29" s="407"/>
      <c r="H29" s="407"/>
      <c r="I29" s="408"/>
      <c r="J29" s="408"/>
      <c r="K29" s="409"/>
      <c r="L29" s="409"/>
      <c r="M29" s="409"/>
      <c r="N29" s="458">
        <v>842.83</v>
      </c>
      <c r="O29" s="410">
        <v>-842.83</v>
      </c>
      <c r="P29" s="409">
        <v>-158.03</v>
      </c>
      <c r="Q29" s="409">
        <v>-31.61</v>
      </c>
      <c r="R29" s="473">
        <v>3.7499999999999999E-2</v>
      </c>
      <c r="S29" s="409">
        <v>-126.42</v>
      </c>
      <c r="T29" s="199">
        <v>0.15</v>
      </c>
      <c r="V29" s="290"/>
    </row>
    <row r="30" spans="1:22" x14ac:dyDescent="0.25">
      <c r="A30" s="413" t="s">
        <v>28</v>
      </c>
      <c r="B30" s="414" t="s">
        <v>296</v>
      </c>
      <c r="C30" s="69" t="s">
        <v>31</v>
      </c>
      <c r="D30" s="406" t="s">
        <v>30</v>
      </c>
      <c r="E30" s="69" t="s">
        <v>98</v>
      </c>
      <c r="F30" s="223" t="s">
        <v>36</v>
      </c>
      <c r="G30" s="458">
        <v>49693</v>
      </c>
      <c r="H30" s="458">
        <v>56963</v>
      </c>
      <c r="I30" s="408">
        <v>75.352999999999994</v>
      </c>
      <c r="J30" s="408">
        <v>74.555999999999997</v>
      </c>
      <c r="K30" s="407"/>
      <c r="L30" s="409"/>
      <c r="M30" s="409"/>
      <c r="N30" s="458">
        <v>429.13</v>
      </c>
      <c r="O30" s="410">
        <v>7991020.9299999997</v>
      </c>
      <c r="P30" s="409">
        <v>1498316.42</v>
      </c>
      <c r="Q30" s="409">
        <v>1198653.1399999999</v>
      </c>
      <c r="R30" s="227">
        <v>0.15</v>
      </c>
      <c r="S30" s="409">
        <v>299663.28000000003</v>
      </c>
      <c r="T30" s="236">
        <v>3.7499999999999999E-2</v>
      </c>
    </row>
    <row r="31" spans="1:22" x14ac:dyDescent="0.25">
      <c r="A31" s="413" t="s">
        <v>28</v>
      </c>
      <c r="B31" s="414" t="s">
        <v>297</v>
      </c>
      <c r="C31" s="69" t="s">
        <v>31</v>
      </c>
      <c r="D31" s="406" t="s">
        <v>30</v>
      </c>
      <c r="E31" s="69" t="s">
        <v>98</v>
      </c>
      <c r="F31" s="223" t="s">
        <v>55</v>
      </c>
      <c r="G31" s="458">
        <v>114976.54</v>
      </c>
      <c r="H31" s="458">
        <v>98293.75</v>
      </c>
      <c r="I31" s="417">
        <v>2.754974971415908</v>
      </c>
      <c r="J31" s="408">
        <v>2.7559205951548296</v>
      </c>
      <c r="K31" s="407"/>
      <c r="L31" s="409"/>
      <c r="M31" s="409"/>
      <c r="N31" s="458">
        <v>379.74</v>
      </c>
      <c r="O31" s="410">
        <v>587647.26</v>
      </c>
      <c r="P31" s="410">
        <v>110183.86</v>
      </c>
      <c r="Q31" s="410">
        <v>88147.079999999987</v>
      </c>
      <c r="R31" s="227">
        <v>0.15</v>
      </c>
      <c r="S31" s="410">
        <v>22036.78</v>
      </c>
      <c r="T31" s="236">
        <v>3.7499999999999999E-2</v>
      </c>
    </row>
    <row r="32" spans="1:22" x14ac:dyDescent="0.25">
      <c r="A32" s="413" t="s">
        <v>28</v>
      </c>
      <c r="B32" s="414" t="s">
        <v>298</v>
      </c>
      <c r="C32" s="69" t="s">
        <v>31</v>
      </c>
      <c r="D32" s="406" t="s">
        <v>30</v>
      </c>
      <c r="E32" s="69" t="s">
        <v>98</v>
      </c>
      <c r="F32" s="223" t="s">
        <v>36</v>
      </c>
      <c r="G32" s="458">
        <v>10821</v>
      </c>
      <c r="H32" s="458">
        <v>9439</v>
      </c>
      <c r="I32" s="408">
        <v>46.971899999999998</v>
      </c>
      <c r="J32" s="408">
        <v>45.675899999999999</v>
      </c>
      <c r="K32" s="407"/>
      <c r="L32" s="409"/>
      <c r="M32" s="409"/>
      <c r="N32" s="458">
        <v>413.7</v>
      </c>
      <c r="O32" s="410">
        <v>939004.05</v>
      </c>
      <c r="P32" s="409">
        <v>176063.26</v>
      </c>
      <c r="Q32" s="409">
        <v>140850.60999999999</v>
      </c>
      <c r="R32" s="227">
        <v>0.15</v>
      </c>
      <c r="S32" s="409">
        <v>35212.65</v>
      </c>
      <c r="T32" s="236">
        <v>3.7499999999999999E-2</v>
      </c>
    </row>
    <row r="33" spans="1:22" x14ac:dyDescent="0.25">
      <c r="A33" s="413" t="s">
        <v>28</v>
      </c>
      <c r="B33" s="414" t="s">
        <v>51</v>
      </c>
      <c r="C33" s="415"/>
      <c r="D33" s="415"/>
      <c r="E33" s="416"/>
      <c r="F33" s="223"/>
      <c r="G33" s="409"/>
      <c r="H33" s="409"/>
      <c r="I33" s="417"/>
      <c r="J33" s="417"/>
      <c r="K33" s="409"/>
      <c r="L33" s="409"/>
      <c r="M33" s="497"/>
      <c r="N33" s="409"/>
      <c r="O33" s="410">
        <v>-3818010.0100000007</v>
      </c>
      <c r="P33" s="410">
        <v>-715876.85</v>
      </c>
      <c r="Q33" s="410">
        <v>-572701.52</v>
      </c>
      <c r="R33" s="227"/>
      <c r="S33" s="410">
        <v>-143175.39999999997</v>
      </c>
      <c r="T33" s="199"/>
      <c r="V33" s="147"/>
    </row>
    <row r="34" spans="1:22" x14ac:dyDescent="0.25">
      <c r="A34" s="24"/>
      <c r="B34" s="127" t="s">
        <v>105</v>
      </c>
      <c r="C34" s="25" t="s">
        <v>283</v>
      </c>
      <c r="D34" s="30"/>
      <c r="E34" s="31"/>
      <c r="F34" s="224"/>
      <c r="G34" s="418"/>
      <c r="H34" s="418"/>
      <c r="I34" s="419"/>
      <c r="J34" s="419"/>
      <c r="K34" s="418"/>
      <c r="L34" s="418"/>
      <c r="M34" s="418"/>
      <c r="N34" s="420"/>
      <c r="O34" s="420">
        <v>46951772.510000005</v>
      </c>
      <c r="P34" s="420">
        <v>8803457.3699999992</v>
      </c>
      <c r="Q34" s="420">
        <v>7040097.9199999999</v>
      </c>
      <c r="R34" s="207"/>
      <c r="S34" s="420">
        <v>1763359.37</v>
      </c>
      <c r="T34" s="476">
        <v>0</v>
      </c>
      <c r="V34" s="507"/>
    </row>
    <row r="35" spans="1:22" x14ac:dyDescent="0.25">
      <c r="A35" s="102"/>
      <c r="B35" s="265"/>
      <c r="C35" s="25" t="s">
        <v>284</v>
      </c>
      <c r="D35" s="415"/>
      <c r="E35" s="415"/>
      <c r="F35" s="115"/>
      <c r="G35" s="421"/>
      <c r="H35" s="421"/>
      <c r="I35" s="422"/>
      <c r="J35" s="422"/>
      <c r="K35" s="421"/>
      <c r="L35" s="421"/>
      <c r="M35" s="421"/>
      <c r="N35" s="421"/>
      <c r="O35" s="423"/>
      <c r="P35" s="424">
        <v>31921336.420000002</v>
      </c>
      <c r="Q35" s="425">
        <v>25527395.059999999</v>
      </c>
      <c r="R35" s="117"/>
      <c r="S35" s="426">
        <v>6393941.0800000001</v>
      </c>
      <c r="T35" s="131"/>
      <c r="V35" s="507"/>
    </row>
    <row r="36" spans="1:22" ht="13" x14ac:dyDescent="0.3">
      <c r="A36" s="257" t="s">
        <v>22</v>
      </c>
      <c r="B36" s="11"/>
      <c r="C36" s="41"/>
      <c r="D36" s="41"/>
      <c r="E36" s="12"/>
      <c r="F36" s="27"/>
      <c r="G36" s="427"/>
      <c r="H36" s="427"/>
      <c r="I36" s="428"/>
      <c r="J36" s="428"/>
      <c r="K36" s="427"/>
      <c r="L36" s="427"/>
      <c r="M36" s="427"/>
      <c r="N36" s="427"/>
      <c r="O36" s="429"/>
      <c r="P36" s="427"/>
      <c r="Q36" s="211" t="s">
        <v>48</v>
      </c>
      <c r="R36" s="189"/>
      <c r="S36" s="430"/>
      <c r="T36" s="261"/>
    </row>
    <row r="37" spans="1:22" x14ac:dyDescent="0.25">
      <c r="A37" s="413" t="s">
        <v>28</v>
      </c>
      <c r="B37" s="22">
        <v>131</v>
      </c>
      <c r="C37" s="69" t="s">
        <v>31</v>
      </c>
      <c r="D37" s="406" t="s">
        <v>30</v>
      </c>
      <c r="E37" s="69" t="s">
        <v>98</v>
      </c>
      <c r="F37" s="190" t="s">
        <v>36</v>
      </c>
      <c r="G37" s="407">
        <v>9672</v>
      </c>
      <c r="H37" s="407">
        <v>7205</v>
      </c>
      <c r="I37" s="408">
        <v>64.548500000000004</v>
      </c>
      <c r="J37" s="408">
        <v>63.523499999999999</v>
      </c>
      <c r="K37" s="409"/>
      <c r="L37" s="409"/>
      <c r="M37" s="409"/>
      <c r="N37" s="458">
        <v>3321.93</v>
      </c>
      <c r="O37" s="410">
        <v>1078677.98</v>
      </c>
      <c r="P37" s="409">
        <v>161801.70000000001</v>
      </c>
      <c r="Q37" s="409">
        <v>161801.70000000001</v>
      </c>
      <c r="R37" s="199">
        <v>0.15</v>
      </c>
      <c r="S37" s="431"/>
      <c r="T37" s="202"/>
    </row>
    <row r="38" spans="1:22"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c r="V38" s="290"/>
    </row>
    <row r="39" spans="1:22" x14ac:dyDescent="0.25">
      <c r="A39" s="24"/>
      <c r="B39" s="127" t="s">
        <v>105</v>
      </c>
      <c r="C39" s="25" t="s">
        <v>285</v>
      </c>
      <c r="D39" s="30"/>
      <c r="E39" s="31"/>
      <c r="F39" s="30"/>
      <c r="G39" s="418"/>
      <c r="H39" s="418"/>
      <c r="I39" s="419"/>
      <c r="J39" s="419"/>
      <c r="K39" s="418"/>
      <c r="L39" s="418"/>
      <c r="M39" s="418"/>
      <c r="N39" s="418"/>
      <c r="O39" s="420">
        <v>1078677.98</v>
      </c>
      <c r="P39" s="420">
        <v>161801.70000000001</v>
      </c>
      <c r="Q39" s="420">
        <v>161801.70000000001</v>
      </c>
      <c r="R39" s="207"/>
      <c r="S39" s="420">
        <v>0</v>
      </c>
      <c r="T39" s="207"/>
    </row>
    <row r="40" spans="1:22" x14ac:dyDescent="0.25">
      <c r="A40" s="102"/>
      <c r="B40" s="265"/>
      <c r="C40" s="25" t="s">
        <v>286</v>
      </c>
      <c r="D40" s="415"/>
      <c r="E40" s="415"/>
      <c r="F40" s="115"/>
      <c r="G40" s="421"/>
      <c r="H40" s="421"/>
      <c r="I40" s="422"/>
      <c r="J40" s="422"/>
      <c r="K40" s="421"/>
      <c r="L40" s="421"/>
      <c r="M40" s="421"/>
      <c r="N40" s="421"/>
      <c r="O40" s="423"/>
      <c r="P40" s="424">
        <v>586692.96</v>
      </c>
      <c r="Q40" s="425">
        <v>586692.96</v>
      </c>
      <c r="R40" s="117"/>
      <c r="S40" s="424">
        <v>0</v>
      </c>
      <c r="T40" s="117"/>
      <c r="V40" s="290"/>
    </row>
    <row r="41" spans="1:22"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c r="V41" s="290"/>
    </row>
    <row r="42" spans="1:22" x14ac:dyDescent="0.25">
      <c r="A42" s="405" t="s">
        <v>28</v>
      </c>
      <c r="B42" s="22">
        <v>8</v>
      </c>
      <c r="C42" s="69" t="s">
        <v>31</v>
      </c>
      <c r="D42" s="69" t="s">
        <v>30</v>
      </c>
      <c r="E42" s="69" t="s">
        <v>98</v>
      </c>
      <c r="F42" s="217" t="s">
        <v>36</v>
      </c>
      <c r="G42" s="409">
        <v>17286</v>
      </c>
      <c r="H42" s="407">
        <v>48141</v>
      </c>
      <c r="I42" s="408">
        <v>63.142800000000001</v>
      </c>
      <c r="J42" s="408">
        <v>62.312800000000003</v>
      </c>
      <c r="K42" s="409"/>
      <c r="L42" s="409"/>
      <c r="M42" s="409"/>
      <c r="N42" s="409">
        <v>4451.8900000000003</v>
      </c>
      <c r="O42" s="410">
        <v>4086835.05</v>
      </c>
      <c r="P42" s="409">
        <v>766281.57</v>
      </c>
      <c r="Q42" s="409">
        <v>613025.26</v>
      </c>
      <c r="R42" s="199">
        <v>0.15</v>
      </c>
      <c r="S42" s="409">
        <v>153256.31</v>
      </c>
      <c r="T42" s="236">
        <v>3.7499999999999999E-2</v>
      </c>
    </row>
    <row r="43" spans="1:22" x14ac:dyDescent="0.25">
      <c r="A43" s="405" t="s">
        <v>28</v>
      </c>
      <c r="B43" s="17" t="s">
        <v>12</v>
      </c>
      <c r="C43" s="69" t="s">
        <v>31</v>
      </c>
      <c r="D43" s="69" t="s">
        <v>30</v>
      </c>
      <c r="E43" s="69" t="s">
        <v>98</v>
      </c>
      <c r="F43" s="217" t="s">
        <v>55</v>
      </c>
      <c r="G43" s="407">
        <v>103451.02</v>
      </c>
      <c r="H43" s="407">
        <v>81227.600000000006</v>
      </c>
      <c r="I43" s="408">
        <v>3.6065</v>
      </c>
      <c r="J43" s="408">
        <v>3.6069</v>
      </c>
      <c r="K43" s="409"/>
      <c r="L43" s="409"/>
      <c r="M43" s="409"/>
      <c r="N43" s="458">
        <v>1620.17</v>
      </c>
      <c r="O43" s="410">
        <v>664455.75999999989</v>
      </c>
      <c r="P43" s="409">
        <v>124585.46</v>
      </c>
      <c r="Q43" s="409">
        <v>24917.09</v>
      </c>
      <c r="R43" s="236">
        <v>3.7499999999999999E-2</v>
      </c>
      <c r="S43" s="409">
        <v>99668.36</v>
      </c>
      <c r="T43" s="199">
        <v>0.15</v>
      </c>
      <c r="V43" s="290"/>
    </row>
    <row r="44" spans="1:22" x14ac:dyDescent="0.25">
      <c r="A44" s="405" t="s">
        <v>28</v>
      </c>
      <c r="B44" s="17" t="s">
        <v>74</v>
      </c>
      <c r="C44" s="69" t="s">
        <v>31</v>
      </c>
      <c r="D44" s="69" t="s">
        <v>30</v>
      </c>
      <c r="E44" s="69" t="s">
        <v>100</v>
      </c>
      <c r="F44" s="217" t="s">
        <v>36</v>
      </c>
      <c r="G44" s="407">
        <v>4377</v>
      </c>
      <c r="H44" s="407"/>
      <c r="I44" s="408">
        <v>60.886899999999997</v>
      </c>
      <c r="J44" s="408"/>
      <c r="K44" s="409"/>
      <c r="L44" s="409"/>
      <c r="M44" s="409"/>
      <c r="N44" s="458">
        <v>3092.81</v>
      </c>
      <c r="O44" s="410">
        <v>263409.15000000002</v>
      </c>
      <c r="P44" s="409">
        <v>49389.22</v>
      </c>
      <c r="Q44" s="409">
        <v>9877.84</v>
      </c>
      <c r="R44" s="236">
        <v>3.7499999999999999E-2</v>
      </c>
      <c r="S44" s="409">
        <v>39511.370000000003</v>
      </c>
      <c r="T44" s="199">
        <v>0.15</v>
      </c>
    </row>
    <row r="45" spans="1:22" x14ac:dyDescent="0.25">
      <c r="A45" s="405" t="s">
        <v>28</v>
      </c>
      <c r="B45" s="17">
        <v>95</v>
      </c>
      <c r="C45" s="69" t="s">
        <v>31</v>
      </c>
      <c r="D45" s="69" t="s">
        <v>30</v>
      </c>
      <c r="E45" s="69" t="s">
        <v>98</v>
      </c>
      <c r="F45" s="217" t="s">
        <v>36</v>
      </c>
      <c r="G45" s="407">
        <v>318763</v>
      </c>
      <c r="H45" s="407">
        <v>297826</v>
      </c>
      <c r="I45" s="408">
        <v>56.445099999999996</v>
      </c>
      <c r="J45" s="408">
        <v>55.321399999999997</v>
      </c>
      <c r="K45" s="409"/>
      <c r="L45" s="409"/>
      <c r="M45" s="409"/>
      <c r="N45" s="458">
        <v>4454.97</v>
      </c>
      <c r="O45" s="410">
        <v>34464305.719999999</v>
      </c>
      <c r="P45" s="409">
        <v>6462057.3200000003</v>
      </c>
      <c r="Q45" s="409">
        <v>5169645.8600000003</v>
      </c>
      <c r="R45" s="236">
        <v>0.15</v>
      </c>
      <c r="S45" s="409">
        <v>1292411.46</v>
      </c>
      <c r="T45" s="199">
        <v>3.7499999999999999E-2</v>
      </c>
    </row>
    <row r="46" spans="1:22"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row>
    <row r="47" spans="1:22" x14ac:dyDescent="0.25">
      <c r="A47" s="432" t="s">
        <v>28</v>
      </c>
      <c r="B47" s="414" t="s">
        <v>53</v>
      </c>
      <c r="C47" s="415"/>
      <c r="D47" s="416"/>
      <c r="E47" s="416"/>
      <c r="F47" s="217"/>
      <c r="G47" s="409"/>
      <c r="H47" s="409"/>
      <c r="I47" s="417"/>
      <c r="J47" s="417"/>
      <c r="K47" s="409"/>
      <c r="L47" s="409"/>
      <c r="M47" s="409"/>
      <c r="N47" s="409"/>
      <c r="O47" s="409"/>
      <c r="P47" s="409"/>
      <c r="Q47" s="409"/>
      <c r="R47" s="409"/>
      <c r="S47" s="409"/>
      <c r="T47" s="199"/>
    </row>
    <row r="48" spans="1:22" x14ac:dyDescent="0.25">
      <c r="A48" s="24"/>
      <c r="B48" s="127" t="s">
        <v>105</v>
      </c>
      <c r="C48" s="25" t="s">
        <v>287</v>
      </c>
      <c r="D48" s="14"/>
      <c r="E48" s="14"/>
      <c r="F48" s="230"/>
      <c r="G48" s="433"/>
      <c r="H48" s="433"/>
      <c r="I48" s="434"/>
      <c r="J48" s="435"/>
      <c r="K48" s="436"/>
      <c r="L48" s="436"/>
      <c r="M48" s="436"/>
      <c r="N48" s="420"/>
      <c r="O48" s="420">
        <v>39479005.68</v>
      </c>
      <c r="P48" s="420">
        <v>7402313.5700000003</v>
      </c>
      <c r="Q48" s="420">
        <v>5817466.0500000007</v>
      </c>
      <c r="R48" s="220"/>
      <c r="S48" s="420">
        <v>1584847.5</v>
      </c>
      <c r="T48" s="207"/>
    </row>
    <row r="49" spans="1:20" x14ac:dyDescent="0.25">
      <c r="A49" s="121"/>
      <c r="B49" s="122"/>
      <c r="C49" s="25" t="s">
        <v>288</v>
      </c>
      <c r="D49" s="85"/>
      <c r="E49" s="85"/>
      <c r="F49" s="121"/>
      <c r="G49" s="437"/>
      <c r="H49" s="437"/>
      <c r="I49" s="438"/>
      <c r="J49" s="438"/>
      <c r="K49" s="437"/>
      <c r="L49" s="437"/>
      <c r="M49" s="437"/>
      <c r="N49" s="437"/>
      <c r="O49" s="255"/>
      <c r="P49" s="255">
        <v>26840789</v>
      </c>
      <c r="Q49" s="426">
        <v>21094131.899999999</v>
      </c>
      <c r="R49" s="131"/>
      <c r="S49" s="426">
        <v>5746657.04</v>
      </c>
      <c r="T49" s="123"/>
    </row>
    <row r="50" spans="1:20"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row>
    <row r="51" spans="1:20" x14ac:dyDescent="0.25">
      <c r="A51" s="405" t="s">
        <v>28</v>
      </c>
      <c r="B51" s="17" t="s">
        <v>160</v>
      </c>
      <c r="C51" s="69" t="s">
        <v>31</v>
      </c>
      <c r="D51" s="69" t="s">
        <v>30</v>
      </c>
      <c r="E51" s="69" t="s">
        <v>158</v>
      </c>
      <c r="F51" s="217" t="s">
        <v>36</v>
      </c>
      <c r="G51" s="409">
        <v>772938</v>
      </c>
      <c r="H51" s="409">
        <v>648129</v>
      </c>
      <c r="I51" s="417">
        <v>46.009799999999998</v>
      </c>
      <c r="J51" s="417">
        <v>45.052500000000002</v>
      </c>
      <c r="K51" s="409"/>
      <c r="L51" s="409"/>
      <c r="M51" s="409"/>
      <c r="N51" s="409"/>
      <c r="O51" s="410">
        <v>64762554.564900003</v>
      </c>
      <c r="P51" s="444">
        <v>24117575.32</v>
      </c>
      <c r="Q51" s="444">
        <v>12058787.66</v>
      </c>
      <c r="R51" s="199">
        <v>0.5</v>
      </c>
      <c r="S51" s="409"/>
      <c r="T51" s="236"/>
    </row>
    <row r="52" spans="1:20" x14ac:dyDescent="0.25">
      <c r="A52" s="405" t="s">
        <v>28</v>
      </c>
      <c r="B52" s="17" t="s">
        <v>159</v>
      </c>
      <c r="C52" s="69" t="s">
        <v>31</v>
      </c>
      <c r="D52" s="69" t="s">
        <v>30</v>
      </c>
      <c r="E52" s="69" t="s">
        <v>158</v>
      </c>
      <c r="F52" s="217" t="s">
        <v>55</v>
      </c>
      <c r="G52" s="409">
        <v>11741590.74</v>
      </c>
      <c r="H52" s="409">
        <v>10448137.285800001</v>
      </c>
      <c r="I52" s="417">
        <v>3.1031</v>
      </c>
      <c r="J52" s="417">
        <v>3.0190999999999999</v>
      </c>
      <c r="K52" s="409"/>
      <c r="L52" s="409"/>
      <c r="M52" s="409"/>
      <c r="N52" s="409"/>
      <c r="O52" s="444">
        <v>67979354.359999999</v>
      </c>
      <c r="P52" s="444">
        <v>25395438.220000003</v>
      </c>
      <c r="Q52" s="444">
        <v>12697719.120000001</v>
      </c>
      <c r="R52" s="199">
        <v>0.5</v>
      </c>
      <c r="S52" s="409"/>
      <c r="T52" s="199"/>
    </row>
    <row r="53" spans="1:20" x14ac:dyDescent="0.25">
      <c r="A53" s="405" t="s">
        <v>28</v>
      </c>
      <c r="B53" s="17" t="s">
        <v>168</v>
      </c>
      <c r="C53" s="69" t="s">
        <v>31</v>
      </c>
      <c r="D53" s="69" t="s">
        <v>30</v>
      </c>
      <c r="E53" s="69" t="s">
        <v>158</v>
      </c>
      <c r="F53" s="217" t="s">
        <v>36</v>
      </c>
      <c r="G53" s="409">
        <v>159575</v>
      </c>
      <c r="H53" s="409">
        <v>132328</v>
      </c>
      <c r="I53" s="417">
        <v>46.003900000000002</v>
      </c>
      <c r="J53" s="417">
        <v>45.055100000000003</v>
      </c>
      <c r="K53" s="409"/>
      <c r="L53" s="409"/>
      <c r="M53" s="409"/>
      <c r="N53" s="409"/>
      <c r="O53" s="410">
        <v>13303123.6153</v>
      </c>
      <c r="P53" s="444">
        <v>5321249.4499999993</v>
      </c>
      <c r="Q53" s="444">
        <v>2660624.73</v>
      </c>
      <c r="R53" s="199">
        <v>0.5</v>
      </c>
      <c r="S53" s="409"/>
      <c r="T53" s="199"/>
    </row>
    <row r="54" spans="1:20" x14ac:dyDescent="0.25">
      <c r="A54" s="405" t="s">
        <v>28</v>
      </c>
      <c r="B54" s="17" t="s">
        <v>169</v>
      </c>
      <c r="C54" s="69" t="s">
        <v>31</v>
      </c>
      <c r="D54" s="69" t="s">
        <v>30</v>
      </c>
      <c r="E54" s="69" t="s">
        <v>158</v>
      </c>
      <c r="F54" s="217" t="s">
        <v>55</v>
      </c>
      <c r="G54" s="409">
        <v>4205107.5410000002</v>
      </c>
      <c r="H54" s="409">
        <v>3550506.6140000001</v>
      </c>
      <c r="I54" s="417">
        <v>7.1779999999999999</v>
      </c>
      <c r="J54" s="417">
        <v>6.1159999999999997</v>
      </c>
      <c r="K54" s="409"/>
      <c r="L54" s="409"/>
      <c r="M54" s="409"/>
      <c r="N54" s="409"/>
      <c r="O54" s="410">
        <v>51899160.380521998</v>
      </c>
      <c r="P54" s="444">
        <v>19721680.939999998</v>
      </c>
      <c r="Q54" s="444">
        <v>9860840.4700000007</v>
      </c>
      <c r="R54" s="199">
        <v>0.5</v>
      </c>
      <c r="S54" s="409"/>
      <c r="T54" s="199"/>
    </row>
    <row r="55" spans="1:20" x14ac:dyDescent="0.25">
      <c r="A55" s="405" t="s">
        <v>28</v>
      </c>
      <c r="B55" s="22" t="s">
        <v>175</v>
      </c>
      <c r="C55" s="69" t="s">
        <v>31</v>
      </c>
      <c r="D55" s="69" t="s">
        <v>30</v>
      </c>
      <c r="E55" s="69" t="s">
        <v>158</v>
      </c>
      <c r="F55" s="217" t="s">
        <v>36</v>
      </c>
      <c r="G55" s="409">
        <v>245521</v>
      </c>
      <c r="H55" s="409">
        <v>209000</v>
      </c>
      <c r="I55" s="417">
        <v>41.514299999999999</v>
      </c>
      <c r="J55" s="417">
        <v>40.452800000000003</v>
      </c>
      <c r="K55" s="407"/>
      <c r="L55" s="409"/>
      <c r="M55" s="409"/>
      <c r="N55" s="407"/>
      <c r="O55" s="410">
        <v>18647267.6503</v>
      </c>
      <c r="P55" s="409">
        <v>1262767.6193549999</v>
      </c>
      <c r="Q55" s="444">
        <v>631383.81000000006</v>
      </c>
      <c r="R55" s="199">
        <v>0.5</v>
      </c>
      <c r="S55" s="409"/>
      <c r="T55" s="236"/>
    </row>
    <row r="56" spans="1:20" x14ac:dyDescent="0.25">
      <c r="A56" s="405" t="s">
        <v>28</v>
      </c>
      <c r="B56" s="250" t="s">
        <v>176</v>
      </c>
      <c r="C56" s="69" t="s">
        <v>31</v>
      </c>
      <c r="D56" s="69" t="s">
        <v>30</v>
      </c>
      <c r="E56" s="69" t="s">
        <v>158</v>
      </c>
      <c r="F56" s="217" t="s">
        <v>55</v>
      </c>
      <c r="G56" s="409">
        <v>4222998.8885000004</v>
      </c>
      <c r="H56" s="409">
        <v>3582765.53</v>
      </c>
      <c r="I56" s="417">
        <v>6.1749999999999998</v>
      </c>
      <c r="J56" s="417">
        <v>6.1749999999999998</v>
      </c>
      <c r="K56" s="504"/>
      <c r="L56" s="409"/>
      <c r="M56" s="409"/>
      <c r="N56" s="407"/>
      <c r="O56" s="410">
        <v>48200595.284237504</v>
      </c>
      <c r="P56" s="409">
        <v>5560691.3897289988</v>
      </c>
      <c r="Q56" s="444">
        <v>2780345.69</v>
      </c>
      <c r="R56" s="199">
        <v>0.5</v>
      </c>
      <c r="S56" s="409"/>
      <c r="T56" s="236"/>
    </row>
    <row r="57" spans="1:20" x14ac:dyDescent="0.25">
      <c r="A57" s="445" t="s">
        <v>28</v>
      </c>
      <c r="B57" s="446" t="s">
        <v>162</v>
      </c>
      <c r="C57" s="447"/>
      <c r="D57" s="447"/>
      <c r="E57" s="448"/>
      <c r="F57" s="190"/>
      <c r="G57" s="239"/>
      <c r="H57" s="240"/>
      <c r="I57" s="240"/>
      <c r="J57" s="241"/>
      <c r="K57" s="241"/>
      <c r="L57" s="241"/>
      <c r="M57" s="155"/>
      <c r="N57" s="155"/>
      <c r="O57" s="168">
        <v>2210110.1291579064</v>
      </c>
      <c r="P57" s="168">
        <v>380897.27721799933</v>
      </c>
      <c r="Q57" s="168">
        <v>190448.64999999967</v>
      </c>
      <c r="R57" s="123"/>
      <c r="S57" s="156"/>
      <c r="T57" s="123"/>
    </row>
    <row r="58" spans="1:20" x14ac:dyDescent="0.25">
      <c r="A58" s="24"/>
      <c r="B58" s="127" t="s">
        <v>105</v>
      </c>
      <c r="C58" s="25" t="s">
        <v>289</v>
      </c>
      <c r="D58" s="14"/>
      <c r="E58" s="14"/>
      <c r="F58" s="245"/>
      <c r="G58" s="232"/>
      <c r="H58" s="232"/>
      <c r="I58" s="299"/>
      <c r="J58" s="232"/>
      <c r="K58" s="243"/>
      <c r="L58" s="237"/>
      <c r="M58" s="297"/>
      <c r="N58" s="174"/>
      <c r="O58" s="174">
        <v>267002165.98441741</v>
      </c>
      <c r="P58" s="174">
        <v>81760300.216301993</v>
      </c>
      <c r="Q58" s="174">
        <v>40880150.130000003</v>
      </c>
      <c r="R58" s="498"/>
      <c r="S58" s="162"/>
      <c r="T58" s="123"/>
    </row>
    <row r="59" spans="1:20" x14ac:dyDescent="0.25">
      <c r="A59" s="121"/>
      <c r="B59" s="122"/>
      <c r="C59" s="25" t="s">
        <v>290</v>
      </c>
      <c r="D59" s="85"/>
      <c r="E59" s="85"/>
      <c r="F59" s="245"/>
      <c r="G59" s="233">
        <v>7.1779999999999999</v>
      </c>
      <c r="H59" s="233">
        <v>6.1159999999999997</v>
      </c>
      <c r="I59" s="300"/>
      <c r="J59" s="232"/>
      <c r="K59" s="244"/>
      <c r="L59" s="238"/>
      <c r="M59" s="361"/>
      <c r="N59" s="362"/>
      <c r="O59" s="362"/>
      <c r="P59" s="164"/>
      <c r="Q59" s="164">
        <v>148231424.37138</v>
      </c>
      <c r="R59" s="153"/>
      <c r="S59" s="162"/>
      <c r="T59" s="123"/>
    </row>
    <row r="60" spans="1:20" ht="13" x14ac:dyDescent="0.3">
      <c r="A60" s="8" t="s">
        <v>54</v>
      </c>
      <c r="B60" s="252"/>
      <c r="C60" s="252"/>
      <c r="D60" s="252"/>
      <c r="E60" s="252"/>
      <c r="F60" s="246"/>
      <c r="G60" s="234">
        <v>0</v>
      </c>
      <c r="H60" s="234">
        <v>0</v>
      </c>
      <c r="I60" s="232">
        <v>0</v>
      </c>
      <c r="J60" s="232" t="e">
        <v>#REF!</v>
      </c>
      <c r="K60" s="301" t="e">
        <v>#REF!</v>
      </c>
      <c r="L60" s="302"/>
      <c r="M60" s="255">
        <v>0</v>
      </c>
      <c r="N60" s="255">
        <v>31933.149999999998</v>
      </c>
      <c r="O60" s="255">
        <v>354511622.1544174</v>
      </c>
      <c r="P60" s="426">
        <v>57247722.770000003</v>
      </c>
      <c r="Q60" s="166">
        <v>207580242.41137999</v>
      </c>
      <c r="R60" s="38"/>
      <c r="S60" s="166"/>
      <c r="T60" s="38"/>
    </row>
    <row r="61" spans="1:20" x14ac:dyDescent="0.25">
      <c r="G61" s="251"/>
      <c r="H61" s="251"/>
      <c r="I61" s="251"/>
      <c r="J61" s="251"/>
      <c r="K61" s="251"/>
      <c r="N61" s="477"/>
      <c r="O61" s="460"/>
      <c r="S61" s="290"/>
    </row>
    <row r="62" spans="1:20" x14ac:dyDescent="0.25">
      <c r="A62" s="449" t="s">
        <v>92</v>
      </c>
      <c r="B62" s="251" t="s">
        <v>75</v>
      </c>
      <c r="G62" s="251"/>
      <c r="H62" s="449" t="s">
        <v>76</v>
      </c>
      <c r="I62" s="251"/>
      <c r="J62" s="47"/>
      <c r="K62" s="47"/>
      <c r="N62" s="477"/>
      <c r="O62" s="477"/>
      <c r="P62" s="290"/>
      <c r="Q62" s="47"/>
      <c r="S62" s="47"/>
    </row>
    <row r="63" spans="1:20" ht="13" x14ac:dyDescent="0.3">
      <c r="B63" s="97" t="s">
        <v>77</v>
      </c>
      <c r="C63" s="98" t="s">
        <v>78</v>
      </c>
      <c r="D63" s="99"/>
      <c r="E63" s="100" t="s">
        <v>34</v>
      </c>
      <c r="F63" s="100" t="s">
        <v>79</v>
      </c>
      <c r="G63" s="251"/>
      <c r="H63" s="71" t="s">
        <v>34</v>
      </c>
      <c r="I63" s="252"/>
      <c r="J63" s="252"/>
      <c r="K63" s="252"/>
      <c r="L63" s="72"/>
      <c r="N63" s="477"/>
      <c r="O63" s="477"/>
      <c r="P63" s="290"/>
      <c r="Q63" s="47"/>
      <c r="S63" s="47"/>
    </row>
    <row r="64" spans="1:20" ht="13" x14ac:dyDescent="0.3">
      <c r="B64" s="450" t="s">
        <v>80</v>
      </c>
      <c r="C64" s="74" t="s">
        <v>81</v>
      </c>
      <c r="D64" s="451"/>
      <c r="E64" s="76"/>
      <c r="F64" s="76"/>
      <c r="G64" s="251"/>
      <c r="H64" s="77" t="s">
        <v>292</v>
      </c>
      <c r="I64" s="251"/>
      <c r="J64" s="251"/>
      <c r="K64" s="251"/>
      <c r="L64" s="78"/>
      <c r="M64" s="499"/>
      <c r="N64" s="499">
        <v>6.4199999463479832E-2</v>
      </c>
      <c r="O64" s="47"/>
      <c r="P64" s="500"/>
      <c r="Q64" s="500"/>
      <c r="S64" s="500"/>
    </row>
    <row r="65" spans="1:19" ht="13" x14ac:dyDescent="0.3">
      <c r="B65" s="452" t="s">
        <v>82</v>
      </c>
      <c r="C65" s="80" t="s">
        <v>83</v>
      </c>
      <c r="D65" s="453"/>
      <c r="E65" s="82"/>
      <c r="F65" s="83"/>
      <c r="G65" s="251"/>
      <c r="H65" s="84">
        <v>0</v>
      </c>
      <c r="I65" s="85"/>
      <c r="J65" s="85"/>
      <c r="K65" s="85"/>
      <c r="L65" s="86"/>
      <c r="M65" s="499">
        <v>9.4199999857272176E-2</v>
      </c>
      <c r="N65" s="499">
        <v>9.8900000237297003E-2</v>
      </c>
      <c r="O65" s="558"/>
      <c r="P65" s="500"/>
      <c r="Q65" s="500"/>
      <c r="S65" s="500"/>
    </row>
    <row r="66" spans="1:19" x14ac:dyDescent="0.25">
      <c r="B66" s="452" t="s">
        <v>84</v>
      </c>
      <c r="C66" s="80" t="s">
        <v>85</v>
      </c>
      <c r="D66" s="453"/>
      <c r="E66" s="82"/>
      <c r="F66" s="82"/>
      <c r="G66" s="251"/>
      <c r="H66" s="251"/>
      <c r="I66" s="454"/>
      <c r="J66" s="251"/>
      <c r="K66" s="251"/>
      <c r="M66" s="499">
        <v>0.39999999969547706</v>
      </c>
      <c r="N66" s="499">
        <v>0.39999999979093542</v>
      </c>
      <c r="P66" s="290"/>
      <c r="Q66" s="290"/>
    </row>
    <row r="67" spans="1:19" x14ac:dyDescent="0.25">
      <c r="B67" s="452" t="s">
        <v>86</v>
      </c>
      <c r="C67" s="80" t="s">
        <v>87</v>
      </c>
      <c r="D67" s="453"/>
      <c r="E67" s="88"/>
      <c r="F67" s="88"/>
      <c r="G67" s="251"/>
      <c r="H67" s="71" t="s">
        <v>79</v>
      </c>
      <c r="I67" s="89"/>
      <c r="J67" s="252"/>
      <c r="K67" s="252"/>
      <c r="L67" s="72"/>
      <c r="M67" s="499">
        <v>0.38000000287019686</v>
      </c>
      <c r="N67" s="499"/>
      <c r="O67" s="332"/>
    </row>
    <row r="68" spans="1:19" x14ac:dyDescent="0.25">
      <c r="B68" s="452" t="s">
        <v>88</v>
      </c>
      <c r="C68" s="80" t="s">
        <v>89</v>
      </c>
      <c r="D68" s="453"/>
      <c r="E68" s="90"/>
      <c r="F68" s="83"/>
      <c r="G68" s="251"/>
      <c r="H68" s="77" t="s">
        <v>292</v>
      </c>
      <c r="I68" s="454"/>
      <c r="J68" s="251"/>
      <c r="K68" s="251"/>
      <c r="L68" s="78"/>
      <c r="N68" s="501"/>
      <c r="O68" s="332"/>
    </row>
    <row r="69" spans="1:19" x14ac:dyDescent="0.25">
      <c r="B69" s="455" t="s">
        <v>90</v>
      </c>
      <c r="C69" s="92" t="s">
        <v>91</v>
      </c>
      <c r="D69" s="456"/>
      <c r="E69" s="94"/>
      <c r="F69" s="94"/>
      <c r="G69" s="251"/>
      <c r="H69" s="84">
        <v>0</v>
      </c>
      <c r="I69" s="95"/>
      <c r="J69" s="85"/>
      <c r="K69" s="85"/>
      <c r="L69" s="86"/>
      <c r="M69" s="332"/>
      <c r="N69" s="332"/>
      <c r="O69" s="332"/>
    </row>
    <row r="70" spans="1:19" x14ac:dyDescent="0.25">
      <c r="A70" s="449"/>
      <c r="G70" s="251"/>
      <c r="H70" s="421"/>
      <c r="I70" s="251"/>
      <c r="J70" s="251"/>
      <c r="K70" s="251"/>
      <c r="M70" s="332"/>
      <c r="N70" s="332"/>
      <c r="O70" s="332"/>
    </row>
    <row r="71" spans="1:19" ht="13" x14ac:dyDescent="0.3">
      <c r="A71" s="457"/>
      <c r="G71" s="251"/>
      <c r="H71" s="251"/>
      <c r="I71" s="251"/>
      <c r="J71" s="251"/>
      <c r="K71" s="251"/>
    </row>
    <row r="72" spans="1:19" x14ac:dyDescent="0.25">
      <c r="G72" s="251"/>
      <c r="H72" s="251"/>
      <c r="I72" s="251"/>
      <c r="J72" s="251"/>
      <c r="K72" s="251"/>
      <c r="O72" s="47"/>
      <c r="P72" s="47"/>
      <c r="Q72" s="47"/>
    </row>
  </sheetData>
  <mergeCells count="2">
    <mergeCell ref="O7:O8"/>
    <mergeCell ref="C7:C8"/>
  </mergeCells>
  <phoneticPr fontId="0" type="noConversion"/>
  <printOptions horizontalCentered="1" verticalCentered="1"/>
  <pageMargins left="0.25" right="0.25" top="0.5" bottom="0.5" header="0" footer="0"/>
  <pageSetup paperSize="9" scale="60"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AM78"/>
  <sheetViews>
    <sheetView view="pageBreakPreview" topLeftCell="A10" zoomScaleNormal="100" zoomScaleSheetLayoutView="100" workbookViewId="0">
      <pane xSplit="6" topLeftCell="G1" activePane="topRight" state="frozen"/>
      <selection pane="topRight" activeCell="H26" sqref="H26"/>
    </sheetView>
  </sheetViews>
  <sheetFormatPr baseColWidth="10" defaultColWidth="8.84375" defaultRowHeight="12.5" outlineLevelRow="1" x14ac:dyDescent="0.25"/>
  <cols>
    <col min="1" max="1" width="3" style="251" customWidth="1"/>
    <col min="2" max="2" width="19.3046875" style="251" customWidth="1"/>
    <col min="3" max="3" width="7.69140625" style="251" customWidth="1"/>
    <col min="4" max="4" width="8.3046875" style="251" customWidth="1"/>
    <col min="5" max="5" width="8.84375" style="251" customWidth="1"/>
    <col min="6" max="6" width="8.4609375" style="251" customWidth="1"/>
    <col min="7" max="7" width="12.23046875" style="172" customWidth="1"/>
    <col min="8" max="8" width="12" style="172" customWidth="1"/>
    <col min="9" max="9" width="10" style="172" customWidth="1"/>
    <col min="10" max="10" width="10.4609375" style="172" customWidth="1"/>
    <col min="11" max="11" width="10.4609375" style="172" hidden="1" customWidth="1"/>
    <col min="12" max="13" width="10.4609375" style="251" hidden="1" customWidth="1"/>
    <col min="14" max="14" width="10.46093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11.3046875" style="251" hidden="1" customWidth="1"/>
    <col min="22" max="23" width="10.69140625" style="251" hidden="1" customWidth="1"/>
    <col min="24" max="24" width="10.53515625" style="251" hidden="1" customWidth="1"/>
    <col min="25" max="25" width="8.84375" style="251" hidden="1" customWidth="1"/>
    <col min="26" max="26" width="9.53515625" style="251" hidden="1" customWidth="1"/>
    <col min="27" max="34" width="8.84375" style="251" hidden="1" customWidth="1"/>
    <col min="35" max="35" width="10.3046875" style="251" hidden="1" customWidth="1"/>
    <col min="36" max="36" width="10.84375" style="251" customWidth="1"/>
    <col min="37" max="37" width="11.3046875" style="251" customWidth="1"/>
    <col min="38" max="38" width="10.69140625" style="251" customWidth="1"/>
    <col min="39" max="16384" width="8.84375" style="251"/>
  </cols>
  <sheetData>
    <row r="1" spans="1:33" ht="12.75" customHeight="1" x14ac:dyDescent="0.25">
      <c r="A1" s="251" t="s">
        <v>50</v>
      </c>
      <c r="C1" s="1"/>
      <c r="D1" s="1"/>
      <c r="E1" s="7">
        <v>45717</v>
      </c>
      <c r="F1" s="502" t="s">
        <v>321</v>
      </c>
      <c r="S1" s="251" t="s">
        <v>306</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row>
    <row r="4" spans="1:33" x14ac:dyDescent="0.25">
      <c r="A4" s="109" t="s">
        <v>320</v>
      </c>
      <c r="B4" s="109"/>
      <c r="C4" s="109"/>
      <c r="D4" s="109"/>
      <c r="E4" s="109"/>
      <c r="F4" s="109"/>
      <c r="G4" s="109"/>
      <c r="H4" s="109"/>
      <c r="I4" s="109"/>
      <c r="J4" s="109"/>
      <c r="K4" s="109"/>
      <c r="L4" s="109"/>
      <c r="M4" s="109"/>
      <c r="N4" s="109"/>
      <c r="O4" s="109"/>
      <c r="P4" s="109"/>
      <c r="Q4" s="109"/>
      <c r="R4" s="109"/>
      <c r="S4" s="109"/>
      <c r="T4" s="109"/>
    </row>
    <row r="5" spans="1:33" x14ac:dyDescent="0.25">
      <c r="A5" s="109" t="s">
        <v>322</v>
      </c>
      <c r="B5" s="109"/>
      <c r="C5" s="109"/>
      <c r="D5" s="109"/>
      <c r="E5" s="109"/>
      <c r="F5" s="109"/>
      <c r="G5" s="109"/>
      <c r="H5" s="109"/>
      <c r="I5" s="109"/>
      <c r="J5" s="109"/>
      <c r="K5" s="109"/>
      <c r="L5" s="109"/>
      <c r="M5" s="109"/>
      <c r="N5" s="109"/>
      <c r="O5" s="109"/>
      <c r="P5" s="109"/>
      <c r="Q5" s="496"/>
      <c r="R5" s="109"/>
      <c r="S5" s="109"/>
      <c r="T5" s="109"/>
      <c r="U5" s="47"/>
      <c r="V5" s="47"/>
    </row>
    <row r="6" spans="1:33" x14ac:dyDescent="0.25">
      <c r="E6" s="47"/>
      <c r="F6" s="47"/>
      <c r="G6" s="242"/>
      <c r="H6" s="173"/>
      <c r="Q6" s="496"/>
      <c r="U6" s="47"/>
      <c r="W6" s="47"/>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479" t="s">
        <v>301</v>
      </c>
      <c r="V7" s="480"/>
      <c r="W7" s="480"/>
      <c r="X7" s="480"/>
      <c r="Y7" s="480"/>
      <c r="Z7" s="481"/>
      <c r="AA7" s="482" t="s">
        <v>302</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5" t="s">
        <v>28</v>
      </c>
      <c r="B10" s="17" t="s">
        <v>13</v>
      </c>
      <c r="C10" s="69" t="s">
        <v>31</v>
      </c>
      <c r="D10" s="406" t="s">
        <v>30</v>
      </c>
      <c r="E10" s="69" t="s">
        <v>98</v>
      </c>
      <c r="F10" s="223" t="s">
        <v>36</v>
      </c>
      <c r="G10" s="407">
        <v>7979</v>
      </c>
      <c r="H10" s="407">
        <v>8524</v>
      </c>
      <c r="I10" s="408">
        <v>71.593999999999994</v>
      </c>
      <c r="J10" s="408">
        <v>73.590999999999994</v>
      </c>
      <c r="K10" s="409"/>
      <c r="L10" s="409"/>
      <c r="M10" s="409"/>
      <c r="N10" s="458">
        <v>87.86</v>
      </c>
      <c r="O10" s="407">
        <v>1198450.3499999999</v>
      </c>
      <c r="P10" s="409">
        <v>224709.44</v>
      </c>
      <c r="Q10" s="409">
        <v>179767.55</v>
      </c>
      <c r="R10" s="199">
        <v>0.15</v>
      </c>
      <c r="S10" s="409">
        <v>44941.89</v>
      </c>
      <c r="T10" s="236">
        <v>3.7499999999999999E-2</v>
      </c>
      <c r="U10" s="46">
        <v>16503</v>
      </c>
      <c r="V10" s="46">
        <v>1198450.3499999999</v>
      </c>
      <c r="W10" s="55">
        <v>532.4</v>
      </c>
      <c r="X10" s="56">
        <v>72.620199999999997</v>
      </c>
      <c r="Y10" s="56">
        <v>13.616300000000001</v>
      </c>
      <c r="Z10" s="46">
        <v>224709.44</v>
      </c>
      <c r="AA10" s="46" t="s">
        <v>305</v>
      </c>
      <c r="AB10" s="46" t="s">
        <v>305</v>
      </c>
      <c r="AC10" s="55" t="s">
        <v>305</v>
      </c>
      <c r="AD10" s="56" t="s">
        <v>305</v>
      </c>
      <c r="AE10" s="56" t="s">
        <v>305</v>
      </c>
      <c r="AF10" s="46" t="s">
        <v>305</v>
      </c>
      <c r="AG10" s="36"/>
    </row>
    <row r="11" spans="1:33" ht="12.75" customHeight="1" x14ac:dyDescent="0.25">
      <c r="A11" s="405" t="s">
        <v>28</v>
      </c>
      <c r="B11" s="17" t="s">
        <v>14</v>
      </c>
      <c r="C11" s="69" t="s">
        <v>31</v>
      </c>
      <c r="D11" s="406" t="s">
        <v>30</v>
      </c>
      <c r="E11" s="69" t="s">
        <v>98</v>
      </c>
      <c r="F11" s="223" t="s">
        <v>55</v>
      </c>
      <c r="G11" s="407">
        <v>39581.405599999998</v>
      </c>
      <c r="H11" s="407">
        <v>49146.48</v>
      </c>
      <c r="I11" s="408">
        <v>4.1325000000000003</v>
      </c>
      <c r="J11" s="408">
        <v>4.1325000000000003</v>
      </c>
      <c r="K11" s="409"/>
      <c r="L11" s="409"/>
      <c r="M11" s="409"/>
      <c r="N11" s="458">
        <v>246.02</v>
      </c>
      <c r="O11" s="407">
        <v>366421.97</v>
      </c>
      <c r="P11" s="409">
        <v>68704.12</v>
      </c>
      <c r="Q11" s="409">
        <v>54963.3</v>
      </c>
      <c r="R11" s="199">
        <v>0.15</v>
      </c>
      <c r="S11" s="409">
        <v>13740.82</v>
      </c>
      <c r="T11" s="236">
        <v>3.7499999999999999E-2</v>
      </c>
      <c r="U11" s="32" t="s">
        <v>305</v>
      </c>
      <c r="V11" s="32" t="s">
        <v>305</v>
      </c>
      <c r="W11" s="57" t="s">
        <v>305</v>
      </c>
      <c r="X11" s="58" t="s">
        <v>305</v>
      </c>
      <c r="Y11" s="58" t="s">
        <v>305</v>
      </c>
      <c r="Z11" s="32" t="s">
        <v>305</v>
      </c>
      <c r="AA11" s="32">
        <v>88727.885600000009</v>
      </c>
      <c r="AB11" s="32">
        <v>366421.97</v>
      </c>
      <c r="AC11" s="57">
        <v>2862.2</v>
      </c>
      <c r="AD11" s="58">
        <v>4.1296999999999997</v>
      </c>
      <c r="AE11" s="58">
        <v>0.77429999999999999</v>
      </c>
      <c r="AF11" s="32">
        <v>68704.12</v>
      </c>
      <c r="AG11" s="37"/>
    </row>
    <row r="12" spans="1:33" x14ac:dyDescent="0.25">
      <c r="A12" s="405" t="s">
        <v>28</v>
      </c>
      <c r="B12" s="17" t="s">
        <v>3</v>
      </c>
      <c r="C12" s="69" t="s">
        <v>31</v>
      </c>
      <c r="D12" s="406" t="s">
        <v>30</v>
      </c>
      <c r="E12" s="69" t="s">
        <v>98</v>
      </c>
      <c r="F12" s="223" t="s">
        <v>36</v>
      </c>
      <c r="G12" s="407">
        <v>4754</v>
      </c>
      <c r="H12" s="407">
        <v>5310</v>
      </c>
      <c r="I12" s="408">
        <v>71.253299999999996</v>
      </c>
      <c r="J12" s="408">
        <v>73.015100000000004</v>
      </c>
      <c r="K12" s="409"/>
      <c r="L12" s="409"/>
      <c r="M12" s="409"/>
      <c r="N12" s="458">
        <v>706.44</v>
      </c>
      <c r="O12" s="407">
        <v>725741.93</v>
      </c>
      <c r="P12" s="409">
        <v>136076.60999999999</v>
      </c>
      <c r="Q12" s="409">
        <v>108861.29</v>
      </c>
      <c r="R12" s="199">
        <v>0.15</v>
      </c>
      <c r="S12" s="409">
        <v>27215.32</v>
      </c>
      <c r="T12" s="236">
        <v>3.7499999999999999E-2</v>
      </c>
      <c r="U12" s="32">
        <v>10064</v>
      </c>
      <c r="V12" s="32">
        <v>725741.93</v>
      </c>
      <c r="W12" s="57">
        <v>324.60000000000002</v>
      </c>
      <c r="X12" s="58">
        <v>72.112700000000004</v>
      </c>
      <c r="Y12" s="58">
        <v>13.521100000000001</v>
      </c>
      <c r="Z12" s="32">
        <v>136076.60999999999</v>
      </c>
      <c r="AA12" s="32" t="s">
        <v>305</v>
      </c>
      <c r="AB12" s="32" t="s">
        <v>305</v>
      </c>
      <c r="AC12" s="57" t="s">
        <v>305</v>
      </c>
      <c r="AD12" s="58" t="s">
        <v>305</v>
      </c>
      <c r="AE12" s="58" t="s">
        <v>305</v>
      </c>
      <c r="AF12" s="32" t="s">
        <v>305</v>
      </c>
      <c r="AG12" s="37"/>
    </row>
    <row r="13" spans="1:33" x14ac:dyDescent="0.25">
      <c r="A13" s="411" t="s">
        <v>28</v>
      </c>
      <c r="B13" s="412" t="s">
        <v>315</v>
      </c>
      <c r="C13" s="69" t="s">
        <v>31</v>
      </c>
      <c r="D13" s="406" t="s">
        <v>30</v>
      </c>
      <c r="E13" s="69" t="s">
        <v>98</v>
      </c>
      <c r="F13" s="223" t="s">
        <v>55</v>
      </c>
      <c r="G13" s="407">
        <v>20909.32</v>
      </c>
      <c r="H13" s="407">
        <v>21900.22</v>
      </c>
      <c r="I13" s="408">
        <v>2.95</v>
      </c>
      <c r="J13" s="408">
        <v>2.95</v>
      </c>
      <c r="K13" s="409"/>
      <c r="L13" s="409"/>
      <c r="M13" s="409"/>
      <c r="N13" s="458">
        <v>755.64</v>
      </c>
      <c r="O13" s="407">
        <v>125532.5</v>
      </c>
      <c r="P13" s="409">
        <v>23537.34</v>
      </c>
      <c r="Q13" s="409">
        <v>18829.88</v>
      </c>
      <c r="R13" s="199">
        <v>0.15</v>
      </c>
      <c r="S13" s="409">
        <v>4707.47</v>
      </c>
      <c r="T13" s="236">
        <v>3.7499999999999999E-2</v>
      </c>
      <c r="U13" s="32" t="s">
        <v>305</v>
      </c>
      <c r="V13" s="32" t="s">
        <v>305</v>
      </c>
      <c r="W13" s="57" t="s">
        <v>305</v>
      </c>
      <c r="X13" s="58" t="s">
        <v>305</v>
      </c>
      <c r="Y13" s="58" t="s">
        <v>305</v>
      </c>
      <c r="Z13" s="32" t="s">
        <v>305</v>
      </c>
      <c r="AA13" s="32">
        <v>42809.54</v>
      </c>
      <c r="AB13" s="32">
        <v>125532.5</v>
      </c>
      <c r="AC13" s="57">
        <v>1381</v>
      </c>
      <c r="AD13" s="58">
        <v>2.9323000000000001</v>
      </c>
      <c r="AE13" s="58">
        <v>0.54979999999999996</v>
      </c>
      <c r="AF13" s="32">
        <v>23537.34</v>
      </c>
      <c r="AG13" s="37"/>
    </row>
    <row r="14" spans="1:33" x14ac:dyDescent="0.25">
      <c r="A14" s="405" t="s">
        <v>28</v>
      </c>
      <c r="B14" s="17" t="s">
        <v>4</v>
      </c>
      <c r="C14" s="69" t="s">
        <v>31</v>
      </c>
      <c r="D14" s="406" t="s">
        <v>30</v>
      </c>
      <c r="E14" s="69" t="s">
        <v>98</v>
      </c>
      <c r="F14" s="223" t="s">
        <v>36</v>
      </c>
      <c r="G14" s="407">
        <v>27973</v>
      </c>
      <c r="H14" s="407">
        <v>31030</v>
      </c>
      <c r="I14" s="408">
        <v>71.593999999999994</v>
      </c>
      <c r="J14" s="408">
        <v>73.590999999999994</v>
      </c>
      <c r="K14" s="409"/>
      <c r="L14" s="409"/>
      <c r="M14" s="409"/>
      <c r="N14" s="458">
        <v>1104.28</v>
      </c>
      <c r="O14" s="407">
        <v>4285123.4099999992</v>
      </c>
      <c r="P14" s="409">
        <v>803460.64</v>
      </c>
      <c r="Q14" s="409">
        <v>642768.51</v>
      </c>
      <c r="R14" s="199">
        <v>0.15</v>
      </c>
      <c r="S14" s="409">
        <v>160692.13</v>
      </c>
      <c r="T14" s="236">
        <v>3.7499999999999999E-2</v>
      </c>
      <c r="U14" s="32">
        <v>59003</v>
      </c>
      <c r="V14" s="32">
        <v>4285123.4099999992</v>
      </c>
      <c r="W14" s="57">
        <v>1903.3</v>
      </c>
      <c r="X14" s="58">
        <v>72.625500000000002</v>
      </c>
      <c r="Y14" s="58">
        <v>13.6173</v>
      </c>
      <c r="Z14" s="32">
        <v>803460.64</v>
      </c>
      <c r="AA14" s="32" t="s">
        <v>305</v>
      </c>
      <c r="AB14" s="32" t="s">
        <v>305</v>
      </c>
      <c r="AC14" s="57" t="s">
        <v>305</v>
      </c>
      <c r="AD14" s="58" t="s">
        <v>305</v>
      </c>
      <c r="AE14" s="58" t="s">
        <v>305</v>
      </c>
      <c r="AF14" s="32" t="s">
        <v>305</v>
      </c>
      <c r="AG14" s="37"/>
    </row>
    <row r="15" spans="1:33" x14ac:dyDescent="0.25">
      <c r="A15" s="405" t="s">
        <v>28</v>
      </c>
      <c r="B15" s="403" t="s">
        <v>316</v>
      </c>
      <c r="C15" s="69" t="s">
        <v>31</v>
      </c>
      <c r="D15" s="406" t="s">
        <v>30</v>
      </c>
      <c r="E15" s="69" t="s">
        <v>98</v>
      </c>
      <c r="F15" s="223" t="s">
        <v>55</v>
      </c>
      <c r="G15" s="407">
        <v>17174.839400000001</v>
      </c>
      <c r="H15" s="407">
        <v>24776.65</v>
      </c>
      <c r="I15" s="408">
        <v>3.2</v>
      </c>
      <c r="J15" s="408">
        <v>2.9365000000000001</v>
      </c>
      <c r="K15" s="409"/>
      <c r="L15" s="409"/>
      <c r="M15" s="409"/>
      <c r="N15" s="409"/>
      <c r="O15" s="410">
        <v>127716.12</v>
      </c>
      <c r="P15" s="409">
        <v>23946.77</v>
      </c>
      <c r="Q15" s="409">
        <v>19157.419999999998</v>
      </c>
      <c r="R15" s="199">
        <v>0.15</v>
      </c>
      <c r="S15" s="409">
        <v>4789.3500000000004</v>
      </c>
      <c r="T15" s="236">
        <v>3.7499999999999999E-2</v>
      </c>
      <c r="U15" s="32" t="s">
        <v>305</v>
      </c>
      <c r="V15" s="32" t="s">
        <v>305</v>
      </c>
      <c r="W15" s="57" t="s">
        <v>305</v>
      </c>
      <c r="X15" s="58" t="s">
        <v>305</v>
      </c>
      <c r="Y15" s="58" t="s">
        <v>305</v>
      </c>
      <c r="Z15" s="32" t="s">
        <v>305</v>
      </c>
      <c r="AA15" s="32">
        <v>41951.489400000006</v>
      </c>
      <c r="AB15" s="32">
        <v>127716.12</v>
      </c>
      <c r="AC15" s="57">
        <v>1353.3</v>
      </c>
      <c r="AD15" s="58">
        <v>3.0444</v>
      </c>
      <c r="AE15" s="58">
        <v>0.57079999999999997</v>
      </c>
      <c r="AF15" s="32">
        <v>23946.77</v>
      </c>
      <c r="AG15" s="37"/>
    </row>
    <row r="16" spans="1:33" x14ac:dyDescent="0.25">
      <c r="A16" s="405" t="s">
        <v>28</v>
      </c>
      <c r="B16" s="17" t="s">
        <v>5</v>
      </c>
      <c r="C16" s="69" t="s">
        <v>31</v>
      </c>
      <c r="D16" s="406" t="s">
        <v>30</v>
      </c>
      <c r="E16" s="69" t="s">
        <v>98</v>
      </c>
      <c r="F16" s="223" t="s">
        <v>36</v>
      </c>
      <c r="G16" s="407">
        <v>40714</v>
      </c>
      <c r="H16" s="407">
        <v>46912</v>
      </c>
      <c r="I16" s="408">
        <v>71.593999999999994</v>
      </c>
      <c r="J16" s="408">
        <v>73.590999999999994</v>
      </c>
      <c r="K16" s="409"/>
      <c r="L16" s="409"/>
      <c r="M16" s="409"/>
      <c r="N16" s="458">
        <v>1902.1</v>
      </c>
      <c r="O16" s="407">
        <v>6365277.0100000007</v>
      </c>
      <c r="P16" s="409">
        <v>1193489.44</v>
      </c>
      <c r="Q16" s="409">
        <v>954791.55</v>
      </c>
      <c r="R16" s="199">
        <v>0.15</v>
      </c>
      <c r="S16" s="409">
        <v>238697.89</v>
      </c>
      <c r="T16" s="236">
        <v>3.7499999999999999E-2</v>
      </c>
      <c r="U16" s="32">
        <v>87626</v>
      </c>
      <c r="V16" s="32">
        <v>6365277.0100000007</v>
      </c>
      <c r="W16" s="57">
        <v>2826.6</v>
      </c>
      <c r="X16" s="58">
        <v>72.641400000000004</v>
      </c>
      <c r="Y16" s="58">
        <v>13.6203</v>
      </c>
      <c r="Z16" s="32">
        <v>1193489.44</v>
      </c>
      <c r="AA16" s="32" t="s">
        <v>305</v>
      </c>
      <c r="AB16" s="32" t="s">
        <v>305</v>
      </c>
      <c r="AC16" s="57" t="s">
        <v>305</v>
      </c>
      <c r="AD16" s="58" t="s">
        <v>305</v>
      </c>
      <c r="AE16" s="58" t="s">
        <v>305</v>
      </c>
      <c r="AF16" s="32" t="s">
        <v>305</v>
      </c>
      <c r="AG16" s="37"/>
    </row>
    <row r="17" spans="1:35" x14ac:dyDescent="0.25">
      <c r="A17" s="405" t="s">
        <v>28</v>
      </c>
      <c r="B17" s="17" t="s">
        <v>317</v>
      </c>
      <c r="C17" s="69" t="s">
        <v>31</v>
      </c>
      <c r="D17" s="406" t="s">
        <v>30</v>
      </c>
      <c r="E17" s="69" t="s">
        <v>98</v>
      </c>
      <c r="F17" s="223" t="s">
        <v>36</v>
      </c>
      <c r="G17" s="407">
        <v>47443.945599999999</v>
      </c>
      <c r="H17" s="407">
        <v>33841.230000000003</v>
      </c>
      <c r="I17" s="408">
        <v>3.4108000000000001</v>
      </c>
      <c r="J17" s="408">
        <v>3.4108000000000001</v>
      </c>
      <c r="K17" s="409"/>
      <c r="L17" s="409"/>
      <c r="M17" s="409"/>
      <c r="N17" s="458">
        <v>601.69000000000005</v>
      </c>
      <c r="O17" s="407">
        <v>276645.78999999998</v>
      </c>
      <c r="P17" s="409">
        <v>51871.09</v>
      </c>
      <c r="Q17" s="409">
        <v>41496.870000000003</v>
      </c>
      <c r="R17" s="199">
        <v>0.15</v>
      </c>
      <c r="S17" s="409">
        <v>10374.219999999999</v>
      </c>
      <c r="T17" s="236">
        <v>3.7499999999999999E-2</v>
      </c>
      <c r="U17" s="32">
        <v>81285.175600000002</v>
      </c>
      <c r="V17" s="32">
        <v>276645.78999999998</v>
      </c>
      <c r="W17" s="57">
        <v>2622.1</v>
      </c>
      <c r="X17" s="58">
        <v>3.4034</v>
      </c>
      <c r="Y17" s="58">
        <v>0.6381</v>
      </c>
      <c r="Z17" s="32">
        <v>51871.09</v>
      </c>
      <c r="AA17" s="32" t="s">
        <v>305</v>
      </c>
      <c r="AB17" s="32" t="s">
        <v>305</v>
      </c>
      <c r="AC17" s="57" t="s">
        <v>305</v>
      </c>
      <c r="AD17" s="58" t="s">
        <v>305</v>
      </c>
      <c r="AE17" s="58" t="s">
        <v>305</v>
      </c>
      <c r="AF17" s="32" t="s">
        <v>305</v>
      </c>
      <c r="AG17" s="37"/>
    </row>
    <row r="18" spans="1:35" x14ac:dyDescent="0.25">
      <c r="A18" s="405" t="s">
        <v>28</v>
      </c>
      <c r="B18" s="17" t="s">
        <v>17</v>
      </c>
      <c r="C18" s="69" t="s">
        <v>31</v>
      </c>
      <c r="D18" s="406" t="s">
        <v>30</v>
      </c>
      <c r="E18" s="69" t="s">
        <v>98</v>
      </c>
      <c r="F18" s="223" t="s">
        <v>36</v>
      </c>
      <c r="G18" s="407">
        <v>2924</v>
      </c>
      <c r="H18" s="407">
        <v>2927</v>
      </c>
      <c r="I18" s="408">
        <v>71.286699999999996</v>
      </c>
      <c r="J18" s="408">
        <v>73.015900000000002</v>
      </c>
      <c r="K18" s="409"/>
      <c r="L18" s="409"/>
      <c r="M18" s="409"/>
      <c r="N18" s="458">
        <v>460.41</v>
      </c>
      <c r="O18" s="410">
        <v>421699.44</v>
      </c>
      <c r="P18" s="409">
        <v>79068.649999999994</v>
      </c>
      <c r="Q18" s="409">
        <v>63254.92</v>
      </c>
      <c r="R18" s="199">
        <v>0.15</v>
      </c>
      <c r="S18" s="409">
        <v>15813.73</v>
      </c>
      <c r="T18" s="236">
        <v>3.7499999999999999E-2</v>
      </c>
      <c r="U18" s="32">
        <v>5851</v>
      </c>
      <c r="V18" s="32">
        <v>421699.44</v>
      </c>
      <c r="W18" s="57">
        <v>188.7</v>
      </c>
      <c r="X18" s="58">
        <v>72.073099999999997</v>
      </c>
      <c r="Y18" s="58">
        <v>13.5137</v>
      </c>
      <c r="Z18" s="32">
        <v>79068.649999999994</v>
      </c>
      <c r="AA18" s="32" t="s">
        <v>305</v>
      </c>
      <c r="AB18" s="32" t="s">
        <v>305</v>
      </c>
      <c r="AC18" s="57" t="s">
        <v>305</v>
      </c>
      <c r="AD18" s="58" t="s">
        <v>305</v>
      </c>
      <c r="AE18" s="58" t="s">
        <v>305</v>
      </c>
      <c r="AF18" s="32" t="s">
        <v>305</v>
      </c>
      <c r="AG18" s="37"/>
    </row>
    <row r="19" spans="1:35" x14ac:dyDescent="0.25">
      <c r="A19" s="468" t="s">
        <v>28</v>
      </c>
      <c r="B19" s="403" t="s">
        <v>293</v>
      </c>
      <c r="C19" s="69" t="s">
        <v>31</v>
      </c>
      <c r="D19" s="406" t="s">
        <v>30</v>
      </c>
      <c r="E19" s="69" t="s">
        <v>98</v>
      </c>
      <c r="F19" s="223" t="s">
        <v>36</v>
      </c>
      <c r="G19" s="407">
        <v>21784</v>
      </c>
      <c r="H19" s="407">
        <v>27320</v>
      </c>
      <c r="I19" s="417">
        <v>71.593999999999994</v>
      </c>
      <c r="J19" s="408">
        <v>73.590999999999994</v>
      </c>
      <c r="K19" s="409"/>
      <c r="L19" s="409"/>
      <c r="M19" s="409"/>
      <c r="N19" s="458">
        <v>555.30999999999995</v>
      </c>
      <c r="O19" s="410">
        <v>3569554.5100000002</v>
      </c>
      <c r="P19" s="409">
        <v>669291.47</v>
      </c>
      <c r="Q19" s="409">
        <v>535433.18000000005</v>
      </c>
      <c r="R19" s="199">
        <v>0.15</v>
      </c>
      <c r="S19" s="409">
        <v>133858.29</v>
      </c>
      <c r="T19" s="236">
        <v>3.7499999999999999E-2</v>
      </c>
      <c r="U19" s="32">
        <v>49104</v>
      </c>
      <c r="V19" s="32">
        <v>3569554.5100000002</v>
      </c>
      <c r="W19" s="57">
        <v>1584</v>
      </c>
      <c r="X19" s="58">
        <v>72.693799999999996</v>
      </c>
      <c r="Y19" s="58">
        <v>13.630100000000001</v>
      </c>
      <c r="Z19" s="32">
        <v>669291.47</v>
      </c>
      <c r="AA19" s="32" t="s">
        <v>305</v>
      </c>
      <c r="AB19" s="32" t="s">
        <v>305</v>
      </c>
      <c r="AC19" s="57" t="s">
        <v>305</v>
      </c>
      <c r="AD19" s="58" t="s">
        <v>305</v>
      </c>
      <c r="AE19" s="58" t="s">
        <v>305</v>
      </c>
      <c r="AF19" s="32" t="s">
        <v>305</v>
      </c>
      <c r="AG19" s="37"/>
    </row>
    <row r="20" spans="1:35" x14ac:dyDescent="0.25">
      <c r="A20" s="468" t="s">
        <v>28</v>
      </c>
      <c r="B20" s="403" t="s">
        <v>294</v>
      </c>
      <c r="C20" s="69" t="s">
        <v>31</v>
      </c>
      <c r="D20" s="406" t="s">
        <v>30</v>
      </c>
      <c r="E20" s="69" t="s">
        <v>98</v>
      </c>
      <c r="F20" s="223" t="s">
        <v>55</v>
      </c>
      <c r="G20" s="407">
        <v>49863.982300000003</v>
      </c>
      <c r="H20" s="407">
        <v>47841.75</v>
      </c>
      <c r="I20" s="417">
        <v>4.0416999999999996</v>
      </c>
      <c r="J20" s="408">
        <v>4.0416999999999996</v>
      </c>
      <c r="K20" s="409"/>
      <c r="L20" s="409"/>
      <c r="M20" s="409"/>
      <c r="N20" s="458">
        <v>239</v>
      </c>
      <c r="O20" s="410">
        <v>394658.26</v>
      </c>
      <c r="P20" s="409">
        <v>73998.42</v>
      </c>
      <c r="Q20" s="409">
        <v>59198.74</v>
      </c>
      <c r="R20" s="199">
        <v>0.15</v>
      </c>
      <c r="S20" s="409">
        <v>14799.68</v>
      </c>
      <c r="T20" s="236">
        <v>3.7499999999999999E-2</v>
      </c>
      <c r="U20" s="32" t="s">
        <v>305</v>
      </c>
      <c r="V20" s="32" t="s">
        <v>305</v>
      </c>
      <c r="W20" s="57" t="s">
        <v>305</v>
      </c>
      <c r="X20" s="58" t="s">
        <v>305</v>
      </c>
      <c r="Y20" s="58" t="s">
        <v>305</v>
      </c>
      <c r="Z20" s="32" t="s">
        <v>305</v>
      </c>
      <c r="AA20" s="32">
        <v>97705.732300000003</v>
      </c>
      <c r="AB20" s="32">
        <v>394658.26</v>
      </c>
      <c r="AC20" s="57">
        <v>3151.8</v>
      </c>
      <c r="AD20" s="58">
        <v>4.0392999999999999</v>
      </c>
      <c r="AE20" s="58">
        <v>0.75739999999999996</v>
      </c>
      <c r="AF20" s="32">
        <v>73998.42</v>
      </c>
      <c r="AG20" s="37"/>
    </row>
    <row r="21" spans="1:35" x14ac:dyDescent="0.25">
      <c r="A21" s="468" t="s">
        <v>28</v>
      </c>
      <c r="B21" s="403" t="s">
        <v>295</v>
      </c>
      <c r="C21" s="69" t="s">
        <v>31</v>
      </c>
      <c r="D21" s="406" t="s">
        <v>30</v>
      </c>
      <c r="E21" s="69" t="s">
        <v>98</v>
      </c>
      <c r="F21" s="223" t="s">
        <v>36</v>
      </c>
      <c r="G21" s="407">
        <v>17528</v>
      </c>
      <c r="H21" s="407">
        <v>17935</v>
      </c>
      <c r="I21" s="417">
        <v>71.286699999999996</v>
      </c>
      <c r="J21" s="408">
        <v>73.015900000000002</v>
      </c>
      <c r="K21" s="409"/>
      <c r="L21" s="409"/>
      <c r="M21" s="409"/>
      <c r="N21" s="458">
        <v>274.14</v>
      </c>
      <c r="O21" s="410">
        <v>2558779.31</v>
      </c>
      <c r="P21" s="409">
        <v>479771.12</v>
      </c>
      <c r="Q21" s="409">
        <v>383816.9</v>
      </c>
      <c r="R21" s="199">
        <v>0.15</v>
      </c>
      <c r="S21" s="409">
        <v>95954.22</v>
      </c>
      <c r="T21" s="236">
        <v>3.7499999999999999E-2</v>
      </c>
      <c r="U21" s="32">
        <v>35463</v>
      </c>
      <c r="V21" s="32">
        <v>2558779.31</v>
      </c>
      <c r="W21" s="57">
        <v>1144</v>
      </c>
      <c r="X21" s="58">
        <v>72.153499999999994</v>
      </c>
      <c r="Y21" s="58">
        <v>13.5288</v>
      </c>
      <c r="Z21" s="32">
        <v>479771.12</v>
      </c>
      <c r="AA21" s="32" t="s">
        <v>305</v>
      </c>
      <c r="AB21" s="32" t="s">
        <v>305</v>
      </c>
      <c r="AC21" s="57" t="s">
        <v>305</v>
      </c>
      <c r="AD21" s="58" t="s">
        <v>305</v>
      </c>
      <c r="AE21" s="58" t="s">
        <v>305</v>
      </c>
      <c r="AF21" s="32" t="s">
        <v>305</v>
      </c>
      <c r="AG21" s="37"/>
    </row>
    <row r="22" spans="1:35" x14ac:dyDescent="0.25">
      <c r="A22" s="405" t="s">
        <v>28</v>
      </c>
      <c r="B22" s="17" t="s">
        <v>18</v>
      </c>
      <c r="C22" s="69" t="s">
        <v>31</v>
      </c>
      <c r="D22" s="406" t="s">
        <v>30</v>
      </c>
      <c r="E22" s="69" t="s">
        <v>98</v>
      </c>
      <c r="F22" s="223" t="s">
        <v>36</v>
      </c>
      <c r="G22" s="407">
        <v>1863</v>
      </c>
      <c r="H22" s="407">
        <v>2611</v>
      </c>
      <c r="I22" s="408">
        <v>71.593999999999994</v>
      </c>
      <c r="J22" s="408">
        <v>73.590999999999994</v>
      </c>
      <c r="K22" s="409"/>
      <c r="L22" s="409"/>
      <c r="M22" s="409"/>
      <c r="N22" s="458">
        <v>295.23</v>
      </c>
      <c r="O22" s="410">
        <v>325230.49</v>
      </c>
      <c r="P22" s="409">
        <v>60980.72</v>
      </c>
      <c r="Q22" s="409">
        <v>48784.57</v>
      </c>
      <c r="R22" s="199">
        <v>0.15</v>
      </c>
      <c r="S22" s="409">
        <v>12196.14</v>
      </c>
      <c r="T22" s="236">
        <v>3.7499999999999999E-2</v>
      </c>
      <c r="U22" s="32">
        <v>4474</v>
      </c>
      <c r="V22" s="32">
        <v>325230.49</v>
      </c>
      <c r="W22" s="57">
        <v>144.30000000000001</v>
      </c>
      <c r="X22" s="58">
        <v>72.693399999999997</v>
      </c>
      <c r="Y22" s="58">
        <v>13.63</v>
      </c>
      <c r="Z22" s="32">
        <v>60980.72</v>
      </c>
      <c r="AA22" s="32" t="s">
        <v>305</v>
      </c>
      <c r="AB22" s="32" t="s">
        <v>305</v>
      </c>
      <c r="AC22" s="57" t="s">
        <v>305</v>
      </c>
      <c r="AD22" s="58" t="s">
        <v>305</v>
      </c>
      <c r="AE22" s="58" t="s">
        <v>305</v>
      </c>
      <c r="AF22" s="32" t="s">
        <v>305</v>
      </c>
      <c r="AG22" s="37"/>
    </row>
    <row r="23" spans="1:35" x14ac:dyDescent="0.25">
      <c r="A23" s="405" t="s">
        <v>28</v>
      </c>
      <c r="B23" s="17" t="s">
        <v>20</v>
      </c>
      <c r="C23" s="69" t="s">
        <v>31</v>
      </c>
      <c r="D23" s="406" t="s">
        <v>30</v>
      </c>
      <c r="E23" s="69" t="s">
        <v>98</v>
      </c>
      <c r="F23" s="223" t="s">
        <v>36</v>
      </c>
      <c r="G23" s="407">
        <v>118420</v>
      </c>
      <c r="H23" s="407">
        <v>126446</v>
      </c>
      <c r="I23" s="408">
        <v>71.884</v>
      </c>
      <c r="J23" s="408">
        <v>73.973799999999997</v>
      </c>
      <c r="K23" s="409"/>
      <c r="L23" s="409"/>
      <c r="M23" s="409"/>
      <c r="N23" s="458">
        <v>1286.1500000000001</v>
      </c>
      <c r="O23" s="410">
        <v>17864908.240000002</v>
      </c>
      <c r="P23" s="409">
        <v>3349670.3</v>
      </c>
      <c r="Q23" s="409">
        <v>2679736.2400000002</v>
      </c>
      <c r="R23" s="199">
        <v>0.15</v>
      </c>
      <c r="S23" s="409">
        <v>669934.06000000006</v>
      </c>
      <c r="T23" s="236">
        <v>3.7499999999999999E-2</v>
      </c>
      <c r="U23" s="32">
        <v>244866</v>
      </c>
      <c r="V23" s="32">
        <v>17864908.240000002</v>
      </c>
      <c r="W23" s="57">
        <v>7898.9</v>
      </c>
      <c r="X23" s="58">
        <v>72.957899999999995</v>
      </c>
      <c r="Y23" s="58">
        <v>13.679600000000001</v>
      </c>
      <c r="Z23" s="32">
        <v>3349670.3</v>
      </c>
      <c r="AA23" s="32" t="s">
        <v>305</v>
      </c>
      <c r="AB23" s="32" t="s">
        <v>305</v>
      </c>
      <c r="AC23" s="57" t="s">
        <v>305</v>
      </c>
      <c r="AD23" s="58" t="s">
        <v>305</v>
      </c>
      <c r="AE23" s="58" t="s">
        <v>305</v>
      </c>
      <c r="AF23" s="32" t="s">
        <v>305</v>
      </c>
      <c r="AG23" s="37"/>
    </row>
    <row r="24" spans="1:35" x14ac:dyDescent="0.25">
      <c r="A24" s="405" t="s">
        <v>28</v>
      </c>
      <c r="B24" s="17" t="s">
        <v>318</v>
      </c>
      <c r="C24" s="69" t="s">
        <v>31</v>
      </c>
      <c r="D24" s="406" t="s">
        <v>30</v>
      </c>
      <c r="E24" s="69" t="s">
        <v>98</v>
      </c>
      <c r="F24" s="223" t="s">
        <v>55</v>
      </c>
      <c r="G24" s="407">
        <v>200721.02</v>
      </c>
      <c r="H24" s="407">
        <v>218807.76</v>
      </c>
      <c r="I24" s="408">
        <v>2.9</v>
      </c>
      <c r="J24" s="408">
        <v>2.9</v>
      </c>
      <c r="K24" s="409"/>
      <c r="L24" s="409"/>
      <c r="M24" s="409"/>
      <c r="N24" s="458">
        <v>962.81</v>
      </c>
      <c r="O24" s="410">
        <v>1215670.6499999999</v>
      </c>
      <c r="P24" s="409">
        <v>227938.25</v>
      </c>
      <c r="Q24" s="409">
        <v>182350.6</v>
      </c>
      <c r="R24" s="199">
        <v>0.15</v>
      </c>
      <c r="S24" s="409">
        <v>45587.65</v>
      </c>
      <c r="T24" s="236">
        <v>3.7499999999999999E-2</v>
      </c>
      <c r="U24" s="32" t="s">
        <v>305</v>
      </c>
      <c r="V24" s="32" t="s">
        <v>305</v>
      </c>
      <c r="W24" s="57" t="s">
        <v>305</v>
      </c>
      <c r="X24" s="58" t="s">
        <v>305</v>
      </c>
      <c r="Y24" s="58" t="s">
        <v>305</v>
      </c>
      <c r="Z24" s="32" t="s">
        <v>305</v>
      </c>
      <c r="AA24" s="32">
        <v>419528.78</v>
      </c>
      <c r="AB24" s="32">
        <v>1215670.6499999999</v>
      </c>
      <c r="AC24" s="57">
        <v>13533.2</v>
      </c>
      <c r="AD24" s="58">
        <v>2.8976999999999999</v>
      </c>
      <c r="AE24" s="58">
        <v>0.54330000000000001</v>
      </c>
      <c r="AF24" s="32">
        <v>227938.25</v>
      </c>
      <c r="AG24" s="37"/>
    </row>
    <row r="25" spans="1:35" x14ac:dyDescent="0.25">
      <c r="A25" s="405" t="s">
        <v>28</v>
      </c>
      <c r="B25" s="17" t="s">
        <v>9</v>
      </c>
      <c r="C25" s="69" t="s">
        <v>31</v>
      </c>
      <c r="D25" s="406" t="s">
        <v>30</v>
      </c>
      <c r="E25" s="69" t="s">
        <v>98</v>
      </c>
      <c r="F25" s="223" t="s">
        <v>36</v>
      </c>
      <c r="G25" s="407">
        <v>282</v>
      </c>
      <c r="H25" s="407">
        <v>297</v>
      </c>
      <c r="I25" s="408">
        <v>71.286699999999996</v>
      </c>
      <c r="J25" s="408">
        <v>73.015900000000002</v>
      </c>
      <c r="K25" s="409"/>
      <c r="L25" s="409"/>
      <c r="M25" s="409"/>
      <c r="N25" s="458">
        <v>319.83</v>
      </c>
      <c r="O25" s="410">
        <v>41468.74</v>
      </c>
      <c r="P25" s="409">
        <v>7775.39</v>
      </c>
      <c r="Q25" s="409">
        <v>6220.31</v>
      </c>
      <c r="R25" s="199">
        <v>0.15</v>
      </c>
      <c r="S25" s="409">
        <v>1555.08</v>
      </c>
      <c r="T25" s="236">
        <v>3.7499999999999999E-2</v>
      </c>
      <c r="U25" s="32">
        <v>579</v>
      </c>
      <c r="V25" s="32">
        <v>41468.74</v>
      </c>
      <c r="W25" s="57">
        <v>18.7</v>
      </c>
      <c r="X25" s="58">
        <v>71.621300000000005</v>
      </c>
      <c r="Y25" s="58">
        <v>13.429</v>
      </c>
      <c r="Z25" s="32">
        <v>7775.39</v>
      </c>
      <c r="AA25" s="32" t="s">
        <v>305</v>
      </c>
      <c r="AB25" s="32" t="s">
        <v>305</v>
      </c>
      <c r="AC25" s="57" t="s">
        <v>305</v>
      </c>
      <c r="AD25" s="58" t="s">
        <v>305</v>
      </c>
      <c r="AE25" s="58" t="s">
        <v>305</v>
      </c>
      <c r="AF25" s="32" t="s">
        <v>305</v>
      </c>
      <c r="AG25" s="37"/>
    </row>
    <row r="26" spans="1:35" x14ac:dyDescent="0.25">
      <c r="A26" s="405" t="s">
        <v>28</v>
      </c>
      <c r="B26" s="17" t="s">
        <v>165</v>
      </c>
      <c r="C26" s="69" t="s">
        <v>31</v>
      </c>
      <c r="D26" s="406" t="s">
        <v>30</v>
      </c>
      <c r="E26" s="69" t="s">
        <v>98</v>
      </c>
      <c r="F26" s="223" t="s">
        <v>36</v>
      </c>
      <c r="G26" s="407">
        <v>13825</v>
      </c>
      <c r="H26" s="407">
        <v>15599</v>
      </c>
      <c r="I26" s="408">
        <v>68.694000000000003</v>
      </c>
      <c r="J26" s="408">
        <v>73.521000000000001</v>
      </c>
      <c r="K26" s="409"/>
      <c r="L26" s="409"/>
      <c r="M26" s="409"/>
      <c r="N26" s="458">
        <v>3047.18</v>
      </c>
      <c r="O26" s="410">
        <v>2093501.4500000002</v>
      </c>
      <c r="P26" s="409">
        <v>392531.52</v>
      </c>
      <c r="Q26" s="409">
        <v>314025.21999999997</v>
      </c>
      <c r="R26" s="199">
        <v>0.15</v>
      </c>
      <c r="S26" s="409">
        <v>78506.3</v>
      </c>
      <c r="T26" s="236">
        <v>3.7499999999999999E-2</v>
      </c>
      <c r="U26" s="32">
        <v>29424</v>
      </c>
      <c r="V26" s="32">
        <v>2093501.4500000002</v>
      </c>
      <c r="W26" s="57">
        <v>949.2</v>
      </c>
      <c r="X26" s="58">
        <v>71.149500000000003</v>
      </c>
      <c r="Y26" s="58">
        <v>13.3405</v>
      </c>
      <c r="Z26" s="32">
        <v>392531.52</v>
      </c>
      <c r="AA26" s="32" t="s">
        <v>305</v>
      </c>
      <c r="AB26" s="32" t="s">
        <v>305</v>
      </c>
      <c r="AC26" s="57" t="s">
        <v>305</v>
      </c>
      <c r="AD26" s="58" t="s">
        <v>305</v>
      </c>
      <c r="AE26" s="58" t="s">
        <v>305</v>
      </c>
      <c r="AF26" s="32" t="s">
        <v>305</v>
      </c>
      <c r="AG26" s="37"/>
    </row>
    <row r="27" spans="1:35" x14ac:dyDescent="0.25">
      <c r="A27" s="405" t="s">
        <v>28</v>
      </c>
      <c r="B27" s="17" t="s">
        <v>157</v>
      </c>
      <c r="C27" s="69" t="s">
        <v>31</v>
      </c>
      <c r="D27" s="406" t="s">
        <v>30</v>
      </c>
      <c r="E27" s="69" t="s">
        <v>98</v>
      </c>
      <c r="F27" s="223" t="s">
        <v>55</v>
      </c>
      <c r="G27" s="407">
        <v>403187.77</v>
      </c>
      <c r="H27" s="458">
        <v>371306.11</v>
      </c>
      <c r="I27" s="408">
        <v>3.3121128649313945</v>
      </c>
      <c r="J27" s="417">
        <v>3.4717601334381492</v>
      </c>
      <c r="K27" s="409"/>
      <c r="L27" s="409"/>
      <c r="M27" s="409"/>
      <c r="N27" s="458">
        <v>1268.78</v>
      </c>
      <c r="O27" s="458">
        <v>2624489.1500000004</v>
      </c>
      <c r="P27" s="458">
        <v>492091.73000000004</v>
      </c>
      <c r="Q27" s="458">
        <v>393673.38</v>
      </c>
      <c r="R27" s="199">
        <v>0.15</v>
      </c>
      <c r="S27" s="458">
        <v>98418.35</v>
      </c>
      <c r="T27" s="236">
        <v>3.7499999999999999E-2</v>
      </c>
      <c r="U27" s="32" t="s">
        <v>305</v>
      </c>
      <c r="V27" s="32" t="s">
        <v>305</v>
      </c>
      <c r="W27" s="57" t="s">
        <v>305</v>
      </c>
      <c r="X27" s="58" t="s">
        <v>305</v>
      </c>
      <c r="Y27" s="58" t="s">
        <v>305</v>
      </c>
      <c r="Z27" s="32" t="s">
        <v>305</v>
      </c>
      <c r="AA27" s="32">
        <v>774493.88</v>
      </c>
      <c r="AB27" s="32">
        <v>2624489.1500000004</v>
      </c>
      <c r="AC27" s="57">
        <v>24983.7</v>
      </c>
      <c r="AD27" s="58">
        <v>3.3887</v>
      </c>
      <c r="AE27" s="58">
        <v>0.63539999999999996</v>
      </c>
      <c r="AF27" s="32">
        <v>492091.73000000004</v>
      </c>
      <c r="AG27" s="37"/>
    </row>
    <row r="28" spans="1:35" x14ac:dyDescent="0.25">
      <c r="A28" s="405" t="s">
        <v>28</v>
      </c>
      <c r="B28" s="17" t="s">
        <v>170</v>
      </c>
      <c r="C28" s="69" t="s">
        <v>31</v>
      </c>
      <c r="D28" s="406" t="s">
        <v>30</v>
      </c>
      <c r="E28" s="69" t="s">
        <v>98</v>
      </c>
      <c r="F28" s="223" t="s">
        <v>36</v>
      </c>
      <c r="G28" s="407">
        <v>122</v>
      </c>
      <c r="H28" s="407">
        <v>143</v>
      </c>
      <c r="I28" s="408">
        <v>71.593999999999994</v>
      </c>
      <c r="J28" s="408">
        <v>73.590999999999994</v>
      </c>
      <c r="K28" s="409"/>
      <c r="L28" s="409"/>
      <c r="M28" s="409"/>
      <c r="N28" s="458">
        <v>189.79</v>
      </c>
      <c r="O28" s="410">
        <v>19068.189999999999</v>
      </c>
      <c r="P28" s="409">
        <v>3575.29</v>
      </c>
      <c r="Q28" s="409">
        <v>715.06</v>
      </c>
      <c r="R28" s="236">
        <v>3.7499999999999999E-2</v>
      </c>
      <c r="S28" s="409">
        <v>2860.23</v>
      </c>
      <c r="T28" s="199">
        <v>0.15</v>
      </c>
      <c r="U28" s="32">
        <v>265</v>
      </c>
      <c r="V28" s="32">
        <v>19068.189999999999</v>
      </c>
      <c r="W28" s="57">
        <v>8.5</v>
      </c>
      <c r="X28" s="58">
        <v>71.955399999999997</v>
      </c>
      <c r="Y28" s="58">
        <v>13.4917</v>
      </c>
      <c r="Z28" s="32">
        <v>3575.29</v>
      </c>
      <c r="AA28" s="32" t="s">
        <v>305</v>
      </c>
      <c r="AB28" s="32" t="s">
        <v>305</v>
      </c>
      <c r="AC28" s="57" t="s">
        <v>305</v>
      </c>
      <c r="AD28" s="58" t="s">
        <v>305</v>
      </c>
      <c r="AE28" s="58" t="s">
        <v>305</v>
      </c>
      <c r="AF28" s="32" t="s">
        <v>305</v>
      </c>
      <c r="AG28" s="37"/>
    </row>
    <row r="29" spans="1:35" x14ac:dyDescent="0.25">
      <c r="A29" s="405" t="s">
        <v>28</v>
      </c>
      <c r="B29" s="17" t="s">
        <v>319</v>
      </c>
      <c r="C29" s="69" t="s">
        <v>31</v>
      </c>
      <c r="D29" s="406" t="s">
        <v>30</v>
      </c>
      <c r="E29" s="69" t="s">
        <v>98</v>
      </c>
      <c r="F29" s="223" t="s">
        <v>36</v>
      </c>
      <c r="G29" s="407"/>
      <c r="H29" s="407"/>
      <c r="I29" s="408"/>
      <c r="J29" s="408"/>
      <c r="K29" s="409"/>
      <c r="L29" s="409"/>
      <c r="M29" s="409"/>
      <c r="N29" s="458">
        <v>959.49</v>
      </c>
      <c r="O29" s="410">
        <v>-959.49</v>
      </c>
      <c r="P29" s="409">
        <v>-179.9</v>
      </c>
      <c r="Q29" s="409">
        <v>-35.979999999999997</v>
      </c>
      <c r="R29" s="236">
        <v>3.7499999999999999E-2</v>
      </c>
      <c r="S29" s="409">
        <v>-143.91999999999999</v>
      </c>
      <c r="T29" s="199">
        <v>0.15</v>
      </c>
      <c r="U29" s="32"/>
      <c r="V29" s="32"/>
      <c r="W29" s="57"/>
      <c r="X29" s="58"/>
      <c r="Y29" s="58"/>
      <c r="Z29" s="32"/>
      <c r="AA29" s="32"/>
      <c r="AB29" s="32"/>
      <c r="AC29" s="57"/>
      <c r="AD29" s="58"/>
      <c r="AE29" s="58"/>
      <c r="AF29" s="32"/>
      <c r="AG29" s="37"/>
      <c r="AI29" s="290"/>
    </row>
    <row r="30" spans="1:35" x14ac:dyDescent="0.25">
      <c r="A30" s="413" t="s">
        <v>28</v>
      </c>
      <c r="B30" s="414" t="s">
        <v>296</v>
      </c>
      <c r="C30" s="69" t="s">
        <v>31</v>
      </c>
      <c r="D30" s="406" t="s">
        <v>30</v>
      </c>
      <c r="E30" s="69" t="s">
        <v>98</v>
      </c>
      <c r="F30" s="223" t="s">
        <v>36</v>
      </c>
      <c r="G30" s="458">
        <v>38828</v>
      </c>
      <c r="H30" s="458">
        <v>72647</v>
      </c>
      <c r="I30" s="408">
        <v>70.203000000000003</v>
      </c>
      <c r="J30" s="408">
        <v>72.616399999999999</v>
      </c>
      <c r="K30" s="407"/>
      <c r="L30" s="409"/>
      <c r="M30" s="409"/>
      <c r="N30" s="458">
        <v>432.3</v>
      </c>
      <c r="O30" s="410">
        <v>8000773.3900000006</v>
      </c>
      <c r="P30" s="409">
        <v>1500145.01</v>
      </c>
      <c r="Q30" s="409">
        <v>1200116.01</v>
      </c>
      <c r="R30" s="227">
        <v>0.15</v>
      </c>
      <c r="S30" s="409">
        <v>300029</v>
      </c>
      <c r="T30" s="236">
        <v>3.7499999999999999E-2</v>
      </c>
      <c r="U30" s="32"/>
      <c r="V30" s="32"/>
      <c r="W30" s="57"/>
      <c r="X30" s="58"/>
      <c r="Y30" s="58"/>
      <c r="Z30" s="32"/>
      <c r="AA30" s="32"/>
      <c r="AB30" s="32"/>
      <c r="AC30" s="57"/>
      <c r="AD30" s="58"/>
      <c r="AE30" s="58"/>
      <c r="AF30" s="32"/>
      <c r="AG30" s="37"/>
    </row>
    <row r="31" spans="1:35" x14ac:dyDescent="0.25">
      <c r="A31" s="413" t="s">
        <v>28</v>
      </c>
      <c r="B31" s="414" t="s">
        <v>297</v>
      </c>
      <c r="C31" s="69" t="s">
        <v>31</v>
      </c>
      <c r="D31" s="406" t="s">
        <v>30</v>
      </c>
      <c r="E31" s="69" t="s">
        <v>98</v>
      </c>
      <c r="F31" s="223" t="s">
        <v>55</v>
      </c>
      <c r="G31" s="407">
        <v>116545.33</v>
      </c>
      <c r="H31" s="458">
        <v>168267.94</v>
      </c>
      <c r="I31" s="408">
        <v>2.8160072994773793</v>
      </c>
      <c r="J31" s="417">
        <v>2.7611695965375218</v>
      </c>
      <c r="K31" s="407"/>
      <c r="L31" s="409"/>
      <c r="M31" s="409"/>
      <c r="N31" s="458">
        <v>488.53</v>
      </c>
      <c r="O31" s="458">
        <v>792808.82000000007</v>
      </c>
      <c r="P31" s="458">
        <v>148651.66</v>
      </c>
      <c r="Q31" s="458">
        <v>118921.32</v>
      </c>
      <c r="R31" s="227">
        <v>0.15</v>
      </c>
      <c r="S31" s="458">
        <v>29730.34</v>
      </c>
      <c r="T31" s="236">
        <v>3.7499999999999999E-2</v>
      </c>
      <c r="U31" s="32"/>
      <c r="V31" s="32"/>
      <c r="W31" s="57"/>
      <c r="X31" s="58"/>
      <c r="Y31" s="58"/>
      <c r="Z31" s="32"/>
      <c r="AA31" s="32"/>
      <c r="AB31" s="32"/>
      <c r="AC31" s="57"/>
      <c r="AD31" s="58"/>
      <c r="AE31" s="58"/>
      <c r="AF31" s="32"/>
      <c r="AG31" s="37"/>
    </row>
    <row r="32" spans="1:35" x14ac:dyDescent="0.25">
      <c r="A32" s="413" t="s">
        <v>28</v>
      </c>
      <c r="B32" s="414" t="s">
        <v>298</v>
      </c>
      <c r="C32" s="69" t="s">
        <v>31</v>
      </c>
      <c r="D32" s="406" t="s">
        <v>30</v>
      </c>
      <c r="E32" s="69" t="s">
        <v>98</v>
      </c>
      <c r="F32" s="223" t="s">
        <v>36</v>
      </c>
      <c r="G32" s="458">
        <v>10529</v>
      </c>
      <c r="H32" s="458">
        <v>11310</v>
      </c>
      <c r="I32" s="408">
        <v>42.661200000000001</v>
      </c>
      <c r="J32" s="408">
        <v>44.234400000000001</v>
      </c>
      <c r="K32" s="407"/>
      <c r="L32" s="409"/>
      <c r="M32" s="409"/>
      <c r="N32" s="458">
        <v>470.96</v>
      </c>
      <c r="O32" s="410">
        <v>948999.87000000011</v>
      </c>
      <c r="P32" s="409">
        <v>177937.48</v>
      </c>
      <c r="Q32" s="409">
        <v>142349.98000000001</v>
      </c>
      <c r="R32" s="227">
        <v>0.15</v>
      </c>
      <c r="S32" s="409">
        <v>35587.5</v>
      </c>
      <c r="T32" s="236">
        <v>3.7499999999999999E-2</v>
      </c>
      <c r="U32" s="32"/>
      <c r="V32" s="32"/>
      <c r="W32" s="57"/>
      <c r="X32" s="58"/>
      <c r="Y32" s="58"/>
      <c r="Z32" s="32"/>
      <c r="AA32" s="32"/>
      <c r="AB32" s="32"/>
      <c r="AC32" s="57"/>
      <c r="AD32" s="58"/>
      <c r="AE32" s="58"/>
      <c r="AF32" s="32"/>
      <c r="AG32" s="37"/>
    </row>
    <row r="33" spans="1:35" x14ac:dyDescent="0.25">
      <c r="A33" s="413" t="s">
        <v>28</v>
      </c>
      <c r="B33" s="414" t="s">
        <v>51</v>
      </c>
      <c r="C33" s="415"/>
      <c r="D33" s="415"/>
      <c r="E33" s="416"/>
      <c r="F33" s="223"/>
      <c r="G33" s="409"/>
      <c r="H33" s="409"/>
      <c r="I33" s="417"/>
      <c r="J33" s="417"/>
      <c r="K33" s="409"/>
      <c r="L33" s="409"/>
      <c r="M33" s="497"/>
      <c r="N33" s="409"/>
      <c r="O33" s="410">
        <v>-6754.2000000001863</v>
      </c>
      <c r="P33" s="410">
        <v>-1266.4199999999873</v>
      </c>
      <c r="Q33" s="410">
        <v>-1013.1300000000465</v>
      </c>
      <c r="R33" s="227"/>
      <c r="S33" s="410">
        <v>-253.28999999998678</v>
      </c>
      <c r="T33" s="199"/>
      <c r="U33" s="32" t="s">
        <v>305</v>
      </c>
      <c r="V33" s="32" t="s">
        <v>305</v>
      </c>
      <c r="W33" s="57" t="s">
        <v>305</v>
      </c>
      <c r="X33" s="58" t="s">
        <v>305</v>
      </c>
      <c r="Y33" s="58" t="s">
        <v>305</v>
      </c>
      <c r="Z33" s="32" t="s">
        <v>305</v>
      </c>
      <c r="AA33" s="32" t="s">
        <v>305</v>
      </c>
      <c r="AB33" s="32" t="s">
        <v>305</v>
      </c>
      <c r="AC33" s="57" t="s">
        <v>305</v>
      </c>
      <c r="AD33" s="58" t="s">
        <v>305</v>
      </c>
      <c r="AE33" s="58" t="s">
        <v>305</v>
      </c>
      <c r="AF33" s="32" t="s">
        <v>305</v>
      </c>
      <c r="AG33" s="37"/>
      <c r="AI33" s="147"/>
    </row>
    <row r="34" spans="1:35" x14ac:dyDescent="0.25">
      <c r="A34" s="24"/>
      <c r="B34" s="127" t="s">
        <v>105</v>
      </c>
      <c r="C34" s="25" t="s">
        <v>283</v>
      </c>
      <c r="D34" s="30"/>
      <c r="E34" s="31"/>
      <c r="F34" s="224"/>
      <c r="G34" s="418"/>
      <c r="H34" s="418"/>
      <c r="I34" s="419"/>
      <c r="J34" s="419"/>
      <c r="K34" s="418"/>
      <c r="L34" s="418"/>
      <c r="M34" s="418"/>
      <c r="N34" s="420"/>
      <c r="O34" s="420">
        <v>54334805.899999991</v>
      </c>
      <c r="P34" s="420">
        <v>10187776.140000001</v>
      </c>
      <c r="Q34" s="420">
        <v>8148183.6899999985</v>
      </c>
      <c r="R34" s="207"/>
      <c r="S34" s="420">
        <v>2039592.4500000002</v>
      </c>
      <c r="T34" s="476">
        <v>0</v>
      </c>
      <c r="U34" s="59">
        <v>624507.17559999996</v>
      </c>
      <c r="V34" s="59">
        <v>39745448.859999999</v>
      </c>
      <c r="W34" s="60">
        <v>20145.300000000003</v>
      </c>
      <c r="X34" s="61">
        <v>63.642899999999997</v>
      </c>
      <c r="Y34" s="61">
        <v>11.933</v>
      </c>
      <c r="Z34" s="59">
        <v>7452271.6800000006</v>
      </c>
      <c r="AA34" s="59">
        <v>1465217.3073</v>
      </c>
      <c r="AB34" s="59">
        <v>4854488.6500000004</v>
      </c>
      <c r="AC34" s="60">
        <v>47265.2</v>
      </c>
      <c r="AD34" s="61">
        <v>3.3132000000000001</v>
      </c>
      <c r="AE34" s="61">
        <v>0.62119999999999997</v>
      </c>
      <c r="AF34" s="59">
        <v>910216.63000000012</v>
      </c>
      <c r="AG34" s="33">
        <v>1825287.8299999998</v>
      </c>
      <c r="AI34" s="507"/>
    </row>
    <row r="35" spans="1:35" x14ac:dyDescent="0.25">
      <c r="A35" s="102"/>
      <c r="B35" s="265"/>
      <c r="C35" s="25" t="s">
        <v>284</v>
      </c>
      <c r="D35" s="415"/>
      <c r="E35" s="415"/>
      <c r="F35" s="115"/>
      <c r="G35" s="421"/>
      <c r="H35" s="421"/>
      <c r="I35" s="422"/>
      <c r="J35" s="422"/>
      <c r="K35" s="421"/>
      <c r="L35" s="421"/>
      <c r="M35" s="421"/>
      <c r="N35" s="421"/>
      <c r="O35" s="423"/>
      <c r="P35" s="424">
        <v>37847588.359999999</v>
      </c>
      <c r="Q35" s="425">
        <v>30270502.41</v>
      </c>
      <c r="R35" s="117"/>
      <c r="S35" s="426">
        <v>7577085.9500000002</v>
      </c>
      <c r="T35" s="131"/>
      <c r="U35" s="118"/>
      <c r="V35" s="118"/>
      <c r="W35" s="119"/>
      <c r="X35" s="120"/>
      <c r="Y35" s="120"/>
      <c r="Z35" s="118"/>
      <c r="AA35" s="118"/>
      <c r="AB35" s="118"/>
      <c r="AC35" s="119"/>
      <c r="AD35" s="120"/>
      <c r="AE35" s="120"/>
      <c r="AF35" s="118"/>
      <c r="AG35" s="118"/>
      <c r="AI35" s="507"/>
    </row>
    <row r="36" spans="1:35" ht="13" x14ac:dyDescent="0.3">
      <c r="A36" s="257" t="s">
        <v>22</v>
      </c>
      <c r="B36" s="11"/>
      <c r="C36" s="41"/>
      <c r="D36" s="41"/>
      <c r="E36" s="12"/>
      <c r="F36" s="27"/>
      <c r="G36" s="427"/>
      <c r="H36" s="427"/>
      <c r="I36" s="428"/>
      <c r="J36" s="428"/>
      <c r="K36" s="427"/>
      <c r="L36" s="427"/>
      <c r="M36" s="427"/>
      <c r="N36" s="427"/>
      <c r="O36" s="429"/>
      <c r="P36" s="427"/>
      <c r="Q36" s="211" t="s">
        <v>48</v>
      </c>
      <c r="R36" s="189"/>
      <c r="S36" s="430"/>
      <c r="T36" s="261"/>
      <c r="U36" s="36"/>
      <c r="V36" s="36"/>
      <c r="W36" s="62"/>
      <c r="X36" s="63"/>
      <c r="Y36" s="63"/>
      <c r="Z36" s="63"/>
      <c r="AA36" s="36"/>
      <c r="AB36" s="36"/>
      <c r="AC36" s="62"/>
      <c r="AD36" s="63"/>
      <c r="AE36" s="63"/>
      <c r="AF36" s="63"/>
      <c r="AG36" s="35"/>
    </row>
    <row r="37" spans="1:35" x14ac:dyDescent="0.25">
      <c r="A37" s="413" t="s">
        <v>28</v>
      </c>
      <c r="B37" s="22">
        <v>131</v>
      </c>
      <c r="C37" s="69" t="s">
        <v>31</v>
      </c>
      <c r="D37" s="406" t="s">
        <v>30</v>
      </c>
      <c r="E37" s="69" t="s">
        <v>98</v>
      </c>
      <c r="F37" s="190" t="s">
        <v>36</v>
      </c>
      <c r="G37" s="407">
        <v>8072</v>
      </c>
      <c r="H37" s="407">
        <v>9119</v>
      </c>
      <c r="I37" s="408">
        <v>69.833200000000005</v>
      </c>
      <c r="J37" s="408">
        <v>60.064</v>
      </c>
      <c r="K37" s="409"/>
      <c r="L37" s="409"/>
      <c r="M37" s="409"/>
      <c r="N37" s="458">
        <v>3781.73</v>
      </c>
      <c r="O37" s="410">
        <v>1107635.48</v>
      </c>
      <c r="P37" s="409">
        <v>166145.32</v>
      </c>
      <c r="Q37" s="409">
        <v>166145.32</v>
      </c>
      <c r="R37" s="199">
        <v>0.15</v>
      </c>
      <c r="S37" s="431"/>
      <c r="T37" s="202"/>
      <c r="U37" s="32">
        <v>17191</v>
      </c>
      <c r="V37" s="32">
        <v>1107635.48</v>
      </c>
      <c r="W37" s="57">
        <v>554.5</v>
      </c>
      <c r="X37" s="58">
        <v>64.431100000000001</v>
      </c>
      <c r="Y37" s="58">
        <v>9.6646999999999998</v>
      </c>
      <c r="Z37" s="32">
        <v>166145.32</v>
      </c>
      <c r="AA37" s="32" t="s">
        <v>305</v>
      </c>
      <c r="AB37" s="32" t="s">
        <v>305</v>
      </c>
      <c r="AC37" s="57" t="s">
        <v>305</v>
      </c>
      <c r="AD37" s="58" t="s">
        <v>305</v>
      </c>
      <c r="AE37" s="58" t="s">
        <v>305</v>
      </c>
      <c r="AF37" s="32" t="s">
        <v>305</v>
      </c>
      <c r="AG37" s="37"/>
    </row>
    <row r="38" spans="1:35"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c r="U38" s="32" t="s">
        <v>305</v>
      </c>
      <c r="V38" s="32" t="s">
        <v>305</v>
      </c>
      <c r="W38" s="57" t="s">
        <v>305</v>
      </c>
      <c r="X38" s="58" t="s">
        <v>305</v>
      </c>
      <c r="Y38" s="58" t="s">
        <v>305</v>
      </c>
      <c r="Z38" s="32" t="s">
        <v>305</v>
      </c>
      <c r="AA38" s="32" t="s">
        <v>305</v>
      </c>
      <c r="AB38" s="32" t="s">
        <v>305</v>
      </c>
      <c r="AC38" s="57" t="s">
        <v>305</v>
      </c>
      <c r="AD38" s="58" t="s">
        <v>305</v>
      </c>
      <c r="AE38" s="58" t="s">
        <v>305</v>
      </c>
      <c r="AF38" s="32" t="s">
        <v>305</v>
      </c>
      <c r="AG38" s="37"/>
      <c r="AI38" s="290"/>
    </row>
    <row r="39" spans="1:35" x14ac:dyDescent="0.25">
      <c r="A39" s="24"/>
      <c r="B39" s="127" t="s">
        <v>105</v>
      </c>
      <c r="C39" s="25" t="s">
        <v>285</v>
      </c>
      <c r="D39" s="30"/>
      <c r="E39" s="31"/>
      <c r="F39" s="30"/>
      <c r="G39" s="418"/>
      <c r="H39" s="418"/>
      <c r="I39" s="419"/>
      <c r="J39" s="419"/>
      <c r="K39" s="418"/>
      <c r="L39" s="418"/>
      <c r="M39" s="418"/>
      <c r="N39" s="418"/>
      <c r="O39" s="420">
        <v>1107635.48</v>
      </c>
      <c r="P39" s="420">
        <v>166145.32</v>
      </c>
      <c r="Q39" s="420">
        <v>166145.32</v>
      </c>
      <c r="R39" s="207"/>
      <c r="S39" s="420">
        <v>0</v>
      </c>
      <c r="T39" s="207"/>
      <c r="U39" s="33">
        <v>17191</v>
      </c>
      <c r="V39" s="33">
        <v>1107635.48</v>
      </c>
      <c r="W39" s="64">
        <v>554.5</v>
      </c>
      <c r="X39" s="65">
        <v>64.431100000000001</v>
      </c>
      <c r="Y39" s="65">
        <v>9.6646999999999998</v>
      </c>
      <c r="Z39" s="33">
        <v>166145.32</v>
      </c>
      <c r="AA39" s="33">
        <v>0</v>
      </c>
      <c r="AB39" s="33">
        <v>0</v>
      </c>
      <c r="AC39" s="64">
        <v>0</v>
      </c>
      <c r="AD39" s="65">
        <v>0</v>
      </c>
      <c r="AE39" s="65">
        <v>0</v>
      </c>
      <c r="AF39" s="33">
        <v>0</v>
      </c>
      <c r="AG39" s="59">
        <v>0</v>
      </c>
    </row>
    <row r="40" spans="1:35" x14ac:dyDescent="0.25">
      <c r="A40" s="102"/>
      <c r="B40" s="265"/>
      <c r="C40" s="25" t="s">
        <v>286</v>
      </c>
      <c r="D40" s="415"/>
      <c r="E40" s="415"/>
      <c r="F40" s="115"/>
      <c r="G40" s="421"/>
      <c r="H40" s="421"/>
      <c r="I40" s="422"/>
      <c r="J40" s="422"/>
      <c r="K40" s="421"/>
      <c r="L40" s="421"/>
      <c r="M40" s="421"/>
      <c r="N40" s="421"/>
      <c r="O40" s="423"/>
      <c r="P40" s="424">
        <v>617229.86</v>
      </c>
      <c r="Q40" s="425">
        <v>617229.86</v>
      </c>
      <c r="R40" s="117"/>
      <c r="S40" s="424">
        <v>0</v>
      </c>
      <c r="T40" s="117"/>
      <c r="U40" s="118"/>
      <c r="V40" s="118"/>
      <c r="W40" s="119"/>
      <c r="X40" s="120"/>
      <c r="Y40" s="120"/>
      <c r="Z40" s="118"/>
      <c r="AA40" s="118"/>
      <c r="AB40" s="118"/>
      <c r="AC40" s="119"/>
      <c r="AD40" s="120"/>
      <c r="AE40" s="120"/>
      <c r="AF40" s="118"/>
      <c r="AG40" s="118"/>
      <c r="AI40" s="290"/>
    </row>
    <row r="41" spans="1:35"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c r="U41" s="35"/>
      <c r="V41" s="35"/>
      <c r="W41" s="55"/>
      <c r="X41" s="56"/>
      <c r="Y41" s="56"/>
      <c r="Z41" s="56"/>
      <c r="AA41" s="35"/>
      <c r="AB41" s="35"/>
      <c r="AC41" s="55"/>
      <c r="AD41" s="56"/>
      <c r="AE41" s="56"/>
      <c r="AF41" s="56"/>
      <c r="AG41" s="35"/>
      <c r="AI41" s="290"/>
    </row>
    <row r="42" spans="1:35" x14ac:dyDescent="0.25">
      <c r="A42" s="405" t="s">
        <v>28</v>
      </c>
      <c r="B42" s="22">
        <v>8</v>
      </c>
      <c r="C42" s="69" t="s">
        <v>31</v>
      </c>
      <c r="D42" s="69" t="s">
        <v>30</v>
      </c>
      <c r="E42" s="69" t="s">
        <v>98</v>
      </c>
      <c r="F42" s="217" t="s">
        <v>36</v>
      </c>
      <c r="G42" s="409">
        <v>37875</v>
      </c>
      <c r="H42" s="407">
        <v>56105</v>
      </c>
      <c r="I42" s="408">
        <v>58.390500000000003</v>
      </c>
      <c r="J42" s="408">
        <v>60.411700000000003</v>
      </c>
      <c r="K42" s="409"/>
      <c r="L42" s="409"/>
      <c r="M42" s="409"/>
      <c r="N42" s="409">
        <v>5068.08</v>
      </c>
      <c r="O42" s="410">
        <v>5595870.54</v>
      </c>
      <c r="P42" s="409">
        <v>1049225.73</v>
      </c>
      <c r="Q42" s="409">
        <v>839380.58</v>
      </c>
      <c r="R42" s="199">
        <v>0.15</v>
      </c>
      <c r="S42" s="409">
        <v>209845.15</v>
      </c>
      <c r="T42" s="236">
        <v>3.7499999999999999E-2</v>
      </c>
      <c r="U42" s="32">
        <v>93980</v>
      </c>
      <c r="V42" s="32">
        <v>5595870.54</v>
      </c>
      <c r="W42" s="57">
        <v>3031.6</v>
      </c>
      <c r="X42" s="58">
        <v>59.543199999999999</v>
      </c>
      <c r="Y42" s="58">
        <v>11.164400000000001</v>
      </c>
      <c r="Z42" s="32">
        <v>1049225.73</v>
      </c>
      <c r="AA42" s="32" t="s">
        <v>305</v>
      </c>
      <c r="AB42" s="32" t="s">
        <v>305</v>
      </c>
      <c r="AC42" s="57" t="s">
        <v>305</v>
      </c>
      <c r="AD42" s="58" t="s">
        <v>305</v>
      </c>
      <c r="AE42" s="58" t="s">
        <v>305</v>
      </c>
      <c r="AF42" s="32" t="s">
        <v>305</v>
      </c>
      <c r="AG42" s="37"/>
    </row>
    <row r="43" spans="1:35" x14ac:dyDescent="0.25">
      <c r="A43" s="405" t="s">
        <v>28</v>
      </c>
      <c r="B43" s="17" t="s">
        <v>12</v>
      </c>
      <c r="C43" s="69" t="s">
        <v>31</v>
      </c>
      <c r="D43" s="69" t="s">
        <v>30</v>
      </c>
      <c r="E43" s="69" t="s">
        <v>98</v>
      </c>
      <c r="F43" s="217" t="s">
        <v>55</v>
      </c>
      <c r="G43" s="407">
        <v>90108.12</v>
      </c>
      <c r="H43" s="407">
        <v>12288.69</v>
      </c>
      <c r="I43" s="408">
        <v>3.6073</v>
      </c>
      <c r="J43" s="408">
        <v>3.6074000000000002</v>
      </c>
      <c r="K43" s="409"/>
      <c r="L43" s="409"/>
      <c r="M43" s="409"/>
      <c r="N43" s="458">
        <v>1677.86</v>
      </c>
      <c r="O43" s="410">
        <v>367699.38</v>
      </c>
      <c r="P43" s="409">
        <v>68943.63</v>
      </c>
      <c r="Q43" s="409">
        <v>13788.73</v>
      </c>
      <c r="R43" s="236">
        <v>3.7499999999999999E-2</v>
      </c>
      <c r="S43" s="409">
        <v>55154.91</v>
      </c>
      <c r="T43" s="199">
        <v>0.15</v>
      </c>
      <c r="U43" s="32" t="s">
        <v>305</v>
      </c>
      <c r="V43" s="32" t="s">
        <v>305</v>
      </c>
      <c r="W43" s="57" t="s">
        <v>305</v>
      </c>
      <c r="X43" s="58" t="s">
        <v>305</v>
      </c>
      <c r="Y43" s="58" t="s">
        <v>305</v>
      </c>
      <c r="Z43" s="32" t="s">
        <v>305</v>
      </c>
      <c r="AA43" s="32">
        <v>102396.81</v>
      </c>
      <c r="AB43" s="32">
        <v>367699.38</v>
      </c>
      <c r="AC43" s="57">
        <v>3303.1</v>
      </c>
      <c r="AD43" s="58">
        <v>3.5909</v>
      </c>
      <c r="AE43" s="58">
        <v>0.67330000000000001</v>
      </c>
      <c r="AF43" s="32">
        <v>68943.63</v>
      </c>
      <c r="AG43" s="37"/>
      <c r="AI43" s="290"/>
    </row>
    <row r="44" spans="1:35" x14ac:dyDescent="0.25">
      <c r="A44" s="405" t="s">
        <v>28</v>
      </c>
      <c r="B44" s="17" t="s">
        <v>74</v>
      </c>
      <c r="C44" s="69" t="s">
        <v>31</v>
      </c>
      <c r="D44" s="69" t="s">
        <v>30</v>
      </c>
      <c r="E44" s="69" t="s">
        <v>100</v>
      </c>
      <c r="F44" s="217" t="s">
        <v>36</v>
      </c>
      <c r="G44" s="407"/>
      <c r="H44" s="407"/>
      <c r="I44" s="408"/>
      <c r="J44" s="408"/>
      <c r="K44" s="409"/>
      <c r="L44" s="409"/>
      <c r="M44" s="409"/>
      <c r="N44" s="458">
        <v>3354.34</v>
      </c>
      <c r="O44" s="410">
        <v>-3354.34</v>
      </c>
      <c r="P44" s="409">
        <v>-628.94000000000005</v>
      </c>
      <c r="Q44" s="409">
        <v>-125.79</v>
      </c>
      <c r="R44" s="236">
        <v>3.7499999999999999E-2</v>
      </c>
      <c r="S44" s="409">
        <v>-503.15</v>
      </c>
      <c r="T44" s="199">
        <v>0.15</v>
      </c>
      <c r="U44" s="32">
        <v>0</v>
      </c>
      <c r="V44" s="32">
        <v>-3354.34</v>
      </c>
      <c r="W44" s="57">
        <v>0</v>
      </c>
      <c r="X44" s="58">
        <v>0</v>
      </c>
      <c r="Y44" s="58">
        <v>0</v>
      </c>
      <c r="Z44" s="32">
        <v>-628.94000000000005</v>
      </c>
      <c r="AA44" s="32" t="s">
        <v>305</v>
      </c>
      <c r="AB44" s="32" t="s">
        <v>305</v>
      </c>
      <c r="AC44" s="57" t="s">
        <v>305</v>
      </c>
      <c r="AD44" s="58" t="s">
        <v>305</v>
      </c>
      <c r="AE44" s="58" t="s">
        <v>305</v>
      </c>
      <c r="AF44" s="32" t="s">
        <v>305</v>
      </c>
      <c r="AG44" s="37"/>
    </row>
    <row r="45" spans="1:35" x14ac:dyDescent="0.25">
      <c r="A45" s="405" t="s">
        <v>28</v>
      </c>
      <c r="B45" s="22">
        <v>95</v>
      </c>
      <c r="C45" s="69" t="s">
        <v>31</v>
      </c>
      <c r="D45" s="69" t="s">
        <v>30</v>
      </c>
      <c r="E45" s="69" t="s">
        <v>98</v>
      </c>
      <c r="F45" s="217" t="s">
        <v>36</v>
      </c>
      <c r="G45" s="407">
        <v>346326</v>
      </c>
      <c r="H45" s="407">
        <v>366318</v>
      </c>
      <c r="I45" s="408">
        <v>51.507899999999999</v>
      </c>
      <c r="J45" s="408">
        <v>53.4069</v>
      </c>
      <c r="K45" s="407"/>
      <c r="L45" s="409"/>
      <c r="M45" s="409"/>
      <c r="N45" s="458">
        <v>5071.59</v>
      </c>
      <c r="O45" s="410">
        <v>37397362.179999992</v>
      </c>
      <c r="P45" s="409">
        <v>7012005.4100000001</v>
      </c>
      <c r="Q45" s="409">
        <v>5609604.3300000001</v>
      </c>
      <c r="R45" s="199">
        <v>0.15</v>
      </c>
      <c r="S45" s="409">
        <v>1402401.08</v>
      </c>
      <c r="T45" s="236">
        <v>3.7499999999999999E-2</v>
      </c>
      <c r="U45" s="32">
        <v>712644</v>
      </c>
      <c r="V45" s="32">
        <v>37397362.179999992</v>
      </c>
      <c r="W45" s="57">
        <v>22988.5</v>
      </c>
      <c r="X45" s="58">
        <v>52.476900000000001</v>
      </c>
      <c r="Y45" s="58">
        <v>9.8393999999999995</v>
      </c>
      <c r="Z45" s="32">
        <v>7012005.4100000001</v>
      </c>
      <c r="AA45" s="32" t="s">
        <v>305</v>
      </c>
      <c r="AB45" s="32" t="s">
        <v>305</v>
      </c>
      <c r="AC45" s="57" t="s">
        <v>305</v>
      </c>
      <c r="AD45" s="58" t="s">
        <v>305</v>
      </c>
      <c r="AE45" s="58" t="s">
        <v>305</v>
      </c>
      <c r="AF45" s="32" t="s">
        <v>305</v>
      </c>
      <c r="AG45" s="37"/>
    </row>
    <row r="46" spans="1:35"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c r="U46" s="32">
        <v>0</v>
      </c>
      <c r="V46" s="32">
        <v>0</v>
      </c>
      <c r="W46" s="57">
        <v>0</v>
      </c>
      <c r="X46" s="58">
        <v>0</v>
      </c>
      <c r="Y46" s="58">
        <v>0</v>
      </c>
      <c r="Z46" s="32">
        <v>0</v>
      </c>
      <c r="AA46" s="32" t="s">
        <v>305</v>
      </c>
      <c r="AB46" s="32" t="s">
        <v>305</v>
      </c>
      <c r="AC46" s="57" t="s">
        <v>305</v>
      </c>
      <c r="AD46" s="58" t="s">
        <v>305</v>
      </c>
      <c r="AE46" s="58" t="s">
        <v>305</v>
      </c>
      <c r="AF46" s="32" t="s">
        <v>305</v>
      </c>
      <c r="AG46" s="37"/>
    </row>
    <row r="47" spans="1:35" x14ac:dyDescent="0.25">
      <c r="A47" s="432" t="s">
        <v>28</v>
      </c>
      <c r="B47" s="414" t="s">
        <v>53</v>
      </c>
      <c r="C47" s="415"/>
      <c r="D47" s="416"/>
      <c r="E47" s="416"/>
      <c r="F47" s="217"/>
      <c r="G47" s="409"/>
      <c r="H47" s="409"/>
      <c r="I47" s="417"/>
      <c r="J47" s="417"/>
      <c r="K47" s="409"/>
      <c r="L47" s="409"/>
      <c r="M47" s="409"/>
      <c r="N47" s="409"/>
      <c r="O47" s="409"/>
      <c r="P47" s="409"/>
      <c r="Q47" s="409"/>
      <c r="R47" s="409"/>
      <c r="S47" s="409"/>
      <c r="T47" s="199"/>
      <c r="U47" s="32" t="s">
        <v>305</v>
      </c>
      <c r="V47" s="32" t="s">
        <v>305</v>
      </c>
      <c r="W47" s="57" t="s">
        <v>305</v>
      </c>
      <c r="X47" s="58" t="s">
        <v>305</v>
      </c>
      <c r="Y47" s="58" t="s">
        <v>305</v>
      </c>
      <c r="Z47" s="32" t="s">
        <v>305</v>
      </c>
      <c r="AA47" s="32" t="s">
        <v>305</v>
      </c>
      <c r="AB47" s="32" t="s">
        <v>305</v>
      </c>
      <c r="AC47" s="57" t="s">
        <v>305</v>
      </c>
      <c r="AD47" s="58" t="s">
        <v>305</v>
      </c>
      <c r="AE47" s="58" t="s">
        <v>305</v>
      </c>
      <c r="AF47" s="32" t="s">
        <v>305</v>
      </c>
      <c r="AG47" s="37"/>
    </row>
    <row r="48" spans="1:35" x14ac:dyDescent="0.25">
      <c r="A48" s="24"/>
      <c r="B48" s="127" t="s">
        <v>105</v>
      </c>
      <c r="C48" s="25" t="s">
        <v>287</v>
      </c>
      <c r="D48" s="14"/>
      <c r="E48" s="14"/>
      <c r="F48" s="230"/>
      <c r="G48" s="433"/>
      <c r="H48" s="433"/>
      <c r="I48" s="434"/>
      <c r="J48" s="435"/>
      <c r="K48" s="436"/>
      <c r="L48" s="436"/>
      <c r="M48" s="436"/>
      <c r="N48" s="420"/>
      <c r="O48" s="420">
        <v>43357577.75999999</v>
      </c>
      <c r="P48" s="420">
        <v>8129545.8300000001</v>
      </c>
      <c r="Q48" s="420">
        <v>6462647.8499999996</v>
      </c>
      <c r="R48" s="220"/>
      <c r="S48" s="420">
        <v>1666897.99</v>
      </c>
      <c r="T48" s="207"/>
      <c r="U48" s="59">
        <v>806624</v>
      </c>
      <c r="V48" s="59">
        <v>42989878.379999995</v>
      </c>
      <c r="W48" s="60">
        <v>26020.1</v>
      </c>
      <c r="X48" s="61">
        <v>53.296100000000003</v>
      </c>
      <c r="Y48" s="61">
        <v>9.9930000000000003</v>
      </c>
      <c r="Z48" s="59">
        <v>8060602.2000000002</v>
      </c>
      <c r="AA48" s="59">
        <v>102396.81</v>
      </c>
      <c r="AB48" s="59">
        <v>367699.38</v>
      </c>
      <c r="AC48" s="60">
        <v>3303.1</v>
      </c>
      <c r="AD48" s="61">
        <v>3.5909</v>
      </c>
      <c r="AE48" s="61">
        <v>0.67330000000000001</v>
      </c>
      <c r="AF48" s="59">
        <v>68943.63</v>
      </c>
      <c r="AG48" s="59">
        <v>-1.1641532182693481E-10</v>
      </c>
    </row>
    <row r="49" spans="1:39" x14ac:dyDescent="0.25">
      <c r="A49" s="121"/>
      <c r="B49" s="122"/>
      <c r="C49" s="25" t="s">
        <v>288</v>
      </c>
      <c r="D49" s="85"/>
      <c r="E49" s="85"/>
      <c r="F49" s="121"/>
      <c r="G49" s="437"/>
      <c r="H49" s="437"/>
      <c r="I49" s="438"/>
      <c r="J49" s="438"/>
      <c r="K49" s="437"/>
      <c r="L49" s="437"/>
      <c r="M49" s="437"/>
      <c r="N49" s="437"/>
      <c r="O49" s="255"/>
      <c r="P49" s="255">
        <v>30201262.760000002</v>
      </c>
      <c r="Q49" s="426">
        <v>24008736.760000002</v>
      </c>
      <c r="R49" s="131"/>
      <c r="S49" s="426">
        <v>6192526.0300000003</v>
      </c>
      <c r="T49" s="123"/>
      <c r="U49" s="124"/>
      <c r="V49" s="124"/>
      <c r="W49" s="125"/>
      <c r="X49" s="126"/>
      <c r="Y49" s="126"/>
      <c r="Z49" s="124"/>
      <c r="AA49" s="124"/>
      <c r="AB49" s="124"/>
      <c r="AC49" s="125"/>
      <c r="AD49" s="126"/>
      <c r="AE49" s="126"/>
      <c r="AF49" s="124"/>
      <c r="AG49" s="124"/>
    </row>
    <row r="50" spans="1:39"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c r="U50" s="124"/>
      <c r="V50" s="124"/>
      <c r="W50" s="125"/>
      <c r="X50" s="126"/>
      <c r="Y50" s="126"/>
      <c r="Z50" s="124"/>
      <c r="AA50" s="124"/>
      <c r="AB50" s="124"/>
      <c r="AC50" s="125"/>
      <c r="AD50" s="126"/>
      <c r="AE50" s="126"/>
      <c r="AF50" s="124"/>
      <c r="AG50" s="124"/>
    </row>
    <row r="51" spans="1:39" x14ac:dyDescent="0.25">
      <c r="A51" s="405" t="s">
        <v>28</v>
      </c>
      <c r="B51" s="17" t="s">
        <v>160</v>
      </c>
      <c r="C51" s="69" t="s">
        <v>31</v>
      </c>
      <c r="D51" s="69" t="s">
        <v>30</v>
      </c>
      <c r="E51" s="69" t="s">
        <v>158</v>
      </c>
      <c r="F51" s="217" t="s">
        <v>36</v>
      </c>
      <c r="G51" s="409">
        <v>757184</v>
      </c>
      <c r="H51" s="409">
        <v>808842</v>
      </c>
      <c r="I51" s="417">
        <v>41.665100000000002</v>
      </c>
      <c r="J51" s="417">
        <v>43.130099999999999</v>
      </c>
      <c r="K51" s="409"/>
      <c r="L51" s="409"/>
      <c r="M51" s="409"/>
      <c r="N51" s="409"/>
      <c r="O51" s="410">
        <v>66433583.422600001</v>
      </c>
      <c r="P51" s="444">
        <v>24739866.469999999</v>
      </c>
      <c r="Q51" s="444">
        <v>12369933.24</v>
      </c>
      <c r="R51" s="199">
        <v>0.5</v>
      </c>
      <c r="S51" s="409"/>
      <c r="T51" s="236"/>
      <c r="U51" s="32">
        <v>1566026</v>
      </c>
      <c r="V51" s="32">
        <v>66433583.422600001</v>
      </c>
      <c r="W51" s="57">
        <v>50517</v>
      </c>
      <c r="X51" s="58">
        <v>42.421799999999998</v>
      </c>
      <c r="Y51" s="58">
        <v>7.8989000000000003</v>
      </c>
      <c r="Z51" s="32">
        <v>12369933.24</v>
      </c>
      <c r="AA51" s="32" t="s">
        <v>305</v>
      </c>
      <c r="AB51" s="32" t="s">
        <v>305</v>
      </c>
      <c r="AC51" s="57" t="s">
        <v>305</v>
      </c>
      <c r="AD51" s="58" t="s">
        <v>305</v>
      </c>
      <c r="AE51" s="58" t="s">
        <v>305</v>
      </c>
      <c r="AF51" s="32" t="s">
        <v>305</v>
      </c>
      <c r="AG51" s="124"/>
    </row>
    <row r="52" spans="1:39" x14ac:dyDescent="0.25">
      <c r="A52" s="405" t="s">
        <v>28</v>
      </c>
      <c r="B52" s="17" t="s">
        <v>159</v>
      </c>
      <c r="C52" s="69" t="s">
        <v>31</v>
      </c>
      <c r="D52" s="69" t="s">
        <v>30</v>
      </c>
      <c r="E52" s="69" t="s">
        <v>158</v>
      </c>
      <c r="F52" s="217" t="s">
        <v>55</v>
      </c>
      <c r="G52" s="407">
        <v>13188926.737499999</v>
      </c>
      <c r="H52" s="409">
        <v>12463819.060000001</v>
      </c>
      <c r="I52" s="417">
        <v>2.9161000000000001</v>
      </c>
      <c r="J52" s="417">
        <v>2.9474</v>
      </c>
      <c r="K52" s="409"/>
      <c r="L52" s="409"/>
      <c r="M52" s="409"/>
      <c r="N52" s="409"/>
      <c r="O52" s="407">
        <v>75195981.400000006</v>
      </c>
      <c r="P52" s="407">
        <v>28077761.399999999</v>
      </c>
      <c r="Q52" s="407">
        <v>14038880.709999999</v>
      </c>
      <c r="R52" s="199">
        <v>0.5</v>
      </c>
      <c r="S52" s="409"/>
      <c r="T52" s="199"/>
      <c r="U52" s="32" t="s">
        <v>305</v>
      </c>
      <c r="V52" s="32" t="s">
        <v>305</v>
      </c>
      <c r="W52" s="57" t="s">
        <v>305</v>
      </c>
      <c r="X52" s="58" t="s">
        <v>305</v>
      </c>
      <c r="Y52" s="58" t="s">
        <v>305</v>
      </c>
      <c r="Z52" s="32" t="s">
        <v>305</v>
      </c>
      <c r="AA52" s="32">
        <v>25652745.797499999</v>
      </c>
      <c r="AB52" s="32">
        <v>75195981.400000006</v>
      </c>
      <c r="AC52" s="57">
        <v>827507.9</v>
      </c>
      <c r="AD52" s="58">
        <v>2.9312999999999998</v>
      </c>
      <c r="AE52" s="58">
        <v>0.54730000000000001</v>
      </c>
      <c r="AF52" s="32">
        <v>14038880.709999999</v>
      </c>
      <c r="AG52" s="124"/>
    </row>
    <row r="53" spans="1:39" x14ac:dyDescent="0.25">
      <c r="A53" s="405" t="s">
        <v>28</v>
      </c>
      <c r="B53" s="17" t="s">
        <v>168</v>
      </c>
      <c r="C53" s="69" t="s">
        <v>31</v>
      </c>
      <c r="D53" s="69" t="s">
        <v>30</v>
      </c>
      <c r="E53" s="69" t="s">
        <v>158</v>
      </c>
      <c r="F53" s="217" t="s">
        <v>36</v>
      </c>
      <c r="G53" s="409">
        <v>156041</v>
      </c>
      <c r="H53" s="409">
        <v>174545</v>
      </c>
      <c r="I53" s="417">
        <v>41.665300000000002</v>
      </c>
      <c r="J53" s="417">
        <v>43.130400000000002</v>
      </c>
      <c r="K53" s="409"/>
      <c r="L53" s="409"/>
      <c r="M53" s="409"/>
      <c r="N53" s="409"/>
      <c r="O53" s="410">
        <v>14029690.745300001</v>
      </c>
      <c r="P53" s="444">
        <v>5611876.2999999998</v>
      </c>
      <c r="Q53" s="444">
        <v>2805938.15</v>
      </c>
      <c r="R53" s="199">
        <v>0.5</v>
      </c>
      <c r="S53" s="409"/>
      <c r="T53" s="199"/>
      <c r="U53" s="32">
        <v>330586</v>
      </c>
      <c r="V53" s="32">
        <v>14029690.745300001</v>
      </c>
      <c r="W53" s="57">
        <v>10664.1</v>
      </c>
      <c r="X53" s="58">
        <v>42.438899999999997</v>
      </c>
      <c r="Y53" s="58">
        <v>8.4878</v>
      </c>
      <c r="Z53" s="32">
        <v>2805938.15</v>
      </c>
      <c r="AA53" s="32" t="s">
        <v>305</v>
      </c>
      <c r="AB53" s="32" t="s">
        <v>305</v>
      </c>
      <c r="AC53" s="57" t="s">
        <v>305</v>
      </c>
      <c r="AD53" s="58" t="s">
        <v>305</v>
      </c>
      <c r="AE53" s="58" t="s">
        <v>305</v>
      </c>
      <c r="AF53" s="32" t="s">
        <v>305</v>
      </c>
      <c r="AG53" s="124"/>
    </row>
    <row r="54" spans="1:39" x14ac:dyDescent="0.25">
      <c r="A54" s="405" t="s">
        <v>28</v>
      </c>
      <c r="B54" s="17" t="s">
        <v>169</v>
      </c>
      <c r="C54" s="69" t="s">
        <v>31</v>
      </c>
      <c r="D54" s="69" t="s">
        <v>30</v>
      </c>
      <c r="E54" s="69" t="s">
        <v>158</v>
      </c>
      <c r="F54" s="217" t="s">
        <v>55</v>
      </c>
      <c r="G54" s="409">
        <v>4238367.7</v>
      </c>
      <c r="H54" s="409">
        <v>4696684.76</v>
      </c>
      <c r="I54" s="580">
        <v>5.5289999999999999</v>
      </c>
      <c r="J54" s="417">
        <v>5.585</v>
      </c>
      <c r="K54" s="409"/>
      <c r="L54" s="409"/>
      <c r="M54" s="409"/>
      <c r="N54" s="409"/>
      <c r="O54" s="410">
        <v>49664919.3979</v>
      </c>
      <c r="P54" s="444">
        <v>18872669.380000003</v>
      </c>
      <c r="Q54" s="444">
        <v>9436334.6899999995</v>
      </c>
      <c r="R54" s="199">
        <v>0.5</v>
      </c>
      <c r="S54" s="409"/>
      <c r="T54" s="199"/>
      <c r="U54" s="32" t="s">
        <v>305</v>
      </c>
      <c r="V54" s="32" t="s">
        <v>305</v>
      </c>
      <c r="W54" s="57" t="s">
        <v>305</v>
      </c>
      <c r="X54" s="58" t="s">
        <v>305</v>
      </c>
      <c r="Y54" s="58" t="s">
        <v>305</v>
      </c>
      <c r="Z54" s="32" t="s">
        <v>305</v>
      </c>
      <c r="AA54" s="32">
        <v>8935052.4600000009</v>
      </c>
      <c r="AB54" s="32">
        <v>49664919.3979</v>
      </c>
      <c r="AC54" s="57">
        <v>288227.5</v>
      </c>
      <c r="AD54" s="58">
        <v>5.5583999999999998</v>
      </c>
      <c r="AE54" s="58">
        <v>1.0561</v>
      </c>
      <c r="AF54" s="32">
        <v>9436334.6899999995</v>
      </c>
      <c r="AG54" s="124"/>
    </row>
    <row r="55" spans="1:39" x14ac:dyDescent="0.25">
      <c r="A55" s="405" t="s">
        <v>28</v>
      </c>
      <c r="B55" s="22" t="s">
        <v>175</v>
      </c>
      <c r="C55" s="69" t="s">
        <v>31</v>
      </c>
      <c r="D55" s="69" t="s">
        <v>30</v>
      </c>
      <c r="E55" s="69" t="s">
        <v>158</v>
      </c>
      <c r="F55" s="217" t="s">
        <v>36</v>
      </c>
      <c r="G55" s="409">
        <v>243298</v>
      </c>
      <c r="H55" s="409">
        <v>261839</v>
      </c>
      <c r="I55" s="417">
        <v>37.936999999999998</v>
      </c>
      <c r="J55" s="417">
        <v>39.458500000000001</v>
      </c>
      <c r="K55" s="407"/>
      <c r="L55" s="409"/>
      <c r="M55" s="409"/>
      <c r="N55" s="407"/>
      <c r="O55" s="410">
        <v>19561770.407499999</v>
      </c>
      <c r="P55" s="409">
        <v>1326398.211593</v>
      </c>
      <c r="Q55" s="444">
        <v>663199.11</v>
      </c>
      <c r="R55" s="199">
        <v>0.5</v>
      </c>
      <c r="S55" s="409"/>
      <c r="T55" s="236"/>
      <c r="U55" s="32">
        <v>505137</v>
      </c>
      <c r="V55" s="32">
        <v>19561770.407499999</v>
      </c>
      <c r="W55" s="57">
        <v>16294.7</v>
      </c>
      <c r="X55" s="58">
        <v>38.725700000000003</v>
      </c>
      <c r="Y55" s="58">
        <v>1.3129</v>
      </c>
      <c r="Z55" s="32">
        <v>663199.11</v>
      </c>
      <c r="AA55" s="32" t="s">
        <v>305</v>
      </c>
      <c r="AB55" s="32" t="s">
        <v>305</v>
      </c>
      <c r="AC55" s="57" t="s">
        <v>305</v>
      </c>
      <c r="AD55" s="58" t="s">
        <v>305</v>
      </c>
      <c r="AE55" s="58" t="s">
        <v>305</v>
      </c>
      <c r="AF55" s="32" t="s">
        <v>305</v>
      </c>
      <c r="AG55" s="124"/>
    </row>
    <row r="56" spans="1:39" x14ac:dyDescent="0.25">
      <c r="A56" s="405" t="s">
        <v>28</v>
      </c>
      <c r="B56" s="250" t="s">
        <v>176</v>
      </c>
      <c r="C56" s="69" t="s">
        <v>31</v>
      </c>
      <c r="D56" s="69" t="s">
        <v>30</v>
      </c>
      <c r="E56" s="69" t="s">
        <v>158</v>
      </c>
      <c r="F56" s="217" t="s">
        <v>55</v>
      </c>
      <c r="G56" s="409">
        <v>4232723.33</v>
      </c>
      <c r="H56" s="409">
        <v>4526505.8899999997</v>
      </c>
      <c r="I56" s="417">
        <v>6.6840000000000002</v>
      </c>
      <c r="J56" s="417">
        <v>6.6840000000000002</v>
      </c>
      <c r="K56" s="504"/>
      <c r="L56" s="409"/>
      <c r="M56" s="409"/>
      <c r="N56" s="407"/>
      <c r="O56" s="410">
        <v>58546688.106480002</v>
      </c>
      <c r="P56" s="409">
        <v>6809176.1914560003</v>
      </c>
      <c r="Q56" s="444">
        <v>3404588.1</v>
      </c>
      <c r="R56" s="199">
        <v>0.5</v>
      </c>
      <c r="S56" s="409"/>
      <c r="T56" s="236"/>
      <c r="U56" s="32" t="s">
        <v>305</v>
      </c>
      <c r="V56" s="32" t="s">
        <v>305</v>
      </c>
      <c r="W56" s="57" t="s">
        <v>305</v>
      </c>
      <c r="X56" s="58" t="s">
        <v>305</v>
      </c>
      <c r="Y56" s="58" t="s">
        <v>305</v>
      </c>
      <c r="Z56" s="32" t="s">
        <v>305</v>
      </c>
      <c r="AA56" s="32">
        <v>8759229.2199999988</v>
      </c>
      <c r="AB56" s="32">
        <v>58546688.106480002</v>
      </c>
      <c r="AC56" s="57">
        <v>282555.8</v>
      </c>
      <c r="AD56" s="58">
        <v>6.6840000000000002</v>
      </c>
      <c r="AE56" s="58">
        <v>0.38869999999999999</v>
      </c>
      <c r="AF56" s="32">
        <v>3404588.1</v>
      </c>
      <c r="AG56" s="124"/>
    </row>
    <row r="57" spans="1:39" x14ac:dyDescent="0.25">
      <c r="A57" s="445" t="s">
        <v>28</v>
      </c>
      <c r="B57" s="446" t="s">
        <v>162</v>
      </c>
      <c r="C57" s="447"/>
      <c r="D57" s="447"/>
      <c r="E57" s="448"/>
      <c r="F57" s="190"/>
      <c r="G57" s="239"/>
      <c r="H57" s="240"/>
      <c r="I57" s="240"/>
      <c r="J57" s="241"/>
      <c r="K57" s="241"/>
      <c r="L57" s="241"/>
      <c r="M57" s="155"/>
      <c r="N57" s="155"/>
      <c r="O57" s="168">
        <v>3214945.0109268972</v>
      </c>
      <c r="P57" s="168">
        <v>92977.676528999931</v>
      </c>
      <c r="Q57" s="168">
        <v>46488.849999998536</v>
      </c>
      <c r="R57" s="123"/>
      <c r="S57" s="156"/>
      <c r="T57" s="123"/>
      <c r="U57" s="32" t="s">
        <v>305</v>
      </c>
      <c r="V57" s="32" t="s">
        <v>305</v>
      </c>
      <c r="W57" s="57" t="s">
        <v>305</v>
      </c>
      <c r="X57" s="58" t="s">
        <v>305</v>
      </c>
      <c r="Y57" s="58" t="s">
        <v>305</v>
      </c>
      <c r="Z57" s="32" t="s">
        <v>305</v>
      </c>
      <c r="AA57" s="32" t="s">
        <v>305</v>
      </c>
      <c r="AB57" s="32" t="s">
        <v>305</v>
      </c>
      <c r="AC57" s="57" t="s">
        <v>305</v>
      </c>
      <c r="AD57" s="58" t="s">
        <v>305</v>
      </c>
      <c r="AE57" s="58" t="s">
        <v>305</v>
      </c>
      <c r="AF57" s="32" t="s">
        <v>305</v>
      </c>
      <c r="AG57" s="124"/>
    </row>
    <row r="58" spans="1:39" x14ac:dyDescent="0.25">
      <c r="A58" s="24"/>
      <c r="B58" s="127" t="s">
        <v>105</v>
      </c>
      <c r="C58" s="25" t="s">
        <v>289</v>
      </c>
      <c r="D58" s="14"/>
      <c r="E58" s="14"/>
      <c r="F58" s="245"/>
      <c r="G58" s="232">
        <v>4238367.7</v>
      </c>
      <c r="H58" s="232">
        <v>4696684.76</v>
      </c>
      <c r="I58" s="299"/>
      <c r="J58" s="232"/>
      <c r="K58" s="243"/>
      <c r="L58" s="237"/>
      <c r="M58" s="297"/>
      <c r="N58" s="174"/>
      <c r="O58" s="174">
        <v>286647578.49070686</v>
      </c>
      <c r="P58" s="174">
        <v>85530725.629578009</v>
      </c>
      <c r="Q58" s="174">
        <v>42765362.850000001</v>
      </c>
      <c r="R58" s="498"/>
      <c r="S58" s="162"/>
      <c r="T58" s="123"/>
      <c r="U58" s="59">
        <v>2401749</v>
      </c>
      <c r="V58" s="59">
        <v>100025044.57539999</v>
      </c>
      <c r="W58" s="60">
        <v>77475.8</v>
      </c>
      <c r="X58" s="61">
        <v>41.646799999999999</v>
      </c>
      <c r="Y58" s="61">
        <v>6.5948000000000002</v>
      </c>
      <c r="Z58" s="59">
        <v>15839070.5</v>
      </c>
      <c r="AA58" s="59">
        <v>43347027.477499999</v>
      </c>
      <c r="AB58" s="59">
        <v>183407588.90438002</v>
      </c>
      <c r="AC58" s="60">
        <v>1398291.2</v>
      </c>
      <c r="AD58" s="61">
        <v>4.2310999999999996</v>
      </c>
      <c r="AE58" s="61">
        <v>0.62009999999999998</v>
      </c>
      <c r="AF58" s="59">
        <v>26879803.5</v>
      </c>
      <c r="AG58" s="59">
        <v>46488.85000000149</v>
      </c>
    </row>
    <row r="59" spans="1:39" x14ac:dyDescent="0.25">
      <c r="A59" s="121"/>
      <c r="B59" s="122"/>
      <c r="C59" s="25" t="s">
        <v>290</v>
      </c>
      <c r="D59" s="85"/>
      <c r="E59" s="85"/>
      <c r="F59" s="245"/>
      <c r="G59" s="233">
        <v>5.5289999999999999</v>
      </c>
      <c r="H59" s="233">
        <v>5.585</v>
      </c>
      <c r="I59" s="300"/>
      <c r="J59" s="232"/>
      <c r="K59" s="244"/>
      <c r="L59" s="238"/>
      <c r="M59" s="361"/>
      <c r="N59" s="362"/>
      <c r="O59" s="362"/>
      <c r="P59" s="164"/>
      <c r="Q59" s="164">
        <v>158873322.98774999</v>
      </c>
      <c r="R59" s="153"/>
      <c r="S59" s="162"/>
      <c r="T59" s="123"/>
      <c r="U59" s="124"/>
      <c r="V59" s="124"/>
      <c r="W59" s="125"/>
      <c r="X59" s="126"/>
      <c r="Y59" s="126"/>
      <c r="Z59" s="124"/>
      <c r="AA59" s="124"/>
      <c r="AB59" s="124"/>
      <c r="AC59" s="125"/>
      <c r="AD59" s="126"/>
      <c r="AE59" s="126"/>
      <c r="AF59" s="124"/>
      <c r="AG59" s="124"/>
      <c r="AJ59" s="48"/>
      <c r="AK59" s="294"/>
      <c r="AL59" s="294"/>
      <c r="AM59" s="294"/>
    </row>
    <row r="60" spans="1:39" ht="13" x14ac:dyDescent="0.3">
      <c r="A60" s="8" t="s">
        <v>54</v>
      </c>
      <c r="B60" s="252"/>
      <c r="C60" s="252"/>
      <c r="D60" s="252"/>
      <c r="E60" s="252"/>
      <c r="F60" s="246"/>
      <c r="G60" s="234">
        <v>23433935.013300002</v>
      </c>
      <c r="H60" s="234">
        <v>26230984.384599999</v>
      </c>
      <c r="I60" s="232">
        <v>49664919.3979</v>
      </c>
      <c r="J60" s="232" t="e">
        <v>#REF!</v>
      </c>
      <c r="K60" s="301" t="e">
        <v>#REF!</v>
      </c>
      <c r="L60" s="302"/>
      <c r="M60" s="255">
        <v>0</v>
      </c>
      <c r="N60" s="255">
        <v>35607.54</v>
      </c>
      <c r="O60" s="255">
        <v>385447597.63070685</v>
      </c>
      <c r="P60" s="426">
        <v>61248830.140000001</v>
      </c>
      <c r="Q60" s="166">
        <v>227539403.99774998</v>
      </c>
      <c r="R60" s="38"/>
      <c r="S60" s="166"/>
      <c r="T60" s="38"/>
      <c r="U60" s="66">
        <v>3850071.1755999997</v>
      </c>
      <c r="V60" s="66">
        <v>183868007.29539999</v>
      </c>
      <c r="W60" s="67">
        <v>124195.70000000001</v>
      </c>
      <c r="X60" s="68">
        <v>47.756999999999998</v>
      </c>
      <c r="Y60" s="68">
        <v>8.1864000000000008</v>
      </c>
      <c r="Z60" s="66">
        <v>31518089.700000003</v>
      </c>
      <c r="AA60" s="66">
        <v>44914641.594799995</v>
      </c>
      <c r="AB60" s="66">
        <v>188629776.93438002</v>
      </c>
      <c r="AC60" s="66">
        <v>1448859.5</v>
      </c>
      <c r="AD60" s="68">
        <v>4.1997</v>
      </c>
      <c r="AE60" s="68">
        <v>0.62029999999999996</v>
      </c>
      <c r="AF60" s="66">
        <v>27858963.760000002</v>
      </c>
      <c r="AG60" s="66">
        <v>1871776.679999996</v>
      </c>
      <c r="AI60" s="251">
        <v>57</v>
      </c>
      <c r="AJ60" s="48"/>
      <c r="AK60" s="294"/>
      <c r="AL60" s="294"/>
      <c r="AM60" s="294"/>
    </row>
    <row r="61" spans="1:39" x14ac:dyDescent="0.25">
      <c r="G61" s="251"/>
      <c r="H61" s="251"/>
      <c r="I61" s="251"/>
      <c r="J61" s="251"/>
      <c r="K61" s="251"/>
      <c r="N61" s="477"/>
      <c r="O61" s="404"/>
      <c r="S61" s="290"/>
      <c r="Z61" s="48"/>
      <c r="AA61" s="48"/>
      <c r="AB61" s="48"/>
      <c r="AC61" s="48"/>
      <c r="AD61" s="48"/>
      <c r="AE61" s="48"/>
      <c r="AI61" s="251">
        <v>56</v>
      </c>
      <c r="AJ61" s="48"/>
      <c r="AK61" s="294"/>
      <c r="AL61" s="294"/>
      <c r="AM61" s="294"/>
    </row>
    <row r="62" spans="1:39" x14ac:dyDescent="0.25">
      <c r="A62" s="449" t="s">
        <v>92</v>
      </c>
      <c r="B62" s="251" t="s">
        <v>75</v>
      </c>
      <c r="G62" s="251"/>
      <c r="H62" s="449" t="s">
        <v>76</v>
      </c>
      <c r="I62" s="251"/>
      <c r="J62" s="47"/>
      <c r="K62" s="47"/>
      <c r="N62" s="477"/>
      <c r="O62" s="332"/>
      <c r="P62" s="290"/>
      <c r="Q62" s="47"/>
      <c r="S62" s="47"/>
      <c r="U62" s="48"/>
      <c r="V62" s="294"/>
      <c r="W62" s="294"/>
      <c r="X62" s="294"/>
      <c r="AI62" s="251">
        <v>88</v>
      </c>
      <c r="AJ62" s="48"/>
      <c r="AK62" s="295"/>
      <c r="AL62" s="295"/>
      <c r="AM62" s="294"/>
    </row>
    <row r="63" spans="1:39" ht="13" x14ac:dyDescent="0.3">
      <c r="B63" s="97" t="s">
        <v>77</v>
      </c>
      <c r="C63" s="98" t="s">
        <v>78</v>
      </c>
      <c r="D63" s="99"/>
      <c r="E63" s="100" t="s">
        <v>34</v>
      </c>
      <c r="F63" s="100" t="s">
        <v>79</v>
      </c>
      <c r="G63" s="251"/>
      <c r="H63" s="71" t="s">
        <v>34</v>
      </c>
      <c r="I63" s="252"/>
      <c r="J63" s="252"/>
      <c r="K63" s="252"/>
      <c r="L63" s="72"/>
      <c r="N63" s="477"/>
      <c r="O63" s="332"/>
      <c r="P63" s="290"/>
      <c r="Q63" s="47"/>
      <c r="S63" s="47"/>
      <c r="U63" s="48"/>
      <c r="V63" s="294"/>
      <c r="W63" s="294"/>
      <c r="X63" s="294"/>
      <c r="AJ63" s="48"/>
    </row>
    <row r="64" spans="1:39" ht="13" x14ac:dyDescent="0.3">
      <c r="B64" s="450" t="s">
        <v>80</v>
      </c>
      <c r="C64" s="74" t="s">
        <v>81</v>
      </c>
      <c r="D64" s="451"/>
      <c r="E64" s="76"/>
      <c r="F64" s="76"/>
      <c r="G64" s="251"/>
      <c r="H64" s="77" t="s">
        <v>292</v>
      </c>
      <c r="I64" s="251"/>
      <c r="J64" s="251"/>
      <c r="K64" s="251"/>
      <c r="L64" s="78"/>
      <c r="M64" s="499"/>
      <c r="N64" s="499">
        <v>6.4199999463479832E-2</v>
      </c>
      <c r="O64" s="332"/>
      <c r="P64" s="500"/>
      <c r="Q64" s="500"/>
      <c r="S64" s="500"/>
      <c r="U64" s="48"/>
      <c r="V64" s="294"/>
      <c r="W64" s="294"/>
      <c r="X64" s="294"/>
      <c r="AJ64" s="48"/>
      <c r="AK64" s="294"/>
      <c r="AL64" s="294"/>
      <c r="AM64" s="294"/>
    </row>
    <row r="65" spans="1:39" ht="13" x14ac:dyDescent="0.3">
      <c r="B65" s="452" t="s">
        <v>82</v>
      </c>
      <c r="C65" s="80" t="s">
        <v>83</v>
      </c>
      <c r="D65" s="453"/>
      <c r="E65" s="82"/>
      <c r="F65" s="83"/>
      <c r="G65" s="251"/>
      <c r="H65" s="84">
        <v>0</v>
      </c>
      <c r="I65" s="85"/>
      <c r="J65" s="85"/>
      <c r="K65" s="85"/>
      <c r="L65" s="86"/>
      <c r="M65" s="499">
        <v>9.4199999857272176E-2</v>
      </c>
      <c r="N65" s="499">
        <v>9.8900000237297003E-2</v>
      </c>
      <c r="O65" s="332"/>
      <c r="P65" s="581"/>
      <c r="Q65" s="500"/>
      <c r="S65" s="500"/>
      <c r="U65" s="48"/>
      <c r="V65" s="295"/>
      <c r="W65" s="295"/>
      <c r="X65" s="294"/>
      <c r="Y65" s="47"/>
      <c r="Z65" s="47"/>
      <c r="AA65" s="47"/>
      <c r="AB65" s="47"/>
      <c r="AC65" s="47"/>
      <c r="AJ65" s="48"/>
      <c r="AK65" s="294"/>
      <c r="AL65" s="294"/>
      <c r="AM65" s="294"/>
    </row>
    <row r="66" spans="1:39" x14ac:dyDescent="0.25">
      <c r="B66" s="452" t="s">
        <v>84</v>
      </c>
      <c r="C66" s="80" t="s">
        <v>85</v>
      </c>
      <c r="D66" s="453"/>
      <c r="E66" s="82"/>
      <c r="F66" s="82"/>
      <c r="G66" s="251"/>
      <c r="H66" s="251"/>
      <c r="I66" s="454"/>
      <c r="J66" s="251"/>
      <c r="K66" s="251"/>
      <c r="M66" s="499">
        <v>0.39999999969547706</v>
      </c>
      <c r="N66" s="499">
        <v>0.39999999979093542</v>
      </c>
      <c r="P66" s="290"/>
      <c r="Q66" s="290"/>
      <c r="U66" s="48"/>
      <c r="V66" s="294"/>
      <c r="W66" s="294"/>
      <c r="X66" s="294"/>
      <c r="Y66" s="47"/>
      <c r="Z66" s="47"/>
      <c r="AA66" s="47"/>
      <c r="AB66" s="47"/>
      <c r="AJ66" s="48"/>
      <c r="AK66" s="294"/>
      <c r="AL66" s="294"/>
      <c r="AM66" s="294"/>
    </row>
    <row r="67" spans="1:39" x14ac:dyDescent="0.25">
      <c r="B67" s="452" t="s">
        <v>86</v>
      </c>
      <c r="C67" s="80" t="s">
        <v>87</v>
      </c>
      <c r="D67" s="453"/>
      <c r="E67" s="88"/>
      <c r="F67" s="88"/>
      <c r="G67" s="251"/>
      <c r="H67" s="71" t="s">
        <v>79</v>
      </c>
      <c r="I67" s="89"/>
      <c r="J67" s="252"/>
      <c r="K67" s="252"/>
      <c r="L67" s="72"/>
      <c r="M67" s="499">
        <v>0.38000000287019686</v>
      </c>
      <c r="N67" s="499"/>
      <c r="O67" s="332"/>
      <c r="U67" s="48"/>
      <c r="V67" s="294"/>
      <c r="W67" s="294"/>
      <c r="X67" s="294"/>
      <c r="Y67" s="47"/>
      <c r="Z67" s="47"/>
      <c r="AA67" s="47"/>
      <c r="AB67" s="47"/>
      <c r="AC67" s="47"/>
      <c r="AJ67" s="48"/>
      <c r="AK67" s="294"/>
      <c r="AL67" s="294"/>
      <c r="AM67" s="294"/>
    </row>
    <row r="68" spans="1:39" x14ac:dyDescent="0.25">
      <c r="B68" s="452" t="s">
        <v>88</v>
      </c>
      <c r="C68" s="80" t="s">
        <v>89</v>
      </c>
      <c r="D68" s="453"/>
      <c r="E68" s="90"/>
      <c r="F68" s="83"/>
      <c r="G68" s="251"/>
      <c r="H68" s="77" t="s">
        <v>292</v>
      </c>
      <c r="I68" s="454"/>
      <c r="J68" s="251"/>
      <c r="K68" s="251"/>
      <c r="L68" s="78"/>
      <c r="N68" s="501"/>
      <c r="O68" s="332"/>
      <c r="U68" s="48"/>
      <c r="V68" s="294"/>
      <c r="W68" s="294"/>
      <c r="X68" s="294"/>
      <c r="Y68" s="47"/>
      <c r="Z68" s="47"/>
      <c r="AA68" s="47"/>
      <c r="AB68" s="47"/>
      <c r="AC68" s="47"/>
      <c r="AJ68" s="48"/>
      <c r="AK68" s="294"/>
      <c r="AL68" s="294"/>
      <c r="AM68" s="294"/>
    </row>
    <row r="69" spans="1:39" x14ac:dyDescent="0.25">
      <c r="B69" s="455" t="s">
        <v>90</v>
      </c>
      <c r="C69" s="92" t="s">
        <v>91</v>
      </c>
      <c r="D69" s="456"/>
      <c r="E69" s="94"/>
      <c r="F69" s="94"/>
      <c r="G69" s="251"/>
      <c r="H69" s="84">
        <v>0</v>
      </c>
      <c r="I69" s="95"/>
      <c r="J69" s="85"/>
      <c r="K69" s="85"/>
      <c r="L69" s="86"/>
      <c r="M69" s="332"/>
      <c r="N69" s="332"/>
      <c r="O69" s="332"/>
      <c r="U69" s="48"/>
      <c r="V69" s="294"/>
      <c r="W69" s="294"/>
      <c r="X69" s="294"/>
      <c r="Y69" s="47"/>
      <c r="Z69" s="47"/>
      <c r="AA69" s="47"/>
      <c r="AB69" s="47"/>
      <c r="AC69" s="47"/>
      <c r="AJ69" s="48"/>
      <c r="AK69" s="294"/>
      <c r="AL69" s="294"/>
      <c r="AM69" s="294"/>
    </row>
    <row r="70" spans="1:39" x14ac:dyDescent="0.25">
      <c r="A70" s="449"/>
      <c r="G70" s="251"/>
      <c r="H70" s="421"/>
      <c r="I70" s="251"/>
      <c r="J70" s="251"/>
      <c r="K70" s="251"/>
      <c r="M70" s="332"/>
      <c r="N70" s="332"/>
      <c r="O70" s="332"/>
      <c r="U70" s="48"/>
      <c r="V70" s="294"/>
      <c r="W70" s="294"/>
      <c r="X70" s="294"/>
      <c r="Y70" s="47"/>
      <c r="Z70" s="47"/>
      <c r="AA70" s="47"/>
      <c r="AB70" s="47"/>
      <c r="AC70" s="47"/>
      <c r="AJ70" s="48"/>
      <c r="AK70" s="295"/>
      <c r="AL70" s="295"/>
      <c r="AM70" s="294"/>
    </row>
    <row r="71" spans="1:39" ht="13" x14ac:dyDescent="0.3">
      <c r="A71" s="457"/>
      <c r="G71" s="251"/>
      <c r="H71" s="251"/>
      <c r="I71" s="251"/>
      <c r="J71" s="251"/>
      <c r="K71" s="251"/>
      <c r="U71" s="48"/>
      <c r="V71" s="294"/>
      <c r="W71" s="294"/>
      <c r="X71" s="294"/>
      <c r="Y71" s="47"/>
      <c r="Z71" s="47"/>
      <c r="AA71" s="47"/>
      <c r="AB71" s="47"/>
      <c r="AC71" s="47"/>
      <c r="AK71" s="294"/>
    </row>
    <row r="72" spans="1:39" x14ac:dyDescent="0.25">
      <c r="G72" s="251"/>
      <c r="H72" s="251"/>
      <c r="I72" s="251"/>
      <c r="J72" s="251"/>
      <c r="K72" s="251"/>
      <c r="O72" s="47"/>
      <c r="P72" s="47"/>
      <c r="Q72" s="47"/>
      <c r="U72" s="48"/>
      <c r="V72" s="295"/>
      <c r="W72" s="295"/>
      <c r="X72" s="294"/>
      <c r="Y72" s="47"/>
      <c r="Z72" s="47"/>
      <c r="AA72" s="47"/>
      <c r="AB72" s="47"/>
      <c r="AC72" s="47"/>
      <c r="AJ72" s="48"/>
      <c r="AK72" s="294"/>
      <c r="AL72" s="294"/>
      <c r="AM72" s="48"/>
    </row>
    <row r="73" spans="1:39" ht="15.5" outlineLevel="1" x14ac:dyDescent="0.35">
      <c r="A73"/>
      <c r="B73"/>
      <c r="C73"/>
      <c r="D73"/>
      <c r="E73"/>
      <c r="F73"/>
      <c r="G73"/>
      <c r="H73"/>
      <c r="I73"/>
      <c r="J73"/>
      <c r="K73"/>
      <c r="L73"/>
      <c r="M73"/>
      <c r="N73"/>
      <c r="O73"/>
      <c r="P73"/>
      <c r="Q73"/>
      <c r="R73"/>
      <c r="S73"/>
      <c r="T73"/>
      <c r="U73"/>
      <c r="V73"/>
      <c r="W73"/>
      <c r="X73"/>
      <c r="Y73"/>
      <c r="Z73"/>
      <c r="AA73"/>
      <c r="AB73"/>
      <c r="AC73"/>
      <c r="AD73"/>
      <c r="AE73"/>
      <c r="AF73"/>
      <c r="AG73"/>
      <c r="AH73"/>
      <c r="AI73"/>
      <c r="AJ73"/>
    </row>
    <row r="74" spans="1:39" ht="15.5" outlineLevel="1" x14ac:dyDescent="0.35">
      <c r="A74"/>
      <c r="B74"/>
      <c r="C74"/>
      <c r="D74"/>
      <c r="E74"/>
      <c r="F74"/>
      <c r="G74"/>
      <c r="H74"/>
      <c r="I74"/>
      <c r="J74"/>
      <c r="K74"/>
      <c r="L74"/>
      <c r="M74"/>
      <c r="N74"/>
      <c r="O74"/>
      <c r="P74"/>
      <c r="Q74"/>
      <c r="R74"/>
      <c r="S74"/>
      <c r="T74"/>
      <c r="U74"/>
      <c r="V74"/>
      <c r="W74"/>
      <c r="X74"/>
      <c r="Y74"/>
      <c r="Z74"/>
      <c r="AA74"/>
      <c r="AB74"/>
      <c r="AC74"/>
      <c r="AD74"/>
      <c r="AE74"/>
      <c r="AF74"/>
      <c r="AG74"/>
      <c r="AH74"/>
      <c r="AI74"/>
      <c r="AJ74"/>
    </row>
    <row r="75" spans="1:39" ht="15.5" outlineLevel="1" x14ac:dyDescent="0.35">
      <c r="A75"/>
      <c r="B75"/>
      <c r="C75"/>
      <c r="D75"/>
      <c r="E75"/>
      <c r="F75"/>
      <c r="G75"/>
      <c r="H75"/>
      <c r="I75"/>
      <c r="J75"/>
      <c r="K75"/>
      <c r="L75"/>
      <c r="M75"/>
      <c r="N75"/>
      <c r="O75"/>
      <c r="P75"/>
      <c r="Q75"/>
      <c r="R75"/>
      <c r="S75"/>
      <c r="T75"/>
      <c r="U75"/>
      <c r="V75"/>
      <c r="W75"/>
      <c r="X75"/>
      <c r="Y75"/>
      <c r="Z75"/>
      <c r="AA75"/>
      <c r="AB75"/>
      <c r="AC75"/>
      <c r="AD75"/>
      <c r="AE75"/>
      <c r="AF75"/>
      <c r="AG75"/>
      <c r="AH75"/>
      <c r="AI75"/>
      <c r="AJ75"/>
    </row>
    <row r="76" spans="1:39" ht="15.5" x14ac:dyDescent="0.35">
      <c r="A76"/>
      <c r="B76"/>
      <c r="C76"/>
      <c r="D76"/>
      <c r="E76"/>
      <c r="F76"/>
      <c r="G76"/>
      <c r="H76"/>
      <c r="I76"/>
      <c r="J76"/>
      <c r="K76"/>
      <c r="L76"/>
      <c r="M76"/>
      <c r="N76"/>
      <c r="O76"/>
      <c r="P76"/>
      <c r="Q76"/>
      <c r="R76"/>
      <c r="S76"/>
      <c r="T76"/>
      <c r="U76"/>
      <c r="V76"/>
      <c r="W76"/>
      <c r="X76"/>
      <c r="Y76"/>
      <c r="Z76"/>
      <c r="AA76"/>
      <c r="AB76"/>
      <c r="AC76"/>
      <c r="AD76"/>
      <c r="AE76"/>
      <c r="AF76"/>
      <c r="AG76"/>
      <c r="AH76"/>
      <c r="AI76"/>
      <c r="AJ76"/>
    </row>
    <row r="77" spans="1:39" ht="15.5" x14ac:dyDescent="0.35">
      <c r="A77"/>
      <c r="B77"/>
      <c r="C77"/>
      <c r="D77"/>
      <c r="E77"/>
      <c r="F77"/>
      <c r="G77"/>
      <c r="H77"/>
      <c r="I77"/>
      <c r="J77"/>
      <c r="K77"/>
      <c r="L77"/>
      <c r="M77"/>
      <c r="N77"/>
      <c r="O77"/>
      <c r="P77"/>
      <c r="Q77"/>
      <c r="R77"/>
      <c r="S77"/>
      <c r="T77"/>
      <c r="U77"/>
      <c r="V77"/>
      <c r="W77"/>
      <c r="X77"/>
      <c r="Y77"/>
      <c r="Z77"/>
      <c r="AA77"/>
      <c r="AB77"/>
      <c r="AC77"/>
      <c r="AD77"/>
      <c r="AE77"/>
      <c r="AF77"/>
      <c r="AG77"/>
      <c r="AH77"/>
      <c r="AI77"/>
      <c r="AJ77"/>
    </row>
    <row r="78" spans="1:39" ht="15.5" x14ac:dyDescent="0.35">
      <c r="A78"/>
      <c r="B78"/>
      <c r="C78"/>
      <c r="D78"/>
      <c r="E78"/>
      <c r="F78"/>
      <c r="G78"/>
      <c r="H78"/>
      <c r="I78"/>
      <c r="J78"/>
      <c r="K78"/>
      <c r="L78"/>
      <c r="M78"/>
      <c r="N78"/>
      <c r="O78"/>
      <c r="P78"/>
      <c r="Q78"/>
      <c r="R78"/>
      <c r="S78"/>
      <c r="T78"/>
      <c r="U78"/>
      <c r="V78"/>
      <c r="W78"/>
      <c r="X78"/>
      <c r="Y78"/>
      <c r="Z78"/>
      <c r="AA78"/>
      <c r="AB78"/>
      <c r="AC78"/>
      <c r="AD78"/>
      <c r="AE78"/>
      <c r="AF78"/>
      <c r="AG78"/>
      <c r="AH78"/>
      <c r="AI78"/>
      <c r="AJ78"/>
    </row>
  </sheetData>
  <mergeCells count="2">
    <mergeCell ref="C7:C8"/>
    <mergeCell ref="O7:O8"/>
  </mergeCells>
  <phoneticPr fontId="0" type="noConversion"/>
  <printOptions horizontalCentered="1" verticalCentered="1"/>
  <pageMargins left="0.25" right="0.25" top="0.5" bottom="0.5" header="0" footer="0"/>
  <pageSetup paperSize="9" scale="6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70"/>
  <sheetViews>
    <sheetView view="pageBreakPreview" topLeftCell="A19" zoomScaleNormal="100" zoomScaleSheetLayoutView="100" workbookViewId="0">
      <pane xSplit="2" topLeftCell="C1" activePane="topRight" state="frozen"/>
      <selection activeCell="A4" sqref="A4"/>
      <selection pane="topRight" activeCell="A15" sqref="A15"/>
    </sheetView>
  </sheetViews>
  <sheetFormatPr baseColWidth="10" defaultColWidth="8.84375" defaultRowHeight="12.5" x14ac:dyDescent="0.25"/>
  <cols>
    <col min="1" max="1" width="3" style="251" customWidth="1"/>
    <col min="2" max="2" width="15.23046875" style="251" customWidth="1"/>
    <col min="3" max="3" width="7.69140625" style="251" customWidth="1"/>
    <col min="4" max="4" width="8.3046875" style="251" customWidth="1"/>
    <col min="5" max="5" width="8.84375" style="251" customWidth="1"/>
    <col min="6" max="6" width="8.4609375" style="251" customWidth="1"/>
    <col min="7" max="11" width="10.4609375" style="172" customWidth="1"/>
    <col min="12" max="14" width="10.4609375" style="251" customWidth="1"/>
    <col min="15" max="15" width="14.84375" style="251" customWidth="1"/>
    <col min="16" max="16" width="13.765625" style="251" customWidth="1"/>
    <col min="17" max="17" width="13.3046875" style="251" customWidth="1"/>
    <col min="18" max="18" width="5.69140625" style="251" customWidth="1"/>
    <col min="19" max="19" width="11.53515625" style="251" customWidth="1"/>
    <col min="20" max="20" width="7.84375" style="251" customWidth="1"/>
    <col min="21" max="21" width="11.3046875" style="251" hidden="1" customWidth="1"/>
    <col min="22" max="23" width="10.69140625" style="251" hidden="1" customWidth="1"/>
    <col min="24" max="24" width="10.53515625" style="251" hidden="1" customWidth="1"/>
    <col min="25" max="25" width="8.84375" style="251" hidden="1" customWidth="1"/>
    <col min="26" max="26" width="9.53515625" style="251" hidden="1" customWidth="1"/>
    <col min="27" max="34" width="8.84375" style="251" hidden="1" customWidth="1"/>
    <col min="35" max="16384" width="8.84375" style="251"/>
  </cols>
  <sheetData>
    <row r="1" spans="1:33" ht="12.75" customHeight="1" x14ac:dyDescent="0.25">
      <c r="A1" s="251" t="s">
        <v>50</v>
      </c>
      <c r="C1" s="1"/>
      <c r="D1" s="1"/>
      <c r="E1" s="7">
        <v>45748</v>
      </c>
      <c r="F1" s="502" t="s">
        <v>323</v>
      </c>
      <c r="S1" s="251" t="s">
        <v>306</v>
      </c>
      <c r="U1" s="48" t="s">
        <v>59</v>
      </c>
      <c r="V1" s="48"/>
      <c r="W1" s="49">
        <v>30</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row>
    <row r="4" spans="1:33" x14ac:dyDescent="0.25">
      <c r="A4" s="109" t="s">
        <v>324</v>
      </c>
      <c r="B4" s="109"/>
      <c r="C4" s="109"/>
      <c r="D4" s="109"/>
      <c r="E4" s="109"/>
      <c r="F4" s="109"/>
      <c r="G4" s="109"/>
      <c r="H4" s="109"/>
      <c r="I4" s="109"/>
      <c r="J4" s="109"/>
      <c r="K4" s="109"/>
      <c r="L4" s="109"/>
      <c r="M4" s="109"/>
      <c r="N4" s="109"/>
      <c r="O4" s="109"/>
      <c r="P4" s="109"/>
      <c r="Q4" s="109"/>
      <c r="R4" s="109"/>
      <c r="S4" s="109"/>
      <c r="T4" s="109"/>
    </row>
    <row r="5" spans="1:33" x14ac:dyDescent="0.25">
      <c r="A5" s="109" t="s">
        <v>325</v>
      </c>
      <c r="B5" s="109"/>
      <c r="C5" s="109"/>
      <c r="D5" s="109"/>
      <c r="E5" s="109"/>
      <c r="F5" s="109"/>
      <c r="G5" s="109"/>
      <c r="H5" s="109"/>
      <c r="I5" s="109"/>
      <c r="J5" s="109"/>
      <c r="K5" s="109"/>
      <c r="L5" s="109"/>
      <c r="M5" s="109"/>
      <c r="N5" s="109"/>
      <c r="O5" s="109"/>
      <c r="P5" s="109"/>
      <c r="Q5" s="496"/>
      <c r="R5" s="109"/>
      <c r="S5" s="109"/>
      <c r="T5" s="109"/>
      <c r="U5" s="47"/>
      <c r="V5" s="47"/>
    </row>
    <row r="6" spans="1:33" x14ac:dyDescent="0.25">
      <c r="E6" s="47"/>
      <c r="F6" s="47"/>
      <c r="G6" s="242"/>
      <c r="H6" s="173"/>
      <c r="Q6" s="496"/>
      <c r="U6" s="47"/>
      <c r="W6" s="47"/>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479" t="s">
        <v>301</v>
      </c>
      <c r="V7" s="480"/>
      <c r="W7" s="480"/>
      <c r="X7" s="480"/>
      <c r="Y7" s="480"/>
      <c r="Z7" s="481"/>
      <c r="AA7" s="482" t="s">
        <v>302</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5" t="s">
        <v>28</v>
      </c>
      <c r="B10" s="17" t="s">
        <v>13</v>
      </c>
      <c r="C10" s="69" t="s">
        <v>31</v>
      </c>
      <c r="D10" s="406" t="s">
        <v>30</v>
      </c>
      <c r="E10" s="69" t="s">
        <v>98</v>
      </c>
      <c r="F10" s="223" t="s">
        <v>36</v>
      </c>
      <c r="G10" s="458">
        <v>5563</v>
      </c>
      <c r="H10" s="458">
        <v>9025</v>
      </c>
      <c r="I10" s="408">
        <v>68.515000000000001</v>
      </c>
      <c r="J10" s="408">
        <v>66.717600000000004</v>
      </c>
      <c r="K10" s="409"/>
      <c r="L10" s="409"/>
      <c r="M10" s="409"/>
      <c r="N10" s="458">
        <v>81.33</v>
      </c>
      <c r="O10" s="407">
        <v>983193.96000000008</v>
      </c>
      <c r="P10" s="461">
        <v>184348.87</v>
      </c>
      <c r="Q10" s="409">
        <v>147479.09</v>
      </c>
      <c r="R10" s="199">
        <v>0.15</v>
      </c>
      <c r="S10" s="409">
        <v>36869.769999999997</v>
      </c>
      <c r="T10" s="236">
        <v>3.7499999999999999E-2</v>
      </c>
      <c r="U10" s="46">
        <v>14588</v>
      </c>
      <c r="V10" s="46">
        <v>983193.96000000008</v>
      </c>
      <c r="W10" s="55">
        <v>486.3</v>
      </c>
      <c r="X10" s="56">
        <v>67.397400000000005</v>
      </c>
      <c r="Y10" s="56">
        <v>12.637</v>
      </c>
      <c r="Z10" s="46">
        <v>184348.87</v>
      </c>
      <c r="AA10" s="46" t="s">
        <v>305</v>
      </c>
      <c r="AB10" s="46" t="s">
        <v>305</v>
      </c>
      <c r="AC10" s="55" t="s">
        <v>305</v>
      </c>
      <c r="AD10" s="56" t="s">
        <v>305</v>
      </c>
      <c r="AE10" s="56" t="s">
        <v>305</v>
      </c>
      <c r="AF10" s="46" t="s">
        <v>305</v>
      </c>
      <c r="AG10" s="36"/>
    </row>
    <row r="11" spans="1:33" ht="12.75" customHeight="1" x14ac:dyDescent="0.25">
      <c r="A11" s="405" t="s">
        <v>28</v>
      </c>
      <c r="B11" s="17" t="s">
        <v>14</v>
      </c>
      <c r="C11" s="69" t="s">
        <v>31</v>
      </c>
      <c r="D11" s="406" t="s">
        <v>30</v>
      </c>
      <c r="E11" s="69" t="s">
        <v>98</v>
      </c>
      <c r="F11" s="223" t="s">
        <v>55</v>
      </c>
      <c r="G11" s="458">
        <v>45273.331599999998</v>
      </c>
      <c r="H11" s="458">
        <v>44032.59</v>
      </c>
      <c r="I11" s="408">
        <v>4.1712999999999996</v>
      </c>
      <c r="J11" s="408">
        <v>4.1712999999999996</v>
      </c>
      <c r="K11" s="409"/>
      <c r="L11" s="409"/>
      <c r="M11" s="409"/>
      <c r="N11" s="458">
        <v>227.72</v>
      </c>
      <c r="O11" s="407">
        <v>372294.07000000007</v>
      </c>
      <c r="P11" s="461">
        <v>69805.14</v>
      </c>
      <c r="Q11" s="409">
        <v>55844.11</v>
      </c>
      <c r="R11" s="199">
        <v>0.15</v>
      </c>
      <c r="S11" s="409">
        <v>13961.03</v>
      </c>
      <c r="T11" s="236">
        <v>3.7499999999999999E-2</v>
      </c>
      <c r="U11" s="32" t="s">
        <v>305</v>
      </c>
      <c r="V11" s="32" t="s">
        <v>305</v>
      </c>
      <c r="W11" s="57" t="s">
        <v>305</v>
      </c>
      <c r="X11" s="58" t="s">
        <v>305</v>
      </c>
      <c r="Y11" s="58" t="s">
        <v>305</v>
      </c>
      <c r="Z11" s="32" t="s">
        <v>305</v>
      </c>
      <c r="AA11" s="32">
        <v>89305.921600000001</v>
      </c>
      <c r="AB11" s="32">
        <v>372294.07000000007</v>
      </c>
      <c r="AC11" s="57">
        <v>2976.9</v>
      </c>
      <c r="AD11" s="58">
        <v>4.1688000000000001</v>
      </c>
      <c r="AE11" s="58">
        <v>0.78159999999999996</v>
      </c>
      <c r="AF11" s="32">
        <v>69805.14</v>
      </c>
      <c r="AG11" s="37"/>
    </row>
    <row r="12" spans="1:33" x14ac:dyDescent="0.25">
      <c r="A12" s="405" t="s">
        <v>28</v>
      </c>
      <c r="B12" s="17" t="s">
        <v>3</v>
      </c>
      <c r="C12" s="69" t="s">
        <v>31</v>
      </c>
      <c r="D12" s="406" t="s">
        <v>30</v>
      </c>
      <c r="E12" s="69" t="s">
        <v>98</v>
      </c>
      <c r="F12" s="223" t="s">
        <v>36</v>
      </c>
      <c r="G12" s="458">
        <v>4721</v>
      </c>
      <c r="H12" s="458">
        <v>4896</v>
      </c>
      <c r="I12" s="408">
        <v>67.496499999999997</v>
      </c>
      <c r="J12" s="408">
        <v>65.851299999999995</v>
      </c>
      <c r="K12" s="409"/>
      <c r="L12" s="409"/>
      <c r="M12" s="409"/>
      <c r="N12" s="458">
        <v>653.87</v>
      </c>
      <c r="O12" s="407">
        <v>640405.06999999995</v>
      </c>
      <c r="P12" s="461">
        <v>120075.95</v>
      </c>
      <c r="Q12" s="409">
        <v>96060.76</v>
      </c>
      <c r="R12" s="199">
        <v>0.15</v>
      </c>
      <c r="S12" s="409">
        <v>24015.19</v>
      </c>
      <c r="T12" s="236">
        <v>3.7499999999999999E-2</v>
      </c>
      <c r="U12" s="32">
        <v>9617</v>
      </c>
      <c r="V12" s="32">
        <v>640405.06999999995</v>
      </c>
      <c r="W12" s="57">
        <v>320.60000000000002</v>
      </c>
      <c r="X12" s="58">
        <v>66.590900000000005</v>
      </c>
      <c r="Y12" s="58">
        <v>12.485799999999999</v>
      </c>
      <c r="Z12" s="32">
        <v>120075.95</v>
      </c>
      <c r="AA12" s="32" t="s">
        <v>305</v>
      </c>
      <c r="AB12" s="32" t="s">
        <v>305</v>
      </c>
      <c r="AC12" s="57" t="s">
        <v>305</v>
      </c>
      <c r="AD12" s="58" t="s">
        <v>305</v>
      </c>
      <c r="AE12" s="58" t="s">
        <v>305</v>
      </c>
      <c r="AF12" s="32" t="s">
        <v>305</v>
      </c>
      <c r="AG12" s="37"/>
    </row>
    <row r="13" spans="1:33" x14ac:dyDescent="0.25">
      <c r="A13" s="411" t="s">
        <v>28</v>
      </c>
      <c r="B13" s="412" t="s">
        <v>315</v>
      </c>
      <c r="C13" s="69" t="s">
        <v>31</v>
      </c>
      <c r="D13" s="406" t="s">
        <v>30</v>
      </c>
      <c r="E13" s="69" t="s">
        <v>98</v>
      </c>
      <c r="F13" s="223" t="s">
        <v>55</v>
      </c>
      <c r="G13" s="458">
        <v>20922.0861</v>
      </c>
      <c r="H13" s="458">
        <v>17309.28</v>
      </c>
      <c r="I13" s="408">
        <v>2.95</v>
      </c>
      <c r="J13" s="408">
        <v>2.95</v>
      </c>
      <c r="K13" s="409"/>
      <c r="L13" s="409"/>
      <c r="M13" s="409"/>
      <c r="N13" s="458">
        <v>699.42</v>
      </c>
      <c r="O13" s="407">
        <v>112083.11</v>
      </c>
      <c r="P13" s="461">
        <v>21015.58</v>
      </c>
      <c r="Q13" s="409">
        <v>16812.47</v>
      </c>
      <c r="R13" s="199">
        <v>0.15</v>
      </c>
      <c r="S13" s="409">
        <v>4203.12</v>
      </c>
      <c r="T13" s="236">
        <v>3.7499999999999999E-2</v>
      </c>
      <c r="U13" s="32" t="s">
        <v>305</v>
      </c>
      <c r="V13" s="32" t="s">
        <v>305</v>
      </c>
      <c r="W13" s="57" t="s">
        <v>305</v>
      </c>
      <c r="X13" s="58" t="s">
        <v>305</v>
      </c>
      <c r="Y13" s="58" t="s">
        <v>305</v>
      </c>
      <c r="Z13" s="32" t="s">
        <v>305</v>
      </c>
      <c r="AA13" s="32">
        <v>38231.366099999999</v>
      </c>
      <c r="AB13" s="32">
        <v>112083.11</v>
      </c>
      <c r="AC13" s="57">
        <v>1274.4000000000001</v>
      </c>
      <c r="AD13" s="58">
        <v>2.9317000000000002</v>
      </c>
      <c r="AE13" s="58">
        <v>0.54969999999999997</v>
      </c>
      <c r="AF13" s="32">
        <v>21015.58</v>
      </c>
      <c r="AG13" s="37"/>
    </row>
    <row r="14" spans="1:33" x14ac:dyDescent="0.25">
      <c r="A14" s="405" t="s">
        <v>28</v>
      </c>
      <c r="B14" s="17" t="s">
        <v>4</v>
      </c>
      <c r="C14" s="69" t="s">
        <v>31</v>
      </c>
      <c r="D14" s="406" t="s">
        <v>30</v>
      </c>
      <c r="E14" s="69" t="s">
        <v>98</v>
      </c>
      <c r="F14" s="223" t="s">
        <v>36</v>
      </c>
      <c r="G14" s="458">
        <v>29139</v>
      </c>
      <c r="H14" s="458">
        <v>33912</v>
      </c>
      <c r="I14" s="408">
        <v>68.515000000000001</v>
      </c>
      <c r="J14" s="408">
        <v>66.717600000000004</v>
      </c>
      <c r="K14" s="409"/>
      <c r="L14" s="409"/>
      <c r="M14" s="409"/>
      <c r="N14" s="458">
        <v>1066.8800000000001</v>
      </c>
      <c r="O14" s="407">
        <v>4257918.96</v>
      </c>
      <c r="P14" s="461">
        <v>798359.81</v>
      </c>
      <c r="Q14" s="409">
        <v>638687.84</v>
      </c>
      <c r="R14" s="199">
        <v>0.15</v>
      </c>
      <c r="S14" s="409">
        <v>159671.96</v>
      </c>
      <c r="T14" s="236">
        <v>3.7499999999999999E-2</v>
      </c>
      <c r="U14" s="32">
        <v>63051</v>
      </c>
      <c r="V14" s="32">
        <v>4257918.96</v>
      </c>
      <c r="W14" s="57">
        <v>2101.6999999999998</v>
      </c>
      <c r="X14" s="58">
        <v>67.531300000000002</v>
      </c>
      <c r="Y14" s="58">
        <v>12.662100000000001</v>
      </c>
      <c r="Z14" s="32">
        <v>798359.81</v>
      </c>
      <c r="AA14" s="32" t="s">
        <v>305</v>
      </c>
      <c r="AB14" s="32" t="s">
        <v>305</v>
      </c>
      <c r="AC14" s="57" t="s">
        <v>305</v>
      </c>
      <c r="AD14" s="58" t="s">
        <v>305</v>
      </c>
      <c r="AE14" s="58" t="s">
        <v>305</v>
      </c>
      <c r="AF14" s="32" t="s">
        <v>305</v>
      </c>
      <c r="AG14" s="37"/>
    </row>
    <row r="15" spans="1:33" x14ac:dyDescent="0.25">
      <c r="A15" s="405" t="s">
        <v>28</v>
      </c>
      <c r="B15" s="403" t="s">
        <v>316</v>
      </c>
      <c r="C15" s="69" t="s">
        <v>31</v>
      </c>
      <c r="D15" s="406" t="s">
        <v>30</v>
      </c>
      <c r="E15" s="69" t="s">
        <v>98</v>
      </c>
      <c r="F15" s="223" t="s">
        <v>55</v>
      </c>
      <c r="G15" s="458">
        <v>43870.618900000001</v>
      </c>
      <c r="H15" s="458">
        <v>47175.65</v>
      </c>
      <c r="I15" s="408">
        <v>2.9365000000000001</v>
      </c>
      <c r="J15" s="408">
        <v>2.9365000000000001</v>
      </c>
      <c r="K15" s="409"/>
      <c r="L15" s="409"/>
      <c r="M15" s="409"/>
      <c r="N15" s="409"/>
      <c r="O15" s="410">
        <v>267357.37</v>
      </c>
      <c r="P15" s="461">
        <v>50129.51</v>
      </c>
      <c r="Q15" s="409">
        <v>40103.61</v>
      </c>
      <c r="R15" s="199">
        <v>0.15</v>
      </c>
      <c r="S15" s="409">
        <v>10025.9</v>
      </c>
      <c r="T15" s="236">
        <v>3.7499999999999999E-2</v>
      </c>
      <c r="U15" s="32" t="s">
        <v>305</v>
      </c>
      <c r="V15" s="32" t="s">
        <v>305</v>
      </c>
      <c r="W15" s="57" t="s">
        <v>305</v>
      </c>
      <c r="X15" s="58" t="s">
        <v>305</v>
      </c>
      <c r="Y15" s="58" t="s">
        <v>305</v>
      </c>
      <c r="Z15" s="32" t="s">
        <v>305</v>
      </c>
      <c r="AA15" s="32">
        <v>91046.268899999995</v>
      </c>
      <c r="AB15" s="32">
        <v>267357.37</v>
      </c>
      <c r="AC15" s="57">
        <v>3034.9</v>
      </c>
      <c r="AD15" s="58">
        <v>2.9365000000000001</v>
      </c>
      <c r="AE15" s="58">
        <v>0.55059999999999998</v>
      </c>
      <c r="AF15" s="32">
        <v>50129.51</v>
      </c>
      <c r="AG15" s="37"/>
    </row>
    <row r="16" spans="1:33" ht="13.5" customHeight="1" x14ac:dyDescent="0.25">
      <c r="A16" s="405" t="s">
        <v>28</v>
      </c>
      <c r="B16" s="17" t="s">
        <v>5</v>
      </c>
      <c r="C16" s="69" t="s">
        <v>31</v>
      </c>
      <c r="D16" s="406" t="s">
        <v>30</v>
      </c>
      <c r="E16" s="69" t="s">
        <v>98</v>
      </c>
      <c r="F16" s="223" t="s">
        <v>36</v>
      </c>
      <c r="G16" s="458">
        <v>44202</v>
      </c>
      <c r="H16" s="458">
        <v>48867</v>
      </c>
      <c r="I16" s="408">
        <v>68.515000000000001</v>
      </c>
      <c r="J16" s="408">
        <v>66.717600000000004</v>
      </c>
      <c r="K16" s="409"/>
      <c r="L16" s="409"/>
      <c r="M16" s="409"/>
      <c r="N16" s="458">
        <v>1805.34</v>
      </c>
      <c r="O16" s="407">
        <v>6286983.6500000004</v>
      </c>
      <c r="P16" s="461">
        <v>1178809.43</v>
      </c>
      <c r="Q16" s="409">
        <v>943047.55</v>
      </c>
      <c r="R16" s="199">
        <v>0.15</v>
      </c>
      <c r="S16" s="409">
        <v>235761.89</v>
      </c>
      <c r="T16" s="236">
        <v>3.7499999999999999E-2</v>
      </c>
      <c r="U16" s="32">
        <v>93069</v>
      </c>
      <c r="V16" s="32">
        <v>6286983.6500000004</v>
      </c>
      <c r="W16" s="57">
        <v>3102.3</v>
      </c>
      <c r="X16" s="58">
        <v>67.551900000000003</v>
      </c>
      <c r="Y16" s="58">
        <v>12.666</v>
      </c>
      <c r="Z16" s="32">
        <v>1178809.43</v>
      </c>
      <c r="AA16" s="32" t="s">
        <v>305</v>
      </c>
      <c r="AB16" s="32" t="s">
        <v>305</v>
      </c>
      <c r="AC16" s="57" t="s">
        <v>305</v>
      </c>
      <c r="AD16" s="58" t="s">
        <v>305</v>
      </c>
      <c r="AE16" s="58" t="s">
        <v>305</v>
      </c>
      <c r="AF16" s="32" t="s">
        <v>305</v>
      </c>
      <c r="AG16" s="37"/>
    </row>
    <row r="17" spans="1:33" x14ac:dyDescent="0.25">
      <c r="A17" s="405" t="s">
        <v>28</v>
      </c>
      <c r="B17" s="17" t="s">
        <v>317</v>
      </c>
      <c r="C17" s="69" t="s">
        <v>31</v>
      </c>
      <c r="D17" s="406" t="s">
        <v>30</v>
      </c>
      <c r="E17" s="69" t="s">
        <v>98</v>
      </c>
      <c r="F17" s="223" t="s">
        <v>36</v>
      </c>
      <c r="G17" s="458">
        <v>45337.798199999997</v>
      </c>
      <c r="H17" s="458">
        <v>46196.43</v>
      </c>
      <c r="I17" s="408">
        <v>3.7597</v>
      </c>
      <c r="J17" s="408">
        <v>3.7597</v>
      </c>
      <c r="K17" s="409"/>
      <c r="L17" s="409"/>
      <c r="M17" s="409"/>
      <c r="N17" s="458">
        <v>601.69000000000005</v>
      </c>
      <c r="O17" s="407">
        <v>343539.55</v>
      </c>
      <c r="P17" s="461">
        <v>64413.67</v>
      </c>
      <c r="Q17" s="409">
        <v>51530.93</v>
      </c>
      <c r="R17" s="199">
        <v>0.15</v>
      </c>
      <c r="S17" s="409">
        <v>12882.73</v>
      </c>
      <c r="T17" s="236">
        <v>3.7499999999999999E-2</v>
      </c>
      <c r="U17" s="32">
        <v>91534.228199999998</v>
      </c>
      <c r="V17" s="32">
        <v>343539.55</v>
      </c>
      <c r="W17" s="57">
        <v>3051.1</v>
      </c>
      <c r="X17" s="58">
        <v>3.7530999999999999</v>
      </c>
      <c r="Y17" s="58">
        <v>0.70369999999999999</v>
      </c>
      <c r="Z17" s="32">
        <v>64413.67</v>
      </c>
      <c r="AA17" s="32" t="s">
        <v>305</v>
      </c>
      <c r="AB17" s="32" t="s">
        <v>305</v>
      </c>
      <c r="AC17" s="57" t="s">
        <v>305</v>
      </c>
      <c r="AD17" s="58" t="s">
        <v>305</v>
      </c>
      <c r="AE17" s="58" t="s">
        <v>305</v>
      </c>
      <c r="AF17" s="32" t="s">
        <v>305</v>
      </c>
      <c r="AG17" s="37"/>
    </row>
    <row r="18" spans="1:33" x14ac:dyDescent="0.25">
      <c r="A18" s="405" t="s">
        <v>28</v>
      </c>
      <c r="B18" s="17" t="s">
        <v>17</v>
      </c>
      <c r="C18" s="69" t="s">
        <v>31</v>
      </c>
      <c r="D18" s="406" t="s">
        <v>30</v>
      </c>
      <c r="E18" s="69" t="s">
        <v>98</v>
      </c>
      <c r="F18" s="223" t="s">
        <v>36</v>
      </c>
      <c r="G18" s="458">
        <v>2442</v>
      </c>
      <c r="H18" s="458">
        <v>2540</v>
      </c>
      <c r="I18" s="408">
        <v>67.552599999999998</v>
      </c>
      <c r="J18" s="408">
        <v>65.981999999999999</v>
      </c>
      <c r="K18" s="409"/>
      <c r="L18" s="409"/>
      <c r="M18" s="409"/>
      <c r="N18" s="458">
        <v>426.16</v>
      </c>
      <c r="O18" s="410">
        <v>332131.57</v>
      </c>
      <c r="P18" s="461">
        <v>62274.67</v>
      </c>
      <c r="Q18" s="409">
        <v>49819.74</v>
      </c>
      <c r="R18" s="199">
        <v>0.15</v>
      </c>
      <c r="S18" s="409">
        <v>12454.93</v>
      </c>
      <c r="T18" s="236">
        <v>3.7499999999999999E-2</v>
      </c>
      <c r="U18" s="32">
        <v>4982</v>
      </c>
      <c r="V18" s="32">
        <v>332131.57</v>
      </c>
      <c r="W18" s="57">
        <v>166.1</v>
      </c>
      <c r="X18" s="58">
        <v>66.666300000000007</v>
      </c>
      <c r="Y18" s="58">
        <v>12.4999</v>
      </c>
      <c r="Z18" s="32">
        <v>62274.67</v>
      </c>
      <c r="AA18" s="32" t="s">
        <v>305</v>
      </c>
      <c r="AB18" s="32" t="s">
        <v>305</v>
      </c>
      <c r="AC18" s="57" t="s">
        <v>305</v>
      </c>
      <c r="AD18" s="58" t="s">
        <v>305</v>
      </c>
      <c r="AE18" s="58" t="s">
        <v>305</v>
      </c>
      <c r="AF18" s="32" t="s">
        <v>305</v>
      </c>
      <c r="AG18" s="37"/>
    </row>
    <row r="19" spans="1:33" x14ac:dyDescent="0.25">
      <c r="A19" s="468" t="s">
        <v>28</v>
      </c>
      <c r="B19" s="403" t="s">
        <v>293</v>
      </c>
      <c r="C19" s="69" t="s">
        <v>31</v>
      </c>
      <c r="D19" s="406" t="s">
        <v>30</v>
      </c>
      <c r="E19" s="69" t="s">
        <v>98</v>
      </c>
      <c r="F19" s="223" t="s">
        <v>36</v>
      </c>
      <c r="G19" s="458">
        <v>22295</v>
      </c>
      <c r="H19" s="458">
        <v>25594</v>
      </c>
      <c r="I19" s="417">
        <v>68.515000000000001</v>
      </c>
      <c r="J19" s="408">
        <v>66.717600000000004</v>
      </c>
      <c r="K19" s="409"/>
      <c r="L19" s="409"/>
      <c r="M19" s="409"/>
      <c r="N19" s="458">
        <v>513.99</v>
      </c>
      <c r="O19" s="410">
        <v>3234598.1899999995</v>
      </c>
      <c r="P19" s="461">
        <v>606487.16</v>
      </c>
      <c r="Q19" s="409">
        <v>485189.73</v>
      </c>
      <c r="R19" s="199">
        <v>0.15</v>
      </c>
      <c r="S19" s="409">
        <v>121297.43</v>
      </c>
      <c r="T19" s="236">
        <v>3.7499999999999999E-2</v>
      </c>
      <c r="U19" s="32">
        <v>47889</v>
      </c>
      <c r="V19" s="32">
        <v>3234598.1899999995</v>
      </c>
      <c r="W19" s="57">
        <v>1596.3</v>
      </c>
      <c r="X19" s="58">
        <v>67.543700000000001</v>
      </c>
      <c r="Y19" s="58">
        <v>12.664400000000001</v>
      </c>
      <c r="Z19" s="32">
        <v>606487.16</v>
      </c>
      <c r="AA19" s="32" t="s">
        <v>305</v>
      </c>
      <c r="AB19" s="32" t="s">
        <v>305</v>
      </c>
      <c r="AC19" s="57" t="s">
        <v>305</v>
      </c>
      <c r="AD19" s="58" t="s">
        <v>305</v>
      </c>
      <c r="AE19" s="58" t="s">
        <v>305</v>
      </c>
      <c r="AF19" s="32" t="s">
        <v>305</v>
      </c>
      <c r="AG19" s="37"/>
    </row>
    <row r="20" spans="1:33" x14ac:dyDescent="0.25">
      <c r="A20" s="468" t="s">
        <v>28</v>
      </c>
      <c r="B20" s="403" t="s">
        <v>294</v>
      </c>
      <c r="C20" s="69" t="s">
        <v>31</v>
      </c>
      <c r="D20" s="406" t="s">
        <v>30</v>
      </c>
      <c r="E20" s="69" t="s">
        <v>98</v>
      </c>
      <c r="F20" s="223" t="s">
        <v>55</v>
      </c>
      <c r="G20" s="458">
        <v>52233.643199999999</v>
      </c>
      <c r="H20" s="458">
        <v>55360.76</v>
      </c>
      <c r="I20" s="417">
        <v>4.0132000000000003</v>
      </c>
      <c r="J20" s="408">
        <v>4.0132000000000003</v>
      </c>
      <c r="K20" s="409"/>
      <c r="L20" s="409"/>
      <c r="M20" s="409"/>
      <c r="N20" s="458">
        <v>221.21</v>
      </c>
      <c r="O20" s="410">
        <v>431576.64999999997</v>
      </c>
      <c r="P20" s="461">
        <v>80920.62</v>
      </c>
      <c r="Q20" s="409">
        <v>64736.5</v>
      </c>
      <c r="R20" s="199">
        <v>0.15</v>
      </c>
      <c r="S20" s="409">
        <v>16184.12</v>
      </c>
      <c r="T20" s="236">
        <v>3.7499999999999999E-2</v>
      </c>
      <c r="U20" s="32" t="s">
        <v>305</v>
      </c>
      <c r="V20" s="32" t="s">
        <v>305</v>
      </c>
      <c r="W20" s="57" t="s">
        <v>305</v>
      </c>
      <c r="X20" s="58" t="s">
        <v>305</v>
      </c>
      <c r="Y20" s="58" t="s">
        <v>305</v>
      </c>
      <c r="Z20" s="32" t="s">
        <v>305</v>
      </c>
      <c r="AA20" s="32">
        <v>107594.4032</v>
      </c>
      <c r="AB20" s="32">
        <v>431576.64999999997</v>
      </c>
      <c r="AC20" s="57">
        <v>3586.5</v>
      </c>
      <c r="AD20" s="58">
        <v>4.0110999999999999</v>
      </c>
      <c r="AE20" s="58">
        <v>0.75209999999999999</v>
      </c>
      <c r="AF20" s="32">
        <v>80920.62</v>
      </c>
      <c r="AG20" s="37"/>
    </row>
    <row r="21" spans="1:33" x14ac:dyDescent="0.25">
      <c r="A21" s="468" t="s">
        <v>28</v>
      </c>
      <c r="B21" s="403" t="s">
        <v>295</v>
      </c>
      <c r="C21" s="69" t="s">
        <v>31</v>
      </c>
      <c r="D21" s="406" t="s">
        <v>30</v>
      </c>
      <c r="E21" s="69" t="s">
        <v>98</v>
      </c>
      <c r="F21" s="223" t="s">
        <v>36</v>
      </c>
      <c r="G21" s="458">
        <v>14737</v>
      </c>
      <c r="H21" s="458">
        <v>15767</v>
      </c>
      <c r="I21" s="417">
        <v>67.552599999999998</v>
      </c>
      <c r="J21" s="408">
        <v>65.981999999999999</v>
      </c>
      <c r="K21" s="409"/>
      <c r="L21" s="409"/>
      <c r="M21" s="409"/>
      <c r="N21" s="458">
        <v>253.74</v>
      </c>
      <c r="O21" s="410">
        <v>2035607.1199999999</v>
      </c>
      <c r="P21" s="461">
        <v>381676.34</v>
      </c>
      <c r="Q21" s="409">
        <v>305341.07</v>
      </c>
      <c r="R21" s="199">
        <v>0.15</v>
      </c>
      <c r="S21" s="409">
        <v>76335.27</v>
      </c>
      <c r="T21" s="236">
        <v>3.7499999999999999E-2</v>
      </c>
      <c r="U21" s="32">
        <v>30504</v>
      </c>
      <c r="V21" s="32">
        <v>2035607.1199999999</v>
      </c>
      <c r="W21" s="57">
        <v>1016.8</v>
      </c>
      <c r="X21" s="58">
        <v>66.732500000000002</v>
      </c>
      <c r="Y21" s="58">
        <v>12.5123</v>
      </c>
      <c r="Z21" s="32">
        <v>381676.34</v>
      </c>
      <c r="AA21" s="32" t="s">
        <v>305</v>
      </c>
      <c r="AB21" s="32" t="s">
        <v>305</v>
      </c>
      <c r="AC21" s="57" t="s">
        <v>305</v>
      </c>
      <c r="AD21" s="58" t="s">
        <v>305</v>
      </c>
      <c r="AE21" s="58" t="s">
        <v>305</v>
      </c>
      <c r="AF21" s="32" t="s">
        <v>305</v>
      </c>
      <c r="AG21" s="37"/>
    </row>
    <row r="22" spans="1:33" x14ac:dyDescent="0.25">
      <c r="A22" s="405" t="s">
        <v>28</v>
      </c>
      <c r="B22" s="17" t="s">
        <v>18</v>
      </c>
      <c r="C22" s="69" t="s">
        <v>31</v>
      </c>
      <c r="D22" s="406" t="s">
        <v>30</v>
      </c>
      <c r="E22" s="69" t="s">
        <v>98</v>
      </c>
      <c r="F22" s="223" t="s">
        <v>36</v>
      </c>
      <c r="G22" s="458">
        <v>1794</v>
      </c>
      <c r="H22" s="458">
        <v>3684</v>
      </c>
      <c r="I22" s="408">
        <v>68.515000000000001</v>
      </c>
      <c r="J22" s="408">
        <v>66.717600000000004</v>
      </c>
      <c r="K22" s="409"/>
      <c r="L22" s="409"/>
      <c r="M22" s="409"/>
      <c r="N22" s="458">
        <v>273.26</v>
      </c>
      <c r="O22" s="410">
        <v>368430.29000000004</v>
      </c>
      <c r="P22" s="461">
        <v>69080.679999999993</v>
      </c>
      <c r="Q22" s="409">
        <v>55264.54</v>
      </c>
      <c r="R22" s="199">
        <v>0.15</v>
      </c>
      <c r="S22" s="409">
        <v>13816.14</v>
      </c>
      <c r="T22" s="236">
        <v>3.7499999999999999E-2</v>
      </c>
      <c r="U22" s="32">
        <v>5478</v>
      </c>
      <c r="V22" s="32">
        <v>368430.29000000004</v>
      </c>
      <c r="W22" s="57">
        <v>182.6</v>
      </c>
      <c r="X22" s="58">
        <v>67.256399999999999</v>
      </c>
      <c r="Y22" s="58">
        <v>12.6106</v>
      </c>
      <c r="Z22" s="32">
        <v>69080.679999999993</v>
      </c>
      <c r="AA22" s="32" t="s">
        <v>305</v>
      </c>
      <c r="AB22" s="32" t="s">
        <v>305</v>
      </c>
      <c r="AC22" s="57" t="s">
        <v>305</v>
      </c>
      <c r="AD22" s="58" t="s">
        <v>305</v>
      </c>
      <c r="AE22" s="58" t="s">
        <v>305</v>
      </c>
      <c r="AF22" s="32" t="s">
        <v>305</v>
      </c>
      <c r="AG22" s="37"/>
    </row>
    <row r="23" spans="1:33" x14ac:dyDescent="0.25">
      <c r="A23" s="405" t="s">
        <v>28</v>
      </c>
      <c r="B23" s="17" t="s">
        <v>20</v>
      </c>
      <c r="C23" s="69" t="s">
        <v>31</v>
      </c>
      <c r="D23" s="406" t="s">
        <v>30</v>
      </c>
      <c r="E23" s="69" t="s">
        <v>98</v>
      </c>
      <c r="F23" s="223" t="s">
        <v>36</v>
      </c>
      <c r="G23" s="458">
        <v>117643</v>
      </c>
      <c r="H23" s="458">
        <v>119655</v>
      </c>
      <c r="I23" s="408">
        <v>68.636499999999998</v>
      </c>
      <c r="J23" s="408">
        <v>66.942999999999998</v>
      </c>
      <c r="K23" s="409"/>
      <c r="L23" s="409"/>
      <c r="M23" s="409"/>
      <c r="N23" s="458">
        <v>1233.03</v>
      </c>
      <c r="O23" s="410">
        <v>16083435.41</v>
      </c>
      <c r="P23" s="461">
        <v>3015644.14</v>
      </c>
      <c r="Q23" s="409">
        <v>2412515.31</v>
      </c>
      <c r="R23" s="199">
        <v>0.15</v>
      </c>
      <c r="S23" s="409">
        <v>603128.82999999996</v>
      </c>
      <c r="T23" s="236">
        <v>3.7499999999999999E-2</v>
      </c>
      <c r="U23" s="32">
        <v>237298</v>
      </c>
      <c r="V23" s="32">
        <v>16083435.41</v>
      </c>
      <c r="W23" s="57">
        <v>7909.9</v>
      </c>
      <c r="X23" s="58">
        <v>67.7774</v>
      </c>
      <c r="Y23" s="58">
        <v>12.708299999999999</v>
      </c>
      <c r="Z23" s="32">
        <v>3015644.14</v>
      </c>
      <c r="AA23" s="32" t="s">
        <v>305</v>
      </c>
      <c r="AB23" s="32" t="s">
        <v>305</v>
      </c>
      <c r="AC23" s="57" t="s">
        <v>305</v>
      </c>
      <c r="AD23" s="58" t="s">
        <v>305</v>
      </c>
      <c r="AE23" s="58" t="s">
        <v>305</v>
      </c>
      <c r="AF23" s="32" t="s">
        <v>305</v>
      </c>
      <c r="AG23" s="37"/>
    </row>
    <row r="24" spans="1:33" x14ac:dyDescent="0.25">
      <c r="A24" s="405" t="s">
        <v>28</v>
      </c>
      <c r="B24" s="17" t="s">
        <v>318</v>
      </c>
      <c r="C24" s="69" t="s">
        <v>31</v>
      </c>
      <c r="D24" s="406" t="s">
        <v>30</v>
      </c>
      <c r="E24" s="69" t="s">
        <v>98</v>
      </c>
      <c r="F24" s="223" t="s">
        <v>55</v>
      </c>
      <c r="G24" s="458">
        <v>206654.01</v>
      </c>
      <c r="H24" s="458">
        <v>202457.03</v>
      </c>
      <c r="I24" s="417">
        <v>2.9</v>
      </c>
      <c r="J24" s="408">
        <v>2.9</v>
      </c>
      <c r="K24" s="409"/>
      <c r="L24" s="409"/>
      <c r="M24" s="409"/>
      <c r="N24" s="458">
        <v>933.74</v>
      </c>
      <c r="O24" s="410">
        <v>1185488.28</v>
      </c>
      <c r="P24" s="461">
        <v>222279.05</v>
      </c>
      <c r="Q24" s="409">
        <v>177823.24</v>
      </c>
      <c r="R24" s="199">
        <v>0.15</v>
      </c>
      <c r="S24" s="409">
        <v>44455.81</v>
      </c>
      <c r="T24" s="236">
        <v>3.7499999999999999E-2</v>
      </c>
      <c r="U24" s="32" t="s">
        <v>305</v>
      </c>
      <c r="V24" s="32" t="s">
        <v>305</v>
      </c>
      <c r="W24" s="57" t="s">
        <v>305</v>
      </c>
      <c r="X24" s="58" t="s">
        <v>305</v>
      </c>
      <c r="Y24" s="58" t="s">
        <v>305</v>
      </c>
      <c r="Z24" s="32" t="s">
        <v>305</v>
      </c>
      <c r="AA24" s="32">
        <v>409111.04000000004</v>
      </c>
      <c r="AB24" s="32">
        <v>1185488.28</v>
      </c>
      <c r="AC24" s="57">
        <v>13637</v>
      </c>
      <c r="AD24" s="58">
        <v>2.8976999999999999</v>
      </c>
      <c r="AE24" s="58">
        <v>0.54330000000000001</v>
      </c>
      <c r="AF24" s="32">
        <v>222279.05</v>
      </c>
      <c r="AG24" s="37"/>
    </row>
    <row r="25" spans="1:33" x14ac:dyDescent="0.25">
      <c r="A25" s="405" t="s">
        <v>28</v>
      </c>
      <c r="B25" s="17" t="s">
        <v>9</v>
      </c>
      <c r="C25" s="69" t="s">
        <v>31</v>
      </c>
      <c r="D25" s="406" t="s">
        <v>30</v>
      </c>
      <c r="E25" s="69" t="s">
        <v>98</v>
      </c>
      <c r="F25" s="223" t="s">
        <v>36</v>
      </c>
      <c r="G25" s="458">
        <v>268</v>
      </c>
      <c r="H25" s="458">
        <v>279</v>
      </c>
      <c r="I25" s="408">
        <v>67.552599999999998</v>
      </c>
      <c r="J25" s="408">
        <v>65.981999999999999</v>
      </c>
      <c r="K25" s="409"/>
      <c r="L25" s="409"/>
      <c r="M25" s="409"/>
      <c r="N25" s="458">
        <v>296.02999999999997</v>
      </c>
      <c r="O25" s="410">
        <v>36217.050000000003</v>
      </c>
      <c r="P25" s="461">
        <v>6790.7</v>
      </c>
      <c r="Q25" s="409">
        <v>5432.56</v>
      </c>
      <c r="R25" s="199">
        <v>0.15</v>
      </c>
      <c r="S25" s="409">
        <v>1358.14</v>
      </c>
      <c r="T25" s="236">
        <v>3.7499999999999999E-2</v>
      </c>
      <c r="U25" s="32">
        <v>547</v>
      </c>
      <c r="V25" s="32">
        <v>36217.050000000003</v>
      </c>
      <c r="W25" s="57">
        <v>18.2</v>
      </c>
      <c r="X25" s="58">
        <v>66.210300000000004</v>
      </c>
      <c r="Y25" s="58">
        <v>12.414400000000001</v>
      </c>
      <c r="Z25" s="32">
        <v>6790.7</v>
      </c>
      <c r="AA25" s="32" t="s">
        <v>305</v>
      </c>
      <c r="AB25" s="32" t="s">
        <v>305</v>
      </c>
      <c r="AC25" s="57" t="s">
        <v>305</v>
      </c>
      <c r="AD25" s="58" t="s">
        <v>305</v>
      </c>
      <c r="AE25" s="58" t="s">
        <v>305</v>
      </c>
      <c r="AF25" s="32" t="s">
        <v>305</v>
      </c>
      <c r="AG25" s="37"/>
    </row>
    <row r="26" spans="1:33" x14ac:dyDescent="0.25">
      <c r="A26" s="405" t="s">
        <v>28</v>
      </c>
      <c r="B26" s="17" t="s">
        <v>165</v>
      </c>
      <c r="C26" s="69" t="s">
        <v>31</v>
      </c>
      <c r="D26" s="406" t="s">
        <v>30</v>
      </c>
      <c r="E26" s="69" t="s">
        <v>98</v>
      </c>
      <c r="F26" s="223" t="s">
        <v>36</v>
      </c>
      <c r="G26" s="458">
        <v>14456</v>
      </c>
      <c r="H26" s="458">
        <v>14301</v>
      </c>
      <c r="I26" s="408">
        <v>65.754999999999995</v>
      </c>
      <c r="J26" s="408">
        <v>66.647599999999997</v>
      </c>
      <c r="K26" s="409"/>
      <c r="L26" s="409"/>
      <c r="M26" s="409"/>
      <c r="N26" s="458">
        <v>2820.44</v>
      </c>
      <c r="O26" s="410">
        <v>1900861.17</v>
      </c>
      <c r="P26" s="461">
        <v>356411.47</v>
      </c>
      <c r="Q26" s="409">
        <v>285129.18</v>
      </c>
      <c r="R26" s="199">
        <v>0.15</v>
      </c>
      <c r="S26" s="409">
        <v>71282.289999999994</v>
      </c>
      <c r="T26" s="236">
        <v>3.7499999999999999E-2</v>
      </c>
      <c r="U26" s="32">
        <v>28757</v>
      </c>
      <c r="V26" s="32">
        <v>1900861.17</v>
      </c>
      <c r="W26" s="57">
        <v>958.6</v>
      </c>
      <c r="X26" s="58">
        <v>66.100800000000007</v>
      </c>
      <c r="Y26" s="58">
        <v>12.3939</v>
      </c>
      <c r="Z26" s="32">
        <v>356411.47</v>
      </c>
      <c r="AA26" s="32" t="s">
        <v>305</v>
      </c>
      <c r="AB26" s="32" t="s">
        <v>305</v>
      </c>
      <c r="AC26" s="57" t="s">
        <v>305</v>
      </c>
      <c r="AD26" s="58" t="s">
        <v>305</v>
      </c>
      <c r="AE26" s="58" t="s">
        <v>305</v>
      </c>
      <c r="AF26" s="32" t="s">
        <v>305</v>
      </c>
      <c r="AG26" s="37"/>
    </row>
    <row r="27" spans="1:33" x14ac:dyDescent="0.25">
      <c r="A27" s="405" t="s">
        <v>28</v>
      </c>
      <c r="B27" s="17" t="s">
        <v>157</v>
      </c>
      <c r="C27" s="69" t="s">
        <v>31</v>
      </c>
      <c r="D27" s="406" t="s">
        <v>30</v>
      </c>
      <c r="E27" s="69" t="s">
        <v>98</v>
      </c>
      <c r="F27" s="223" t="s">
        <v>55</v>
      </c>
      <c r="G27" s="458">
        <v>308894.56140000001</v>
      </c>
      <c r="H27" s="458">
        <v>351713.83520000003</v>
      </c>
      <c r="I27" s="417">
        <v>3.5083905818485546</v>
      </c>
      <c r="J27" s="417">
        <v>3.4282966415419525</v>
      </c>
      <c r="K27" s="409"/>
      <c r="L27" s="409"/>
      <c r="M27" s="409"/>
      <c r="N27" s="458">
        <v>1174.3699999999999</v>
      </c>
      <c r="O27" s="410">
        <v>2289502.13</v>
      </c>
      <c r="P27" s="466">
        <v>429281.65</v>
      </c>
      <c r="Q27" s="410">
        <v>343425.33</v>
      </c>
      <c r="R27" s="199">
        <v>0.15</v>
      </c>
      <c r="S27" s="410">
        <v>85856.340000000011</v>
      </c>
      <c r="T27" s="236">
        <v>3.7499999999999999E-2</v>
      </c>
      <c r="U27" s="32" t="s">
        <v>305</v>
      </c>
      <c r="V27" s="32" t="s">
        <v>305</v>
      </c>
      <c r="W27" s="57" t="s">
        <v>305</v>
      </c>
      <c r="X27" s="58" t="s">
        <v>305</v>
      </c>
      <c r="Y27" s="58" t="s">
        <v>305</v>
      </c>
      <c r="Z27" s="32" t="s">
        <v>305</v>
      </c>
      <c r="AA27" s="32">
        <v>660608.39660000009</v>
      </c>
      <c r="AB27" s="32">
        <v>2289502.13</v>
      </c>
      <c r="AC27" s="57">
        <v>22020.3</v>
      </c>
      <c r="AD27" s="58">
        <v>3.4657</v>
      </c>
      <c r="AE27" s="58">
        <v>0.64980000000000004</v>
      </c>
      <c r="AF27" s="32">
        <v>429281.65</v>
      </c>
      <c r="AG27" s="37"/>
    </row>
    <row r="28" spans="1:33" x14ac:dyDescent="0.25">
      <c r="A28" s="405" t="s">
        <v>28</v>
      </c>
      <c r="B28" s="17" t="s">
        <v>170</v>
      </c>
      <c r="C28" s="69" t="s">
        <v>31</v>
      </c>
      <c r="D28" s="406" t="s">
        <v>30</v>
      </c>
      <c r="E28" s="69" t="s">
        <v>98</v>
      </c>
      <c r="F28" s="223" t="s">
        <v>36</v>
      </c>
      <c r="G28" s="458">
        <v>115</v>
      </c>
      <c r="H28" s="458">
        <v>104</v>
      </c>
      <c r="I28" s="408">
        <v>68.515000000000001</v>
      </c>
      <c r="J28" s="408">
        <v>66.717600000000004</v>
      </c>
      <c r="K28" s="409"/>
      <c r="L28" s="409"/>
      <c r="M28" s="409"/>
      <c r="N28" s="458">
        <v>175.67</v>
      </c>
      <c r="O28" s="410">
        <v>14642.19</v>
      </c>
      <c r="P28" s="461">
        <v>2745.41</v>
      </c>
      <c r="Q28" s="409">
        <v>549.08000000000004</v>
      </c>
      <c r="R28" s="236">
        <v>3.7499999999999999E-2</v>
      </c>
      <c r="S28" s="409">
        <v>2196.33</v>
      </c>
      <c r="T28" s="199">
        <v>0.15</v>
      </c>
      <c r="U28" s="32">
        <v>219</v>
      </c>
      <c r="V28" s="32">
        <v>14642.19</v>
      </c>
      <c r="W28" s="57">
        <v>7.3</v>
      </c>
      <c r="X28" s="58">
        <v>66.859300000000005</v>
      </c>
      <c r="Y28" s="58">
        <v>12.536099999999999</v>
      </c>
      <c r="Z28" s="32">
        <v>2745.41</v>
      </c>
      <c r="AA28" s="32" t="s">
        <v>305</v>
      </c>
      <c r="AB28" s="32" t="s">
        <v>305</v>
      </c>
      <c r="AC28" s="57" t="s">
        <v>305</v>
      </c>
      <c r="AD28" s="58" t="s">
        <v>305</v>
      </c>
      <c r="AE28" s="58" t="s">
        <v>305</v>
      </c>
      <c r="AF28" s="32" t="s">
        <v>305</v>
      </c>
      <c r="AG28" s="37"/>
    </row>
    <row r="29" spans="1:33" x14ac:dyDescent="0.25">
      <c r="A29" s="405" t="s">
        <v>28</v>
      </c>
      <c r="B29" s="17" t="s">
        <v>319</v>
      </c>
      <c r="C29" s="69" t="s">
        <v>31</v>
      </c>
      <c r="D29" s="406" t="s">
        <v>30</v>
      </c>
      <c r="E29" s="69" t="s">
        <v>98</v>
      </c>
      <c r="F29" s="223" t="s">
        <v>36</v>
      </c>
      <c r="G29" s="458">
        <v>59999</v>
      </c>
      <c r="H29" s="458"/>
      <c r="I29" s="408">
        <v>65.765000000000001</v>
      </c>
      <c r="J29" s="408"/>
      <c r="K29" s="409"/>
      <c r="L29" s="409"/>
      <c r="M29" s="409"/>
      <c r="N29" s="458">
        <v>888.1</v>
      </c>
      <c r="O29" s="410">
        <v>3944946.14</v>
      </c>
      <c r="P29" s="461">
        <v>739677.4</v>
      </c>
      <c r="Q29" s="409">
        <v>147935.48000000001</v>
      </c>
      <c r="R29" s="236">
        <v>3.7499999999999999E-2</v>
      </c>
      <c r="S29" s="409">
        <v>591741.92000000004</v>
      </c>
      <c r="T29" s="199">
        <v>0.15</v>
      </c>
      <c r="U29" s="32"/>
      <c r="V29" s="32"/>
      <c r="W29" s="57"/>
      <c r="X29" s="58"/>
      <c r="Y29" s="58"/>
      <c r="Z29" s="32"/>
      <c r="AA29" s="32"/>
      <c r="AB29" s="32"/>
      <c r="AC29" s="57"/>
      <c r="AD29" s="58"/>
      <c r="AE29" s="58"/>
      <c r="AF29" s="32"/>
      <c r="AG29" s="37"/>
    </row>
    <row r="30" spans="1:33" x14ac:dyDescent="0.25">
      <c r="A30" s="413" t="s">
        <v>28</v>
      </c>
      <c r="B30" s="414" t="s">
        <v>296</v>
      </c>
      <c r="C30" s="69" t="s">
        <v>31</v>
      </c>
      <c r="D30" s="406" t="s">
        <v>30</v>
      </c>
      <c r="E30" s="69" t="s">
        <v>98</v>
      </c>
      <c r="F30" s="223" t="s">
        <v>36</v>
      </c>
      <c r="G30" s="458">
        <v>33455</v>
      </c>
      <c r="H30" s="458">
        <v>70626</v>
      </c>
      <c r="I30" s="408">
        <v>66.846400000000003</v>
      </c>
      <c r="J30" s="408">
        <v>66.028000000000006</v>
      </c>
      <c r="K30" s="407"/>
      <c r="L30" s="409"/>
      <c r="M30" s="409"/>
      <c r="N30" s="458">
        <v>400.13</v>
      </c>
      <c r="O30" s="410">
        <v>6899239.71</v>
      </c>
      <c r="P30" s="461">
        <v>1293607.45</v>
      </c>
      <c r="Q30" s="409">
        <v>1034885.96</v>
      </c>
      <c r="R30" s="227">
        <v>0.15</v>
      </c>
      <c r="S30" s="409">
        <v>258721.49</v>
      </c>
      <c r="T30" s="236">
        <v>3.7499999999999999E-2</v>
      </c>
      <c r="U30" s="32"/>
      <c r="V30" s="32"/>
      <c r="W30" s="57"/>
      <c r="X30" s="58"/>
      <c r="Y30" s="58"/>
      <c r="Z30" s="32"/>
      <c r="AA30" s="32"/>
      <c r="AB30" s="32"/>
      <c r="AC30" s="57"/>
      <c r="AD30" s="58"/>
      <c r="AE30" s="58"/>
      <c r="AF30" s="32"/>
      <c r="AG30" s="37"/>
    </row>
    <row r="31" spans="1:33" x14ac:dyDescent="0.25">
      <c r="A31" s="413" t="s">
        <v>28</v>
      </c>
      <c r="B31" s="414" t="s">
        <v>297</v>
      </c>
      <c r="C31" s="69" t="s">
        <v>31</v>
      </c>
      <c r="D31" s="406" t="s">
        <v>30</v>
      </c>
      <c r="E31" s="69" t="s">
        <v>98</v>
      </c>
      <c r="F31" s="223" t="s">
        <v>55</v>
      </c>
      <c r="G31" s="458">
        <v>147644.00000000003</v>
      </c>
      <c r="H31" s="458">
        <v>151458.35</v>
      </c>
      <c r="I31" s="408">
        <v>2.77436827774918</v>
      </c>
      <c r="J31" s="417">
        <v>2.7779597493304262</v>
      </c>
      <c r="K31" s="407"/>
      <c r="L31" s="409"/>
      <c r="M31" s="409"/>
      <c r="N31" s="458">
        <v>452.18</v>
      </c>
      <c r="O31" s="410">
        <v>830364.02999999991</v>
      </c>
      <c r="P31" s="466">
        <v>155693.26</v>
      </c>
      <c r="Q31" s="410">
        <v>124554.61</v>
      </c>
      <c r="R31" s="227">
        <v>0.15</v>
      </c>
      <c r="S31" s="410">
        <v>31138.65</v>
      </c>
      <c r="T31" s="236">
        <v>3.7499999999999999E-2</v>
      </c>
      <c r="U31" s="32"/>
      <c r="V31" s="32"/>
      <c r="W31" s="57"/>
      <c r="X31" s="58"/>
      <c r="Y31" s="58"/>
      <c r="Z31" s="32"/>
      <c r="AA31" s="32"/>
      <c r="AB31" s="32"/>
      <c r="AC31" s="57"/>
      <c r="AD31" s="58"/>
      <c r="AE31" s="58"/>
      <c r="AF31" s="32"/>
      <c r="AG31" s="37"/>
    </row>
    <row r="32" spans="1:33" x14ac:dyDescent="0.25">
      <c r="A32" s="413" t="s">
        <v>28</v>
      </c>
      <c r="B32" s="414" t="s">
        <v>298</v>
      </c>
      <c r="C32" s="69" t="s">
        <v>31</v>
      </c>
      <c r="D32" s="406" t="s">
        <v>30</v>
      </c>
      <c r="E32" s="69" t="s">
        <v>98</v>
      </c>
      <c r="F32" s="223" t="s">
        <v>36</v>
      </c>
      <c r="G32" s="458">
        <v>10552</v>
      </c>
      <c r="H32" s="458">
        <v>9971</v>
      </c>
      <c r="I32" s="408">
        <v>38.521599999999999</v>
      </c>
      <c r="J32" s="408">
        <v>38.610100000000003</v>
      </c>
      <c r="K32" s="407"/>
      <c r="L32" s="409"/>
      <c r="M32" s="409"/>
      <c r="N32" s="458">
        <v>435.91</v>
      </c>
      <c r="O32" s="410">
        <v>791025.32</v>
      </c>
      <c r="P32" s="461">
        <v>148317.25</v>
      </c>
      <c r="Q32" s="409">
        <v>118653.8</v>
      </c>
      <c r="R32" s="227">
        <v>0.15</v>
      </c>
      <c r="S32" s="409">
        <v>29663.45</v>
      </c>
      <c r="T32" s="236">
        <v>3.7499999999999999E-2</v>
      </c>
      <c r="U32" s="32"/>
      <c r="V32" s="32"/>
      <c r="W32" s="57"/>
      <c r="X32" s="58"/>
      <c r="Y32" s="58"/>
      <c r="Z32" s="32"/>
      <c r="AA32" s="32"/>
      <c r="AB32" s="32"/>
      <c r="AC32" s="57"/>
      <c r="AD32" s="58"/>
      <c r="AE32" s="58"/>
      <c r="AF32" s="32"/>
      <c r="AG32" s="37"/>
    </row>
    <row r="33" spans="1:33" x14ac:dyDescent="0.25">
      <c r="A33" s="413" t="s">
        <v>28</v>
      </c>
      <c r="B33" s="414" t="s">
        <v>51</v>
      </c>
      <c r="C33" s="415"/>
      <c r="D33" s="415"/>
      <c r="E33" s="416"/>
      <c r="F33" s="223"/>
      <c r="G33" s="409"/>
      <c r="H33" s="409"/>
      <c r="I33" s="417"/>
      <c r="J33" s="417"/>
      <c r="K33" s="409"/>
      <c r="L33" s="409"/>
      <c r="M33" s="497"/>
      <c r="N33" s="409"/>
      <c r="O33" s="410">
        <v>9531.1299999998882</v>
      </c>
      <c r="P33" s="410">
        <v>1787.0800000000309</v>
      </c>
      <c r="Q33" s="410">
        <v>1429.6700000000128</v>
      </c>
      <c r="R33" s="227"/>
      <c r="S33" s="410">
        <v>357.41999999998552</v>
      </c>
      <c r="T33" s="199"/>
      <c r="U33" s="32" t="s">
        <v>305</v>
      </c>
      <c r="V33" s="32" t="s">
        <v>305</v>
      </c>
      <c r="W33" s="57" t="s">
        <v>305</v>
      </c>
      <c r="X33" s="58" t="s">
        <v>305</v>
      </c>
      <c r="Y33" s="58" t="s">
        <v>305</v>
      </c>
      <c r="Z33" s="32" t="s">
        <v>305</v>
      </c>
      <c r="AA33" s="32" t="s">
        <v>305</v>
      </c>
      <c r="AB33" s="32" t="s">
        <v>305</v>
      </c>
      <c r="AC33" s="57" t="s">
        <v>305</v>
      </c>
      <c r="AD33" s="58" t="s">
        <v>305</v>
      </c>
      <c r="AE33" s="58" t="s">
        <v>305</v>
      </c>
      <c r="AF33" s="32" t="s">
        <v>305</v>
      </c>
      <c r="AG33" s="37"/>
    </row>
    <row r="34" spans="1:33" x14ac:dyDescent="0.25">
      <c r="A34" s="24"/>
      <c r="B34" s="127" t="s">
        <v>105</v>
      </c>
      <c r="C34" s="25" t="s">
        <v>283</v>
      </c>
      <c r="D34" s="30"/>
      <c r="E34" s="31"/>
      <c r="F34" s="224"/>
      <c r="G34" s="418"/>
      <c r="H34" s="418"/>
      <c r="I34" s="419"/>
      <c r="J34" s="419"/>
      <c r="K34" s="418"/>
      <c r="L34" s="418"/>
      <c r="M34" s="418"/>
      <c r="N34" s="420"/>
      <c r="O34" s="420">
        <v>53651372.120000005</v>
      </c>
      <c r="P34" s="420">
        <v>10059632.289999999</v>
      </c>
      <c r="Q34" s="420">
        <v>7602252.1600000001</v>
      </c>
      <c r="R34" s="207"/>
      <c r="S34" s="420">
        <v>2457380.15</v>
      </c>
      <c r="T34" s="476"/>
      <c r="U34" s="59">
        <v>627533.22820000001</v>
      </c>
      <c r="V34" s="59">
        <v>36517964.179999992</v>
      </c>
      <c r="W34" s="60">
        <v>20917.799999999996</v>
      </c>
      <c r="X34" s="61">
        <v>58.192900000000002</v>
      </c>
      <c r="Y34" s="61">
        <v>10.911199999999999</v>
      </c>
      <c r="Z34" s="59">
        <v>6847118.3000000007</v>
      </c>
      <c r="AA34" s="59">
        <v>1395897.3964000002</v>
      </c>
      <c r="AB34" s="59">
        <v>4658301.6099999994</v>
      </c>
      <c r="AC34" s="60">
        <v>46530</v>
      </c>
      <c r="AD34" s="61">
        <v>3.3371</v>
      </c>
      <c r="AE34" s="61">
        <v>0.62570000000000003</v>
      </c>
      <c r="AF34" s="59">
        <v>873431.55</v>
      </c>
      <c r="AG34" s="33">
        <v>2339082.4399999985</v>
      </c>
    </row>
    <row r="35" spans="1:33" x14ac:dyDescent="0.25">
      <c r="A35" s="102"/>
      <c r="B35" s="265"/>
      <c r="C35" s="25" t="s">
        <v>284</v>
      </c>
      <c r="D35" s="415"/>
      <c r="E35" s="415"/>
      <c r="F35" s="115"/>
      <c r="G35" s="421"/>
      <c r="H35" s="421"/>
      <c r="I35" s="422"/>
      <c r="J35" s="422"/>
      <c r="K35" s="421"/>
      <c r="L35" s="421"/>
      <c r="M35" s="421"/>
      <c r="N35" s="421"/>
      <c r="O35" s="423"/>
      <c r="P35" s="424">
        <v>37190460.579999998</v>
      </c>
      <c r="Q35" s="425">
        <v>28105526.239999998</v>
      </c>
      <c r="R35" s="117"/>
      <c r="S35" s="426">
        <v>9084934.4100000001</v>
      </c>
      <c r="T35" s="131"/>
      <c r="U35" s="118"/>
      <c r="V35" s="118"/>
      <c r="W35" s="119"/>
      <c r="X35" s="120"/>
      <c r="Y35" s="120"/>
      <c r="Z35" s="118"/>
      <c r="AA35" s="118"/>
      <c r="AB35" s="118"/>
      <c r="AC35" s="119"/>
      <c r="AD35" s="120"/>
      <c r="AE35" s="120"/>
      <c r="AF35" s="118"/>
      <c r="AG35" s="118"/>
    </row>
    <row r="36" spans="1:33" ht="13" x14ac:dyDescent="0.3">
      <c r="A36" s="257" t="s">
        <v>22</v>
      </c>
      <c r="B36" s="11"/>
      <c r="C36" s="41"/>
      <c r="D36" s="41"/>
      <c r="E36" s="12"/>
      <c r="F36" s="27"/>
      <c r="G36" s="427"/>
      <c r="H36" s="427"/>
      <c r="I36" s="428"/>
      <c r="J36" s="428"/>
      <c r="K36" s="427"/>
      <c r="L36" s="427"/>
      <c r="M36" s="427"/>
      <c r="N36" s="427"/>
      <c r="O36" s="429"/>
      <c r="P36" s="427"/>
      <c r="Q36" s="211" t="s">
        <v>48</v>
      </c>
      <c r="R36" s="189"/>
      <c r="S36" s="430"/>
      <c r="T36" s="261"/>
      <c r="U36" s="36"/>
      <c r="V36" s="36"/>
      <c r="W36" s="62"/>
      <c r="X36" s="63"/>
      <c r="Y36" s="63"/>
      <c r="Z36" s="63"/>
      <c r="AA36" s="36"/>
      <c r="AB36" s="36"/>
      <c r="AC36" s="62"/>
      <c r="AD36" s="63"/>
      <c r="AE36" s="63"/>
      <c r="AF36" s="63"/>
      <c r="AG36" s="35"/>
    </row>
    <row r="37" spans="1:33" x14ac:dyDescent="0.25">
      <c r="A37" s="413" t="s">
        <v>28</v>
      </c>
      <c r="B37" s="22">
        <v>131</v>
      </c>
      <c r="C37" s="69" t="s">
        <v>31</v>
      </c>
      <c r="D37" s="406" t="s">
        <v>30</v>
      </c>
      <c r="E37" s="69" t="s">
        <v>98</v>
      </c>
      <c r="F37" s="190" t="s">
        <v>36</v>
      </c>
      <c r="G37" s="407">
        <v>7831</v>
      </c>
      <c r="H37" s="407">
        <v>9637</v>
      </c>
      <c r="I37" s="408">
        <v>54.232500000000002</v>
      </c>
      <c r="J37" s="408">
        <v>52.802500000000002</v>
      </c>
      <c r="K37" s="409"/>
      <c r="L37" s="409"/>
      <c r="M37" s="409"/>
      <c r="N37" s="458">
        <v>3500.34</v>
      </c>
      <c r="O37" s="410">
        <v>930052.06</v>
      </c>
      <c r="P37" s="461">
        <v>139507.81</v>
      </c>
      <c r="Q37" s="409">
        <v>139507.81</v>
      </c>
      <c r="R37" s="199">
        <v>0.15</v>
      </c>
      <c r="S37" s="431"/>
      <c r="T37" s="202"/>
      <c r="U37" s="32">
        <v>17468</v>
      </c>
      <c r="V37" s="32">
        <v>930052.06</v>
      </c>
      <c r="W37" s="57">
        <v>582.29999999999995</v>
      </c>
      <c r="X37" s="58">
        <v>53.243200000000002</v>
      </c>
      <c r="Y37" s="58">
        <v>7.9865000000000004</v>
      </c>
      <c r="Z37" s="32">
        <v>139507.81</v>
      </c>
      <c r="AA37" s="32" t="s">
        <v>305</v>
      </c>
      <c r="AB37" s="32" t="s">
        <v>305</v>
      </c>
      <c r="AC37" s="57" t="s">
        <v>305</v>
      </c>
      <c r="AD37" s="58" t="s">
        <v>305</v>
      </c>
      <c r="AE37" s="58" t="s">
        <v>305</v>
      </c>
      <c r="AF37" s="32" t="s">
        <v>305</v>
      </c>
      <c r="AG37" s="37"/>
    </row>
    <row r="38" spans="1:33"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c r="U38" s="32" t="s">
        <v>305</v>
      </c>
      <c r="V38" s="32" t="s">
        <v>305</v>
      </c>
      <c r="W38" s="57" t="s">
        <v>305</v>
      </c>
      <c r="X38" s="58" t="s">
        <v>305</v>
      </c>
      <c r="Y38" s="58" t="s">
        <v>305</v>
      </c>
      <c r="Z38" s="32" t="s">
        <v>305</v>
      </c>
      <c r="AA38" s="32" t="s">
        <v>305</v>
      </c>
      <c r="AB38" s="32" t="s">
        <v>305</v>
      </c>
      <c r="AC38" s="57" t="s">
        <v>305</v>
      </c>
      <c r="AD38" s="58" t="s">
        <v>305</v>
      </c>
      <c r="AE38" s="58" t="s">
        <v>305</v>
      </c>
      <c r="AF38" s="32" t="s">
        <v>305</v>
      </c>
      <c r="AG38" s="37"/>
    </row>
    <row r="39" spans="1:33" x14ac:dyDescent="0.25">
      <c r="A39" s="24"/>
      <c r="B39" s="127" t="s">
        <v>105</v>
      </c>
      <c r="C39" s="25" t="s">
        <v>285</v>
      </c>
      <c r="D39" s="30"/>
      <c r="E39" s="31"/>
      <c r="F39" s="30"/>
      <c r="G39" s="418"/>
      <c r="H39" s="418"/>
      <c r="I39" s="419"/>
      <c r="J39" s="419"/>
      <c r="K39" s="418"/>
      <c r="L39" s="418"/>
      <c r="M39" s="418"/>
      <c r="N39" s="418"/>
      <c r="O39" s="420">
        <v>930052.06</v>
      </c>
      <c r="P39" s="420">
        <v>139507.81</v>
      </c>
      <c r="Q39" s="420">
        <v>139507.81</v>
      </c>
      <c r="R39" s="207"/>
      <c r="S39" s="420">
        <v>0</v>
      </c>
      <c r="T39" s="207"/>
      <c r="U39" s="33">
        <v>17468</v>
      </c>
      <c r="V39" s="33">
        <v>930052.06</v>
      </c>
      <c r="W39" s="64">
        <v>582.29999999999995</v>
      </c>
      <c r="X39" s="65">
        <v>53.243200000000002</v>
      </c>
      <c r="Y39" s="65">
        <v>7.9865000000000004</v>
      </c>
      <c r="Z39" s="33">
        <v>139507.81</v>
      </c>
      <c r="AA39" s="33">
        <v>0</v>
      </c>
      <c r="AB39" s="33">
        <v>0</v>
      </c>
      <c r="AC39" s="64">
        <v>0</v>
      </c>
      <c r="AD39" s="65">
        <v>0</v>
      </c>
      <c r="AE39" s="65">
        <v>0</v>
      </c>
      <c r="AF39" s="33">
        <v>0</v>
      </c>
      <c r="AG39" s="59">
        <v>0</v>
      </c>
    </row>
    <row r="40" spans="1:33" x14ac:dyDescent="0.25">
      <c r="A40" s="102"/>
      <c r="B40" s="265"/>
      <c r="C40" s="25" t="s">
        <v>286</v>
      </c>
      <c r="D40" s="415"/>
      <c r="E40" s="415"/>
      <c r="F40" s="115"/>
      <c r="G40" s="421"/>
      <c r="H40" s="421"/>
      <c r="I40" s="422"/>
      <c r="J40" s="422"/>
      <c r="K40" s="421"/>
      <c r="L40" s="421"/>
      <c r="M40" s="421"/>
      <c r="N40" s="421"/>
      <c r="O40" s="423"/>
      <c r="P40" s="424">
        <v>515760.37</v>
      </c>
      <c r="Q40" s="425">
        <v>515760.37</v>
      </c>
      <c r="R40" s="117"/>
      <c r="S40" s="424">
        <v>0</v>
      </c>
      <c r="T40" s="117"/>
      <c r="U40" s="118"/>
      <c r="V40" s="118"/>
      <c r="W40" s="119"/>
      <c r="X40" s="120"/>
      <c r="Y40" s="120"/>
      <c r="Z40" s="118"/>
      <c r="AA40" s="118"/>
      <c r="AB40" s="118"/>
      <c r="AC40" s="119"/>
      <c r="AD40" s="120"/>
      <c r="AE40" s="120"/>
      <c r="AF40" s="118"/>
      <c r="AG40" s="118"/>
    </row>
    <row r="41" spans="1:33"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c r="U41" s="35"/>
      <c r="V41" s="35"/>
      <c r="W41" s="55"/>
      <c r="X41" s="56"/>
      <c r="Y41" s="56"/>
      <c r="Z41" s="56"/>
      <c r="AA41" s="35"/>
      <c r="AB41" s="35"/>
      <c r="AC41" s="55"/>
      <c r="AD41" s="56"/>
      <c r="AE41" s="56"/>
      <c r="AF41" s="56"/>
      <c r="AG41" s="35"/>
    </row>
    <row r="42" spans="1:33" x14ac:dyDescent="0.25">
      <c r="A42" s="405" t="s">
        <v>28</v>
      </c>
      <c r="B42" s="22">
        <v>8</v>
      </c>
      <c r="C42" s="69" t="s">
        <v>31</v>
      </c>
      <c r="D42" s="69" t="s">
        <v>30</v>
      </c>
      <c r="E42" s="69" t="s">
        <v>98</v>
      </c>
      <c r="F42" s="217" t="s">
        <v>36</v>
      </c>
      <c r="G42" s="409">
        <v>129075</v>
      </c>
      <c r="H42" s="409">
        <v>33717</v>
      </c>
      <c r="I42" s="408">
        <v>57.432217547937249</v>
      </c>
      <c r="J42" s="408">
        <v>54.852998190823627</v>
      </c>
      <c r="K42" s="409"/>
      <c r="L42" s="409"/>
      <c r="M42" s="409"/>
      <c r="N42" s="409">
        <v>4694.2299999999996</v>
      </c>
      <c r="O42" s="409">
        <v>9262542.0200000014</v>
      </c>
      <c r="P42" s="409">
        <v>1736726.63</v>
      </c>
      <c r="Q42" s="409">
        <v>1389381.31</v>
      </c>
      <c r="R42" s="199">
        <v>0.15</v>
      </c>
      <c r="S42" s="409">
        <v>347345.33</v>
      </c>
      <c r="T42" s="236">
        <v>3.7499999999999999E-2</v>
      </c>
      <c r="U42" s="32">
        <v>162792</v>
      </c>
      <c r="V42" s="32">
        <v>9262542.0200000014</v>
      </c>
      <c r="W42" s="57">
        <v>5426.4</v>
      </c>
      <c r="X42" s="58">
        <v>56.898000000000003</v>
      </c>
      <c r="Y42" s="58">
        <v>10.6684</v>
      </c>
      <c r="Z42" s="32">
        <v>1736726.63</v>
      </c>
      <c r="AA42" s="32" t="s">
        <v>305</v>
      </c>
      <c r="AB42" s="32" t="s">
        <v>305</v>
      </c>
      <c r="AC42" s="57" t="s">
        <v>305</v>
      </c>
      <c r="AD42" s="58" t="s">
        <v>305</v>
      </c>
      <c r="AE42" s="58" t="s">
        <v>305</v>
      </c>
      <c r="AF42" s="32" t="s">
        <v>305</v>
      </c>
      <c r="AG42" s="37"/>
    </row>
    <row r="43" spans="1:33" x14ac:dyDescent="0.25">
      <c r="A43" s="405" t="s">
        <v>28</v>
      </c>
      <c r="B43" s="17" t="s">
        <v>12</v>
      </c>
      <c r="C43" s="69" t="s">
        <v>31</v>
      </c>
      <c r="D43" s="69" t="s">
        <v>30</v>
      </c>
      <c r="E43" s="69" t="s">
        <v>98</v>
      </c>
      <c r="F43" s="217" t="s">
        <v>55</v>
      </c>
      <c r="G43" s="407">
        <v>59615.789700000001</v>
      </c>
      <c r="H43" s="407">
        <v>12386.03</v>
      </c>
      <c r="I43" s="408">
        <v>3.6074999999999999</v>
      </c>
      <c r="J43" s="408">
        <v>3.6076000000000001</v>
      </c>
      <c r="K43" s="409"/>
      <c r="L43" s="409"/>
      <c r="M43" s="409"/>
      <c r="N43" s="458">
        <v>1642.56</v>
      </c>
      <c r="O43" s="410">
        <v>258105.24</v>
      </c>
      <c r="P43" s="461">
        <v>48394.73</v>
      </c>
      <c r="Q43" s="409">
        <v>9678.9500000000007</v>
      </c>
      <c r="R43" s="236">
        <v>3.7499999999999999E-2</v>
      </c>
      <c r="S43" s="409">
        <v>38715.79</v>
      </c>
      <c r="T43" s="199">
        <v>0.15</v>
      </c>
      <c r="U43" s="32" t="s">
        <v>305</v>
      </c>
      <c r="V43" s="32" t="s">
        <v>305</v>
      </c>
      <c r="W43" s="57" t="s">
        <v>305</v>
      </c>
      <c r="X43" s="58" t="s">
        <v>305</v>
      </c>
      <c r="Y43" s="58" t="s">
        <v>305</v>
      </c>
      <c r="Z43" s="32" t="s">
        <v>305</v>
      </c>
      <c r="AA43" s="32">
        <v>72001.819700000007</v>
      </c>
      <c r="AB43" s="32">
        <v>258105.24</v>
      </c>
      <c r="AC43" s="57">
        <v>2400.1</v>
      </c>
      <c r="AD43" s="58">
        <v>3.5847000000000002</v>
      </c>
      <c r="AE43" s="58">
        <v>0.67210000000000003</v>
      </c>
      <c r="AF43" s="32">
        <v>48394.73</v>
      </c>
      <c r="AG43" s="37"/>
    </row>
    <row r="44" spans="1:33" x14ac:dyDescent="0.25">
      <c r="A44" s="405" t="s">
        <v>28</v>
      </c>
      <c r="B44" s="17" t="s">
        <v>74</v>
      </c>
      <c r="C44" s="69" t="s">
        <v>31</v>
      </c>
      <c r="D44" s="69" t="s">
        <v>30</v>
      </c>
      <c r="E44" s="69" t="s">
        <v>100</v>
      </c>
      <c r="F44" s="217" t="s">
        <v>36</v>
      </c>
      <c r="G44" s="407"/>
      <c r="H44" s="407"/>
      <c r="I44" s="408"/>
      <c r="J44" s="408"/>
      <c r="K44" s="409"/>
      <c r="L44" s="409"/>
      <c r="M44" s="409"/>
      <c r="N44" s="458">
        <v>3191.04</v>
      </c>
      <c r="O44" s="410">
        <v>-3191.04</v>
      </c>
      <c r="P44" s="409">
        <v>-598.32000000000005</v>
      </c>
      <c r="Q44" s="409">
        <v>-119.66</v>
      </c>
      <c r="R44" s="236">
        <v>3.7499999999999999E-2</v>
      </c>
      <c r="S44" s="409">
        <v>-478.66</v>
      </c>
      <c r="T44" s="199">
        <v>0.15</v>
      </c>
      <c r="U44" s="32">
        <v>0</v>
      </c>
      <c r="V44" s="32">
        <v>-3191.04</v>
      </c>
      <c r="W44" s="57">
        <v>0</v>
      </c>
      <c r="X44" s="58">
        <v>0</v>
      </c>
      <c r="Y44" s="58">
        <v>0</v>
      </c>
      <c r="Z44" s="32">
        <v>-598.32000000000005</v>
      </c>
      <c r="AA44" s="32" t="s">
        <v>305</v>
      </c>
      <c r="AB44" s="32" t="s">
        <v>305</v>
      </c>
      <c r="AC44" s="57" t="s">
        <v>305</v>
      </c>
      <c r="AD44" s="58" t="s">
        <v>305</v>
      </c>
      <c r="AE44" s="58" t="s">
        <v>305</v>
      </c>
      <c r="AF44" s="32" t="s">
        <v>305</v>
      </c>
      <c r="AG44" s="37"/>
    </row>
    <row r="45" spans="1:33" x14ac:dyDescent="0.25">
      <c r="A45" s="405" t="s">
        <v>28</v>
      </c>
      <c r="B45" s="22">
        <v>95</v>
      </c>
      <c r="C45" s="69" t="s">
        <v>31</v>
      </c>
      <c r="D45" s="69" t="s">
        <v>30</v>
      </c>
      <c r="E45" s="69" t="s">
        <v>98</v>
      </c>
      <c r="F45" s="217" t="s">
        <v>36</v>
      </c>
      <c r="G45" s="407">
        <v>329058</v>
      </c>
      <c r="H45" s="407">
        <v>335099</v>
      </c>
      <c r="I45" s="408">
        <v>47.962499999999999</v>
      </c>
      <c r="J45" s="408">
        <v>46.824399999999997</v>
      </c>
      <c r="K45" s="407"/>
      <c r="L45" s="409"/>
      <c r="M45" s="409"/>
      <c r="N45" s="458">
        <v>4694.2299999999996</v>
      </c>
      <c r="O45" s="582">
        <v>31468559.719999999</v>
      </c>
      <c r="P45" s="461">
        <v>5900354.9500000002</v>
      </c>
      <c r="Q45" s="409">
        <v>4720283.96</v>
      </c>
      <c r="R45" s="199">
        <v>0.15</v>
      </c>
      <c r="S45" s="409">
        <v>1180070.99</v>
      </c>
      <c r="T45" s="236">
        <v>3.7499999999999999E-2</v>
      </c>
      <c r="U45" s="32">
        <v>664157</v>
      </c>
      <c r="V45" s="32">
        <v>31468559.719999999</v>
      </c>
      <c r="W45" s="57">
        <v>22138.6</v>
      </c>
      <c r="X45" s="58">
        <v>47.3812</v>
      </c>
      <c r="Y45" s="58">
        <v>8.8840000000000003</v>
      </c>
      <c r="Z45" s="32">
        <v>5900354.9500000002</v>
      </c>
      <c r="AA45" s="32" t="s">
        <v>305</v>
      </c>
      <c r="AB45" s="32" t="s">
        <v>305</v>
      </c>
      <c r="AC45" s="57" t="s">
        <v>305</v>
      </c>
      <c r="AD45" s="58" t="s">
        <v>305</v>
      </c>
      <c r="AE45" s="58" t="s">
        <v>305</v>
      </c>
      <c r="AF45" s="32" t="s">
        <v>305</v>
      </c>
      <c r="AG45" s="37"/>
    </row>
    <row r="46" spans="1:33"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c r="U46" s="32">
        <v>0</v>
      </c>
      <c r="V46" s="32">
        <v>0</v>
      </c>
      <c r="W46" s="57">
        <v>0</v>
      </c>
      <c r="X46" s="58">
        <v>0</v>
      </c>
      <c r="Y46" s="58">
        <v>0</v>
      </c>
      <c r="Z46" s="32">
        <v>0</v>
      </c>
      <c r="AA46" s="32" t="s">
        <v>305</v>
      </c>
      <c r="AB46" s="32" t="s">
        <v>305</v>
      </c>
      <c r="AC46" s="57" t="s">
        <v>305</v>
      </c>
      <c r="AD46" s="58" t="s">
        <v>305</v>
      </c>
      <c r="AE46" s="58" t="s">
        <v>305</v>
      </c>
      <c r="AF46" s="32" t="s">
        <v>305</v>
      </c>
      <c r="AG46" s="37"/>
    </row>
    <row r="47" spans="1:33" x14ac:dyDescent="0.25">
      <c r="A47" s="432" t="s">
        <v>28</v>
      </c>
      <c r="B47" s="414" t="s">
        <v>53</v>
      </c>
      <c r="C47" s="415"/>
      <c r="D47" s="416"/>
      <c r="E47" s="416"/>
      <c r="F47" s="217"/>
      <c r="G47" s="409"/>
      <c r="H47" s="409"/>
      <c r="I47" s="417"/>
      <c r="J47" s="417"/>
      <c r="K47" s="409"/>
      <c r="L47" s="409"/>
      <c r="M47" s="409"/>
      <c r="N47" s="409"/>
      <c r="O47" s="409"/>
      <c r="P47" s="409"/>
      <c r="Q47" s="409"/>
      <c r="R47" s="409"/>
      <c r="S47" s="409"/>
      <c r="T47" s="199"/>
      <c r="U47" s="32" t="s">
        <v>305</v>
      </c>
      <c r="V47" s="32" t="s">
        <v>305</v>
      </c>
      <c r="W47" s="57" t="s">
        <v>305</v>
      </c>
      <c r="X47" s="58" t="s">
        <v>305</v>
      </c>
      <c r="Y47" s="58" t="s">
        <v>305</v>
      </c>
      <c r="Z47" s="32" t="s">
        <v>305</v>
      </c>
      <c r="AA47" s="32" t="s">
        <v>305</v>
      </c>
      <c r="AB47" s="32" t="s">
        <v>305</v>
      </c>
      <c r="AC47" s="57" t="s">
        <v>305</v>
      </c>
      <c r="AD47" s="58" t="s">
        <v>305</v>
      </c>
      <c r="AE47" s="58" t="s">
        <v>305</v>
      </c>
      <c r="AF47" s="32" t="s">
        <v>305</v>
      </c>
      <c r="AG47" s="37"/>
    </row>
    <row r="48" spans="1:33" x14ac:dyDescent="0.25">
      <c r="A48" s="24"/>
      <c r="B48" s="127" t="s">
        <v>105</v>
      </c>
      <c r="C48" s="25" t="s">
        <v>287</v>
      </c>
      <c r="D48" s="14"/>
      <c r="E48" s="14"/>
      <c r="F48" s="230"/>
      <c r="G48" s="433"/>
      <c r="H48" s="433"/>
      <c r="I48" s="434"/>
      <c r="J48" s="435"/>
      <c r="K48" s="436"/>
      <c r="L48" s="436"/>
      <c r="M48" s="436"/>
      <c r="N48" s="420"/>
      <c r="O48" s="420">
        <v>40986015.939999998</v>
      </c>
      <c r="P48" s="420">
        <v>7684877.9900000002</v>
      </c>
      <c r="Q48" s="420">
        <v>6119224.5600000005</v>
      </c>
      <c r="R48" s="220"/>
      <c r="S48" s="420">
        <v>1565653.45</v>
      </c>
      <c r="T48" s="207"/>
      <c r="U48" s="59">
        <v>826949</v>
      </c>
      <c r="V48" s="59">
        <v>40727910.700000003</v>
      </c>
      <c r="W48" s="60">
        <v>27565</v>
      </c>
      <c r="X48" s="61">
        <v>49.250799999999998</v>
      </c>
      <c r="Y48" s="61">
        <v>9.2345000000000006</v>
      </c>
      <c r="Z48" s="59">
        <v>7636483.2599999998</v>
      </c>
      <c r="AA48" s="59">
        <v>72001.819700000007</v>
      </c>
      <c r="AB48" s="59">
        <v>258105.24</v>
      </c>
      <c r="AC48" s="60">
        <v>2400.1</v>
      </c>
      <c r="AD48" s="61">
        <v>3.5847000000000002</v>
      </c>
      <c r="AE48" s="61">
        <v>0.67210000000000003</v>
      </c>
      <c r="AF48" s="59">
        <v>48394.73</v>
      </c>
      <c r="AG48" s="59">
        <v>4.4383341446518898E-10</v>
      </c>
    </row>
    <row r="49" spans="1:33" x14ac:dyDescent="0.25">
      <c r="A49" s="121"/>
      <c r="B49" s="122"/>
      <c r="C49" s="25" t="s">
        <v>288</v>
      </c>
      <c r="D49" s="85"/>
      <c r="E49" s="85"/>
      <c r="F49" s="121"/>
      <c r="G49" s="437"/>
      <c r="H49" s="437"/>
      <c r="I49" s="438"/>
      <c r="J49" s="438"/>
      <c r="K49" s="437"/>
      <c r="L49" s="437"/>
      <c r="M49" s="437"/>
      <c r="N49" s="437"/>
      <c r="O49" s="255"/>
      <c r="P49" s="255">
        <v>28410993.93</v>
      </c>
      <c r="Q49" s="426">
        <v>22622773.199999999</v>
      </c>
      <c r="R49" s="131"/>
      <c r="S49" s="426">
        <v>5788220.7999999998</v>
      </c>
      <c r="T49" s="123"/>
      <c r="U49" s="124"/>
      <c r="V49" s="124"/>
      <c r="W49" s="125"/>
      <c r="X49" s="126"/>
      <c r="Y49" s="126"/>
      <c r="Z49" s="124"/>
      <c r="AA49" s="124"/>
      <c r="AB49" s="124"/>
      <c r="AC49" s="125"/>
      <c r="AD49" s="126"/>
      <c r="AE49" s="126"/>
      <c r="AF49" s="124"/>
      <c r="AG49" s="124"/>
    </row>
    <row r="50" spans="1:33"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c r="U50" s="124"/>
      <c r="V50" s="124"/>
      <c r="W50" s="125"/>
      <c r="X50" s="126"/>
      <c r="Y50" s="126"/>
      <c r="Z50" s="124"/>
      <c r="AA50" s="124"/>
      <c r="AB50" s="124"/>
      <c r="AC50" s="125"/>
      <c r="AD50" s="126"/>
      <c r="AE50" s="126"/>
      <c r="AF50" s="124"/>
      <c r="AG50" s="124"/>
    </row>
    <row r="51" spans="1:33" x14ac:dyDescent="0.25">
      <c r="A51" s="405" t="s">
        <v>28</v>
      </c>
      <c r="B51" s="17" t="s">
        <v>160</v>
      </c>
      <c r="C51" s="69" t="s">
        <v>31</v>
      </c>
      <c r="D51" s="69" t="s">
        <v>30</v>
      </c>
      <c r="E51" s="69" t="s">
        <v>158</v>
      </c>
      <c r="F51" s="217" t="s">
        <v>36</v>
      </c>
      <c r="G51" s="409">
        <v>743558</v>
      </c>
      <c r="H51" s="409">
        <v>547576</v>
      </c>
      <c r="I51" s="417">
        <v>38.522300000000001</v>
      </c>
      <c r="J51" s="417">
        <v>40.0428</v>
      </c>
      <c r="K51" s="409"/>
      <c r="L51" s="409"/>
      <c r="M51" s="409"/>
      <c r="N51" s="409"/>
      <c r="O51" s="410">
        <v>50570040.596200004</v>
      </c>
      <c r="P51" s="463">
        <v>18832283.120000001</v>
      </c>
      <c r="Q51" s="463">
        <v>9416141.5600000005</v>
      </c>
      <c r="R51" s="199">
        <v>0.5</v>
      </c>
      <c r="S51" s="409"/>
      <c r="T51" s="236"/>
      <c r="U51" s="32">
        <v>1291134</v>
      </c>
      <c r="V51" s="32">
        <v>50570040.596200004</v>
      </c>
      <c r="W51" s="57">
        <v>43037.8</v>
      </c>
      <c r="X51" s="58">
        <v>39.167200000000001</v>
      </c>
      <c r="Y51" s="58">
        <v>7.2929000000000004</v>
      </c>
      <c r="Z51" s="32">
        <v>9416141.5600000005</v>
      </c>
      <c r="AA51" s="32" t="s">
        <v>305</v>
      </c>
      <c r="AB51" s="32" t="s">
        <v>305</v>
      </c>
      <c r="AC51" s="57" t="s">
        <v>305</v>
      </c>
      <c r="AD51" s="58" t="s">
        <v>305</v>
      </c>
      <c r="AE51" s="58" t="s">
        <v>305</v>
      </c>
      <c r="AF51" s="32" t="s">
        <v>305</v>
      </c>
      <c r="AG51" s="124"/>
    </row>
    <row r="52" spans="1:33" x14ac:dyDescent="0.25">
      <c r="A52" s="405" t="s">
        <v>28</v>
      </c>
      <c r="B52" s="17" t="s">
        <v>159</v>
      </c>
      <c r="C52" s="69" t="s">
        <v>31</v>
      </c>
      <c r="D52" s="69" t="s">
        <v>30</v>
      </c>
      <c r="E52" s="69" t="s">
        <v>158</v>
      </c>
      <c r="F52" s="217" t="s">
        <v>55</v>
      </c>
      <c r="G52" s="409">
        <v>10992790.275800001</v>
      </c>
      <c r="H52" s="409">
        <v>10330141.241099998</v>
      </c>
      <c r="I52" s="417">
        <v>2.8894000000000002</v>
      </c>
      <c r="J52" s="417">
        <v>2.867</v>
      </c>
      <c r="K52" s="409"/>
      <c r="L52" s="409"/>
      <c r="M52" s="409"/>
      <c r="N52" s="409"/>
      <c r="O52" s="444">
        <v>61378794.910000004</v>
      </c>
      <c r="P52" s="444">
        <v>22913820.359999999</v>
      </c>
      <c r="Q52" s="444">
        <v>11456910.190000001</v>
      </c>
      <c r="R52" s="199">
        <v>0.5</v>
      </c>
      <c r="S52" s="409"/>
      <c r="T52" s="199"/>
      <c r="U52" s="32" t="s">
        <v>305</v>
      </c>
      <c r="V52" s="32" t="s">
        <v>305</v>
      </c>
      <c r="W52" s="57" t="s">
        <v>305</v>
      </c>
      <c r="X52" s="58" t="s">
        <v>305</v>
      </c>
      <c r="Y52" s="58" t="s">
        <v>305</v>
      </c>
      <c r="Z52" s="32" t="s">
        <v>305</v>
      </c>
      <c r="AA52" s="32">
        <v>21322931.516899999</v>
      </c>
      <c r="AB52" s="32">
        <v>61378794.910000004</v>
      </c>
      <c r="AC52" s="57">
        <v>710764.4</v>
      </c>
      <c r="AD52" s="58">
        <v>2.8784999999999998</v>
      </c>
      <c r="AE52" s="58">
        <v>0.5373</v>
      </c>
      <c r="AF52" s="32">
        <v>11456910.190000001</v>
      </c>
      <c r="AG52" s="124"/>
    </row>
    <row r="53" spans="1:33" x14ac:dyDescent="0.25">
      <c r="A53" s="405" t="s">
        <v>28</v>
      </c>
      <c r="B53" s="17" t="s">
        <v>168</v>
      </c>
      <c r="C53" s="69" t="s">
        <v>31</v>
      </c>
      <c r="D53" s="69" t="s">
        <v>30</v>
      </c>
      <c r="E53" s="69" t="s">
        <v>158</v>
      </c>
      <c r="F53" s="217" t="s">
        <v>36</v>
      </c>
      <c r="G53" s="409">
        <v>161393</v>
      </c>
      <c r="H53" s="409">
        <v>123347</v>
      </c>
      <c r="I53" s="417">
        <v>38.508000000000003</v>
      </c>
      <c r="J53" s="417">
        <v>40.120699999999999</v>
      </c>
      <c r="K53" s="409"/>
      <c r="L53" s="409"/>
      <c r="M53" s="409"/>
      <c r="N53" s="409"/>
      <c r="O53" s="410">
        <v>11163689.6269</v>
      </c>
      <c r="P53" s="444">
        <v>4465475.8499999996</v>
      </c>
      <c r="Q53" s="444">
        <v>2232737.9300000002</v>
      </c>
      <c r="R53" s="199">
        <v>0.5</v>
      </c>
      <c r="S53" s="409"/>
      <c r="T53" s="199"/>
      <c r="U53" s="32">
        <v>284740</v>
      </c>
      <c r="V53" s="32">
        <v>11163689.6269</v>
      </c>
      <c r="W53" s="57">
        <v>9491.2999999999993</v>
      </c>
      <c r="X53" s="58">
        <v>39.206600000000002</v>
      </c>
      <c r="Y53" s="58">
        <v>7.8413000000000004</v>
      </c>
      <c r="Z53" s="32">
        <v>2232737.9300000002</v>
      </c>
      <c r="AA53" s="32" t="s">
        <v>305</v>
      </c>
      <c r="AB53" s="32" t="s">
        <v>305</v>
      </c>
      <c r="AC53" s="57" t="s">
        <v>305</v>
      </c>
      <c r="AD53" s="58" t="s">
        <v>305</v>
      </c>
      <c r="AE53" s="58" t="s">
        <v>305</v>
      </c>
      <c r="AF53" s="32" t="s">
        <v>305</v>
      </c>
      <c r="AG53" s="124"/>
    </row>
    <row r="54" spans="1:33" x14ac:dyDescent="0.25">
      <c r="A54" s="405" t="s">
        <v>28</v>
      </c>
      <c r="B54" s="17" t="s">
        <v>169</v>
      </c>
      <c r="C54" s="69" t="s">
        <v>31</v>
      </c>
      <c r="D54" s="69" t="s">
        <v>30</v>
      </c>
      <c r="E54" s="69" t="s">
        <v>158</v>
      </c>
      <c r="F54" s="217" t="s">
        <v>55</v>
      </c>
      <c r="G54" s="409">
        <v>4282579.1860999996</v>
      </c>
      <c r="H54" s="409">
        <v>1803261.85</v>
      </c>
      <c r="I54" s="417">
        <v>4.6509999999999998</v>
      </c>
      <c r="J54" s="417">
        <v>4.4550000000000001</v>
      </c>
      <c r="K54" s="409"/>
      <c r="L54" s="409"/>
      <c r="M54" s="409"/>
      <c r="N54" s="409"/>
      <c r="O54" s="410">
        <v>27951807.336301096</v>
      </c>
      <c r="P54" s="463">
        <v>10621686.789999999</v>
      </c>
      <c r="Q54" s="444">
        <v>5310843.4000000004</v>
      </c>
      <c r="R54" s="199">
        <v>0.5</v>
      </c>
      <c r="S54" s="409"/>
      <c r="T54" s="199"/>
      <c r="U54" s="32" t="s">
        <v>305</v>
      </c>
      <c r="V54" s="32" t="s">
        <v>305</v>
      </c>
      <c r="W54" s="57" t="s">
        <v>305</v>
      </c>
      <c r="X54" s="58" t="s">
        <v>305</v>
      </c>
      <c r="Y54" s="58" t="s">
        <v>305</v>
      </c>
      <c r="Z54" s="32" t="s">
        <v>305</v>
      </c>
      <c r="AA54" s="32">
        <v>6085841.0361000001</v>
      </c>
      <c r="AB54" s="32">
        <v>27951807.336301096</v>
      </c>
      <c r="AC54" s="57">
        <v>202861.4</v>
      </c>
      <c r="AD54" s="58">
        <v>4.5929000000000002</v>
      </c>
      <c r="AE54" s="58">
        <v>0.87270000000000003</v>
      </c>
      <c r="AF54" s="32">
        <v>5310843.4000000004</v>
      </c>
      <c r="AG54" s="124"/>
    </row>
    <row r="55" spans="1:33" x14ac:dyDescent="0.25">
      <c r="A55" s="405" t="s">
        <v>28</v>
      </c>
      <c r="B55" s="22" t="s">
        <v>175</v>
      </c>
      <c r="C55" s="69" t="s">
        <v>31</v>
      </c>
      <c r="D55" s="69" t="s">
        <v>30</v>
      </c>
      <c r="E55" s="69" t="s">
        <v>158</v>
      </c>
      <c r="F55" s="217" t="s">
        <v>36</v>
      </c>
      <c r="G55" s="409">
        <v>248524</v>
      </c>
      <c r="H55" s="409">
        <v>108673</v>
      </c>
      <c r="I55" s="417">
        <v>34.869700000000002</v>
      </c>
      <c r="J55" s="417">
        <v>35.265599999999999</v>
      </c>
      <c r="K55" s="407"/>
      <c r="L55" s="409"/>
      <c r="M55" s="409"/>
      <c r="N55" s="407"/>
      <c r="O55" s="410">
        <v>12498375.871600002</v>
      </c>
      <c r="P55" s="409">
        <v>835626.70473600004</v>
      </c>
      <c r="Q55" s="444">
        <v>417813.35</v>
      </c>
      <c r="R55" s="199">
        <v>0.5</v>
      </c>
      <c r="S55" s="409"/>
      <c r="T55" s="236"/>
      <c r="U55" s="32">
        <v>357197</v>
      </c>
      <c r="V55" s="32">
        <v>12498375.871600002</v>
      </c>
      <c r="W55" s="57">
        <v>11906.6</v>
      </c>
      <c r="X55" s="58">
        <v>34.990099999999998</v>
      </c>
      <c r="Y55" s="58">
        <v>1.1697</v>
      </c>
      <c r="Z55" s="32">
        <v>417813.35</v>
      </c>
      <c r="AA55" s="32" t="s">
        <v>305</v>
      </c>
      <c r="AB55" s="32" t="s">
        <v>305</v>
      </c>
      <c r="AC55" s="57" t="s">
        <v>305</v>
      </c>
      <c r="AD55" s="58" t="s">
        <v>305</v>
      </c>
      <c r="AE55" s="58" t="s">
        <v>305</v>
      </c>
      <c r="AF55" s="32" t="s">
        <v>305</v>
      </c>
      <c r="AG55" s="124"/>
    </row>
    <row r="56" spans="1:33" x14ac:dyDescent="0.25">
      <c r="A56" s="405" t="s">
        <v>28</v>
      </c>
      <c r="B56" s="250" t="s">
        <v>176</v>
      </c>
      <c r="C56" s="69" t="s">
        <v>31</v>
      </c>
      <c r="D56" s="69" t="s">
        <v>30</v>
      </c>
      <c r="E56" s="69" t="s">
        <v>158</v>
      </c>
      <c r="F56" s="217" t="s">
        <v>55</v>
      </c>
      <c r="G56" s="409">
        <v>4280022.4283999996</v>
      </c>
      <c r="H56" s="409">
        <v>1945386.07</v>
      </c>
      <c r="I56" s="417">
        <v>5.53</v>
      </c>
      <c r="J56" s="417">
        <v>5.53</v>
      </c>
      <c r="K56" s="504"/>
      <c r="L56" s="409"/>
      <c r="M56" s="409"/>
      <c r="N56" s="407"/>
      <c r="O56" s="410">
        <v>34426508.996151999</v>
      </c>
      <c r="P56" s="409">
        <v>3910854.7722360003</v>
      </c>
      <c r="Q56" s="444">
        <v>1955427.39</v>
      </c>
      <c r="R56" s="199">
        <v>0.5</v>
      </c>
      <c r="S56" s="409"/>
      <c r="T56" s="236"/>
      <c r="U56" s="32" t="s">
        <v>305</v>
      </c>
      <c r="V56" s="32" t="s">
        <v>305</v>
      </c>
      <c r="W56" s="57" t="s">
        <v>305</v>
      </c>
      <c r="X56" s="58" t="s">
        <v>305</v>
      </c>
      <c r="Y56" s="58" t="s">
        <v>305</v>
      </c>
      <c r="Z56" s="32" t="s">
        <v>305</v>
      </c>
      <c r="AA56" s="32">
        <v>6225408.4983999999</v>
      </c>
      <c r="AB56" s="32">
        <v>34426508.996151999</v>
      </c>
      <c r="AC56" s="57">
        <v>207513.60000000001</v>
      </c>
      <c r="AD56" s="58">
        <v>5.53</v>
      </c>
      <c r="AE56" s="58">
        <v>0.31409999999999999</v>
      </c>
      <c r="AF56" s="32">
        <v>1955427.39</v>
      </c>
      <c r="AG56" s="124"/>
    </row>
    <row r="57" spans="1:33" x14ac:dyDescent="0.25">
      <c r="A57" s="445" t="s">
        <v>28</v>
      </c>
      <c r="B57" s="446" t="s">
        <v>162</v>
      </c>
      <c r="C57" s="447"/>
      <c r="D57" s="447"/>
      <c r="E57" s="448"/>
      <c r="F57" s="190"/>
      <c r="G57" s="239"/>
      <c r="H57" s="240"/>
      <c r="I57" s="240"/>
      <c r="J57" s="241"/>
      <c r="K57" s="241"/>
      <c r="L57" s="241"/>
      <c r="M57" s="155"/>
      <c r="N57" s="155"/>
      <c r="O57" s="168">
        <v>-9748222.4232089967</v>
      </c>
      <c r="P57" s="168">
        <v>-1226111.9752899997</v>
      </c>
      <c r="Q57" s="168">
        <v>-613055.99999999907</v>
      </c>
      <c r="R57" s="123"/>
      <c r="S57" s="156"/>
      <c r="T57" s="123"/>
      <c r="U57" s="32" t="s">
        <v>305</v>
      </c>
      <c r="V57" s="32" t="s">
        <v>305</v>
      </c>
      <c r="W57" s="57" t="s">
        <v>305</v>
      </c>
      <c r="X57" s="58" t="s">
        <v>305</v>
      </c>
      <c r="Y57" s="58" t="s">
        <v>305</v>
      </c>
      <c r="Z57" s="32" t="s">
        <v>305</v>
      </c>
      <c r="AA57" s="32" t="s">
        <v>305</v>
      </c>
      <c r="AB57" s="32" t="s">
        <v>305</v>
      </c>
      <c r="AC57" s="57" t="s">
        <v>305</v>
      </c>
      <c r="AD57" s="58" t="s">
        <v>305</v>
      </c>
      <c r="AE57" s="58" t="s">
        <v>305</v>
      </c>
      <c r="AF57" s="32" t="s">
        <v>305</v>
      </c>
      <c r="AG57" s="124"/>
    </row>
    <row r="58" spans="1:33" x14ac:dyDescent="0.25">
      <c r="A58" s="24"/>
      <c r="B58" s="127" t="s">
        <v>105</v>
      </c>
      <c r="C58" s="25" t="s">
        <v>289</v>
      </c>
      <c r="D58" s="14"/>
      <c r="E58" s="14"/>
      <c r="F58" s="245"/>
      <c r="G58" s="232">
        <v>4282579.1860999996</v>
      </c>
      <c r="H58" s="232">
        <v>1803261.85</v>
      </c>
      <c r="I58" s="299"/>
      <c r="J58" s="232"/>
      <c r="K58" s="243"/>
      <c r="L58" s="237"/>
      <c r="M58" s="297"/>
      <c r="N58" s="174"/>
      <c r="O58" s="174">
        <v>188240994.91394413</v>
      </c>
      <c r="P58" s="174">
        <v>60353635.621682003</v>
      </c>
      <c r="Q58" s="174">
        <v>30176817.82</v>
      </c>
      <c r="R58" s="498"/>
      <c r="S58" s="162"/>
      <c r="T58" s="123"/>
      <c r="U58" s="59">
        <v>1933071</v>
      </c>
      <c r="V58" s="59">
        <v>74232106.094700009</v>
      </c>
      <c r="W58" s="60">
        <v>64435.700000000004</v>
      </c>
      <c r="X58" s="61">
        <v>38.4011</v>
      </c>
      <c r="Y58" s="61">
        <v>6.2422000000000004</v>
      </c>
      <c r="Z58" s="59">
        <v>12066692.84</v>
      </c>
      <c r="AA58" s="59">
        <v>33634181.051399998</v>
      </c>
      <c r="AB58" s="59">
        <v>123757111.2424531</v>
      </c>
      <c r="AC58" s="60">
        <v>1121139.4000000001</v>
      </c>
      <c r="AD58" s="61">
        <v>3.6795</v>
      </c>
      <c r="AE58" s="61">
        <v>0.55669999999999997</v>
      </c>
      <c r="AF58" s="59">
        <v>18723180.98</v>
      </c>
      <c r="AG58" s="59">
        <v>-613056</v>
      </c>
    </row>
    <row r="59" spans="1:33" x14ac:dyDescent="0.25">
      <c r="A59" s="121"/>
      <c r="B59" s="122"/>
      <c r="C59" s="25" t="s">
        <v>290</v>
      </c>
      <c r="D59" s="85"/>
      <c r="E59" s="85"/>
      <c r="F59" s="245"/>
      <c r="G59" s="233">
        <v>4.6509999999999998</v>
      </c>
      <c r="H59" s="233">
        <v>4.4550000000000001</v>
      </c>
      <c r="I59" s="300"/>
      <c r="J59" s="232"/>
      <c r="K59" s="244"/>
      <c r="L59" s="238"/>
      <c r="M59" s="361"/>
      <c r="N59" s="362"/>
      <c r="O59" s="362"/>
      <c r="P59" s="164"/>
      <c r="Q59" s="164">
        <v>111563695.48054001</v>
      </c>
      <c r="R59" s="153"/>
      <c r="S59" s="162"/>
      <c r="T59" s="123"/>
      <c r="U59" s="124"/>
      <c r="V59" s="124"/>
      <c r="W59" s="125"/>
      <c r="X59" s="126"/>
      <c r="Y59" s="126"/>
      <c r="Z59" s="124"/>
      <c r="AA59" s="124"/>
      <c r="AB59" s="124"/>
      <c r="AC59" s="125"/>
      <c r="AD59" s="126"/>
      <c r="AE59" s="126"/>
      <c r="AF59" s="124"/>
      <c r="AG59" s="124"/>
    </row>
    <row r="60" spans="1:33" ht="13" x14ac:dyDescent="0.3">
      <c r="A60" s="8" t="s">
        <v>54</v>
      </c>
      <c r="B60" s="252"/>
      <c r="C60" s="252"/>
      <c r="D60" s="252"/>
      <c r="E60" s="252"/>
      <c r="F60" s="246"/>
      <c r="G60" s="234">
        <v>19918275.794551097</v>
      </c>
      <c r="H60" s="234">
        <v>8033531.5417500008</v>
      </c>
      <c r="I60" s="232">
        <v>27951807.336301096</v>
      </c>
      <c r="J60" s="232" t="e">
        <v>#REF!</v>
      </c>
      <c r="K60" s="301" t="e">
        <v>#REF!</v>
      </c>
      <c r="L60" s="302"/>
      <c r="M60" s="255">
        <v>0</v>
      </c>
      <c r="N60" s="255">
        <v>33356.61</v>
      </c>
      <c r="O60" s="255">
        <v>283808435.03394413</v>
      </c>
      <c r="P60" s="426">
        <v>48060835.910000004</v>
      </c>
      <c r="Q60" s="166">
        <v>177680910.50054002</v>
      </c>
      <c r="R60" s="38"/>
      <c r="S60" s="166"/>
      <c r="T60" s="38"/>
      <c r="U60" s="66">
        <v>3405021.2281999998</v>
      </c>
      <c r="V60" s="66">
        <v>152408033.03470001</v>
      </c>
      <c r="W60" s="67">
        <v>113500.79999999999</v>
      </c>
      <c r="X60" s="68">
        <v>44.759799999999998</v>
      </c>
      <c r="Y60" s="68">
        <v>7.8384</v>
      </c>
      <c r="Z60" s="66">
        <v>26689802.210000001</v>
      </c>
      <c r="AA60" s="66">
        <v>35102080.267499998</v>
      </c>
      <c r="AB60" s="66">
        <v>128673518.09245309</v>
      </c>
      <c r="AC60" s="66">
        <v>1170069.5000000002</v>
      </c>
      <c r="AD60" s="68">
        <v>3.6657000000000002</v>
      </c>
      <c r="AE60" s="68">
        <v>0.55969999999999998</v>
      </c>
      <c r="AF60" s="66">
        <v>19645007.260000002</v>
      </c>
      <c r="AG60" s="66">
        <v>1726026.4400000013</v>
      </c>
    </row>
    <row r="61" spans="1:33" x14ac:dyDescent="0.25">
      <c r="G61" s="251"/>
      <c r="H61" s="251"/>
      <c r="I61" s="251"/>
      <c r="J61" s="251"/>
      <c r="K61" s="251"/>
      <c r="N61" s="477"/>
      <c r="O61" s="460"/>
      <c r="S61" s="290"/>
      <c r="Z61" s="48"/>
      <c r="AA61" s="48"/>
      <c r="AB61" s="48"/>
      <c r="AC61" s="48"/>
      <c r="AD61" s="48"/>
      <c r="AE61" s="48"/>
    </row>
    <row r="62" spans="1:33" x14ac:dyDescent="0.25">
      <c r="A62" s="449" t="s">
        <v>92</v>
      </c>
      <c r="B62" s="251" t="s">
        <v>75</v>
      </c>
      <c r="G62" s="251"/>
      <c r="H62" s="449" t="s">
        <v>76</v>
      </c>
      <c r="I62" s="251"/>
      <c r="J62" s="47"/>
      <c r="K62" s="47"/>
      <c r="N62" s="477"/>
      <c r="O62" s="477"/>
      <c r="P62" s="290"/>
      <c r="Q62" s="47"/>
      <c r="S62" s="47"/>
      <c r="U62" s="48"/>
      <c r="V62" s="294"/>
      <c r="W62" s="294"/>
      <c r="X62" s="294"/>
    </row>
    <row r="63" spans="1:33" ht="13" x14ac:dyDescent="0.3">
      <c r="B63" s="97" t="s">
        <v>77</v>
      </c>
      <c r="C63" s="98" t="s">
        <v>78</v>
      </c>
      <c r="D63" s="99"/>
      <c r="E63" s="100" t="s">
        <v>34</v>
      </c>
      <c r="F63" s="100" t="s">
        <v>79</v>
      </c>
      <c r="G63" s="251"/>
      <c r="H63" s="71" t="s">
        <v>34</v>
      </c>
      <c r="I63" s="252"/>
      <c r="J63" s="252"/>
      <c r="K63" s="252"/>
      <c r="L63" s="72"/>
      <c r="N63" s="477"/>
      <c r="O63" s="477"/>
      <c r="P63" s="290"/>
      <c r="Q63" s="47"/>
      <c r="S63" s="47"/>
      <c r="U63" s="48"/>
      <c r="V63" s="294"/>
      <c r="W63" s="294"/>
      <c r="X63" s="294"/>
    </row>
    <row r="64" spans="1:33" ht="13" x14ac:dyDescent="0.3">
      <c r="B64" s="450" t="s">
        <v>80</v>
      </c>
      <c r="C64" s="74" t="s">
        <v>81</v>
      </c>
      <c r="D64" s="451"/>
      <c r="E64" s="76"/>
      <c r="F64" s="76"/>
      <c r="G64" s="251"/>
      <c r="H64" s="77" t="s">
        <v>292</v>
      </c>
      <c r="I64" s="251"/>
      <c r="J64" s="251"/>
      <c r="K64" s="251"/>
      <c r="L64" s="78"/>
      <c r="M64" s="499"/>
      <c r="N64" s="499">
        <v>36728.480000000003</v>
      </c>
      <c r="O64" s="47"/>
      <c r="P64" s="500"/>
      <c r="Q64" s="500"/>
      <c r="S64" s="500"/>
      <c r="U64" s="48"/>
      <c r="V64" s="294"/>
      <c r="W64" s="294"/>
      <c r="X64" s="294"/>
    </row>
    <row r="65" spans="1:29" ht="13" x14ac:dyDescent="0.3">
      <c r="B65" s="452" t="s">
        <v>82</v>
      </c>
      <c r="C65" s="80" t="s">
        <v>83</v>
      </c>
      <c r="D65" s="453"/>
      <c r="E65" s="82"/>
      <c r="F65" s="83"/>
      <c r="G65" s="251"/>
      <c r="H65" s="84">
        <v>0</v>
      </c>
      <c r="I65" s="85"/>
      <c r="J65" s="85"/>
      <c r="K65" s="85"/>
      <c r="L65" s="86"/>
      <c r="M65" s="499">
        <v>9.4199999857272176E-2</v>
      </c>
      <c r="N65" s="499">
        <v>9.8900000237297003E-2</v>
      </c>
      <c r="O65" s="47"/>
      <c r="P65" s="500"/>
      <c r="Q65" s="500"/>
      <c r="S65" s="500"/>
      <c r="U65" s="48"/>
      <c r="V65" s="295"/>
      <c r="W65" s="295"/>
      <c r="X65" s="294"/>
      <c r="Y65" s="47"/>
      <c r="Z65" s="47"/>
      <c r="AA65" s="47"/>
      <c r="AB65" s="47"/>
      <c r="AC65" s="47"/>
    </row>
    <row r="66" spans="1:29" x14ac:dyDescent="0.25">
      <c r="B66" s="452" t="s">
        <v>84</v>
      </c>
      <c r="C66" s="80" t="s">
        <v>85</v>
      </c>
      <c r="D66" s="453"/>
      <c r="E66" s="82"/>
      <c r="F66" s="82"/>
      <c r="G66" s="251"/>
      <c r="H66" s="251"/>
      <c r="I66" s="454"/>
      <c r="J66" s="251"/>
      <c r="K66" s="251"/>
      <c r="M66" s="499">
        <v>0.39999999969547706</v>
      </c>
      <c r="N66" s="499">
        <v>0.39999999979093542</v>
      </c>
      <c r="O66" s="583"/>
      <c r="P66" s="290"/>
      <c r="Q66" s="290"/>
      <c r="U66" s="48"/>
      <c r="V66" s="294"/>
      <c r="W66" s="294"/>
      <c r="X66" s="294"/>
      <c r="Y66" s="47"/>
      <c r="Z66" s="47"/>
      <c r="AA66" s="47"/>
      <c r="AB66" s="47"/>
    </row>
    <row r="67" spans="1:29" x14ac:dyDescent="0.25">
      <c r="B67" s="452" t="s">
        <v>86</v>
      </c>
      <c r="C67" s="80" t="s">
        <v>87</v>
      </c>
      <c r="D67" s="453"/>
      <c r="E67" s="88"/>
      <c r="F67" s="88"/>
      <c r="G67" s="251"/>
      <c r="H67" s="71" t="s">
        <v>79</v>
      </c>
      <c r="I67" s="89"/>
      <c r="J67" s="252"/>
      <c r="K67" s="252"/>
      <c r="L67" s="72"/>
      <c r="M67" s="499">
        <v>0.38000000287019686</v>
      </c>
      <c r="N67" s="499"/>
      <c r="O67" s="290"/>
      <c r="P67" s="290"/>
      <c r="U67" s="48"/>
      <c r="V67" s="294"/>
      <c r="W67" s="294"/>
      <c r="X67" s="294"/>
      <c r="Y67" s="47"/>
      <c r="Z67" s="47"/>
      <c r="AA67" s="47"/>
      <c r="AB67" s="47"/>
      <c r="AC67" s="47"/>
    </row>
    <row r="68" spans="1:29" x14ac:dyDescent="0.25">
      <c r="B68" s="452" t="s">
        <v>88</v>
      </c>
      <c r="C68" s="80" t="s">
        <v>89</v>
      </c>
      <c r="D68" s="453"/>
      <c r="E68" s="90"/>
      <c r="F68" s="83"/>
      <c r="G68" s="251"/>
      <c r="H68" s="77" t="s">
        <v>292</v>
      </c>
      <c r="I68" s="454"/>
      <c r="J68" s="251"/>
      <c r="K68" s="251"/>
      <c r="L68" s="78"/>
      <c r="N68" s="501"/>
      <c r="O68" s="332"/>
      <c r="U68" s="48"/>
      <c r="V68" s="294"/>
      <c r="W68" s="294"/>
      <c r="X68" s="294"/>
      <c r="Y68" s="47"/>
      <c r="Z68" s="47"/>
      <c r="AA68" s="47"/>
      <c r="AB68" s="47"/>
      <c r="AC68" s="47"/>
    </row>
    <row r="69" spans="1:29" x14ac:dyDescent="0.25">
      <c r="B69" s="455" t="s">
        <v>90</v>
      </c>
      <c r="C69" s="92" t="s">
        <v>91</v>
      </c>
      <c r="D69" s="456"/>
      <c r="E69" s="94"/>
      <c r="F69" s="94"/>
      <c r="G69" s="251"/>
      <c r="H69" s="84">
        <v>0</v>
      </c>
      <c r="I69" s="95"/>
      <c r="J69" s="85"/>
      <c r="K69" s="85"/>
      <c r="L69" s="86"/>
      <c r="M69" s="332"/>
      <c r="N69" s="332"/>
      <c r="O69" s="332"/>
      <c r="U69" s="48"/>
      <c r="V69" s="294"/>
      <c r="W69" s="294"/>
      <c r="X69" s="294"/>
      <c r="Y69" s="47"/>
      <c r="Z69" s="47"/>
      <c r="AA69" s="47"/>
      <c r="AB69" s="47"/>
      <c r="AC69" s="47"/>
    </row>
    <row r="70" spans="1:29" x14ac:dyDescent="0.25">
      <c r="A70" s="449"/>
      <c r="G70" s="251"/>
      <c r="H70" s="421"/>
      <c r="I70" s="251"/>
      <c r="J70" s="251"/>
      <c r="K70" s="251"/>
      <c r="M70" s="332"/>
      <c r="N70" s="332"/>
      <c r="O70" s="332"/>
      <c r="U70" s="48"/>
      <c r="V70" s="294"/>
      <c r="W70" s="294"/>
      <c r="X70" s="294"/>
      <c r="Y70" s="47"/>
      <c r="Z70" s="47"/>
      <c r="AA70" s="47"/>
      <c r="AB70" s="47"/>
      <c r="AC70" s="47"/>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8" fitToWidth="3"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pageSetUpPr fitToPage="1"/>
  </sheetPr>
  <dimension ref="A1:T78"/>
  <sheetViews>
    <sheetView view="pageBreakPreview" topLeftCell="A19" zoomScale="85" zoomScaleNormal="95" zoomScaleSheetLayoutView="85" workbookViewId="0">
      <pane xSplit="2" topLeftCell="G1" activePane="topRight" state="frozen"/>
      <selection pane="topRight" activeCell="T34" sqref="T34"/>
    </sheetView>
  </sheetViews>
  <sheetFormatPr baseColWidth="10" defaultColWidth="8.765625" defaultRowHeight="12.5" outlineLevelRow="1" x14ac:dyDescent="0.25"/>
  <cols>
    <col min="1" max="1" width="3" style="251" customWidth="1"/>
    <col min="2" max="2" width="16" style="251" customWidth="1"/>
    <col min="3" max="3" width="7.765625" style="251" customWidth="1"/>
    <col min="4" max="4" width="8.23046875" style="251" customWidth="1"/>
    <col min="5" max="5" width="8.765625" style="251" customWidth="1"/>
    <col min="6" max="6" width="8.4609375" style="251" customWidth="1"/>
    <col min="7" max="7" width="11.765625" style="172" customWidth="1"/>
    <col min="8" max="8" width="12.23046875" style="172" customWidth="1"/>
    <col min="9" max="10" width="10.4609375" style="172" customWidth="1"/>
    <col min="11" max="11" width="15.07421875" style="172" customWidth="1"/>
    <col min="12" max="12" width="16.765625" style="251" customWidth="1"/>
    <col min="13" max="13" width="11.765625" style="251" customWidth="1"/>
    <col min="14" max="14" width="10.4609375" style="584" customWidth="1"/>
    <col min="15" max="15" width="15.53515625" style="251" customWidth="1"/>
    <col min="16" max="16" width="14.765625" style="251" customWidth="1"/>
    <col min="17" max="17" width="12.53515625" style="251" bestFit="1" customWidth="1"/>
    <col min="18" max="18" width="5.765625" style="251" customWidth="1"/>
    <col min="19" max="19" width="11.53515625" style="251" customWidth="1"/>
    <col min="20" max="20" width="6.53515625" style="251" customWidth="1"/>
    <col min="21" max="16384" width="8.765625" style="251"/>
  </cols>
  <sheetData>
    <row r="1" spans="1:20" ht="12.75" customHeight="1" x14ac:dyDescent="0.25">
      <c r="A1" s="251" t="s">
        <v>50</v>
      </c>
      <c r="C1" s="1"/>
      <c r="D1" s="1"/>
      <c r="E1" s="7">
        <v>45778</v>
      </c>
      <c r="F1" s="502">
        <v>3.6040000000000001</v>
      </c>
      <c r="S1" s="251" t="s">
        <v>306</v>
      </c>
    </row>
    <row r="2" spans="1:20" x14ac:dyDescent="0.25">
      <c r="A2" s="1" t="s">
        <v>0</v>
      </c>
    </row>
    <row r="3" spans="1:20" ht="13" x14ac:dyDescent="0.25">
      <c r="A3" s="110" t="s">
        <v>106</v>
      </c>
      <c r="B3" s="110"/>
      <c r="C3" s="110"/>
      <c r="D3" s="110"/>
      <c r="E3" s="110"/>
      <c r="F3" s="110"/>
      <c r="G3" s="110"/>
      <c r="H3" s="110"/>
      <c r="I3" s="110"/>
      <c r="J3" s="110"/>
      <c r="K3" s="110"/>
      <c r="L3" s="110"/>
      <c r="M3" s="110"/>
      <c r="N3" s="109"/>
      <c r="O3" s="110"/>
      <c r="P3" s="110"/>
      <c r="Q3" s="110"/>
      <c r="R3" s="110"/>
      <c r="S3" s="110"/>
      <c r="T3" s="110"/>
    </row>
    <row r="4" spans="1:20" x14ac:dyDescent="0.25">
      <c r="A4" s="109" t="s">
        <v>326</v>
      </c>
      <c r="B4" s="109"/>
      <c r="C4" s="109"/>
      <c r="D4" s="109"/>
      <c r="E4" s="109"/>
      <c r="F4" s="109"/>
      <c r="G4" s="109"/>
      <c r="H4" s="109"/>
      <c r="I4" s="109"/>
      <c r="J4" s="109"/>
      <c r="K4" s="109"/>
      <c r="L4" s="109"/>
      <c r="M4" s="109"/>
      <c r="N4" s="109"/>
      <c r="O4" s="109"/>
      <c r="P4" s="109"/>
      <c r="Q4" s="109"/>
      <c r="R4" s="109"/>
      <c r="S4" s="109"/>
      <c r="T4" s="109"/>
    </row>
    <row r="5" spans="1:20" x14ac:dyDescent="0.25">
      <c r="A5" s="109" t="s">
        <v>327</v>
      </c>
      <c r="B5" s="109"/>
      <c r="C5" s="109"/>
      <c r="D5" s="109"/>
      <c r="E5" s="109"/>
      <c r="F5" s="109"/>
      <c r="G5" s="109"/>
      <c r="H5" s="109"/>
      <c r="I5" s="109"/>
      <c r="J5" s="109"/>
      <c r="K5" s="109"/>
      <c r="L5" s="109"/>
      <c r="M5" s="109"/>
      <c r="N5" s="109"/>
      <c r="O5" s="109"/>
      <c r="P5" s="109"/>
      <c r="Q5" s="496"/>
      <c r="R5" s="109"/>
      <c r="S5" s="109"/>
      <c r="T5" s="109"/>
    </row>
    <row r="6" spans="1:20" x14ac:dyDescent="0.25">
      <c r="E6" s="47"/>
      <c r="F6" s="47"/>
      <c r="G6" s="242"/>
      <c r="H6" s="173"/>
      <c r="Q6" s="496"/>
    </row>
    <row r="7" spans="1:20" ht="21.75" customHeight="1" x14ac:dyDescent="0.25">
      <c r="A7" s="141" t="s">
        <v>25</v>
      </c>
      <c r="B7" s="142"/>
      <c r="C7" s="920" t="s">
        <v>33</v>
      </c>
      <c r="D7" s="43" t="s">
        <v>57</v>
      </c>
      <c r="E7" s="44"/>
      <c r="F7" s="143" t="s">
        <v>103</v>
      </c>
      <c r="G7" s="144"/>
      <c r="H7" s="254"/>
      <c r="I7" s="143" t="s">
        <v>37</v>
      </c>
      <c r="J7" s="254"/>
      <c r="K7" s="143" t="s">
        <v>40</v>
      </c>
      <c r="L7" s="144"/>
      <c r="M7" s="144"/>
      <c r="N7" s="585"/>
      <c r="O7" s="920" t="s">
        <v>93</v>
      </c>
      <c r="P7" s="143" t="s">
        <v>49</v>
      </c>
      <c r="Q7" s="144"/>
      <c r="R7" s="144"/>
      <c r="S7" s="144"/>
      <c r="T7" s="254"/>
    </row>
    <row r="8" spans="1:20"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586" t="s">
        <v>2</v>
      </c>
      <c r="O8" s="921"/>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5" t="s">
        <v>28</v>
      </c>
      <c r="B10" s="17" t="s">
        <v>13</v>
      </c>
      <c r="C10" s="69" t="s">
        <v>31</v>
      </c>
      <c r="D10" s="406" t="s">
        <v>30</v>
      </c>
      <c r="E10" s="69" t="s">
        <v>98</v>
      </c>
      <c r="F10" s="223" t="s">
        <v>36</v>
      </c>
      <c r="G10" s="407">
        <v>4239</v>
      </c>
      <c r="H10" s="407">
        <v>10098</v>
      </c>
      <c r="I10" s="408">
        <v>63.794199999999996</v>
      </c>
      <c r="J10" s="408">
        <v>65.026200000000003</v>
      </c>
      <c r="K10" s="409"/>
      <c r="L10" s="409"/>
      <c r="M10" s="409"/>
      <c r="N10" s="409">
        <v>85.11</v>
      </c>
      <c r="O10" s="407">
        <v>926973.07</v>
      </c>
      <c r="P10" s="409">
        <v>173807.45</v>
      </c>
      <c r="Q10" s="409">
        <v>139045.96</v>
      </c>
      <c r="R10" s="199">
        <v>0.15</v>
      </c>
      <c r="S10" s="409">
        <v>34761.49</v>
      </c>
      <c r="T10" s="236">
        <v>3.7499999999999999E-2</v>
      </c>
    </row>
    <row r="11" spans="1:20" ht="12.75" customHeight="1" x14ac:dyDescent="0.25">
      <c r="A11" s="405" t="s">
        <v>28</v>
      </c>
      <c r="B11" s="17" t="s">
        <v>14</v>
      </c>
      <c r="C11" s="69" t="s">
        <v>31</v>
      </c>
      <c r="D11" s="406" t="s">
        <v>30</v>
      </c>
      <c r="E11" s="69" t="s">
        <v>98</v>
      </c>
      <c r="F11" s="223" t="s">
        <v>55</v>
      </c>
      <c r="G11" s="407">
        <v>36056.803699999997</v>
      </c>
      <c r="H11" s="407">
        <v>47224.107199999999</v>
      </c>
      <c r="I11" s="408">
        <v>3.9470000000000001</v>
      </c>
      <c r="J11" s="408">
        <v>3.9470000000000001</v>
      </c>
      <c r="K11" s="409"/>
      <c r="L11" s="409"/>
      <c r="M11" s="409"/>
      <c r="N11" s="587">
        <v>238.3</v>
      </c>
      <c r="O11" s="407">
        <v>328471.45</v>
      </c>
      <c r="P11" s="409">
        <v>61588.4</v>
      </c>
      <c r="Q11" s="409">
        <v>49270.720000000001</v>
      </c>
      <c r="R11" s="199">
        <v>0.15</v>
      </c>
      <c r="S11" s="409">
        <v>12317.68</v>
      </c>
      <c r="T11" s="236">
        <v>3.7499999999999999E-2</v>
      </c>
    </row>
    <row r="12" spans="1:20" x14ac:dyDescent="0.25">
      <c r="A12" s="405" t="s">
        <v>28</v>
      </c>
      <c r="B12" s="17" t="s">
        <v>3</v>
      </c>
      <c r="C12" s="69" t="s">
        <v>31</v>
      </c>
      <c r="D12" s="406" t="s">
        <v>30</v>
      </c>
      <c r="E12" s="69" t="s">
        <v>98</v>
      </c>
      <c r="F12" s="223" t="s">
        <v>36</v>
      </c>
      <c r="G12" s="407">
        <v>4864</v>
      </c>
      <c r="H12" s="407">
        <v>4986</v>
      </c>
      <c r="I12" s="408">
        <v>63.405299999999997</v>
      </c>
      <c r="J12" s="408">
        <v>64.596999999999994</v>
      </c>
      <c r="K12" s="409"/>
      <c r="L12" s="409"/>
      <c r="M12" s="409"/>
      <c r="N12" s="458">
        <v>684.26</v>
      </c>
      <c r="O12" s="407">
        <v>629799.76</v>
      </c>
      <c r="P12" s="409">
        <v>118087.46</v>
      </c>
      <c r="Q12" s="409">
        <v>94469.96</v>
      </c>
      <c r="R12" s="199">
        <v>0.15</v>
      </c>
      <c r="S12" s="409">
        <v>23617.49</v>
      </c>
      <c r="T12" s="236">
        <v>3.7499999999999999E-2</v>
      </c>
    </row>
    <row r="13" spans="1:20" x14ac:dyDescent="0.25">
      <c r="A13" s="411" t="s">
        <v>28</v>
      </c>
      <c r="B13" s="412" t="s">
        <v>315</v>
      </c>
      <c r="C13" s="69" t="s">
        <v>31</v>
      </c>
      <c r="D13" s="406" t="s">
        <v>30</v>
      </c>
      <c r="E13" s="69" t="s">
        <v>98</v>
      </c>
      <c r="F13" s="223" t="s">
        <v>55</v>
      </c>
      <c r="G13" s="407">
        <v>18011.8583</v>
      </c>
      <c r="H13" s="407">
        <v>17660.248500000002</v>
      </c>
      <c r="I13" s="408">
        <v>2.95</v>
      </c>
      <c r="J13" s="408">
        <v>2.95</v>
      </c>
      <c r="K13" s="409"/>
      <c r="L13" s="409"/>
      <c r="M13" s="409"/>
      <c r="N13" s="458">
        <v>731.92</v>
      </c>
      <c r="O13" s="407">
        <v>104500.79000000001</v>
      </c>
      <c r="P13" s="409">
        <v>19593.900000000001</v>
      </c>
      <c r="Q13" s="409">
        <v>15675.12</v>
      </c>
      <c r="R13" s="199">
        <v>0.15</v>
      </c>
      <c r="S13" s="409">
        <v>3918.78</v>
      </c>
      <c r="T13" s="236">
        <v>3.7499999999999999E-2</v>
      </c>
    </row>
    <row r="14" spans="1:20" x14ac:dyDescent="0.25">
      <c r="A14" s="405" t="s">
        <v>28</v>
      </c>
      <c r="B14" s="17" t="s">
        <v>4</v>
      </c>
      <c r="C14" s="69" t="s">
        <v>31</v>
      </c>
      <c r="D14" s="406" t="s">
        <v>30</v>
      </c>
      <c r="E14" s="69" t="s">
        <v>98</v>
      </c>
      <c r="F14" s="223" t="s">
        <v>36</v>
      </c>
      <c r="G14" s="407">
        <v>34967</v>
      </c>
      <c r="H14" s="407">
        <v>35549</v>
      </c>
      <c r="I14" s="408">
        <v>63.794199999999996</v>
      </c>
      <c r="J14" s="408">
        <v>65.026200000000003</v>
      </c>
      <c r="K14" s="409"/>
      <c r="L14" s="409"/>
      <c r="M14" s="409"/>
      <c r="N14" s="458">
        <v>1088.5</v>
      </c>
      <c r="O14" s="407">
        <v>4541219.67</v>
      </c>
      <c r="P14" s="409">
        <v>851478.69</v>
      </c>
      <c r="Q14" s="409">
        <v>681182.95</v>
      </c>
      <c r="R14" s="199">
        <v>0.15</v>
      </c>
      <c r="S14" s="409">
        <v>170295.74</v>
      </c>
      <c r="T14" s="236">
        <v>3.7499999999999999E-2</v>
      </c>
    </row>
    <row r="15" spans="1:20" x14ac:dyDescent="0.25">
      <c r="A15" s="405" t="s">
        <v>28</v>
      </c>
      <c r="B15" s="403" t="s">
        <v>316</v>
      </c>
      <c r="C15" s="69" t="s">
        <v>31</v>
      </c>
      <c r="D15" s="406" t="s">
        <v>30</v>
      </c>
      <c r="E15" s="69" t="s">
        <v>98</v>
      </c>
      <c r="F15" s="223" t="s">
        <v>55</v>
      </c>
      <c r="G15" s="407">
        <v>18882.183700000001</v>
      </c>
      <c r="H15" s="407">
        <v>68401.687900000004</v>
      </c>
      <c r="I15" s="408">
        <v>2.8207</v>
      </c>
      <c r="J15" s="408">
        <v>2.8207</v>
      </c>
      <c r="K15" s="409"/>
      <c r="L15" s="409"/>
      <c r="M15" s="409"/>
      <c r="N15" s="409"/>
      <c r="O15" s="410">
        <v>246201.62000000002</v>
      </c>
      <c r="P15" s="409">
        <v>46162.8</v>
      </c>
      <c r="Q15" s="409">
        <v>36930.239999999998</v>
      </c>
      <c r="R15" s="199">
        <v>0.15</v>
      </c>
      <c r="S15" s="409">
        <v>9232.56</v>
      </c>
      <c r="T15" s="236">
        <v>3.7499999999999999E-2</v>
      </c>
    </row>
    <row r="16" spans="1:20" x14ac:dyDescent="0.25">
      <c r="A16" s="405" t="s">
        <v>28</v>
      </c>
      <c r="B16" s="17" t="s">
        <v>5</v>
      </c>
      <c r="C16" s="69" t="s">
        <v>31</v>
      </c>
      <c r="D16" s="406" t="s">
        <v>30</v>
      </c>
      <c r="E16" s="69" t="s">
        <v>98</v>
      </c>
      <c r="F16" s="223" t="s">
        <v>36</v>
      </c>
      <c r="G16" s="407">
        <v>48478</v>
      </c>
      <c r="H16" s="407">
        <v>57197</v>
      </c>
      <c r="I16" s="408">
        <v>63.794199999999996</v>
      </c>
      <c r="J16" s="408">
        <v>65.026200000000003</v>
      </c>
      <c r="K16" s="409"/>
      <c r="L16" s="409"/>
      <c r="M16" s="409"/>
      <c r="N16" s="409">
        <v>1861.28</v>
      </c>
      <c r="O16" s="407">
        <v>6810057.5099999998</v>
      </c>
      <c r="P16" s="409">
        <v>1276885.78</v>
      </c>
      <c r="Q16" s="409">
        <v>1021508.63</v>
      </c>
      <c r="R16" s="199">
        <v>0.15</v>
      </c>
      <c r="S16" s="409">
        <v>255377.16</v>
      </c>
      <c r="T16" s="236">
        <v>3.7499999999999999E-2</v>
      </c>
    </row>
    <row r="17" spans="1:20" ht="13.15" customHeight="1" x14ac:dyDescent="0.25">
      <c r="A17" s="405" t="s">
        <v>28</v>
      </c>
      <c r="B17" s="17" t="s">
        <v>317</v>
      </c>
      <c r="C17" s="69" t="s">
        <v>31</v>
      </c>
      <c r="D17" s="406" t="s">
        <v>30</v>
      </c>
      <c r="E17" s="69" t="s">
        <v>98</v>
      </c>
      <c r="F17" s="223" t="s">
        <v>55</v>
      </c>
      <c r="G17" s="407">
        <v>58619.959600000002</v>
      </c>
      <c r="H17" s="407">
        <v>85565.027400000006</v>
      </c>
      <c r="I17" s="408">
        <v>3.6743000000000001</v>
      </c>
      <c r="J17" s="408">
        <v>3.6743000000000001</v>
      </c>
      <c r="K17" s="409"/>
      <c r="L17" s="409"/>
      <c r="M17" s="409"/>
      <c r="N17" s="409">
        <v>601.69000000000005</v>
      </c>
      <c r="O17" s="407">
        <v>529177.21000000008</v>
      </c>
      <c r="P17" s="409">
        <v>99220.73</v>
      </c>
      <c r="Q17" s="409">
        <v>79376.58</v>
      </c>
      <c r="R17" s="199">
        <v>0.15</v>
      </c>
      <c r="S17" s="409">
        <v>19844.150000000001</v>
      </c>
      <c r="T17" s="236">
        <v>3.7499999999999999E-2</v>
      </c>
    </row>
    <row r="18" spans="1:20" ht="12" customHeight="1" x14ac:dyDescent="0.25">
      <c r="A18" s="405" t="s">
        <v>28</v>
      </c>
      <c r="B18" s="17" t="s">
        <v>17</v>
      </c>
      <c r="C18" s="69" t="s">
        <v>31</v>
      </c>
      <c r="D18" s="406" t="s">
        <v>30</v>
      </c>
      <c r="E18" s="69" t="s">
        <v>98</v>
      </c>
      <c r="F18" s="223" t="s">
        <v>36</v>
      </c>
      <c r="G18" s="407">
        <v>3281</v>
      </c>
      <c r="H18" s="407">
        <v>3239</v>
      </c>
      <c r="I18" s="408">
        <v>63.482199999999999</v>
      </c>
      <c r="J18" s="408">
        <v>64.628</v>
      </c>
      <c r="K18" s="409"/>
      <c r="L18" s="409"/>
      <c r="M18" s="409"/>
      <c r="N18" s="409">
        <v>445.96</v>
      </c>
      <c r="O18" s="410">
        <v>417169.23</v>
      </c>
      <c r="P18" s="409">
        <v>78219.23</v>
      </c>
      <c r="Q18" s="409">
        <v>62575.38</v>
      </c>
      <c r="R18" s="199">
        <v>0.15</v>
      </c>
      <c r="S18" s="409">
        <v>15643.85</v>
      </c>
      <c r="T18" s="236">
        <v>3.7499999999999999E-2</v>
      </c>
    </row>
    <row r="19" spans="1:20" x14ac:dyDescent="0.25">
      <c r="A19" s="468" t="s">
        <v>28</v>
      </c>
      <c r="B19" s="403" t="s">
        <v>293</v>
      </c>
      <c r="C19" s="69" t="s">
        <v>31</v>
      </c>
      <c r="D19" s="406" t="s">
        <v>30</v>
      </c>
      <c r="E19" s="69" t="s">
        <v>98</v>
      </c>
      <c r="F19" s="223" t="s">
        <v>36</v>
      </c>
      <c r="G19" s="407">
        <v>22783</v>
      </c>
      <c r="H19" s="407">
        <v>27039</v>
      </c>
      <c r="I19" s="417">
        <v>63.794199999999996</v>
      </c>
      <c r="J19" s="408">
        <v>65.026200000000003</v>
      </c>
      <c r="K19" s="409"/>
      <c r="L19" s="409"/>
      <c r="M19" s="409"/>
      <c r="N19" s="409">
        <v>537.88</v>
      </c>
      <c r="O19" s="410">
        <v>3211128.8</v>
      </c>
      <c r="P19" s="409">
        <v>602086.65</v>
      </c>
      <c r="Q19" s="444">
        <v>481669.32</v>
      </c>
      <c r="R19" s="199">
        <v>0.15</v>
      </c>
      <c r="S19" s="409">
        <v>120417.33</v>
      </c>
      <c r="T19" s="236">
        <v>3.7499999999999999E-2</v>
      </c>
    </row>
    <row r="20" spans="1:20" x14ac:dyDescent="0.25">
      <c r="A20" s="468" t="s">
        <v>28</v>
      </c>
      <c r="B20" s="403" t="s">
        <v>294</v>
      </c>
      <c r="C20" s="69" t="s">
        <v>31</v>
      </c>
      <c r="D20" s="406" t="s">
        <v>30</v>
      </c>
      <c r="E20" s="69" t="s">
        <v>98</v>
      </c>
      <c r="F20" s="223" t="s">
        <v>55</v>
      </c>
      <c r="G20" s="407">
        <v>52277.511500000001</v>
      </c>
      <c r="H20" s="407">
        <v>58835.082699999999</v>
      </c>
      <c r="I20" s="417">
        <v>3.8883000000000001</v>
      </c>
      <c r="J20" s="408">
        <v>3.8883000000000001</v>
      </c>
      <c r="K20" s="409"/>
      <c r="L20" s="409"/>
      <c r="M20" s="409"/>
      <c r="N20" s="587">
        <v>231.49</v>
      </c>
      <c r="O20" s="410">
        <v>431807.61</v>
      </c>
      <c r="P20" s="409">
        <v>80963.929999999993</v>
      </c>
      <c r="Q20" s="409">
        <v>64771.14</v>
      </c>
      <c r="R20" s="199">
        <v>0.15</v>
      </c>
      <c r="S20" s="409">
        <v>16192.79</v>
      </c>
      <c r="T20" s="236">
        <v>3.7499999999999999E-2</v>
      </c>
    </row>
    <row r="21" spans="1:20" x14ac:dyDescent="0.25">
      <c r="A21" s="468" t="s">
        <v>28</v>
      </c>
      <c r="B21" s="403" t="s">
        <v>295</v>
      </c>
      <c r="C21" s="69" t="s">
        <v>31</v>
      </c>
      <c r="D21" s="406" t="s">
        <v>30</v>
      </c>
      <c r="E21" s="69" t="s">
        <v>98</v>
      </c>
      <c r="F21" s="223" t="s">
        <v>36</v>
      </c>
      <c r="G21" s="407">
        <v>14960</v>
      </c>
      <c r="H21" s="407">
        <v>16473</v>
      </c>
      <c r="I21" s="417">
        <v>63.482199999999999</v>
      </c>
      <c r="J21" s="408">
        <v>64.628</v>
      </c>
      <c r="K21" s="409"/>
      <c r="L21" s="409"/>
      <c r="M21" s="409"/>
      <c r="N21" s="409">
        <v>265.52999999999997</v>
      </c>
      <c r="O21" s="410">
        <v>2014045.22</v>
      </c>
      <c r="P21" s="409">
        <v>377633.48</v>
      </c>
      <c r="Q21" s="409">
        <v>302106.78000000003</v>
      </c>
      <c r="R21" s="199">
        <v>0.15</v>
      </c>
      <c r="S21" s="409">
        <v>75526.7</v>
      </c>
      <c r="T21" s="236">
        <v>3.7499999999999999E-2</v>
      </c>
    </row>
    <row r="22" spans="1:20" x14ac:dyDescent="0.25">
      <c r="A22" s="405" t="s">
        <v>28</v>
      </c>
      <c r="B22" s="17" t="s">
        <v>18</v>
      </c>
      <c r="C22" s="69" t="s">
        <v>31</v>
      </c>
      <c r="D22" s="406" t="s">
        <v>30</v>
      </c>
      <c r="E22" s="69" t="s">
        <v>98</v>
      </c>
      <c r="F22" s="223" t="s">
        <v>36</v>
      </c>
      <c r="G22" s="407">
        <v>1571</v>
      </c>
      <c r="H22" s="407">
        <v>3493</v>
      </c>
      <c r="I22" s="408">
        <v>63.794199999999996</v>
      </c>
      <c r="J22" s="408">
        <v>65.026200000000003</v>
      </c>
      <c r="K22" s="409"/>
      <c r="L22" s="409"/>
      <c r="M22" s="409"/>
      <c r="N22" s="409">
        <v>285.95999999999998</v>
      </c>
      <c r="O22" s="410">
        <v>327071.24999999994</v>
      </c>
      <c r="P22" s="409">
        <v>61325.86</v>
      </c>
      <c r="Q22" s="409">
        <v>49060.69</v>
      </c>
      <c r="R22" s="199">
        <v>0.15</v>
      </c>
      <c r="S22" s="409">
        <v>12265.17</v>
      </c>
      <c r="T22" s="236">
        <v>3.7499999999999999E-2</v>
      </c>
    </row>
    <row r="23" spans="1:20" x14ac:dyDescent="0.25">
      <c r="A23" s="405" t="s">
        <v>28</v>
      </c>
      <c r="B23" s="17" t="s">
        <v>20</v>
      </c>
      <c r="C23" s="69" t="s">
        <v>31</v>
      </c>
      <c r="D23" s="406" t="s">
        <v>30</v>
      </c>
      <c r="E23" s="69" t="s">
        <v>98</v>
      </c>
      <c r="F23" s="223" t="s">
        <v>36</v>
      </c>
      <c r="G23" s="407">
        <v>120264</v>
      </c>
      <c r="H23" s="407">
        <v>128398</v>
      </c>
      <c r="I23" s="588">
        <v>64.514700000000005</v>
      </c>
      <c r="J23" s="408">
        <v>65.935500000000005</v>
      </c>
      <c r="K23" s="409"/>
      <c r="L23" s="409"/>
      <c r="M23" s="409"/>
      <c r="N23" s="409">
        <v>1268.81</v>
      </c>
      <c r="O23" s="410">
        <v>16223513.4</v>
      </c>
      <c r="P23" s="409">
        <v>3041908.76</v>
      </c>
      <c r="Q23" s="409">
        <v>2433527.0099999998</v>
      </c>
      <c r="R23" s="199">
        <v>0.15</v>
      </c>
      <c r="S23" s="409">
        <v>608381.75</v>
      </c>
      <c r="T23" s="236">
        <v>3.7499999999999999E-2</v>
      </c>
    </row>
    <row r="24" spans="1:20" x14ac:dyDescent="0.25">
      <c r="A24" s="405" t="s">
        <v>28</v>
      </c>
      <c r="B24" s="17" t="s">
        <v>318</v>
      </c>
      <c r="C24" s="69" t="s">
        <v>31</v>
      </c>
      <c r="D24" s="406" t="s">
        <v>30</v>
      </c>
      <c r="E24" s="69" t="s">
        <v>98</v>
      </c>
      <c r="F24" s="223" t="s">
        <v>55</v>
      </c>
      <c r="G24" s="407">
        <v>203977.86</v>
      </c>
      <c r="H24" s="407">
        <v>214188.41</v>
      </c>
      <c r="I24" s="408">
        <v>2.9</v>
      </c>
      <c r="J24" s="408">
        <v>3.0476999999999999</v>
      </c>
      <c r="K24" s="409"/>
      <c r="L24" s="409"/>
      <c r="M24" s="409"/>
      <c r="N24" s="409">
        <v>955.61</v>
      </c>
      <c r="O24" s="410">
        <v>1243362.2</v>
      </c>
      <c r="P24" s="409">
        <v>233130.41</v>
      </c>
      <c r="Q24" s="409">
        <v>186504.33</v>
      </c>
      <c r="R24" s="199">
        <v>0.15</v>
      </c>
      <c r="S24" s="409">
        <v>46626.080000000002</v>
      </c>
      <c r="T24" s="236">
        <v>3.7499999999999999E-2</v>
      </c>
    </row>
    <row r="25" spans="1:20" x14ac:dyDescent="0.25">
      <c r="A25" s="405" t="s">
        <v>28</v>
      </c>
      <c r="B25" s="17" t="s">
        <v>9</v>
      </c>
      <c r="C25" s="69" t="s">
        <v>31</v>
      </c>
      <c r="D25" s="406" t="s">
        <v>30</v>
      </c>
      <c r="E25" s="69" t="s">
        <v>98</v>
      </c>
      <c r="F25" s="223" t="s">
        <v>36</v>
      </c>
      <c r="G25" s="407">
        <v>266</v>
      </c>
      <c r="H25" s="407">
        <v>263</v>
      </c>
      <c r="I25" s="408">
        <v>63.482199999999999</v>
      </c>
      <c r="J25" s="408">
        <v>64.628</v>
      </c>
      <c r="K25" s="409"/>
      <c r="L25" s="409"/>
      <c r="M25" s="409"/>
      <c r="N25" s="409">
        <v>309.79000000000002</v>
      </c>
      <c r="O25" s="410">
        <v>33573.64</v>
      </c>
      <c r="P25" s="409">
        <v>6295.06</v>
      </c>
      <c r="Q25" s="409">
        <v>5036.05</v>
      </c>
      <c r="R25" s="199">
        <v>0.15</v>
      </c>
      <c r="S25" s="409">
        <v>1259.01</v>
      </c>
      <c r="T25" s="236">
        <v>3.7499999999999999E-2</v>
      </c>
    </row>
    <row r="26" spans="1:20" ht="13.15" customHeight="1" x14ac:dyDescent="0.25">
      <c r="A26" s="405" t="s">
        <v>28</v>
      </c>
      <c r="B26" s="17" t="s">
        <v>165</v>
      </c>
      <c r="C26" s="69" t="s">
        <v>31</v>
      </c>
      <c r="D26" s="406" t="s">
        <v>30</v>
      </c>
      <c r="E26" s="69" t="s">
        <v>98</v>
      </c>
      <c r="F26" s="223" t="s">
        <v>36</v>
      </c>
      <c r="G26" s="407">
        <v>13819</v>
      </c>
      <c r="H26" s="407">
        <v>14223</v>
      </c>
      <c r="I26" s="408">
        <v>61.014200000000002</v>
      </c>
      <c r="J26" s="408">
        <v>64.956199999999995</v>
      </c>
      <c r="K26" s="409"/>
      <c r="L26" s="409"/>
      <c r="M26" s="409"/>
      <c r="N26" s="409">
        <v>2951.52</v>
      </c>
      <c r="O26" s="410">
        <v>1764075.74</v>
      </c>
      <c r="P26" s="409">
        <v>330764.2</v>
      </c>
      <c r="Q26" s="409">
        <v>264611.36</v>
      </c>
      <c r="R26" s="199">
        <v>0.15</v>
      </c>
      <c r="S26" s="409">
        <v>66152.84</v>
      </c>
      <c r="T26" s="236">
        <v>3.7499999999999999E-2</v>
      </c>
    </row>
    <row r="27" spans="1:20" x14ac:dyDescent="0.25">
      <c r="A27" s="405" t="s">
        <v>28</v>
      </c>
      <c r="B27" s="17" t="s">
        <v>157</v>
      </c>
      <c r="C27" s="69" t="s">
        <v>31</v>
      </c>
      <c r="D27" s="406" t="s">
        <v>30</v>
      </c>
      <c r="E27" s="69" t="s">
        <v>98</v>
      </c>
      <c r="F27" s="223" t="s">
        <v>55</v>
      </c>
      <c r="G27" s="458">
        <v>306602.66339999996</v>
      </c>
      <c r="H27" s="458">
        <v>489045.78790000005</v>
      </c>
      <c r="I27" s="417">
        <v>3.414110361573591</v>
      </c>
      <c r="J27" s="417">
        <v>3.0155305014129943</v>
      </c>
      <c r="K27" s="409"/>
      <c r="L27" s="409"/>
      <c r="M27" s="409"/>
      <c r="N27" s="409">
        <v>1228.95</v>
      </c>
      <c r="O27" s="409">
        <v>2521507.8199999998</v>
      </c>
      <c r="P27" s="409">
        <v>472782.72000000003</v>
      </c>
      <c r="Q27" s="409">
        <v>378226.17</v>
      </c>
      <c r="R27" s="199">
        <v>0.15</v>
      </c>
      <c r="S27" s="409">
        <v>94556.54</v>
      </c>
      <c r="T27" s="236">
        <v>3.7499999999999999E-2</v>
      </c>
    </row>
    <row r="28" spans="1:20" x14ac:dyDescent="0.25">
      <c r="A28" s="405" t="s">
        <v>28</v>
      </c>
      <c r="B28" s="17" t="s">
        <v>170</v>
      </c>
      <c r="C28" s="69" t="s">
        <v>31</v>
      </c>
      <c r="D28" s="406" t="s">
        <v>30</v>
      </c>
      <c r="E28" s="69" t="s">
        <v>98</v>
      </c>
      <c r="F28" s="223" t="s">
        <v>36</v>
      </c>
      <c r="G28" s="407">
        <v>145</v>
      </c>
      <c r="H28" s="407">
        <v>130</v>
      </c>
      <c r="I28" s="408">
        <v>63.794199999999996</v>
      </c>
      <c r="J28" s="408">
        <v>65.026200000000003</v>
      </c>
      <c r="K28" s="409"/>
      <c r="L28" s="409"/>
      <c r="M28" s="409"/>
      <c r="N28" s="409">
        <v>183.83</v>
      </c>
      <c r="O28" s="410">
        <v>17519.739999999998</v>
      </c>
      <c r="P28" s="409">
        <v>3284.95</v>
      </c>
      <c r="Q28" s="409">
        <v>656.99</v>
      </c>
      <c r="R28" s="236">
        <v>3.7499999999999999E-2</v>
      </c>
      <c r="S28" s="409">
        <v>2627.96</v>
      </c>
      <c r="T28" s="199">
        <v>0.15</v>
      </c>
    </row>
    <row r="29" spans="1:20" x14ac:dyDescent="0.25">
      <c r="A29" s="405" t="s">
        <v>28</v>
      </c>
      <c r="B29" s="17" t="s">
        <v>319</v>
      </c>
      <c r="C29" s="69" t="s">
        <v>31</v>
      </c>
      <c r="D29" s="406" t="s">
        <v>30</v>
      </c>
      <c r="E29" s="69" t="s">
        <v>98</v>
      </c>
      <c r="F29" s="223" t="s">
        <v>36</v>
      </c>
      <c r="G29" s="407"/>
      <c r="H29" s="407"/>
      <c r="I29" s="408"/>
      <c r="J29" s="408"/>
      <c r="K29" s="409"/>
      <c r="L29" s="409"/>
      <c r="M29" s="409"/>
      <c r="N29" s="409">
        <v>929.37</v>
      </c>
      <c r="O29" s="410">
        <v>-929.37</v>
      </c>
      <c r="P29" s="409">
        <v>-174.26</v>
      </c>
      <c r="Q29" s="409">
        <v>-34.85</v>
      </c>
      <c r="R29" s="236">
        <v>3.7499999999999999E-2</v>
      </c>
      <c r="S29" s="409">
        <v>-139.41</v>
      </c>
      <c r="T29" s="199">
        <v>0.15</v>
      </c>
    </row>
    <row r="30" spans="1:20" x14ac:dyDescent="0.25">
      <c r="A30" s="413" t="s">
        <v>28</v>
      </c>
      <c r="B30" s="414" t="s">
        <v>296</v>
      </c>
      <c r="C30" s="69" t="s">
        <v>31</v>
      </c>
      <c r="D30" s="406" t="s">
        <v>30</v>
      </c>
      <c r="E30" s="69" t="s">
        <v>98</v>
      </c>
      <c r="F30" s="223" t="s">
        <v>36</v>
      </c>
      <c r="G30" s="458">
        <v>26779</v>
      </c>
      <c r="H30" s="458">
        <v>74785</v>
      </c>
      <c r="I30" s="408">
        <v>63.261800000000001</v>
      </c>
      <c r="J30" s="408">
        <v>64.749099999999999</v>
      </c>
      <c r="K30" s="407"/>
      <c r="L30" s="409"/>
      <c r="M30" s="409"/>
      <c r="N30" s="409">
        <v>473.2</v>
      </c>
      <c r="O30" s="410">
        <v>6535875.9800000004</v>
      </c>
      <c r="P30" s="409">
        <v>1225476.75</v>
      </c>
      <c r="Q30" s="409">
        <v>980381.4</v>
      </c>
      <c r="R30" s="227">
        <v>0.15</v>
      </c>
      <c r="S30" s="409">
        <v>245095.35</v>
      </c>
      <c r="T30" s="236">
        <v>3.7499999999999999E-2</v>
      </c>
    </row>
    <row r="31" spans="1:20" x14ac:dyDescent="0.25">
      <c r="A31" s="413" t="s">
        <v>28</v>
      </c>
      <c r="B31" s="414" t="s">
        <v>297</v>
      </c>
      <c r="C31" s="69" t="s">
        <v>31</v>
      </c>
      <c r="D31" s="406" t="s">
        <v>30</v>
      </c>
      <c r="E31" s="69" t="s">
        <v>98</v>
      </c>
      <c r="F31" s="223" t="s">
        <v>55</v>
      </c>
      <c r="G31" s="458">
        <v>92072.49000000002</v>
      </c>
      <c r="H31" s="458">
        <v>158544.66</v>
      </c>
      <c r="I31" s="417">
        <v>2.7340168599763075</v>
      </c>
      <c r="J31" s="417">
        <v>2.7448969899080802</v>
      </c>
      <c r="K31" s="407"/>
      <c r="L31" s="409"/>
      <c r="M31" s="409"/>
      <c r="N31" s="409">
        <v>418.73</v>
      </c>
      <c r="O31" s="410">
        <v>686916.5</v>
      </c>
      <c r="P31" s="410">
        <v>128796.84</v>
      </c>
      <c r="Q31" s="410">
        <v>103037.47999999998</v>
      </c>
      <c r="R31" s="227">
        <v>0.15</v>
      </c>
      <c r="S31" s="409">
        <v>25759.370000000003</v>
      </c>
      <c r="T31" s="236">
        <v>3.7499999999999999E-2</v>
      </c>
    </row>
    <row r="32" spans="1:20" x14ac:dyDescent="0.25">
      <c r="A32" s="413" t="s">
        <v>28</v>
      </c>
      <c r="B32" s="414" t="s">
        <v>298</v>
      </c>
      <c r="C32" s="69" t="s">
        <v>31</v>
      </c>
      <c r="D32" s="406" t="s">
        <v>30</v>
      </c>
      <c r="E32" s="69" t="s">
        <v>98</v>
      </c>
      <c r="F32" s="223" t="s">
        <v>36</v>
      </c>
      <c r="G32" s="458">
        <v>10457</v>
      </c>
      <c r="H32" s="458">
        <v>10688</v>
      </c>
      <c r="I32" s="408">
        <v>37.596800000000002</v>
      </c>
      <c r="J32" s="408">
        <v>36.959299999999999</v>
      </c>
      <c r="K32" s="407"/>
      <c r="L32" s="409"/>
      <c r="M32" s="409"/>
      <c r="N32" s="589">
        <v>456.18</v>
      </c>
      <c r="O32" s="505">
        <v>787714.55999999994</v>
      </c>
      <c r="P32" s="409">
        <v>147696.48000000001</v>
      </c>
      <c r="Q32" s="409">
        <v>118157.18</v>
      </c>
      <c r="R32" s="227">
        <v>0.15</v>
      </c>
      <c r="S32" s="409">
        <v>29539.3</v>
      </c>
      <c r="T32" s="236">
        <v>3.7499999999999999E-2</v>
      </c>
    </row>
    <row r="33" spans="1:20" x14ac:dyDescent="0.25">
      <c r="A33" s="413" t="s">
        <v>28</v>
      </c>
      <c r="B33" s="414" t="s">
        <v>51</v>
      </c>
      <c r="C33" s="415"/>
      <c r="D33" s="415"/>
      <c r="E33" s="416"/>
      <c r="F33" s="223"/>
      <c r="G33" s="409"/>
      <c r="H33" s="409"/>
      <c r="I33" s="417"/>
      <c r="J33" s="417"/>
      <c r="K33" s="409"/>
      <c r="L33" s="409"/>
      <c r="M33" s="497"/>
      <c r="N33" s="409"/>
      <c r="O33" s="410">
        <v>-60569.489999999845</v>
      </c>
      <c r="P33" s="410">
        <v>-11356.78999999999</v>
      </c>
      <c r="Q33" s="410">
        <v>-9085.449999999968</v>
      </c>
      <c r="R33" s="410"/>
      <c r="S33" s="410">
        <v>-2271.3599999999951</v>
      </c>
      <c r="T33" s="199"/>
    </row>
    <row r="34" spans="1:20" x14ac:dyDescent="0.25">
      <c r="A34" s="24"/>
      <c r="B34" s="127" t="s">
        <v>105</v>
      </c>
      <c r="C34" s="25" t="s">
        <v>283</v>
      </c>
      <c r="D34" s="30"/>
      <c r="E34" s="31"/>
      <c r="F34" s="224"/>
      <c r="G34" s="418"/>
      <c r="H34" s="418"/>
      <c r="I34" s="419"/>
      <c r="J34" s="419"/>
      <c r="K34" s="418"/>
      <c r="L34" s="418"/>
      <c r="M34" s="418"/>
      <c r="N34" s="420"/>
      <c r="O34" s="420">
        <v>50270183.910000019</v>
      </c>
      <c r="P34" s="420">
        <v>9425659.4800000004</v>
      </c>
      <c r="Q34" s="420">
        <v>7538661.1400000015</v>
      </c>
      <c r="R34" s="207"/>
      <c r="S34" s="420">
        <v>1886998.3200000005</v>
      </c>
      <c r="T34" s="476"/>
    </row>
    <row r="35" spans="1:20" x14ac:dyDescent="0.25">
      <c r="A35" s="102"/>
      <c r="B35" s="265"/>
      <c r="C35" s="25" t="s">
        <v>284</v>
      </c>
      <c r="D35" s="415"/>
      <c r="E35" s="415"/>
      <c r="F35" s="115"/>
      <c r="G35" s="421"/>
      <c r="H35" s="421"/>
      <c r="I35" s="422"/>
      <c r="J35" s="422"/>
      <c r="K35" s="421"/>
      <c r="L35" s="421"/>
      <c r="M35" s="421"/>
      <c r="N35" s="421"/>
      <c r="O35" s="423"/>
      <c r="P35" s="424">
        <v>33970076.770000003</v>
      </c>
      <c r="Q35" s="425">
        <v>27169334.75</v>
      </c>
      <c r="R35" s="117"/>
      <c r="S35" s="426">
        <v>6800741.9500000002</v>
      </c>
      <c r="T35" s="131"/>
    </row>
    <row r="36" spans="1:20" ht="13" x14ac:dyDescent="0.3">
      <c r="A36" s="257" t="s">
        <v>22</v>
      </c>
      <c r="B36" s="11"/>
      <c r="C36" s="41"/>
      <c r="D36" s="41"/>
      <c r="E36" s="12"/>
      <c r="F36" s="27"/>
      <c r="G36" s="427"/>
      <c r="H36" s="427"/>
      <c r="I36" s="428"/>
      <c r="J36" s="428"/>
      <c r="K36" s="427"/>
      <c r="L36" s="427"/>
      <c r="M36" s="427"/>
      <c r="N36" s="427"/>
      <c r="O36" s="429"/>
      <c r="P36" s="427"/>
      <c r="Q36" s="211" t="s">
        <v>48</v>
      </c>
      <c r="R36" s="189"/>
      <c r="S36" s="430"/>
      <c r="T36" s="261"/>
    </row>
    <row r="37" spans="1:20" x14ac:dyDescent="0.25">
      <c r="A37" s="413" t="s">
        <v>28</v>
      </c>
      <c r="B37" s="22">
        <v>131</v>
      </c>
      <c r="C37" s="69" t="s">
        <v>31</v>
      </c>
      <c r="D37" s="406" t="s">
        <v>30</v>
      </c>
      <c r="E37" s="69" t="s">
        <v>98</v>
      </c>
      <c r="F37" s="190" t="s">
        <v>36</v>
      </c>
      <c r="G37" s="407">
        <v>6347</v>
      </c>
      <c r="H37" s="407">
        <v>8371</v>
      </c>
      <c r="I37" s="408">
        <v>51.018500000000003</v>
      </c>
      <c r="J37" s="408">
        <v>52.156799999999997</v>
      </c>
      <c r="K37" s="409"/>
      <c r="L37" s="409"/>
      <c r="M37" s="409"/>
      <c r="N37" s="590">
        <v>3666.42</v>
      </c>
      <c r="O37" s="410">
        <v>756752.57</v>
      </c>
      <c r="P37" s="409">
        <v>113512.89</v>
      </c>
      <c r="Q37" s="409">
        <v>113512.89</v>
      </c>
      <c r="R37" s="199">
        <v>0.15</v>
      </c>
      <c r="S37" s="431"/>
      <c r="T37" s="202"/>
    </row>
    <row r="38" spans="1:20"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row>
    <row r="39" spans="1:20" x14ac:dyDescent="0.25">
      <c r="A39" s="24"/>
      <c r="B39" s="127" t="s">
        <v>105</v>
      </c>
      <c r="C39" s="25" t="s">
        <v>285</v>
      </c>
      <c r="D39" s="30"/>
      <c r="E39" s="31"/>
      <c r="F39" s="30"/>
      <c r="G39" s="418"/>
      <c r="H39" s="418"/>
      <c r="I39" s="419"/>
      <c r="J39" s="419"/>
      <c r="K39" s="418"/>
      <c r="L39" s="418"/>
      <c r="M39" s="418"/>
      <c r="N39" s="418"/>
      <c r="O39" s="420">
        <v>756752.57</v>
      </c>
      <c r="P39" s="420">
        <v>113512.89</v>
      </c>
      <c r="Q39" s="420">
        <v>113512.89</v>
      </c>
      <c r="R39" s="207"/>
      <c r="S39" s="420">
        <v>0</v>
      </c>
      <c r="T39" s="207"/>
    </row>
    <row r="40" spans="1:20" x14ac:dyDescent="0.25">
      <c r="A40" s="102"/>
      <c r="B40" s="265"/>
      <c r="C40" s="25" t="s">
        <v>286</v>
      </c>
      <c r="D40" s="415"/>
      <c r="E40" s="415"/>
      <c r="F40" s="115"/>
      <c r="G40" s="421"/>
      <c r="H40" s="421"/>
      <c r="I40" s="422"/>
      <c r="J40" s="422"/>
      <c r="K40" s="421"/>
      <c r="L40" s="421"/>
      <c r="M40" s="421"/>
      <c r="N40" s="421"/>
      <c r="O40" s="423"/>
      <c r="P40" s="424">
        <v>409100.46</v>
      </c>
      <c r="Q40" s="425">
        <v>409100.46</v>
      </c>
      <c r="R40" s="117"/>
      <c r="S40" s="424">
        <v>0</v>
      </c>
      <c r="T40" s="117"/>
    </row>
    <row r="41" spans="1:20"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row>
    <row r="42" spans="1:20" x14ac:dyDescent="0.25">
      <c r="A42" s="405" t="s">
        <v>28</v>
      </c>
      <c r="B42" s="22">
        <v>8</v>
      </c>
      <c r="C42" s="69" t="s">
        <v>31</v>
      </c>
      <c r="D42" s="69" t="s">
        <v>30</v>
      </c>
      <c r="E42" s="69" t="s">
        <v>98</v>
      </c>
      <c r="F42" s="217" t="s">
        <v>36</v>
      </c>
      <c r="G42" s="409">
        <v>30107</v>
      </c>
      <c r="H42" s="407">
        <v>43447</v>
      </c>
      <c r="I42" s="408">
        <v>51.4315</v>
      </c>
      <c r="J42" s="408">
        <v>51.933300000000003</v>
      </c>
      <c r="K42" s="409"/>
      <c r="L42" s="409"/>
      <c r="M42" s="409"/>
      <c r="N42" s="409">
        <v>4908.99</v>
      </c>
      <c r="O42" s="410">
        <v>3799885.2699999996</v>
      </c>
      <c r="P42" s="409">
        <v>712478.49</v>
      </c>
      <c r="Q42" s="409">
        <v>569982.79</v>
      </c>
      <c r="R42" s="199">
        <v>0.15</v>
      </c>
      <c r="S42" s="409">
        <v>142495.70000000001</v>
      </c>
      <c r="T42" s="236">
        <v>3.7499999999999999E-2</v>
      </c>
    </row>
    <row r="43" spans="1:20" x14ac:dyDescent="0.25">
      <c r="A43" s="405" t="s">
        <v>28</v>
      </c>
      <c r="B43" s="17" t="s">
        <v>12</v>
      </c>
      <c r="C43" s="69" t="s">
        <v>31</v>
      </c>
      <c r="D43" s="69" t="s">
        <v>30</v>
      </c>
      <c r="E43" s="69" t="s">
        <v>98</v>
      </c>
      <c r="F43" s="217" t="s">
        <v>55</v>
      </c>
      <c r="G43" s="407">
        <v>6086.299</v>
      </c>
      <c r="H43" s="407"/>
      <c r="I43" s="408">
        <v>3.6076000000000001</v>
      </c>
      <c r="J43" s="408"/>
      <c r="K43" s="409"/>
      <c r="L43" s="409"/>
      <c r="M43" s="409"/>
      <c r="N43" s="409">
        <v>1662.97</v>
      </c>
      <c r="O43" s="410">
        <v>20293.96</v>
      </c>
      <c r="P43" s="409">
        <v>3805.12</v>
      </c>
      <c r="Q43" s="409">
        <v>761.02</v>
      </c>
      <c r="R43" s="236">
        <v>3.7499999999999999E-2</v>
      </c>
      <c r="S43" s="409">
        <v>3044.09</v>
      </c>
      <c r="T43" s="199">
        <v>0.15</v>
      </c>
    </row>
    <row r="44" spans="1:20" x14ac:dyDescent="0.25">
      <c r="A44" s="405" t="s">
        <v>28</v>
      </c>
      <c r="B44" s="17" t="s">
        <v>74</v>
      </c>
      <c r="C44" s="69" t="s">
        <v>31</v>
      </c>
      <c r="D44" s="69" t="s">
        <v>30</v>
      </c>
      <c r="E44" s="69" t="s">
        <v>100</v>
      </c>
      <c r="F44" s="217" t="s">
        <v>36</v>
      </c>
      <c r="G44" s="407"/>
      <c r="H44" s="407"/>
      <c r="I44" s="408"/>
      <c r="J44" s="408"/>
      <c r="K44" s="409"/>
      <c r="L44" s="409"/>
      <c r="M44" s="409"/>
      <c r="N44" s="409">
        <v>3283.41</v>
      </c>
      <c r="O44" s="410">
        <v>-3283.41</v>
      </c>
      <c r="P44" s="409">
        <v>-615.64</v>
      </c>
      <c r="Q44" s="409">
        <v>-123.13</v>
      </c>
      <c r="R44" s="236">
        <v>3.7499999999999999E-2</v>
      </c>
      <c r="S44" s="409">
        <v>-492.51</v>
      </c>
      <c r="T44" s="199">
        <v>0.15</v>
      </c>
    </row>
    <row r="45" spans="1:20" x14ac:dyDescent="0.25">
      <c r="A45" s="405" t="s">
        <v>28</v>
      </c>
      <c r="B45" s="22">
        <v>95</v>
      </c>
      <c r="C45" s="69" t="s">
        <v>31</v>
      </c>
      <c r="D45" s="69" t="s">
        <v>30</v>
      </c>
      <c r="E45" s="69" t="s">
        <v>98</v>
      </c>
      <c r="F45" s="217" t="s">
        <v>36</v>
      </c>
      <c r="G45" s="407">
        <v>275543</v>
      </c>
      <c r="H45" s="407">
        <v>334582</v>
      </c>
      <c r="I45" s="408">
        <v>44.873699999999999</v>
      </c>
      <c r="J45" s="408">
        <v>45.844099999999997</v>
      </c>
      <c r="K45" s="407"/>
      <c r="L45" s="409"/>
      <c r="M45" s="409"/>
      <c r="N45" s="409">
        <v>4912.3999999999996</v>
      </c>
      <c r="O45" s="410">
        <v>27698332.190000001</v>
      </c>
      <c r="P45" s="409">
        <v>5193437.29</v>
      </c>
      <c r="Q45" s="409">
        <v>4154749.83</v>
      </c>
      <c r="R45" s="199">
        <v>0.15</v>
      </c>
      <c r="S45" s="409">
        <v>1038687.46</v>
      </c>
      <c r="T45" s="236">
        <v>3.7499999999999999E-2</v>
      </c>
    </row>
    <row r="46" spans="1:20"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row>
    <row r="47" spans="1:20" x14ac:dyDescent="0.25">
      <c r="A47" s="432" t="s">
        <v>28</v>
      </c>
      <c r="B47" s="414" t="s">
        <v>53</v>
      </c>
      <c r="C47" s="415"/>
      <c r="D47" s="416"/>
      <c r="E47" s="416"/>
      <c r="F47" s="217"/>
      <c r="G47" s="409"/>
      <c r="H47" s="409"/>
      <c r="I47" s="417"/>
      <c r="J47" s="417"/>
      <c r="K47" s="409"/>
      <c r="L47" s="409"/>
      <c r="M47" s="409"/>
      <c r="N47" s="409"/>
      <c r="O47" s="409"/>
      <c r="P47" s="409"/>
      <c r="Q47" s="409"/>
      <c r="R47" s="409"/>
      <c r="S47" s="409"/>
      <c r="T47" s="199"/>
    </row>
    <row r="48" spans="1:20" x14ac:dyDescent="0.25">
      <c r="A48" s="24"/>
      <c r="B48" s="127" t="s">
        <v>105</v>
      </c>
      <c r="C48" s="25" t="s">
        <v>287</v>
      </c>
      <c r="D48" s="14"/>
      <c r="E48" s="14"/>
      <c r="F48" s="230"/>
      <c r="G48" s="433"/>
      <c r="H48" s="433"/>
      <c r="I48" s="434"/>
      <c r="J48" s="435"/>
      <c r="K48" s="436"/>
      <c r="L48" s="436"/>
      <c r="M48" s="436"/>
      <c r="N48" s="420"/>
      <c r="O48" s="420">
        <v>31515228.010000002</v>
      </c>
      <c r="P48" s="420">
        <v>5909105.2599999998</v>
      </c>
      <c r="Q48" s="420">
        <v>4725370.51</v>
      </c>
      <c r="R48" s="220"/>
      <c r="S48" s="420">
        <v>1183734.74</v>
      </c>
      <c r="T48" s="207"/>
    </row>
    <row r="49" spans="1:20" x14ac:dyDescent="0.25">
      <c r="A49" s="121"/>
      <c r="B49" s="122"/>
      <c r="C49" s="25" t="s">
        <v>288</v>
      </c>
      <c r="D49" s="85"/>
      <c r="E49" s="85"/>
      <c r="F49" s="121"/>
      <c r="G49" s="437"/>
      <c r="H49" s="437"/>
      <c r="I49" s="438"/>
      <c r="J49" s="438"/>
      <c r="K49" s="437"/>
      <c r="L49" s="437"/>
      <c r="M49" s="437"/>
      <c r="N49" s="437"/>
      <c r="O49" s="255"/>
      <c r="P49" s="255">
        <v>21296415.359999999</v>
      </c>
      <c r="Q49" s="426">
        <v>17030235.32</v>
      </c>
      <c r="R49" s="131"/>
      <c r="S49" s="426">
        <v>4266180</v>
      </c>
      <c r="T49" s="123"/>
    </row>
    <row r="50" spans="1:20"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row>
    <row r="51" spans="1:20" x14ac:dyDescent="0.25">
      <c r="A51" s="405" t="s">
        <v>28</v>
      </c>
      <c r="B51" s="17" t="s">
        <v>160</v>
      </c>
      <c r="C51" s="69" t="s">
        <v>31</v>
      </c>
      <c r="D51" s="69" t="s">
        <v>30</v>
      </c>
      <c r="E51" s="69" t="s">
        <v>158</v>
      </c>
      <c r="F51" s="217" t="s">
        <v>36</v>
      </c>
      <c r="G51" s="409">
        <v>500687</v>
      </c>
      <c r="H51" s="409">
        <v>796299</v>
      </c>
      <c r="I51" s="417">
        <v>37.044199999999996</v>
      </c>
      <c r="J51" s="417">
        <v>36.327800000000003</v>
      </c>
      <c r="K51" s="409"/>
      <c r="L51" s="409"/>
      <c r="M51" s="409"/>
      <c r="N51" s="409"/>
      <c r="O51" s="505">
        <v>47475340.177599996</v>
      </c>
      <c r="P51" s="444">
        <v>17679816.68</v>
      </c>
      <c r="Q51" s="444">
        <v>8839908.3399999999</v>
      </c>
      <c r="R51" s="199">
        <v>0.5</v>
      </c>
      <c r="S51" s="409"/>
      <c r="T51" s="236"/>
    </row>
    <row r="52" spans="1:20" x14ac:dyDescent="0.25">
      <c r="A52" s="405" t="s">
        <v>28</v>
      </c>
      <c r="B52" s="17" t="s">
        <v>159</v>
      </c>
      <c r="C52" s="69" t="s">
        <v>31</v>
      </c>
      <c r="D52" s="69" t="s">
        <v>30</v>
      </c>
      <c r="E52" s="69" t="s">
        <v>158</v>
      </c>
      <c r="F52" s="217" t="s">
        <v>55</v>
      </c>
      <c r="G52" s="409">
        <v>10696133.3706</v>
      </c>
      <c r="H52" s="409">
        <v>13421909.684300002</v>
      </c>
      <c r="I52" s="503">
        <v>2.9430000000000001</v>
      </c>
      <c r="J52" s="409">
        <v>2.9336000000000002</v>
      </c>
      <c r="K52" s="409"/>
      <c r="L52" s="409"/>
      <c r="M52" s="409"/>
      <c r="N52" s="409"/>
      <c r="O52" s="444">
        <v>70853585.900000006</v>
      </c>
      <c r="P52" s="444">
        <v>26442899.759999998</v>
      </c>
      <c r="Q52" s="444">
        <v>13221449.9</v>
      </c>
      <c r="R52" s="199">
        <v>0.5</v>
      </c>
      <c r="S52" s="409"/>
      <c r="T52" s="199"/>
    </row>
    <row r="53" spans="1:20" x14ac:dyDescent="0.25">
      <c r="A53" s="405" t="s">
        <v>28</v>
      </c>
      <c r="B53" s="17" t="s">
        <v>168</v>
      </c>
      <c r="C53" s="69" t="s">
        <v>31</v>
      </c>
      <c r="D53" s="69" t="s">
        <v>30</v>
      </c>
      <c r="E53" s="69" t="s">
        <v>158</v>
      </c>
      <c r="F53" s="217" t="s">
        <v>36</v>
      </c>
      <c r="G53" s="409">
        <v>157744</v>
      </c>
      <c r="H53" s="409">
        <v>168508</v>
      </c>
      <c r="I53" s="417">
        <v>37.080199999999998</v>
      </c>
      <c r="J53" s="417">
        <v>36.329000000000001</v>
      </c>
      <c r="K53" s="409"/>
      <c r="L53" s="409"/>
      <c r="M53" s="409"/>
      <c r="N53" s="409"/>
      <c r="O53" s="505">
        <v>11970906.2008</v>
      </c>
      <c r="P53" s="444">
        <v>4788362.4800000004</v>
      </c>
      <c r="Q53" s="444">
        <v>2394181.2400000002</v>
      </c>
      <c r="R53" s="199">
        <v>0.5</v>
      </c>
      <c r="S53" s="409"/>
      <c r="T53" s="199"/>
    </row>
    <row r="54" spans="1:20" x14ac:dyDescent="0.25">
      <c r="A54" s="405" t="s">
        <v>28</v>
      </c>
      <c r="B54" s="17" t="s">
        <v>169</v>
      </c>
      <c r="C54" s="69" t="s">
        <v>31</v>
      </c>
      <c r="D54" s="69" t="s">
        <v>30</v>
      </c>
      <c r="E54" s="69" t="s">
        <v>158</v>
      </c>
      <c r="F54" s="217" t="s">
        <v>55</v>
      </c>
      <c r="G54" s="409">
        <v>4330703.0564999999</v>
      </c>
      <c r="H54" s="409">
        <v>4573558.5311000003</v>
      </c>
      <c r="I54" s="503">
        <v>4.4489999999999998</v>
      </c>
      <c r="J54" s="503">
        <v>4.6050000000000004</v>
      </c>
      <c r="K54" s="409"/>
      <c r="L54" s="409"/>
      <c r="M54" s="409"/>
      <c r="N54" s="409"/>
      <c r="O54" s="505">
        <v>40328534.934083998</v>
      </c>
      <c r="P54" s="444">
        <v>15324843.27</v>
      </c>
      <c r="Q54" s="444">
        <v>7662421.6399999997</v>
      </c>
      <c r="R54" s="199">
        <v>0.5</v>
      </c>
      <c r="S54" s="409"/>
      <c r="T54" s="199"/>
    </row>
    <row r="55" spans="1:20" x14ac:dyDescent="0.25">
      <c r="A55" s="405" t="s">
        <v>28</v>
      </c>
      <c r="B55" s="22" t="s">
        <v>175</v>
      </c>
      <c r="C55" s="69" t="s">
        <v>31</v>
      </c>
      <c r="D55" s="69" t="s">
        <v>30</v>
      </c>
      <c r="E55" s="69" t="s">
        <v>158</v>
      </c>
      <c r="F55" s="217" t="s">
        <v>36</v>
      </c>
      <c r="G55" s="409">
        <v>239378</v>
      </c>
      <c r="H55" s="409">
        <v>228102</v>
      </c>
      <c r="I55" s="417">
        <v>33.148600000000002</v>
      </c>
      <c r="J55" s="417">
        <v>32.447499999999998</v>
      </c>
      <c r="K55" s="407"/>
      <c r="L55" s="409"/>
      <c r="M55" s="409"/>
      <c r="N55" s="407"/>
      <c r="O55" s="505">
        <v>15336385.2158</v>
      </c>
      <c r="P55" s="444">
        <v>1023257.117726</v>
      </c>
      <c r="Q55" s="444">
        <v>511628.56</v>
      </c>
      <c r="R55" s="199">
        <v>0.5</v>
      </c>
      <c r="S55" s="409"/>
      <c r="T55" s="236"/>
    </row>
    <row r="56" spans="1:20" x14ac:dyDescent="0.25">
      <c r="A56" s="405" t="s">
        <v>28</v>
      </c>
      <c r="B56" s="250" t="s">
        <v>176</v>
      </c>
      <c r="C56" s="69" t="s">
        <v>31</v>
      </c>
      <c r="D56" s="69" t="s">
        <v>30</v>
      </c>
      <c r="E56" s="69" t="s">
        <v>158</v>
      </c>
      <c r="F56" s="217" t="s">
        <v>55</v>
      </c>
      <c r="G56" s="409">
        <v>4157554.1631</v>
      </c>
      <c r="H56" s="409">
        <v>3964274.6115999999</v>
      </c>
      <c r="I56" s="417">
        <v>4.4160000000000004</v>
      </c>
      <c r="J56" s="417">
        <v>4.4160000000000004</v>
      </c>
      <c r="K56" s="504"/>
      <c r="L56" s="409"/>
      <c r="M56" s="409"/>
      <c r="N56" s="407"/>
      <c r="O56" s="505">
        <v>35865995.869075209</v>
      </c>
      <c r="P56" s="444">
        <v>4059645.7436840003</v>
      </c>
      <c r="Q56" s="444">
        <v>2029822.87</v>
      </c>
      <c r="R56" s="199">
        <v>0.5</v>
      </c>
      <c r="S56" s="409"/>
      <c r="T56" s="236"/>
    </row>
    <row r="57" spans="1:20" x14ac:dyDescent="0.25">
      <c r="A57" s="445" t="s">
        <v>28</v>
      </c>
      <c r="B57" s="446" t="s">
        <v>162</v>
      </c>
      <c r="C57" s="447"/>
      <c r="D57" s="447"/>
      <c r="E57" s="448"/>
      <c r="F57" s="190"/>
      <c r="G57" s="239"/>
      <c r="H57" s="240"/>
      <c r="I57" s="240"/>
      <c r="J57" s="241"/>
      <c r="K57" s="241"/>
      <c r="L57" s="241"/>
      <c r="M57" s="155"/>
      <c r="N57" s="155"/>
      <c r="O57" s="168">
        <v>-6993440.1771907397</v>
      </c>
      <c r="P57" s="168">
        <v>-666906.53857000044</v>
      </c>
      <c r="Q57" s="168">
        <v>-333453.27999999933</v>
      </c>
      <c r="R57" s="123"/>
      <c r="S57" s="156"/>
      <c r="T57" s="123"/>
    </row>
    <row r="58" spans="1:20" x14ac:dyDescent="0.25">
      <c r="A58" s="24"/>
      <c r="B58" s="127" t="s">
        <v>105</v>
      </c>
      <c r="C58" s="25" t="s">
        <v>289</v>
      </c>
      <c r="D58" s="14"/>
      <c r="E58" s="14"/>
      <c r="F58" s="245"/>
      <c r="G58" s="232">
        <v>4330703.0564999999</v>
      </c>
      <c r="H58" s="232">
        <v>4573558.5311000003</v>
      </c>
      <c r="I58" s="299"/>
      <c r="J58" s="232"/>
      <c r="K58" s="243"/>
      <c r="L58" s="237"/>
      <c r="M58" s="297"/>
      <c r="N58" s="174"/>
      <c r="O58" s="174">
        <v>214837308.12016845</v>
      </c>
      <c r="P58" s="174">
        <v>68651918.512839988</v>
      </c>
      <c r="Q58" s="174">
        <v>34325959.270000003</v>
      </c>
      <c r="R58" s="498"/>
      <c r="S58" s="162"/>
      <c r="T58" s="123"/>
    </row>
    <row r="59" spans="1:20" x14ac:dyDescent="0.25">
      <c r="A59" s="121"/>
      <c r="B59" s="122"/>
      <c r="C59" s="25" t="s">
        <v>290</v>
      </c>
      <c r="D59" s="85"/>
      <c r="E59" s="85"/>
      <c r="F59" s="245"/>
      <c r="G59" s="233">
        <v>4.4489999999999998</v>
      </c>
      <c r="H59" s="233">
        <v>4.6050000000000004</v>
      </c>
      <c r="I59" s="300"/>
      <c r="J59" s="232"/>
      <c r="K59" s="244"/>
      <c r="L59" s="238"/>
      <c r="M59" s="361"/>
      <c r="N59" s="362"/>
      <c r="O59" s="362"/>
      <c r="P59" s="164"/>
      <c r="Q59" s="164">
        <v>123710757.20908001</v>
      </c>
      <c r="R59" s="153"/>
      <c r="S59" s="162"/>
      <c r="T59" s="123"/>
    </row>
    <row r="60" spans="1:20" ht="13" x14ac:dyDescent="0.3">
      <c r="A60" s="8" t="s">
        <v>54</v>
      </c>
      <c r="B60" s="252"/>
      <c r="C60" s="252"/>
      <c r="D60" s="252"/>
      <c r="E60" s="252"/>
      <c r="F60" s="246"/>
      <c r="G60" s="234">
        <v>19267297.8983685</v>
      </c>
      <c r="H60" s="234">
        <v>21061237.035715502</v>
      </c>
      <c r="I60" s="232">
        <v>40328534.934083998</v>
      </c>
      <c r="J60" s="232" t="e">
        <v>#REF!</v>
      </c>
      <c r="K60" s="301" t="e">
        <v>#REF!</v>
      </c>
      <c r="L60" s="302"/>
      <c r="M60" s="255">
        <v>0</v>
      </c>
      <c r="N60" s="255">
        <v>34668.06</v>
      </c>
      <c r="O60" s="255">
        <v>297379472.61016846</v>
      </c>
      <c r="P60" s="426">
        <v>49774236.900000006</v>
      </c>
      <c r="Q60" s="166">
        <v>179386349.68908</v>
      </c>
      <c r="R60" s="38"/>
      <c r="S60" s="166"/>
      <c r="T60" s="38"/>
    </row>
    <row r="61" spans="1:20" x14ac:dyDescent="0.25">
      <c r="G61" s="251"/>
      <c r="H61" s="251"/>
      <c r="I61" s="251"/>
      <c r="J61" s="251"/>
      <c r="K61" s="251"/>
      <c r="N61" s="591"/>
      <c r="O61" s="460"/>
      <c r="S61" s="290"/>
    </row>
    <row r="62" spans="1:20" x14ac:dyDescent="0.25">
      <c r="A62" s="449" t="s">
        <v>92</v>
      </c>
      <c r="B62" s="251" t="s">
        <v>75</v>
      </c>
      <c r="G62" s="251"/>
      <c r="H62" s="449" t="s">
        <v>76</v>
      </c>
      <c r="I62" s="251"/>
      <c r="J62" s="47"/>
      <c r="K62" s="47"/>
      <c r="N62" s="591"/>
      <c r="O62" s="477"/>
      <c r="P62" s="290"/>
      <c r="Q62" s="47"/>
      <c r="S62" s="47"/>
    </row>
    <row r="63" spans="1:20" ht="13" x14ac:dyDescent="0.3">
      <c r="B63" s="97" t="s">
        <v>77</v>
      </c>
      <c r="C63" s="98" t="s">
        <v>78</v>
      </c>
      <c r="D63" s="99"/>
      <c r="E63" s="100" t="s">
        <v>34</v>
      </c>
      <c r="F63" s="100" t="s">
        <v>79</v>
      </c>
      <c r="G63" s="251"/>
      <c r="H63" s="71" t="s">
        <v>34</v>
      </c>
      <c r="I63" s="252"/>
      <c r="J63" s="252"/>
      <c r="K63" s="252"/>
      <c r="L63" s="72"/>
      <c r="N63" s="591"/>
      <c r="O63" s="592"/>
      <c r="P63" s="290"/>
      <c r="Q63" s="47"/>
      <c r="S63" s="47"/>
    </row>
    <row r="64" spans="1:20" ht="13" x14ac:dyDescent="0.3">
      <c r="B64" s="450" t="s">
        <v>80</v>
      </c>
      <c r="C64" s="74" t="s">
        <v>81</v>
      </c>
      <c r="D64" s="451"/>
      <c r="E64" s="76"/>
      <c r="F64" s="76"/>
      <c r="G64" s="251"/>
      <c r="H64" s="77" t="s">
        <v>292</v>
      </c>
      <c r="I64" s="251"/>
      <c r="J64" s="251"/>
      <c r="K64" s="251"/>
      <c r="L64" s="78"/>
      <c r="M64" s="499"/>
      <c r="N64" s="593">
        <v>6.4199999463479832E-2</v>
      </c>
      <c r="O64" s="583"/>
      <c r="P64" s="500"/>
      <c r="Q64" s="500"/>
      <c r="S64" s="500"/>
    </row>
    <row r="65" spans="1:20" ht="13" x14ac:dyDescent="0.3">
      <c r="B65" s="452" t="s">
        <v>82</v>
      </c>
      <c r="C65" s="80" t="s">
        <v>83</v>
      </c>
      <c r="D65" s="453"/>
      <c r="E65" s="82"/>
      <c r="F65" s="83"/>
      <c r="G65" s="251"/>
      <c r="H65" s="84">
        <v>0</v>
      </c>
      <c r="I65" s="85"/>
      <c r="J65" s="85"/>
      <c r="K65" s="85"/>
      <c r="L65" s="86"/>
      <c r="M65" s="499">
        <v>9.4199999857272176E-2</v>
      </c>
      <c r="N65" s="593">
        <v>9.8900000237297003E-2</v>
      </c>
      <c r="O65" s="47"/>
      <c r="P65" s="500"/>
      <c r="Q65" s="500"/>
      <c r="S65" s="500"/>
    </row>
    <row r="66" spans="1:20" x14ac:dyDescent="0.25">
      <c r="B66" s="452" t="s">
        <v>84</v>
      </c>
      <c r="C66" s="80" t="s">
        <v>85</v>
      </c>
      <c r="D66" s="453"/>
      <c r="E66" s="82"/>
      <c r="F66" s="82"/>
      <c r="G66" s="251"/>
      <c r="H66" s="251"/>
      <c r="I66" s="454"/>
      <c r="J66" s="251"/>
      <c r="K66" s="251"/>
      <c r="M66" s="499">
        <v>0.39999999969547706</v>
      </c>
      <c r="N66" s="593">
        <v>0.39999999979093542</v>
      </c>
      <c r="P66" s="290"/>
      <c r="Q66" s="290"/>
    </row>
    <row r="67" spans="1:20" x14ac:dyDescent="0.25">
      <c r="B67" s="452" t="s">
        <v>86</v>
      </c>
      <c r="C67" s="80" t="s">
        <v>87</v>
      </c>
      <c r="D67" s="453"/>
      <c r="E67" s="88"/>
      <c r="F67" s="88"/>
      <c r="G67" s="251"/>
      <c r="H67" s="71" t="s">
        <v>79</v>
      </c>
      <c r="I67" s="89"/>
      <c r="J67" s="252"/>
      <c r="K67" s="252"/>
      <c r="L67" s="72"/>
      <c r="M67" s="499">
        <v>0.38000000287019686</v>
      </c>
      <c r="N67" s="593"/>
      <c r="O67" s="332"/>
      <c r="P67" s="290"/>
    </row>
    <row r="68" spans="1:20" x14ac:dyDescent="0.25">
      <c r="B68" s="452" t="s">
        <v>88</v>
      </c>
      <c r="C68" s="80" t="s">
        <v>89</v>
      </c>
      <c r="D68" s="453"/>
      <c r="E68" s="90"/>
      <c r="F68" s="83"/>
      <c r="G68" s="251"/>
      <c r="H68" s="77" t="s">
        <v>292</v>
      </c>
      <c r="I68" s="454"/>
      <c r="J68" s="251"/>
      <c r="K68" s="251"/>
      <c r="L68" s="78"/>
      <c r="N68" s="594"/>
      <c r="O68" s="332"/>
    </row>
    <row r="69" spans="1:20" x14ac:dyDescent="0.25">
      <c r="B69" s="455" t="s">
        <v>90</v>
      </c>
      <c r="C69" s="92" t="s">
        <v>91</v>
      </c>
      <c r="D69" s="456"/>
      <c r="E69" s="94"/>
      <c r="F69" s="94"/>
      <c r="G69" s="251"/>
      <c r="H69" s="84">
        <v>0</v>
      </c>
      <c r="I69" s="95"/>
      <c r="J69" s="85"/>
      <c r="K69" s="85"/>
      <c r="L69" s="86"/>
      <c r="M69" s="332"/>
      <c r="N69" s="595"/>
      <c r="O69" s="332"/>
    </row>
    <row r="70" spans="1:20" x14ac:dyDescent="0.25">
      <c r="A70" s="449"/>
      <c r="G70" s="251"/>
      <c r="H70" s="421"/>
      <c r="I70" s="251"/>
      <c r="J70" s="251"/>
      <c r="K70" s="251"/>
      <c r="M70" s="332"/>
      <c r="N70" s="595"/>
      <c r="O70" s="332"/>
    </row>
    <row r="71" spans="1:20" ht="13" x14ac:dyDescent="0.3">
      <c r="A71" s="457"/>
      <c r="G71" s="251"/>
      <c r="H71" s="251"/>
      <c r="I71" s="251"/>
      <c r="J71" s="251"/>
      <c r="K71" s="251"/>
    </row>
    <row r="72" spans="1:20" x14ac:dyDescent="0.25">
      <c r="G72" s="251"/>
      <c r="H72" s="251"/>
      <c r="I72" s="251"/>
      <c r="J72" s="251"/>
      <c r="K72" s="251"/>
      <c r="O72" s="47"/>
      <c r="P72" s="47"/>
      <c r="Q72" s="47"/>
    </row>
    <row r="73" spans="1:20" ht="15.5" outlineLevel="1" x14ac:dyDescent="0.35">
      <c r="A73"/>
      <c r="B73"/>
      <c r="C73"/>
      <c r="D73"/>
      <c r="E73"/>
      <c r="F73"/>
      <c r="G73"/>
      <c r="H73"/>
      <c r="I73"/>
      <c r="J73"/>
      <c r="K73"/>
      <c r="L73"/>
      <c r="M73"/>
      <c r="N73" s="596"/>
      <c r="O73"/>
      <c r="P73"/>
      <c r="Q73"/>
      <c r="R73"/>
      <c r="S73"/>
      <c r="T73"/>
    </row>
    <row r="74" spans="1:20" ht="15.5" outlineLevel="1" x14ac:dyDescent="0.35">
      <c r="A74"/>
      <c r="B74"/>
      <c r="C74"/>
      <c r="D74"/>
      <c r="E74"/>
      <c r="F74"/>
      <c r="G74"/>
      <c r="H74"/>
      <c r="I74"/>
      <c r="J74"/>
      <c r="K74"/>
      <c r="L74"/>
      <c r="M74"/>
      <c r="N74" s="596"/>
      <c r="O74"/>
      <c r="P74"/>
      <c r="Q74"/>
      <c r="R74"/>
      <c r="S74"/>
      <c r="T74"/>
    </row>
    <row r="75" spans="1:20" ht="15.5" outlineLevel="1" x14ac:dyDescent="0.35">
      <c r="A75"/>
      <c r="B75"/>
      <c r="C75"/>
      <c r="D75"/>
      <c r="E75"/>
      <c r="F75"/>
      <c r="G75"/>
      <c r="H75"/>
      <c r="I75"/>
      <c r="J75"/>
      <c r="K75"/>
      <c r="L75"/>
      <c r="M75"/>
      <c r="N75" s="596"/>
      <c r="O75"/>
      <c r="P75"/>
      <c r="Q75"/>
      <c r="R75"/>
      <c r="S75"/>
      <c r="T75"/>
    </row>
    <row r="76" spans="1:20" ht="15.5" outlineLevel="1" x14ac:dyDescent="0.35">
      <c r="A76"/>
      <c r="B76"/>
      <c r="C76"/>
      <c r="D76"/>
      <c r="E76"/>
      <c r="F76"/>
      <c r="G76"/>
      <c r="H76"/>
      <c r="I76"/>
      <c r="J76"/>
      <c r="K76"/>
      <c r="L76"/>
      <c r="M76"/>
      <c r="N76" s="596"/>
      <c r="O76"/>
      <c r="P76"/>
      <c r="Q76"/>
      <c r="R76"/>
      <c r="S76"/>
      <c r="T76"/>
    </row>
    <row r="77" spans="1:20" ht="15.5" x14ac:dyDescent="0.35">
      <c r="A77"/>
      <c r="B77"/>
      <c r="C77"/>
      <c r="D77"/>
      <c r="E77"/>
      <c r="F77"/>
      <c r="G77"/>
      <c r="H77"/>
      <c r="I77"/>
      <c r="J77"/>
      <c r="K77"/>
      <c r="L77"/>
      <c r="M77"/>
      <c r="N77" s="596"/>
      <c r="O77"/>
      <c r="P77"/>
      <c r="Q77"/>
      <c r="R77"/>
      <c r="S77"/>
      <c r="T77"/>
    </row>
    <row r="78" spans="1:20" ht="15.5" x14ac:dyDescent="0.35">
      <c r="A78"/>
      <c r="B78"/>
      <c r="C78"/>
      <c r="D78"/>
      <c r="E78"/>
      <c r="F78"/>
      <c r="G78"/>
      <c r="H78"/>
      <c r="I78"/>
      <c r="J78"/>
      <c r="K78"/>
      <c r="L78"/>
      <c r="M78"/>
      <c r="N78" s="596"/>
      <c r="O78"/>
      <c r="P78"/>
      <c r="Q78"/>
      <c r="R78"/>
      <c r="S78"/>
      <c r="T78"/>
    </row>
  </sheetData>
  <mergeCells count="2">
    <mergeCell ref="C7:C8"/>
    <mergeCell ref="O7:O8"/>
  </mergeCells>
  <phoneticPr fontId="0" type="noConversion"/>
  <printOptions horizontalCentered="1" verticalCentered="1"/>
  <pageMargins left="0.25" right="0.25" top="0.5" bottom="0.5" header="0" footer="0"/>
  <pageSetup paperSize="9" scale="54"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6">
    <pageSetUpPr fitToPage="1"/>
  </sheetPr>
  <dimension ref="A1:V72"/>
  <sheetViews>
    <sheetView view="pageBreakPreview" topLeftCell="A25" zoomScale="90" zoomScaleNormal="95" zoomScaleSheetLayoutView="90" workbookViewId="0">
      <pane xSplit="6" topLeftCell="M1" activePane="topRight" state="frozen"/>
      <selection pane="topRight" activeCell="D40" sqref="D40"/>
    </sheetView>
  </sheetViews>
  <sheetFormatPr baseColWidth="10" defaultColWidth="8.765625" defaultRowHeight="12.5" x14ac:dyDescent="0.25"/>
  <cols>
    <col min="1" max="1" width="3" style="251" customWidth="1"/>
    <col min="2" max="2" width="15.23046875" style="251" customWidth="1"/>
    <col min="3" max="3" width="7.765625" style="251" customWidth="1"/>
    <col min="4" max="4" width="8.23046875" style="251" customWidth="1"/>
    <col min="5" max="5" width="8.765625" style="251" customWidth="1"/>
    <col min="6" max="6" width="8.4609375" style="251" customWidth="1"/>
    <col min="7" max="11" width="10.4609375" style="172" customWidth="1"/>
    <col min="12" max="13" width="10.4609375" style="251" customWidth="1"/>
    <col min="14" max="14" width="13.765625" style="251" customWidth="1"/>
    <col min="15" max="15" width="12.765625" style="251" customWidth="1"/>
    <col min="16" max="16" width="13.3046875" style="251" customWidth="1"/>
    <col min="17" max="17" width="13.765625" style="251" customWidth="1"/>
    <col min="18" max="18" width="5.765625" style="251" customWidth="1"/>
    <col min="19" max="19" width="13.3046875" style="251" customWidth="1"/>
    <col min="20" max="20" width="5.765625" style="251" customWidth="1"/>
    <col min="21" max="21" width="8.765625" style="251"/>
    <col min="22" max="22" width="9.765625" style="251" customWidth="1"/>
    <col min="23" max="16384" width="8.765625" style="251"/>
  </cols>
  <sheetData>
    <row r="1" spans="1:20" ht="12.75" customHeight="1" x14ac:dyDescent="0.25">
      <c r="A1" s="251" t="s">
        <v>50</v>
      </c>
      <c r="C1" s="1"/>
      <c r="D1" s="1"/>
      <c r="E1" s="7">
        <v>45444</v>
      </c>
      <c r="F1" s="502" t="s">
        <v>328</v>
      </c>
      <c r="S1" s="251" t="s">
        <v>306</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307</v>
      </c>
      <c r="B4" s="109"/>
      <c r="C4" s="109"/>
      <c r="D4" s="109"/>
      <c r="E4" s="109"/>
      <c r="F4" s="109"/>
      <c r="G4" s="109"/>
      <c r="H4" s="109"/>
      <c r="I4" s="109"/>
      <c r="J4" s="109"/>
      <c r="K4" s="109"/>
      <c r="L4" s="109"/>
      <c r="M4" s="109"/>
      <c r="N4" s="109"/>
      <c r="O4" s="109"/>
      <c r="P4" s="109"/>
      <c r="Q4" s="109"/>
      <c r="R4" s="109"/>
      <c r="S4" s="109"/>
      <c r="T4" s="109"/>
    </row>
    <row r="5" spans="1:20" x14ac:dyDescent="0.25">
      <c r="A5" s="109" t="s">
        <v>329</v>
      </c>
      <c r="B5" s="109"/>
      <c r="C5" s="109"/>
      <c r="D5" s="109"/>
      <c r="E5" s="109"/>
      <c r="F5" s="109"/>
      <c r="G5" s="109"/>
      <c r="H5" s="109"/>
      <c r="I5" s="109"/>
      <c r="J5" s="109"/>
      <c r="K5" s="109"/>
      <c r="L5" s="109"/>
      <c r="M5" s="109"/>
      <c r="N5" s="109"/>
      <c r="O5" s="109"/>
      <c r="P5" s="109"/>
      <c r="Q5" s="496"/>
      <c r="R5" s="109"/>
      <c r="S5" s="109"/>
      <c r="T5" s="109"/>
    </row>
    <row r="6" spans="1:20" x14ac:dyDescent="0.25">
      <c r="E6" s="47"/>
      <c r="F6" s="47"/>
      <c r="G6" s="242"/>
      <c r="H6" s="173"/>
      <c r="Q6" s="496"/>
    </row>
    <row r="7" spans="1:20"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row>
    <row r="8" spans="1:20"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5" t="s">
        <v>28</v>
      </c>
      <c r="B10" s="17" t="s">
        <v>13</v>
      </c>
      <c r="C10" s="69" t="s">
        <v>31</v>
      </c>
      <c r="D10" s="406" t="s">
        <v>30</v>
      </c>
      <c r="E10" s="69" t="s">
        <v>98</v>
      </c>
      <c r="F10" s="223" t="s">
        <v>36</v>
      </c>
      <c r="G10" s="407">
        <v>3827</v>
      </c>
      <c r="H10" s="407">
        <v>10340</v>
      </c>
      <c r="I10" s="408">
        <v>68.298500000000004</v>
      </c>
      <c r="J10" s="408">
        <v>73.259399999999999</v>
      </c>
      <c r="K10" s="409"/>
      <c r="L10" s="409"/>
      <c r="M10" s="409"/>
      <c r="N10" s="458">
        <v>72.95</v>
      </c>
      <c r="O10" s="407">
        <v>1018807.61</v>
      </c>
      <c r="P10" s="409">
        <v>191026.43</v>
      </c>
      <c r="Q10" s="409">
        <v>152821.14000000001</v>
      </c>
      <c r="R10" s="199">
        <v>0.15</v>
      </c>
      <c r="S10" s="409">
        <v>38205.29</v>
      </c>
      <c r="T10" s="236">
        <v>3.7499999999999999E-2</v>
      </c>
    </row>
    <row r="11" spans="1:20" ht="12.75" customHeight="1" x14ac:dyDescent="0.25">
      <c r="A11" s="405" t="s">
        <v>28</v>
      </c>
      <c r="B11" s="17" t="s">
        <v>14</v>
      </c>
      <c r="C11" s="69" t="s">
        <v>31</v>
      </c>
      <c r="D11" s="406" t="s">
        <v>30</v>
      </c>
      <c r="E11" s="69" t="s">
        <v>98</v>
      </c>
      <c r="F11" s="223" t="s">
        <v>55</v>
      </c>
      <c r="G11" s="407">
        <v>43888.609400000001</v>
      </c>
      <c r="H11" s="407">
        <v>43795.697500000002</v>
      </c>
      <c r="I11" s="408">
        <v>3.7884000000000002</v>
      </c>
      <c r="J11" s="408">
        <v>3.7884000000000002</v>
      </c>
      <c r="K11" s="409"/>
      <c r="L11" s="409"/>
      <c r="M11" s="409"/>
      <c r="N11" s="458">
        <v>204.27</v>
      </c>
      <c r="O11" s="407">
        <v>331978.95999999996</v>
      </c>
      <c r="P11" s="409">
        <v>62246.06</v>
      </c>
      <c r="Q11" s="409">
        <v>49796.84</v>
      </c>
      <c r="R11" s="199">
        <v>0.15</v>
      </c>
      <c r="S11" s="409">
        <v>12449.21</v>
      </c>
      <c r="T11" s="236">
        <v>3.7499999999999999E-2</v>
      </c>
    </row>
    <row r="12" spans="1:20" x14ac:dyDescent="0.25">
      <c r="A12" s="405" t="s">
        <v>28</v>
      </c>
      <c r="B12" s="17" t="s">
        <v>3</v>
      </c>
      <c r="C12" s="69" t="s">
        <v>31</v>
      </c>
      <c r="D12" s="406" t="s">
        <v>30</v>
      </c>
      <c r="E12" s="69" t="s">
        <v>98</v>
      </c>
      <c r="F12" s="223" t="s">
        <v>36</v>
      </c>
      <c r="G12" s="407">
        <v>4572</v>
      </c>
      <c r="H12" s="407">
        <v>4495</v>
      </c>
      <c r="I12" s="408">
        <v>68.352800000000002</v>
      </c>
      <c r="J12" s="408">
        <v>72.229699999999994</v>
      </c>
      <c r="K12" s="409"/>
      <c r="L12" s="409"/>
      <c r="M12" s="409"/>
      <c r="N12" s="458">
        <v>586.54999999999995</v>
      </c>
      <c r="O12" s="407">
        <v>636594.94999999995</v>
      </c>
      <c r="P12" s="409">
        <v>119361.55</v>
      </c>
      <c r="Q12" s="409">
        <v>95489.24</v>
      </c>
      <c r="R12" s="199">
        <v>0.15</v>
      </c>
      <c r="S12" s="409">
        <v>23872.31</v>
      </c>
      <c r="T12" s="236">
        <v>3.7499999999999999E-2</v>
      </c>
    </row>
    <row r="13" spans="1:20" x14ac:dyDescent="0.25">
      <c r="A13" s="411" t="s">
        <v>28</v>
      </c>
      <c r="B13" s="412" t="s">
        <v>315</v>
      </c>
      <c r="C13" s="69" t="s">
        <v>31</v>
      </c>
      <c r="D13" s="406" t="s">
        <v>30</v>
      </c>
      <c r="E13" s="69" t="s">
        <v>98</v>
      </c>
      <c r="F13" s="223" t="s">
        <v>55</v>
      </c>
      <c r="G13" s="407">
        <v>21113.802199999998</v>
      </c>
      <c r="H13" s="407">
        <v>21457.216700000001</v>
      </c>
      <c r="I13" s="408">
        <v>2.95</v>
      </c>
      <c r="J13" s="408">
        <v>2.95</v>
      </c>
      <c r="K13" s="409"/>
      <c r="L13" s="409"/>
      <c r="M13" s="409"/>
      <c r="N13" s="458">
        <v>627.4</v>
      </c>
      <c r="O13" s="407">
        <v>124957.11000000002</v>
      </c>
      <c r="P13" s="409">
        <v>23429.46</v>
      </c>
      <c r="Q13" s="409">
        <v>18743.57</v>
      </c>
      <c r="R13" s="199">
        <v>0.15</v>
      </c>
      <c r="S13" s="409">
        <v>4685.8900000000003</v>
      </c>
      <c r="T13" s="236">
        <v>3.7499999999999999E-2</v>
      </c>
    </row>
    <row r="14" spans="1:20" x14ac:dyDescent="0.25">
      <c r="A14" s="405" t="s">
        <v>28</v>
      </c>
      <c r="B14" s="17" t="s">
        <v>4</v>
      </c>
      <c r="C14" s="69" t="s">
        <v>31</v>
      </c>
      <c r="D14" s="406" t="s">
        <v>30</v>
      </c>
      <c r="E14" s="69" t="s">
        <v>98</v>
      </c>
      <c r="F14" s="223" t="s">
        <v>36</v>
      </c>
      <c r="G14" s="407">
        <v>32537</v>
      </c>
      <c r="H14" s="407">
        <v>32943</v>
      </c>
      <c r="I14" s="408">
        <v>68.298500000000004</v>
      </c>
      <c r="J14" s="408">
        <v>73.259399999999999</v>
      </c>
      <c r="K14" s="409"/>
      <c r="L14" s="409"/>
      <c r="M14" s="409"/>
      <c r="N14" s="458">
        <v>1018.99</v>
      </c>
      <c r="O14" s="407">
        <v>4634593.71</v>
      </c>
      <c r="P14" s="409">
        <v>868986.32</v>
      </c>
      <c r="Q14" s="409">
        <v>695189.06</v>
      </c>
      <c r="R14" s="199">
        <v>0.15</v>
      </c>
      <c r="S14" s="409">
        <v>173797.26</v>
      </c>
      <c r="T14" s="236">
        <v>3.7499999999999999E-2</v>
      </c>
    </row>
    <row r="15" spans="1:20" x14ac:dyDescent="0.25">
      <c r="A15" s="405" t="s">
        <v>28</v>
      </c>
      <c r="B15" s="403" t="s">
        <v>316</v>
      </c>
      <c r="C15" s="69" t="s">
        <v>31</v>
      </c>
      <c r="D15" s="406" t="s">
        <v>30</v>
      </c>
      <c r="E15" s="69" t="s">
        <v>98</v>
      </c>
      <c r="F15" s="223" t="s">
        <v>55</v>
      </c>
      <c r="G15" s="407">
        <v>74613.026299999998</v>
      </c>
      <c r="H15" s="407">
        <v>87916.832699999999</v>
      </c>
      <c r="I15" s="408">
        <v>2.6482000000000001</v>
      </c>
      <c r="J15" s="408">
        <v>2.6482000000000001</v>
      </c>
      <c r="K15" s="409"/>
      <c r="L15" s="409"/>
      <c r="M15" s="409"/>
      <c r="N15" s="409"/>
      <c r="O15" s="410">
        <v>430411.57999999996</v>
      </c>
      <c r="P15" s="409">
        <v>80702.17</v>
      </c>
      <c r="Q15" s="409">
        <v>64561.74</v>
      </c>
      <c r="R15" s="199">
        <v>0.15</v>
      </c>
      <c r="S15" s="409">
        <v>16140.43</v>
      </c>
      <c r="T15" s="236">
        <v>3.7499999999999999E-2</v>
      </c>
    </row>
    <row r="16" spans="1:20" x14ac:dyDescent="0.25">
      <c r="A16" s="405" t="s">
        <v>28</v>
      </c>
      <c r="B16" s="17" t="s">
        <v>5</v>
      </c>
      <c r="C16" s="69" t="s">
        <v>31</v>
      </c>
      <c r="D16" s="406" t="s">
        <v>30</v>
      </c>
      <c r="E16" s="69" t="s">
        <v>98</v>
      </c>
      <c r="F16" s="223" t="s">
        <v>36</v>
      </c>
      <c r="G16" s="407">
        <v>49822</v>
      </c>
      <c r="H16" s="407">
        <v>55700</v>
      </c>
      <c r="I16" s="408">
        <v>68.298500000000004</v>
      </c>
      <c r="J16" s="408">
        <v>73.259399999999999</v>
      </c>
      <c r="K16" s="409"/>
      <c r="L16" s="409"/>
      <c r="M16" s="409"/>
      <c r="N16" s="458">
        <v>1681.41</v>
      </c>
      <c r="O16" s="407">
        <v>7481635.04</v>
      </c>
      <c r="P16" s="409">
        <v>1402806.57</v>
      </c>
      <c r="Q16" s="409">
        <v>1122245.26</v>
      </c>
      <c r="R16" s="199">
        <v>0.15</v>
      </c>
      <c r="S16" s="409">
        <v>280561.31</v>
      </c>
      <c r="T16" s="236">
        <v>3.7499999999999999E-2</v>
      </c>
    </row>
    <row r="17" spans="1:20" x14ac:dyDescent="0.25">
      <c r="A17" s="405" t="s">
        <v>28</v>
      </c>
      <c r="B17" s="17" t="s">
        <v>317</v>
      </c>
      <c r="C17" s="69" t="s">
        <v>31</v>
      </c>
      <c r="D17" s="406" t="s">
        <v>30</v>
      </c>
      <c r="E17" s="69" t="s">
        <v>98</v>
      </c>
      <c r="F17" s="223" t="s">
        <v>36</v>
      </c>
      <c r="G17" s="407">
        <v>74561.992899999997</v>
      </c>
      <c r="H17" s="407">
        <v>82778.780599999998</v>
      </c>
      <c r="I17" s="408">
        <v>3.2204000000000002</v>
      </c>
      <c r="J17" s="408">
        <v>3.2204000000000002</v>
      </c>
      <c r="K17" s="409"/>
      <c r="L17" s="409"/>
      <c r="M17" s="409"/>
      <c r="N17" s="458">
        <v>601.69000000000005</v>
      </c>
      <c r="O17" s="407">
        <v>506098.54</v>
      </c>
      <c r="P17" s="409">
        <v>94893.48</v>
      </c>
      <c r="Q17" s="409">
        <v>75914.78</v>
      </c>
      <c r="R17" s="199">
        <v>0.15</v>
      </c>
      <c r="S17" s="409">
        <v>18978.7</v>
      </c>
      <c r="T17" s="236">
        <v>3.7499999999999999E-2</v>
      </c>
    </row>
    <row r="18" spans="1:20" x14ac:dyDescent="0.25">
      <c r="A18" s="405" t="s">
        <v>28</v>
      </c>
      <c r="B18" s="17" t="s">
        <v>17</v>
      </c>
      <c r="C18" s="69" t="s">
        <v>31</v>
      </c>
      <c r="D18" s="406" t="s">
        <v>30</v>
      </c>
      <c r="E18" s="69" t="s">
        <v>98</v>
      </c>
      <c r="F18" s="223" t="s">
        <v>36</v>
      </c>
      <c r="G18" s="407">
        <v>2809</v>
      </c>
      <c r="H18" s="407">
        <v>2736</v>
      </c>
      <c r="I18" s="408">
        <v>68.401799999999994</v>
      </c>
      <c r="J18" s="408">
        <v>72.247799999999998</v>
      </c>
      <c r="K18" s="409"/>
      <c r="L18" s="409"/>
      <c r="M18" s="409"/>
      <c r="N18" s="458">
        <v>382.28</v>
      </c>
      <c r="O18" s="410">
        <v>389428.36</v>
      </c>
      <c r="P18" s="409">
        <v>73017.820000000007</v>
      </c>
      <c r="Q18" s="409">
        <v>58414.25</v>
      </c>
      <c r="R18" s="199">
        <v>0.15</v>
      </c>
      <c r="S18" s="409">
        <v>14603.56</v>
      </c>
      <c r="T18" s="236">
        <v>3.7499999999999999E-2</v>
      </c>
    </row>
    <row r="19" spans="1:20" x14ac:dyDescent="0.25">
      <c r="A19" s="468" t="s">
        <v>28</v>
      </c>
      <c r="B19" s="403" t="s">
        <v>293</v>
      </c>
      <c r="C19" s="69" t="s">
        <v>31</v>
      </c>
      <c r="D19" s="406" t="s">
        <v>30</v>
      </c>
      <c r="E19" s="69" t="s">
        <v>98</v>
      </c>
      <c r="F19" s="223" t="s">
        <v>36</v>
      </c>
      <c r="G19" s="407">
        <v>22919</v>
      </c>
      <c r="H19" s="407">
        <v>25451</v>
      </c>
      <c r="I19" s="417">
        <v>68.298500000000004</v>
      </c>
      <c r="J19" s="408">
        <v>73.259399999999999</v>
      </c>
      <c r="K19" s="409"/>
      <c r="L19" s="409"/>
      <c r="M19" s="409"/>
      <c r="N19" s="458">
        <v>461.07</v>
      </c>
      <c r="O19" s="410">
        <v>3429397.24</v>
      </c>
      <c r="P19" s="409">
        <v>643011.98</v>
      </c>
      <c r="Q19" s="409">
        <v>514409.59</v>
      </c>
      <c r="R19" s="199">
        <v>0.15</v>
      </c>
      <c r="S19" s="409">
        <v>128602.4</v>
      </c>
      <c r="T19" s="236">
        <v>3.7499999999999999E-2</v>
      </c>
    </row>
    <row r="20" spans="1:20" x14ac:dyDescent="0.25">
      <c r="A20" s="468" t="s">
        <v>28</v>
      </c>
      <c r="B20" s="403" t="s">
        <v>294</v>
      </c>
      <c r="C20" s="69" t="s">
        <v>31</v>
      </c>
      <c r="D20" s="406" t="s">
        <v>30</v>
      </c>
      <c r="E20" s="69" t="s">
        <v>98</v>
      </c>
      <c r="F20" s="223" t="s">
        <v>55</v>
      </c>
      <c r="G20" s="407">
        <v>60565.076999999997</v>
      </c>
      <c r="H20" s="407">
        <v>57404.752699999997</v>
      </c>
      <c r="I20" s="417">
        <v>3.7414000000000001</v>
      </c>
      <c r="J20" s="408">
        <v>3.7414000000000001</v>
      </c>
      <c r="K20" s="409"/>
      <c r="L20" s="409"/>
      <c r="M20" s="409"/>
      <c r="N20" s="458">
        <v>198.43</v>
      </c>
      <c r="O20" s="410">
        <v>441173.89</v>
      </c>
      <c r="P20" s="409">
        <v>82720.100000000006</v>
      </c>
      <c r="Q20" s="409">
        <v>66176.08</v>
      </c>
      <c r="R20" s="199">
        <v>0.15</v>
      </c>
      <c r="S20" s="409">
        <v>16544.02</v>
      </c>
      <c r="T20" s="236">
        <v>3.7499999999999999E-2</v>
      </c>
    </row>
    <row r="21" spans="1:20" x14ac:dyDescent="0.25">
      <c r="A21" s="468" t="s">
        <v>28</v>
      </c>
      <c r="B21" s="403" t="s">
        <v>295</v>
      </c>
      <c r="C21" s="69" t="s">
        <v>31</v>
      </c>
      <c r="D21" s="406" t="s">
        <v>30</v>
      </c>
      <c r="E21" s="69" t="s">
        <v>98</v>
      </c>
      <c r="F21" s="223" t="s">
        <v>36</v>
      </c>
      <c r="G21" s="407">
        <v>15003</v>
      </c>
      <c r="H21" s="407">
        <v>15067</v>
      </c>
      <c r="I21" s="417">
        <v>68.401799999999994</v>
      </c>
      <c r="J21" s="408">
        <v>72.247799999999998</v>
      </c>
      <c r="K21" s="409"/>
      <c r="L21" s="409"/>
      <c r="M21" s="409"/>
      <c r="N21" s="458">
        <v>227.62</v>
      </c>
      <c r="O21" s="410">
        <v>2114562.19</v>
      </c>
      <c r="P21" s="409">
        <v>396480.41</v>
      </c>
      <c r="Q21" s="409">
        <v>317184.33</v>
      </c>
      <c r="R21" s="199">
        <v>0.15</v>
      </c>
      <c r="S21" s="409">
        <v>79296.08</v>
      </c>
      <c r="T21" s="236">
        <v>3.7499999999999999E-2</v>
      </c>
    </row>
    <row r="22" spans="1:20" x14ac:dyDescent="0.25">
      <c r="A22" s="405" t="s">
        <v>28</v>
      </c>
      <c r="B22" s="17" t="s">
        <v>18</v>
      </c>
      <c r="C22" s="69" t="s">
        <v>31</v>
      </c>
      <c r="D22" s="406" t="s">
        <v>30</v>
      </c>
      <c r="E22" s="69" t="s">
        <v>98</v>
      </c>
      <c r="F22" s="223" t="s">
        <v>36</v>
      </c>
      <c r="G22" s="407">
        <v>1897</v>
      </c>
      <c r="H22" s="407">
        <v>2891</v>
      </c>
      <c r="I22" s="408">
        <v>68.298500000000004</v>
      </c>
      <c r="J22" s="408">
        <v>73.259399999999999</v>
      </c>
      <c r="K22" s="409"/>
      <c r="L22" s="409"/>
      <c r="M22" s="409"/>
      <c r="N22" s="458">
        <v>245.13</v>
      </c>
      <c r="O22" s="410">
        <v>341110.05</v>
      </c>
      <c r="P22" s="409">
        <v>63958.13</v>
      </c>
      <c r="Q22" s="409">
        <v>51166.51</v>
      </c>
      <c r="R22" s="199">
        <v>0.15</v>
      </c>
      <c r="S22" s="409">
        <v>12791.63</v>
      </c>
      <c r="T22" s="236">
        <v>3.7499999999999999E-2</v>
      </c>
    </row>
    <row r="23" spans="1:20" x14ac:dyDescent="0.25">
      <c r="A23" s="405" t="s">
        <v>28</v>
      </c>
      <c r="B23" s="17" t="s">
        <v>20</v>
      </c>
      <c r="C23" s="69" t="s">
        <v>31</v>
      </c>
      <c r="D23" s="406" t="s">
        <v>30</v>
      </c>
      <c r="E23" s="69" t="s">
        <v>98</v>
      </c>
      <c r="F23" s="223" t="s">
        <v>36</v>
      </c>
      <c r="G23" s="407">
        <v>121932</v>
      </c>
      <c r="H23" s="407">
        <v>124105</v>
      </c>
      <c r="I23" s="408">
        <v>69.722700000000003</v>
      </c>
      <c r="J23" s="408">
        <v>74.358000000000004</v>
      </c>
      <c r="K23" s="409"/>
      <c r="L23" s="409"/>
      <c r="M23" s="409"/>
      <c r="N23" s="458">
        <v>1159.06</v>
      </c>
      <c r="O23" s="410">
        <v>17728468.790000003</v>
      </c>
      <c r="P23" s="409">
        <v>3324087.9</v>
      </c>
      <c r="Q23" s="409">
        <v>2659270.3199999998</v>
      </c>
      <c r="R23" s="199">
        <v>0.15</v>
      </c>
      <c r="S23" s="409">
        <v>664817.57999999996</v>
      </c>
      <c r="T23" s="236">
        <v>3.7499999999999999E-2</v>
      </c>
    </row>
    <row r="24" spans="1:20" x14ac:dyDescent="0.25">
      <c r="A24" s="405" t="s">
        <v>28</v>
      </c>
      <c r="B24" s="17" t="s">
        <v>318</v>
      </c>
      <c r="C24" s="69" t="s">
        <v>31</v>
      </c>
      <c r="D24" s="406" t="s">
        <v>30</v>
      </c>
      <c r="E24" s="69" t="s">
        <v>98</v>
      </c>
      <c r="F24" s="223" t="s">
        <v>55</v>
      </c>
      <c r="G24" s="407">
        <v>204852.25</v>
      </c>
      <c r="H24" s="407">
        <v>203819.33</v>
      </c>
      <c r="I24" s="408">
        <v>3.1</v>
      </c>
      <c r="J24" s="408">
        <v>3.1</v>
      </c>
      <c r="K24" s="409"/>
      <c r="L24" s="409"/>
      <c r="M24" s="409"/>
      <c r="N24" s="458">
        <v>890.59</v>
      </c>
      <c r="O24" s="410">
        <v>1265991.3099999998</v>
      </c>
      <c r="P24" s="409">
        <v>237373.37</v>
      </c>
      <c r="Q24" s="409">
        <v>189898.7</v>
      </c>
      <c r="R24" s="199">
        <v>0.15</v>
      </c>
      <c r="S24" s="409">
        <v>47474.67</v>
      </c>
      <c r="T24" s="236">
        <v>3.7499999999999999E-2</v>
      </c>
    </row>
    <row r="25" spans="1:20" x14ac:dyDescent="0.25">
      <c r="A25" s="405" t="s">
        <v>28</v>
      </c>
      <c r="B25" s="17" t="s">
        <v>9</v>
      </c>
      <c r="C25" s="69" t="s">
        <v>31</v>
      </c>
      <c r="D25" s="406" t="s">
        <v>30</v>
      </c>
      <c r="E25" s="69" t="s">
        <v>98</v>
      </c>
      <c r="F25" s="223" t="s">
        <v>36</v>
      </c>
      <c r="G25" s="407">
        <v>269</v>
      </c>
      <c r="H25" s="407">
        <v>249</v>
      </c>
      <c r="I25" s="408">
        <v>68.401799999999994</v>
      </c>
      <c r="J25" s="408">
        <v>72.247799999999998</v>
      </c>
      <c r="K25" s="409"/>
      <c r="L25" s="409"/>
      <c r="M25" s="409"/>
      <c r="N25" s="458">
        <v>265.55</v>
      </c>
      <c r="O25" s="410">
        <v>36124.229999999996</v>
      </c>
      <c r="P25" s="409">
        <v>6773.29</v>
      </c>
      <c r="Q25" s="409">
        <v>5418.63</v>
      </c>
      <c r="R25" s="199">
        <v>0.15</v>
      </c>
      <c r="S25" s="409">
        <v>1354.66</v>
      </c>
      <c r="T25" s="236">
        <v>3.7499999999999999E-2</v>
      </c>
    </row>
    <row r="26" spans="1:20" x14ac:dyDescent="0.25">
      <c r="A26" s="405" t="s">
        <v>28</v>
      </c>
      <c r="B26" s="17" t="s">
        <v>165</v>
      </c>
      <c r="C26" s="69" t="s">
        <v>31</v>
      </c>
      <c r="D26" s="406" t="s">
        <v>30</v>
      </c>
      <c r="E26" s="69" t="s">
        <v>98</v>
      </c>
      <c r="F26" s="223" t="s">
        <v>36</v>
      </c>
      <c r="G26" s="407">
        <v>13089</v>
      </c>
      <c r="H26" s="407">
        <v>13167</v>
      </c>
      <c r="I26" s="408">
        <v>68.228499999999997</v>
      </c>
      <c r="J26" s="408">
        <v>73.179400000000001</v>
      </c>
      <c r="K26" s="409"/>
      <c r="L26" s="409"/>
      <c r="M26" s="409"/>
      <c r="N26" s="458">
        <v>2530.0500000000002</v>
      </c>
      <c r="O26" s="410">
        <v>1854065.95</v>
      </c>
      <c r="P26" s="409">
        <v>347637.37</v>
      </c>
      <c r="Q26" s="409">
        <v>278109.89</v>
      </c>
      <c r="R26" s="199">
        <v>0.15</v>
      </c>
      <c r="S26" s="409">
        <v>69527.47</v>
      </c>
      <c r="T26" s="236">
        <v>3.7499999999999999E-2</v>
      </c>
    </row>
    <row r="27" spans="1:20" x14ac:dyDescent="0.25">
      <c r="A27" s="405" t="s">
        <v>28</v>
      </c>
      <c r="B27" s="17" t="s">
        <v>157</v>
      </c>
      <c r="C27" s="69" t="s">
        <v>31</v>
      </c>
      <c r="D27" s="406" t="s">
        <v>30</v>
      </c>
      <c r="E27" s="69" t="s">
        <v>98</v>
      </c>
      <c r="F27" s="223" t="s">
        <v>55</v>
      </c>
      <c r="G27" s="458">
        <v>445963.87479999999</v>
      </c>
      <c r="H27" s="458">
        <v>474898.9804</v>
      </c>
      <c r="I27" s="417">
        <v>3.052400310698888</v>
      </c>
      <c r="J27" s="417">
        <v>2.9997658002973471</v>
      </c>
      <c r="K27" s="409"/>
      <c r="L27" s="409"/>
      <c r="M27" s="409"/>
      <c r="N27" s="458">
        <v>1053.46</v>
      </c>
      <c r="O27" s="410">
        <v>2785845.9899999998</v>
      </c>
      <c r="P27" s="410">
        <v>522346.12</v>
      </c>
      <c r="Q27" s="410">
        <v>417876.91</v>
      </c>
      <c r="R27" s="199">
        <v>0.15</v>
      </c>
      <c r="S27" s="410">
        <v>104469.21999999999</v>
      </c>
      <c r="T27" s="236">
        <v>3.7499999999999999E-2</v>
      </c>
    </row>
    <row r="28" spans="1:20" x14ac:dyDescent="0.25">
      <c r="A28" s="405" t="s">
        <v>28</v>
      </c>
      <c r="B28" s="17" t="s">
        <v>170</v>
      </c>
      <c r="C28" s="69" t="s">
        <v>31</v>
      </c>
      <c r="D28" s="406" t="s">
        <v>30</v>
      </c>
      <c r="E28" s="69" t="s">
        <v>98</v>
      </c>
      <c r="F28" s="223" t="s">
        <v>36</v>
      </c>
      <c r="G28" s="407">
        <v>132</v>
      </c>
      <c r="H28" s="407">
        <v>149</v>
      </c>
      <c r="I28" s="408">
        <v>68.298500000000004</v>
      </c>
      <c r="J28" s="408">
        <v>73.259399999999999</v>
      </c>
      <c r="K28" s="409"/>
      <c r="L28" s="409"/>
      <c r="M28" s="409"/>
      <c r="N28" s="458">
        <v>157.58000000000001</v>
      </c>
      <c r="O28" s="410">
        <v>19773.469999999998</v>
      </c>
      <c r="P28" s="409">
        <v>3707.53</v>
      </c>
      <c r="Q28" s="409">
        <v>741.51</v>
      </c>
      <c r="R28" s="236">
        <v>3.7499999999999999E-2</v>
      </c>
      <c r="S28" s="409">
        <v>2966.02</v>
      </c>
      <c r="T28" s="199">
        <v>0.15</v>
      </c>
    </row>
    <row r="29" spans="1:20" x14ac:dyDescent="0.25">
      <c r="A29" s="405" t="s">
        <v>28</v>
      </c>
      <c r="B29" s="17" t="s">
        <v>319</v>
      </c>
      <c r="C29" s="69" t="s">
        <v>31</v>
      </c>
      <c r="D29" s="406" t="s">
        <v>30</v>
      </c>
      <c r="E29" s="69" t="s">
        <v>98</v>
      </c>
      <c r="F29" s="223" t="s">
        <v>36</v>
      </c>
      <c r="G29" s="407"/>
      <c r="H29" s="407"/>
      <c r="I29" s="408"/>
      <c r="J29" s="408"/>
      <c r="K29" s="409"/>
      <c r="L29" s="409"/>
      <c r="M29" s="409"/>
      <c r="N29" s="458">
        <v>796.66</v>
      </c>
      <c r="O29" s="410">
        <v>-796.66</v>
      </c>
      <c r="P29" s="409">
        <v>-149.37</v>
      </c>
      <c r="Q29" s="409">
        <v>-29.87</v>
      </c>
      <c r="R29" s="236">
        <v>3.7499999999999999E-2</v>
      </c>
      <c r="S29" s="409">
        <v>-119.5</v>
      </c>
      <c r="T29" s="199">
        <v>0.15</v>
      </c>
    </row>
    <row r="30" spans="1:20" x14ac:dyDescent="0.25">
      <c r="A30" s="413" t="s">
        <v>28</v>
      </c>
      <c r="B30" s="414" t="s">
        <v>296</v>
      </c>
      <c r="C30" s="69" t="s">
        <v>31</v>
      </c>
      <c r="D30" s="406" t="s">
        <v>30</v>
      </c>
      <c r="E30" s="69" t="s">
        <v>98</v>
      </c>
      <c r="F30" s="223" t="s">
        <v>36</v>
      </c>
      <c r="G30" s="458">
        <v>42954</v>
      </c>
      <c r="H30" s="458">
        <v>61701</v>
      </c>
      <c r="I30" s="408">
        <v>67.42</v>
      </c>
      <c r="J30" s="408">
        <v>71.968199999999996</v>
      </c>
      <c r="K30" s="407"/>
      <c r="L30" s="409"/>
      <c r="M30" s="409"/>
      <c r="N30" s="458">
        <v>405.63</v>
      </c>
      <c r="O30" s="410">
        <v>7336062.96</v>
      </c>
      <c r="P30" s="409">
        <v>1375511.81</v>
      </c>
      <c r="Q30" s="409">
        <v>1100409.44</v>
      </c>
      <c r="R30" s="227">
        <v>0.15</v>
      </c>
      <c r="S30" s="409">
        <v>275104.75</v>
      </c>
      <c r="T30" s="236">
        <v>3.7499999999999999E-2</v>
      </c>
    </row>
    <row r="31" spans="1:20" x14ac:dyDescent="0.25">
      <c r="A31" s="413" t="s">
        <v>28</v>
      </c>
      <c r="B31" s="414" t="s">
        <v>297</v>
      </c>
      <c r="C31" s="69" t="s">
        <v>31</v>
      </c>
      <c r="D31" s="406" t="s">
        <v>30</v>
      </c>
      <c r="E31" s="69" t="s">
        <v>98</v>
      </c>
      <c r="F31" s="223" t="s">
        <v>55</v>
      </c>
      <c r="G31" s="458">
        <v>139076.77000000002</v>
      </c>
      <c r="H31" s="458"/>
      <c r="I31" s="417">
        <v>2.747237874448766</v>
      </c>
      <c r="J31" s="458"/>
      <c r="K31" s="407"/>
      <c r="L31" s="409"/>
      <c r="M31" s="409"/>
      <c r="N31" s="458">
        <v>358.94</v>
      </c>
      <c r="O31" s="410">
        <v>792022.64999999991</v>
      </c>
      <c r="P31" s="410">
        <v>148504.25</v>
      </c>
      <c r="Q31" s="410">
        <v>118803.41</v>
      </c>
      <c r="R31" s="227">
        <v>0.15</v>
      </c>
      <c r="S31" s="410">
        <v>29700.85</v>
      </c>
      <c r="T31" s="236">
        <v>3.7499999999999999E-2</v>
      </c>
    </row>
    <row r="32" spans="1:20" x14ac:dyDescent="0.25">
      <c r="A32" s="413" t="s">
        <v>28</v>
      </c>
      <c r="B32" s="414" t="s">
        <v>298</v>
      </c>
      <c r="C32" s="69" t="s">
        <v>31</v>
      </c>
      <c r="D32" s="406" t="s">
        <v>30</v>
      </c>
      <c r="E32" s="69" t="s">
        <v>98</v>
      </c>
      <c r="F32" s="223" t="s">
        <v>36</v>
      </c>
      <c r="G32" s="458">
        <v>9893</v>
      </c>
      <c r="H32" s="458">
        <v>9747</v>
      </c>
      <c r="I32" s="408">
        <v>36.859099999999998</v>
      </c>
      <c r="J32" s="408">
        <v>38.644399999999997</v>
      </c>
      <c r="K32" s="407"/>
      <c r="L32" s="409"/>
      <c r="M32" s="409"/>
      <c r="N32" s="458">
        <v>391.04</v>
      </c>
      <c r="O32" s="410">
        <v>740923.01</v>
      </c>
      <c r="P32" s="409">
        <v>138923.06</v>
      </c>
      <c r="Q32" s="409">
        <v>111138.45</v>
      </c>
      <c r="R32" s="227">
        <v>0.15</v>
      </c>
      <c r="S32" s="409">
        <v>27784.61</v>
      </c>
      <c r="T32" s="236">
        <v>3.7499999999999999E-2</v>
      </c>
    </row>
    <row r="33" spans="1:21" x14ac:dyDescent="0.25">
      <c r="A33" s="413" t="s">
        <v>28</v>
      </c>
      <c r="B33" s="414" t="s">
        <v>51</v>
      </c>
      <c r="C33" s="415"/>
      <c r="D33" s="415"/>
      <c r="E33" s="416"/>
      <c r="F33" s="223"/>
      <c r="G33" s="409"/>
      <c r="H33" s="409"/>
      <c r="I33" s="417"/>
      <c r="J33" s="417"/>
      <c r="K33" s="409"/>
      <c r="L33" s="409"/>
      <c r="M33" s="497"/>
      <c r="N33" s="409"/>
      <c r="O33" s="410">
        <v>-144239.30000000016</v>
      </c>
      <c r="P33" s="410">
        <v>-27044.840000000011</v>
      </c>
      <c r="Q33" s="410">
        <v>-21635.89000000001</v>
      </c>
      <c r="R33" s="227"/>
      <c r="S33" s="410">
        <v>-5408.9800000000068</v>
      </c>
      <c r="T33" s="199"/>
    </row>
    <row r="34" spans="1:21" x14ac:dyDescent="0.25">
      <c r="A34" s="24"/>
      <c r="B34" s="127" t="s">
        <v>105</v>
      </c>
      <c r="C34" s="25" t="s">
        <v>283</v>
      </c>
      <c r="D34" s="30"/>
      <c r="E34" s="31"/>
      <c r="F34" s="224"/>
      <c r="G34" s="418"/>
      <c r="H34" s="418"/>
      <c r="I34" s="419"/>
      <c r="J34" s="419"/>
      <c r="K34" s="418"/>
      <c r="L34" s="418"/>
      <c r="M34" s="418"/>
      <c r="N34" s="420"/>
      <c r="O34" s="420">
        <v>54294991.630000018</v>
      </c>
      <c r="P34" s="420">
        <v>10180310.970000001</v>
      </c>
      <c r="Q34" s="420">
        <v>8142113.8899999987</v>
      </c>
      <c r="R34" s="207"/>
      <c r="S34" s="420">
        <v>2038199.44</v>
      </c>
      <c r="T34" s="476"/>
    </row>
    <row r="35" spans="1:21" x14ac:dyDescent="0.25">
      <c r="A35" s="102"/>
      <c r="B35" s="265"/>
      <c r="C35" s="25" t="s">
        <v>284</v>
      </c>
      <c r="D35" s="415"/>
      <c r="E35" s="415"/>
      <c r="F35" s="115"/>
      <c r="G35" s="421"/>
      <c r="H35" s="421"/>
      <c r="I35" s="422"/>
      <c r="J35" s="422"/>
      <c r="K35" s="421"/>
      <c r="L35" s="421"/>
      <c r="M35" s="421"/>
      <c r="N35" s="421"/>
      <c r="O35" s="423"/>
      <c r="P35" s="424">
        <v>36201185.810000002</v>
      </c>
      <c r="Q35" s="425">
        <v>28953356.989999998</v>
      </c>
      <c r="R35" s="117"/>
      <c r="S35" s="426">
        <v>7247837.21</v>
      </c>
      <c r="T35" s="131"/>
    </row>
    <row r="36" spans="1:21" ht="13" x14ac:dyDescent="0.3">
      <c r="A36" s="257" t="s">
        <v>22</v>
      </c>
      <c r="B36" s="11"/>
      <c r="C36" s="41"/>
      <c r="D36" s="41"/>
      <c r="E36" s="12"/>
      <c r="F36" s="27"/>
      <c r="G36" s="427"/>
      <c r="H36" s="427"/>
      <c r="I36" s="428"/>
      <c r="J36" s="428"/>
      <c r="K36" s="427"/>
      <c r="L36" s="427"/>
      <c r="M36" s="427"/>
      <c r="N36" s="427"/>
      <c r="O36" s="429"/>
      <c r="P36" s="427"/>
      <c r="Q36" s="211" t="s">
        <v>48</v>
      </c>
      <c r="R36" s="189"/>
      <c r="S36" s="430"/>
      <c r="T36" s="261"/>
    </row>
    <row r="37" spans="1:21" x14ac:dyDescent="0.25">
      <c r="A37" s="413" t="s">
        <v>28</v>
      </c>
      <c r="B37" s="22">
        <v>131</v>
      </c>
      <c r="C37" s="69" t="s">
        <v>31</v>
      </c>
      <c r="D37" s="406" t="s">
        <v>30</v>
      </c>
      <c r="E37" s="69" t="s">
        <v>98</v>
      </c>
      <c r="F37" s="190" t="s">
        <v>36</v>
      </c>
      <c r="G37" s="407">
        <v>7143</v>
      </c>
      <c r="H37" s="407">
        <v>4651</v>
      </c>
      <c r="I37" s="408">
        <v>55.695799999999998</v>
      </c>
      <c r="J37" s="408">
        <v>60.331899999999997</v>
      </c>
      <c r="K37" s="409"/>
      <c r="L37" s="409"/>
      <c r="M37" s="409"/>
      <c r="N37" s="458">
        <v>3142.87</v>
      </c>
      <c r="O37" s="410">
        <v>675295.9</v>
      </c>
      <c r="P37" s="409">
        <v>101294.39</v>
      </c>
      <c r="Q37" s="409">
        <v>101294.39</v>
      </c>
      <c r="R37" s="199">
        <v>0.15</v>
      </c>
      <c r="S37" s="431"/>
      <c r="T37" s="202"/>
    </row>
    <row r="38" spans="1:21"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row>
    <row r="39" spans="1:21" x14ac:dyDescent="0.25">
      <c r="A39" s="24"/>
      <c r="B39" s="127" t="s">
        <v>105</v>
      </c>
      <c r="C39" s="25" t="s">
        <v>285</v>
      </c>
      <c r="D39" s="30"/>
      <c r="E39" s="31"/>
      <c r="F39" s="30"/>
      <c r="G39" s="418"/>
      <c r="H39" s="418"/>
      <c r="I39" s="419"/>
      <c r="J39" s="419"/>
      <c r="K39" s="418"/>
      <c r="L39" s="418"/>
      <c r="M39" s="418"/>
      <c r="N39" s="418"/>
      <c r="O39" s="420">
        <v>675295.9</v>
      </c>
      <c r="P39" s="420">
        <v>101294.39</v>
      </c>
      <c r="Q39" s="420">
        <v>101294.39</v>
      </c>
      <c r="R39" s="207"/>
      <c r="S39" s="420">
        <v>0</v>
      </c>
      <c r="T39" s="207"/>
    </row>
    <row r="40" spans="1:21" x14ac:dyDescent="0.25">
      <c r="A40" s="102"/>
      <c r="B40" s="265"/>
      <c r="C40" s="25" t="s">
        <v>286</v>
      </c>
      <c r="D40" s="415"/>
      <c r="E40" s="415"/>
      <c r="F40" s="115"/>
      <c r="G40" s="421"/>
      <c r="H40" s="421"/>
      <c r="I40" s="422"/>
      <c r="J40" s="422"/>
      <c r="K40" s="421"/>
      <c r="L40" s="421"/>
      <c r="M40" s="421"/>
      <c r="N40" s="421"/>
      <c r="O40" s="423"/>
      <c r="P40" s="424">
        <v>360202.85</v>
      </c>
      <c r="Q40" s="425">
        <v>360202.85</v>
      </c>
      <c r="R40" s="117"/>
      <c r="S40" s="424">
        <v>0</v>
      </c>
      <c r="T40" s="117"/>
    </row>
    <row r="41" spans="1:21"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row>
    <row r="42" spans="1:21" x14ac:dyDescent="0.25">
      <c r="A42" s="405" t="s">
        <v>28</v>
      </c>
      <c r="B42" s="22">
        <v>8</v>
      </c>
      <c r="C42" s="69" t="s">
        <v>31</v>
      </c>
      <c r="D42" s="69" t="s">
        <v>30</v>
      </c>
      <c r="E42" s="69" t="s">
        <v>98</v>
      </c>
      <c r="F42" s="217" t="s">
        <v>36</v>
      </c>
      <c r="G42" s="409">
        <v>50610</v>
      </c>
      <c r="H42" s="407">
        <v>25361</v>
      </c>
      <c r="I42" s="408">
        <v>54.879800000000003</v>
      </c>
      <c r="J42" s="408">
        <v>58.789700000000003</v>
      </c>
      <c r="K42" s="409"/>
      <c r="L42" s="409"/>
      <c r="M42" s="409"/>
      <c r="N42" s="409">
        <v>4207.99</v>
      </c>
      <c r="O42" s="410">
        <v>4264224.2699999996</v>
      </c>
      <c r="P42" s="409">
        <v>799542.05</v>
      </c>
      <c r="Q42" s="409">
        <v>639633.64</v>
      </c>
      <c r="R42" s="199">
        <v>0.15</v>
      </c>
      <c r="S42" s="409">
        <v>159908.41</v>
      </c>
      <c r="T42" s="236">
        <v>3.7499999999999999E-2</v>
      </c>
    </row>
    <row r="43" spans="1:21" x14ac:dyDescent="0.25">
      <c r="A43" s="405" t="s">
        <v>28</v>
      </c>
      <c r="B43" s="17" t="s">
        <v>12</v>
      </c>
      <c r="C43" s="69" t="s">
        <v>31</v>
      </c>
      <c r="D43" s="69" t="s">
        <v>30</v>
      </c>
      <c r="E43" s="69" t="s">
        <v>98</v>
      </c>
      <c r="F43" s="217" t="s">
        <v>55</v>
      </c>
      <c r="G43" s="407">
        <v>72831.452099999995</v>
      </c>
      <c r="H43" s="407">
        <v>39766.570800000001</v>
      </c>
      <c r="I43" s="408">
        <v>3.6078999999999999</v>
      </c>
      <c r="J43" s="408">
        <v>3.6080999999999999</v>
      </c>
      <c r="K43" s="409"/>
      <c r="L43" s="409"/>
      <c r="M43" s="409"/>
      <c r="N43" s="458">
        <v>1597.34</v>
      </c>
      <c r="O43" s="410">
        <v>404653.01999999996</v>
      </c>
      <c r="P43" s="409">
        <v>75872.44</v>
      </c>
      <c r="Q43" s="409">
        <v>15174.49</v>
      </c>
      <c r="R43" s="236">
        <v>3.7499999999999999E-2</v>
      </c>
      <c r="S43" s="409">
        <v>60697.95</v>
      </c>
      <c r="T43" s="199">
        <v>0.15</v>
      </c>
    </row>
    <row r="44" spans="1:21" x14ac:dyDescent="0.25">
      <c r="A44" s="405" t="s">
        <v>28</v>
      </c>
      <c r="B44" s="17" t="s">
        <v>74</v>
      </c>
      <c r="C44" s="69" t="s">
        <v>31</v>
      </c>
      <c r="D44" s="69" t="s">
        <v>30</v>
      </c>
      <c r="E44" s="69" t="s">
        <v>100</v>
      </c>
      <c r="F44" s="217" t="s">
        <v>36</v>
      </c>
      <c r="G44" s="407"/>
      <c r="H44" s="407"/>
      <c r="I44" s="408"/>
      <c r="J44" s="408"/>
      <c r="K44" s="409"/>
      <c r="L44" s="409"/>
      <c r="M44" s="409"/>
      <c r="N44" s="458">
        <v>2986.39</v>
      </c>
      <c r="O44" s="410">
        <v>-2986.39</v>
      </c>
      <c r="P44" s="409">
        <v>-559.95000000000005</v>
      </c>
      <c r="Q44" s="409">
        <v>-111.99</v>
      </c>
      <c r="R44" s="236">
        <v>3.7499999999999999E-2</v>
      </c>
      <c r="S44" s="409">
        <v>-447.96</v>
      </c>
      <c r="T44" s="199">
        <v>0.15</v>
      </c>
    </row>
    <row r="45" spans="1:21" x14ac:dyDescent="0.25">
      <c r="A45" s="405" t="s">
        <v>28</v>
      </c>
      <c r="B45" s="22">
        <v>95</v>
      </c>
      <c r="C45" s="69" t="s">
        <v>31</v>
      </c>
      <c r="D45" s="69" t="s">
        <v>30</v>
      </c>
      <c r="E45" s="69" t="s">
        <v>98</v>
      </c>
      <c r="F45" s="217" t="s">
        <v>36</v>
      </c>
      <c r="G45" s="407">
        <v>259919</v>
      </c>
      <c r="H45" s="407">
        <v>284856</v>
      </c>
      <c r="I45" s="408">
        <v>48.533799999999999</v>
      </c>
      <c r="J45" s="408">
        <v>51.667200000000001</v>
      </c>
      <c r="K45" s="407"/>
      <c r="L45" s="409"/>
      <c r="M45" s="409"/>
      <c r="N45" s="458">
        <v>4210.92</v>
      </c>
      <c r="O45" s="410">
        <v>27328357.759999998</v>
      </c>
      <c r="P45" s="409">
        <v>5124067.08</v>
      </c>
      <c r="Q45" s="409">
        <v>4099253.66</v>
      </c>
      <c r="R45" s="199">
        <v>0.15</v>
      </c>
      <c r="S45" s="409">
        <v>1024813.42</v>
      </c>
      <c r="T45" s="236">
        <v>3.7499999999999999E-2</v>
      </c>
    </row>
    <row r="46" spans="1:21" x14ac:dyDescent="0.25">
      <c r="A46" s="405" t="s">
        <v>28</v>
      </c>
      <c r="B46" s="250">
        <v>67</v>
      </c>
      <c r="C46" s="69" t="s">
        <v>31</v>
      </c>
      <c r="D46" s="69" t="s">
        <v>30</v>
      </c>
      <c r="E46" s="69" t="s">
        <v>98</v>
      </c>
      <c r="F46" s="217" t="s">
        <v>36</v>
      </c>
      <c r="G46" s="407"/>
      <c r="H46" s="407"/>
      <c r="I46" s="408"/>
      <c r="J46" s="408"/>
      <c r="K46" s="407"/>
      <c r="L46" s="409"/>
      <c r="M46" s="497"/>
      <c r="N46" s="461"/>
      <c r="O46" s="410">
        <v>0</v>
      </c>
      <c r="P46" s="409">
        <v>0</v>
      </c>
      <c r="Q46" s="409">
        <v>0</v>
      </c>
      <c r="R46" s="199">
        <v>0.15</v>
      </c>
      <c r="S46" s="409">
        <v>0</v>
      </c>
      <c r="T46" s="236">
        <v>3.7499999999999999E-2</v>
      </c>
    </row>
    <row r="47" spans="1:21" x14ac:dyDescent="0.25">
      <c r="A47" s="432" t="s">
        <v>28</v>
      </c>
      <c r="B47" s="414" t="s">
        <v>53</v>
      </c>
      <c r="C47" s="415"/>
      <c r="D47" s="416"/>
      <c r="E47" s="416"/>
      <c r="F47" s="217"/>
      <c r="G47" s="409"/>
      <c r="H47" s="409"/>
      <c r="I47" s="417"/>
      <c r="J47" s="417"/>
      <c r="K47" s="409"/>
      <c r="L47" s="409"/>
      <c r="M47" s="409"/>
      <c r="N47" s="409"/>
      <c r="O47" s="409"/>
      <c r="P47" s="409"/>
      <c r="Q47" s="409"/>
      <c r="R47" s="409"/>
      <c r="S47" s="409"/>
      <c r="T47" s="199"/>
      <c r="U47" s="290">
        <f>Q37+May!Q37+Abr!Q37+Mar!Q37+Feb!Q37+Ene!Q37</f>
        <v>864878.74</v>
      </c>
    </row>
    <row r="48" spans="1:21" x14ac:dyDescent="0.25">
      <c r="A48" s="24"/>
      <c r="B48" s="127" t="s">
        <v>105</v>
      </c>
      <c r="C48" s="25" t="s">
        <v>287</v>
      </c>
      <c r="D48" s="14"/>
      <c r="E48" s="14"/>
      <c r="F48" s="230"/>
      <c r="G48" s="433"/>
      <c r="H48" s="433"/>
      <c r="I48" s="434"/>
      <c r="J48" s="435"/>
      <c r="K48" s="436"/>
      <c r="L48" s="436"/>
      <c r="M48" s="436"/>
      <c r="N48" s="420"/>
      <c r="O48" s="420">
        <v>31994248.659999996</v>
      </c>
      <c r="P48" s="420">
        <v>5998921.6200000001</v>
      </c>
      <c r="Q48" s="420">
        <v>4753949.8</v>
      </c>
      <c r="R48" s="220"/>
      <c r="S48" s="420">
        <v>1244971.82</v>
      </c>
      <c r="T48" s="207"/>
    </row>
    <row r="49" spans="1:22" x14ac:dyDescent="0.25">
      <c r="A49" s="121"/>
      <c r="B49" s="122"/>
      <c r="C49" s="25" t="s">
        <v>288</v>
      </c>
      <c r="D49" s="85"/>
      <c r="E49" s="85"/>
      <c r="F49" s="121"/>
      <c r="G49" s="437"/>
      <c r="H49" s="437"/>
      <c r="I49" s="438"/>
      <c r="J49" s="438"/>
      <c r="K49" s="437"/>
      <c r="L49" s="437"/>
      <c r="M49" s="437"/>
      <c r="N49" s="437"/>
      <c r="O49" s="255"/>
      <c r="P49" s="255">
        <v>21332165.280000001</v>
      </c>
      <c r="Q49" s="426">
        <v>16905045.489999998</v>
      </c>
      <c r="R49" s="131"/>
      <c r="S49" s="426">
        <v>4427119.79</v>
      </c>
      <c r="T49" s="123"/>
    </row>
    <row r="50" spans="1:22"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row>
    <row r="51" spans="1:22" x14ac:dyDescent="0.25">
      <c r="A51" s="405" t="s">
        <v>28</v>
      </c>
      <c r="B51" s="17" t="s">
        <v>160</v>
      </c>
      <c r="C51" s="69" t="s">
        <v>31</v>
      </c>
      <c r="D51" s="69" t="s">
        <v>30</v>
      </c>
      <c r="E51" s="69" t="s">
        <v>158</v>
      </c>
      <c r="F51" s="217" t="s">
        <v>36</v>
      </c>
      <c r="G51" s="409">
        <v>735305</v>
      </c>
      <c r="H51" s="409">
        <v>753118</v>
      </c>
      <c r="I51" s="417">
        <v>36.738100000000003</v>
      </c>
      <c r="J51" s="417">
        <v>38.375999999999998</v>
      </c>
      <c r="K51" s="409"/>
      <c r="L51" s="409"/>
      <c r="M51" s="409"/>
      <c r="N51" s="409"/>
      <c r="O51" s="410">
        <v>55915364.988499999</v>
      </c>
      <c r="P51" s="410">
        <v>20822881.920000002</v>
      </c>
      <c r="Q51" s="410">
        <v>10411440.960000001</v>
      </c>
      <c r="R51" s="199">
        <v>0.5</v>
      </c>
      <c r="S51" s="409"/>
      <c r="T51" s="236"/>
    </row>
    <row r="52" spans="1:22" x14ac:dyDescent="0.25">
      <c r="A52" s="405" t="s">
        <v>28</v>
      </c>
      <c r="B52" s="17" t="s">
        <v>159</v>
      </c>
      <c r="C52" s="69" t="s">
        <v>31</v>
      </c>
      <c r="D52" s="69" t="s">
        <v>30</v>
      </c>
      <c r="E52" s="69" t="s">
        <v>158</v>
      </c>
      <c r="F52" s="217" t="s">
        <v>55</v>
      </c>
      <c r="G52" s="409">
        <v>13285923.887800001</v>
      </c>
      <c r="H52" s="409">
        <v>13642692.0723</v>
      </c>
      <c r="I52" s="503">
        <v>2.8936000000000002</v>
      </c>
      <c r="J52" s="503">
        <v>2.9628999999999999</v>
      </c>
      <c r="K52" s="409"/>
      <c r="L52" s="409"/>
      <c r="M52" s="409"/>
      <c r="N52" s="409"/>
      <c r="O52" s="409">
        <v>78866123.280000001</v>
      </c>
      <c r="P52" s="409">
        <v>29434464.229999997</v>
      </c>
      <c r="Q52" s="409">
        <v>14717232.119999997</v>
      </c>
      <c r="R52" s="199">
        <v>0.5</v>
      </c>
      <c r="S52" s="409"/>
      <c r="T52" s="199"/>
    </row>
    <row r="53" spans="1:22" x14ac:dyDescent="0.25">
      <c r="A53" s="405" t="s">
        <v>28</v>
      </c>
      <c r="B53" s="17" t="s">
        <v>168</v>
      </c>
      <c r="C53" s="69" t="s">
        <v>31</v>
      </c>
      <c r="D53" s="69" t="s">
        <v>30</v>
      </c>
      <c r="E53" s="69" t="s">
        <v>158</v>
      </c>
      <c r="F53" s="217" t="s">
        <v>36</v>
      </c>
      <c r="G53" s="409">
        <v>106705</v>
      </c>
      <c r="H53" s="409">
        <v>157825</v>
      </c>
      <c r="I53" s="417">
        <v>36.589199999999998</v>
      </c>
      <c r="J53" s="417">
        <v>38.380899999999997</v>
      </c>
      <c r="K53" s="409"/>
      <c r="L53" s="409"/>
      <c r="M53" s="409"/>
      <c r="N53" s="409"/>
      <c r="O53" s="410">
        <v>9961716.1284999996</v>
      </c>
      <c r="P53" s="410">
        <v>3984686.45</v>
      </c>
      <c r="Q53" s="410">
        <v>1992343.23</v>
      </c>
      <c r="R53" s="199">
        <v>0.5</v>
      </c>
      <c r="S53" s="409"/>
      <c r="T53" s="199"/>
    </row>
    <row r="54" spans="1:22" x14ac:dyDescent="0.25">
      <c r="A54" s="405" t="s">
        <v>28</v>
      </c>
      <c r="B54" s="17" t="s">
        <v>169</v>
      </c>
      <c r="C54" s="69" t="s">
        <v>31</v>
      </c>
      <c r="D54" s="69" t="s">
        <v>30</v>
      </c>
      <c r="E54" s="69" t="s">
        <v>158</v>
      </c>
      <c r="F54" s="217" t="s">
        <v>55</v>
      </c>
      <c r="G54" s="409">
        <v>4352047.2347999997</v>
      </c>
      <c r="H54" s="409">
        <v>4344863.8819000004</v>
      </c>
      <c r="I54" s="503">
        <v>4.6420000000000003</v>
      </c>
      <c r="J54" s="503">
        <v>5.5570000000000004</v>
      </c>
      <c r="K54" s="409"/>
      <c r="L54" s="409"/>
      <c r="M54" s="409"/>
      <c r="N54" s="409"/>
      <c r="O54" s="410">
        <v>44346611.855659902</v>
      </c>
      <c r="P54" s="410">
        <v>16851712.510000002</v>
      </c>
      <c r="Q54" s="410">
        <v>8425856.2599999998</v>
      </c>
      <c r="R54" s="199">
        <v>0.5</v>
      </c>
      <c r="S54" s="409"/>
      <c r="T54" s="199"/>
    </row>
    <row r="55" spans="1:22" x14ac:dyDescent="0.25">
      <c r="A55" s="405" t="s">
        <v>28</v>
      </c>
      <c r="B55" s="22" t="s">
        <v>175</v>
      </c>
      <c r="C55" s="69" t="s">
        <v>31</v>
      </c>
      <c r="D55" s="69" t="s">
        <v>30</v>
      </c>
      <c r="E55" s="69" t="s">
        <v>158</v>
      </c>
      <c r="F55" s="217" t="s">
        <v>36</v>
      </c>
      <c r="G55" s="409">
        <v>146693</v>
      </c>
      <c r="H55" s="409">
        <v>244060</v>
      </c>
      <c r="I55" s="417">
        <v>33.670999999999999</v>
      </c>
      <c r="J55" s="417">
        <v>35.088799999999999</v>
      </c>
      <c r="K55" s="407"/>
      <c r="L55" s="409"/>
      <c r="M55" s="409"/>
      <c r="N55" s="407"/>
      <c r="O55" s="410">
        <v>13503072.530999999</v>
      </c>
      <c r="P55" s="410">
        <v>903160.06753399991</v>
      </c>
      <c r="Q55" s="410">
        <v>451580.03</v>
      </c>
      <c r="R55" s="199">
        <v>0.5</v>
      </c>
      <c r="S55" s="409"/>
      <c r="T55" s="236"/>
    </row>
    <row r="56" spans="1:22" x14ac:dyDescent="0.25">
      <c r="A56" s="405" t="s">
        <v>28</v>
      </c>
      <c r="B56" s="250" t="s">
        <v>176</v>
      </c>
      <c r="C56" s="69" t="s">
        <v>31</v>
      </c>
      <c r="D56" s="69" t="s">
        <v>30</v>
      </c>
      <c r="E56" s="69" t="s">
        <v>158</v>
      </c>
      <c r="F56" s="217" t="s">
        <v>55</v>
      </c>
      <c r="G56" s="409">
        <v>2662414.1666000001</v>
      </c>
      <c r="H56" s="409">
        <v>4255124.7851999998</v>
      </c>
      <c r="I56" s="417">
        <v>4.4950000000000001</v>
      </c>
      <c r="J56" s="417">
        <v>4.4950000000000001</v>
      </c>
      <c r="K56" s="504"/>
      <c r="L56" s="409"/>
      <c r="M56" s="409"/>
      <c r="N56" s="407"/>
      <c r="O56" s="410">
        <v>31094337.588341001</v>
      </c>
      <c r="P56" s="410">
        <v>3571745.7804340003</v>
      </c>
      <c r="Q56" s="410">
        <v>1785872.89</v>
      </c>
      <c r="R56" s="199">
        <v>0.5</v>
      </c>
      <c r="S56" s="409"/>
      <c r="T56" s="236"/>
    </row>
    <row r="57" spans="1:22" x14ac:dyDescent="0.25">
      <c r="A57" s="445" t="s">
        <v>28</v>
      </c>
      <c r="B57" s="446" t="s">
        <v>162</v>
      </c>
      <c r="C57" s="447"/>
      <c r="D57" s="447"/>
      <c r="E57" s="448"/>
      <c r="F57" s="190"/>
      <c r="G57" s="239"/>
      <c r="H57" s="240"/>
      <c r="I57" s="240"/>
      <c r="J57" s="241"/>
      <c r="K57" s="241"/>
      <c r="L57" s="241"/>
      <c r="M57" s="155"/>
      <c r="N57" s="155"/>
      <c r="O57" s="168">
        <v>-377182.98156362388</v>
      </c>
      <c r="P57" s="168">
        <v>-410923.31995400158</v>
      </c>
      <c r="Q57" s="168">
        <v>-205461.65999999858</v>
      </c>
      <c r="R57" s="123"/>
      <c r="S57" s="156"/>
      <c r="T57" s="123"/>
    </row>
    <row r="58" spans="1:22" x14ac:dyDescent="0.25">
      <c r="A58" s="24"/>
      <c r="B58" s="127" t="s">
        <v>105</v>
      </c>
      <c r="C58" s="25" t="s">
        <v>289</v>
      </c>
      <c r="D58" s="14"/>
      <c r="E58" s="14"/>
      <c r="F58" s="245"/>
      <c r="G58" s="232">
        <v>4352047.2347999997</v>
      </c>
      <c r="H58" s="232">
        <v>4344863.8819000004</v>
      </c>
      <c r="I58" s="299"/>
      <c r="J58" s="232"/>
      <c r="K58" s="243"/>
      <c r="L58" s="237"/>
      <c r="M58" s="297"/>
      <c r="N58" s="174"/>
      <c r="O58" s="174">
        <v>233310043.39043728</v>
      </c>
      <c r="P58" s="174">
        <v>75157727.638013989</v>
      </c>
      <c r="Q58" s="174">
        <v>37578863.830000006</v>
      </c>
      <c r="R58" s="498"/>
      <c r="S58" s="162"/>
      <c r="T58" s="123"/>
    </row>
    <row r="59" spans="1:22" x14ac:dyDescent="0.25">
      <c r="A59" s="121"/>
      <c r="B59" s="122"/>
      <c r="C59" s="25" t="s">
        <v>290</v>
      </c>
      <c r="D59" s="85"/>
      <c r="E59" s="85"/>
      <c r="F59" s="245"/>
      <c r="G59" s="233">
        <v>4.6420000000000003</v>
      </c>
      <c r="H59" s="233">
        <v>5.5570000000000004</v>
      </c>
      <c r="I59" s="300"/>
      <c r="J59" s="232"/>
      <c r="K59" s="244"/>
      <c r="L59" s="238"/>
      <c r="M59" s="361"/>
      <c r="N59" s="362"/>
      <c r="O59" s="362"/>
      <c r="P59" s="164"/>
      <c r="Q59" s="164">
        <v>133630439.77948003</v>
      </c>
      <c r="R59" s="153"/>
      <c r="S59" s="162"/>
      <c r="T59" s="123"/>
      <c r="U59" s="294"/>
    </row>
    <row r="60" spans="1:22" ht="13" x14ac:dyDescent="0.3">
      <c r="A60" s="8" t="s">
        <v>54</v>
      </c>
      <c r="B60" s="252"/>
      <c r="C60" s="252"/>
      <c r="D60" s="252"/>
      <c r="E60" s="252"/>
      <c r="F60" s="246"/>
      <c r="G60" s="234">
        <v>20202203.263941601</v>
      </c>
      <c r="H60" s="234">
        <v>24144408.591718305</v>
      </c>
      <c r="I60" s="232">
        <v>44346611.855659902</v>
      </c>
      <c r="J60" s="232" t="e">
        <v>#REF!</v>
      </c>
      <c r="K60" s="301" t="e">
        <v>#REF!</v>
      </c>
      <c r="L60" s="302"/>
      <c r="M60" s="255">
        <v>0</v>
      </c>
      <c r="N60" s="255">
        <v>30461.86</v>
      </c>
      <c r="O60" s="255">
        <v>320274579.5804373</v>
      </c>
      <c r="P60" s="426">
        <v>53859390.810000002</v>
      </c>
      <c r="Q60" s="166">
        <v>191524002.10948002</v>
      </c>
      <c r="R60" s="38"/>
      <c r="S60" s="166"/>
      <c r="T60" s="38"/>
      <c r="U60" s="294"/>
    </row>
    <row r="61" spans="1:22" x14ac:dyDescent="0.25">
      <c r="G61" s="251"/>
      <c r="H61" s="251"/>
      <c r="I61" s="251"/>
      <c r="J61" s="251"/>
      <c r="K61" s="251"/>
      <c r="N61" s="477"/>
      <c r="O61" s="460"/>
      <c r="P61" s="290"/>
      <c r="S61" s="290"/>
      <c r="U61" s="294"/>
    </row>
    <row r="62" spans="1:22" x14ac:dyDescent="0.25">
      <c r="A62" s="449" t="s">
        <v>92</v>
      </c>
      <c r="B62" s="251" t="s">
        <v>75</v>
      </c>
      <c r="G62" s="251"/>
      <c r="H62" s="449" t="s">
        <v>76</v>
      </c>
      <c r="I62" s="251"/>
      <c r="J62" s="47"/>
      <c r="K62" s="47"/>
      <c r="N62" s="477"/>
      <c r="O62" s="477"/>
      <c r="P62" s="290"/>
      <c r="Q62" s="47"/>
      <c r="S62" s="47"/>
      <c r="U62" s="294"/>
    </row>
    <row r="63" spans="1:22" ht="13" x14ac:dyDescent="0.3">
      <c r="B63" s="97" t="s">
        <v>77</v>
      </c>
      <c r="C63" s="98" t="s">
        <v>78</v>
      </c>
      <c r="D63" s="99"/>
      <c r="E63" s="100" t="s">
        <v>34</v>
      </c>
      <c r="F63" s="100" t="s">
        <v>79</v>
      </c>
      <c r="G63" s="251"/>
      <c r="H63" s="71" t="s">
        <v>34</v>
      </c>
      <c r="I63" s="252"/>
      <c r="J63" s="252"/>
      <c r="K63" s="252"/>
      <c r="L63" s="72"/>
      <c r="N63" s="477"/>
      <c r="O63" s="477"/>
      <c r="P63" s="290"/>
      <c r="Q63" s="47"/>
      <c r="S63" s="47"/>
      <c r="U63" s="294"/>
      <c r="V63" s="47"/>
    </row>
    <row r="64" spans="1:22" ht="13" x14ac:dyDescent="0.3">
      <c r="B64" s="450" t="s">
        <v>80</v>
      </c>
      <c r="C64" s="74" t="s">
        <v>81</v>
      </c>
      <c r="D64" s="451"/>
      <c r="E64" s="76"/>
      <c r="F64" s="76"/>
      <c r="G64" s="251"/>
      <c r="H64" s="77" t="str">
        <f>"=  ("&amp;TEXT(E64,"0.0000")&amp;" * "&amp;TEXT(E67,"0.00%")&amp;" + ("&amp;TEXT(E65,"0.0000")&amp;" - "&amp;TEXT(E66,"0.0000")&amp;" - "&amp;TEXT(E69,"0.0000")&amp;") * (1 - "&amp;TEXT(E67,"0.00%")&amp;"))"</f>
        <v>=  (0.0000 * 0.00% + (0.0000 - 0.0000 - 0.0000) * (1 - 0.00%))</v>
      </c>
      <c r="I64" s="251"/>
      <c r="J64" s="251"/>
      <c r="K64" s="251"/>
      <c r="L64" s="78"/>
      <c r="M64" s="499"/>
      <c r="N64" s="597"/>
      <c r="O64" s="583"/>
      <c r="P64" s="500"/>
      <c r="Q64" s="500"/>
      <c r="S64" s="500"/>
      <c r="U64" s="294"/>
    </row>
    <row r="65" spans="1:21" ht="13" x14ac:dyDescent="0.3">
      <c r="B65" s="452" t="s">
        <v>82</v>
      </c>
      <c r="C65" s="80" t="s">
        <v>83</v>
      </c>
      <c r="D65" s="453"/>
      <c r="E65" s="82"/>
      <c r="F65" s="83"/>
      <c r="G65" s="251"/>
      <c r="H65" s="84">
        <f>((85.98%*E64+4.4221)*E67+(E65-E66-E69)*(1-E67))</f>
        <v>0</v>
      </c>
      <c r="I65" s="85"/>
      <c r="J65" s="85"/>
      <c r="K65" s="85"/>
      <c r="L65" s="86"/>
      <c r="M65" s="499">
        <v>9.4199999857272176E-2</v>
      </c>
      <c r="N65" s="597"/>
      <c r="O65" s="583"/>
      <c r="P65" s="500"/>
      <c r="Q65" s="500"/>
      <c r="S65" s="500"/>
      <c r="U65" s="294"/>
    </row>
    <row r="66" spans="1:21" x14ac:dyDescent="0.25">
      <c r="B66" s="452" t="s">
        <v>84</v>
      </c>
      <c r="C66" s="80" t="s">
        <v>85</v>
      </c>
      <c r="D66" s="453"/>
      <c r="E66" s="82"/>
      <c r="F66" s="82"/>
      <c r="G66" s="251"/>
      <c r="H66" s="251"/>
      <c r="I66" s="454"/>
      <c r="J66" s="251"/>
      <c r="K66" s="251"/>
      <c r="M66" s="499">
        <v>0.39999999969547706</v>
      </c>
      <c r="N66" s="598"/>
      <c r="P66" s="290"/>
      <c r="Q66" s="290"/>
      <c r="U66" s="294"/>
    </row>
    <row r="67" spans="1:21" x14ac:dyDescent="0.25">
      <c r="B67" s="452" t="s">
        <v>86</v>
      </c>
      <c r="C67" s="80" t="s">
        <v>87</v>
      </c>
      <c r="D67" s="453"/>
      <c r="E67" s="506"/>
      <c r="F67" s="506"/>
      <c r="G67" s="251"/>
      <c r="H67" s="71" t="s">
        <v>79</v>
      </c>
      <c r="I67" s="89"/>
      <c r="J67" s="252"/>
      <c r="K67" s="252"/>
      <c r="L67" s="72"/>
      <c r="M67" s="499">
        <v>0.38000000287019686</v>
      </c>
      <c r="N67" s="598"/>
      <c r="O67" s="332"/>
      <c r="U67" s="294"/>
    </row>
    <row r="68" spans="1:21" x14ac:dyDescent="0.25">
      <c r="B68" s="452" t="s">
        <v>88</v>
      </c>
      <c r="C68" s="80" t="s">
        <v>89</v>
      </c>
      <c r="D68" s="453"/>
      <c r="E68" s="90"/>
      <c r="F68" s="83"/>
      <c r="G68" s="251"/>
      <c r="H68" s="77" t="str">
        <f>"=  ("&amp;TEXT(F64,"0.0000")&amp;" * "&amp;TEXT(F67,"0.00%")&amp;" + ("&amp;TEXT(F65,"0.0000")&amp;" - "&amp;TEXT(F66,"0.0000")&amp;" - "&amp;TEXT(F69,"0.0000")&amp;") * (1 - "&amp;TEXT(F67,"0.00%")&amp;"))"</f>
        <v>=  (0.0000 * 0.00% + (0.0000 - 0.0000 - 0.0000) * (1 - 0.00%))</v>
      </c>
      <c r="I68" s="454"/>
      <c r="J68" s="251"/>
      <c r="K68" s="251"/>
      <c r="L68" s="78"/>
      <c r="N68" s="597"/>
      <c r="O68" s="332"/>
      <c r="U68" s="294"/>
    </row>
    <row r="69" spans="1:21" x14ac:dyDescent="0.25">
      <c r="B69" s="455" t="s">
        <v>90</v>
      </c>
      <c r="C69" s="92" t="s">
        <v>91</v>
      </c>
      <c r="D69" s="456"/>
      <c r="E69" s="94"/>
      <c r="F69" s="94"/>
      <c r="G69" s="251"/>
      <c r="H69" s="84">
        <f>((85.98%*F64+4.4221)*F67+(F65-F66-F69)*(1-F67))</f>
        <v>0</v>
      </c>
      <c r="I69" s="95"/>
      <c r="J69" s="85"/>
      <c r="K69" s="85"/>
      <c r="L69" s="86"/>
      <c r="M69" s="332"/>
      <c r="N69" s="332"/>
      <c r="O69" s="332"/>
      <c r="U69" s="294"/>
    </row>
    <row r="70" spans="1:21" x14ac:dyDescent="0.25">
      <c r="A70" s="449"/>
      <c r="G70" s="251"/>
      <c r="H70" s="421"/>
      <c r="I70" s="251"/>
      <c r="J70" s="251"/>
      <c r="K70" s="251"/>
      <c r="M70" s="332"/>
      <c r="N70" s="332"/>
      <c r="O70" s="332"/>
      <c r="U70" s="294"/>
    </row>
    <row r="71" spans="1:21" ht="13" x14ac:dyDescent="0.3">
      <c r="A71" s="457"/>
      <c r="G71" s="251"/>
      <c r="H71" s="251"/>
      <c r="I71" s="251"/>
      <c r="J71" s="251"/>
      <c r="K71" s="251"/>
    </row>
    <row r="72" spans="1:21" ht="13" x14ac:dyDescent="0.3">
      <c r="A72" s="457"/>
      <c r="G72" s="251"/>
      <c r="H72" s="251"/>
      <c r="I72" s="251"/>
      <c r="J72" s="251"/>
      <c r="K72" s="251"/>
    </row>
  </sheetData>
  <mergeCells count="2">
    <mergeCell ref="O7:O8"/>
    <mergeCell ref="C7:C8"/>
  </mergeCells>
  <phoneticPr fontId="0" type="noConversion"/>
  <printOptions horizontalCentered="1" verticalCentered="1"/>
  <pageMargins left="0.25" right="0.25" top="0.5" bottom="0.5" header="0" footer="0"/>
  <pageSetup paperSize="9" scale="54"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dimension ref="A1:AM71"/>
  <sheetViews>
    <sheetView view="pageBreakPreview" zoomScaleNormal="95" zoomScaleSheetLayoutView="100" workbookViewId="0">
      <pane xSplit="5" ySplit="1" topLeftCell="F2" activePane="bottomRight" state="frozen"/>
      <selection pane="topRight" activeCell="F1" sqref="F1"/>
      <selection pane="bottomLeft" activeCell="A2" sqref="A2"/>
      <selection pane="bottomRight" activeCell="A5" sqref="A5"/>
    </sheetView>
  </sheetViews>
  <sheetFormatPr baseColWidth="10" defaultColWidth="8.765625" defaultRowHeight="12.5" x14ac:dyDescent="0.25"/>
  <cols>
    <col min="1" max="1" width="3" style="251" customWidth="1"/>
    <col min="2" max="2" width="14.765625" style="251" customWidth="1"/>
    <col min="3" max="3" width="7.765625" style="251" customWidth="1"/>
    <col min="4" max="4" width="8.07421875" style="251" customWidth="1"/>
    <col min="5" max="5" width="8.765625" style="251" customWidth="1"/>
    <col min="6" max="6" width="8.4609375" style="251" customWidth="1"/>
    <col min="7" max="7" width="11.765625" style="172" bestFit="1" customWidth="1"/>
    <col min="8" max="8" width="12.07421875" style="172" customWidth="1"/>
    <col min="9" max="11" width="10.4609375" style="172" customWidth="1"/>
    <col min="12" max="13" width="10.4609375" style="251" customWidth="1"/>
    <col min="14" max="14" width="11.53515625" style="251" customWidth="1"/>
    <col min="15" max="15" width="16" style="251" customWidth="1"/>
    <col min="16" max="17" width="12.765625" style="251" customWidth="1"/>
    <col min="18" max="18" width="5.765625" style="251" customWidth="1"/>
    <col min="19" max="19" width="11.53515625" style="251" customWidth="1"/>
    <col min="20" max="20" width="4" style="251" customWidth="1"/>
    <col min="21" max="21" width="11.07421875" style="251" hidden="1" customWidth="1"/>
    <col min="22" max="23" width="10.765625" style="251" hidden="1" customWidth="1"/>
    <col min="24" max="24" width="10.53515625" style="251" hidden="1" customWidth="1"/>
    <col min="25" max="25" width="8.765625" style="251" hidden="1" customWidth="1"/>
    <col min="26" max="26" width="9.53515625" style="251" hidden="1" customWidth="1"/>
    <col min="27" max="33" width="8.765625" style="251" hidden="1" customWidth="1"/>
    <col min="34" max="34" width="5.23046875" style="251" customWidth="1"/>
    <col min="35" max="35" width="7.3046875" style="251" customWidth="1"/>
    <col min="36" max="36" width="10.765625" style="251" customWidth="1"/>
    <col min="37" max="37" width="11.765625" style="251" bestFit="1" customWidth="1"/>
    <col min="38" max="38" width="10.765625" style="251" customWidth="1"/>
    <col min="39" max="39" width="11.07421875" style="251" customWidth="1"/>
    <col min="40" max="16384" width="8.765625" style="251"/>
  </cols>
  <sheetData>
    <row r="1" spans="1:33" ht="12.75" customHeight="1" x14ac:dyDescent="0.25">
      <c r="A1" s="251" t="s">
        <v>50</v>
      </c>
      <c r="C1" s="1"/>
      <c r="D1" s="1"/>
      <c r="E1" s="7">
        <v>45839</v>
      </c>
      <c r="F1" s="502" t="s">
        <v>330</v>
      </c>
      <c r="S1" s="251" t="s">
        <v>306</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row>
    <row r="4" spans="1:33" x14ac:dyDescent="0.25">
      <c r="A4" s="109" t="s">
        <v>331</v>
      </c>
      <c r="B4" s="109"/>
      <c r="C4" s="109"/>
      <c r="D4" s="109"/>
      <c r="E4" s="109"/>
      <c r="F4" s="109"/>
      <c r="G4" s="109"/>
      <c r="H4" s="109"/>
      <c r="I4" s="109"/>
      <c r="J4" s="109"/>
      <c r="K4" s="109"/>
      <c r="L4" s="109"/>
      <c r="M4" s="109"/>
      <c r="N4" s="109"/>
      <c r="O4" s="109"/>
      <c r="P4" s="109"/>
      <c r="Q4" s="109"/>
      <c r="R4" s="109"/>
      <c r="S4" s="109"/>
      <c r="T4" s="109"/>
    </row>
    <row r="5" spans="1:33" x14ac:dyDescent="0.25">
      <c r="A5" s="109" t="s">
        <v>332</v>
      </c>
      <c r="B5" s="109"/>
      <c r="C5" s="109"/>
      <c r="D5" s="109"/>
      <c r="E5" s="109"/>
      <c r="F5" s="109"/>
      <c r="G5" s="109"/>
      <c r="H5" s="109"/>
      <c r="I5" s="109"/>
      <c r="J5" s="109"/>
      <c r="K5" s="109"/>
      <c r="L5" s="109"/>
      <c r="M5" s="109"/>
      <c r="N5" s="109"/>
      <c r="O5" s="109"/>
      <c r="P5" s="109"/>
      <c r="Q5" s="496"/>
      <c r="R5" s="109"/>
      <c r="S5" s="109"/>
      <c r="T5" s="109"/>
      <c r="U5" s="47"/>
      <c r="V5" s="47"/>
    </row>
    <row r="6" spans="1:33" x14ac:dyDescent="0.25">
      <c r="E6" s="47"/>
      <c r="F6" s="47"/>
      <c r="G6" s="242"/>
      <c r="H6" s="173"/>
      <c r="Q6" s="496"/>
      <c r="U6" s="47"/>
      <c r="W6" s="47"/>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479" t="s">
        <v>301</v>
      </c>
      <c r="V7" s="480"/>
      <c r="W7" s="480"/>
      <c r="X7" s="480"/>
      <c r="Y7" s="480"/>
      <c r="Z7" s="481"/>
      <c r="AA7" s="482" t="s">
        <v>302</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5" t="s">
        <v>28</v>
      </c>
      <c r="B10" s="17" t="s">
        <v>13</v>
      </c>
      <c r="C10" s="69" t="s">
        <v>29</v>
      </c>
      <c r="D10" s="406" t="s">
        <v>30</v>
      </c>
      <c r="E10" s="69" t="s">
        <v>98</v>
      </c>
      <c r="F10" s="223" t="s">
        <v>36</v>
      </c>
      <c r="G10" s="407">
        <v>4588</v>
      </c>
      <c r="H10" s="407">
        <v>9776</v>
      </c>
      <c r="I10" s="408">
        <v>71.122699999999995</v>
      </c>
      <c r="J10" s="408">
        <v>71.314700000000002</v>
      </c>
      <c r="K10" s="409"/>
      <c r="L10" s="409"/>
      <c r="M10" s="409"/>
      <c r="N10" s="458">
        <v>77.040000000000006</v>
      </c>
      <c r="O10" s="407">
        <v>1023406.4199999999</v>
      </c>
      <c r="P10" s="409">
        <v>191888.7</v>
      </c>
      <c r="Q10" s="409">
        <v>153510.96</v>
      </c>
      <c r="R10" s="199">
        <v>0.15</v>
      </c>
      <c r="S10" s="409">
        <v>38377.74</v>
      </c>
      <c r="T10" s="236">
        <v>3.7499999999999999E-2</v>
      </c>
      <c r="U10" s="46">
        <v>14364</v>
      </c>
      <c r="V10" s="46">
        <v>1023406.4199999999</v>
      </c>
      <c r="W10" s="55">
        <v>463.4</v>
      </c>
      <c r="X10" s="56">
        <v>71.248000000000005</v>
      </c>
      <c r="Y10" s="56">
        <v>13.359</v>
      </c>
      <c r="Z10" s="46">
        <v>191888.7</v>
      </c>
      <c r="AA10" s="46" t="s">
        <v>305</v>
      </c>
      <c r="AB10" s="46" t="s">
        <v>305</v>
      </c>
      <c r="AC10" s="55" t="s">
        <v>305</v>
      </c>
      <c r="AD10" s="56" t="s">
        <v>305</v>
      </c>
      <c r="AE10" s="56" t="s">
        <v>305</v>
      </c>
      <c r="AF10" s="46" t="s">
        <v>305</v>
      </c>
      <c r="AG10" s="36"/>
    </row>
    <row r="11" spans="1:33" ht="12.75" customHeight="1" x14ac:dyDescent="0.25">
      <c r="A11" s="405" t="s">
        <v>28</v>
      </c>
      <c r="B11" s="17" t="s">
        <v>14</v>
      </c>
      <c r="C11" s="69" t="s">
        <v>29</v>
      </c>
      <c r="D11" s="406" t="s">
        <v>30</v>
      </c>
      <c r="E11" s="69" t="s">
        <v>98</v>
      </c>
      <c r="F11" s="223" t="s">
        <v>55</v>
      </c>
      <c r="G11" s="407">
        <v>42339.892999999996</v>
      </c>
      <c r="H11" s="407">
        <v>45445.01</v>
      </c>
      <c r="I11" s="408">
        <v>3.8748999999999998</v>
      </c>
      <c r="J11" s="408">
        <v>3.8748999999999998</v>
      </c>
      <c r="K11" s="409"/>
      <c r="L11" s="409"/>
      <c r="M11" s="409"/>
      <c r="N11" s="458">
        <v>215.71</v>
      </c>
      <c r="O11" s="407">
        <v>339942.00999999995</v>
      </c>
      <c r="P11" s="409">
        <v>63739.13</v>
      </c>
      <c r="Q11" s="409">
        <v>50991.3</v>
      </c>
      <c r="R11" s="199">
        <v>0.15</v>
      </c>
      <c r="S11" s="409">
        <v>12747.83</v>
      </c>
      <c r="T11" s="236">
        <v>3.7499999999999999E-2</v>
      </c>
      <c r="U11" s="32" t="s">
        <v>305</v>
      </c>
      <c r="V11" s="32" t="s">
        <v>305</v>
      </c>
      <c r="W11" s="57" t="s">
        <v>305</v>
      </c>
      <c r="X11" s="58" t="s">
        <v>305</v>
      </c>
      <c r="Y11" s="58" t="s">
        <v>305</v>
      </c>
      <c r="Z11" s="32" t="s">
        <v>305</v>
      </c>
      <c r="AA11" s="32">
        <v>87784.902999999991</v>
      </c>
      <c r="AB11" s="32">
        <v>339942.00999999995</v>
      </c>
      <c r="AC11" s="57">
        <v>2831.8</v>
      </c>
      <c r="AD11" s="58">
        <v>3.8723999999999998</v>
      </c>
      <c r="AE11" s="58">
        <v>0.72609999999999997</v>
      </c>
      <c r="AF11" s="32">
        <v>63739.13</v>
      </c>
      <c r="AG11" s="37"/>
    </row>
    <row r="12" spans="1:33" x14ac:dyDescent="0.25">
      <c r="A12" s="405" t="s">
        <v>28</v>
      </c>
      <c r="B12" s="17" t="s">
        <v>3</v>
      </c>
      <c r="C12" s="69" t="s">
        <v>31</v>
      </c>
      <c r="D12" s="406" t="s">
        <v>30</v>
      </c>
      <c r="E12" s="69" t="s">
        <v>98</v>
      </c>
      <c r="F12" s="223" t="s">
        <v>36</v>
      </c>
      <c r="G12" s="407">
        <v>4560</v>
      </c>
      <c r="H12" s="407">
        <v>4859</v>
      </c>
      <c r="I12" s="408">
        <v>70.516000000000005</v>
      </c>
      <c r="J12" s="408">
        <v>70.347899999999996</v>
      </c>
      <c r="K12" s="409"/>
      <c r="L12" s="409"/>
      <c r="M12" s="409"/>
      <c r="N12" s="458">
        <v>619.39</v>
      </c>
      <c r="O12" s="407">
        <v>662754.02</v>
      </c>
      <c r="P12" s="409">
        <v>124266.38</v>
      </c>
      <c r="Q12" s="409">
        <v>99413.1</v>
      </c>
      <c r="R12" s="199">
        <v>0.15</v>
      </c>
      <c r="S12" s="409">
        <v>24853.279999999999</v>
      </c>
      <c r="T12" s="236">
        <v>3.7499999999999999E-2</v>
      </c>
      <c r="U12" s="32">
        <v>9419</v>
      </c>
      <c r="V12" s="32">
        <v>662754.02</v>
      </c>
      <c r="W12" s="57">
        <v>303.8</v>
      </c>
      <c r="X12" s="58">
        <v>70.363500000000002</v>
      </c>
      <c r="Y12" s="58">
        <v>13.193199999999999</v>
      </c>
      <c r="Z12" s="32">
        <v>124266.38</v>
      </c>
      <c r="AA12" s="32" t="s">
        <v>305</v>
      </c>
      <c r="AB12" s="32" t="s">
        <v>305</v>
      </c>
      <c r="AC12" s="57" t="s">
        <v>305</v>
      </c>
      <c r="AD12" s="58" t="s">
        <v>305</v>
      </c>
      <c r="AE12" s="58" t="s">
        <v>305</v>
      </c>
      <c r="AF12" s="32" t="s">
        <v>305</v>
      </c>
      <c r="AG12" s="37"/>
    </row>
    <row r="13" spans="1:33" x14ac:dyDescent="0.25">
      <c r="A13" s="411" t="s">
        <v>28</v>
      </c>
      <c r="B13" s="412" t="s">
        <v>315</v>
      </c>
      <c r="C13" s="223" t="s">
        <v>29</v>
      </c>
      <c r="D13" s="406" t="s">
        <v>30</v>
      </c>
      <c r="E13" s="69" t="s">
        <v>98</v>
      </c>
      <c r="F13" s="223" t="s">
        <v>55</v>
      </c>
      <c r="G13" s="407">
        <v>21706.2997</v>
      </c>
      <c r="H13" s="407">
        <v>23254.256600000001</v>
      </c>
      <c r="I13" s="408">
        <v>2.95</v>
      </c>
      <c r="J13" s="408">
        <v>2.95</v>
      </c>
      <c r="K13" s="409"/>
      <c r="L13" s="409"/>
      <c r="M13" s="409"/>
      <c r="N13" s="458">
        <v>662.53</v>
      </c>
      <c r="O13" s="407">
        <v>131971.11000000002</v>
      </c>
      <c r="P13" s="409">
        <v>24744.58</v>
      </c>
      <c r="Q13" s="409">
        <v>19795.669999999998</v>
      </c>
      <c r="R13" s="199">
        <v>0.15</v>
      </c>
      <c r="S13" s="409">
        <v>4948.92</v>
      </c>
      <c r="T13" s="236">
        <v>3.7499999999999999E-2</v>
      </c>
      <c r="U13" s="32" t="s">
        <v>305</v>
      </c>
      <c r="V13" s="32" t="s">
        <v>305</v>
      </c>
      <c r="W13" s="57" t="s">
        <v>305</v>
      </c>
      <c r="X13" s="58" t="s">
        <v>305</v>
      </c>
      <c r="Y13" s="58" t="s">
        <v>305</v>
      </c>
      <c r="Z13" s="32" t="s">
        <v>305</v>
      </c>
      <c r="AA13" s="32">
        <v>44960.556299999997</v>
      </c>
      <c r="AB13" s="32">
        <v>131971.11000000002</v>
      </c>
      <c r="AC13" s="57">
        <v>1450.3</v>
      </c>
      <c r="AD13" s="58">
        <v>2.9352999999999998</v>
      </c>
      <c r="AE13" s="58">
        <v>0.5504</v>
      </c>
      <c r="AF13" s="32">
        <v>24744.58</v>
      </c>
      <c r="AG13" s="37"/>
    </row>
    <row r="14" spans="1:33" x14ac:dyDescent="0.25">
      <c r="A14" s="405" t="s">
        <v>28</v>
      </c>
      <c r="B14" s="17" t="s">
        <v>4</v>
      </c>
      <c r="C14" s="69" t="s">
        <v>31</v>
      </c>
      <c r="D14" s="406" t="s">
        <v>30</v>
      </c>
      <c r="E14" s="69" t="s">
        <v>98</v>
      </c>
      <c r="F14" s="223" t="s">
        <v>36</v>
      </c>
      <c r="G14" s="407">
        <v>29370</v>
      </c>
      <c r="H14" s="407">
        <v>34117</v>
      </c>
      <c r="I14" s="408">
        <v>71.122699999999995</v>
      </c>
      <c r="J14" s="408">
        <v>71.314700000000002</v>
      </c>
      <c r="K14" s="409"/>
      <c r="L14" s="409"/>
      <c r="M14" s="409"/>
      <c r="N14" s="458">
        <v>1045.67</v>
      </c>
      <c r="O14" s="407">
        <v>4520871.6500000004</v>
      </c>
      <c r="P14" s="409">
        <v>847663.43</v>
      </c>
      <c r="Q14" s="409">
        <v>678130.75</v>
      </c>
      <c r="R14" s="199">
        <v>0.15</v>
      </c>
      <c r="S14" s="409">
        <v>169532.69</v>
      </c>
      <c r="T14" s="236">
        <v>3.7499999999999999E-2</v>
      </c>
      <c r="U14" s="32">
        <v>63487</v>
      </c>
      <c r="V14" s="32">
        <v>4520871.6500000004</v>
      </c>
      <c r="W14" s="57">
        <v>2048</v>
      </c>
      <c r="X14" s="58">
        <v>71.209400000000002</v>
      </c>
      <c r="Y14" s="58">
        <v>13.351800000000001</v>
      </c>
      <c r="Z14" s="32">
        <v>847663.43</v>
      </c>
      <c r="AA14" s="32" t="s">
        <v>305</v>
      </c>
      <c r="AB14" s="32" t="s">
        <v>305</v>
      </c>
      <c r="AC14" s="57" t="s">
        <v>305</v>
      </c>
      <c r="AD14" s="58" t="s">
        <v>305</v>
      </c>
      <c r="AE14" s="58" t="s">
        <v>305</v>
      </c>
      <c r="AF14" s="32" t="s">
        <v>305</v>
      </c>
      <c r="AG14" s="37"/>
    </row>
    <row r="15" spans="1:33" x14ac:dyDescent="0.25">
      <c r="A15" s="405" t="s">
        <v>28</v>
      </c>
      <c r="B15" s="403" t="s">
        <v>316</v>
      </c>
      <c r="C15" s="223" t="s">
        <v>29</v>
      </c>
      <c r="D15" s="406" t="s">
        <v>30</v>
      </c>
      <c r="E15" s="69" t="s">
        <v>98</v>
      </c>
      <c r="F15" s="223" t="s">
        <v>55</v>
      </c>
      <c r="G15" s="407">
        <v>90668.637600000002</v>
      </c>
      <c r="H15" s="407">
        <v>101884.6395</v>
      </c>
      <c r="I15" s="408">
        <v>2.7347000000000001</v>
      </c>
      <c r="J15" s="408">
        <v>2.7347000000000001</v>
      </c>
      <c r="K15" s="409"/>
      <c r="L15" s="409"/>
      <c r="M15" s="409"/>
      <c r="N15" s="409"/>
      <c r="O15" s="410">
        <v>526575.43999999994</v>
      </c>
      <c r="P15" s="409">
        <v>98732.9</v>
      </c>
      <c r="Q15" s="409">
        <v>78986.320000000007</v>
      </c>
      <c r="R15" s="199">
        <v>0.15</v>
      </c>
      <c r="S15" s="409">
        <v>19746.580000000002</v>
      </c>
      <c r="T15" s="236">
        <v>3.7499999999999999E-2</v>
      </c>
      <c r="U15" s="32" t="s">
        <v>305</v>
      </c>
      <c r="V15" s="32" t="s">
        <v>305</v>
      </c>
      <c r="W15" s="57" t="s">
        <v>305</v>
      </c>
      <c r="X15" s="58" t="s">
        <v>305</v>
      </c>
      <c r="Y15" s="58" t="s">
        <v>305</v>
      </c>
      <c r="Z15" s="32" t="s">
        <v>305</v>
      </c>
      <c r="AA15" s="32">
        <v>192553.27710000001</v>
      </c>
      <c r="AB15" s="32">
        <v>526575.43999999994</v>
      </c>
      <c r="AC15" s="57">
        <v>6211.4</v>
      </c>
      <c r="AD15" s="58">
        <v>2.7347000000000001</v>
      </c>
      <c r="AE15" s="58">
        <v>0.51280000000000003</v>
      </c>
      <c r="AF15" s="32">
        <v>98732.9</v>
      </c>
      <c r="AG15" s="37"/>
    </row>
    <row r="16" spans="1:33" x14ac:dyDescent="0.25">
      <c r="A16" s="405" t="s">
        <v>28</v>
      </c>
      <c r="B16" s="17" t="s">
        <v>5</v>
      </c>
      <c r="C16" s="69" t="s">
        <v>31</v>
      </c>
      <c r="D16" s="406" t="s">
        <v>30</v>
      </c>
      <c r="E16" s="69" t="s">
        <v>98</v>
      </c>
      <c r="F16" s="223" t="s">
        <v>36</v>
      </c>
      <c r="G16" s="407">
        <v>52121</v>
      </c>
      <c r="H16" s="407">
        <v>64437</v>
      </c>
      <c r="I16" s="408">
        <v>71.122699999999995</v>
      </c>
      <c r="J16" s="408">
        <v>71.314700000000002</v>
      </c>
      <c r="K16" s="409"/>
      <c r="L16" s="409"/>
      <c r="M16" s="409"/>
      <c r="N16" s="458">
        <v>1745.18</v>
      </c>
      <c r="O16" s="407">
        <v>8300546.3900000006</v>
      </c>
      <c r="P16" s="409">
        <v>1556352.45</v>
      </c>
      <c r="Q16" s="409">
        <v>1245081.96</v>
      </c>
      <c r="R16" s="199">
        <v>0.15</v>
      </c>
      <c r="S16" s="409">
        <v>311270.49</v>
      </c>
      <c r="T16" s="236">
        <v>3.7499999999999999E-2</v>
      </c>
      <c r="U16" s="32">
        <v>116558</v>
      </c>
      <c r="V16" s="32">
        <v>8300546.3900000006</v>
      </c>
      <c r="W16" s="57">
        <v>3759.9</v>
      </c>
      <c r="X16" s="58">
        <v>71.213899999999995</v>
      </c>
      <c r="Y16" s="58">
        <v>13.352600000000001</v>
      </c>
      <c r="Z16" s="32">
        <v>1556352.45</v>
      </c>
      <c r="AA16" s="32" t="s">
        <v>305</v>
      </c>
      <c r="AB16" s="32" t="s">
        <v>305</v>
      </c>
      <c r="AC16" s="57" t="s">
        <v>305</v>
      </c>
      <c r="AD16" s="58" t="s">
        <v>305</v>
      </c>
      <c r="AE16" s="58" t="s">
        <v>305</v>
      </c>
      <c r="AF16" s="32" t="s">
        <v>305</v>
      </c>
      <c r="AG16" s="37"/>
    </row>
    <row r="17" spans="1:36" ht="12" customHeight="1" x14ac:dyDescent="0.25">
      <c r="A17" s="405" t="s">
        <v>28</v>
      </c>
      <c r="B17" s="17" t="s">
        <v>317</v>
      </c>
      <c r="C17" s="69" t="s">
        <v>31</v>
      </c>
      <c r="D17" s="406" t="s">
        <v>30</v>
      </c>
      <c r="E17" s="69" t="s">
        <v>98</v>
      </c>
      <c r="F17" s="223" t="s">
        <v>36</v>
      </c>
      <c r="G17" s="407">
        <v>88142.325500000006</v>
      </c>
      <c r="H17" s="407">
        <v>91133.110700000005</v>
      </c>
      <c r="I17" s="408">
        <v>3.2399</v>
      </c>
      <c r="J17" s="408">
        <v>3.2399</v>
      </c>
      <c r="K17" s="409"/>
      <c r="L17" s="409"/>
      <c r="M17" s="409"/>
      <c r="N17" s="458">
        <v>605.01</v>
      </c>
      <c r="O17" s="407">
        <v>580229.48</v>
      </c>
      <c r="P17" s="409">
        <v>108793.03</v>
      </c>
      <c r="Q17" s="409">
        <v>87034.42</v>
      </c>
      <c r="R17" s="199">
        <v>0.15</v>
      </c>
      <c r="S17" s="409">
        <v>21758.61</v>
      </c>
      <c r="T17" s="236">
        <v>3.7499999999999999E-2</v>
      </c>
      <c r="U17" s="32">
        <v>179275.4362</v>
      </c>
      <c r="V17" s="32">
        <v>580229.48</v>
      </c>
      <c r="W17" s="57">
        <v>5783.1</v>
      </c>
      <c r="X17" s="58">
        <v>3.2364999999999999</v>
      </c>
      <c r="Y17" s="58">
        <v>0.60680000000000001</v>
      </c>
      <c r="Z17" s="32">
        <v>108793.03</v>
      </c>
      <c r="AA17" s="32" t="s">
        <v>305</v>
      </c>
      <c r="AB17" s="32" t="s">
        <v>305</v>
      </c>
      <c r="AC17" s="57" t="s">
        <v>305</v>
      </c>
      <c r="AD17" s="58" t="s">
        <v>305</v>
      </c>
      <c r="AE17" s="58" t="s">
        <v>305</v>
      </c>
      <c r="AF17" s="32" t="s">
        <v>305</v>
      </c>
      <c r="AG17" s="37"/>
    </row>
    <row r="18" spans="1:36" ht="12" customHeight="1" x14ac:dyDescent="0.25">
      <c r="A18" s="405" t="s">
        <v>28</v>
      </c>
      <c r="B18" s="17" t="s">
        <v>17</v>
      </c>
      <c r="C18" s="69" t="s">
        <v>29</v>
      </c>
      <c r="D18" s="406" t="s">
        <v>30</v>
      </c>
      <c r="E18" s="69" t="s">
        <v>98</v>
      </c>
      <c r="F18" s="223" t="s">
        <v>36</v>
      </c>
      <c r="G18" s="407">
        <v>2771</v>
      </c>
      <c r="H18" s="407">
        <v>2717</v>
      </c>
      <c r="I18" s="408">
        <v>70.661299999999997</v>
      </c>
      <c r="J18" s="408">
        <v>70.520300000000006</v>
      </c>
      <c r="K18" s="409"/>
      <c r="L18" s="409"/>
      <c r="M18" s="409"/>
      <c r="N18" s="458">
        <v>403.68</v>
      </c>
      <c r="O18" s="410">
        <v>387002.44</v>
      </c>
      <c r="P18" s="409">
        <v>72562.960000000006</v>
      </c>
      <c r="Q18" s="409">
        <v>58050.37</v>
      </c>
      <c r="R18" s="199">
        <v>0.15</v>
      </c>
      <c r="S18" s="409">
        <v>14512.59</v>
      </c>
      <c r="T18" s="236">
        <v>3.7499999999999999E-2</v>
      </c>
      <c r="U18" s="32">
        <v>5488</v>
      </c>
      <c r="V18" s="32">
        <v>387002.44</v>
      </c>
      <c r="W18" s="57">
        <v>177</v>
      </c>
      <c r="X18" s="58">
        <v>70.517899999999997</v>
      </c>
      <c r="Y18" s="58">
        <v>13.222099999999999</v>
      </c>
      <c r="Z18" s="32">
        <v>72562.960000000006</v>
      </c>
      <c r="AA18" s="32" t="s">
        <v>305</v>
      </c>
      <c r="AB18" s="32" t="s">
        <v>305</v>
      </c>
      <c r="AC18" s="57" t="s">
        <v>305</v>
      </c>
      <c r="AD18" s="58" t="s">
        <v>305</v>
      </c>
      <c r="AE18" s="58" t="s">
        <v>305</v>
      </c>
      <c r="AF18" s="32" t="s">
        <v>305</v>
      </c>
      <c r="AG18" s="37"/>
    </row>
    <row r="19" spans="1:36" x14ac:dyDescent="0.25">
      <c r="A19" s="468" t="s">
        <v>28</v>
      </c>
      <c r="B19" s="403" t="s">
        <v>293</v>
      </c>
      <c r="C19" s="469" t="s">
        <v>31</v>
      </c>
      <c r="D19" s="470" t="s">
        <v>30</v>
      </c>
      <c r="E19" s="69" t="s">
        <v>98</v>
      </c>
      <c r="F19" s="223" t="s">
        <v>36</v>
      </c>
      <c r="G19" s="407">
        <v>20739</v>
      </c>
      <c r="H19" s="407">
        <v>26867</v>
      </c>
      <c r="I19" s="417">
        <v>71.122699999999995</v>
      </c>
      <c r="J19" s="408">
        <v>71.314700000000002</v>
      </c>
      <c r="K19" s="409"/>
      <c r="L19" s="409"/>
      <c r="M19" s="409"/>
      <c r="N19" s="458">
        <v>486.89</v>
      </c>
      <c r="O19" s="410">
        <v>3390538.8299999996</v>
      </c>
      <c r="P19" s="409">
        <v>635726.03</v>
      </c>
      <c r="Q19" s="409">
        <v>508580.82</v>
      </c>
      <c r="R19" s="199">
        <v>0.15</v>
      </c>
      <c r="S19" s="409">
        <v>127145.21</v>
      </c>
      <c r="T19" s="236">
        <v>3.7499999999999999E-2</v>
      </c>
      <c r="U19" s="32">
        <v>47606</v>
      </c>
      <c r="V19" s="32">
        <v>3390538.8299999996</v>
      </c>
      <c r="W19" s="57">
        <v>1535.7</v>
      </c>
      <c r="X19" s="58">
        <v>71.220799999999997</v>
      </c>
      <c r="Y19" s="58">
        <v>13.353899999999999</v>
      </c>
      <c r="Z19" s="32">
        <v>635726.03</v>
      </c>
      <c r="AA19" s="32" t="s">
        <v>305</v>
      </c>
      <c r="AB19" s="32" t="s">
        <v>305</v>
      </c>
      <c r="AC19" s="57" t="s">
        <v>305</v>
      </c>
      <c r="AD19" s="58" t="s">
        <v>305</v>
      </c>
      <c r="AE19" s="58" t="s">
        <v>305</v>
      </c>
      <c r="AF19" s="32" t="s">
        <v>305</v>
      </c>
      <c r="AG19" s="37"/>
    </row>
    <row r="20" spans="1:36" x14ac:dyDescent="0.25">
      <c r="A20" s="468" t="s">
        <v>28</v>
      </c>
      <c r="B20" s="403" t="s">
        <v>294</v>
      </c>
      <c r="C20" s="469" t="s">
        <v>31</v>
      </c>
      <c r="D20" s="470" t="s">
        <v>30</v>
      </c>
      <c r="E20" s="69" t="s">
        <v>98</v>
      </c>
      <c r="F20" s="223" t="s">
        <v>55</v>
      </c>
      <c r="G20" s="407">
        <v>58948.957699999999</v>
      </c>
      <c r="H20" s="407">
        <v>60937.621299999999</v>
      </c>
      <c r="I20" s="417">
        <v>3.8243</v>
      </c>
      <c r="J20" s="408">
        <v>3.8243</v>
      </c>
      <c r="K20" s="409"/>
      <c r="L20" s="409"/>
      <c r="M20" s="409"/>
      <c r="N20" s="458">
        <v>209.54</v>
      </c>
      <c r="O20" s="410">
        <v>458272.71</v>
      </c>
      <c r="P20" s="409">
        <v>85926.13</v>
      </c>
      <c r="Q20" s="409">
        <v>68740.91</v>
      </c>
      <c r="R20" s="199">
        <v>0.15</v>
      </c>
      <c r="S20" s="409">
        <v>17185.23</v>
      </c>
      <c r="T20" s="236">
        <v>3.7499999999999999E-2</v>
      </c>
      <c r="U20" s="32" t="s">
        <v>305</v>
      </c>
      <c r="V20" s="32" t="s">
        <v>305</v>
      </c>
      <c r="W20" s="57" t="s">
        <v>305</v>
      </c>
      <c r="X20" s="58" t="s">
        <v>305</v>
      </c>
      <c r="Y20" s="58" t="s">
        <v>305</v>
      </c>
      <c r="Z20" s="32" t="s">
        <v>305</v>
      </c>
      <c r="AA20" s="32">
        <v>119886.579</v>
      </c>
      <c r="AB20" s="32">
        <v>458272.71</v>
      </c>
      <c r="AC20" s="57">
        <v>3867.3</v>
      </c>
      <c r="AD20" s="58">
        <v>3.8226</v>
      </c>
      <c r="AE20" s="58">
        <v>0.7167</v>
      </c>
      <c r="AF20" s="32">
        <v>85926.13</v>
      </c>
      <c r="AG20" s="37"/>
    </row>
    <row r="21" spans="1:36" x14ac:dyDescent="0.25">
      <c r="A21" s="468" t="s">
        <v>28</v>
      </c>
      <c r="B21" s="403" t="s">
        <v>295</v>
      </c>
      <c r="C21" s="469" t="s">
        <v>31</v>
      </c>
      <c r="D21" s="470" t="s">
        <v>30</v>
      </c>
      <c r="E21" s="69" t="s">
        <v>98</v>
      </c>
      <c r="F21" s="223" t="s">
        <v>36</v>
      </c>
      <c r="G21" s="407">
        <v>14774</v>
      </c>
      <c r="H21" s="407">
        <v>16008</v>
      </c>
      <c r="I21" s="417">
        <v>70.661299999999997</v>
      </c>
      <c r="J21" s="408">
        <v>70.520300000000006</v>
      </c>
      <c r="K21" s="409"/>
      <c r="L21" s="409"/>
      <c r="M21" s="409"/>
      <c r="N21" s="458">
        <v>240.36</v>
      </c>
      <c r="O21" s="410">
        <v>2172598.65</v>
      </c>
      <c r="P21" s="409">
        <v>407362.25</v>
      </c>
      <c r="Q21" s="409">
        <v>325889.8</v>
      </c>
      <c r="R21" s="199">
        <v>0.15</v>
      </c>
      <c r="S21" s="409">
        <v>81472.45</v>
      </c>
      <c r="T21" s="236">
        <v>3.7499999999999999E-2</v>
      </c>
      <c r="U21" s="32">
        <v>30782</v>
      </c>
      <c r="V21" s="32">
        <v>2172598.65</v>
      </c>
      <c r="W21" s="57">
        <v>993</v>
      </c>
      <c r="X21" s="58">
        <v>70.580200000000005</v>
      </c>
      <c r="Y21" s="58">
        <v>13.2338</v>
      </c>
      <c r="Z21" s="32">
        <v>407362.25</v>
      </c>
      <c r="AA21" s="32" t="s">
        <v>305</v>
      </c>
      <c r="AB21" s="32" t="s">
        <v>305</v>
      </c>
      <c r="AC21" s="57" t="s">
        <v>305</v>
      </c>
      <c r="AD21" s="58" t="s">
        <v>305</v>
      </c>
      <c r="AE21" s="58" t="s">
        <v>305</v>
      </c>
      <c r="AF21" s="32" t="s">
        <v>305</v>
      </c>
      <c r="AG21" s="37"/>
    </row>
    <row r="22" spans="1:36" x14ac:dyDescent="0.25">
      <c r="A22" s="405" t="s">
        <v>28</v>
      </c>
      <c r="B22" s="17" t="s">
        <v>18</v>
      </c>
      <c r="C22" s="69" t="s">
        <v>31</v>
      </c>
      <c r="D22" s="406" t="s">
        <v>30</v>
      </c>
      <c r="E22" s="69" t="s">
        <v>98</v>
      </c>
      <c r="F22" s="223" t="s">
        <v>36</v>
      </c>
      <c r="G22" s="407">
        <v>1839</v>
      </c>
      <c r="H22" s="407">
        <v>2962</v>
      </c>
      <c r="I22" s="408">
        <v>71.122699999999995</v>
      </c>
      <c r="J22" s="408">
        <v>71.314700000000002</v>
      </c>
      <c r="K22" s="409"/>
      <c r="L22" s="409"/>
      <c r="M22" s="409"/>
      <c r="N22" s="458">
        <v>258.85000000000002</v>
      </c>
      <c r="O22" s="410">
        <v>341769.94000000006</v>
      </c>
      <c r="P22" s="409">
        <v>64081.86</v>
      </c>
      <c r="Q22" s="409">
        <v>51265.49</v>
      </c>
      <c r="R22" s="199">
        <v>0.15</v>
      </c>
      <c r="S22" s="409">
        <v>12816.37</v>
      </c>
      <c r="T22" s="236">
        <v>3.7499999999999999E-2</v>
      </c>
      <c r="U22" s="32">
        <v>4801</v>
      </c>
      <c r="V22" s="32">
        <v>341769.94000000006</v>
      </c>
      <c r="W22" s="57">
        <v>154.9</v>
      </c>
      <c r="X22" s="58">
        <v>71.187200000000004</v>
      </c>
      <c r="Y22" s="58">
        <v>13.3476</v>
      </c>
      <c r="Z22" s="32">
        <v>64081.86</v>
      </c>
      <c r="AA22" s="32" t="s">
        <v>305</v>
      </c>
      <c r="AB22" s="32" t="s">
        <v>305</v>
      </c>
      <c r="AC22" s="57" t="s">
        <v>305</v>
      </c>
      <c r="AD22" s="58" t="s">
        <v>305</v>
      </c>
      <c r="AE22" s="58" t="s">
        <v>305</v>
      </c>
      <c r="AF22" s="32" t="s">
        <v>305</v>
      </c>
      <c r="AG22" s="37"/>
    </row>
    <row r="23" spans="1:36" x14ac:dyDescent="0.25">
      <c r="A23" s="405" t="s">
        <v>28</v>
      </c>
      <c r="B23" s="17" t="s">
        <v>20</v>
      </c>
      <c r="C23" s="69" t="s">
        <v>31</v>
      </c>
      <c r="D23" s="406" t="s">
        <v>30</v>
      </c>
      <c r="E23" s="69" t="s">
        <v>98</v>
      </c>
      <c r="F23" s="223" t="s">
        <v>36</v>
      </c>
      <c r="G23" s="407">
        <v>124506</v>
      </c>
      <c r="H23" s="407">
        <v>133753</v>
      </c>
      <c r="I23" s="408">
        <v>72.100499999999997</v>
      </c>
      <c r="J23" s="408">
        <v>71.864900000000006</v>
      </c>
      <c r="K23" s="409"/>
      <c r="L23" s="409"/>
      <c r="M23" s="409"/>
      <c r="N23" s="458">
        <v>1193.5899999999999</v>
      </c>
      <c r="O23" s="410">
        <v>18587897.23</v>
      </c>
      <c r="P23" s="409">
        <v>3485230.73</v>
      </c>
      <c r="Q23" s="409">
        <v>2788184.58</v>
      </c>
      <c r="R23" s="199">
        <v>0.15</v>
      </c>
      <c r="S23" s="409">
        <v>697046.15</v>
      </c>
      <c r="T23" s="236">
        <v>3.7499999999999999E-2</v>
      </c>
      <c r="U23" s="32">
        <v>258259</v>
      </c>
      <c r="V23" s="32">
        <v>18587897.23</v>
      </c>
      <c r="W23" s="57">
        <v>8330.9</v>
      </c>
      <c r="X23" s="58">
        <v>71.9739</v>
      </c>
      <c r="Y23" s="58">
        <v>13.495100000000001</v>
      </c>
      <c r="Z23" s="32">
        <v>3485230.73</v>
      </c>
      <c r="AA23" s="32" t="s">
        <v>305</v>
      </c>
      <c r="AB23" s="32" t="s">
        <v>305</v>
      </c>
      <c r="AC23" s="57" t="s">
        <v>305</v>
      </c>
      <c r="AD23" s="58" t="s">
        <v>305</v>
      </c>
      <c r="AE23" s="58" t="s">
        <v>305</v>
      </c>
      <c r="AF23" s="32" t="s">
        <v>305</v>
      </c>
      <c r="AG23" s="37"/>
    </row>
    <row r="24" spans="1:36" x14ac:dyDescent="0.25">
      <c r="A24" s="405" t="s">
        <v>28</v>
      </c>
      <c r="B24" s="17" t="s">
        <v>318</v>
      </c>
      <c r="C24" s="69" t="s">
        <v>31</v>
      </c>
      <c r="D24" s="406" t="s">
        <v>21</v>
      </c>
      <c r="E24" s="69" t="s">
        <v>98</v>
      </c>
      <c r="F24" s="223" t="s">
        <v>55</v>
      </c>
      <c r="G24" s="407">
        <v>203062.61</v>
      </c>
      <c r="H24" s="407">
        <v>213238.09</v>
      </c>
      <c r="I24" s="408">
        <v>3.1</v>
      </c>
      <c r="J24" s="408">
        <v>3.1</v>
      </c>
      <c r="K24" s="409"/>
      <c r="L24" s="409"/>
      <c r="M24" s="409"/>
      <c r="N24" s="458">
        <v>910.08</v>
      </c>
      <c r="O24" s="410">
        <v>1289622.0899999999</v>
      </c>
      <c r="P24" s="409">
        <v>241804.14</v>
      </c>
      <c r="Q24" s="409">
        <v>193443.31</v>
      </c>
      <c r="R24" s="199">
        <v>0.15</v>
      </c>
      <c r="S24" s="409">
        <v>48360.83</v>
      </c>
      <c r="T24" s="236">
        <v>3.7499999999999999E-2</v>
      </c>
      <c r="U24" s="32" t="s">
        <v>305</v>
      </c>
      <c r="V24" s="32" t="s">
        <v>305</v>
      </c>
      <c r="W24" s="57" t="s">
        <v>305</v>
      </c>
      <c r="X24" s="58" t="s">
        <v>305</v>
      </c>
      <c r="Y24" s="58" t="s">
        <v>305</v>
      </c>
      <c r="Z24" s="32" t="s">
        <v>305</v>
      </c>
      <c r="AA24" s="32">
        <v>416300.69999999995</v>
      </c>
      <c r="AB24" s="32">
        <v>1289622.0899999999</v>
      </c>
      <c r="AC24" s="57">
        <v>13429.1</v>
      </c>
      <c r="AD24" s="58">
        <v>3.0977999999999999</v>
      </c>
      <c r="AE24" s="58">
        <v>0.58079999999999998</v>
      </c>
      <c r="AF24" s="32">
        <v>241804.14</v>
      </c>
      <c r="AG24" s="37"/>
    </row>
    <row r="25" spans="1:36" x14ac:dyDescent="0.25">
      <c r="A25" s="405" t="s">
        <v>28</v>
      </c>
      <c r="B25" s="17" t="s">
        <v>9</v>
      </c>
      <c r="C25" s="69" t="s">
        <v>31</v>
      </c>
      <c r="D25" s="406" t="s">
        <v>30</v>
      </c>
      <c r="E25" s="69" t="s">
        <v>98</v>
      </c>
      <c r="F25" s="223" t="s">
        <v>36</v>
      </c>
      <c r="G25" s="407">
        <v>252</v>
      </c>
      <c r="H25" s="407">
        <v>254</v>
      </c>
      <c r="I25" s="408">
        <v>70.661299999999997</v>
      </c>
      <c r="J25" s="408">
        <v>70.520300000000006</v>
      </c>
      <c r="K25" s="409"/>
      <c r="L25" s="409"/>
      <c r="M25" s="409"/>
      <c r="N25" s="458">
        <v>280.42</v>
      </c>
      <c r="O25" s="410">
        <v>35438.39</v>
      </c>
      <c r="P25" s="409">
        <v>6644.7</v>
      </c>
      <c r="Q25" s="409">
        <v>5315.76</v>
      </c>
      <c r="R25" s="199">
        <v>0.15</v>
      </c>
      <c r="S25" s="409">
        <v>1328.94</v>
      </c>
      <c r="T25" s="236">
        <v>3.7499999999999999E-2</v>
      </c>
      <c r="U25" s="32">
        <v>506</v>
      </c>
      <c r="V25" s="32">
        <v>35438.39</v>
      </c>
      <c r="W25" s="57">
        <v>16.3</v>
      </c>
      <c r="X25" s="58">
        <v>70.036299999999997</v>
      </c>
      <c r="Y25" s="58">
        <v>13.1318</v>
      </c>
      <c r="Z25" s="32">
        <v>6644.7</v>
      </c>
      <c r="AA25" s="32" t="s">
        <v>305</v>
      </c>
      <c r="AB25" s="32" t="s">
        <v>305</v>
      </c>
      <c r="AC25" s="57" t="s">
        <v>305</v>
      </c>
      <c r="AD25" s="58" t="s">
        <v>305</v>
      </c>
      <c r="AE25" s="58" t="s">
        <v>305</v>
      </c>
      <c r="AF25" s="32" t="s">
        <v>305</v>
      </c>
      <c r="AG25" s="37"/>
    </row>
    <row r="26" spans="1:36" x14ac:dyDescent="0.25">
      <c r="A26" s="405" t="s">
        <v>28</v>
      </c>
      <c r="B26" s="17" t="s">
        <v>165</v>
      </c>
      <c r="C26" s="69" t="s">
        <v>31</v>
      </c>
      <c r="D26" s="406" t="s">
        <v>30</v>
      </c>
      <c r="E26" s="69" t="s">
        <v>98</v>
      </c>
      <c r="F26" s="223" t="s">
        <v>36</v>
      </c>
      <c r="G26" s="407">
        <v>13304</v>
      </c>
      <c r="H26" s="407">
        <v>14251</v>
      </c>
      <c r="I26" s="408">
        <v>69.342699999999994</v>
      </c>
      <c r="J26" s="408">
        <v>71.244699999999995</v>
      </c>
      <c r="K26" s="409"/>
      <c r="L26" s="409"/>
      <c r="M26" s="409"/>
      <c r="N26" s="458">
        <v>2671.7</v>
      </c>
      <c r="O26" s="410">
        <v>1935171.8</v>
      </c>
      <c r="P26" s="409">
        <v>362844.71</v>
      </c>
      <c r="Q26" s="409">
        <v>290275.77</v>
      </c>
      <c r="R26" s="199">
        <v>0.15</v>
      </c>
      <c r="S26" s="409">
        <v>72568.94</v>
      </c>
      <c r="T26" s="236">
        <v>3.7499999999999999E-2</v>
      </c>
      <c r="U26" s="32">
        <v>27555</v>
      </c>
      <c r="V26" s="32">
        <v>1935171.8</v>
      </c>
      <c r="W26" s="57">
        <v>888.9</v>
      </c>
      <c r="X26" s="58">
        <v>70.229399999999998</v>
      </c>
      <c r="Y26" s="58">
        <v>13.167999999999999</v>
      </c>
      <c r="Z26" s="32">
        <v>362844.71</v>
      </c>
      <c r="AA26" s="32" t="s">
        <v>305</v>
      </c>
      <c r="AB26" s="32" t="s">
        <v>305</v>
      </c>
      <c r="AC26" s="57" t="s">
        <v>305</v>
      </c>
      <c r="AD26" s="58" t="s">
        <v>305</v>
      </c>
      <c r="AE26" s="58" t="s">
        <v>305</v>
      </c>
      <c r="AF26" s="32" t="s">
        <v>305</v>
      </c>
      <c r="AG26" s="37"/>
    </row>
    <row r="27" spans="1:36" x14ac:dyDescent="0.25">
      <c r="A27" s="405" t="s">
        <v>28</v>
      </c>
      <c r="B27" s="17" t="s">
        <v>157</v>
      </c>
      <c r="C27" s="69" t="s">
        <v>31</v>
      </c>
      <c r="D27" s="406" t="s">
        <v>30</v>
      </c>
      <c r="E27" s="69" t="s">
        <v>98</v>
      </c>
      <c r="F27" s="223" t="s">
        <v>55</v>
      </c>
      <c r="G27" s="458">
        <v>455459.38569999998</v>
      </c>
      <c r="H27" s="458">
        <v>439401.18690000003</v>
      </c>
      <c r="I27" s="417">
        <v>2.9858112549595002</v>
      </c>
      <c r="J27" s="458">
        <v>2.8893900331883691</v>
      </c>
      <c r="K27" s="409"/>
      <c r="L27" s="409"/>
      <c r="M27" s="409"/>
      <c r="N27" s="458">
        <v>1112.44</v>
      </c>
      <c r="O27" s="458">
        <v>2629517.17</v>
      </c>
      <c r="P27" s="458">
        <v>493034.48</v>
      </c>
      <c r="Q27" s="458">
        <v>394427.58</v>
      </c>
      <c r="R27" s="199">
        <v>0.15</v>
      </c>
      <c r="S27" s="458">
        <v>98606.89</v>
      </c>
      <c r="T27" s="236">
        <v>3.7499999999999999E-2</v>
      </c>
      <c r="U27" s="32" t="s">
        <v>305</v>
      </c>
      <c r="V27" s="32" t="s">
        <v>305</v>
      </c>
      <c r="W27" s="57" t="s">
        <v>305</v>
      </c>
      <c r="X27" s="58" t="s">
        <v>305</v>
      </c>
      <c r="Y27" s="58" t="s">
        <v>305</v>
      </c>
      <c r="Z27" s="32" t="s">
        <v>305</v>
      </c>
      <c r="AA27" s="32">
        <v>894860.57260000007</v>
      </c>
      <c r="AB27" s="32">
        <v>2629517.17</v>
      </c>
      <c r="AC27" s="57">
        <v>28866.5</v>
      </c>
      <c r="AD27" s="58">
        <v>2.9384999999999999</v>
      </c>
      <c r="AE27" s="58">
        <v>0.55100000000000005</v>
      </c>
      <c r="AF27" s="32">
        <v>493034.48</v>
      </c>
      <c r="AG27" s="37"/>
    </row>
    <row r="28" spans="1:36" x14ac:dyDescent="0.25">
      <c r="A28" s="405" t="s">
        <v>28</v>
      </c>
      <c r="B28" s="17" t="s">
        <v>170</v>
      </c>
      <c r="C28" s="69" t="s">
        <v>31</v>
      </c>
      <c r="D28" s="406" t="s">
        <v>30</v>
      </c>
      <c r="E28" s="69" t="s">
        <v>98</v>
      </c>
      <c r="F28" s="223" t="s">
        <v>36</v>
      </c>
      <c r="G28" s="407">
        <v>152</v>
      </c>
      <c r="H28" s="407">
        <v>131</v>
      </c>
      <c r="I28" s="408">
        <v>71.122699999999995</v>
      </c>
      <c r="J28" s="408">
        <v>71.314700000000002</v>
      </c>
      <c r="K28" s="409"/>
      <c r="L28" s="409"/>
      <c r="M28" s="409"/>
      <c r="N28" s="458">
        <v>166.4</v>
      </c>
      <c r="O28" s="410">
        <v>19986.479999999996</v>
      </c>
      <c r="P28" s="409">
        <v>3747.47</v>
      </c>
      <c r="Q28" s="409">
        <v>749.49</v>
      </c>
      <c r="R28" s="236">
        <v>3.7499999999999999E-2</v>
      </c>
      <c r="S28" s="409">
        <v>2997.97</v>
      </c>
      <c r="T28" s="199">
        <v>0.15</v>
      </c>
      <c r="U28" s="32">
        <v>283</v>
      </c>
      <c r="V28" s="32">
        <v>19986.479999999996</v>
      </c>
      <c r="W28" s="57">
        <v>9.1</v>
      </c>
      <c r="X28" s="58">
        <v>70.623599999999996</v>
      </c>
      <c r="Y28" s="58">
        <v>13.241899999999999</v>
      </c>
      <c r="Z28" s="32">
        <v>3747.47</v>
      </c>
      <c r="AA28" s="32" t="s">
        <v>305</v>
      </c>
      <c r="AB28" s="32" t="s">
        <v>305</v>
      </c>
      <c r="AC28" s="57" t="s">
        <v>305</v>
      </c>
      <c r="AD28" s="58" t="s">
        <v>305</v>
      </c>
      <c r="AE28" s="58" t="s">
        <v>305</v>
      </c>
      <c r="AF28" s="32" t="s">
        <v>305</v>
      </c>
      <c r="AG28" s="37"/>
    </row>
    <row r="29" spans="1:36" x14ac:dyDescent="0.25">
      <c r="A29" s="405" t="s">
        <v>28</v>
      </c>
      <c r="B29" s="17" t="s">
        <v>319</v>
      </c>
      <c r="C29" s="69" t="s">
        <v>31</v>
      </c>
      <c r="D29" s="406" t="s">
        <v>30</v>
      </c>
      <c r="E29" s="69" t="s">
        <v>98</v>
      </c>
      <c r="F29" s="223" t="s">
        <v>36</v>
      </c>
      <c r="G29" s="407">
        <v>60432</v>
      </c>
      <c r="H29" s="407"/>
      <c r="I29" s="408">
        <v>64.032700000000006</v>
      </c>
      <c r="J29" s="408"/>
      <c r="K29" s="409"/>
      <c r="L29" s="409"/>
      <c r="M29" s="409"/>
      <c r="N29" s="458">
        <v>841.26</v>
      </c>
      <c r="O29" s="410">
        <v>3868782.87</v>
      </c>
      <c r="P29" s="409">
        <v>725396.79</v>
      </c>
      <c r="Q29" s="409">
        <v>145079.35999999999</v>
      </c>
      <c r="R29" s="236">
        <v>3.7499999999999999E-2</v>
      </c>
      <c r="S29" s="409">
        <v>580317.43000000005</v>
      </c>
      <c r="T29" s="199">
        <v>0.15</v>
      </c>
      <c r="U29" s="32"/>
      <c r="V29" s="32"/>
      <c r="W29" s="57"/>
      <c r="X29" s="58"/>
      <c r="Y29" s="58"/>
      <c r="Z29" s="32"/>
      <c r="AA29" s="32"/>
      <c r="AB29" s="32"/>
      <c r="AC29" s="57"/>
      <c r="AD29" s="58"/>
      <c r="AE29" s="58"/>
      <c r="AF29" s="32"/>
      <c r="AG29" s="37"/>
      <c r="AI29" s="290"/>
      <c r="AJ29" s="290"/>
    </row>
    <row r="30" spans="1:36" x14ac:dyDescent="0.25">
      <c r="A30" s="413" t="s">
        <v>28</v>
      </c>
      <c r="B30" s="414" t="s">
        <v>296</v>
      </c>
      <c r="C30" s="69" t="s">
        <v>31</v>
      </c>
      <c r="D30" s="406" t="s">
        <v>30</v>
      </c>
      <c r="E30" s="69" t="s">
        <v>98</v>
      </c>
      <c r="F30" s="223" t="s">
        <v>36</v>
      </c>
      <c r="G30" s="458">
        <v>37428</v>
      </c>
      <c r="H30" s="458">
        <v>66707</v>
      </c>
      <c r="I30" s="408">
        <v>69.105500000000006</v>
      </c>
      <c r="J30" s="408">
        <v>69.964200000000005</v>
      </c>
      <c r="K30" s="407"/>
      <c r="L30" s="409"/>
      <c r="M30" s="409"/>
      <c r="N30" s="458">
        <v>428.33</v>
      </c>
      <c r="O30" s="410">
        <v>7253154.209999999</v>
      </c>
      <c r="P30" s="409">
        <v>1359966.41</v>
      </c>
      <c r="Q30" s="409">
        <v>1087973.1299999999</v>
      </c>
      <c r="R30" s="227">
        <v>0.15</v>
      </c>
      <c r="S30" s="409">
        <v>271993.28000000003</v>
      </c>
      <c r="T30" s="236">
        <v>3.7499999999999999E-2</v>
      </c>
      <c r="U30" s="32"/>
      <c r="V30" s="32"/>
      <c r="W30" s="57"/>
      <c r="X30" s="58"/>
      <c r="Y30" s="58"/>
      <c r="Z30" s="32"/>
      <c r="AA30" s="32"/>
      <c r="AB30" s="32"/>
      <c r="AC30" s="57"/>
      <c r="AD30" s="58"/>
      <c r="AE30" s="58"/>
      <c r="AF30" s="32"/>
      <c r="AG30" s="37"/>
    </row>
    <row r="31" spans="1:36" x14ac:dyDescent="0.25">
      <c r="A31" s="413" t="s">
        <v>28</v>
      </c>
      <c r="B31" s="414" t="s">
        <v>297</v>
      </c>
      <c r="C31" s="69" t="s">
        <v>31</v>
      </c>
      <c r="D31" s="406" t="s">
        <v>30</v>
      </c>
      <c r="E31" s="69" t="s">
        <v>98</v>
      </c>
      <c r="F31" s="223" t="s">
        <v>55</v>
      </c>
      <c r="G31" s="458">
        <v>148468.74</v>
      </c>
      <c r="H31" s="458">
        <v>159502.07999999999</v>
      </c>
      <c r="I31" s="417">
        <v>2.7444028958553837</v>
      </c>
      <c r="J31" s="417">
        <v>2.7487626493648234</v>
      </c>
      <c r="K31" s="407"/>
      <c r="L31" s="409"/>
      <c r="M31" s="409"/>
      <c r="N31" s="458">
        <v>379.03</v>
      </c>
      <c r="O31" s="458">
        <v>845891.39999999991</v>
      </c>
      <c r="P31" s="458">
        <v>158604.63</v>
      </c>
      <c r="Q31" s="458">
        <v>126883.71</v>
      </c>
      <c r="R31" s="227">
        <v>0.15</v>
      </c>
      <c r="S31" s="458">
        <v>31720.929999999997</v>
      </c>
      <c r="T31" s="236">
        <v>3.7499999999999999E-2</v>
      </c>
      <c r="U31" s="32"/>
      <c r="V31" s="32"/>
      <c r="W31" s="57"/>
      <c r="X31" s="58"/>
      <c r="Y31" s="58"/>
      <c r="Z31" s="32"/>
      <c r="AA31" s="32"/>
      <c r="AB31" s="32"/>
      <c r="AC31" s="57"/>
      <c r="AD31" s="58"/>
      <c r="AE31" s="58"/>
      <c r="AF31" s="32"/>
      <c r="AG31" s="37"/>
    </row>
    <row r="32" spans="1:36" x14ac:dyDescent="0.25">
      <c r="A32" s="413" t="s">
        <v>28</v>
      </c>
      <c r="B32" s="414" t="s">
        <v>298</v>
      </c>
      <c r="C32" s="69" t="s">
        <v>31</v>
      </c>
      <c r="D32" s="406" t="s">
        <v>30</v>
      </c>
      <c r="E32" s="69" t="s">
        <v>98</v>
      </c>
      <c r="F32" s="223" t="s">
        <v>36</v>
      </c>
      <c r="G32" s="458">
        <v>9525</v>
      </c>
      <c r="H32" s="458">
        <v>10268</v>
      </c>
      <c r="I32" s="408">
        <v>37.5276</v>
      </c>
      <c r="J32" s="408">
        <v>37.117100000000001</v>
      </c>
      <c r="K32" s="407"/>
      <c r="L32" s="409"/>
      <c r="M32" s="409"/>
      <c r="N32" s="458">
        <v>412.93</v>
      </c>
      <c r="O32" s="410">
        <v>738155.84</v>
      </c>
      <c r="P32" s="409">
        <v>138404.22</v>
      </c>
      <c r="Q32" s="409">
        <v>110723.38</v>
      </c>
      <c r="R32" s="227">
        <v>0.15</v>
      </c>
      <c r="S32" s="409">
        <v>27680.84</v>
      </c>
      <c r="T32" s="236">
        <v>3.7499999999999999E-2</v>
      </c>
      <c r="U32" s="32"/>
      <c r="V32" s="32"/>
      <c r="W32" s="57"/>
      <c r="X32" s="58"/>
      <c r="Y32" s="58"/>
      <c r="Z32" s="32"/>
      <c r="AA32" s="32"/>
      <c r="AB32" s="32"/>
      <c r="AC32" s="57"/>
      <c r="AD32" s="58"/>
      <c r="AE32" s="58"/>
      <c r="AF32" s="32"/>
      <c r="AG32" s="37"/>
    </row>
    <row r="33" spans="1:35" x14ac:dyDescent="0.25">
      <c r="A33" s="413" t="s">
        <v>28</v>
      </c>
      <c r="B33" s="414" t="s">
        <v>51</v>
      </c>
      <c r="C33" s="415"/>
      <c r="D33" s="415"/>
      <c r="E33" s="416"/>
      <c r="F33" s="223"/>
      <c r="G33" s="409"/>
      <c r="H33" s="409"/>
      <c r="I33" s="417"/>
      <c r="J33" s="417"/>
      <c r="K33" s="409"/>
      <c r="L33" s="409"/>
      <c r="M33" s="497"/>
      <c r="N33" s="409"/>
      <c r="O33" s="410">
        <v>-1638409.7299999997</v>
      </c>
      <c r="P33" s="410">
        <v>-307201.83999999997</v>
      </c>
      <c r="Q33" s="410">
        <v>-61619.810000000049</v>
      </c>
      <c r="R33" s="227"/>
      <c r="S33" s="410">
        <v>-245581.99000000005</v>
      </c>
      <c r="T33" s="199"/>
      <c r="U33" s="32" t="s">
        <v>305</v>
      </c>
      <c r="V33" s="32" t="s">
        <v>305</v>
      </c>
      <c r="W33" s="57" t="s">
        <v>305</v>
      </c>
      <c r="X33" s="58" t="s">
        <v>305</v>
      </c>
      <c r="Y33" s="58" t="s">
        <v>305</v>
      </c>
      <c r="Z33" s="32" t="s">
        <v>305</v>
      </c>
      <c r="AA33" s="32" t="s">
        <v>305</v>
      </c>
      <c r="AB33" s="32" t="s">
        <v>305</v>
      </c>
      <c r="AC33" s="57" t="s">
        <v>305</v>
      </c>
      <c r="AD33" s="58" t="s">
        <v>305</v>
      </c>
      <c r="AE33" s="58" t="s">
        <v>305</v>
      </c>
      <c r="AF33" s="32" t="s">
        <v>305</v>
      </c>
      <c r="AG33" s="37"/>
      <c r="AI33" s="147"/>
    </row>
    <row r="34" spans="1:35" x14ac:dyDescent="0.25">
      <c r="A34" s="24"/>
      <c r="B34" s="127" t="s">
        <v>105</v>
      </c>
      <c r="C34" s="25" t="s">
        <v>283</v>
      </c>
      <c r="D34" s="30"/>
      <c r="E34" s="31"/>
      <c r="F34" s="224"/>
      <c r="G34" s="418"/>
      <c r="H34" s="418"/>
      <c r="I34" s="419"/>
      <c r="J34" s="419"/>
      <c r="K34" s="418"/>
      <c r="L34" s="418"/>
      <c r="M34" s="418"/>
      <c r="N34" s="420"/>
      <c r="O34" s="420">
        <v>58401686.839999996</v>
      </c>
      <c r="P34" s="420">
        <v>10950316.270000003</v>
      </c>
      <c r="Q34" s="420">
        <v>8506908.1300000008</v>
      </c>
      <c r="R34" s="207"/>
      <c r="S34" s="420">
        <v>2443408.1999999997</v>
      </c>
      <c r="T34" s="476"/>
      <c r="U34" s="59">
        <v>758383.4362</v>
      </c>
      <c r="V34" s="59">
        <v>41958211.719999991</v>
      </c>
      <c r="W34" s="60">
        <v>24464</v>
      </c>
      <c r="X34" s="61">
        <v>55.325899999999997</v>
      </c>
      <c r="Y34" s="61">
        <v>10.3736</v>
      </c>
      <c r="Z34" s="59">
        <v>7867164.6999999993</v>
      </c>
      <c r="AA34" s="59">
        <v>1756346.588</v>
      </c>
      <c r="AB34" s="59">
        <v>5375900.5299999993</v>
      </c>
      <c r="AC34" s="60">
        <v>56656.4</v>
      </c>
      <c r="AD34" s="61">
        <v>3.0608</v>
      </c>
      <c r="AE34" s="61">
        <v>0.57389999999999997</v>
      </c>
      <c r="AF34" s="59">
        <v>1007981.36</v>
      </c>
      <c r="AG34" s="33">
        <v>2075170.2100000042</v>
      </c>
      <c r="AI34" s="507"/>
    </row>
    <row r="35" spans="1:35" x14ac:dyDescent="0.25">
      <c r="A35" s="102"/>
      <c r="B35" s="265"/>
      <c r="C35" s="25" t="s">
        <v>284</v>
      </c>
      <c r="D35" s="415"/>
      <c r="E35" s="415"/>
      <c r="F35" s="115"/>
      <c r="G35" s="421"/>
      <c r="H35" s="421"/>
      <c r="I35" s="422"/>
      <c r="J35" s="422"/>
      <c r="K35" s="421"/>
      <c r="L35" s="421"/>
      <c r="M35" s="421"/>
      <c r="N35" s="421"/>
      <c r="O35" s="423"/>
      <c r="P35" s="424">
        <v>38753169.280000001</v>
      </c>
      <c r="Q35" s="425">
        <v>30105947.870000001</v>
      </c>
      <c r="R35" s="117"/>
      <c r="S35" s="426">
        <v>8647221.6199999992</v>
      </c>
      <c r="T35" s="131"/>
      <c r="U35" s="118"/>
      <c r="V35" s="118"/>
      <c r="W35" s="119"/>
      <c r="X35" s="120"/>
      <c r="Y35" s="120"/>
      <c r="Z35" s="118"/>
      <c r="AA35" s="118"/>
      <c r="AB35" s="118"/>
      <c r="AC35" s="119"/>
      <c r="AD35" s="120"/>
      <c r="AE35" s="120"/>
      <c r="AF35" s="118"/>
      <c r="AG35" s="118"/>
      <c r="AI35" s="507"/>
    </row>
    <row r="36" spans="1:35" ht="13" x14ac:dyDescent="0.3">
      <c r="A36" s="257" t="s">
        <v>22</v>
      </c>
      <c r="B36" s="11"/>
      <c r="C36" s="41"/>
      <c r="D36" s="41"/>
      <c r="E36" s="12"/>
      <c r="F36" s="27"/>
      <c r="G36" s="427"/>
      <c r="H36" s="427"/>
      <c r="I36" s="428"/>
      <c r="J36" s="428"/>
      <c r="K36" s="427"/>
      <c r="L36" s="427"/>
      <c r="M36" s="427"/>
      <c r="N36" s="427"/>
      <c r="O36" s="429"/>
      <c r="P36" s="427"/>
      <c r="Q36" s="211" t="s">
        <v>48</v>
      </c>
      <c r="R36" s="189"/>
      <c r="S36" s="430"/>
      <c r="T36" s="261"/>
      <c r="U36" s="36"/>
      <c r="V36" s="36"/>
      <c r="W36" s="62"/>
      <c r="X36" s="63"/>
      <c r="Y36" s="63"/>
      <c r="Z36" s="63"/>
      <c r="AA36" s="36"/>
      <c r="AB36" s="36"/>
      <c r="AC36" s="62"/>
      <c r="AD36" s="63"/>
      <c r="AE36" s="63"/>
      <c r="AF36" s="63"/>
      <c r="AG36" s="35"/>
    </row>
    <row r="37" spans="1:35" x14ac:dyDescent="0.25">
      <c r="A37" s="413" t="s">
        <v>28</v>
      </c>
      <c r="B37" s="22">
        <v>131</v>
      </c>
      <c r="C37" s="69" t="s">
        <v>31</v>
      </c>
      <c r="D37" s="406" t="s">
        <v>30</v>
      </c>
      <c r="E37" s="69" t="s">
        <v>98</v>
      </c>
      <c r="F37" s="190" t="s">
        <v>36</v>
      </c>
      <c r="G37" s="407">
        <v>7806</v>
      </c>
      <c r="H37" s="407">
        <v>11036</v>
      </c>
      <c r="I37" s="408">
        <v>58.2254</v>
      </c>
      <c r="J37" s="408">
        <v>57.996499999999997</v>
      </c>
      <c r="K37" s="409"/>
      <c r="L37" s="409"/>
      <c r="M37" s="409"/>
      <c r="N37" s="458">
        <v>3318.82</v>
      </c>
      <c r="O37" s="410">
        <v>1091238.0199999998</v>
      </c>
      <c r="P37" s="409">
        <v>163685.70000000001</v>
      </c>
      <c r="Q37" s="409">
        <v>163685.70000000001</v>
      </c>
      <c r="R37" s="199">
        <v>0.15</v>
      </c>
      <c r="S37" s="431"/>
      <c r="T37" s="202"/>
      <c r="U37" s="32">
        <v>18842</v>
      </c>
      <c r="V37" s="32">
        <v>1091238.0199999998</v>
      </c>
      <c r="W37" s="57">
        <v>607.79999999999995</v>
      </c>
      <c r="X37" s="58">
        <v>57.915199999999999</v>
      </c>
      <c r="Y37" s="58">
        <v>8.6873000000000005</v>
      </c>
      <c r="Z37" s="32">
        <v>163685.70000000001</v>
      </c>
      <c r="AA37" s="32" t="s">
        <v>305</v>
      </c>
      <c r="AB37" s="32" t="s">
        <v>305</v>
      </c>
      <c r="AC37" s="57" t="s">
        <v>305</v>
      </c>
      <c r="AD37" s="58" t="s">
        <v>305</v>
      </c>
      <c r="AE37" s="58" t="s">
        <v>305</v>
      </c>
      <c r="AF37" s="32" t="s">
        <v>305</v>
      </c>
      <c r="AG37" s="37"/>
    </row>
    <row r="38" spans="1:35"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c r="U38" s="32" t="s">
        <v>305</v>
      </c>
      <c r="V38" s="32" t="s">
        <v>305</v>
      </c>
      <c r="W38" s="57" t="s">
        <v>305</v>
      </c>
      <c r="X38" s="58" t="s">
        <v>305</v>
      </c>
      <c r="Y38" s="58" t="s">
        <v>305</v>
      </c>
      <c r="Z38" s="32" t="s">
        <v>305</v>
      </c>
      <c r="AA38" s="32" t="s">
        <v>305</v>
      </c>
      <c r="AB38" s="32" t="s">
        <v>305</v>
      </c>
      <c r="AC38" s="57" t="s">
        <v>305</v>
      </c>
      <c r="AD38" s="58" t="s">
        <v>305</v>
      </c>
      <c r="AE38" s="58" t="s">
        <v>305</v>
      </c>
      <c r="AF38" s="32" t="s">
        <v>305</v>
      </c>
      <c r="AG38" s="37"/>
      <c r="AI38" s="290"/>
    </row>
    <row r="39" spans="1:35" x14ac:dyDescent="0.25">
      <c r="A39" s="24"/>
      <c r="B39" s="127" t="s">
        <v>105</v>
      </c>
      <c r="C39" s="25" t="s">
        <v>285</v>
      </c>
      <c r="D39" s="30"/>
      <c r="E39" s="31"/>
      <c r="F39" s="30"/>
      <c r="G39" s="418"/>
      <c r="H39" s="418"/>
      <c r="I39" s="419"/>
      <c r="J39" s="419"/>
      <c r="K39" s="418"/>
      <c r="L39" s="418"/>
      <c r="M39" s="418"/>
      <c r="N39" s="418"/>
      <c r="O39" s="420">
        <v>1091238.0199999998</v>
      </c>
      <c r="P39" s="420">
        <v>163685.70000000001</v>
      </c>
      <c r="Q39" s="420">
        <v>163685.70000000001</v>
      </c>
      <c r="R39" s="207"/>
      <c r="S39" s="420">
        <v>0</v>
      </c>
      <c r="T39" s="207"/>
      <c r="U39" s="33">
        <v>18842</v>
      </c>
      <c r="V39" s="33">
        <v>1091238.0199999998</v>
      </c>
      <c r="W39" s="64">
        <v>607.79999999999995</v>
      </c>
      <c r="X39" s="65">
        <v>57.915199999999999</v>
      </c>
      <c r="Y39" s="65">
        <v>8.6873000000000005</v>
      </c>
      <c r="Z39" s="33">
        <v>163685.70000000001</v>
      </c>
      <c r="AA39" s="33">
        <v>0</v>
      </c>
      <c r="AB39" s="33">
        <v>0</v>
      </c>
      <c r="AC39" s="64">
        <v>0</v>
      </c>
      <c r="AD39" s="65">
        <v>0</v>
      </c>
      <c r="AE39" s="65">
        <v>0</v>
      </c>
      <c r="AF39" s="33">
        <v>0</v>
      </c>
      <c r="AG39" s="59">
        <v>0</v>
      </c>
    </row>
    <row r="40" spans="1:35" x14ac:dyDescent="0.25">
      <c r="A40" s="102"/>
      <c r="B40" s="265"/>
      <c r="C40" s="25" t="s">
        <v>286</v>
      </c>
      <c r="D40" s="415"/>
      <c r="E40" s="415"/>
      <c r="F40" s="115"/>
      <c r="G40" s="421"/>
      <c r="H40" s="421"/>
      <c r="I40" s="422"/>
      <c r="J40" s="422"/>
      <c r="K40" s="421"/>
      <c r="L40" s="421"/>
      <c r="M40" s="421"/>
      <c r="N40" s="421"/>
      <c r="O40" s="423"/>
      <c r="P40" s="424">
        <v>579283.68999999994</v>
      </c>
      <c r="Q40" s="425">
        <v>579283.68999999994</v>
      </c>
      <c r="R40" s="117"/>
      <c r="S40" s="424">
        <v>0</v>
      </c>
      <c r="T40" s="117"/>
      <c r="U40" s="118"/>
      <c r="V40" s="118"/>
      <c r="W40" s="119"/>
      <c r="X40" s="120"/>
      <c r="Y40" s="120"/>
      <c r="Z40" s="118"/>
      <c r="AA40" s="118"/>
      <c r="AB40" s="118"/>
      <c r="AC40" s="119"/>
      <c r="AD40" s="120"/>
      <c r="AE40" s="120"/>
      <c r="AF40" s="118"/>
      <c r="AG40" s="118"/>
      <c r="AI40" s="290"/>
    </row>
    <row r="41" spans="1:35"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c r="U41" s="35"/>
      <c r="V41" s="35"/>
      <c r="W41" s="55"/>
      <c r="X41" s="56"/>
      <c r="Y41" s="56"/>
      <c r="Z41" s="56"/>
      <c r="AA41" s="35"/>
      <c r="AB41" s="35"/>
      <c r="AC41" s="55"/>
      <c r="AD41" s="56"/>
      <c r="AE41" s="56"/>
      <c r="AF41" s="56"/>
      <c r="AG41" s="35"/>
      <c r="AI41" s="290"/>
    </row>
    <row r="42" spans="1:35" x14ac:dyDescent="0.25">
      <c r="A42" s="405" t="s">
        <v>28</v>
      </c>
      <c r="B42" s="22">
        <v>8</v>
      </c>
      <c r="C42" s="69" t="s">
        <v>31</v>
      </c>
      <c r="D42" s="69" t="s">
        <v>30</v>
      </c>
      <c r="E42" s="69" t="s">
        <v>98</v>
      </c>
      <c r="F42" s="217" t="s">
        <v>36</v>
      </c>
      <c r="G42" s="409">
        <v>70432</v>
      </c>
      <c r="H42" s="407">
        <v>65431</v>
      </c>
      <c r="I42" s="408">
        <v>57.475200000000001</v>
      </c>
      <c r="J42" s="408">
        <v>57.902799999999999</v>
      </c>
      <c r="K42" s="409"/>
      <c r="L42" s="409"/>
      <c r="M42" s="409"/>
      <c r="N42" s="409">
        <v>4443.59</v>
      </c>
      <c r="O42" s="410">
        <v>7832287.8100000005</v>
      </c>
      <c r="P42" s="409">
        <v>1468553.96</v>
      </c>
      <c r="Q42" s="409">
        <v>1174843.17</v>
      </c>
      <c r="R42" s="199">
        <v>0.15</v>
      </c>
      <c r="S42" s="409">
        <v>293710.78999999998</v>
      </c>
      <c r="T42" s="236">
        <v>3.7499999999999999E-2</v>
      </c>
      <c r="U42" s="32">
        <v>135863</v>
      </c>
      <c r="V42" s="32">
        <v>7832287.8100000005</v>
      </c>
      <c r="W42" s="57">
        <v>4382.7</v>
      </c>
      <c r="X42" s="58">
        <v>57.648400000000002</v>
      </c>
      <c r="Y42" s="58">
        <v>10.809100000000001</v>
      </c>
      <c r="Z42" s="32">
        <v>1468553.96</v>
      </c>
      <c r="AA42" s="32" t="s">
        <v>305</v>
      </c>
      <c r="AB42" s="32" t="s">
        <v>305</v>
      </c>
      <c r="AC42" s="57" t="s">
        <v>305</v>
      </c>
      <c r="AD42" s="58" t="s">
        <v>305</v>
      </c>
      <c r="AE42" s="58" t="s">
        <v>305</v>
      </c>
      <c r="AF42" s="32" t="s">
        <v>305</v>
      </c>
      <c r="AG42" s="37"/>
    </row>
    <row r="43" spans="1:35" x14ac:dyDescent="0.25">
      <c r="A43" s="405" t="s">
        <v>28</v>
      </c>
      <c r="B43" s="17" t="s">
        <v>12</v>
      </c>
      <c r="C43" s="69" t="s">
        <v>31</v>
      </c>
      <c r="D43" s="69" t="s">
        <v>30</v>
      </c>
      <c r="E43" s="69" t="s">
        <v>98</v>
      </c>
      <c r="F43" s="217" t="s">
        <v>55</v>
      </c>
      <c r="G43" s="407"/>
      <c r="H43" s="407">
        <v>57839.067999999999</v>
      </c>
      <c r="I43" s="408"/>
      <c r="J43" s="408">
        <v>3.6084000000000001</v>
      </c>
      <c r="K43" s="409"/>
      <c r="L43" s="409"/>
      <c r="M43" s="409"/>
      <c r="N43" s="458">
        <v>1626.04</v>
      </c>
      <c r="O43" s="410">
        <v>207080.44999999998</v>
      </c>
      <c r="P43" s="409">
        <v>38827.58</v>
      </c>
      <c r="Q43" s="409">
        <v>7765.52</v>
      </c>
      <c r="R43" s="236">
        <v>3.7499999999999999E-2</v>
      </c>
      <c r="S43" s="409">
        <v>31062.07</v>
      </c>
      <c r="T43" s="199">
        <v>0.15</v>
      </c>
      <c r="U43" s="32" t="s">
        <v>305</v>
      </c>
      <c r="V43" s="32" t="s">
        <v>305</v>
      </c>
      <c r="W43" s="57" t="s">
        <v>305</v>
      </c>
      <c r="X43" s="58" t="s">
        <v>305</v>
      </c>
      <c r="Y43" s="58" t="s">
        <v>305</v>
      </c>
      <c r="Z43" s="32" t="s">
        <v>305</v>
      </c>
      <c r="AA43" s="32">
        <v>57839.067999999999</v>
      </c>
      <c r="AB43" s="32">
        <v>207080.44999999998</v>
      </c>
      <c r="AC43" s="57">
        <v>1865.8</v>
      </c>
      <c r="AD43" s="58">
        <v>3.5802999999999998</v>
      </c>
      <c r="AE43" s="58">
        <v>0.67130000000000001</v>
      </c>
      <c r="AF43" s="32">
        <v>38827.58</v>
      </c>
      <c r="AG43" s="37"/>
      <c r="AI43" s="290"/>
    </row>
    <row r="44" spans="1:35" x14ac:dyDescent="0.25">
      <c r="A44" s="405" t="s">
        <v>28</v>
      </c>
      <c r="B44" s="17" t="s">
        <v>74</v>
      </c>
      <c r="C44" s="69" t="s">
        <v>31</v>
      </c>
      <c r="D44" s="69" t="s">
        <v>30</v>
      </c>
      <c r="E44" s="69" t="s">
        <v>100</v>
      </c>
      <c r="F44" s="217" t="s">
        <v>36</v>
      </c>
      <c r="G44" s="407"/>
      <c r="H44" s="407"/>
      <c r="I44" s="408"/>
      <c r="J44" s="408"/>
      <c r="K44" s="409"/>
      <c r="L44" s="409"/>
      <c r="M44" s="409"/>
      <c r="N44" s="458">
        <v>3092.85</v>
      </c>
      <c r="O44" s="410">
        <v>-3092.85</v>
      </c>
      <c r="P44" s="409">
        <v>-579.91</v>
      </c>
      <c r="Q44" s="409">
        <v>-115.98</v>
      </c>
      <c r="R44" s="236">
        <v>3.7499999999999999E-2</v>
      </c>
      <c r="S44" s="409">
        <v>-463.93</v>
      </c>
      <c r="T44" s="199">
        <v>0.15</v>
      </c>
      <c r="U44" s="32">
        <v>0</v>
      </c>
      <c r="V44" s="32">
        <v>-3092.85</v>
      </c>
      <c r="W44" s="57">
        <v>0</v>
      </c>
      <c r="X44" s="58">
        <v>0</v>
      </c>
      <c r="Y44" s="58">
        <v>0</v>
      </c>
      <c r="Z44" s="32">
        <v>-579.91</v>
      </c>
      <c r="AA44" s="32" t="s">
        <v>305</v>
      </c>
      <c r="AB44" s="32" t="s">
        <v>305</v>
      </c>
      <c r="AC44" s="57" t="s">
        <v>305</v>
      </c>
      <c r="AD44" s="58" t="s">
        <v>305</v>
      </c>
      <c r="AE44" s="58" t="s">
        <v>305</v>
      </c>
      <c r="AF44" s="32" t="s">
        <v>305</v>
      </c>
      <c r="AG44" s="37"/>
    </row>
    <row r="45" spans="1:35" x14ac:dyDescent="0.25">
      <c r="A45" s="405" t="s">
        <v>28</v>
      </c>
      <c r="B45" s="22">
        <v>95</v>
      </c>
      <c r="C45" s="69" t="s">
        <v>31</v>
      </c>
      <c r="D45" s="69" t="s">
        <v>30</v>
      </c>
      <c r="E45" s="69" t="s">
        <v>98</v>
      </c>
      <c r="F45" s="217" t="s">
        <v>36</v>
      </c>
      <c r="G45" s="407">
        <v>284187</v>
      </c>
      <c r="H45" s="407">
        <v>319018</v>
      </c>
      <c r="I45" s="408">
        <v>50.314700000000002</v>
      </c>
      <c r="J45" s="408">
        <v>51.166400000000003</v>
      </c>
      <c r="K45" s="407"/>
      <c r="L45" s="409"/>
      <c r="M45" s="409"/>
      <c r="N45" s="458">
        <v>4446.67</v>
      </c>
      <c r="O45" s="410">
        <v>30617339.579999998</v>
      </c>
      <c r="P45" s="409">
        <v>5740751.1699999999</v>
      </c>
      <c r="Q45" s="409">
        <v>4592600.9399999995</v>
      </c>
      <c r="R45" s="199">
        <v>0.15</v>
      </c>
      <c r="S45" s="409">
        <v>1148150.23</v>
      </c>
      <c r="T45" s="236">
        <v>3.7499999999999999E-2</v>
      </c>
      <c r="U45" s="32">
        <v>603205</v>
      </c>
      <c r="V45" s="32">
        <v>30617339.579999998</v>
      </c>
      <c r="W45" s="57">
        <v>19458.2</v>
      </c>
      <c r="X45" s="58">
        <v>50.757800000000003</v>
      </c>
      <c r="Y45" s="58">
        <v>9.5170999999999992</v>
      </c>
      <c r="Z45" s="32">
        <v>5740751.1699999999</v>
      </c>
      <c r="AA45" s="32" t="s">
        <v>305</v>
      </c>
      <c r="AB45" s="32" t="s">
        <v>305</v>
      </c>
      <c r="AC45" s="57" t="s">
        <v>305</v>
      </c>
      <c r="AD45" s="58" t="s">
        <v>305</v>
      </c>
      <c r="AE45" s="58" t="s">
        <v>305</v>
      </c>
      <c r="AF45" s="32" t="s">
        <v>305</v>
      </c>
      <c r="AG45" s="37"/>
    </row>
    <row r="46" spans="1:35"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c r="U46" s="32">
        <v>0</v>
      </c>
      <c r="V46" s="32">
        <v>0</v>
      </c>
      <c r="W46" s="57">
        <v>0</v>
      </c>
      <c r="X46" s="58">
        <v>0</v>
      </c>
      <c r="Y46" s="58">
        <v>0</v>
      </c>
      <c r="Z46" s="32">
        <v>0</v>
      </c>
      <c r="AA46" s="32" t="s">
        <v>305</v>
      </c>
      <c r="AB46" s="32" t="s">
        <v>305</v>
      </c>
      <c r="AC46" s="57" t="s">
        <v>305</v>
      </c>
      <c r="AD46" s="58" t="s">
        <v>305</v>
      </c>
      <c r="AE46" s="58" t="s">
        <v>305</v>
      </c>
      <c r="AF46" s="32" t="s">
        <v>305</v>
      </c>
      <c r="AG46" s="37"/>
    </row>
    <row r="47" spans="1:35" x14ac:dyDescent="0.25">
      <c r="A47" s="432" t="s">
        <v>28</v>
      </c>
      <c r="B47" s="414" t="s">
        <v>53</v>
      </c>
      <c r="C47" s="415"/>
      <c r="D47" s="416"/>
      <c r="E47" s="416"/>
      <c r="F47" s="217"/>
      <c r="G47" s="409"/>
      <c r="H47" s="409"/>
      <c r="I47" s="417"/>
      <c r="J47" s="417"/>
      <c r="K47" s="409"/>
      <c r="L47" s="409"/>
      <c r="M47" s="409"/>
      <c r="N47" s="409"/>
      <c r="O47" s="409"/>
      <c r="P47" s="409"/>
      <c r="Q47" s="409"/>
      <c r="R47" s="409"/>
      <c r="S47" s="409"/>
      <c r="T47" s="199"/>
      <c r="U47" s="32" t="s">
        <v>305</v>
      </c>
      <c r="V47" s="32" t="s">
        <v>305</v>
      </c>
      <c r="W47" s="57" t="s">
        <v>305</v>
      </c>
      <c r="X47" s="58" t="s">
        <v>305</v>
      </c>
      <c r="Y47" s="58" t="s">
        <v>305</v>
      </c>
      <c r="Z47" s="32" t="s">
        <v>305</v>
      </c>
      <c r="AA47" s="32" t="s">
        <v>305</v>
      </c>
      <c r="AB47" s="32" t="s">
        <v>305</v>
      </c>
      <c r="AC47" s="57" t="s">
        <v>305</v>
      </c>
      <c r="AD47" s="58" t="s">
        <v>305</v>
      </c>
      <c r="AE47" s="58" t="s">
        <v>305</v>
      </c>
      <c r="AF47" s="32" t="s">
        <v>305</v>
      </c>
      <c r="AG47" s="37"/>
    </row>
    <row r="48" spans="1:35" x14ac:dyDescent="0.25">
      <c r="A48" s="24"/>
      <c r="B48" s="127" t="s">
        <v>105</v>
      </c>
      <c r="C48" s="25" t="s">
        <v>287</v>
      </c>
      <c r="D48" s="14"/>
      <c r="E48" s="14"/>
      <c r="F48" s="230"/>
      <c r="G48" s="433"/>
      <c r="H48" s="433"/>
      <c r="I48" s="434"/>
      <c r="J48" s="435"/>
      <c r="K48" s="436"/>
      <c r="L48" s="436"/>
      <c r="M48" s="436"/>
      <c r="N48" s="420"/>
      <c r="O48" s="420">
        <v>38653614.990000002</v>
      </c>
      <c r="P48" s="420">
        <v>7247552.7999999998</v>
      </c>
      <c r="Q48" s="420">
        <v>5775093.6499999994</v>
      </c>
      <c r="R48" s="220"/>
      <c r="S48" s="420">
        <v>1472459.16</v>
      </c>
      <c r="T48" s="207"/>
      <c r="U48" s="59">
        <v>739068</v>
      </c>
      <c r="V48" s="59">
        <v>38446534.539999999</v>
      </c>
      <c r="W48" s="60">
        <v>23840.9</v>
      </c>
      <c r="X48" s="61">
        <v>52.020299999999999</v>
      </c>
      <c r="Y48" s="61">
        <v>9.7538</v>
      </c>
      <c r="Z48" s="59">
        <v>7208725.2199999997</v>
      </c>
      <c r="AA48" s="59">
        <v>57839.067999999999</v>
      </c>
      <c r="AB48" s="59">
        <v>207080.44999999998</v>
      </c>
      <c r="AC48" s="60">
        <v>1865.8</v>
      </c>
      <c r="AD48" s="61">
        <v>3.5802999999999998</v>
      </c>
      <c r="AE48" s="61">
        <v>0.67130000000000001</v>
      </c>
      <c r="AF48" s="59">
        <v>38827.58</v>
      </c>
      <c r="AG48" s="59">
        <v>7.2759576141834259E-11</v>
      </c>
    </row>
    <row r="49" spans="1:39" x14ac:dyDescent="0.25">
      <c r="A49" s="121"/>
      <c r="B49" s="122"/>
      <c r="C49" s="25" t="s">
        <v>288</v>
      </c>
      <c r="D49" s="85"/>
      <c r="E49" s="85"/>
      <c r="F49" s="121"/>
      <c r="G49" s="437"/>
      <c r="H49" s="437"/>
      <c r="I49" s="438"/>
      <c r="J49" s="438"/>
      <c r="K49" s="437"/>
      <c r="L49" s="437"/>
      <c r="M49" s="437"/>
      <c r="N49" s="437"/>
      <c r="O49" s="255"/>
      <c r="P49" s="255">
        <v>25649089.359999999</v>
      </c>
      <c r="Q49" s="426">
        <v>20438056.43</v>
      </c>
      <c r="R49" s="131"/>
      <c r="S49" s="426">
        <v>5211032.97</v>
      </c>
      <c r="T49" s="123"/>
      <c r="U49" s="124"/>
      <c r="V49" s="124"/>
      <c r="W49" s="125"/>
      <c r="X49" s="126"/>
      <c r="Y49" s="126"/>
      <c r="Z49" s="124"/>
      <c r="AA49" s="124"/>
      <c r="AB49" s="124"/>
      <c r="AC49" s="125"/>
      <c r="AD49" s="126"/>
      <c r="AE49" s="126"/>
      <c r="AF49" s="124"/>
      <c r="AG49" s="124"/>
    </row>
    <row r="50" spans="1:39"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c r="U50" s="124"/>
      <c r="V50" s="124"/>
      <c r="W50" s="125"/>
      <c r="X50" s="126"/>
      <c r="Y50" s="126"/>
      <c r="Z50" s="124"/>
      <c r="AA50" s="124"/>
      <c r="AB50" s="124"/>
      <c r="AC50" s="125"/>
      <c r="AD50" s="126"/>
      <c r="AE50" s="126"/>
      <c r="AF50" s="124"/>
      <c r="AG50" s="124"/>
    </row>
    <row r="51" spans="1:39" x14ac:dyDescent="0.25">
      <c r="A51" s="405" t="s">
        <v>28</v>
      </c>
      <c r="B51" s="17" t="s">
        <v>160</v>
      </c>
      <c r="C51" s="69" t="s">
        <v>31</v>
      </c>
      <c r="D51" s="69" t="s">
        <v>30</v>
      </c>
      <c r="E51" s="69" t="s">
        <v>158</v>
      </c>
      <c r="F51" s="217" t="s">
        <v>36</v>
      </c>
      <c r="G51" s="409">
        <v>718135</v>
      </c>
      <c r="H51" s="409">
        <v>760787</v>
      </c>
      <c r="I51" s="417">
        <v>37.0702</v>
      </c>
      <c r="J51" s="417">
        <v>36.623199999999997</v>
      </c>
      <c r="K51" s="409"/>
      <c r="L51" s="409"/>
      <c r="M51" s="409"/>
      <c r="N51" s="409"/>
      <c r="O51" s="410">
        <v>54483862.535399996</v>
      </c>
      <c r="P51" s="444">
        <v>20289790.41</v>
      </c>
      <c r="Q51" s="463">
        <v>10144895.210000001</v>
      </c>
      <c r="R51" s="199">
        <v>0.5</v>
      </c>
      <c r="S51" s="409"/>
      <c r="T51" s="236"/>
      <c r="U51" s="32">
        <v>1478922</v>
      </c>
      <c r="V51" s="32">
        <v>54483862.535399996</v>
      </c>
      <c r="W51" s="57">
        <v>47707.199999999997</v>
      </c>
      <c r="X51" s="58">
        <v>36.840299999999999</v>
      </c>
      <c r="Y51" s="58">
        <v>6.8597000000000001</v>
      </c>
      <c r="Z51" s="32">
        <v>10144895.210000001</v>
      </c>
      <c r="AA51" s="32" t="s">
        <v>305</v>
      </c>
      <c r="AB51" s="32" t="s">
        <v>305</v>
      </c>
      <c r="AC51" s="57" t="s">
        <v>305</v>
      </c>
      <c r="AD51" s="58" t="s">
        <v>305</v>
      </c>
      <c r="AE51" s="58" t="s">
        <v>305</v>
      </c>
      <c r="AF51" s="32" t="s">
        <v>305</v>
      </c>
      <c r="AG51" s="124"/>
    </row>
    <row r="52" spans="1:39" x14ac:dyDescent="0.25">
      <c r="A52" s="405" t="s">
        <v>28</v>
      </c>
      <c r="B52" s="17" t="s">
        <v>159</v>
      </c>
      <c r="C52" s="69" t="s">
        <v>31</v>
      </c>
      <c r="D52" s="69" t="s">
        <v>30</v>
      </c>
      <c r="E52" s="69" t="s">
        <v>158</v>
      </c>
      <c r="F52" s="217" t="s">
        <v>55</v>
      </c>
      <c r="G52" s="409">
        <v>14678757.357800001</v>
      </c>
      <c r="H52" s="409">
        <v>14844957.095799999</v>
      </c>
      <c r="I52" s="503">
        <v>2.8448000000000002</v>
      </c>
      <c r="J52" s="503">
        <v>2.8489</v>
      </c>
      <c r="K52" s="409"/>
      <c r="L52" s="409"/>
      <c r="M52" s="409"/>
      <c r="N52" s="409"/>
      <c r="O52" s="444">
        <v>84050773.690000013</v>
      </c>
      <c r="P52" s="444">
        <v>31359787.579999998</v>
      </c>
      <c r="Q52" s="444">
        <v>15679893.800000001</v>
      </c>
      <c r="R52" s="199">
        <v>0.5</v>
      </c>
      <c r="S52" s="444"/>
      <c r="T52" s="199"/>
      <c r="U52" s="32" t="s">
        <v>305</v>
      </c>
      <c r="V52" s="32" t="s">
        <v>305</v>
      </c>
      <c r="W52" s="57" t="s">
        <v>305</v>
      </c>
      <c r="X52" s="58" t="s">
        <v>305</v>
      </c>
      <c r="Y52" s="58" t="s">
        <v>305</v>
      </c>
      <c r="Z52" s="32" t="s">
        <v>305</v>
      </c>
      <c r="AA52" s="32">
        <v>29523714.453600001</v>
      </c>
      <c r="AB52" s="32">
        <v>84050773.690000013</v>
      </c>
      <c r="AC52" s="57">
        <v>952377.9</v>
      </c>
      <c r="AD52" s="58">
        <v>2.8469000000000002</v>
      </c>
      <c r="AE52" s="58">
        <v>0.53110000000000002</v>
      </c>
      <c r="AF52" s="32">
        <v>15679893.800000001</v>
      </c>
      <c r="AG52" s="124"/>
    </row>
    <row r="53" spans="1:39" x14ac:dyDescent="0.25">
      <c r="A53" s="405" t="s">
        <v>28</v>
      </c>
      <c r="B53" s="17" t="s">
        <v>168</v>
      </c>
      <c r="C53" s="69" t="s">
        <v>31</v>
      </c>
      <c r="D53" s="69" t="s">
        <v>30</v>
      </c>
      <c r="E53" s="69" t="s">
        <v>158</v>
      </c>
      <c r="F53" s="217" t="s">
        <v>36</v>
      </c>
      <c r="G53" s="409">
        <v>187203</v>
      </c>
      <c r="H53" s="409">
        <v>182390</v>
      </c>
      <c r="I53" s="417">
        <v>37.069499999999998</v>
      </c>
      <c r="J53" s="417">
        <v>36.6233</v>
      </c>
      <c r="K53" s="409"/>
      <c r="L53" s="409"/>
      <c r="M53" s="409"/>
      <c r="N53" s="409"/>
      <c r="O53" s="410">
        <v>13619245.295499999</v>
      </c>
      <c r="P53" s="444">
        <v>5447698.1100000003</v>
      </c>
      <c r="Q53" s="444">
        <v>2723849.06</v>
      </c>
      <c r="R53" s="199">
        <v>0.5</v>
      </c>
      <c r="S53" s="409"/>
      <c r="T53" s="199"/>
      <c r="U53" s="32">
        <v>369593</v>
      </c>
      <c r="V53" s="32">
        <v>13619245.295499999</v>
      </c>
      <c r="W53" s="57">
        <v>11922.4</v>
      </c>
      <c r="X53" s="58">
        <v>36.849299999999999</v>
      </c>
      <c r="Y53" s="58">
        <v>7.3699000000000003</v>
      </c>
      <c r="Z53" s="32">
        <v>2723849.06</v>
      </c>
      <c r="AA53" s="32" t="s">
        <v>305</v>
      </c>
      <c r="AB53" s="32" t="s">
        <v>305</v>
      </c>
      <c r="AC53" s="57" t="s">
        <v>305</v>
      </c>
      <c r="AD53" s="58" t="s">
        <v>305</v>
      </c>
      <c r="AE53" s="58" t="s">
        <v>305</v>
      </c>
      <c r="AF53" s="32" t="s">
        <v>305</v>
      </c>
      <c r="AG53" s="124"/>
    </row>
    <row r="54" spans="1:39" x14ac:dyDescent="0.25">
      <c r="A54" s="405" t="s">
        <v>28</v>
      </c>
      <c r="B54" s="17" t="s">
        <v>169</v>
      </c>
      <c r="C54" s="69" t="s">
        <v>31</v>
      </c>
      <c r="D54" s="69" t="s">
        <v>30</v>
      </c>
      <c r="E54" s="69" t="s">
        <v>158</v>
      </c>
      <c r="F54" s="217" t="s">
        <v>55</v>
      </c>
      <c r="G54" s="409">
        <v>4282573.7099000001</v>
      </c>
      <c r="H54" s="409">
        <v>3809287.5271999999</v>
      </c>
      <c r="I54" s="503">
        <v>4.5599999999999996</v>
      </c>
      <c r="J54" s="503">
        <v>4.6369999999999996</v>
      </c>
      <c r="K54" s="409"/>
      <c r="L54" s="409"/>
      <c r="M54" s="409"/>
      <c r="N54" s="409"/>
      <c r="O54" s="410">
        <v>37192202.3807704</v>
      </c>
      <c r="P54" s="444">
        <v>14133036.899999999</v>
      </c>
      <c r="Q54" s="444">
        <v>7066518.4500000002</v>
      </c>
      <c r="R54" s="199">
        <v>0.5</v>
      </c>
      <c r="S54" s="409"/>
      <c r="T54" s="199"/>
      <c r="U54" s="32" t="s">
        <v>305</v>
      </c>
      <c r="V54" s="32" t="s">
        <v>305</v>
      </c>
      <c r="W54" s="57" t="s">
        <v>305</v>
      </c>
      <c r="X54" s="58" t="s">
        <v>305</v>
      </c>
      <c r="Y54" s="58" t="s">
        <v>305</v>
      </c>
      <c r="Z54" s="32" t="s">
        <v>305</v>
      </c>
      <c r="AA54" s="32">
        <v>8091861.2370999996</v>
      </c>
      <c r="AB54" s="32">
        <v>37192202.3807704</v>
      </c>
      <c r="AC54" s="57">
        <v>261027.8</v>
      </c>
      <c r="AD54" s="58">
        <v>4.5961999999999996</v>
      </c>
      <c r="AE54" s="58">
        <v>0.87329999999999997</v>
      </c>
      <c r="AF54" s="32">
        <v>7066518.4500000002</v>
      </c>
      <c r="AG54" s="124"/>
    </row>
    <row r="55" spans="1:39" x14ac:dyDescent="0.25">
      <c r="A55" s="405" t="s">
        <v>28</v>
      </c>
      <c r="B55" s="22" t="s">
        <v>175</v>
      </c>
      <c r="C55" s="69" t="s">
        <v>31</v>
      </c>
      <c r="D55" s="69" t="s">
        <v>30</v>
      </c>
      <c r="E55" s="69" t="s">
        <v>158</v>
      </c>
      <c r="F55" s="217" t="s">
        <v>36</v>
      </c>
      <c r="G55" s="409">
        <v>246236</v>
      </c>
      <c r="H55" s="409">
        <v>171261</v>
      </c>
      <c r="I55" s="417">
        <v>34.069600000000001</v>
      </c>
      <c r="J55" s="417">
        <v>33.593600000000002</v>
      </c>
      <c r="K55" s="407"/>
      <c r="L55" s="409"/>
      <c r="M55" s="409"/>
      <c r="N55" s="407"/>
      <c r="O55" s="410">
        <v>14142435.555200001</v>
      </c>
      <c r="P55" s="444">
        <v>942124.48807800002</v>
      </c>
      <c r="Q55" s="444">
        <v>471062.24</v>
      </c>
      <c r="R55" s="199">
        <v>0.5</v>
      </c>
      <c r="S55" s="409"/>
      <c r="T55" s="236"/>
      <c r="U55" s="32">
        <v>417497</v>
      </c>
      <c r="V55" s="32">
        <v>14142435.555200001</v>
      </c>
      <c r="W55" s="57">
        <v>13467.6</v>
      </c>
      <c r="X55" s="58">
        <v>33.874299999999998</v>
      </c>
      <c r="Y55" s="58">
        <v>1.1283000000000001</v>
      </c>
      <c r="Z55" s="32">
        <v>471062.24</v>
      </c>
      <c r="AA55" s="32" t="s">
        <v>305</v>
      </c>
      <c r="AB55" s="32" t="s">
        <v>305</v>
      </c>
      <c r="AC55" s="57" t="s">
        <v>305</v>
      </c>
      <c r="AD55" s="58" t="s">
        <v>305</v>
      </c>
      <c r="AE55" s="58" t="s">
        <v>305</v>
      </c>
      <c r="AF55" s="32" t="s">
        <v>305</v>
      </c>
      <c r="AG55" s="124"/>
    </row>
    <row r="56" spans="1:39" x14ac:dyDescent="0.25">
      <c r="A56" s="405" t="s">
        <v>28</v>
      </c>
      <c r="B56" s="250" t="s">
        <v>176</v>
      </c>
      <c r="C56" s="69" t="s">
        <v>31</v>
      </c>
      <c r="D56" s="69" t="s">
        <v>30</v>
      </c>
      <c r="E56" s="69" t="s">
        <v>158</v>
      </c>
      <c r="F56" s="217" t="s">
        <v>55</v>
      </c>
      <c r="G56" s="409">
        <v>4155244.5756999999</v>
      </c>
      <c r="H56" s="409">
        <v>2922212.1612999998</v>
      </c>
      <c r="I56" s="417">
        <v>5.1550000000000002</v>
      </c>
      <c r="J56" s="417">
        <v>5.1550000000000002</v>
      </c>
      <c r="K56" s="504"/>
      <c r="L56" s="409"/>
      <c r="M56" s="409"/>
      <c r="N56" s="407"/>
      <c r="O56" s="410">
        <v>36484289.479235001</v>
      </c>
      <c r="P56" s="444">
        <v>4057975.2284109998</v>
      </c>
      <c r="Q56" s="444">
        <v>2028987.61</v>
      </c>
      <c r="R56" s="199">
        <v>0.5</v>
      </c>
      <c r="S56" s="409"/>
      <c r="T56" s="236"/>
      <c r="U56" s="32" t="s">
        <v>305</v>
      </c>
      <c r="V56" s="32" t="s">
        <v>305</v>
      </c>
      <c r="W56" s="57" t="s">
        <v>305</v>
      </c>
      <c r="X56" s="58" t="s">
        <v>305</v>
      </c>
      <c r="Y56" s="58" t="s">
        <v>305</v>
      </c>
      <c r="Z56" s="32" t="s">
        <v>305</v>
      </c>
      <c r="AA56" s="32">
        <v>7077456.7369999997</v>
      </c>
      <c r="AB56" s="32">
        <v>36484289.479235001</v>
      </c>
      <c r="AC56" s="57">
        <v>228305.1</v>
      </c>
      <c r="AD56" s="58">
        <v>5.1550000000000002</v>
      </c>
      <c r="AE56" s="58">
        <v>0.28670000000000001</v>
      </c>
      <c r="AF56" s="32">
        <v>2028987.61</v>
      </c>
      <c r="AG56" s="124"/>
    </row>
    <row r="57" spans="1:39" x14ac:dyDescent="0.25">
      <c r="A57" s="445" t="s">
        <v>28</v>
      </c>
      <c r="B57" s="446" t="s">
        <v>162</v>
      </c>
      <c r="C57" s="447"/>
      <c r="D57" s="447"/>
      <c r="E57" s="448"/>
      <c r="F57" s="190"/>
      <c r="G57" s="239"/>
      <c r="H57" s="240"/>
      <c r="I57" s="240"/>
      <c r="J57" s="241"/>
      <c r="K57" s="241"/>
      <c r="L57" s="241"/>
      <c r="M57" s="155"/>
      <c r="N57" s="155"/>
      <c r="O57" s="168">
        <v>3615459.4528021957</v>
      </c>
      <c r="P57" s="444">
        <v>141396.36153900123</v>
      </c>
      <c r="Q57" s="168">
        <v>70698.200000000681</v>
      </c>
      <c r="R57" s="123"/>
      <c r="S57" s="156"/>
      <c r="T57" s="123"/>
      <c r="U57" s="32" t="s">
        <v>305</v>
      </c>
      <c r="V57" s="32" t="s">
        <v>305</v>
      </c>
      <c r="W57" s="57" t="s">
        <v>305</v>
      </c>
      <c r="X57" s="58" t="s">
        <v>305</v>
      </c>
      <c r="Y57" s="58" t="s">
        <v>305</v>
      </c>
      <c r="Z57" s="32" t="s">
        <v>305</v>
      </c>
      <c r="AA57" s="32" t="s">
        <v>305</v>
      </c>
      <c r="AB57" s="32" t="s">
        <v>305</v>
      </c>
      <c r="AC57" s="57" t="s">
        <v>305</v>
      </c>
      <c r="AD57" s="58" t="s">
        <v>305</v>
      </c>
      <c r="AE57" s="58" t="s">
        <v>305</v>
      </c>
      <c r="AF57" s="32" t="s">
        <v>305</v>
      </c>
      <c r="AG57" s="124"/>
    </row>
    <row r="58" spans="1:39" x14ac:dyDescent="0.25">
      <c r="A58" s="24"/>
      <c r="B58" s="127" t="s">
        <v>105</v>
      </c>
      <c r="C58" s="25" t="s">
        <v>289</v>
      </c>
      <c r="D58" s="14"/>
      <c r="E58" s="14"/>
      <c r="F58" s="245"/>
      <c r="G58" s="232">
        <v>4282573.7099000001</v>
      </c>
      <c r="H58" s="232">
        <v>3809287.5271999999</v>
      </c>
      <c r="I58" s="299"/>
      <c r="J58" s="232"/>
      <c r="K58" s="243"/>
      <c r="L58" s="237"/>
      <c r="M58" s="297"/>
      <c r="N58" s="174"/>
      <c r="O58" s="174">
        <v>243588268.38890758</v>
      </c>
      <c r="P58" s="174">
        <v>76371809.078028008</v>
      </c>
      <c r="Q58" s="174">
        <v>38185904.570000008</v>
      </c>
      <c r="R58" s="498"/>
      <c r="S58" s="162"/>
      <c r="T58" s="123"/>
      <c r="U58" s="59">
        <v>2266012</v>
      </c>
      <c r="V58" s="59">
        <v>82245543.386099994</v>
      </c>
      <c r="W58" s="60">
        <v>73097.2</v>
      </c>
      <c r="X58" s="61">
        <v>36.295299999999997</v>
      </c>
      <c r="Y58" s="61">
        <v>5.8868999999999998</v>
      </c>
      <c r="Z58" s="59">
        <v>13339806.510000002</v>
      </c>
      <c r="AA58" s="59">
        <v>44693032.427699998</v>
      </c>
      <c r="AB58" s="59">
        <v>157727265.55000541</v>
      </c>
      <c r="AC58" s="60">
        <v>1441710.8</v>
      </c>
      <c r="AD58" s="61">
        <v>3.5291000000000001</v>
      </c>
      <c r="AE58" s="61">
        <v>0.55430000000000001</v>
      </c>
      <c r="AF58" s="59">
        <v>24775399.859999999</v>
      </c>
      <c r="AG58" s="59">
        <v>70698.200000006706</v>
      </c>
    </row>
    <row r="59" spans="1:39" x14ac:dyDescent="0.25">
      <c r="A59" s="121"/>
      <c r="B59" s="122"/>
      <c r="C59" s="25" t="s">
        <v>290</v>
      </c>
      <c r="D59" s="85"/>
      <c r="E59" s="85"/>
      <c r="F59" s="245"/>
      <c r="G59" s="233">
        <v>4.5599999999999996</v>
      </c>
      <c r="H59" s="233">
        <v>4.6369999999999996</v>
      </c>
      <c r="I59" s="300"/>
      <c r="J59" s="232"/>
      <c r="K59" s="244"/>
      <c r="L59" s="238"/>
      <c r="M59" s="361"/>
      <c r="N59" s="362"/>
      <c r="O59" s="362"/>
      <c r="P59" s="164"/>
      <c r="Q59" s="164">
        <v>135139916.27323005</v>
      </c>
      <c r="R59" s="153"/>
      <c r="S59" s="162"/>
      <c r="T59" s="123"/>
      <c r="U59" s="124"/>
      <c r="V59" s="124"/>
      <c r="W59" s="125"/>
      <c r="X59" s="126"/>
      <c r="Y59" s="126"/>
      <c r="Z59" s="124"/>
      <c r="AA59" s="124"/>
      <c r="AB59" s="124"/>
      <c r="AC59" s="125"/>
      <c r="AD59" s="126"/>
      <c r="AE59" s="126"/>
      <c r="AF59" s="124"/>
      <c r="AG59" s="124"/>
      <c r="AJ59" s="48"/>
      <c r="AK59" s="294"/>
      <c r="AL59" s="294"/>
      <c r="AM59" s="294"/>
    </row>
    <row r="60" spans="1:39" ht="13" x14ac:dyDescent="0.3">
      <c r="A60" s="8" t="s">
        <v>54</v>
      </c>
      <c r="B60" s="252"/>
      <c r="C60" s="252"/>
      <c r="D60" s="252"/>
      <c r="E60" s="252"/>
      <c r="F60" s="246"/>
      <c r="G60" s="234">
        <v>19528536.117144</v>
      </c>
      <c r="H60" s="234">
        <v>17663666.263626397</v>
      </c>
      <c r="I60" s="232">
        <v>37192202.3807704</v>
      </c>
      <c r="J60" s="232" t="e">
        <v>#REF!</v>
      </c>
      <c r="K60" s="301" t="e">
        <v>#REF!</v>
      </c>
      <c r="L60" s="302"/>
      <c r="M60" s="255">
        <v>0</v>
      </c>
      <c r="N60" s="255">
        <v>31894.000000000007</v>
      </c>
      <c r="O60" s="255">
        <v>341734808.23890758</v>
      </c>
      <c r="P60" s="426">
        <v>56547459.340000011</v>
      </c>
      <c r="Q60" s="166">
        <v>200121458.85323006</v>
      </c>
      <c r="R60" s="38"/>
      <c r="S60" s="166"/>
      <c r="T60" s="38"/>
      <c r="U60" s="66">
        <v>3782305.4361999999</v>
      </c>
      <c r="V60" s="66">
        <v>163741527.6661</v>
      </c>
      <c r="W60" s="67">
        <v>122009.9</v>
      </c>
      <c r="X60" s="68">
        <v>43.291499999999999</v>
      </c>
      <c r="Y60" s="68">
        <v>7.5560999999999998</v>
      </c>
      <c r="Z60" s="66">
        <v>28579382.130000003</v>
      </c>
      <c r="AA60" s="66">
        <v>46507218.083700001</v>
      </c>
      <c r="AB60" s="66">
        <v>163310246.5300054</v>
      </c>
      <c r="AC60" s="66">
        <v>1500233</v>
      </c>
      <c r="AD60" s="68">
        <v>3.5114999999999998</v>
      </c>
      <c r="AE60" s="68">
        <v>0.55520000000000003</v>
      </c>
      <c r="AF60" s="66">
        <v>25822208.800000001</v>
      </c>
      <c r="AG60" s="66">
        <v>2145868.4100000076</v>
      </c>
      <c r="AJ60" s="48"/>
      <c r="AK60" s="294"/>
      <c r="AL60" s="294"/>
      <c r="AM60" s="294"/>
    </row>
    <row r="61" spans="1:39" x14ac:dyDescent="0.25">
      <c r="G61" s="251"/>
      <c r="H61" s="251"/>
      <c r="I61" s="251"/>
      <c r="J61" s="251"/>
      <c r="K61" s="251"/>
      <c r="N61" s="477"/>
      <c r="O61" s="460"/>
      <c r="S61" s="290"/>
      <c r="Z61" s="48"/>
      <c r="AA61" s="48"/>
      <c r="AB61" s="48"/>
      <c r="AC61" s="48"/>
      <c r="AD61" s="48"/>
      <c r="AE61" s="48"/>
      <c r="AJ61" s="48"/>
      <c r="AK61" s="294"/>
      <c r="AL61" s="294"/>
      <c r="AM61" s="294"/>
    </row>
    <row r="62" spans="1:39" x14ac:dyDescent="0.25">
      <c r="A62" s="449" t="s">
        <v>92</v>
      </c>
      <c r="B62" s="251" t="s">
        <v>75</v>
      </c>
      <c r="G62" s="251"/>
      <c r="H62" s="449" t="s">
        <v>76</v>
      </c>
      <c r="I62" s="251"/>
      <c r="J62" s="47"/>
      <c r="K62" s="47"/>
      <c r="N62" s="477"/>
      <c r="O62" s="477"/>
      <c r="P62" s="290"/>
      <c r="Q62" s="47"/>
      <c r="S62" s="47"/>
      <c r="U62" s="48"/>
      <c r="V62" s="294"/>
      <c r="W62" s="294"/>
      <c r="X62" s="294"/>
      <c r="AJ62" s="48"/>
      <c r="AK62" s="295"/>
      <c r="AL62" s="295"/>
      <c r="AM62" s="294"/>
    </row>
    <row r="63" spans="1:39" ht="13" x14ac:dyDescent="0.3">
      <c r="B63" s="97" t="s">
        <v>77</v>
      </c>
      <c r="C63" s="98" t="s">
        <v>78</v>
      </c>
      <c r="D63" s="99"/>
      <c r="E63" s="100" t="s">
        <v>34</v>
      </c>
      <c r="F63" s="100" t="s">
        <v>79</v>
      </c>
      <c r="G63" s="251"/>
      <c r="H63" s="71" t="s">
        <v>34</v>
      </c>
      <c r="I63" s="252"/>
      <c r="J63" s="252"/>
      <c r="K63" s="252"/>
      <c r="L63" s="72"/>
      <c r="N63" s="477"/>
      <c r="O63" s="598">
        <f>570463.02/8389162.03</f>
        <v>6.8000000233634783E-2</v>
      </c>
      <c r="P63" s="599">
        <f>P60-Q58</f>
        <v>18361554.770000003</v>
      </c>
      <c r="Q63" s="47"/>
      <c r="S63" s="47"/>
      <c r="U63" s="48"/>
      <c r="V63" s="294"/>
      <c r="W63" s="294"/>
      <c r="X63" s="294"/>
      <c r="AJ63" s="48"/>
    </row>
    <row r="64" spans="1:39" ht="13" x14ac:dyDescent="0.3">
      <c r="B64" s="450" t="s">
        <v>80</v>
      </c>
      <c r="C64" s="74" t="s">
        <v>81</v>
      </c>
      <c r="D64" s="451"/>
      <c r="E64" s="76"/>
      <c r="F64" s="76"/>
      <c r="G64" s="251"/>
      <c r="H64" s="77" t="str">
        <f>"=  ("&amp;TEXT(E64,"0.0000")&amp;" * "&amp;TEXT(E67,"0.00%")&amp;" + ("&amp;TEXT(E65,"0.0000")&amp;" - "&amp;TEXT(E66,"0.0000")&amp;" - "&amp;TEXT(E69,"0.0000")&amp;") * (1 - "&amp;TEXT(E67,"0.00%")&amp;"))"</f>
        <v>=  (0.0000 * 0.00% + (0.0000 - 0.0000 - 0.0000) * (1 - 0.00%))</v>
      </c>
      <c r="I64" s="251"/>
      <c r="J64" s="251"/>
      <c r="K64" s="251"/>
      <c r="L64" s="78"/>
      <c r="M64" s="499"/>
      <c r="N64" s="499">
        <f>547803.45/8532764.09</f>
        <v>6.4199999463479832E-2</v>
      </c>
      <c r="O64" s="598">
        <f>2461190.84/21420285.79</f>
        <v>0.11490000012740259</v>
      </c>
      <c r="P64" s="592"/>
      <c r="Q64" s="500"/>
      <c r="S64" s="500"/>
      <c r="U64" s="48"/>
      <c r="V64" s="294"/>
      <c r="W64" s="294"/>
      <c r="X64" s="294"/>
      <c r="AJ64" s="48"/>
      <c r="AK64" s="294"/>
      <c r="AL64" s="294"/>
      <c r="AM64" s="294"/>
    </row>
    <row r="65" spans="1:39" ht="13" x14ac:dyDescent="0.3">
      <c r="B65" s="452" t="s">
        <v>82</v>
      </c>
      <c r="C65" s="80" t="s">
        <v>83</v>
      </c>
      <c r="D65" s="453"/>
      <c r="E65" s="82"/>
      <c r="F65" s="83"/>
      <c r="G65" s="251"/>
      <c r="H65" s="84">
        <f>((85.98%*E64+4.4221)*E67+(E65-E66-E69)*(1-E67))</f>
        <v>0</v>
      </c>
      <c r="I65" s="85"/>
      <c r="J65" s="85"/>
      <c r="K65" s="85"/>
      <c r="L65" s="86"/>
      <c r="M65" s="499">
        <f>698277.28/7412709.99</f>
        <v>9.4199999857272176E-2</v>
      </c>
      <c r="N65" s="499">
        <f>1065699.61/10775526.87</f>
        <v>9.8900000237297003E-2</v>
      </c>
      <c r="O65" s="47"/>
      <c r="P65" s="500"/>
      <c r="Q65" s="500"/>
      <c r="S65" s="500"/>
      <c r="U65" s="48"/>
      <c r="V65" s="295"/>
      <c r="W65" s="295"/>
      <c r="X65" s="294"/>
      <c r="Y65" s="47"/>
      <c r="Z65" s="47"/>
      <c r="AA65" s="47"/>
      <c r="AB65" s="47"/>
      <c r="AC65" s="47"/>
      <c r="AJ65" s="48"/>
      <c r="AK65" s="294"/>
      <c r="AL65" s="294"/>
      <c r="AM65" s="294"/>
    </row>
    <row r="66" spans="1:39" x14ac:dyDescent="0.25">
      <c r="B66" s="452" t="s">
        <v>84</v>
      </c>
      <c r="C66" s="80" t="s">
        <v>85</v>
      </c>
      <c r="D66" s="453"/>
      <c r="E66" s="82"/>
      <c r="F66" s="82"/>
      <c r="G66" s="251"/>
      <c r="H66" s="251"/>
      <c r="I66" s="454"/>
      <c r="J66" s="251"/>
      <c r="K66" s="251"/>
      <c r="M66" s="499">
        <f>5254120.1/13135300.26</f>
        <v>0.39999999969547706</v>
      </c>
      <c r="N66" s="499">
        <f>7653140.6/19132851.51</f>
        <v>0.39999999979093542</v>
      </c>
      <c r="P66" s="290"/>
      <c r="Q66" s="290"/>
      <c r="U66" s="48"/>
      <c r="V66" s="294"/>
      <c r="W66" s="294"/>
      <c r="X66" s="294"/>
      <c r="Y66" s="47"/>
      <c r="Z66" s="47"/>
      <c r="AA66" s="47"/>
      <c r="AB66" s="47"/>
      <c r="AJ66" s="48"/>
      <c r="AK66" s="294"/>
      <c r="AL66" s="294"/>
      <c r="AM66" s="294"/>
    </row>
    <row r="67" spans="1:39" x14ac:dyDescent="0.25">
      <c r="B67" s="452" t="s">
        <v>86</v>
      </c>
      <c r="C67" s="80" t="s">
        <v>87</v>
      </c>
      <c r="D67" s="453"/>
      <c r="E67" s="88"/>
      <c r="F67" s="88"/>
      <c r="G67" s="251"/>
      <c r="H67" s="71" t="s">
        <v>79</v>
      </c>
      <c r="I67" s="89"/>
      <c r="J67" s="252"/>
      <c r="K67" s="252"/>
      <c r="L67" s="72"/>
      <c r="M67" s="499">
        <f>503101.38/1323950.99</f>
        <v>0.38000000287019686</v>
      </c>
      <c r="N67" s="499"/>
      <c r="O67" s="584"/>
      <c r="U67" s="48"/>
      <c r="V67" s="294"/>
      <c r="W67" s="294"/>
      <c r="X67" s="294"/>
      <c r="Y67" s="47"/>
      <c r="Z67" s="47"/>
      <c r="AA67" s="47"/>
      <c r="AB67" s="47"/>
      <c r="AC67" s="47"/>
      <c r="AJ67" s="48"/>
      <c r="AK67" s="294"/>
      <c r="AL67" s="294"/>
      <c r="AM67" s="294"/>
    </row>
    <row r="68" spans="1:39" x14ac:dyDescent="0.25">
      <c r="B68" s="452" t="s">
        <v>88</v>
      </c>
      <c r="C68" s="80" t="s">
        <v>89</v>
      </c>
      <c r="D68" s="453"/>
      <c r="E68" s="90"/>
      <c r="F68" s="83"/>
      <c r="G68" s="251"/>
      <c r="H68" s="77" t="str">
        <f>"=  ("&amp;TEXT(F64,"0.0000")&amp;" * "&amp;TEXT(F67,"0.00%")&amp;" + ("&amp;TEXT(F65,"0.0000")&amp;" - "&amp;TEXT(F66,"0.0000")&amp;" - "&amp;TEXT(F69,"0.0000")&amp;") * (1 - "&amp;TEXT(F67,"0.00%")&amp;"))"</f>
        <v>=  (0.0000 * 0.00% + (0.0000 - 0.0000 - 0.0000) * (1 - 0.00%))</v>
      </c>
      <c r="I68" s="454"/>
      <c r="J68" s="251"/>
      <c r="K68" s="251"/>
      <c r="L68" s="78"/>
      <c r="N68" s="501"/>
      <c r="O68" s="332"/>
      <c r="U68" s="48"/>
      <c r="V68" s="294"/>
      <c r="W68" s="294"/>
      <c r="X68" s="294"/>
      <c r="Y68" s="47"/>
      <c r="Z68" s="47"/>
      <c r="AA68" s="47"/>
      <c r="AB68" s="47"/>
      <c r="AC68" s="47"/>
      <c r="AJ68" s="48"/>
      <c r="AK68" s="294"/>
      <c r="AL68" s="294"/>
      <c r="AM68" s="294"/>
    </row>
    <row r="69" spans="1:39" x14ac:dyDescent="0.25">
      <c r="B69" s="455" t="s">
        <v>90</v>
      </c>
      <c r="C69" s="92" t="s">
        <v>91</v>
      </c>
      <c r="D69" s="456"/>
      <c r="E69" s="94"/>
      <c r="F69" s="94"/>
      <c r="G69" s="251"/>
      <c r="H69" s="84">
        <f>((85.98%*F64+4.4221)*F67+(F65-F66-F69)*(1-F67))</f>
        <v>0</v>
      </c>
      <c r="I69" s="95"/>
      <c r="J69" s="85"/>
      <c r="K69" s="85"/>
      <c r="L69" s="86"/>
      <c r="M69" s="332"/>
      <c r="N69" s="332"/>
      <c r="O69" s="332"/>
      <c r="U69" s="48"/>
      <c r="V69" s="294"/>
      <c r="W69" s="294"/>
      <c r="X69" s="294"/>
      <c r="Y69" s="47"/>
      <c r="Z69" s="47"/>
      <c r="AA69" s="47"/>
      <c r="AB69" s="47"/>
      <c r="AC69" s="47"/>
      <c r="AJ69" s="48"/>
      <c r="AK69" s="294"/>
      <c r="AL69" s="294"/>
      <c r="AM69" s="294"/>
    </row>
    <row r="70" spans="1:39" x14ac:dyDescent="0.25">
      <c r="A70" s="449"/>
      <c r="G70" s="251"/>
      <c r="H70" s="421"/>
      <c r="I70" s="251"/>
      <c r="J70" s="251"/>
      <c r="K70" s="251"/>
      <c r="M70" s="332"/>
      <c r="N70" s="332"/>
      <c r="O70" s="332"/>
      <c r="U70" s="48"/>
      <c r="V70" s="294"/>
      <c r="W70" s="294"/>
      <c r="X70" s="294"/>
      <c r="Y70" s="47"/>
      <c r="Z70" s="47"/>
      <c r="AA70" s="47"/>
      <c r="AB70" s="47"/>
      <c r="AC70" s="47"/>
      <c r="AJ70" s="48"/>
      <c r="AK70" s="295"/>
      <c r="AL70" s="295"/>
      <c r="AM70" s="294"/>
    </row>
    <row r="71" spans="1:39" ht="13" x14ac:dyDescent="0.3">
      <c r="A71" s="457"/>
      <c r="G71" s="251"/>
      <c r="H71" s="251"/>
      <c r="I71" s="251"/>
      <c r="J71" s="251"/>
      <c r="K71" s="251"/>
      <c r="U71" s="48"/>
      <c r="V71" s="294"/>
      <c r="W71" s="294"/>
      <c r="X71" s="294"/>
      <c r="Y71" s="47"/>
      <c r="Z71" s="47"/>
      <c r="AA71" s="47"/>
      <c r="AB71" s="47"/>
      <c r="AC71" s="47"/>
      <c r="AK71" s="294"/>
    </row>
  </sheetData>
  <mergeCells count="2">
    <mergeCell ref="C7:C8"/>
    <mergeCell ref="O7:O8"/>
  </mergeCells>
  <phoneticPr fontId="0" type="noConversion"/>
  <printOptions horizontalCentered="1" verticalCentered="1"/>
  <pageMargins left="0.23622047244094491" right="0.23622047244094491" top="0.51181102362204722" bottom="0.51181102362204722" header="0" footer="0"/>
  <pageSetup paperSize="9" scale="62" fitToWidth="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pageSetUpPr fitToPage="1"/>
  </sheetPr>
  <dimension ref="A1:T71"/>
  <sheetViews>
    <sheetView view="pageBreakPreview" zoomScale="90" zoomScaleNormal="95" zoomScaleSheetLayoutView="90" workbookViewId="0">
      <selection activeCell="A26" sqref="A26"/>
    </sheetView>
  </sheetViews>
  <sheetFormatPr baseColWidth="10" defaultColWidth="8.765625" defaultRowHeight="12.5" x14ac:dyDescent="0.25"/>
  <cols>
    <col min="1" max="1" width="3" style="328" customWidth="1"/>
    <col min="2" max="2" width="15.23046875" style="328" customWidth="1"/>
    <col min="3" max="3" width="7.765625" style="328" customWidth="1"/>
    <col min="4" max="4" width="8.07421875" style="328" customWidth="1"/>
    <col min="5" max="5" width="8.765625" style="328" customWidth="1"/>
    <col min="6" max="6" width="8.4609375" style="328" customWidth="1"/>
    <col min="7" max="7" width="11.3046875" style="603" bestFit="1" customWidth="1"/>
    <col min="8" max="11" width="10.4609375" style="603" customWidth="1"/>
    <col min="12" max="14" width="10.4609375" style="328" customWidth="1"/>
    <col min="15" max="15" width="14.4609375" style="328" bestFit="1" customWidth="1"/>
    <col min="16" max="17" width="14.4609375" style="328" customWidth="1"/>
    <col min="18" max="18" width="5.765625" style="328" customWidth="1"/>
    <col min="19" max="19" width="11.53515625" style="328" customWidth="1"/>
    <col min="20" max="20" width="5.765625" style="328" customWidth="1"/>
    <col min="21" max="16384" width="8.765625" style="328"/>
  </cols>
  <sheetData>
    <row r="1" spans="1:20" ht="12.75" customHeight="1" x14ac:dyDescent="0.25">
      <c r="A1" s="328" t="s">
        <v>50</v>
      </c>
      <c r="C1" s="600"/>
      <c r="D1" s="600"/>
      <c r="E1" s="601">
        <v>45870</v>
      </c>
      <c r="F1" s="602" t="s">
        <v>333</v>
      </c>
      <c r="S1" s="328" t="s">
        <v>306</v>
      </c>
    </row>
    <row r="2" spans="1:20" x14ac:dyDescent="0.25">
      <c r="A2" s="600" t="s">
        <v>0</v>
      </c>
    </row>
    <row r="3" spans="1:20" ht="13" x14ac:dyDescent="0.25">
      <c r="A3" s="604" t="s">
        <v>106</v>
      </c>
      <c r="B3" s="604"/>
      <c r="C3" s="604"/>
      <c r="D3" s="604"/>
      <c r="E3" s="604"/>
      <c r="F3" s="604"/>
      <c r="G3" s="604"/>
      <c r="H3" s="604"/>
      <c r="I3" s="604"/>
      <c r="J3" s="604"/>
      <c r="K3" s="604"/>
      <c r="L3" s="604"/>
      <c r="M3" s="604"/>
      <c r="N3" s="604"/>
      <c r="O3" s="604"/>
      <c r="P3" s="604"/>
      <c r="Q3" s="604"/>
      <c r="R3" s="604"/>
      <c r="S3" s="604"/>
      <c r="T3" s="604"/>
    </row>
    <row r="4" spans="1:20" x14ac:dyDescent="0.25">
      <c r="A4" s="605" t="s">
        <v>334</v>
      </c>
      <c r="B4" s="605"/>
      <c r="C4" s="605"/>
      <c r="D4" s="605"/>
      <c r="E4" s="605"/>
      <c r="F4" s="605"/>
      <c r="G4" s="605"/>
      <c r="H4" s="605"/>
      <c r="I4" s="605"/>
      <c r="J4" s="605"/>
      <c r="K4" s="605"/>
      <c r="L4" s="605"/>
      <c r="M4" s="605"/>
      <c r="N4" s="605"/>
      <c r="O4" s="605"/>
      <c r="P4" s="605"/>
      <c r="Q4" s="605"/>
      <c r="R4" s="605"/>
      <c r="S4" s="605"/>
      <c r="T4" s="605"/>
    </row>
    <row r="5" spans="1:20" x14ac:dyDescent="0.25">
      <c r="A5" s="605" t="s">
        <v>335</v>
      </c>
      <c r="B5" s="605"/>
      <c r="C5" s="605"/>
      <c r="D5" s="605"/>
      <c r="E5" s="605"/>
      <c r="F5" s="605"/>
      <c r="G5" s="605"/>
      <c r="H5" s="605"/>
      <c r="I5" s="605"/>
      <c r="J5" s="605"/>
      <c r="K5" s="605"/>
      <c r="L5" s="605"/>
      <c r="M5" s="605"/>
      <c r="N5" s="605"/>
      <c r="O5" s="605"/>
      <c r="P5" s="605"/>
      <c r="Q5" s="606"/>
      <c r="R5" s="605"/>
      <c r="S5" s="605"/>
      <c r="T5" s="605"/>
    </row>
    <row r="6" spans="1:20" x14ac:dyDescent="0.25">
      <c r="E6" s="404"/>
      <c r="F6" s="404"/>
      <c r="G6" s="607"/>
      <c r="H6" s="608"/>
      <c r="Q6" s="606"/>
    </row>
    <row r="7" spans="1:20" ht="21.75" customHeight="1" x14ac:dyDescent="0.25">
      <c r="A7" s="609" t="s">
        <v>25</v>
      </c>
      <c r="B7" s="610"/>
      <c r="C7" s="922" t="s">
        <v>33</v>
      </c>
      <c r="D7" s="611" t="s">
        <v>57</v>
      </c>
      <c r="E7" s="612"/>
      <c r="F7" s="613" t="s">
        <v>103</v>
      </c>
      <c r="G7" s="614"/>
      <c r="H7" s="615"/>
      <c r="I7" s="613" t="s">
        <v>37</v>
      </c>
      <c r="J7" s="615"/>
      <c r="K7" s="613" t="s">
        <v>40</v>
      </c>
      <c r="L7" s="614"/>
      <c r="M7" s="614"/>
      <c r="N7" s="615"/>
      <c r="O7" s="922" t="s">
        <v>93</v>
      </c>
      <c r="P7" s="613" t="s">
        <v>49</v>
      </c>
      <c r="Q7" s="614"/>
      <c r="R7" s="614"/>
      <c r="S7" s="614"/>
      <c r="T7" s="615"/>
    </row>
    <row r="8" spans="1:20" ht="14.25" customHeight="1" x14ac:dyDescent="0.25">
      <c r="A8" s="617" t="s">
        <v>26</v>
      </c>
      <c r="B8" s="618"/>
      <c r="C8" s="923"/>
      <c r="D8" s="619" t="s">
        <v>19</v>
      </c>
      <c r="E8" s="620" t="s">
        <v>58</v>
      </c>
      <c r="F8" s="619" t="s">
        <v>27</v>
      </c>
      <c r="G8" s="621" t="s">
        <v>34</v>
      </c>
      <c r="H8" s="622" t="s">
        <v>35</v>
      </c>
      <c r="I8" s="622" t="s">
        <v>34</v>
      </c>
      <c r="J8" s="621" t="s">
        <v>35</v>
      </c>
      <c r="K8" s="621" t="s">
        <v>38</v>
      </c>
      <c r="L8" s="621" t="s">
        <v>39</v>
      </c>
      <c r="M8" s="621" t="s">
        <v>41</v>
      </c>
      <c r="N8" s="621" t="s">
        <v>2</v>
      </c>
      <c r="O8" s="923"/>
      <c r="P8" s="616" t="s">
        <v>1</v>
      </c>
      <c r="Q8" s="613" t="s">
        <v>44</v>
      </c>
      <c r="R8" s="615"/>
      <c r="S8" s="613" t="s">
        <v>45</v>
      </c>
      <c r="T8" s="615"/>
    </row>
    <row r="9" spans="1:20" ht="13" x14ac:dyDescent="0.3">
      <c r="A9" s="623" t="s">
        <v>23</v>
      </c>
      <c r="B9" s="624"/>
      <c r="C9" s="625"/>
      <c r="D9" s="626"/>
      <c r="E9" s="626"/>
      <c r="F9" s="623"/>
      <c r="G9" s="627"/>
      <c r="H9" s="628"/>
      <c r="I9" s="629"/>
      <c r="J9" s="627"/>
      <c r="K9" s="627"/>
      <c r="L9" s="627"/>
      <c r="M9" s="627"/>
      <c r="N9" s="627"/>
      <c r="O9" s="630"/>
      <c r="P9" s="627"/>
      <c r="Q9" s="631" t="s">
        <v>42</v>
      </c>
      <c r="R9" s="632"/>
      <c r="S9" s="631" t="s">
        <v>43</v>
      </c>
      <c r="T9" s="632"/>
    </row>
    <row r="10" spans="1:20" x14ac:dyDescent="0.25">
      <c r="A10" s="633" t="s">
        <v>28</v>
      </c>
      <c r="B10" s="634" t="s">
        <v>13</v>
      </c>
      <c r="C10" s="635" t="s">
        <v>31</v>
      </c>
      <c r="D10" s="636" t="s">
        <v>30</v>
      </c>
      <c r="E10" s="635" t="s">
        <v>98</v>
      </c>
      <c r="F10" s="637" t="s">
        <v>36</v>
      </c>
      <c r="G10" s="638">
        <v>5008</v>
      </c>
      <c r="H10" s="638">
        <v>9521</v>
      </c>
      <c r="I10" s="639">
        <v>69.117000000000004</v>
      </c>
      <c r="J10" s="639">
        <v>68.311700000000002</v>
      </c>
      <c r="K10" s="640"/>
      <c r="L10" s="640"/>
      <c r="M10" s="640"/>
      <c r="N10" s="641">
        <v>81.709999999999994</v>
      </c>
      <c r="O10" s="638">
        <v>996451.92999999993</v>
      </c>
      <c r="P10" s="640">
        <v>186834.74</v>
      </c>
      <c r="Q10" s="640">
        <v>149467.79</v>
      </c>
      <c r="R10" s="642">
        <v>0.15</v>
      </c>
      <c r="S10" s="640">
        <v>37366.949999999997</v>
      </c>
      <c r="T10" s="643">
        <v>3.7499999999999999E-2</v>
      </c>
    </row>
    <row r="11" spans="1:20" ht="12.75" customHeight="1" x14ac:dyDescent="0.25">
      <c r="A11" s="633" t="s">
        <v>28</v>
      </c>
      <c r="B11" s="634" t="s">
        <v>14</v>
      </c>
      <c r="C11" s="635" t="s">
        <v>31</v>
      </c>
      <c r="D11" s="636" t="s">
        <v>30</v>
      </c>
      <c r="E11" s="635" t="s">
        <v>98</v>
      </c>
      <c r="F11" s="637" t="s">
        <v>55</v>
      </c>
      <c r="G11" s="638">
        <v>41661.588199999998</v>
      </c>
      <c r="H11" s="638">
        <v>45219.933599999997</v>
      </c>
      <c r="I11" s="639">
        <v>3.3450000000000002</v>
      </c>
      <c r="J11" s="639">
        <v>3.3450000000000002</v>
      </c>
      <c r="K11" s="640"/>
      <c r="L11" s="640"/>
      <c r="M11" s="640"/>
      <c r="N11" s="641">
        <v>228.77</v>
      </c>
      <c r="O11" s="638">
        <v>290389.92</v>
      </c>
      <c r="P11" s="640">
        <v>54448.11</v>
      </c>
      <c r="Q11" s="640">
        <v>43558.49</v>
      </c>
      <c r="R11" s="642">
        <v>0.15</v>
      </c>
      <c r="S11" s="640">
        <v>10889.62</v>
      </c>
      <c r="T11" s="643">
        <v>3.7499999999999999E-2</v>
      </c>
    </row>
    <row r="12" spans="1:20" x14ac:dyDescent="0.25">
      <c r="A12" s="633" t="s">
        <v>28</v>
      </c>
      <c r="B12" s="634" t="s">
        <v>3</v>
      </c>
      <c r="C12" s="635" t="s">
        <v>31</v>
      </c>
      <c r="D12" s="636" t="s">
        <v>30</v>
      </c>
      <c r="E12" s="635" t="s">
        <v>98</v>
      </c>
      <c r="F12" s="637" t="s">
        <v>36</v>
      </c>
      <c r="G12" s="638">
        <v>4305</v>
      </c>
      <c r="H12" s="638">
        <v>4431</v>
      </c>
      <c r="I12" s="639">
        <v>67.781700000000001</v>
      </c>
      <c r="J12" s="639">
        <v>66.936300000000003</v>
      </c>
      <c r="K12" s="640"/>
      <c r="L12" s="640"/>
      <c r="M12" s="640"/>
      <c r="N12" s="641">
        <v>656.91</v>
      </c>
      <c r="O12" s="638">
        <v>587738.05999999994</v>
      </c>
      <c r="P12" s="640">
        <v>110200.89</v>
      </c>
      <c r="Q12" s="640">
        <v>88160.71</v>
      </c>
      <c r="R12" s="642">
        <v>0.15</v>
      </c>
      <c r="S12" s="640">
        <v>22040.18</v>
      </c>
      <c r="T12" s="643">
        <v>3.7499999999999999E-2</v>
      </c>
    </row>
    <row r="13" spans="1:20" x14ac:dyDescent="0.25">
      <c r="A13" s="644" t="s">
        <v>28</v>
      </c>
      <c r="B13" s="645" t="s">
        <v>315</v>
      </c>
      <c r="C13" s="635" t="s">
        <v>31</v>
      </c>
      <c r="D13" s="636" t="s">
        <v>30</v>
      </c>
      <c r="E13" s="635" t="s">
        <v>98</v>
      </c>
      <c r="F13" s="637" t="s">
        <v>55</v>
      </c>
      <c r="G13" s="638">
        <v>26323.475999999999</v>
      </c>
      <c r="H13" s="638">
        <v>24401.437399999999</v>
      </c>
      <c r="I13" s="639">
        <v>2.95</v>
      </c>
      <c r="J13" s="639">
        <v>2.95</v>
      </c>
      <c r="K13" s="640"/>
      <c r="L13" s="640"/>
      <c r="M13" s="640"/>
      <c r="N13" s="641">
        <v>702.66</v>
      </c>
      <c r="O13" s="638">
        <v>148935.82999999999</v>
      </c>
      <c r="P13" s="640">
        <v>27925.47</v>
      </c>
      <c r="Q13" s="640">
        <v>22340.37</v>
      </c>
      <c r="R13" s="642">
        <v>0.15</v>
      </c>
      <c r="S13" s="640">
        <v>5585.09</v>
      </c>
      <c r="T13" s="643">
        <v>3.7499999999999999E-2</v>
      </c>
    </row>
    <row r="14" spans="1:20" x14ac:dyDescent="0.25">
      <c r="A14" s="633" t="s">
        <v>28</v>
      </c>
      <c r="B14" s="634" t="s">
        <v>4</v>
      </c>
      <c r="C14" s="635" t="s">
        <v>31</v>
      </c>
      <c r="D14" s="636" t="s">
        <v>30</v>
      </c>
      <c r="E14" s="635" t="s">
        <v>98</v>
      </c>
      <c r="F14" s="637" t="s">
        <v>36</v>
      </c>
      <c r="G14" s="638">
        <v>33057</v>
      </c>
      <c r="H14" s="638">
        <v>35660</v>
      </c>
      <c r="I14" s="639">
        <v>69.117000000000004</v>
      </c>
      <c r="J14" s="639">
        <v>68.311700000000002</v>
      </c>
      <c r="K14" s="640"/>
      <c r="L14" s="640"/>
      <c r="M14" s="640"/>
      <c r="N14" s="641">
        <v>1067.95</v>
      </c>
      <c r="O14" s="638">
        <v>4719727.9400000004</v>
      </c>
      <c r="P14" s="640">
        <v>884948.99</v>
      </c>
      <c r="Q14" s="640">
        <v>707959.19</v>
      </c>
      <c r="R14" s="642">
        <v>0.15</v>
      </c>
      <c r="S14" s="640">
        <v>176989.8</v>
      </c>
      <c r="T14" s="643">
        <v>3.7499999999999999E-2</v>
      </c>
    </row>
    <row r="15" spans="1:20" x14ac:dyDescent="0.25">
      <c r="A15" s="633" t="s">
        <v>28</v>
      </c>
      <c r="B15" s="646" t="s">
        <v>316</v>
      </c>
      <c r="C15" s="635" t="s">
        <v>31</v>
      </c>
      <c r="D15" s="636" t="s">
        <v>30</v>
      </c>
      <c r="E15" s="635" t="s">
        <v>98</v>
      </c>
      <c r="F15" s="637" t="s">
        <v>55</v>
      </c>
      <c r="G15" s="638">
        <v>95776.4133</v>
      </c>
      <c r="H15" s="638">
        <v>97706.5193</v>
      </c>
      <c r="I15" s="639">
        <v>2.8881999999999999</v>
      </c>
      <c r="J15" s="639">
        <v>2.8881999999999999</v>
      </c>
      <c r="K15" s="640"/>
      <c r="L15" s="640"/>
      <c r="M15" s="640"/>
      <c r="N15" s="640"/>
      <c r="O15" s="647">
        <v>558817.40999999992</v>
      </c>
      <c r="P15" s="640">
        <v>104778.26</v>
      </c>
      <c r="Q15" s="640">
        <v>83822.61</v>
      </c>
      <c r="R15" s="642">
        <v>0.15</v>
      </c>
      <c r="S15" s="640">
        <v>20955.650000000001</v>
      </c>
      <c r="T15" s="643">
        <v>3.7499999999999999E-2</v>
      </c>
    </row>
    <row r="16" spans="1:20" x14ac:dyDescent="0.25">
      <c r="A16" s="633" t="s">
        <v>28</v>
      </c>
      <c r="B16" s="634" t="s">
        <v>5</v>
      </c>
      <c r="C16" s="635" t="s">
        <v>31</v>
      </c>
      <c r="D16" s="636" t="s">
        <v>30</v>
      </c>
      <c r="E16" s="635" t="s">
        <v>98</v>
      </c>
      <c r="F16" s="637" t="s">
        <v>36</v>
      </c>
      <c r="G16" s="638">
        <v>56036</v>
      </c>
      <c r="H16" s="638">
        <v>68286</v>
      </c>
      <c r="I16" s="639">
        <v>69.117000000000004</v>
      </c>
      <c r="J16" s="639">
        <v>68.311700000000002</v>
      </c>
      <c r="K16" s="640"/>
      <c r="L16" s="640"/>
      <c r="M16" s="640"/>
      <c r="N16" s="641">
        <v>1809.83</v>
      </c>
      <c r="O16" s="638">
        <v>8535963.1300000008</v>
      </c>
      <c r="P16" s="640">
        <v>1600493.09</v>
      </c>
      <c r="Q16" s="640">
        <v>1280394.47</v>
      </c>
      <c r="R16" s="642">
        <v>0.15</v>
      </c>
      <c r="S16" s="640">
        <v>320098.62</v>
      </c>
      <c r="T16" s="643">
        <v>3.7499999999999999E-2</v>
      </c>
    </row>
    <row r="17" spans="1:20" x14ac:dyDescent="0.25">
      <c r="A17" s="633" t="s">
        <v>28</v>
      </c>
      <c r="B17" s="634" t="s">
        <v>317</v>
      </c>
      <c r="C17" s="635" t="s">
        <v>31</v>
      </c>
      <c r="D17" s="636" t="s">
        <v>30</v>
      </c>
      <c r="E17" s="635" t="s">
        <v>98</v>
      </c>
      <c r="F17" s="637" t="s">
        <v>36</v>
      </c>
      <c r="G17" s="638">
        <v>81818.1348</v>
      </c>
      <c r="H17" s="638">
        <v>87232.681800000006</v>
      </c>
      <c r="I17" s="639">
        <v>2.8893</v>
      </c>
      <c r="J17" s="639">
        <v>2.8893</v>
      </c>
      <c r="K17" s="640"/>
      <c r="L17" s="640"/>
      <c r="M17" s="640"/>
      <c r="N17" s="641">
        <v>600.6</v>
      </c>
      <c r="O17" s="638">
        <v>487837.93000000005</v>
      </c>
      <c r="P17" s="640">
        <v>91469.61</v>
      </c>
      <c r="Q17" s="640">
        <v>73175.69</v>
      </c>
      <c r="R17" s="642">
        <v>0.15</v>
      </c>
      <c r="S17" s="640">
        <v>18293.919999999998</v>
      </c>
      <c r="T17" s="643">
        <v>3.7499999999999999E-2</v>
      </c>
    </row>
    <row r="18" spans="1:20" x14ac:dyDescent="0.25">
      <c r="A18" s="633" t="s">
        <v>28</v>
      </c>
      <c r="B18" s="634" t="s">
        <v>17</v>
      </c>
      <c r="C18" s="635" t="s">
        <v>31</v>
      </c>
      <c r="D18" s="636" t="s">
        <v>30</v>
      </c>
      <c r="E18" s="635" t="s">
        <v>98</v>
      </c>
      <c r="F18" s="637" t="s">
        <v>36</v>
      </c>
      <c r="G18" s="638">
        <v>2748</v>
      </c>
      <c r="H18" s="638">
        <v>2812</v>
      </c>
      <c r="I18" s="639">
        <v>67.975800000000007</v>
      </c>
      <c r="J18" s="639">
        <v>66.989400000000003</v>
      </c>
      <c r="K18" s="640"/>
      <c r="L18" s="640"/>
      <c r="M18" s="640"/>
      <c r="N18" s="641">
        <v>428.13</v>
      </c>
      <c r="O18" s="647">
        <v>374743.56</v>
      </c>
      <c r="P18" s="640">
        <v>70264.42</v>
      </c>
      <c r="Q18" s="640">
        <v>56211.53</v>
      </c>
      <c r="R18" s="642">
        <v>0.15</v>
      </c>
      <c r="S18" s="640">
        <v>14052.88</v>
      </c>
      <c r="T18" s="643">
        <v>3.7499999999999999E-2</v>
      </c>
    </row>
    <row r="19" spans="1:20" x14ac:dyDescent="0.25">
      <c r="A19" s="648" t="s">
        <v>28</v>
      </c>
      <c r="B19" s="646" t="s">
        <v>293</v>
      </c>
      <c r="C19" s="649" t="s">
        <v>31</v>
      </c>
      <c r="D19" s="650" t="s">
        <v>30</v>
      </c>
      <c r="E19" s="649" t="s">
        <v>95</v>
      </c>
      <c r="F19" s="637" t="s">
        <v>36</v>
      </c>
      <c r="G19" s="638">
        <v>20650</v>
      </c>
      <c r="H19" s="638">
        <v>24624</v>
      </c>
      <c r="I19" s="494">
        <v>69.117000000000004</v>
      </c>
      <c r="J19" s="639">
        <v>68.311700000000002</v>
      </c>
      <c r="K19" s="640"/>
      <c r="L19" s="640"/>
      <c r="M19" s="640"/>
      <c r="N19" s="641">
        <v>516.38</v>
      </c>
      <c r="O19" s="647">
        <v>3108856.97</v>
      </c>
      <c r="P19" s="640">
        <v>582910.68000000005</v>
      </c>
      <c r="Q19" s="640">
        <v>466328.55</v>
      </c>
      <c r="R19" s="642">
        <v>0.15</v>
      </c>
      <c r="S19" s="640">
        <v>116582.14</v>
      </c>
      <c r="T19" s="643">
        <v>3.7499999999999999E-2</v>
      </c>
    </row>
    <row r="20" spans="1:20" x14ac:dyDescent="0.25">
      <c r="A20" s="648" t="s">
        <v>28</v>
      </c>
      <c r="B20" s="646" t="s">
        <v>294</v>
      </c>
      <c r="C20" s="649" t="s">
        <v>31</v>
      </c>
      <c r="D20" s="650" t="s">
        <v>30</v>
      </c>
      <c r="E20" s="649" t="s">
        <v>95</v>
      </c>
      <c r="F20" s="637" t="s">
        <v>55</v>
      </c>
      <c r="G20" s="638">
        <v>59288.886700000003</v>
      </c>
      <c r="H20" s="638">
        <v>56378.394500000002</v>
      </c>
      <c r="I20" s="494">
        <v>3.2772000000000001</v>
      </c>
      <c r="J20" s="639">
        <v>3.2772000000000001</v>
      </c>
      <c r="K20" s="640"/>
      <c r="L20" s="640"/>
      <c r="M20" s="640"/>
      <c r="N20" s="651">
        <v>222.24</v>
      </c>
      <c r="O20" s="647">
        <v>378842.57</v>
      </c>
      <c r="P20" s="640">
        <v>71032.98</v>
      </c>
      <c r="Q20" s="640">
        <v>56826.39</v>
      </c>
      <c r="R20" s="642">
        <v>0.15</v>
      </c>
      <c r="S20" s="640">
        <v>14206.6</v>
      </c>
      <c r="T20" s="643">
        <v>3.7499999999999999E-2</v>
      </c>
    </row>
    <row r="21" spans="1:20" x14ac:dyDescent="0.25">
      <c r="A21" s="648" t="s">
        <v>28</v>
      </c>
      <c r="B21" s="646" t="s">
        <v>295</v>
      </c>
      <c r="C21" s="649" t="s">
        <v>31</v>
      </c>
      <c r="D21" s="650" t="s">
        <v>30</v>
      </c>
      <c r="E21" s="649" t="s">
        <v>95</v>
      </c>
      <c r="F21" s="637" t="s">
        <v>36</v>
      </c>
      <c r="G21" s="638">
        <v>15143</v>
      </c>
      <c r="H21" s="638">
        <v>17490</v>
      </c>
      <c r="I21" s="494">
        <v>67.975800000000007</v>
      </c>
      <c r="J21" s="639">
        <v>66.989400000000003</v>
      </c>
      <c r="K21" s="640"/>
      <c r="L21" s="640"/>
      <c r="M21" s="640"/>
      <c r="N21" s="641">
        <v>254.92</v>
      </c>
      <c r="O21" s="647">
        <v>2200747.2300000004</v>
      </c>
      <c r="P21" s="640">
        <v>412640.11</v>
      </c>
      <c r="Q21" s="640">
        <v>330112.08</v>
      </c>
      <c r="R21" s="642">
        <v>0.15</v>
      </c>
      <c r="S21" s="640">
        <v>82528.02</v>
      </c>
      <c r="T21" s="643">
        <v>3.7499999999999999E-2</v>
      </c>
    </row>
    <row r="22" spans="1:20" x14ac:dyDescent="0.25">
      <c r="A22" s="633" t="s">
        <v>28</v>
      </c>
      <c r="B22" s="634" t="s">
        <v>18</v>
      </c>
      <c r="C22" s="635" t="s">
        <v>31</v>
      </c>
      <c r="D22" s="636" t="s">
        <v>30</v>
      </c>
      <c r="E22" s="635" t="s">
        <v>98</v>
      </c>
      <c r="F22" s="637" t="s">
        <v>36</v>
      </c>
      <c r="G22" s="638">
        <v>1899</v>
      </c>
      <c r="H22" s="638">
        <v>2944</v>
      </c>
      <c r="I22" s="639">
        <v>69.117000000000004</v>
      </c>
      <c r="J22" s="639">
        <v>68.311700000000002</v>
      </c>
      <c r="K22" s="640"/>
      <c r="L22" s="640"/>
      <c r="M22" s="640"/>
      <c r="N22" s="641">
        <v>274.52999999999997</v>
      </c>
      <c r="O22" s="647">
        <v>332088.28999999998</v>
      </c>
      <c r="P22" s="640">
        <v>62266.55</v>
      </c>
      <c r="Q22" s="640">
        <v>49813.24</v>
      </c>
      <c r="R22" s="642">
        <v>0.15</v>
      </c>
      <c r="S22" s="640">
        <v>12453.31</v>
      </c>
      <c r="T22" s="643">
        <v>3.7499999999999999E-2</v>
      </c>
    </row>
    <row r="23" spans="1:20" x14ac:dyDescent="0.25">
      <c r="A23" s="633" t="s">
        <v>28</v>
      </c>
      <c r="B23" s="634" t="s">
        <v>20</v>
      </c>
      <c r="C23" s="635" t="s">
        <v>31</v>
      </c>
      <c r="D23" s="636" t="s">
        <v>30</v>
      </c>
      <c r="E23" s="635" t="s">
        <v>98</v>
      </c>
      <c r="F23" s="637" t="s">
        <v>36</v>
      </c>
      <c r="G23" s="638">
        <v>125987</v>
      </c>
      <c r="H23" s="638">
        <v>134345</v>
      </c>
      <c r="I23" s="639">
        <v>69.468800000000002</v>
      </c>
      <c r="J23" s="639">
        <v>68.587400000000002</v>
      </c>
      <c r="K23" s="640"/>
      <c r="L23" s="640"/>
      <c r="M23" s="640"/>
      <c r="N23" s="641">
        <v>1224.83</v>
      </c>
      <c r="O23" s="647">
        <v>17965315.130000003</v>
      </c>
      <c r="P23" s="640">
        <v>3368496.59</v>
      </c>
      <c r="Q23" s="640">
        <v>2694797.27</v>
      </c>
      <c r="R23" s="642">
        <v>0.15</v>
      </c>
      <c r="S23" s="640">
        <v>673699.32</v>
      </c>
      <c r="T23" s="643">
        <v>3.7499999999999999E-2</v>
      </c>
    </row>
    <row r="24" spans="1:20" x14ac:dyDescent="0.25">
      <c r="A24" s="633" t="s">
        <v>28</v>
      </c>
      <c r="B24" s="634" t="s">
        <v>318</v>
      </c>
      <c r="C24" s="635" t="s">
        <v>31</v>
      </c>
      <c r="D24" s="636" t="s">
        <v>30</v>
      </c>
      <c r="E24" s="635" t="s">
        <v>98</v>
      </c>
      <c r="F24" s="637" t="s">
        <v>55</v>
      </c>
      <c r="G24" s="638">
        <v>204460.6</v>
      </c>
      <c r="H24" s="638">
        <v>214039.75</v>
      </c>
      <c r="I24" s="639">
        <v>3.1</v>
      </c>
      <c r="J24" s="639">
        <v>3.1</v>
      </c>
      <c r="K24" s="640"/>
      <c r="L24" s="640"/>
      <c r="M24" s="640"/>
      <c r="N24" s="641">
        <v>924.15</v>
      </c>
      <c r="O24" s="647">
        <v>1296426.94</v>
      </c>
      <c r="P24" s="640">
        <v>243080.05</v>
      </c>
      <c r="Q24" s="640">
        <v>194464.04</v>
      </c>
      <c r="R24" s="642">
        <v>0.15</v>
      </c>
      <c r="S24" s="640">
        <v>48616.01</v>
      </c>
      <c r="T24" s="643">
        <v>3.7499999999999999E-2</v>
      </c>
    </row>
    <row r="25" spans="1:20" x14ac:dyDescent="0.25">
      <c r="A25" s="633" t="s">
        <v>28</v>
      </c>
      <c r="B25" s="634" t="s">
        <v>9</v>
      </c>
      <c r="C25" s="635" t="s">
        <v>31</v>
      </c>
      <c r="D25" s="636" t="s">
        <v>30</v>
      </c>
      <c r="E25" s="635" t="s">
        <v>98</v>
      </c>
      <c r="F25" s="637" t="s">
        <v>36</v>
      </c>
      <c r="G25" s="638">
        <v>241</v>
      </c>
      <c r="H25" s="638">
        <v>275</v>
      </c>
      <c r="I25" s="639">
        <v>67.975800000000007</v>
      </c>
      <c r="J25" s="639">
        <v>66.989400000000003</v>
      </c>
      <c r="K25" s="640"/>
      <c r="L25" s="640"/>
      <c r="M25" s="640"/>
      <c r="N25" s="641">
        <v>297.41000000000003</v>
      </c>
      <c r="O25" s="647">
        <v>34506.85</v>
      </c>
      <c r="P25" s="640">
        <v>6470.03</v>
      </c>
      <c r="Q25" s="640">
        <v>5176.03</v>
      </c>
      <c r="R25" s="642">
        <v>0.15</v>
      </c>
      <c r="S25" s="640">
        <v>1294.01</v>
      </c>
      <c r="T25" s="643">
        <v>3.7499999999999999E-2</v>
      </c>
    </row>
    <row r="26" spans="1:20" x14ac:dyDescent="0.25">
      <c r="A26" s="633" t="s">
        <v>28</v>
      </c>
      <c r="B26" s="634" t="s">
        <v>165</v>
      </c>
      <c r="C26" s="635" t="s">
        <v>31</v>
      </c>
      <c r="D26" s="636" t="s">
        <v>30</v>
      </c>
      <c r="E26" s="635" t="s">
        <v>98</v>
      </c>
      <c r="F26" s="637" t="s">
        <v>36</v>
      </c>
      <c r="G26" s="638">
        <v>13013</v>
      </c>
      <c r="H26" s="638">
        <v>13677</v>
      </c>
      <c r="I26" s="639">
        <v>66.287000000000006</v>
      </c>
      <c r="J26" s="639">
        <v>68.241699999999994</v>
      </c>
      <c r="K26" s="640"/>
      <c r="L26" s="640"/>
      <c r="M26" s="640"/>
      <c r="N26" s="641">
        <v>2833.53</v>
      </c>
      <c r="O26" s="647">
        <v>1793100.93</v>
      </c>
      <c r="P26" s="640">
        <v>336206.42</v>
      </c>
      <c r="Q26" s="640">
        <v>268965.14</v>
      </c>
      <c r="R26" s="642">
        <v>0.15</v>
      </c>
      <c r="S26" s="640">
        <v>67241.279999999999</v>
      </c>
      <c r="T26" s="643">
        <v>3.7499999999999999E-2</v>
      </c>
    </row>
    <row r="27" spans="1:20" x14ac:dyDescent="0.25">
      <c r="A27" s="633" t="s">
        <v>28</v>
      </c>
      <c r="B27" s="634" t="s">
        <v>157</v>
      </c>
      <c r="C27" s="635" t="s">
        <v>31</v>
      </c>
      <c r="D27" s="636" t="s">
        <v>30</v>
      </c>
      <c r="E27" s="635" t="s">
        <v>98</v>
      </c>
      <c r="F27" s="637" t="s">
        <v>55</v>
      </c>
      <c r="G27" s="638">
        <v>377830.1655</v>
      </c>
      <c r="H27" s="638">
        <v>382752.67669999995</v>
      </c>
      <c r="I27" s="639">
        <v>2.7814662934847108</v>
      </c>
      <c r="J27" s="639">
        <v>2.7980639854268592</v>
      </c>
      <c r="K27" s="640"/>
      <c r="L27" s="640"/>
      <c r="M27" s="640"/>
      <c r="N27" s="641">
        <v>1179.82</v>
      </c>
      <c r="O27" s="647">
        <v>2121888.35</v>
      </c>
      <c r="P27" s="640">
        <v>397854.07</v>
      </c>
      <c r="Q27" s="640">
        <v>318283.25</v>
      </c>
      <c r="R27" s="642">
        <v>0.15</v>
      </c>
      <c r="S27" s="640">
        <v>79570.819999999992</v>
      </c>
      <c r="T27" s="643">
        <v>3.7499999999999999E-2</v>
      </c>
    </row>
    <row r="28" spans="1:20" x14ac:dyDescent="0.25">
      <c r="A28" s="633" t="s">
        <v>28</v>
      </c>
      <c r="B28" s="634" t="s">
        <v>170</v>
      </c>
      <c r="C28" s="635" t="s">
        <v>31</v>
      </c>
      <c r="D28" s="636" t="s">
        <v>30</v>
      </c>
      <c r="E28" s="635" t="s">
        <v>98</v>
      </c>
      <c r="F28" s="637" t="s">
        <v>36</v>
      </c>
      <c r="G28" s="638">
        <v>133</v>
      </c>
      <c r="H28" s="638">
        <v>142</v>
      </c>
      <c r="I28" s="639">
        <v>69.117000000000004</v>
      </c>
      <c r="J28" s="639">
        <v>68.311700000000002</v>
      </c>
      <c r="K28" s="640"/>
      <c r="L28" s="640"/>
      <c r="M28" s="640"/>
      <c r="N28" s="641">
        <v>176.48</v>
      </c>
      <c r="O28" s="647">
        <v>18716.34</v>
      </c>
      <c r="P28" s="640">
        <v>3509.31</v>
      </c>
      <c r="Q28" s="640">
        <v>701.86</v>
      </c>
      <c r="R28" s="642">
        <v>3.7499999999999999E-2</v>
      </c>
      <c r="S28" s="640">
        <v>2807.45</v>
      </c>
      <c r="T28" s="643">
        <v>0.15</v>
      </c>
    </row>
    <row r="29" spans="1:20" x14ac:dyDescent="0.25">
      <c r="A29" s="633" t="s">
        <v>28</v>
      </c>
      <c r="B29" s="634" t="s">
        <v>319</v>
      </c>
      <c r="C29" s="635" t="s">
        <v>31</v>
      </c>
      <c r="D29" s="636" t="s">
        <v>30</v>
      </c>
      <c r="E29" s="635" t="s">
        <v>98</v>
      </c>
      <c r="F29" s="637" t="s">
        <v>36</v>
      </c>
      <c r="G29" s="638">
        <v>0</v>
      </c>
      <c r="H29" s="638">
        <v>0</v>
      </c>
      <c r="I29" s="639">
        <v>0</v>
      </c>
      <c r="J29" s="639">
        <v>0</v>
      </c>
      <c r="K29" s="640"/>
      <c r="L29" s="640"/>
      <c r="M29" s="640"/>
      <c r="N29" s="641">
        <v>892.22</v>
      </c>
      <c r="O29" s="647">
        <v>-892.22</v>
      </c>
      <c r="P29" s="640">
        <v>-167.29</v>
      </c>
      <c r="Q29" s="640">
        <v>-33.46</v>
      </c>
      <c r="R29" s="642">
        <v>3.7499999999999999E-2</v>
      </c>
      <c r="S29" s="640">
        <v>-133.83000000000001</v>
      </c>
      <c r="T29" s="643">
        <v>0.15</v>
      </c>
    </row>
    <row r="30" spans="1:20" x14ac:dyDescent="0.25">
      <c r="A30" s="633" t="s">
        <v>28</v>
      </c>
      <c r="B30" s="634" t="s">
        <v>296</v>
      </c>
      <c r="C30" s="635" t="s">
        <v>31</v>
      </c>
      <c r="D30" s="636" t="s">
        <v>30</v>
      </c>
      <c r="E30" s="635" t="s">
        <v>98</v>
      </c>
      <c r="F30" s="637" t="s">
        <v>36</v>
      </c>
      <c r="G30" s="638">
        <v>38984</v>
      </c>
      <c r="H30" s="638">
        <v>62490</v>
      </c>
      <c r="I30" s="639">
        <v>67.004499999999993</v>
      </c>
      <c r="J30" s="639">
        <v>67.543999999999997</v>
      </c>
      <c r="K30" s="640"/>
      <c r="L30" s="640"/>
      <c r="M30" s="640"/>
      <c r="N30" s="641">
        <v>454.28</v>
      </c>
      <c r="O30" s="647">
        <v>6832473.71</v>
      </c>
      <c r="P30" s="640">
        <v>1281088.82</v>
      </c>
      <c r="Q30" s="640">
        <v>1024871.06</v>
      </c>
      <c r="R30" s="642">
        <v>0.15</v>
      </c>
      <c r="S30" s="640">
        <v>256217.76</v>
      </c>
      <c r="T30" s="643">
        <v>3.7499999999999999E-2</v>
      </c>
    </row>
    <row r="31" spans="1:20" x14ac:dyDescent="0.25">
      <c r="A31" s="633" t="s">
        <v>28</v>
      </c>
      <c r="B31" s="634" t="s">
        <v>297</v>
      </c>
      <c r="C31" s="635" t="s">
        <v>31</v>
      </c>
      <c r="D31" s="636" t="s">
        <v>30</v>
      </c>
      <c r="E31" s="635" t="s">
        <v>98</v>
      </c>
      <c r="F31" s="637" t="s">
        <v>55</v>
      </c>
      <c r="G31" s="638">
        <v>144188.71</v>
      </c>
      <c r="H31" s="638">
        <v>153219.36000000002</v>
      </c>
      <c r="I31" s="639">
        <v>2.6375054607257393</v>
      </c>
      <c r="J31" s="639">
        <v>2.6399402790874462</v>
      </c>
      <c r="K31" s="640"/>
      <c r="L31" s="640"/>
      <c r="M31" s="640"/>
      <c r="N31" s="641">
        <v>401.99</v>
      </c>
      <c r="O31" s="647">
        <v>784788.47</v>
      </c>
      <c r="P31" s="640">
        <v>147147.83999999997</v>
      </c>
      <c r="Q31" s="640">
        <v>117718.28</v>
      </c>
      <c r="R31" s="642">
        <v>0.15</v>
      </c>
      <c r="S31" s="640">
        <v>29429.57</v>
      </c>
      <c r="T31" s="643">
        <v>3.7499999999999999E-2</v>
      </c>
    </row>
    <row r="32" spans="1:20" x14ac:dyDescent="0.25">
      <c r="A32" s="633" t="s">
        <v>28</v>
      </c>
      <c r="B32" s="634" t="s">
        <v>298</v>
      </c>
      <c r="C32" s="635" t="s">
        <v>31</v>
      </c>
      <c r="D32" s="636" t="s">
        <v>30</v>
      </c>
      <c r="E32" s="635" t="s">
        <v>98</v>
      </c>
      <c r="F32" s="637" t="s">
        <v>36</v>
      </c>
      <c r="G32" s="638">
        <v>9248</v>
      </c>
      <c r="H32" s="638">
        <v>9936</v>
      </c>
      <c r="I32" s="639">
        <v>35.463200000000001</v>
      </c>
      <c r="J32" s="639">
        <v>35.798099999999998</v>
      </c>
      <c r="K32" s="640"/>
      <c r="L32" s="640"/>
      <c r="M32" s="640"/>
      <c r="N32" s="641">
        <v>437.94</v>
      </c>
      <c r="O32" s="647">
        <v>683215.65</v>
      </c>
      <c r="P32" s="640">
        <v>128102.93</v>
      </c>
      <c r="Q32" s="640">
        <v>102482.35</v>
      </c>
      <c r="R32" s="642">
        <v>0.15</v>
      </c>
      <c r="S32" s="640">
        <v>25620.59</v>
      </c>
      <c r="T32" s="643">
        <v>3.7499999999999999E-2</v>
      </c>
    </row>
    <row r="33" spans="1:20" x14ac:dyDescent="0.25">
      <c r="A33" s="633" t="s">
        <v>28</v>
      </c>
      <c r="B33" s="634" t="s">
        <v>51</v>
      </c>
      <c r="C33" s="635"/>
      <c r="D33" s="636"/>
      <c r="E33" s="635"/>
      <c r="F33" s="637"/>
      <c r="G33" s="638"/>
      <c r="H33" s="638"/>
      <c r="I33" s="639"/>
      <c r="J33" s="639"/>
      <c r="K33" s="640"/>
      <c r="L33" s="640"/>
      <c r="M33" s="640"/>
      <c r="N33" s="641"/>
      <c r="O33" s="647">
        <v>-202633.18999999983</v>
      </c>
      <c r="P33" s="640">
        <v>-37993.729999999981</v>
      </c>
      <c r="Q33" s="640">
        <v>-30394.990000000067</v>
      </c>
      <c r="R33" s="642"/>
      <c r="S33" s="640">
        <v>-7598.7300000000141</v>
      </c>
      <c r="T33" s="643"/>
    </row>
    <row r="34" spans="1:20" x14ac:dyDescent="0.25">
      <c r="A34" s="657"/>
      <c r="B34" s="658" t="s">
        <v>105</v>
      </c>
      <c r="C34" s="659" t="s">
        <v>283</v>
      </c>
      <c r="D34" s="660"/>
      <c r="E34" s="661"/>
      <c r="F34" s="662"/>
      <c r="G34" s="663"/>
      <c r="H34" s="663"/>
      <c r="I34" s="664"/>
      <c r="J34" s="664"/>
      <c r="K34" s="663"/>
      <c r="L34" s="663"/>
      <c r="M34" s="663"/>
      <c r="N34" s="665"/>
      <c r="O34" s="665">
        <v>54048047.730000012</v>
      </c>
      <c r="P34" s="665">
        <v>10134008.939999999</v>
      </c>
      <c r="Q34" s="665">
        <v>8105201.9400000004</v>
      </c>
      <c r="R34" s="666"/>
      <c r="S34" s="665">
        <v>2028807.0300000003</v>
      </c>
      <c r="T34" s="667">
        <v>0</v>
      </c>
    </row>
    <row r="35" spans="1:20" x14ac:dyDescent="0.25">
      <c r="A35" s="668"/>
      <c r="B35" s="669"/>
      <c r="C35" s="659" t="s">
        <v>284</v>
      </c>
      <c r="D35" s="654"/>
      <c r="E35" s="654"/>
      <c r="F35" s="670"/>
      <c r="G35" s="671"/>
      <c r="H35" s="671"/>
      <c r="I35" s="672"/>
      <c r="J35" s="672"/>
      <c r="K35" s="671"/>
      <c r="L35" s="671"/>
      <c r="M35" s="671"/>
      <c r="N35" s="671"/>
      <c r="O35" s="673"/>
      <c r="P35" s="674">
        <v>35347423.18</v>
      </c>
      <c r="Q35" s="675">
        <v>28270944.370000001</v>
      </c>
      <c r="R35" s="676"/>
      <c r="S35" s="677">
        <v>7076478.9199999999</v>
      </c>
      <c r="T35" s="678"/>
    </row>
    <row r="36" spans="1:20" ht="13" x14ac:dyDescent="0.3">
      <c r="A36" s="623" t="s">
        <v>22</v>
      </c>
      <c r="B36" s="624"/>
      <c r="C36" s="679"/>
      <c r="D36" s="679"/>
      <c r="E36" s="680"/>
      <c r="F36" s="681"/>
      <c r="G36" s="682"/>
      <c r="H36" s="682"/>
      <c r="I36" s="683"/>
      <c r="J36" s="683"/>
      <c r="K36" s="682"/>
      <c r="L36" s="682"/>
      <c r="M36" s="682"/>
      <c r="N36" s="682"/>
      <c r="O36" s="684"/>
      <c r="P36" s="682"/>
      <c r="Q36" s="685" t="s">
        <v>48</v>
      </c>
      <c r="R36" s="686"/>
      <c r="S36" s="687"/>
      <c r="T36" s="688"/>
    </row>
    <row r="37" spans="1:20" x14ac:dyDescent="0.25">
      <c r="A37" s="652" t="s">
        <v>28</v>
      </c>
      <c r="B37" s="689">
        <v>131</v>
      </c>
      <c r="C37" s="635" t="s">
        <v>31</v>
      </c>
      <c r="D37" s="636" t="s">
        <v>30</v>
      </c>
      <c r="E37" s="635" t="s">
        <v>98</v>
      </c>
      <c r="F37" s="312" t="s">
        <v>36</v>
      </c>
      <c r="G37" s="638">
        <v>4553</v>
      </c>
      <c r="H37" s="638">
        <v>6074</v>
      </c>
      <c r="I37" s="639">
        <v>55.7408</v>
      </c>
      <c r="J37" s="639">
        <v>55.076000000000001</v>
      </c>
      <c r="K37" s="640"/>
      <c r="L37" s="640"/>
      <c r="M37" s="640"/>
      <c r="N37" s="641">
        <v>3519.85</v>
      </c>
      <c r="O37" s="647">
        <v>584799.63</v>
      </c>
      <c r="P37" s="640">
        <v>87719.94</v>
      </c>
      <c r="Q37" s="640">
        <v>87719.94</v>
      </c>
      <c r="R37" s="642">
        <v>0.15</v>
      </c>
      <c r="S37" s="690"/>
      <c r="T37" s="691"/>
    </row>
    <row r="38" spans="1:20" ht="13" x14ac:dyDescent="0.3">
      <c r="A38" s="652" t="s">
        <v>28</v>
      </c>
      <c r="B38" s="653" t="s">
        <v>52</v>
      </c>
      <c r="C38" s="654"/>
      <c r="D38" s="654"/>
      <c r="E38" s="692"/>
      <c r="F38" s="312"/>
      <c r="G38" s="640"/>
      <c r="H38" s="640"/>
      <c r="I38" s="494"/>
      <c r="J38" s="494"/>
      <c r="K38" s="640"/>
      <c r="L38" s="640"/>
      <c r="M38" s="640"/>
      <c r="N38" s="640"/>
      <c r="O38" s="647"/>
      <c r="P38" s="647"/>
      <c r="Q38" s="647"/>
      <c r="R38" s="691"/>
      <c r="S38" s="647"/>
      <c r="T38" s="691"/>
    </row>
    <row r="39" spans="1:20" x14ac:dyDescent="0.25">
      <c r="A39" s="657"/>
      <c r="B39" s="658" t="s">
        <v>105</v>
      </c>
      <c r="C39" s="659" t="s">
        <v>285</v>
      </c>
      <c r="D39" s="660"/>
      <c r="E39" s="661"/>
      <c r="F39" s="660"/>
      <c r="G39" s="663"/>
      <c r="H39" s="663"/>
      <c r="I39" s="664"/>
      <c r="J39" s="664"/>
      <c r="K39" s="663"/>
      <c r="L39" s="663"/>
      <c r="M39" s="663"/>
      <c r="N39" s="663"/>
      <c r="O39" s="665">
        <v>584799.63</v>
      </c>
      <c r="P39" s="665">
        <v>87719.94</v>
      </c>
      <c r="Q39" s="665">
        <v>87719.94</v>
      </c>
      <c r="R39" s="666"/>
      <c r="S39" s="665">
        <v>0</v>
      </c>
      <c r="T39" s="666"/>
    </row>
    <row r="40" spans="1:20" x14ac:dyDescent="0.25">
      <c r="A40" s="668"/>
      <c r="B40" s="669"/>
      <c r="C40" s="659" t="s">
        <v>286</v>
      </c>
      <c r="D40" s="654"/>
      <c r="E40" s="654"/>
      <c r="F40" s="670"/>
      <c r="G40" s="671"/>
      <c r="H40" s="671"/>
      <c r="I40" s="672"/>
      <c r="J40" s="672"/>
      <c r="K40" s="671"/>
      <c r="L40" s="671"/>
      <c r="M40" s="671"/>
      <c r="N40" s="671"/>
      <c r="O40" s="673"/>
      <c r="P40" s="674">
        <v>305967.15000000002</v>
      </c>
      <c r="Q40" s="675">
        <v>305967.15000000002</v>
      </c>
      <c r="R40" s="676"/>
      <c r="S40" s="674">
        <v>0</v>
      </c>
      <c r="T40" s="676"/>
    </row>
    <row r="41" spans="1:20" ht="13" x14ac:dyDescent="0.3">
      <c r="A41" s="623" t="s">
        <v>24</v>
      </c>
      <c r="B41" s="624"/>
      <c r="C41" s="679"/>
      <c r="D41" s="679"/>
      <c r="E41" s="680"/>
      <c r="F41" s="694"/>
      <c r="G41" s="682"/>
      <c r="H41" s="682"/>
      <c r="I41" s="683"/>
      <c r="J41" s="683"/>
      <c r="K41" s="682"/>
      <c r="L41" s="682"/>
      <c r="M41" s="682"/>
      <c r="N41" s="682"/>
      <c r="O41" s="684"/>
      <c r="P41" s="682"/>
      <c r="Q41" s="685" t="s">
        <v>46</v>
      </c>
      <c r="R41" s="686"/>
      <c r="S41" s="695" t="s">
        <v>47</v>
      </c>
      <c r="T41" s="686"/>
    </row>
    <row r="42" spans="1:20" x14ac:dyDescent="0.25">
      <c r="A42" s="633" t="s">
        <v>28</v>
      </c>
      <c r="B42" s="689">
        <v>8</v>
      </c>
      <c r="C42" s="635" t="s">
        <v>31</v>
      </c>
      <c r="D42" s="635" t="s">
        <v>30</v>
      </c>
      <c r="E42" s="635" t="s">
        <v>98</v>
      </c>
      <c r="F42" s="696" t="s">
        <v>36</v>
      </c>
      <c r="G42" s="640">
        <v>56466</v>
      </c>
      <c r="H42" s="638">
        <v>57126</v>
      </c>
      <c r="I42" s="639">
        <v>55.127899999999997</v>
      </c>
      <c r="J42" s="639">
        <v>54.648000000000003</v>
      </c>
      <c r="K42" s="640"/>
      <c r="L42" s="640"/>
      <c r="M42" s="640"/>
      <c r="N42" s="640">
        <v>4712.74</v>
      </c>
      <c r="O42" s="647">
        <v>6229960.9100000001</v>
      </c>
      <c r="P42" s="640">
        <v>1168117.67</v>
      </c>
      <c r="Q42" s="640">
        <v>934494.14</v>
      </c>
      <c r="R42" s="642">
        <v>0.15</v>
      </c>
      <c r="S42" s="640">
        <v>233623.53</v>
      </c>
      <c r="T42" s="643">
        <v>3.7499999999999999E-2</v>
      </c>
    </row>
    <row r="43" spans="1:20" x14ac:dyDescent="0.25">
      <c r="A43" s="633" t="s">
        <v>28</v>
      </c>
      <c r="B43" s="634" t="s">
        <v>12</v>
      </c>
      <c r="C43" s="635" t="s">
        <v>31</v>
      </c>
      <c r="D43" s="635" t="s">
        <v>30</v>
      </c>
      <c r="E43" s="635" t="s">
        <v>98</v>
      </c>
      <c r="F43" s="696" t="s">
        <v>55</v>
      </c>
      <c r="G43" s="638">
        <v>50038.269200000002</v>
      </c>
      <c r="H43" s="638">
        <v>42196.259700000002</v>
      </c>
      <c r="I43" s="639">
        <v>3.6029</v>
      </c>
      <c r="J43" s="639">
        <v>3.6031</v>
      </c>
      <c r="K43" s="640"/>
      <c r="L43" s="640"/>
      <c r="M43" s="640"/>
      <c r="N43" s="640">
        <v>1642.42</v>
      </c>
      <c r="O43" s="647">
        <v>330677.8</v>
      </c>
      <c r="P43" s="640">
        <v>62002.09</v>
      </c>
      <c r="Q43" s="640">
        <v>12400.42</v>
      </c>
      <c r="R43" s="643">
        <v>3.7499999999999999E-2</v>
      </c>
      <c r="S43" s="640">
        <v>49601.67</v>
      </c>
      <c r="T43" s="642">
        <v>0.15</v>
      </c>
    </row>
    <row r="44" spans="1:20" x14ac:dyDescent="0.25">
      <c r="A44" s="633" t="s">
        <v>28</v>
      </c>
      <c r="B44" s="634" t="s">
        <v>74</v>
      </c>
      <c r="C44" s="635" t="s">
        <v>31</v>
      </c>
      <c r="D44" s="635" t="s">
        <v>30</v>
      </c>
      <c r="E44" s="635" t="s">
        <v>100</v>
      </c>
      <c r="F44" s="696" t="s">
        <v>36</v>
      </c>
      <c r="G44" s="638"/>
      <c r="H44" s="638"/>
      <c r="I44" s="639"/>
      <c r="J44" s="639"/>
      <c r="K44" s="640"/>
      <c r="L44" s="640"/>
      <c r="M44" s="640"/>
      <c r="N44" s="640">
        <v>3198.08</v>
      </c>
      <c r="O44" s="647">
        <v>-3198.08</v>
      </c>
      <c r="P44" s="640">
        <v>-599.64</v>
      </c>
      <c r="Q44" s="640">
        <v>-119.93</v>
      </c>
      <c r="R44" s="643">
        <v>3.7499999999999999E-2</v>
      </c>
      <c r="S44" s="640">
        <v>-479.71</v>
      </c>
      <c r="T44" s="642">
        <v>0.15</v>
      </c>
    </row>
    <row r="45" spans="1:20" x14ac:dyDescent="0.25">
      <c r="A45" s="633" t="s">
        <v>28</v>
      </c>
      <c r="B45" s="689">
        <v>95</v>
      </c>
      <c r="C45" s="635" t="s">
        <v>31</v>
      </c>
      <c r="D45" s="635" t="s">
        <v>30</v>
      </c>
      <c r="E45" s="635" t="s">
        <v>98</v>
      </c>
      <c r="F45" s="696" t="s">
        <v>36</v>
      </c>
      <c r="G45" s="638">
        <v>272085</v>
      </c>
      <c r="H45" s="638">
        <v>266505</v>
      </c>
      <c r="I45" s="639">
        <v>48.1873</v>
      </c>
      <c r="J45" s="639">
        <v>48.809100000000001</v>
      </c>
      <c r="K45" s="638"/>
      <c r="L45" s="640"/>
      <c r="M45" s="640"/>
      <c r="N45" s="640">
        <v>4716.01</v>
      </c>
      <c r="O45" s="647">
        <v>26114194.709999997</v>
      </c>
      <c r="P45" s="640">
        <v>4896411.51</v>
      </c>
      <c r="Q45" s="640">
        <v>3917129.21</v>
      </c>
      <c r="R45" s="642">
        <v>0.15</v>
      </c>
      <c r="S45" s="640">
        <v>979282.3</v>
      </c>
      <c r="T45" s="643">
        <v>3.7499999999999999E-2</v>
      </c>
    </row>
    <row r="46" spans="1:20" x14ac:dyDescent="0.25">
      <c r="A46" s="633" t="s">
        <v>28</v>
      </c>
      <c r="B46" s="697">
        <v>67</v>
      </c>
      <c r="C46" s="635" t="s">
        <v>31</v>
      </c>
      <c r="D46" s="635" t="s">
        <v>30</v>
      </c>
      <c r="E46" s="635" t="s">
        <v>98</v>
      </c>
      <c r="F46" s="696" t="s">
        <v>36</v>
      </c>
      <c r="G46" s="638"/>
      <c r="H46" s="638"/>
      <c r="I46" s="639"/>
      <c r="J46" s="639"/>
      <c r="K46" s="638"/>
      <c r="L46" s="640"/>
      <c r="M46" s="656"/>
      <c r="N46" s="640"/>
      <c r="O46" s="647">
        <v>0</v>
      </c>
      <c r="P46" s="640">
        <v>0</v>
      </c>
      <c r="Q46" s="640">
        <v>0</v>
      </c>
      <c r="R46" s="642">
        <v>0.15</v>
      </c>
      <c r="S46" s="640">
        <v>0</v>
      </c>
      <c r="T46" s="643">
        <v>3.7499999999999999E-2</v>
      </c>
    </row>
    <row r="47" spans="1:20" x14ac:dyDescent="0.25">
      <c r="A47" s="698" t="s">
        <v>28</v>
      </c>
      <c r="B47" s="653" t="s">
        <v>53</v>
      </c>
      <c r="C47" s="654"/>
      <c r="D47" s="655"/>
      <c r="E47" s="655"/>
      <c r="F47" s="696"/>
      <c r="G47" s="640"/>
      <c r="H47" s="640"/>
      <c r="I47" s="494"/>
      <c r="J47" s="494"/>
      <c r="K47" s="640"/>
      <c r="L47" s="640"/>
      <c r="M47" s="640"/>
      <c r="N47" s="640"/>
      <c r="O47" s="640"/>
      <c r="P47" s="640"/>
      <c r="Q47" s="640"/>
      <c r="R47" s="640"/>
      <c r="S47" s="640"/>
      <c r="T47" s="642"/>
    </row>
    <row r="48" spans="1:20" x14ac:dyDescent="0.25">
      <c r="A48" s="657"/>
      <c r="B48" s="658" t="s">
        <v>105</v>
      </c>
      <c r="C48" s="659" t="s">
        <v>287</v>
      </c>
      <c r="D48" s="699"/>
      <c r="E48" s="699"/>
      <c r="F48" s="700"/>
      <c r="G48" s="701"/>
      <c r="H48" s="701"/>
      <c r="I48" s="702"/>
      <c r="J48" s="703"/>
      <c r="K48" s="704"/>
      <c r="L48" s="704"/>
      <c r="M48" s="704"/>
      <c r="N48" s="665"/>
      <c r="O48" s="665">
        <v>32671635.339999996</v>
      </c>
      <c r="P48" s="665">
        <v>6125931.6299999999</v>
      </c>
      <c r="Q48" s="665">
        <v>4863903.84</v>
      </c>
      <c r="R48" s="705"/>
      <c r="S48" s="665">
        <v>1262027.79</v>
      </c>
      <c r="T48" s="666"/>
    </row>
    <row r="49" spans="1:20" x14ac:dyDescent="0.25">
      <c r="A49" s="245"/>
      <c r="B49" s="706"/>
      <c r="C49" s="659" t="s">
        <v>288</v>
      </c>
      <c r="D49" s="707"/>
      <c r="E49" s="707"/>
      <c r="F49" s="245"/>
      <c r="G49" s="708"/>
      <c r="H49" s="708"/>
      <c r="I49" s="709"/>
      <c r="J49" s="709"/>
      <c r="K49" s="708"/>
      <c r="L49" s="708"/>
      <c r="M49" s="708"/>
      <c r="N49" s="708"/>
      <c r="O49" s="710"/>
      <c r="P49" s="710">
        <v>21367249.530000001</v>
      </c>
      <c r="Q49" s="677">
        <v>16965296.59</v>
      </c>
      <c r="R49" s="678"/>
      <c r="S49" s="677">
        <v>4401952.93</v>
      </c>
      <c r="T49" s="711"/>
    </row>
    <row r="50" spans="1:20" ht="13" x14ac:dyDescent="0.3">
      <c r="A50" s="623" t="s">
        <v>161</v>
      </c>
      <c r="B50" s="624"/>
      <c r="C50" s="624"/>
      <c r="D50" s="624"/>
      <c r="E50" s="626"/>
      <c r="F50" s="623"/>
      <c r="G50" s="712"/>
      <c r="H50" s="713"/>
      <c r="I50" s="714"/>
      <c r="J50" s="715"/>
      <c r="K50" s="712"/>
      <c r="L50" s="712"/>
      <c r="M50" s="712"/>
      <c r="N50" s="712"/>
      <c r="O50" s="712"/>
      <c r="P50" s="716" t="s">
        <v>163</v>
      </c>
      <c r="Q50" s="716" t="s">
        <v>161</v>
      </c>
      <c r="R50" s="632"/>
      <c r="S50" s="717"/>
      <c r="T50" s="718"/>
    </row>
    <row r="51" spans="1:20" x14ac:dyDescent="0.25">
      <c r="A51" s="633" t="s">
        <v>28</v>
      </c>
      <c r="B51" s="634" t="s">
        <v>160</v>
      </c>
      <c r="C51" s="635" t="s">
        <v>31</v>
      </c>
      <c r="D51" s="635" t="s">
        <v>30</v>
      </c>
      <c r="E51" s="635" t="s">
        <v>158</v>
      </c>
      <c r="F51" s="696" t="s">
        <v>36</v>
      </c>
      <c r="G51" s="640">
        <v>727882</v>
      </c>
      <c r="H51" s="640">
        <v>775579</v>
      </c>
      <c r="I51" s="494">
        <v>35.080100000000002</v>
      </c>
      <c r="J51" s="494">
        <v>35.376399999999997</v>
      </c>
      <c r="K51" s="640"/>
      <c r="L51" s="640"/>
      <c r="M51" s="640"/>
      <c r="N51" s="640"/>
      <c r="O51" s="647">
        <v>52971366.283799998</v>
      </c>
      <c r="P51" s="640">
        <v>19726536.800000001</v>
      </c>
      <c r="Q51" s="719">
        <v>9863268.4000000004</v>
      </c>
      <c r="R51" s="642">
        <v>0.5</v>
      </c>
      <c r="S51" s="640"/>
      <c r="T51" s="643"/>
    </row>
    <row r="52" spans="1:20" x14ac:dyDescent="0.25">
      <c r="A52" s="633" t="s">
        <v>28</v>
      </c>
      <c r="B52" s="634" t="s">
        <v>159</v>
      </c>
      <c r="C52" s="635" t="s">
        <v>31</v>
      </c>
      <c r="D52" s="635" t="s">
        <v>30</v>
      </c>
      <c r="E52" s="635" t="s">
        <v>158</v>
      </c>
      <c r="F52" s="696" t="s">
        <v>55</v>
      </c>
      <c r="G52" s="640">
        <v>14879861.884400001</v>
      </c>
      <c r="H52" s="640">
        <v>15061388.6141</v>
      </c>
      <c r="I52" s="720">
        <v>2.5171999999999999</v>
      </c>
      <c r="J52" s="720">
        <v>2.5775999999999999</v>
      </c>
      <c r="K52" s="640"/>
      <c r="L52" s="640"/>
      <c r="M52" s="640"/>
      <c r="N52" s="640"/>
      <c r="O52" s="640">
        <v>76277325.919999987</v>
      </c>
      <c r="P52" s="640">
        <v>28391009.259999998</v>
      </c>
      <c r="Q52" s="719">
        <v>14195504.629999999</v>
      </c>
      <c r="R52" s="642">
        <v>0.5</v>
      </c>
      <c r="S52" s="640"/>
      <c r="T52" s="642"/>
    </row>
    <row r="53" spans="1:20" x14ac:dyDescent="0.25">
      <c r="A53" s="633" t="s">
        <v>28</v>
      </c>
      <c r="B53" s="634" t="s">
        <v>168</v>
      </c>
      <c r="C53" s="635" t="s">
        <v>31</v>
      </c>
      <c r="D53" s="635" t="s">
        <v>30</v>
      </c>
      <c r="E53" s="635" t="s">
        <v>158</v>
      </c>
      <c r="F53" s="696" t="s">
        <v>36</v>
      </c>
      <c r="G53" s="640">
        <v>171122</v>
      </c>
      <c r="H53" s="640">
        <v>192116</v>
      </c>
      <c r="I53" s="494">
        <v>35.078699999999998</v>
      </c>
      <c r="J53" s="494">
        <v>35.370699999999999</v>
      </c>
      <c r="K53" s="640"/>
      <c r="L53" s="640"/>
      <c r="M53" s="640"/>
      <c r="N53" s="640"/>
      <c r="O53" s="647">
        <v>12798014.702599999</v>
      </c>
      <c r="P53" s="719">
        <v>5119205.88</v>
      </c>
      <c r="Q53" s="719">
        <v>2559602.94</v>
      </c>
      <c r="R53" s="642">
        <v>0.5</v>
      </c>
      <c r="S53" s="640"/>
      <c r="T53" s="642"/>
    </row>
    <row r="54" spans="1:20" x14ac:dyDescent="0.25">
      <c r="A54" s="633" t="s">
        <v>28</v>
      </c>
      <c r="B54" s="634" t="s">
        <v>169</v>
      </c>
      <c r="C54" s="635" t="s">
        <v>31</v>
      </c>
      <c r="D54" s="635" t="s">
        <v>30</v>
      </c>
      <c r="E54" s="635" t="s">
        <v>158</v>
      </c>
      <c r="F54" s="696" t="s">
        <v>55</v>
      </c>
      <c r="G54" s="640">
        <v>4634768.4730000002</v>
      </c>
      <c r="H54" s="640">
        <v>4870831.2255999995</v>
      </c>
      <c r="I54" s="720">
        <v>0.41</v>
      </c>
      <c r="J54" s="720">
        <v>1.526</v>
      </c>
      <c r="K54" s="640"/>
      <c r="L54" s="640"/>
      <c r="M54" s="640"/>
      <c r="N54" s="640"/>
      <c r="O54" s="647">
        <v>9333143.5241956003</v>
      </c>
      <c r="P54" s="640">
        <v>3394574.13</v>
      </c>
      <c r="Q54" s="719">
        <v>1697287.07</v>
      </c>
      <c r="R54" s="642">
        <v>0.5</v>
      </c>
      <c r="S54" s="640"/>
      <c r="T54" s="642"/>
    </row>
    <row r="55" spans="1:20" x14ac:dyDescent="0.25">
      <c r="A55" s="633" t="s">
        <v>28</v>
      </c>
      <c r="B55" s="689" t="s">
        <v>175</v>
      </c>
      <c r="C55" s="635" t="s">
        <v>31</v>
      </c>
      <c r="D55" s="635" t="s">
        <v>30</v>
      </c>
      <c r="E55" s="635" t="s">
        <v>158</v>
      </c>
      <c r="F55" s="696" t="s">
        <v>36</v>
      </c>
      <c r="G55" s="640">
        <v>226657</v>
      </c>
      <c r="H55" s="640">
        <v>258380</v>
      </c>
      <c r="I55" s="494">
        <v>32.401600000000002</v>
      </c>
      <c r="J55" s="494">
        <v>32.877299999999998</v>
      </c>
      <c r="K55" s="638"/>
      <c r="L55" s="640"/>
      <c r="M55" s="640"/>
      <c r="N55" s="638"/>
      <c r="O55" s="647">
        <v>15838886.225200001</v>
      </c>
      <c r="P55" s="721">
        <v>1058958.2293519999</v>
      </c>
      <c r="Q55" s="719">
        <v>529479.11</v>
      </c>
      <c r="R55" s="642">
        <v>0.5</v>
      </c>
      <c r="S55" s="640"/>
      <c r="T55" s="643"/>
    </row>
    <row r="56" spans="1:20" x14ac:dyDescent="0.25">
      <c r="A56" s="633" t="s">
        <v>28</v>
      </c>
      <c r="B56" s="697" t="s">
        <v>176</v>
      </c>
      <c r="C56" s="635" t="s">
        <v>31</v>
      </c>
      <c r="D56" s="635" t="s">
        <v>30</v>
      </c>
      <c r="E56" s="635" t="s">
        <v>158</v>
      </c>
      <c r="F56" s="696" t="s">
        <v>55</v>
      </c>
      <c r="G56" s="640">
        <v>3776108.3163999999</v>
      </c>
      <c r="H56" s="640">
        <v>4353066.4447999997</v>
      </c>
      <c r="I56" s="494">
        <v>4.5640000000000001</v>
      </c>
      <c r="J56" s="494">
        <v>4.5640000000000001</v>
      </c>
      <c r="K56" s="722"/>
      <c r="L56" s="640"/>
      <c r="M56" s="640"/>
      <c r="N56" s="638"/>
      <c r="O56" s="647">
        <v>37101553.610116795</v>
      </c>
      <c r="P56" s="721">
        <v>4121672.0349519998</v>
      </c>
      <c r="Q56" s="719">
        <v>2060836.02</v>
      </c>
      <c r="R56" s="642">
        <v>0.5</v>
      </c>
      <c r="S56" s="640"/>
      <c r="T56" s="643"/>
    </row>
    <row r="57" spans="1:20" x14ac:dyDescent="0.25">
      <c r="A57" s="723" t="s">
        <v>28</v>
      </c>
      <c r="B57" s="724" t="s">
        <v>162</v>
      </c>
      <c r="C57" s="725"/>
      <c r="D57" s="725"/>
      <c r="E57" s="726"/>
      <c r="F57" s="312"/>
      <c r="G57" s="239"/>
      <c r="H57" s="240"/>
      <c r="I57" s="240"/>
      <c r="J57" s="241"/>
      <c r="K57" s="241"/>
      <c r="L57" s="241"/>
      <c r="M57" s="241"/>
      <c r="N57" s="241"/>
      <c r="O57" s="727">
        <v>-6645548.1882951092</v>
      </c>
      <c r="P57" s="727">
        <v>-1428850.6032770032</v>
      </c>
      <c r="Q57" s="727">
        <v>-714425.29000000074</v>
      </c>
      <c r="R57" s="711"/>
      <c r="S57" s="728"/>
      <c r="T57" s="711"/>
    </row>
    <row r="58" spans="1:20" x14ac:dyDescent="0.25">
      <c r="A58" s="657"/>
      <c r="B58" s="658" t="s">
        <v>105</v>
      </c>
      <c r="C58" s="659" t="s">
        <v>289</v>
      </c>
      <c r="D58" s="699"/>
      <c r="E58" s="699"/>
      <c r="F58" s="245"/>
      <c r="G58" s="729">
        <v>4634768.4730000002</v>
      </c>
      <c r="H58" s="729">
        <v>4870831.2255999995</v>
      </c>
      <c r="I58" s="730"/>
      <c r="J58" s="729"/>
      <c r="K58" s="537"/>
      <c r="L58" s="297"/>
      <c r="M58" s="297"/>
      <c r="N58" s="731"/>
      <c r="O58" s="731">
        <v>197674742.07761732</v>
      </c>
      <c r="P58" s="731">
        <v>60383105.731027</v>
      </c>
      <c r="Q58" s="731">
        <v>30191552.880000003</v>
      </c>
      <c r="R58" s="732"/>
      <c r="S58" s="733"/>
      <c r="T58" s="711"/>
    </row>
    <row r="59" spans="1:20" x14ac:dyDescent="0.25">
      <c r="A59" s="245"/>
      <c r="B59" s="706"/>
      <c r="C59" s="659" t="s">
        <v>290</v>
      </c>
      <c r="D59" s="707"/>
      <c r="E59" s="707"/>
      <c r="F59" s="245"/>
      <c r="G59" s="734">
        <v>0.41</v>
      </c>
      <c r="H59" s="734">
        <v>1.526</v>
      </c>
      <c r="I59" s="735"/>
      <c r="J59" s="729"/>
      <c r="K59" s="736"/>
      <c r="L59" s="298"/>
      <c r="M59" s="361"/>
      <c r="N59" s="737"/>
      <c r="O59" s="737"/>
      <c r="P59" s="738"/>
      <c r="Q59" s="738">
        <v>105308136.44544001</v>
      </c>
      <c r="R59" s="739"/>
      <c r="S59" s="733"/>
      <c r="T59" s="711"/>
    </row>
    <row r="60" spans="1:20" ht="13" x14ac:dyDescent="0.3">
      <c r="A60" s="740" t="s">
        <v>54</v>
      </c>
      <c r="B60" s="741"/>
      <c r="C60" s="741"/>
      <c r="D60" s="741"/>
      <c r="E60" s="741"/>
      <c r="F60" s="246"/>
      <c r="G60" s="742">
        <v>1900255.07393</v>
      </c>
      <c r="H60" s="742">
        <v>7432888.4502655994</v>
      </c>
      <c r="I60" s="729">
        <v>9333143.5241956003</v>
      </c>
      <c r="J60" s="729" t="e">
        <v>#REF!</v>
      </c>
      <c r="K60" s="743" t="e">
        <v>#REF!</v>
      </c>
      <c r="L60" s="306"/>
      <c r="M60" s="710">
        <v>0</v>
      </c>
      <c r="N60" s="710">
        <v>33456.380000000005</v>
      </c>
      <c r="O60" s="710">
        <v>284979224.77761734</v>
      </c>
      <c r="P60" s="677">
        <v>46539213.390000001</v>
      </c>
      <c r="Q60" s="744">
        <v>162328776.40544</v>
      </c>
      <c r="R60" s="745"/>
      <c r="S60" s="744"/>
      <c r="T60" s="745"/>
    </row>
    <row r="61" spans="1:20" x14ac:dyDescent="0.25">
      <c r="G61" s="328"/>
      <c r="H61" s="328"/>
      <c r="I61" s="328"/>
      <c r="J61" s="328"/>
      <c r="K61" s="328"/>
      <c r="N61" s="477"/>
      <c r="S61" s="693"/>
    </row>
    <row r="62" spans="1:20" x14ac:dyDescent="0.25">
      <c r="A62" s="746" t="s">
        <v>92</v>
      </c>
      <c r="B62" s="328" t="s">
        <v>336</v>
      </c>
      <c r="G62" s="328"/>
      <c r="H62" s="746" t="s">
        <v>337</v>
      </c>
      <c r="I62" s="328"/>
      <c r="J62" s="404"/>
      <c r="K62" s="404"/>
      <c r="N62" s="477"/>
      <c r="O62" s="477"/>
      <c r="P62" s="693"/>
      <c r="Q62" s="404"/>
      <c r="S62" s="404"/>
    </row>
    <row r="63" spans="1:20" ht="13" x14ac:dyDescent="0.3">
      <c r="B63" s="747" t="s">
        <v>77</v>
      </c>
      <c r="C63" s="748" t="s">
        <v>78</v>
      </c>
      <c r="D63" s="749"/>
      <c r="E63" s="750" t="s">
        <v>34</v>
      </c>
      <c r="F63" s="750" t="s">
        <v>79</v>
      </c>
      <c r="G63" s="328"/>
      <c r="H63" s="751" t="s">
        <v>34</v>
      </c>
      <c r="I63" s="741"/>
      <c r="J63" s="741"/>
      <c r="K63" s="741"/>
      <c r="L63" s="752"/>
      <c r="N63" s="753"/>
      <c r="O63" s="753"/>
      <c r="P63" s="693"/>
      <c r="Q63" s="404"/>
      <c r="S63" s="404"/>
    </row>
    <row r="64" spans="1:20" ht="13" x14ac:dyDescent="0.3">
      <c r="B64" s="754" t="s">
        <v>338</v>
      </c>
      <c r="C64" s="755" t="s">
        <v>81</v>
      </c>
      <c r="D64" s="756"/>
      <c r="E64" s="757"/>
      <c r="F64" s="757"/>
      <c r="G64" s="328"/>
      <c r="H64" s="758" t="s">
        <v>292</v>
      </c>
      <c r="I64" s="328"/>
      <c r="J64" s="328"/>
      <c r="K64" s="328"/>
      <c r="L64" s="759"/>
      <c r="M64" s="760"/>
      <c r="N64" s="753"/>
      <c r="O64" s="753"/>
      <c r="P64" s="761"/>
      <c r="Q64" s="761"/>
      <c r="S64" s="761"/>
    </row>
    <row r="65" spans="1:19" ht="13" x14ac:dyDescent="0.3">
      <c r="B65" s="762" t="s">
        <v>339</v>
      </c>
      <c r="C65" s="763" t="s">
        <v>83</v>
      </c>
      <c r="D65" s="764"/>
      <c r="E65" s="765"/>
      <c r="F65" s="766"/>
      <c r="G65" s="328"/>
      <c r="H65" s="767">
        <v>0</v>
      </c>
      <c r="I65" s="707"/>
      <c r="J65" s="707"/>
      <c r="K65" s="707"/>
      <c r="L65" s="768"/>
      <c r="M65" s="760"/>
      <c r="N65" s="760"/>
      <c r="O65" s="404"/>
      <c r="P65" s="761"/>
      <c r="Q65" s="761"/>
      <c r="S65" s="761"/>
    </row>
    <row r="66" spans="1:19" x14ac:dyDescent="0.25">
      <c r="B66" s="762" t="s">
        <v>340</v>
      </c>
      <c r="C66" s="763" t="s">
        <v>85</v>
      </c>
      <c r="D66" s="764"/>
      <c r="E66" s="765"/>
      <c r="F66" s="765"/>
      <c r="G66" s="328"/>
      <c r="H66" s="328"/>
      <c r="I66" s="769"/>
      <c r="J66" s="328"/>
      <c r="K66" s="328"/>
      <c r="M66" s="760"/>
      <c r="N66" s="760"/>
      <c r="P66" s="693"/>
      <c r="Q66" s="693"/>
    </row>
    <row r="67" spans="1:19" x14ac:dyDescent="0.25">
      <c r="B67" s="762" t="s">
        <v>341</v>
      </c>
      <c r="C67" s="763" t="s">
        <v>87</v>
      </c>
      <c r="D67" s="764"/>
      <c r="E67" s="770"/>
      <c r="F67" s="770"/>
      <c r="G67" s="328"/>
      <c r="H67" s="751" t="s">
        <v>79</v>
      </c>
      <c r="I67" s="771"/>
      <c r="J67" s="741"/>
      <c r="K67" s="741"/>
      <c r="L67" s="752"/>
      <c r="M67" s="760"/>
      <c r="N67" s="760"/>
    </row>
    <row r="68" spans="1:19" x14ac:dyDescent="0.25">
      <c r="B68" s="762" t="s">
        <v>342</v>
      </c>
      <c r="C68" s="763" t="s">
        <v>89</v>
      </c>
      <c r="D68" s="764"/>
      <c r="E68" s="772"/>
      <c r="F68" s="766"/>
      <c r="G68" s="328"/>
      <c r="H68" s="758" t="s">
        <v>292</v>
      </c>
      <c r="I68" s="769"/>
      <c r="J68" s="328"/>
      <c r="K68" s="328"/>
      <c r="L68" s="759"/>
      <c r="N68" s="760"/>
    </row>
    <row r="69" spans="1:19" x14ac:dyDescent="0.25">
      <c r="B69" s="773" t="s">
        <v>343</v>
      </c>
      <c r="C69" s="774" t="s">
        <v>91</v>
      </c>
      <c r="D69" s="775"/>
      <c r="E69" s="776"/>
      <c r="F69" s="776"/>
      <c r="G69" s="328"/>
      <c r="H69" s="767">
        <v>0</v>
      </c>
      <c r="I69" s="777"/>
      <c r="J69" s="707"/>
      <c r="K69" s="707"/>
      <c r="L69" s="768"/>
    </row>
    <row r="70" spans="1:19" x14ac:dyDescent="0.25">
      <c r="A70" s="746"/>
      <c r="G70" s="328"/>
      <c r="H70" s="671"/>
      <c r="I70" s="328"/>
      <c r="J70" s="328"/>
      <c r="K70" s="328"/>
    </row>
    <row r="71" spans="1:19" ht="13" x14ac:dyDescent="0.3">
      <c r="A71" s="778"/>
      <c r="G71" s="328"/>
      <c r="H71" s="328"/>
      <c r="I71" s="328"/>
      <c r="J71" s="328"/>
      <c r="K71" s="328"/>
    </row>
  </sheetData>
  <mergeCells count="2">
    <mergeCell ref="O7:O8"/>
    <mergeCell ref="C7:C8"/>
  </mergeCells>
  <phoneticPr fontId="0" type="noConversion"/>
  <printOptions horizontalCentered="1" verticalCentered="1"/>
  <pageMargins left="0.25" right="0.25" top="0.5" bottom="0.25" header="0" footer="0"/>
  <pageSetup paperSize="9" scale="5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70"/>
  <sheetViews>
    <sheetView view="pageBreakPreview" zoomScaleNormal="95" zoomScaleSheetLayoutView="100" workbookViewId="0">
      <pane xSplit="2" topLeftCell="F1" activePane="topRight" state="frozen"/>
      <selection pane="topRight" activeCell="T14" sqref="T14"/>
    </sheetView>
  </sheetViews>
  <sheetFormatPr baseColWidth="10" defaultColWidth="8.765625" defaultRowHeight="12.5" x14ac:dyDescent="0.25"/>
  <cols>
    <col min="1" max="1" width="3" style="251" customWidth="1"/>
    <col min="2" max="2" width="15.53515625" style="251" customWidth="1"/>
    <col min="3" max="3" width="7.765625" style="251" customWidth="1"/>
    <col min="4" max="4" width="8.07421875" style="251" customWidth="1"/>
    <col min="5" max="5" width="9.07421875" style="251" customWidth="1"/>
    <col min="6" max="6" width="8.4609375" style="251" customWidth="1"/>
    <col min="7" max="8" width="11.23046875" style="172" customWidth="1"/>
    <col min="9" max="11" width="10.4609375" style="172" customWidth="1"/>
    <col min="12" max="14" width="10.4609375" style="251" customWidth="1"/>
    <col min="15" max="15" width="13.69140625" style="251" customWidth="1"/>
    <col min="16" max="16" width="14.07421875" style="251" customWidth="1"/>
    <col min="17" max="17" width="13.765625" style="251" customWidth="1"/>
    <col min="18" max="18" width="5.765625" style="251" customWidth="1"/>
    <col min="19" max="19" width="11.53515625" style="251" customWidth="1"/>
    <col min="20" max="20" width="5.765625" style="251" customWidth="1"/>
    <col min="21" max="16384" width="8.765625" style="251"/>
  </cols>
  <sheetData>
    <row r="1" spans="1:20" ht="12.75" customHeight="1" x14ac:dyDescent="0.25">
      <c r="A1" s="251" t="s">
        <v>50</v>
      </c>
      <c r="C1" s="1"/>
      <c r="D1" s="1"/>
      <c r="E1" s="7">
        <v>45901</v>
      </c>
      <c r="F1" s="502" t="s">
        <v>344</v>
      </c>
      <c r="S1" s="251" t="s">
        <v>306</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345</v>
      </c>
      <c r="B4" s="109"/>
      <c r="C4" s="109"/>
      <c r="D4" s="109"/>
      <c r="E4" s="109"/>
      <c r="F4" s="109"/>
      <c r="G4" s="109"/>
      <c r="H4" s="109"/>
      <c r="I4" s="109"/>
      <c r="J4" s="109"/>
      <c r="K4" s="109"/>
      <c r="L4" s="109"/>
      <c r="M4" s="109"/>
      <c r="N4" s="109"/>
      <c r="O4" s="109"/>
      <c r="P4" s="109"/>
      <c r="Q4" s="109"/>
      <c r="R4" s="109"/>
      <c r="S4" s="109"/>
      <c r="T4" s="109"/>
    </row>
    <row r="5" spans="1:20" x14ac:dyDescent="0.25">
      <c r="A5" s="109" t="s">
        <v>346</v>
      </c>
      <c r="B5" s="109"/>
      <c r="C5" s="109"/>
      <c r="D5" s="109"/>
      <c r="E5" s="109"/>
      <c r="F5" s="109"/>
      <c r="G5" s="109"/>
      <c r="H5" s="109"/>
      <c r="I5" s="109"/>
      <c r="J5" s="109"/>
      <c r="K5" s="109"/>
      <c r="L5" s="109"/>
      <c r="M5" s="109"/>
      <c r="N5" s="109"/>
      <c r="O5" s="109"/>
      <c r="P5" s="109"/>
      <c r="Q5" s="496"/>
      <c r="R5" s="109"/>
      <c r="S5" s="109"/>
      <c r="T5" s="109"/>
    </row>
    <row r="6" spans="1:20" x14ac:dyDescent="0.25">
      <c r="E6" s="47"/>
      <c r="F6" s="47"/>
      <c r="G6" s="242"/>
      <c r="H6" s="173"/>
      <c r="Q6" s="496"/>
    </row>
    <row r="7" spans="1:20"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row>
    <row r="8" spans="1:20"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5" t="s">
        <v>28</v>
      </c>
      <c r="B10" s="17" t="s">
        <v>13</v>
      </c>
      <c r="C10" s="69" t="s">
        <v>31</v>
      </c>
      <c r="D10" s="406" t="s">
        <v>30</v>
      </c>
      <c r="E10" s="69" t="s">
        <v>98</v>
      </c>
      <c r="F10" s="223" t="s">
        <v>36</v>
      </c>
      <c r="G10" s="407">
        <v>4458</v>
      </c>
      <c r="H10" s="407">
        <v>8774</v>
      </c>
      <c r="I10" s="408">
        <v>68.586799999999997</v>
      </c>
      <c r="J10" s="408">
        <v>69.059799999999996</v>
      </c>
      <c r="K10" s="409"/>
      <c r="L10" s="409"/>
      <c r="M10" s="409"/>
      <c r="N10" s="458">
        <v>89.24</v>
      </c>
      <c r="O10" s="407">
        <v>911601.39999999991</v>
      </c>
      <c r="P10" s="409">
        <v>170925.26</v>
      </c>
      <c r="Q10" s="409">
        <v>136740.21</v>
      </c>
      <c r="R10" s="199">
        <v>0.15</v>
      </c>
      <c r="S10" s="409">
        <v>34185.050000000003</v>
      </c>
      <c r="T10" s="236">
        <v>3.7499999999999999E-2</v>
      </c>
    </row>
    <row r="11" spans="1:20" ht="12.75" customHeight="1" x14ac:dyDescent="0.25">
      <c r="A11" s="405" t="s">
        <v>28</v>
      </c>
      <c r="B11" s="17" t="s">
        <v>14</v>
      </c>
      <c r="C11" s="69" t="s">
        <v>31</v>
      </c>
      <c r="D11" s="406" t="s">
        <v>30</v>
      </c>
      <c r="E11" s="69" t="s">
        <v>98</v>
      </c>
      <c r="F11" s="223" t="s">
        <v>55</v>
      </c>
      <c r="G11" s="407">
        <v>42888.759100000003</v>
      </c>
      <c r="H11" s="407">
        <v>26038.4123</v>
      </c>
      <c r="I11" s="408">
        <v>3.0106000000000002</v>
      </c>
      <c r="J11" s="408">
        <v>3.0106000000000002</v>
      </c>
      <c r="K11" s="409"/>
      <c r="L11" s="409"/>
      <c r="M11" s="409"/>
      <c r="N11" s="458">
        <v>249.87</v>
      </c>
      <c r="O11" s="407">
        <v>207262.27000000002</v>
      </c>
      <c r="P11" s="409">
        <v>38861.68</v>
      </c>
      <c r="Q11" s="409">
        <v>31089.34</v>
      </c>
      <c r="R11" s="199">
        <v>0.15</v>
      </c>
      <c r="S11" s="409">
        <v>7772.34</v>
      </c>
      <c r="T11" s="236">
        <v>3.7499999999999999E-2</v>
      </c>
    </row>
    <row r="12" spans="1:20" x14ac:dyDescent="0.25">
      <c r="A12" s="405" t="s">
        <v>28</v>
      </c>
      <c r="B12" s="17" t="s">
        <v>3</v>
      </c>
      <c r="C12" s="69" t="s">
        <v>31</v>
      </c>
      <c r="D12" s="406" t="s">
        <v>30</v>
      </c>
      <c r="E12" s="69" t="s">
        <v>98</v>
      </c>
      <c r="F12" s="223" t="s">
        <v>36</v>
      </c>
      <c r="G12" s="407">
        <v>4393</v>
      </c>
      <c r="H12" s="407">
        <v>4262</v>
      </c>
      <c r="I12" s="408">
        <v>66.817999999999998</v>
      </c>
      <c r="J12" s="408">
        <v>67.751800000000003</v>
      </c>
      <c r="K12" s="409"/>
      <c r="L12" s="409"/>
      <c r="M12" s="409"/>
      <c r="N12" s="458">
        <v>717.49</v>
      </c>
      <c r="O12" s="407">
        <v>581572.14999999991</v>
      </c>
      <c r="P12" s="409">
        <v>109044.78</v>
      </c>
      <c r="Q12" s="409">
        <v>87235.82</v>
      </c>
      <c r="R12" s="199">
        <v>0.15</v>
      </c>
      <c r="S12" s="409">
        <v>21808.959999999999</v>
      </c>
      <c r="T12" s="236">
        <v>3.7499999999999999E-2</v>
      </c>
    </row>
    <row r="13" spans="1:20" x14ac:dyDescent="0.25">
      <c r="A13" s="411" t="s">
        <v>28</v>
      </c>
      <c r="B13" s="412" t="s">
        <v>315</v>
      </c>
      <c r="C13" s="69" t="s">
        <v>31</v>
      </c>
      <c r="D13" s="406" t="s">
        <v>30</v>
      </c>
      <c r="E13" s="69" t="s">
        <v>98</v>
      </c>
      <c r="F13" s="223" t="s">
        <v>55</v>
      </c>
      <c r="G13" s="407">
        <v>20033.535100000001</v>
      </c>
      <c r="H13" s="407">
        <v>25278.891599999999</v>
      </c>
      <c r="I13" s="408">
        <v>2.95</v>
      </c>
      <c r="J13" s="408">
        <v>2.95</v>
      </c>
      <c r="K13" s="409"/>
      <c r="L13" s="409"/>
      <c r="M13" s="409"/>
      <c r="N13" s="458">
        <v>767.46</v>
      </c>
      <c r="O13" s="407">
        <v>132904.20000000001</v>
      </c>
      <c r="P13" s="409">
        <v>24919.54</v>
      </c>
      <c r="Q13" s="409">
        <v>19935.63</v>
      </c>
      <c r="R13" s="199">
        <v>0.15</v>
      </c>
      <c r="S13" s="409">
        <v>4983.91</v>
      </c>
      <c r="T13" s="236">
        <v>3.7499999999999999E-2</v>
      </c>
    </row>
    <row r="14" spans="1:20" x14ac:dyDescent="0.25">
      <c r="A14" s="405" t="s">
        <v>28</v>
      </c>
      <c r="B14" s="17" t="s">
        <v>4</v>
      </c>
      <c r="C14" s="69" t="s">
        <v>31</v>
      </c>
      <c r="D14" s="406" t="s">
        <v>30</v>
      </c>
      <c r="E14" s="69" t="s">
        <v>98</v>
      </c>
      <c r="F14" s="223" t="s">
        <v>36</v>
      </c>
      <c r="G14" s="407">
        <v>31245</v>
      </c>
      <c r="H14" s="407">
        <v>30600</v>
      </c>
      <c r="I14" s="408">
        <v>68.586799999999997</v>
      </c>
      <c r="J14" s="408">
        <v>69.059799999999996</v>
      </c>
      <c r="K14" s="409"/>
      <c r="L14" s="409"/>
      <c r="M14" s="409"/>
      <c r="N14" s="458">
        <v>1107.55</v>
      </c>
      <c r="O14" s="407">
        <v>4255116.8999999994</v>
      </c>
      <c r="P14" s="409">
        <v>797834.42</v>
      </c>
      <c r="Q14" s="409">
        <v>638267.54</v>
      </c>
      <c r="R14" s="199">
        <v>0.15</v>
      </c>
      <c r="S14" s="409">
        <v>159566.88</v>
      </c>
      <c r="T14" s="236">
        <v>3.7499999999999999E-2</v>
      </c>
    </row>
    <row r="15" spans="1:20" x14ac:dyDescent="0.25">
      <c r="A15" s="405" t="s">
        <v>28</v>
      </c>
      <c r="B15" s="403" t="s">
        <v>316</v>
      </c>
      <c r="C15" s="69" t="s">
        <v>31</v>
      </c>
      <c r="D15" s="406" t="s">
        <v>30</v>
      </c>
      <c r="E15" s="69" t="s">
        <v>98</v>
      </c>
      <c r="F15" s="223" t="s">
        <v>55</v>
      </c>
      <c r="G15" s="407">
        <v>93766.960600000006</v>
      </c>
      <c r="H15" s="407">
        <v>50707.716</v>
      </c>
      <c r="I15" s="408">
        <v>2.81</v>
      </c>
      <c r="J15" s="408">
        <v>2.8879999999999999</v>
      </c>
      <c r="K15" s="409"/>
      <c r="L15" s="409"/>
      <c r="M15" s="409"/>
      <c r="N15" s="409"/>
      <c r="O15" s="410">
        <v>409929.04</v>
      </c>
      <c r="P15" s="409">
        <v>76861.7</v>
      </c>
      <c r="Q15" s="409">
        <v>61489.36</v>
      </c>
      <c r="R15" s="199">
        <v>0.15</v>
      </c>
      <c r="S15" s="409">
        <v>15372.34</v>
      </c>
      <c r="T15" s="236">
        <v>3.7499999999999999E-2</v>
      </c>
    </row>
    <row r="16" spans="1:20" x14ac:dyDescent="0.25">
      <c r="A16" s="405" t="s">
        <v>28</v>
      </c>
      <c r="B16" s="17" t="s">
        <v>5</v>
      </c>
      <c r="C16" s="69" t="s">
        <v>31</v>
      </c>
      <c r="D16" s="406" t="s">
        <v>30</v>
      </c>
      <c r="E16" s="69" t="s">
        <v>98</v>
      </c>
      <c r="F16" s="223" t="s">
        <v>36</v>
      </c>
      <c r="G16" s="407">
        <v>52744</v>
      </c>
      <c r="H16" s="407">
        <v>62405</v>
      </c>
      <c r="I16" s="408">
        <v>68.586799999999997</v>
      </c>
      <c r="J16" s="408">
        <v>69.059799999999996</v>
      </c>
      <c r="K16" s="409"/>
      <c r="L16" s="409"/>
      <c r="M16" s="409"/>
      <c r="N16" s="458">
        <v>1917.84</v>
      </c>
      <c r="O16" s="407">
        <v>7925301.1600000001</v>
      </c>
      <c r="P16" s="409">
        <v>1485993.97</v>
      </c>
      <c r="Q16" s="409">
        <v>1188795.17</v>
      </c>
      <c r="R16" s="199">
        <v>0.15</v>
      </c>
      <c r="S16" s="409">
        <v>297198.78999999998</v>
      </c>
      <c r="T16" s="236">
        <v>3.7499999999999999E-2</v>
      </c>
    </row>
    <row r="17" spans="1:20" x14ac:dyDescent="0.25">
      <c r="A17" s="405" t="s">
        <v>28</v>
      </c>
      <c r="B17" s="17" t="s">
        <v>317</v>
      </c>
      <c r="C17" s="69" t="s">
        <v>31</v>
      </c>
      <c r="D17" s="406" t="s">
        <v>30</v>
      </c>
      <c r="E17" s="69" t="s">
        <v>98</v>
      </c>
      <c r="F17" s="223" t="s">
        <v>36</v>
      </c>
      <c r="G17" s="407">
        <v>81126.488599999997</v>
      </c>
      <c r="H17" s="407">
        <v>64555.0887</v>
      </c>
      <c r="I17" s="408">
        <v>2.8001999999999998</v>
      </c>
      <c r="J17" s="408">
        <v>2.8001999999999998</v>
      </c>
      <c r="K17" s="409"/>
      <c r="L17" s="409"/>
      <c r="M17" s="409"/>
      <c r="N17" s="458">
        <v>597.09</v>
      </c>
      <c r="O17" s="407">
        <v>407340.46</v>
      </c>
      <c r="P17" s="409">
        <v>76376.34</v>
      </c>
      <c r="Q17" s="409">
        <v>61101.07</v>
      </c>
      <c r="R17" s="199">
        <v>0.15</v>
      </c>
      <c r="S17" s="409">
        <v>15275.27</v>
      </c>
      <c r="T17" s="236">
        <v>3.7499999999999999E-2</v>
      </c>
    </row>
    <row r="18" spans="1:20" x14ac:dyDescent="0.25">
      <c r="A18" s="405" t="s">
        <v>28</v>
      </c>
      <c r="B18" s="17" t="s">
        <v>17</v>
      </c>
      <c r="C18" s="69" t="s">
        <v>31</v>
      </c>
      <c r="D18" s="406" t="s">
        <v>30</v>
      </c>
      <c r="E18" s="69" t="s">
        <v>98</v>
      </c>
      <c r="F18" s="223" t="s">
        <v>36</v>
      </c>
      <c r="G18" s="407">
        <v>2675</v>
      </c>
      <c r="H18" s="407">
        <v>2622</v>
      </c>
      <c r="I18" s="408">
        <v>66.864699999999999</v>
      </c>
      <c r="J18" s="408">
        <v>67.765500000000003</v>
      </c>
      <c r="K18" s="409"/>
      <c r="L18" s="409"/>
      <c r="M18" s="409"/>
      <c r="N18" s="458">
        <v>467.62</v>
      </c>
      <c r="O18" s="410">
        <v>356076.59</v>
      </c>
      <c r="P18" s="409">
        <v>66764.36</v>
      </c>
      <c r="Q18" s="409">
        <v>53411.49</v>
      </c>
      <c r="R18" s="199">
        <v>0.15</v>
      </c>
      <c r="S18" s="409">
        <v>13352.87</v>
      </c>
      <c r="T18" s="236">
        <v>3.7499999999999999E-2</v>
      </c>
    </row>
    <row r="19" spans="1:20" x14ac:dyDescent="0.25">
      <c r="A19" s="468" t="s">
        <v>28</v>
      </c>
      <c r="B19" s="403" t="s">
        <v>293</v>
      </c>
      <c r="C19" s="69" t="s">
        <v>31</v>
      </c>
      <c r="D19" s="406" t="s">
        <v>30</v>
      </c>
      <c r="E19" s="69" t="s">
        <v>98</v>
      </c>
      <c r="F19" s="223" t="s">
        <v>36</v>
      </c>
      <c r="G19" s="407">
        <v>21023</v>
      </c>
      <c r="H19" s="407">
        <v>19464</v>
      </c>
      <c r="I19" s="417">
        <v>68.586799999999997</v>
      </c>
      <c r="J19" s="408">
        <v>69.059799999999996</v>
      </c>
      <c r="K19" s="409"/>
      <c r="L19" s="409"/>
      <c r="M19" s="409"/>
      <c r="N19" s="458">
        <v>564</v>
      </c>
      <c r="O19" s="410">
        <v>2785516.25</v>
      </c>
      <c r="P19" s="409">
        <v>522284.3</v>
      </c>
      <c r="Q19" s="409">
        <v>417827.44</v>
      </c>
      <c r="R19" s="199">
        <v>0.15</v>
      </c>
      <c r="S19" s="409">
        <v>104456.86</v>
      </c>
      <c r="T19" s="236">
        <v>3.7499999999999999E-2</v>
      </c>
    </row>
    <row r="20" spans="1:20" x14ac:dyDescent="0.25">
      <c r="A20" s="468" t="s">
        <v>28</v>
      </c>
      <c r="B20" s="403" t="s">
        <v>294</v>
      </c>
      <c r="C20" s="69" t="s">
        <v>31</v>
      </c>
      <c r="D20" s="406" t="s">
        <v>30</v>
      </c>
      <c r="E20" s="69" t="s">
        <v>98</v>
      </c>
      <c r="F20" s="223" t="s">
        <v>55</v>
      </c>
      <c r="G20" s="407">
        <v>53699.6374</v>
      </c>
      <c r="H20" s="407">
        <v>40894.767599999999</v>
      </c>
      <c r="I20" s="417">
        <v>2.9521999999999999</v>
      </c>
      <c r="J20" s="408">
        <v>2.9521999999999999</v>
      </c>
      <c r="K20" s="409"/>
      <c r="L20" s="409"/>
      <c r="M20" s="409"/>
      <c r="N20" s="458">
        <v>242.73</v>
      </c>
      <c r="O20" s="410">
        <v>279018.87</v>
      </c>
      <c r="P20" s="409">
        <v>52316.04</v>
      </c>
      <c r="Q20" s="409">
        <v>41852.83</v>
      </c>
      <c r="R20" s="199">
        <v>0.15</v>
      </c>
      <c r="S20" s="409">
        <v>10463.209999999999</v>
      </c>
      <c r="T20" s="236">
        <v>3.7499999999999999E-2</v>
      </c>
    </row>
    <row r="21" spans="1:20" x14ac:dyDescent="0.25">
      <c r="A21" s="468" t="s">
        <v>28</v>
      </c>
      <c r="B21" s="403" t="s">
        <v>295</v>
      </c>
      <c r="C21" s="69" t="s">
        <v>31</v>
      </c>
      <c r="D21" s="406" t="s">
        <v>30</v>
      </c>
      <c r="E21" s="69" t="s">
        <v>98</v>
      </c>
      <c r="F21" s="223" t="s">
        <v>36</v>
      </c>
      <c r="G21" s="407">
        <v>15887</v>
      </c>
      <c r="H21" s="407">
        <v>15899</v>
      </c>
      <c r="I21" s="417">
        <v>66.864699999999999</v>
      </c>
      <c r="J21" s="408">
        <v>67.765500000000003</v>
      </c>
      <c r="K21" s="409"/>
      <c r="L21" s="409"/>
      <c r="M21" s="409"/>
      <c r="N21" s="458">
        <v>278.43</v>
      </c>
      <c r="O21" s="410">
        <v>2139404.7399999998</v>
      </c>
      <c r="P21" s="409">
        <v>401138.39</v>
      </c>
      <c r="Q21" s="409">
        <v>320910.71000000002</v>
      </c>
      <c r="R21" s="199">
        <v>0.15</v>
      </c>
      <c r="S21" s="409">
        <v>80227.679999999993</v>
      </c>
      <c r="T21" s="236">
        <v>3.7499999999999999E-2</v>
      </c>
    </row>
    <row r="22" spans="1:20" x14ac:dyDescent="0.25">
      <c r="A22" s="405" t="s">
        <v>28</v>
      </c>
      <c r="B22" s="17" t="s">
        <v>18</v>
      </c>
      <c r="C22" s="69" t="s">
        <v>31</v>
      </c>
      <c r="D22" s="406" t="s">
        <v>30</v>
      </c>
      <c r="E22" s="69" t="s">
        <v>98</v>
      </c>
      <c r="F22" s="223" t="s">
        <v>36</v>
      </c>
      <c r="G22" s="407">
        <v>1865</v>
      </c>
      <c r="H22" s="407">
        <v>2539</v>
      </c>
      <c r="I22" s="408">
        <v>68.586799999999997</v>
      </c>
      <c r="J22" s="408">
        <v>69.059799999999996</v>
      </c>
      <c r="K22" s="409"/>
      <c r="L22" s="409"/>
      <c r="M22" s="409"/>
      <c r="N22" s="458">
        <v>299.85000000000002</v>
      </c>
      <c r="O22" s="410">
        <v>302957.36</v>
      </c>
      <c r="P22" s="409">
        <v>56804.51</v>
      </c>
      <c r="Q22" s="409">
        <v>45443.6</v>
      </c>
      <c r="R22" s="199">
        <v>0.15</v>
      </c>
      <c r="S22" s="409">
        <v>11360.9</v>
      </c>
      <c r="T22" s="236">
        <v>3.7499999999999999E-2</v>
      </c>
    </row>
    <row r="23" spans="1:20" x14ac:dyDescent="0.25">
      <c r="A23" s="405" t="s">
        <v>28</v>
      </c>
      <c r="B23" s="17" t="s">
        <v>20</v>
      </c>
      <c r="C23" s="69" t="s">
        <v>31</v>
      </c>
      <c r="D23" s="406" t="s">
        <v>30</v>
      </c>
      <c r="E23" s="69" t="s">
        <v>98</v>
      </c>
      <c r="F23" s="223" t="s">
        <v>36</v>
      </c>
      <c r="G23" s="465">
        <v>125168</v>
      </c>
      <c r="H23" s="465">
        <v>125189</v>
      </c>
      <c r="I23" s="779">
        <v>68.4191</v>
      </c>
      <c r="J23" s="588">
        <v>69.362700000000004</v>
      </c>
      <c r="K23" s="409"/>
      <c r="L23" s="409"/>
      <c r="M23" s="409"/>
      <c r="N23" s="458">
        <v>1278.8900000000001</v>
      </c>
      <c r="O23" s="410">
        <v>17246050.07</v>
      </c>
      <c r="P23" s="409">
        <v>3233634.39</v>
      </c>
      <c r="Q23" s="409">
        <v>2586907.5099999998</v>
      </c>
      <c r="R23" s="199">
        <v>0.15</v>
      </c>
      <c r="S23" s="409">
        <v>646726.88</v>
      </c>
      <c r="T23" s="236">
        <v>3.7499999999999999E-2</v>
      </c>
    </row>
    <row r="24" spans="1:20" x14ac:dyDescent="0.25">
      <c r="A24" s="405" t="s">
        <v>28</v>
      </c>
      <c r="B24" s="17" t="s">
        <v>318</v>
      </c>
      <c r="C24" s="69" t="s">
        <v>31</v>
      </c>
      <c r="D24" s="406" t="s">
        <v>30</v>
      </c>
      <c r="E24" s="69" t="s">
        <v>98</v>
      </c>
      <c r="F24" s="223" t="s">
        <v>55</v>
      </c>
      <c r="G24" s="407">
        <v>201177.14</v>
      </c>
      <c r="H24" s="407">
        <v>179317.18</v>
      </c>
      <c r="I24" s="408">
        <v>3.1</v>
      </c>
      <c r="J24" s="408">
        <v>3.1</v>
      </c>
      <c r="K24" s="409"/>
      <c r="L24" s="409"/>
      <c r="M24" s="409"/>
      <c r="N24" s="458">
        <v>950.48</v>
      </c>
      <c r="O24" s="410">
        <v>1178581.9100000001</v>
      </c>
      <c r="P24" s="409">
        <v>220984.11</v>
      </c>
      <c r="Q24" s="409">
        <v>176787.29</v>
      </c>
      <c r="R24" s="199">
        <v>0.15</v>
      </c>
      <c r="S24" s="409">
        <v>44196.82</v>
      </c>
      <c r="T24" s="236">
        <v>3.7499999999999999E-2</v>
      </c>
    </row>
    <row r="25" spans="1:20" x14ac:dyDescent="0.25">
      <c r="A25" s="405" t="s">
        <v>28</v>
      </c>
      <c r="B25" s="17" t="s">
        <v>9</v>
      </c>
      <c r="C25" s="69" t="s">
        <v>31</v>
      </c>
      <c r="D25" s="406" t="s">
        <v>30</v>
      </c>
      <c r="E25" s="69" t="s">
        <v>98</v>
      </c>
      <c r="F25" s="223" t="s">
        <v>36</v>
      </c>
      <c r="G25" s="407">
        <v>229</v>
      </c>
      <c r="H25" s="407">
        <v>0</v>
      </c>
      <c r="I25" s="408">
        <v>66.864699999999999</v>
      </c>
      <c r="J25" s="408">
        <v>0</v>
      </c>
      <c r="K25" s="409"/>
      <c r="L25" s="409"/>
      <c r="M25" s="409"/>
      <c r="N25" s="458">
        <v>324.83</v>
      </c>
      <c r="O25" s="410">
        <v>14987.19</v>
      </c>
      <c r="P25" s="409">
        <v>2810.1</v>
      </c>
      <c r="Q25" s="409">
        <v>2248.08</v>
      </c>
      <c r="R25" s="199">
        <v>0.15</v>
      </c>
      <c r="S25" s="409">
        <v>562.02</v>
      </c>
      <c r="T25" s="236">
        <v>3.7499999999999999E-2</v>
      </c>
    </row>
    <row r="26" spans="1:20" x14ac:dyDescent="0.25">
      <c r="A26" s="405" t="s">
        <v>28</v>
      </c>
      <c r="B26" s="17" t="s">
        <v>165</v>
      </c>
      <c r="C26" s="69" t="s">
        <v>31</v>
      </c>
      <c r="D26" s="406" t="s">
        <v>30</v>
      </c>
      <c r="E26" s="69" t="s">
        <v>98</v>
      </c>
      <c r="F26" s="223" t="s">
        <v>36</v>
      </c>
      <c r="G26" s="407">
        <v>12361</v>
      </c>
      <c r="H26" s="407">
        <v>12321</v>
      </c>
      <c r="I26" s="408">
        <v>65.696799999999996</v>
      </c>
      <c r="J26" s="408">
        <v>68.979799999999997</v>
      </c>
      <c r="K26" s="409"/>
      <c r="L26" s="409"/>
      <c r="M26" s="409"/>
      <c r="N26" s="458">
        <v>3094.84</v>
      </c>
      <c r="O26" s="410">
        <v>1658883.42</v>
      </c>
      <c r="P26" s="409">
        <v>311040.64000000001</v>
      </c>
      <c r="Q26" s="409">
        <v>248832.51</v>
      </c>
      <c r="R26" s="199">
        <v>0.15</v>
      </c>
      <c r="S26" s="409">
        <v>62208.13</v>
      </c>
      <c r="T26" s="236">
        <v>3.7499999999999999E-2</v>
      </c>
    </row>
    <row r="27" spans="1:20" x14ac:dyDescent="0.25">
      <c r="A27" s="405" t="s">
        <v>28</v>
      </c>
      <c r="B27" s="17" t="s">
        <v>157</v>
      </c>
      <c r="C27" s="69" t="s">
        <v>31</v>
      </c>
      <c r="D27" s="406" t="s">
        <v>30</v>
      </c>
      <c r="E27" s="69" t="s">
        <v>98</v>
      </c>
      <c r="F27" s="223" t="s">
        <v>55</v>
      </c>
      <c r="G27" s="458">
        <v>474180.22510000004</v>
      </c>
      <c r="H27" s="458">
        <v>432292.20209999999</v>
      </c>
      <c r="I27" s="417">
        <v>2.9287989597354467</v>
      </c>
      <c r="J27" s="417">
        <v>2.9350248725881416</v>
      </c>
      <c r="K27" s="409"/>
      <c r="L27" s="409"/>
      <c r="M27" s="409"/>
      <c r="N27" s="458">
        <v>1288.6199999999999</v>
      </c>
      <c r="O27" s="505">
        <v>2741650.77</v>
      </c>
      <c r="P27" s="505">
        <v>514059.50999999995</v>
      </c>
      <c r="Q27" s="505">
        <v>411247.61000000004</v>
      </c>
      <c r="R27" s="472">
        <v>0.15</v>
      </c>
      <c r="S27" s="505">
        <v>102811.90000000001</v>
      </c>
      <c r="T27" s="236">
        <v>3.7499999999999999E-2</v>
      </c>
    </row>
    <row r="28" spans="1:20" x14ac:dyDescent="0.25">
      <c r="A28" s="405" t="s">
        <v>28</v>
      </c>
      <c r="B28" s="17" t="s">
        <v>170</v>
      </c>
      <c r="C28" s="69" t="s">
        <v>31</v>
      </c>
      <c r="D28" s="406" t="s">
        <v>30</v>
      </c>
      <c r="E28" s="69" t="s">
        <v>98</v>
      </c>
      <c r="F28" s="223" t="s">
        <v>36</v>
      </c>
      <c r="G28" s="407">
        <v>139</v>
      </c>
      <c r="H28" s="407">
        <v>111</v>
      </c>
      <c r="I28" s="408">
        <v>68.586799999999997</v>
      </c>
      <c r="J28" s="408">
        <v>69.059799999999996</v>
      </c>
      <c r="K28" s="409"/>
      <c r="L28" s="409"/>
      <c r="M28" s="409"/>
      <c r="N28" s="458">
        <v>192.76</v>
      </c>
      <c r="O28" s="410">
        <v>17006.45</v>
      </c>
      <c r="P28" s="409">
        <v>3188.71</v>
      </c>
      <c r="Q28" s="409">
        <v>637.74</v>
      </c>
      <c r="R28" s="236">
        <v>3.7499999999999999E-2</v>
      </c>
      <c r="S28" s="409">
        <v>2550.9699999999998</v>
      </c>
      <c r="T28" s="199">
        <v>0.15</v>
      </c>
    </row>
    <row r="29" spans="1:20" x14ac:dyDescent="0.25">
      <c r="A29" s="405" t="s">
        <v>28</v>
      </c>
      <c r="B29" s="17" t="s">
        <v>319</v>
      </c>
      <c r="C29" s="69" t="s">
        <v>31</v>
      </c>
      <c r="D29" s="406" t="s">
        <v>30</v>
      </c>
      <c r="E29" s="69" t="s">
        <v>98</v>
      </c>
      <c r="F29" s="223" t="s">
        <v>36</v>
      </c>
      <c r="G29" s="407">
        <v>0</v>
      </c>
      <c r="H29" s="407">
        <v>0</v>
      </c>
      <c r="I29" s="408">
        <v>0</v>
      </c>
      <c r="J29" s="408">
        <v>0</v>
      </c>
      <c r="K29" s="409"/>
      <c r="L29" s="409"/>
      <c r="M29" s="409"/>
      <c r="N29" s="458">
        <v>974.5</v>
      </c>
      <c r="O29" s="410">
        <v>-974.5</v>
      </c>
      <c r="P29" s="409">
        <v>-182.72</v>
      </c>
      <c r="Q29" s="409">
        <v>-36.54</v>
      </c>
      <c r="R29" s="236">
        <v>3.7499999999999999E-2</v>
      </c>
      <c r="S29" s="409">
        <v>-146.18</v>
      </c>
      <c r="T29" s="199">
        <v>0.15</v>
      </c>
    </row>
    <row r="30" spans="1:20" x14ac:dyDescent="0.25">
      <c r="A30" s="413" t="s">
        <v>28</v>
      </c>
      <c r="B30" s="414" t="s">
        <v>296</v>
      </c>
      <c r="C30" s="69" t="s">
        <v>31</v>
      </c>
      <c r="D30" s="406" t="s">
        <v>30</v>
      </c>
      <c r="E30" s="69" t="s">
        <v>98</v>
      </c>
      <c r="F30" s="223" t="s">
        <v>36</v>
      </c>
      <c r="G30" s="458">
        <v>36634</v>
      </c>
      <c r="H30" s="458">
        <v>60373</v>
      </c>
      <c r="I30" s="408">
        <v>67.098200000000006</v>
      </c>
      <c r="J30" s="417">
        <v>68.053600000000003</v>
      </c>
      <c r="K30" s="407"/>
      <c r="L30" s="409"/>
      <c r="M30" s="409"/>
      <c r="N30" s="458">
        <v>496.17</v>
      </c>
      <c r="O30" s="410">
        <v>6566179.2800000003</v>
      </c>
      <c r="P30" s="409">
        <v>1231158.6200000001</v>
      </c>
      <c r="Q30" s="409">
        <v>984926.89</v>
      </c>
      <c r="R30" s="227">
        <v>0.15</v>
      </c>
      <c r="S30" s="409">
        <v>246231.72</v>
      </c>
      <c r="T30" s="236">
        <v>3.7499999999999999E-2</v>
      </c>
    </row>
    <row r="31" spans="1:20" x14ac:dyDescent="0.25">
      <c r="A31" s="413" t="s">
        <v>28</v>
      </c>
      <c r="B31" s="414" t="s">
        <v>297</v>
      </c>
      <c r="C31" s="69" t="s">
        <v>31</v>
      </c>
      <c r="D31" s="406" t="s">
        <v>30</v>
      </c>
      <c r="E31" s="69" t="s">
        <v>98</v>
      </c>
      <c r="F31" s="223" t="s">
        <v>55</v>
      </c>
      <c r="G31" s="458"/>
      <c r="H31" s="458"/>
      <c r="I31" s="417"/>
      <c r="J31" s="417"/>
      <c r="K31" s="407"/>
      <c r="L31" s="409"/>
      <c r="M31" s="409"/>
      <c r="N31" s="458">
        <v>439.06</v>
      </c>
      <c r="O31" s="410">
        <v>762786.86</v>
      </c>
      <c r="P31" s="410">
        <v>143022.54</v>
      </c>
      <c r="Q31" s="410">
        <v>114418.03</v>
      </c>
      <c r="R31" s="227">
        <v>0.15</v>
      </c>
      <c r="S31" s="410">
        <v>28604.510000000002</v>
      </c>
      <c r="T31" s="236">
        <v>3.7499999999999999E-2</v>
      </c>
    </row>
    <row r="32" spans="1:20" x14ac:dyDescent="0.25">
      <c r="A32" s="413" t="s">
        <v>28</v>
      </c>
      <c r="B32" s="414" t="s">
        <v>298</v>
      </c>
      <c r="C32" s="69" t="s">
        <v>31</v>
      </c>
      <c r="D32" s="406" t="s">
        <v>30</v>
      </c>
      <c r="E32" s="69" t="s">
        <v>98</v>
      </c>
      <c r="F32" s="223" t="s">
        <v>36</v>
      </c>
      <c r="G32" s="458">
        <v>9802</v>
      </c>
      <c r="H32" s="458">
        <v>10002</v>
      </c>
      <c r="I32" s="408">
        <v>36.920499999999997</v>
      </c>
      <c r="J32" s="408">
        <v>37.297699999999999</v>
      </c>
      <c r="K32" s="407"/>
      <c r="L32" s="409"/>
      <c r="M32" s="409"/>
      <c r="N32" s="458">
        <v>478.33</v>
      </c>
      <c r="O32" s="410">
        <v>734468.01</v>
      </c>
      <c r="P32" s="409">
        <v>137712.75</v>
      </c>
      <c r="Q32" s="409">
        <v>110170.2</v>
      </c>
      <c r="R32" s="227">
        <v>0.15</v>
      </c>
      <c r="S32" s="409">
        <v>27542.55</v>
      </c>
      <c r="T32" s="236">
        <v>3.7499999999999999E-2</v>
      </c>
    </row>
    <row r="33" spans="1:20" x14ac:dyDescent="0.25">
      <c r="A33" s="413" t="s">
        <v>28</v>
      </c>
      <c r="B33" s="414" t="s">
        <v>51</v>
      </c>
      <c r="C33" s="415"/>
      <c r="D33" s="415"/>
      <c r="E33" s="416"/>
      <c r="F33" s="223"/>
      <c r="G33" s="409"/>
      <c r="H33" s="409"/>
      <c r="I33" s="417"/>
      <c r="J33" s="417"/>
      <c r="K33" s="409"/>
      <c r="L33" s="409"/>
      <c r="M33" s="497"/>
      <c r="N33" s="409"/>
      <c r="O33" s="410">
        <v>-107217.84666662617</v>
      </c>
      <c r="P33" s="410">
        <v>-20103.330000000053</v>
      </c>
      <c r="Q33" s="410">
        <v>-16082.679999999997</v>
      </c>
      <c r="R33" s="227"/>
      <c r="S33" s="410">
        <v>-4020.6699999999973</v>
      </c>
      <c r="T33" s="199"/>
    </row>
    <row r="34" spans="1:20" x14ac:dyDescent="0.25">
      <c r="A34" s="24"/>
      <c r="B34" s="127" t="s">
        <v>105</v>
      </c>
      <c r="C34" s="25" t="s">
        <v>283</v>
      </c>
      <c r="D34" s="30"/>
      <c r="E34" s="31"/>
      <c r="F34" s="224"/>
      <c r="G34" s="418"/>
      <c r="H34" s="418"/>
      <c r="I34" s="419"/>
      <c r="J34" s="419"/>
      <c r="K34" s="418"/>
      <c r="L34" s="418"/>
      <c r="M34" s="418"/>
      <c r="N34" s="420"/>
      <c r="O34" s="420">
        <v>51506403.003333382</v>
      </c>
      <c r="P34" s="420">
        <v>9657450.6099999975</v>
      </c>
      <c r="Q34" s="420">
        <v>7724156.8500000006</v>
      </c>
      <c r="R34" s="207"/>
      <c r="S34" s="420">
        <v>1933293.71</v>
      </c>
      <c r="T34" s="476">
        <v>0</v>
      </c>
    </row>
    <row r="35" spans="1:20" x14ac:dyDescent="0.25">
      <c r="A35" s="102"/>
      <c r="B35" s="265"/>
      <c r="C35" s="25" t="s">
        <v>284</v>
      </c>
      <c r="D35" s="415"/>
      <c r="E35" s="415"/>
      <c r="F35" s="115"/>
      <c r="G35" s="421"/>
      <c r="H35" s="421"/>
      <c r="I35" s="422"/>
      <c r="J35" s="422"/>
      <c r="K35" s="421"/>
      <c r="L35" s="421"/>
      <c r="M35" s="421"/>
      <c r="N35" s="421"/>
      <c r="O35" s="423"/>
      <c r="P35" s="424">
        <v>32622868.16</v>
      </c>
      <c r="Q35" s="425">
        <v>26092201.84</v>
      </c>
      <c r="R35" s="117"/>
      <c r="S35" s="426">
        <v>6530666.1500000004</v>
      </c>
      <c r="T35" s="131"/>
    </row>
    <row r="36" spans="1:20" ht="13" x14ac:dyDescent="0.3">
      <c r="A36" s="257" t="s">
        <v>22</v>
      </c>
      <c r="B36" s="11"/>
      <c r="C36" s="41"/>
      <c r="D36" s="41"/>
      <c r="E36" s="12"/>
      <c r="F36" s="27"/>
      <c r="G36" s="427"/>
      <c r="H36" s="427"/>
      <c r="I36" s="428"/>
      <c r="J36" s="428"/>
      <c r="K36" s="427"/>
      <c r="L36" s="427"/>
      <c r="M36" s="427"/>
      <c r="N36" s="427"/>
      <c r="O36" s="429"/>
      <c r="P36" s="427"/>
      <c r="Q36" s="211" t="s">
        <v>48</v>
      </c>
      <c r="R36" s="189"/>
      <c r="S36" s="430"/>
      <c r="T36" s="261"/>
    </row>
    <row r="37" spans="1:20" x14ac:dyDescent="0.25">
      <c r="A37" s="413" t="s">
        <v>28</v>
      </c>
      <c r="B37" s="22">
        <v>131</v>
      </c>
      <c r="C37" s="69" t="s">
        <v>31</v>
      </c>
      <c r="D37" s="406" t="s">
        <v>30</v>
      </c>
      <c r="E37" s="69" t="s">
        <v>98</v>
      </c>
      <c r="F37" s="190" t="s">
        <v>36</v>
      </c>
      <c r="G37" s="407">
        <v>9710</v>
      </c>
      <c r="H37" s="407">
        <v>6457</v>
      </c>
      <c r="I37" s="408">
        <v>55.2652</v>
      </c>
      <c r="J37" s="408">
        <v>55.9664</v>
      </c>
      <c r="K37" s="409"/>
      <c r="L37" s="409"/>
      <c r="M37" s="409"/>
      <c r="N37" s="458">
        <v>3844.45</v>
      </c>
      <c r="O37" s="410">
        <v>894155.67999999993</v>
      </c>
      <c r="P37" s="409">
        <v>134123.35</v>
      </c>
      <c r="Q37" s="409">
        <v>134123.35</v>
      </c>
      <c r="R37" s="199">
        <v>0.15</v>
      </c>
      <c r="S37" s="431"/>
      <c r="T37" s="202"/>
    </row>
    <row r="38" spans="1:20"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row>
    <row r="39" spans="1:20" x14ac:dyDescent="0.25">
      <c r="A39" s="24"/>
      <c r="B39" s="127" t="s">
        <v>105</v>
      </c>
      <c r="C39" s="25" t="s">
        <v>285</v>
      </c>
      <c r="D39" s="30"/>
      <c r="E39" s="31"/>
      <c r="F39" s="30"/>
      <c r="G39" s="418"/>
      <c r="H39" s="418"/>
      <c r="I39" s="419"/>
      <c r="J39" s="419"/>
      <c r="K39" s="418"/>
      <c r="L39" s="418"/>
      <c r="M39" s="418"/>
      <c r="N39" s="418"/>
      <c r="O39" s="420">
        <v>894155.67999999993</v>
      </c>
      <c r="P39" s="420">
        <v>134123.35</v>
      </c>
      <c r="Q39" s="420">
        <v>134123.35</v>
      </c>
      <c r="R39" s="207"/>
      <c r="S39" s="420">
        <v>0</v>
      </c>
      <c r="T39" s="207"/>
    </row>
    <row r="40" spans="1:20" x14ac:dyDescent="0.25">
      <c r="A40" s="102"/>
      <c r="B40" s="265"/>
      <c r="C40" s="25" t="s">
        <v>286</v>
      </c>
      <c r="D40" s="415"/>
      <c r="E40" s="415"/>
      <c r="F40" s="115"/>
      <c r="G40" s="421"/>
      <c r="H40" s="421"/>
      <c r="I40" s="422"/>
      <c r="J40" s="422"/>
      <c r="K40" s="421"/>
      <c r="L40" s="421"/>
      <c r="M40" s="421"/>
      <c r="N40" s="421"/>
      <c r="O40" s="423"/>
      <c r="P40" s="424">
        <v>453068.68</v>
      </c>
      <c r="Q40" s="425">
        <v>453068.68</v>
      </c>
      <c r="R40" s="117"/>
      <c r="S40" s="424">
        <v>0</v>
      </c>
      <c r="T40" s="117"/>
    </row>
    <row r="41" spans="1:20"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row>
    <row r="42" spans="1:20" x14ac:dyDescent="0.25">
      <c r="A42" s="405" t="s">
        <v>28</v>
      </c>
      <c r="B42" s="22">
        <v>8</v>
      </c>
      <c r="C42" s="69" t="s">
        <v>31</v>
      </c>
      <c r="D42" s="69" t="s">
        <v>30</v>
      </c>
      <c r="E42" s="69" t="s">
        <v>98</v>
      </c>
      <c r="F42" s="217" t="s">
        <v>36</v>
      </c>
      <c r="G42" s="409">
        <v>64324</v>
      </c>
      <c r="H42" s="407">
        <v>52186</v>
      </c>
      <c r="I42" s="408">
        <v>59.614800000000002</v>
      </c>
      <c r="J42" s="408">
        <v>65.778800000000004</v>
      </c>
      <c r="K42" s="409"/>
      <c r="L42" s="409"/>
      <c r="M42" s="409"/>
      <c r="N42" s="409">
        <v>5147.3500000000004</v>
      </c>
      <c r="O42" s="410">
        <v>7262247.5099999998</v>
      </c>
      <c r="P42" s="409">
        <v>1361671.41</v>
      </c>
      <c r="Q42" s="409">
        <v>1089337.1299999999</v>
      </c>
      <c r="R42" s="199">
        <v>0.15</v>
      </c>
      <c r="S42" s="409">
        <v>272334.28000000003</v>
      </c>
      <c r="T42" s="236">
        <v>3.7499999999999999E-2</v>
      </c>
    </row>
    <row r="43" spans="1:20" x14ac:dyDescent="0.25">
      <c r="A43" s="405" t="s">
        <v>28</v>
      </c>
      <c r="B43" s="17" t="s">
        <v>12</v>
      </c>
      <c r="C43" s="69" t="s">
        <v>31</v>
      </c>
      <c r="D43" s="69" t="s">
        <v>30</v>
      </c>
      <c r="E43" s="69" t="s">
        <v>98</v>
      </c>
      <c r="F43" s="217" t="s">
        <v>55</v>
      </c>
      <c r="G43" s="407">
        <v>50416.171600000001</v>
      </c>
      <c r="H43" s="407">
        <v>12355.1077</v>
      </c>
      <c r="I43" s="408">
        <v>3.6032999999999999</v>
      </c>
      <c r="J43" s="408">
        <v>3.6034000000000002</v>
      </c>
      <c r="K43" s="409"/>
      <c r="L43" s="409"/>
      <c r="M43" s="409"/>
      <c r="N43" s="458">
        <v>1676.09</v>
      </c>
      <c r="O43" s="410">
        <v>224508.9</v>
      </c>
      <c r="P43" s="409">
        <v>42095.42</v>
      </c>
      <c r="Q43" s="409">
        <v>8419.08</v>
      </c>
      <c r="R43" s="236">
        <v>3.7499999999999999E-2</v>
      </c>
      <c r="S43" s="409">
        <v>33676.339999999997</v>
      </c>
      <c r="T43" s="199">
        <v>0.15</v>
      </c>
    </row>
    <row r="44" spans="1:20" x14ac:dyDescent="0.25">
      <c r="A44" s="405" t="s">
        <v>28</v>
      </c>
      <c r="B44" s="17" t="s">
        <v>74</v>
      </c>
      <c r="C44" s="69" t="s">
        <v>31</v>
      </c>
      <c r="D44" s="69" t="s">
        <v>30</v>
      </c>
      <c r="E44" s="69" t="s">
        <v>100</v>
      </c>
      <c r="F44" s="217" t="s">
        <v>36</v>
      </c>
      <c r="G44" s="407"/>
      <c r="H44" s="407"/>
      <c r="I44" s="408"/>
      <c r="J44" s="408"/>
      <c r="K44" s="409"/>
      <c r="L44" s="409"/>
      <c r="M44" s="409"/>
      <c r="N44" s="458">
        <v>3375.22</v>
      </c>
      <c r="O44" s="410">
        <v>-3375.22</v>
      </c>
      <c r="P44" s="409">
        <v>-632.85</v>
      </c>
      <c r="Q44" s="409">
        <v>-126.57</v>
      </c>
      <c r="R44" s="236">
        <v>3.7499999999999999E-2</v>
      </c>
      <c r="S44" s="409">
        <v>-506.28</v>
      </c>
      <c r="T44" s="199">
        <v>0.15</v>
      </c>
    </row>
    <row r="45" spans="1:20" s="328" customFormat="1" x14ac:dyDescent="0.25">
      <c r="A45" s="633" t="s">
        <v>28</v>
      </c>
      <c r="B45" s="22">
        <v>95</v>
      </c>
      <c r="C45" s="635" t="s">
        <v>31</v>
      </c>
      <c r="D45" s="635" t="s">
        <v>30</v>
      </c>
      <c r="E45" s="635" t="s">
        <v>98</v>
      </c>
      <c r="F45" s="696" t="s">
        <v>36</v>
      </c>
      <c r="G45" s="638">
        <v>250811</v>
      </c>
      <c r="H45" s="638">
        <v>234581</v>
      </c>
      <c r="I45" s="639">
        <v>48.375999999999998</v>
      </c>
      <c r="J45" s="639">
        <v>48.632199999999997</v>
      </c>
      <c r="K45" s="638"/>
      <c r="L45" s="640"/>
      <c r="M45" s="640"/>
      <c r="N45" s="641">
        <v>5150.93</v>
      </c>
      <c r="O45" s="647">
        <v>23536272.119999997</v>
      </c>
      <c r="P45" s="640">
        <v>4413051.0199999996</v>
      </c>
      <c r="Q45" s="640">
        <v>3530440.8199999994</v>
      </c>
      <c r="R45" s="642">
        <v>0.15</v>
      </c>
      <c r="S45" s="640">
        <v>882610.2</v>
      </c>
      <c r="T45" s="643">
        <v>3.7499999999999999E-2</v>
      </c>
    </row>
    <row r="46" spans="1:20"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row>
    <row r="47" spans="1:20" x14ac:dyDescent="0.25">
      <c r="A47" s="432" t="s">
        <v>28</v>
      </c>
      <c r="B47" s="414" t="s">
        <v>53</v>
      </c>
      <c r="C47" s="415"/>
      <c r="D47" s="416"/>
      <c r="E47" s="416"/>
      <c r="F47" s="217"/>
      <c r="G47" s="409"/>
      <c r="H47" s="409"/>
      <c r="I47" s="417"/>
      <c r="J47" s="417"/>
      <c r="K47" s="409"/>
      <c r="L47" s="409"/>
      <c r="M47" s="409"/>
      <c r="N47" s="409"/>
      <c r="O47" s="409">
        <v>-1146848.5000000005</v>
      </c>
      <c r="P47" s="409">
        <v>-215034.09000000014</v>
      </c>
      <c r="Q47" s="409">
        <v>-172027.2699999999</v>
      </c>
      <c r="R47" s="409"/>
      <c r="S47" s="409">
        <v>-43006.819999999971</v>
      </c>
      <c r="T47" s="199"/>
    </row>
    <row r="48" spans="1:20" x14ac:dyDescent="0.25">
      <c r="A48" s="24"/>
      <c r="B48" s="127" t="s">
        <v>105</v>
      </c>
      <c r="C48" s="25" t="s">
        <v>287</v>
      </c>
      <c r="D48" s="14"/>
      <c r="E48" s="14"/>
      <c r="F48" s="230"/>
      <c r="G48" s="433"/>
      <c r="H48" s="433"/>
      <c r="I48" s="434"/>
      <c r="J48" s="435"/>
      <c r="K48" s="436"/>
      <c r="L48" s="436"/>
      <c r="M48" s="436"/>
      <c r="N48" s="420"/>
      <c r="O48" s="420">
        <v>29872804.809999999</v>
      </c>
      <c r="P48" s="420">
        <v>5601150.9099999992</v>
      </c>
      <c r="Q48" s="420">
        <v>4456043.1899999995</v>
      </c>
      <c r="R48" s="220"/>
      <c r="S48" s="420">
        <v>1145107.72</v>
      </c>
      <c r="T48" s="207"/>
    </row>
    <row r="49" spans="1:24" x14ac:dyDescent="0.25">
      <c r="A49" s="121"/>
      <c r="B49" s="122"/>
      <c r="C49" s="25" t="s">
        <v>288</v>
      </c>
      <c r="D49" s="85"/>
      <c r="E49" s="85"/>
      <c r="F49" s="121"/>
      <c r="G49" s="437"/>
      <c r="H49" s="437"/>
      <c r="I49" s="438"/>
      <c r="J49" s="438"/>
      <c r="K49" s="437"/>
      <c r="L49" s="437"/>
      <c r="M49" s="437"/>
      <c r="N49" s="437"/>
      <c r="O49" s="255"/>
      <c r="P49" s="255">
        <v>18920687.77</v>
      </c>
      <c r="Q49" s="426">
        <v>15052513.9</v>
      </c>
      <c r="R49" s="131"/>
      <c r="S49" s="426">
        <v>3868173.88</v>
      </c>
      <c r="T49" s="123"/>
    </row>
    <row r="50" spans="1:24"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row>
    <row r="51" spans="1:24" x14ac:dyDescent="0.25">
      <c r="A51" s="405" t="s">
        <v>28</v>
      </c>
      <c r="B51" s="17" t="s">
        <v>160</v>
      </c>
      <c r="C51" s="69" t="s">
        <v>31</v>
      </c>
      <c r="D51" s="69" t="s">
        <v>30</v>
      </c>
      <c r="E51" s="69" t="s">
        <v>158</v>
      </c>
      <c r="F51" s="217" t="s">
        <v>36</v>
      </c>
      <c r="G51" s="409">
        <v>708553</v>
      </c>
      <c r="H51" s="409">
        <v>726153</v>
      </c>
      <c r="I51" s="417">
        <v>36.139099999999999</v>
      </c>
      <c r="J51" s="417">
        <v>36.684600000000003</v>
      </c>
      <c r="K51" s="409"/>
      <c r="L51" s="409"/>
      <c r="M51" s="409"/>
      <c r="N51" s="409"/>
      <c r="O51" s="410">
        <v>52245100.066100001</v>
      </c>
      <c r="P51" s="463">
        <v>19456075.260000002</v>
      </c>
      <c r="Q51" s="463">
        <v>9728037.6300000008</v>
      </c>
      <c r="R51" s="199">
        <v>0.5</v>
      </c>
      <c r="S51" s="409"/>
      <c r="T51" s="236"/>
    </row>
    <row r="52" spans="1:24" x14ac:dyDescent="0.25">
      <c r="A52" s="405" t="s">
        <v>28</v>
      </c>
      <c r="B52" s="17" t="s">
        <v>159</v>
      </c>
      <c r="C52" s="69" t="s">
        <v>31</v>
      </c>
      <c r="D52" s="69" t="s">
        <v>30</v>
      </c>
      <c r="E52" s="69" t="s">
        <v>158</v>
      </c>
      <c r="F52" s="217" t="s">
        <v>55</v>
      </c>
      <c r="G52" s="409">
        <v>15069427.794599999</v>
      </c>
      <c r="H52" s="409">
        <v>14346668.873300001</v>
      </c>
      <c r="I52" s="417">
        <v>2.7475000000000001</v>
      </c>
      <c r="J52" s="503">
        <v>2.7416</v>
      </c>
      <c r="K52" s="409"/>
      <c r="L52" s="409"/>
      <c r="M52" s="409"/>
      <c r="N52" s="409"/>
      <c r="O52" s="410">
        <v>80735989.400000006</v>
      </c>
      <c r="P52" s="410">
        <v>30120255.719999999</v>
      </c>
      <c r="Q52" s="410">
        <v>15060127.869999999</v>
      </c>
      <c r="R52" s="199">
        <v>0.5</v>
      </c>
      <c r="S52" s="409"/>
      <c r="T52" s="199"/>
    </row>
    <row r="53" spans="1:24" x14ac:dyDescent="0.25">
      <c r="A53" s="405" t="s">
        <v>28</v>
      </c>
      <c r="B53" s="17" t="s">
        <v>168</v>
      </c>
      <c r="C53" s="69" t="s">
        <v>31</v>
      </c>
      <c r="D53" s="69" t="s">
        <v>30</v>
      </c>
      <c r="E53" s="69" t="s">
        <v>158</v>
      </c>
      <c r="F53" s="217" t="s">
        <v>36</v>
      </c>
      <c r="G53" s="409">
        <v>176408</v>
      </c>
      <c r="H53" s="409">
        <v>173754</v>
      </c>
      <c r="I53" s="417">
        <v>36.135100000000001</v>
      </c>
      <c r="J53" s="417">
        <v>36.683900000000001</v>
      </c>
      <c r="K53" s="409"/>
      <c r="L53" s="409"/>
      <c r="M53" s="409"/>
      <c r="N53" s="409"/>
      <c r="O53" s="410">
        <v>12748495.0814</v>
      </c>
      <c r="P53" s="410">
        <v>5099398.03</v>
      </c>
      <c r="Q53" s="444">
        <v>2549699.02</v>
      </c>
      <c r="R53" s="199">
        <v>0.5</v>
      </c>
      <c r="S53" s="409"/>
      <c r="T53" s="199"/>
    </row>
    <row r="54" spans="1:24" x14ac:dyDescent="0.25">
      <c r="A54" s="405" t="s">
        <v>28</v>
      </c>
      <c r="B54" s="17" t="s">
        <v>169</v>
      </c>
      <c r="C54" s="69" t="s">
        <v>31</v>
      </c>
      <c r="D54" s="69" t="s">
        <v>30</v>
      </c>
      <c r="E54" s="69" t="s">
        <v>158</v>
      </c>
      <c r="F54" s="217" t="s">
        <v>55</v>
      </c>
      <c r="G54" s="409">
        <v>4095731.5869999998</v>
      </c>
      <c r="H54" s="409">
        <v>4109927.3366</v>
      </c>
      <c r="I54" s="417">
        <v>4.4580000000000002</v>
      </c>
      <c r="J54" s="503">
        <v>4.3120000000000003</v>
      </c>
      <c r="K54" s="409"/>
      <c r="L54" s="409"/>
      <c r="M54" s="409"/>
      <c r="N54" s="409"/>
      <c r="O54" s="410">
        <v>35980778.0902652</v>
      </c>
      <c r="P54" s="410">
        <v>13672695.68</v>
      </c>
      <c r="Q54" s="444">
        <v>6836347.8399999999</v>
      </c>
      <c r="R54" s="199">
        <v>0.5</v>
      </c>
      <c r="S54" s="409"/>
      <c r="T54" s="199"/>
    </row>
    <row r="55" spans="1:24" x14ac:dyDescent="0.25">
      <c r="A55" s="405" t="s">
        <v>28</v>
      </c>
      <c r="B55" s="22" t="s">
        <v>175</v>
      </c>
      <c r="C55" s="69" t="s">
        <v>31</v>
      </c>
      <c r="D55" s="69" t="s">
        <v>30</v>
      </c>
      <c r="E55" s="69" t="s">
        <v>158</v>
      </c>
      <c r="F55" s="217" t="s">
        <v>36</v>
      </c>
      <c r="G55" s="409">
        <v>228126</v>
      </c>
      <c r="H55" s="409">
        <v>238988</v>
      </c>
      <c r="I55" s="417">
        <v>34.215499999999999</v>
      </c>
      <c r="J55" s="417">
        <v>34.490400000000001</v>
      </c>
      <c r="K55" s="407"/>
      <c r="L55" s="409"/>
      <c r="M55" s="409"/>
      <c r="N55" s="407"/>
      <c r="O55" s="410">
        <v>16048236.8682</v>
      </c>
      <c r="P55" s="410">
        <v>1070679.8071709999</v>
      </c>
      <c r="Q55" s="444">
        <v>535339.9</v>
      </c>
      <c r="R55" s="199">
        <v>0.5</v>
      </c>
      <c r="S55" s="409"/>
      <c r="T55" s="236"/>
    </row>
    <row r="56" spans="1:24" x14ac:dyDescent="0.25">
      <c r="A56" s="405" t="s">
        <v>28</v>
      </c>
      <c r="B56" s="250" t="s">
        <v>176</v>
      </c>
      <c r="C56" s="69" t="s">
        <v>31</v>
      </c>
      <c r="D56" s="69" t="s">
        <v>30</v>
      </c>
      <c r="E56" s="69" t="s">
        <v>158</v>
      </c>
      <c r="F56" s="217" t="s">
        <v>55</v>
      </c>
      <c r="G56" s="409">
        <v>3790884.5081000002</v>
      </c>
      <c r="H56" s="409">
        <v>4014124.6685000001</v>
      </c>
      <c r="I56" s="417">
        <v>0.86</v>
      </c>
      <c r="J56" s="417">
        <v>0.86</v>
      </c>
      <c r="K56" s="504"/>
      <c r="L56" s="409"/>
      <c r="M56" s="409"/>
      <c r="N56" s="407"/>
      <c r="O56" s="410">
        <v>6712307.8918760009</v>
      </c>
      <c r="P56" s="410">
        <v>741748.78018400003</v>
      </c>
      <c r="Q56" s="444">
        <v>370874.39</v>
      </c>
      <c r="R56" s="199">
        <v>0.5</v>
      </c>
      <c r="S56" s="409"/>
      <c r="T56" s="236"/>
    </row>
    <row r="57" spans="1:24" x14ac:dyDescent="0.25">
      <c r="A57" s="445" t="s">
        <v>28</v>
      </c>
      <c r="B57" s="446" t="s">
        <v>162</v>
      </c>
      <c r="C57" s="447"/>
      <c r="D57" s="447"/>
      <c r="E57" s="448"/>
      <c r="F57" s="190"/>
      <c r="G57" s="239"/>
      <c r="H57" s="240"/>
      <c r="I57" s="240"/>
      <c r="J57" s="241"/>
      <c r="K57" s="241"/>
      <c r="L57" s="241"/>
      <c r="M57" s="155"/>
      <c r="N57" s="155"/>
      <c r="O57" s="410">
        <v>-29802536.390174765</v>
      </c>
      <c r="P57" s="410">
        <v>-3281730.0526779969</v>
      </c>
      <c r="Q57" s="410">
        <v>-1640865.0099999979</v>
      </c>
      <c r="R57" s="123"/>
      <c r="S57" s="156"/>
      <c r="T57" s="123"/>
    </row>
    <row r="58" spans="1:24" x14ac:dyDescent="0.25">
      <c r="A58" s="24"/>
      <c r="B58" s="127" t="s">
        <v>105</v>
      </c>
      <c r="C58" s="25" t="s">
        <v>289</v>
      </c>
      <c r="D58" s="14"/>
      <c r="E58" s="14"/>
      <c r="F58" s="245"/>
      <c r="G58" s="232">
        <v>4095731.5869999998</v>
      </c>
      <c r="H58" s="232">
        <v>4109927.3366</v>
      </c>
      <c r="I58" s="299"/>
      <c r="J58" s="232"/>
      <c r="K58" s="243"/>
      <c r="L58" s="237"/>
      <c r="M58" s="297"/>
      <c r="N58" s="174"/>
      <c r="O58" s="174">
        <v>174668371.00766647</v>
      </c>
      <c r="P58" s="174">
        <v>66879123.224677004</v>
      </c>
      <c r="Q58" s="174">
        <v>33439561.640000001</v>
      </c>
      <c r="R58" s="498"/>
      <c r="S58" s="162"/>
      <c r="T58" s="123"/>
    </row>
    <row r="59" spans="1:24" x14ac:dyDescent="0.25">
      <c r="A59" s="121"/>
      <c r="B59" s="122"/>
      <c r="C59" s="25" t="s">
        <v>290</v>
      </c>
      <c r="D59" s="85"/>
      <c r="E59" s="85"/>
      <c r="F59" s="245"/>
      <c r="G59" s="233">
        <v>4.4580000000000002</v>
      </c>
      <c r="H59" s="233">
        <v>4.3120000000000003</v>
      </c>
      <c r="I59" s="300"/>
      <c r="J59" s="232"/>
      <c r="K59" s="244"/>
      <c r="L59" s="238"/>
      <c r="M59" s="361"/>
      <c r="N59" s="362"/>
      <c r="O59" s="362"/>
      <c r="P59" s="164"/>
      <c r="Q59" s="164">
        <v>112958839.21992001</v>
      </c>
      <c r="R59" s="153"/>
      <c r="S59" s="162"/>
      <c r="T59" s="123"/>
    </row>
    <row r="60" spans="1:24" ht="13" x14ac:dyDescent="0.3">
      <c r="A60" s="8" t="s">
        <v>54</v>
      </c>
      <c r="B60" s="252"/>
      <c r="C60" s="252"/>
      <c r="D60" s="252"/>
      <c r="E60" s="252"/>
      <c r="F60" s="246"/>
      <c r="G60" s="234">
        <v>18258771.414845999</v>
      </c>
      <c r="H60" s="234">
        <v>17722006.6754192</v>
      </c>
      <c r="I60" s="232">
        <v>35980778.0902652</v>
      </c>
      <c r="J60" s="232" t="e">
        <v>#REF!</v>
      </c>
      <c r="K60" s="301" t="e">
        <v>#REF!</v>
      </c>
      <c r="L60" s="302"/>
      <c r="M60" s="255">
        <v>0</v>
      </c>
      <c r="N60" s="255">
        <v>36011.69</v>
      </c>
      <c r="O60" s="255">
        <v>256941734.50099987</v>
      </c>
      <c r="P60" s="426">
        <v>48832286.509999998</v>
      </c>
      <c r="Q60" s="166">
        <v>164955463.66992003</v>
      </c>
      <c r="R60" s="38"/>
      <c r="S60" s="166"/>
      <c r="T60" s="38"/>
    </row>
    <row r="61" spans="1:24" x14ac:dyDescent="0.25">
      <c r="G61" s="251"/>
      <c r="H61" s="251"/>
      <c r="I61" s="251"/>
      <c r="J61" s="251"/>
      <c r="K61" s="251"/>
      <c r="N61" s="477"/>
      <c r="O61" s="460"/>
      <c r="S61" s="290"/>
    </row>
    <row r="62" spans="1:24" x14ac:dyDescent="0.25">
      <c r="A62" s="449" t="s">
        <v>92</v>
      </c>
      <c r="B62" s="251" t="s">
        <v>75</v>
      </c>
      <c r="G62" s="251"/>
      <c r="H62" s="449" t="s">
        <v>76</v>
      </c>
      <c r="I62" s="251"/>
      <c r="J62" s="47"/>
      <c r="K62" s="47"/>
      <c r="N62" s="477"/>
      <c r="O62" s="477"/>
      <c r="P62" s="290"/>
      <c r="Q62" s="47"/>
      <c r="S62" s="47"/>
      <c r="U62" s="251">
        <v>324.85000000000002</v>
      </c>
      <c r="X62" s="251">
        <v>18.75</v>
      </c>
    </row>
    <row r="63" spans="1:24" ht="13" x14ac:dyDescent="0.3">
      <c r="B63" s="97" t="s">
        <v>77</v>
      </c>
      <c r="C63" s="98" t="s">
        <v>78</v>
      </c>
      <c r="D63" s="99"/>
      <c r="E63" s="100" t="s">
        <v>34</v>
      </c>
      <c r="F63" s="100" t="s">
        <v>79</v>
      </c>
      <c r="G63" s="251"/>
      <c r="H63" s="71" t="s">
        <v>34</v>
      </c>
      <c r="I63" s="252"/>
      <c r="J63" s="252"/>
      <c r="K63" s="252"/>
      <c r="L63" s="72"/>
      <c r="N63" s="477"/>
      <c r="O63" s="477"/>
      <c r="P63" s="290"/>
      <c r="Q63" s="47"/>
      <c r="S63" s="47"/>
      <c r="U63" s="251">
        <v>48.727499999999999</v>
      </c>
      <c r="V63" s="251">
        <v>12.181875</v>
      </c>
    </row>
    <row r="64" spans="1:24" ht="13" x14ac:dyDescent="0.3">
      <c r="B64" s="450" t="s">
        <v>80</v>
      </c>
      <c r="C64" s="74" t="s">
        <v>81</v>
      </c>
      <c r="D64" s="451"/>
      <c r="E64" s="76"/>
      <c r="F64" s="76"/>
      <c r="G64" s="251"/>
      <c r="H64" s="77" t="s">
        <v>292</v>
      </c>
      <c r="I64" s="251"/>
      <c r="J64" s="251"/>
      <c r="K64" s="251"/>
      <c r="L64" s="78"/>
      <c r="M64" s="499"/>
      <c r="N64" s="499">
        <v>6.4199999463479832E-2</v>
      </c>
      <c r="O64" s="780">
        <v>6.6099999434369214E-2</v>
      </c>
      <c r="P64" s="500"/>
      <c r="Q64" s="500"/>
      <c r="S64" s="500"/>
      <c r="V64" s="251">
        <v>60.909374999999997</v>
      </c>
    </row>
    <row r="65" spans="1:19" ht="13" x14ac:dyDescent="0.3">
      <c r="B65" s="452" t="s">
        <v>82</v>
      </c>
      <c r="C65" s="80" t="s">
        <v>83</v>
      </c>
      <c r="D65" s="453"/>
      <c r="E65" s="82"/>
      <c r="F65" s="83"/>
      <c r="G65" s="251"/>
      <c r="H65" s="84">
        <v>0</v>
      </c>
      <c r="I65" s="85"/>
      <c r="J65" s="85"/>
      <c r="K65" s="85"/>
      <c r="L65" s="86"/>
      <c r="M65" s="499">
        <v>9.4199999857272176E-2</v>
      </c>
      <c r="N65" s="499">
        <v>9.8900000237297003E-2</v>
      </c>
      <c r="O65" s="780">
        <v>0.10849999884054794</v>
      </c>
      <c r="P65" s="500"/>
      <c r="Q65" s="500"/>
      <c r="S65" s="500"/>
    </row>
    <row r="66" spans="1:19" x14ac:dyDescent="0.25">
      <c r="B66" s="452" t="s">
        <v>84</v>
      </c>
      <c r="C66" s="80" t="s">
        <v>85</v>
      </c>
      <c r="D66" s="453"/>
      <c r="E66" s="82"/>
      <c r="F66" s="82"/>
      <c r="G66" s="251"/>
      <c r="H66" s="251"/>
      <c r="I66" s="454"/>
      <c r="J66" s="251"/>
      <c r="K66" s="251"/>
      <c r="M66" s="499">
        <v>0.39999999969547706</v>
      </c>
      <c r="N66" s="499">
        <v>0.39999999979093542</v>
      </c>
      <c r="O66" s="780">
        <v>0.11240000104167051</v>
      </c>
      <c r="P66" s="290"/>
      <c r="Q66" s="290"/>
    </row>
    <row r="67" spans="1:19" x14ac:dyDescent="0.25">
      <c r="B67" s="452" t="s">
        <v>86</v>
      </c>
      <c r="C67" s="80" t="s">
        <v>87</v>
      </c>
      <c r="D67" s="453"/>
      <c r="E67" s="88"/>
      <c r="F67" s="88"/>
      <c r="G67" s="251"/>
      <c r="H67" s="71" t="s">
        <v>79</v>
      </c>
      <c r="I67" s="89"/>
      <c r="J67" s="252"/>
      <c r="K67" s="252"/>
      <c r="L67" s="72"/>
      <c r="M67" s="499">
        <v>0.38000000287019686</v>
      </c>
      <c r="N67" s="499"/>
      <c r="O67" s="780">
        <v>6.7299999665647259E-2</v>
      </c>
    </row>
    <row r="68" spans="1:19" x14ac:dyDescent="0.25">
      <c r="B68" s="452" t="s">
        <v>88</v>
      </c>
      <c r="C68" s="80" t="s">
        <v>89</v>
      </c>
      <c r="D68" s="453"/>
      <c r="E68" s="90"/>
      <c r="F68" s="83"/>
      <c r="G68" s="251"/>
      <c r="H68" s="77" t="s">
        <v>292</v>
      </c>
      <c r="I68" s="454"/>
      <c r="J68" s="251"/>
      <c r="K68" s="251"/>
      <c r="L68" s="78"/>
      <c r="N68" s="501"/>
      <c r="O68" s="332"/>
    </row>
    <row r="69" spans="1:19" x14ac:dyDescent="0.25">
      <c r="B69" s="455" t="s">
        <v>90</v>
      </c>
      <c r="C69" s="92" t="s">
        <v>91</v>
      </c>
      <c r="D69" s="456"/>
      <c r="E69" s="94"/>
      <c r="F69" s="94"/>
      <c r="G69" s="251"/>
      <c r="H69" s="84">
        <v>0</v>
      </c>
      <c r="I69" s="95"/>
      <c r="J69" s="85"/>
      <c r="K69" s="85"/>
      <c r="L69" s="86"/>
      <c r="M69" s="332"/>
      <c r="N69" s="332"/>
      <c r="O69" s="332"/>
    </row>
    <row r="70" spans="1:19" x14ac:dyDescent="0.25">
      <c r="A70" s="449"/>
      <c r="G70" s="251"/>
      <c r="H70" s="421"/>
      <c r="I70" s="251"/>
      <c r="J70" s="251"/>
      <c r="K70" s="251"/>
      <c r="M70" s="332"/>
      <c r="N70" s="332"/>
      <c r="O70" s="332"/>
    </row>
  </sheetData>
  <mergeCells count="2">
    <mergeCell ref="C7:C8"/>
    <mergeCell ref="O7:O8"/>
  </mergeCells>
  <printOptions horizontalCentered="1" verticalCentered="1"/>
  <pageMargins left="0.25" right="0.25" top="0.5" bottom="0.5" header="0" footer="0"/>
  <pageSetup paperSize="9" scale="59"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0">
    <pageSetUpPr fitToPage="1"/>
  </sheetPr>
  <dimension ref="A1:T80"/>
  <sheetViews>
    <sheetView view="pageBreakPreview" zoomScale="86" zoomScaleNormal="100" zoomScaleSheetLayoutView="86" workbookViewId="0">
      <selection activeCell="A30" sqref="A30"/>
    </sheetView>
  </sheetViews>
  <sheetFormatPr baseColWidth="10" defaultColWidth="8.69140625" defaultRowHeight="12.5" outlineLevelRow="1" x14ac:dyDescent="0.25"/>
  <cols>
    <col min="1" max="1" width="3" style="251" customWidth="1"/>
    <col min="2" max="2" width="13.07421875" style="251" customWidth="1"/>
    <col min="3" max="3" width="7.69140625" style="251" customWidth="1"/>
    <col min="4" max="4" width="8.07421875" style="251" customWidth="1"/>
    <col min="5" max="5" width="8.69140625" style="251" customWidth="1"/>
    <col min="6" max="6" width="8.4609375" style="251" customWidth="1"/>
    <col min="7" max="7" width="11.765625" style="172" customWidth="1"/>
    <col min="8" max="8" width="11.69140625" style="172" customWidth="1"/>
    <col min="9" max="11" width="10.4609375" style="172" customWidth="1"/>
    <col min="12" max="13" width="10.4609375" style="251" customWidth="1"/>
    <col min="14" max="14" width="10.53515625" style="251" customWidth="1"/>
    <col min="15" max="15" width="12.4609375" style="251" customWidth="1"/>
    <col min="16" max="16" width="13.69140625" style="251" customWidth="1"/>
    <col min="17" max="17" width="11.53515625" style="251" customWidth="1"/>
    <col min="18" max="18" width="5.69140625" style="251" customWidth="1"/>
    <col min="19" max="19" width="11.53515625" style="251" customWidth="1"/>
    <col min="20" max="20" width="5.69140625" style="251" customWidth="1"/>
    <col min="21" max="16384" width="8.69140625" style="251"/>
  </cols>
  <sheetData>
    <row r="1" spans="1:20" ht="12.75" customHeight="1" x14ac:dyDescent="0.25">
      <c r="A1" s="251" t="s">
        <v>50</v>
      </c>
      <c r="C1" s="1"/>
      <c r="D1" s="1"/>
      <c r="E1" s="7">
        <v>45931</v>
      </c>
      <c r="F1" s="502" t="s">
        <v>350</v>
      </c>
      <c r="S1" s="251" t="s">
        <v>306</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351</v>
      </c>
      <c r="B4" s="109"/>
      <c r="C4" s="109"/>
      <c r="D4" s="109"/>
      <c r="E4" s="109"/>
      <c r="F4" s="109"/>
      <c r="G4" s="109"/>
      <c r="H4" s="109"/>
      <c r="I4" s="109"/>
      <c r="J4" s="109"/>
      <c r="K4" s="109"/>
      <c r="L4" s="109"/>
      <c r="M4" s="109"/>
      <c r="N4" s="109"/>
      <c r="O4" s="109"/>
      <c r="P4" s="109"/>
      <c r="Q4" s="109"/>
      <c r="R4" s="109"/>
      <c r="S4" s="109"/>
      <c r="T4" s="109"/>
    </row>
    <row r="5" spans="1:20" x14ac:dyDescent="0.25">
      <c r="A5" s="109" t="s">
        <v>352</v>
      </c>
      <c r="B5" s="109"/>
      <c r="C5" s="109"/>
      <c r="D5" s="109"/>
      <c r="E5" s="109"/>
      <c r="F5" s="109"/>
      <c r="G5" s="109"/>
      <c r="H5" s="109"/>
      <c r="I5" s="109"/>
      <c r="J5" s="109"/>
      <c r="K5" s="109"/>
      <c r="L5" s="109"/>
      <c r="M5" s="109"/>
      <c r="N5" s="109"/>
      <c r="O5" s="109"/>
      <c r="P5" s="109"/>
      <c r="Q5" s="496"/>
      <c r="R5" s="109"/>
      <c r="S5" s="109"/>
      <c r="T5" s="109"/>
    </row>
    <row r="6" spans="1:20" x14ac:dyDescent="0.25">
      <c r="E6" s="47"/>
      <c r="F6" s="47"/>
      <c r="G6" s="242"/>
      <c r="H6" s="173"/>
      <c r="Q6" s="496"/>
    </row>
    <row r="7" spans="1:20"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row>
    <row r="8" spans="1:20"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5" t="s">
        <v>28</v>
      </c>
      <c r="B10" s="17" t="s">
        <v>13</v>
      </c>
      <c r="C10" s="69" t="s">
        <v>29</v>
      </c>
      <c r="D10" s="406" t="s">
        <v>21</v>
      </c>
      <c r="E10" s="69" t="s">
        <v>95</v>
      </c>
      <c r="F10" s="223" t="s">
        <v>36</v>
      </c>
      <c r="G10" s="407">
        <v>4665</v>
      </c>
      <c r="H10" s="407">
        <v>5174</v>
      </c>
      <c r="I10" s="408">
        <v>65.372600000000006</v>
      </c>
      <c r="J10" s="408">
        <v>61.7639</v>
      </c>
      <c r="K10" s="409"/>
      <c r="L10" s="409"/>
      <c r="M10" s="409"/>
      <c r="N10" s="458">
        <v>97.73</v>
      </c>
      <c r="O10" s="407">
        <v>624431.87</v>
      </c>
      <c r="P10" s="409">
        <v>117080.98</v>
      </c>
      <c r="Q10" s="409">
        <v>93664.78</v>
      </c>
      <c r="R10" s="199">
        <v>0.15</v>
      </c>
      <c r="S10" s="409">
        <v>23416.2</v>
      </c>
      <c r="T10" s="236">
        <v>3.7499999999999999E-2</v>
      </c>
    </row>
    <row r="11" spans="1:20" ht="12.75" customHeight="1" x14ac:dyDescent="0.25">
      <c r="A11" s="405" t="s">
        <v>28</v>
      </c>
      <c r="B11" s="17" t="s">
        <v>14</v>
      </c>
      <c r="C11" s="69" t="s">
        <v>29</v>
      </c>
      <c r="D11" s="406" t="s">
        <v>21</v>
      </c>
      <c r="E11" s="69" t="s">
        <v>95</v>
      </c>
      <c r="F11" s="223" t="s">
        <v>55</v>
      </c>
      <c r="G11" s="407">
        <v>42453.733699999997</v>
      </c>
      <c r="H11" s="407">
        <v>36961.019999999997</v>
      </c>
      <c r="I11" s="408">
        <v>3.1187998901495919</v>
      </c>
      <c r="J11" s="408">
        <v>3.0063972801616408</v>
      </c>
      <c r="K11" s="409"/>
      <c r="L11" s="409"/>
      <c r="M11" s="409"/>
      <c r="N11" s="458">
        <v>1574.25</v>
      </c>
      <c r="O11" s="407">
        <v>243524.21000000002</v>
      </c>
      <c r="P11" s="407">
        <v>45660.79</v>
      </c>
      <c r="Q11" s="407">
        <v>36528.630000000005</v>
      </c>
      <c r="R11" s="199">
        <v>0.15</v>
      </c>
      <c r="S11" s="407">
        <v>9132.16</v>
      </c>
      <c r="T11" s="236">
        <v>3.7499999999999999E-2</v>
      </c>
    </row>
    <row r="12" spans="1:20" x14ac:dyDescent="0.25">
      <c r="A12" s="405" t="s">
        <v>28</v>
      </c>
      <c r="B12" s="17" t="s">
        <v>3</v>
      </c>
      <c r="C12" s="69" t="s">
        <v>31</v>
      </c>
      <c r="D12" s="406" t="s">
        <v>30</v>
      </c>
      <c r="E12" s="69" t="s">
        <v>98</v>
      </c>
      <c r="F12" s="223" t="s">
        <v>36</v>
      </c>
      <c r="G12" s="407">
        <v>4208</v>
      </c>
      <c r="H12" s="407">
        <v>4191</v>
      </c>
      <c r="I12" s="408">
        <v>64.393199999999993</v>
      </c>
      <c r="J12" s="408">
        <v>62.569899999999997</v>
      </c>
      <c r="K12" s="409"/>
      <c r="L12" s="409"/>
      <c r="M12" s="409"/>
      <c r="N12" s="458">
        <v>789.69</v>
      </c>
      <c r="O12" s="407">
        <v>532407.35000000009</v>
      </c>
      <c r="P12" s="409">
        <v>99826.38</v>
      </c>
      <c r="Q12" s="409">
        <v>79861.100000000006</v>
      </c>
      <c r="R12" s="199">
        <v>0.15</v>
      </c>
      <c r="S12" s="409">
        <v>19965.28</v>
      </c>
      <c r="T12" s="236">
        <v>3.7499999999999999E-2</v>
      </c>
    </row>
    <row r="13" spans="1:20" x14ac:dyDescent="0.25">
      <c r="A13" s="411" t="s">
        <v>28</v>
      </c>
      <c r="B13" s="412" t="s">
        <v>315</v>
      </c>
      <c r="C13" s="223" t="s">
        <v>29</v>
      </c>
      <c r="D13" s="826" t="s">
        <v>21</v>
      </c>
      <c r="E13" s="223" t="s">
        <v>95</v>
      </c>
      <c r="F13" s="223" t="s">
        <v>55</v>
      </c>
      <c r="G13" s="407">
        <v>24238.359499999999</v>
      </c>
      <c r="H13" s="407">
        <v>20776.21</v>
      </c>
      <c r="I13" s="408">
        <v>2.95</v>
      </c>
      <c r="J13" s="408">
        <v>2.95</v>
      </c>
      <c r="K13" s="409"/>
      <c r="L13" s="409"/>
      <c r="M13" s="409"/>
      <c r="N13" s="458">
        <v>2141.09</v>
      </c>
      <c r="O13" s="407">
        <v>130651.89000000001</v>
      </c>
      <c r="P13" s="409">
        <v>24497.23</v>
      </c>
      <c r="Q13" s="409">
        <v>19597.78</v>
      </c>
      <c r="R13" s="199">
        <v>0.15</v>
      </c>
      <c r="S13" s="409">
        <v>4899.45</v>
      </c>
      <c r="T13" s="236">
        <v>3.7499999999999999E-2</v>
      </c>
    </row>
    <row r="14" spans="1:20" x14ac:dyDescent="0.25">
      <c r="A14" s="405" t="s">
        <v>28</v>
      </c>
      <c r="B14" s="17" t="s">
        <v>4</v>
      </c>
      <c r="C14" s="69" t="s">
        <v>31</v>
      </c>
      <c r="D14" s="406" t="s">
        <v>30</v>
      </c>
      <c r="E14" s="69" t="s">
        <v>98</v>
      </c>
      <c r="F14" s="223" t="s">
        <v>36</v>
      </c>
      <c r="G14" s="407">
        <v>39569</v>
      </c>
      <c r="H14" s="407">
        <v>48256</v>
      </c>
      <c r="I14" s="408">
        <v>65.372600000000006</v>
      </c>
      <c r="J14" s="408">
        <v>64.529300000000006</v>
      </c>
      <c r="K14" s="409"/>
      <c r="L14" s="409"/>
      <c r="M14" s="409"/>
      <c r="N14" s="458">
        <v>1164.6300000000001</v>
      </c>
      <c r="O14" s="407">
        <v>5699489.6800000006</v>
      </c>
      <c r="P14" s="409">
        <v>1068654.32</v>
      </c>
      <c r="Q14" s="409">
        <v>854923.45</v>
      </c>
      <c r="R14" s="199">
        <v>0.15</v>
      </c>
      <c r="S14" s="409">
        <v>213730.86</v>
      </c>
      <c r="T14" s="236">
        <v>3.7499999999999999E-2</v>
      </c>
    </row>
    <row r="15" spans="1:20" x14ac:dyDescent="0.25">
      <c r="A15" s="405" t="s">
        <v>28</v>
      </c>
      <c r="B15" s="403" t="s">
        <v>316</v>
      </c>
      <c r="C15" s="223" t="s">
        <v>29</v>
      </c>
      <c r="D15" s="826" t="s">
        <v>21</v>
      </c>
      <c r="E15" s="223" t="s">
        <v>95</v>
      </c>
      <c r="F15" s="223" t="s">
        <v>55</v>
      </c>
      <c r="G15" s="407">
        <v>87783.135699999999</v>
      </c>
      <c r="H15" s="407">
        <v>104011.58</v>
      </c>
      <c r="I15" s="408">
        <v>2.8885999999999998</v>
      </c>
      <c r="J15" s="408">
        <v>2.8885999999999998</v>
      </c>
      <c r="K15" s="409"/>
      <c r="L15" s="409"/>
      <c r="M15" s="409"/>
      <c r="N15" s="409"/>
      <c r="O15" s="410">
        <v>554018.22</v>
      </c>
      <c r="P15" s="409">
        <v>103878.42</v>
      </c>
      <c r="Q15" s="409">
        <v>83102.73</v>
      </c>
      <c r="R15" s="199">
        <v>0.15</v>
      </c>
      <c r="S15" s="409">
        <v>20775.68</v>
      </c>
      <c r="T15" s="236">
        <v>3.7499999999999999E-2</v>
      </c>
    </row>
    <row r="16" spans="1:20" x14ac:dyDescent="0.25">
      <c r="A16" s="405" t="s">
        <v>28</v>
      </c>
      <c r="B16" s="17" t="s">
        <v>5</v>
      </c>
      <c r="C16" s="69" t="s">
        <v>31</v>
      </c>
      <c r="D16" s="406" t="s">
        <v>30</v>
      </c>
      <c r="E16" s="69" t="s">
        <v>98</v>
      </c>
      <c r="F16" s="223" t="s">
        <v>36</v>
      </c>
      <c r="G16" s="407">
        <v>54342</v>
      </c>
      <c r="H16" s="407">
        <v>71905.399999999994</v>
      </c>
      <c r="I16" s="408">
        <v>65.372600000000006</v>
      </c>
      <c r="J16" s="408">
        <v>2.9016999999999999</v>
      </c>
      <c r="K16" s="409"/>
      <c r="L16" s="409"/>
      <c r="M16" s="409"/>
      <c r="N16" s="458">
        <v>2055.96</v>
      </c>
      <c r="O16" s="407">
        <v>3759069.77</v>
      </c>
      <c r="P16" s="409">
        <v>704825.58</v>
      </c>
      <c r="Q16" s="409">
        <v>563860.47</v>
      </c>
      <c r="R16" s="199">
        <v>0.15</v>
      </c>
      <c r="S16" s="409">
        <v>140965.12</v>
      </c>
      <c r="T16" s="236">
        <v>3.7499999999999999E-2</v>
      </c>
    </row>
    <row r="17" spans="1:20" x14ac:dyDescent="0.25">
      <c r="A17" s="405" t="s">
        <v>28</v>
      </c>
      <c r="B17" s="17" t="s">
        <v>317</v>
      </c>
      <c r="C17" s="69" t="s">
        <v>31</v>
      </c>
      <c r="D17" s="406" t="s">
        <v>30</v>
      </c>
      <c r="E17" s="69" t="s">
        <v>98</v>
      </c>
      <c r="F17" s="223" t="s">
        <v>55</v>
      </c>
      <c r="G17" s="407">
        <v>65513.2212</v>
      </c>
      <c r="H17" s="407">
        <v>57309</v>
      </c>
      <c r="I17" s="408">
        <v>2.9016999999999999</v>
      </c>
      <c r="J17" s="408">
        <v>64.529300000000006</v>
      </c>
      <c r="K17" s="409"/>
      <c r="L17" s="409"/>
      <c r="M17" s="409"/>
      <c r="N17" s="458">
        <v>601.69000000000005</v>
      </c>
      <c r="O17" s="407">
        <v>3887607.67</v>
      </c>
      <c r="P17" s="409">
        <v>728926.44</v>
      </c>
      <c r="Q17" s="409">
        <v>583141.15</v>
      </c>
      <c r="R17" s="199">
        <v>0.15</v>
      </c>
      <c r="S17" s="409">
        <v>145785.29</v>
      </c>
      <c r="T17" s="236">
        <v>3.7499999999999999E-2</v>
      </c>
    </row>
    <row r="18" spans="1:20" x14ac:dyDescent="0.25">
      <c r="A18" s="405" t="s">
        <v>28</v>
      </c>
      <c r="B18" s="17" t="s">
        <v>17</v>
      </c>
      <c r="C18" s="69" t="s">
        <v>29</v>
      </c>
      <c r="D18" s="406" t="s">
        <v>21</v>
      </c>
      <c r="E18" s="69" t="s">
        <v>95</v>
      </c>
      <c r="F18" s="223" t="s">
        <v>36</v>
      </c>
      <c r="G18" s="407">
        <v>2249</v>
      </c>
      <c r="H18" s="407">
        <v>2486</v>
      </c>
      <c r="I18" s="408">
        <v>64.448800000000006</v>
      </c>
      <c r="J18" s="408">
        <v>62.6571</v>
      </c>
      <c r="K18" s="409"/>
      <c r="L18" s="409"/>
      <c r="M18" s="409"/>
      <c r="N18" s="458">
        <v>516.03</v>
      </c>
      <c r="O18" s="410">
        <v>300194.87</v>
      </c>
      <c r="P18" s="409">
        <v>56286.54</v>
      </c>
      <c r="Q18" s="409">
        <v>45029.23</v>
      </c>
      <c r="R18" s="199">
        <v>0.15</v>
      </c>
      <c r="S18" s="409">
        <v>11257.31</v>
      </c>
      <c r="T18" s="236">
        <v>3.7499999999999999E-2</v>
      </c>
    </row>
    <row r="19" spans="1:20" x14ac:dyDescent="0.25">
      <c r="A19" s="468" t="s">
        <v>28</v>
      </c>
      <c r="B19" s="403" t="s">
        <v>293</v>
      </c>
      <c r="C19" s="469" t="s">
        <v>31</v>
      </c>
      <c r="D19" s="470" t="s">
        <v>30</v>
      </c>
      <c r="E19" s="469" t="s">
        <v>95</v>
      </c>
      <c r="F19" s="223" t="s">
        <v>36</v>
      </c>
      <c r="G19" s="407">
        <v>22320</v>
      </c>
      <c r="H19" s="407">
        <v>10938</v>
      </c>
      <c r="I19" s="417">
        <v>65.372600000000006</v>
      </c>
      <c r="J19" s="408">
        <v>61.7639</v>
      </c>
      <c r="K19" s="409"/>
      <c r="L19" s="409"/>
      <c r="M19" s="409"/>
      <c r="N19" s="458">
        <v>418.3</v>
      </c>
      <c r="O19" s="410">
        <v>2134271.67</v>
      </c>
      <c r="P19" s="409">
        <v>400175.94</v>
      </c>
      <c r="Q19" s="409">
        <v>320140.75</v>
      </c>
      <c r="R19" s="199">
        <v>0.15</v>
      </c>
      <c r="S19" s="409">
        <v>80035.19</v>
      </c>
      <c r="T19" s="236">
        <v>3.7499999999999999E-2</v>
      </c>
    </row>
    <row r="20" spans="1:20" x14ac:dyDescent="0.25">
      <c r="A20" s="468" t="s">
        <v>28</v>
      </c>
      <c r="B20" s="403" t="s">
        <v>294</v>
      </c>
      <c r="C20" s="469" t="s">
        <v>31</v>
      </c>
      <c r="D20" s="470" t="s">
        <v>30</v>
      </c>
      <c r="E20" s="469" t="s">
        <v>95</v>
      </c>
      <c r="F20" s="223" t="s">
        <v>55</v>
      </c>
      <c r="G20" s="407">
        <v>55023.612000000001</v>
      </c>
      <c r="H20" s="407">
        <v>22510.58</v>
      </c>
      <c r="I20" s="417">
        <v>3.0558000000000001</v>
      </c>
      <c r="J20" s="408">
        <v>3.0558000000000001</v>
      </c>
      <c r="K20" s="409"/>
      <c r="L20" s="409"/>
      <c r="M20" s="409"/>
      <c r="N20" s="458">
        <v>179.83</v>
      </c>
      <c r="O20" s="410">
        <v>236749.15</v>
      </c>
      <c r="P20" s="409">
        <v>44390.47</v>
      </c>
      <c r="Q20" s="409">
        <v>35512.370000000003</v>
      </c>
      <c r="R20" s="199">
        <v>0.15</v>
      </c>
      <c r="S20" s="409">
        <v>8878.09</v>
      </c>
      <c r="T20" s="236">
        <v>3.7499999999999999E-2</v>
      </c>
    </row>
    <row r="21" spans="1:20" x14ac:dyDescent="0.25">
      <c r="A21" s="468" t="s">
        <v>28</v>
      </c>
      <c r="B21" s="403" t="s">
        <v>295</v>
      </c>
      <c r="C21" s="469" t="s">
        <v>31</v>
      </c>
      <c r="D21" s="470" t="s">
        <v>30</v>
      </c>
      <c r="E21" s="469" t="s">
        <v>95</v>
      </c>
      <c r="F21" s="223" t="s">
        <v>36</v>
      </c>
      <c r="G21" s="407">
        <v>14536</v>
      </c>
      <c r="H21" s="407">
        <v>19310</v>
      </c>
      <c r="I21" s="417">
        <v>64.448800000000006</v>
      </c>
      <c r="J21" s="408">
        <v>62.6571</v>
      </c>
      <c r="K21" s="409"/>
      <c r="L21" s="409"/>
      <c r="M21" s="409"/>
      <c r="N21" s="458">
        <v>304.93</v>
      </c>
      <c r="O21" s="410">
        <v>2146431.4300000002</v>
      </c>
      <c r="P21" s="409">
        <v>402455.89</v>
      </c>
      <c r="Q21" s="409">
        <v>321964.71000000002</v>
      </c>
      <c r="R21" s="199">
        <v>0.15</v>
      </c>
      <c r="S21" s="409">
        <v>80491.179999999993</v>
      </c>
      <c r="T21" s="236">
        <v>3.7499999999999999E-2</v>
      </c>
    </row>
    <row r="22" spans="1:20" x14ac:dyDescent="0.25">
      <c r="A22" s="405" t="s">
        <v>28</v>
      </c>
      <c r="B22" s="17" t="s">
        <v>18</v>
      </c>
      <c r="C22" s="69" t="s">
        <v>31</v>
      </c>
      <c r="D22" s="406" t="s">
        <v>30</v>
      </c>
      <c r="E22" s="69" t="s">
        <v>98</v>
      </c>
      <c r="F22" s="223" t="s">
        <v>36</v>
      </c>
      <c r="G22" s="407">
        <v>1188</v>
      </c>
      <c r="H22" s="407">
        <v>3779</v>
      </c>
      <c r="I22" s="408">
        <v>65.372600000000006</v>
      </c>
      <c r="J22" s="408">
        <v>64.529300000000006</v>
      </c>
      <c r="K22" s="409"/>
      <c r="L22" s="409"/>
      <c r="M22" s="409"/>
      <c r="N22" s="458">
        <v>328.38</v>
      </c>
      <c r="O22" s="410">
        <v>321190.49</v>
      </c>
      <c r="P22" s="409">
        <v>60223.22</v>
      </c>
      <c r="Q22" s="409">
        <v>48178.57</v>
      </c>
      <c r="R22" s="199">
        <v>0.15</v>
      </c>
      <c r="S22" s="409">
        <v>12044.64</v>
      </c>
      <c r="T22" s="236">
        <v>3.7499999999999999E-2</v>
      </c>
    </row>
    <row r="23" spans="1:20" x14ac:dyDescent="0.25">
      <c r="A23" s="405" t="s">
        <v>28</v>
      </c>
      <c r="B23" s="17" t="s">
        <v>20</v>
      </c>
      <c r="C23" s="69" t="s">
        <v>31</v>
      </c>
      <c r="D23" s="406" t="s">
        <v>30</v>
      </c>
      <c r="E23" s="69" t="s">
        <v>98</v>
      </c>
      <c r="F23" s="223" t="s">
        <v>36</v>
      </c>
      <c r="G23" s="407">
        <v>124771</v>
      </c>
      <c r="H23" s="407">
        <v>132746</v>
      </c>
      <c r="I23" s="408">
        <v>66.309200000000004</v>
      </c>
      <c r="J23" s="408">
        <v>64.597099999999998</v>
      </c>
      <c r="K23" s="409"/>
      <c r="L23" s="409"/>
      <c r="M23" s="409"/>
      <c r="N23" s="458">
        <v>664.24</v>
      </c>
      <c r="O23" s="410">
        <v>16847807.590000004</v>
      </c>
      <c r="P23" s="409">
        <v>3158963.92</v>
      </c>
      <c r="Q23" s="409">
        <v>2527171.14</v>
      </c>
      <c r="R23" s="199">
        <v>0.15</v>
      </c>
      <c r="S23" s="409">
        <v>631792.78</v>
      </c>
      <c r="T23" s="236">
        <v>3.7499999999999999E-2</v>
      </c>
    </row>
    <row r="24" spans="1:20" x14ac:dyDescent="0.25">
      <c r="A24" s="405" t="s">
        <v>28</v>
      </c>
      <c r="B24" s="17" t="s">
        <v>318</v>
      </c>
      <c r="C24" s="69" t="s">
        <v>31</v>
      </c>
      <c r="D24" s="406" t="s">
        <v>21</v>
      </c>
      <c r="E24" s="69" t="s">
        <v>98</v>
      </c>
      <c r="F24" s="223" t="s">
        <v>55</v>
      </c>
      <c r="G24" s="407">
        <v>207584.71</v>
      </c>
      <c r="H24" s="407">
        <v>224930.68</v>
      </c>
      <c r="I24" s="408">
        <v>3.1</v>
      </c>
      <c r="J24" s="408">
        <v>3.1</v>
      </c>
      <c r="K24" s="409"/>
      <c r="L24" s="409"/>
      <c r="M24" s="409"/>
      <c r="N24" s="458">
        <v>632.96</v>
      </c>
      <c r="O24" s="410">
        <v>1340164.75</v>
      </c>
      <c r="P24" s="409">
        <v>251280.89</v>
      </c>
      <c r="Q24" s="409">
        <v>201024.71</v>
      </c>
      <c r="R24" s="199">
        <v>0.15</v>
      </c>
      <c r="S24" s="409">
        <v>50256.18</v>
      </c>
      <c r="T24" s="236">
        <v>3.7499999999999999E-2</v>
      </c>
    </row>
    <row r="25" spans="1:20" x14ac:dyDescent="0.25">
      <c r="A25" s="405" t="s">
        <v>28</v>
      </c>
      <c r="B25" s="17" t="s">
        <v>9</v>
      </c>
      <c r="C25" s="69" t="s">
        <v>31</v>
      </c>
      <c r="D25" s="406" t="s">
        <v>30</v>
      </c>
      <c r="E25" s="69" t="s">
        <v>98</v>
      </c>
      <c r="F25" s="223" t="s">
        <v>36</v>
      </c>
      <c r="G25" s="407">
        <v>0</v>
      </c>
      <c r="H25" s="407"/>
      <c r="I25" s="408">
        <v>0</v>
      </c>
      <c r="J25" s="408"/>
      <c r="K25" s="409"/>
      <c r="L25" s="409"/>
      <c r="M25" s="409"/>
      <c r="N25" s="458"/>
      <c r="O25" s="410">
        <v>0</v>
      </c>
      <c r="P25" s="409">
        <v>0</v>
      </c>
      <c r="Q25" s="409">
        <v>0</v>
      </c>
      <c r="R25" s="199">
        <v>0.15</v>
      </c>
      <c r="S25" s="409">
        <v>0</v>
      </c>
      <c r="T25" s="236">
        <v>3.7499999999999999E-2</v>
      </c>
    </row>
    <row r="26" spans="1:20" x14ac:dyDescent="0.25">
      <c r="A26" s="405" t="s">
        <v>28</v>
      </c>
      <c r="B26" s="17" t="s">
        <v>165</v>
      </c>
      <c r="C26" s="69" t="s">
        <v>31</v>
      </c>
      <c r="D26" s="406" t="s">
        <v>30</v>
      </c>
      <c r="E26" s="69" t="s">
        <v>98</v>
      </c>
      <c r="F26" s="223" t="s">
        <v>36</v>
      </c>
      <c r="G26" s="407">
        <v>12200</v>
      </c>
      <c r="H26" s="407">
        <v>13067</v>
      </c>
      <c r="I26" s="408">
        <v>62.372599999999998</v>
      </c>
      <c r="J26" s="408">
        <v>64.449299999999994</v>
      </c>
      <c r="K26" s="409"/>
      <c r="L26" s="409"/>
      <c r="M26" s="409"/>
      <c r="N26" s="458">
        <v>3401.12</v>
      </c>
      <c r="O26" s="410">
        <v>1599703.5999999999</v>
      </c>
      <c r="P26" s="409">
        <v>299944.43</v>
      </c>
      <c r="Q26" s="409">
        <v>239955.54</v>
      </c>
      <c r="R26" s="199">
        <v>0.15</v>
      </c>
      <c r="S26" s="409">
        <v>59988.89</v>
      </c>
      <c r="T26" s="236">
        <v>3.7499999999999999E-2</v>
      </c>
    </row>
    <row r="27" spans="1:20" x14ac:dyDescent="0.25">
      <c r="A27" s="405" t="s">
        <v>28</v>
      </c>
      <c r="B27" s="17" t="s">
        <v>157</v>
      </c>
      <c r="C27" s="69" t="s">
        <v>31</v>
      </c>
      <c r="D27" s="406" t="s">
        <v>30</v>
      </c>
      <c r="E27" s="69" t="s">
        <v>98</v>
      </c>
      <c r="F27" s="223" t="s">
        <v>55</v>
      </c>
      <c r="G27" s="458">
        <v>372796.73220000003</v>
      </c>
      <c r="H27" s="458">
        <v>483855.95</v>
      </c>
      <c r="I27" s="417">
        <v>2.9060432306010431</v>
      </c>
      <c r="J27" s="417">
        <v>2.9926773247285685</v>
      </c>
      <c r="K27" s="409"/>
      <c r="L27" s="409"/>
      <c r="M27" s="409"/>
      <c r="N27" s="410">
        <v>2609.87</v>
      </c>
      <c r="O27" s="410">
        <v>2531388.15</v>
      </c>
      <c r="P27" s="410">
        <v>474635.27999999997</v>
      </c>
      <c r="Q27" s="409">
        <v>379708.22</v>
      </c>
      <c r="R27" s="199">
        <v>0.15</v>
      </c>
      <c r="S27" s="410">
        <v>94927.050000000017</v>
      </c>
      <c r="T27" s="236">
        <v>3.7499999999999999E-2</v>
      </c>
    </row>
    <row r="28" spans="1:20" x14ac:dyDescent="0.25">
      <c r="A28" s="405" t="s">
        <v>28</v>
      </c>
      <c r="B28" s="17" t="s">
        <v>170</v>
      </c>
      <c r="C28" s="69" t="s">
        <v>31</v>
      </c>
      <c r="D28" s="406" t="s">
        <v>30</v>
      </c>
      <c r="E28" s="69" t="s">
        <v>98</v>
      </c>
      <c r="F28" s="223" t="s">
        <v>36</v>
      </c>
      <c r="G28" s="407">
        <v>105</v>
      </c>
      <c r="H28" s="407">
        <v>104</v>
      </c>
      <c r="I28" s="408">
        <v>65.372600000000006</v>
      </c>
      <c r="J28" s="408">
        <v>64.529300000000006</v>
      </c>
      <c r="K28" s="409"/>
      <c r="L28" s="409"/>
      <c r="M28" s="409"/>
      <c r="N28" s="458">
        <v>211.1</v>
      </c>
      <c r="O28" s="410">
        <v>13364.07</v>
      </c>
      <c r="P28" s="409">
        <v>2505.7600000000002</v>
      </c>
      <c r="Q28" s="409">
        <v>501.15</v>
      </c>
      <c r="R28" s="236">
        <v>3.7499999999999999E-2</v>
      </c>
      <c r="S28" s="409">
        <v>2004.61</v>
      </c>
      <c r="T28" s="199">
        <v>0.15</v>
      </c>
    </row>
    <row r="29" spans="1:20" x14ac:dyDescent="0.25">
      <c r="A29" s="405" t="s">
        <v>28</v>
      </c>
      <c r="B29" s="17" t="s">
        <v>319</v>
      </c>
      <c r="C29" s="69" t="s">
        <v>31</v>
      </c>
      <c r="D29" s="406" t="s">
        <v>30</v>
      </c>
      <c r="E29" s="69" t="s">
        <v>98</v>
      </c>
      <c r="F29" s="223" t="s">
        <v>36</v>
      </c>
      <c r="G29" s="407">
        <v>62541</v>
      </c>
      <c r="H29" s="407"/>
      <c r="I29" s="408">
        <v>58.282600000000002</v>
      </c>
      <c r="J29" s="408"/>
      <c r="K29" s="409"/>
      <c r="L29" s="409"/>
      <c r="M29" s="409"/>
      <c r="N29" s="458">
        <v>1071.1600000000001</v>
      </c>
      <c r="O29" s="410">
        <v>3643980.9299999997</v>
      </c>
      <c r="P29" s="409">
        <v>683246.42</v>
      </c>
      <c r="Q29" s="409">
        <v>136649.28</v>
      </c>
      <c r="R29" s="236">
        <v>3.7499999999999999E-2</v>
      </c>
      <c r="S29" s="409">
        <v>546597.14</v>
      </c>
      <c r="T29" s="199">
        <v>0.15</v>
      </c>
    </row>
    <row r="30" spans="1:20" x14ac:dyDescent="0.25">
      <c r="A30" s="413" t="s">
        <v>28</v>
      </c>
      <c r="B30" s="414" t="s">
        <v>296</v>
      </c>
      <c r="C30" s="69" t="s">
        <v>31</v>
      </c>
      <c r="D30" s="406" t="s">
        <v>30</v>
      </c>
      <c r="E30" s="69" t="s">
        <v>98</v>
      </c>
      <c r="F30" s="223" t="s">
        <v>36</v>
      </c>
      <c r="G30" s="458">
        <v>39315</v>
      </c>
      <c r="H30" s="458">
        <v>59063</v>
      </c>
      <c r="I30" s="408">
        <v>64.248199999999997</v>
      </c>
      <c r="J30" s="408">
        <v>63.684199999999997</v>
      </c>
      <c r="K30" s="407"/>
      <c r="L30" s="409"/>
      <c r="M30" s="409"/>
      <c r="N30" s="458">
        <v>2382.17</v>
      </c>
      <c r="O30" s="410">
        <v>6284915.71</v>
      </c>
      <c r="P30" s="409">
        <v>1178421.7</v>
      </c>
      <c r="Q30" s="409">
        <v>942737.36</v>
      </c>
      <c r="R30" s="227">
        <v>0.15</v>
      </c>
      <c r="S30" s="409">
        <v>235684.34</v>
      </c>
      <c r="T30" s="236">
        <v>3.7499999999999999E-2</v>
      </c>
    </row>
    <row r="31" spans="1:20" x14ac:dyDescent="0.25">
      <c r="A31" s="413" t="s">
        <v>28</v>
      </c>
      <c r="B31" s="414" t="s">
        <v>297</v>
      </c>
      <c r="C31" s="69" t="s">
        <v>31</v>
      </c>
      <c r="D31" s="406" t="s">
        <v>30</v>
      </c>
      <c r="E31" s="69" t="s">
        <v>98</v>
      </c>
      <c r="F31" s="223" t="s">
        <v>55</v>
      </c>
      <c r="G31" s="458">
        <v>147927.76999999999</v>
      </c>
      <c r="H31" s="458"/>
      <c r="I31" s="417">
        <v>2.5901895229002641</v>
      </c>
      <c r="J31" s="417"/>
      <c r="K31" s="407"/>
      <c r="L31" s="409"/>
      <c r="M31" s="409"/>
      <c r="N31" s="458"/>
      <c r="O31" s="410">
        <v>755820.22</v>
      </c>
      <c r="P31" s="410">
        <v>141716.29</v>
      </c>
      <c r="Q31" s="409">
        <v>113373.03</v>
      </c>
      <c r="R31" s="227">
        <v>0.15</v>
      </c>
      <c r="S31" s="409">
        <v>28343.25</v>
      </c>
      <c r="T31" s="236">
        <v>3.7499999999999999E-2</v>
      </c>
    </row>
    <row r="32" spans="1:20" x14ac:dyDescent="0.25">
      <c r="A32" s="413" t="s">
        <v>28</v>
      </c>
      <c r="B32" s="414" t="s">
        <v>298</v>
      </c>
      <c r="C32" s="69" t="s">
        <v>31</v>
      </c>
      <c r="D32" s="406" t="s">
        <v>30</v>
      </c>
      <c r="E32" s="69" t="s">
        <v>98</v>
      </c>
      <c r="F32" s="223" t="s">
        <v>36</v>
      </c>
      <c r="G32" s="458">
        <v>8740</v>
      </c>
      <c r="H32" s="458">
        <v>9511</v>
      </c>
      <c r="I32" s="408">
        <v>34.4938</v>
      </c>
      <c r="J32" s="408">
        <v>34.251399999999997</v>
      </c>
      <c r="K32" s="407"/>
      <c r="L32" s="409"/>
      <c r="M32" s="409"/>
      <c r="N32" s="458">
        <v>1051.6099999999999</v>
      </c>
      <c r="O32" s="410">
        <v>626189.27</v>
      </c>
      <c r="P32" s="409">
        <v>117410.49</v>
      </c>
      <c r="Q32" s="409">
        <v>93928.39</v>
      </c>
      <c r="R32" s="227">
        <v>0.15</v>
      </c>
      <c r="S32" s="409">
        <v>23482.1</v>
      </c>
      <c r="T32" s="236">
        <v>3.7499999999999999E-2</v>
      </c>
    </row>
    <row r="33" spans="1:20" x14ac:dyDescent="0.25">
      <c r="A33" s="413" t="s">
        <v>28</v>
      </c>
      <c r="B33" s="414" t="s">
        <v>51</v>
      </c>
      <c r="C33" s="415"/>
      <c r="D33" s="415"/>
      <c r="E33" s="416"/>
      <c r="F33" s="223"/>
      <c r="G33" s="409"/>
      <c r="H33" s="409"/>
      <c r="I33" s="417"/>
      <c r="J33" s="417"/>
      <c r="K33" s="409"/>
      <c r="L33" s="409"/>
      <c r="M33" s="497"/>
      <c r="N33" s="409"/>
      <c r="O33" s="508">
        <v>25359.84</v>
      </c>
      <c r="P33" s="508">
        <v>4754.9599999999791</v>
      </c>
      <c r="Q33" s="508">
        <v>3803.9600000000014</v>
      </c>
      <c r="R33" s="227"/>
      <c r="S33" s="508">
        <v>950.98000000000104</v>
      </c>
      <c r="T33" s="199"/>
    </row>
    <row r="34" spans="1:20" x14ac:dyDescent="0.25">
      <c r="A34" s="24"/>
      <c r="B34" s="127" t="s">
        <v>105</v>
      </c>
      <c r="C34" s="25" t="s">
        <v>283</v>
      </c>
      <c r="D34" s="30"/>
      <c r="E34" s="31"/>
      <c r="F34" s="224"/>
      <c r="G34" s="418"/>
      <c r="H34" s="418"/>
      <c r="I34" s="419"/>
      <c r="J34" s="419"/>
      <c r="K34" s="418"/>
      <c r="L34" s="418"/>
      <c r="M34" s="418"/>
      <c r="N34" s="420"/>
      <c r="O34" s="420">
        <v>54238732.400000006</v>
      </c>
      <c r="P34" s="420">
        <v>10169762.34</v>
      </c>
      <c r="Q34" s="420">
        <v>7724358.5</v>
      </c>
      <c r="R34" s="207"/>
      <c r="S34" s="420">
        <v>2445403.77</v>
      </c>
      <c r="T34" s="476">
        <v>0</v>
      </c>
    </row>
    <row r="35" spans="1:20" x14ac:dyDescent="0.25">
      <c r="A35" s="102"/>
      <c r="B35" s="265"/>
      <c r="C35" s="25" t="s">
        <v>284</v>
      </c>
      <c r="D35" s="415"/>
      <c r="E35" s="415"/>
      <c r="F35" s="115"/>
      <c r="G35" s="421"/>
      <c r="H35" s="421"/>
      <c r="I35" s="422"/>
      <c r="J35" s="422"/>
      <c r="K35" s="421"/>
      <c r="L35" s="421"/>
      <c r="M35" s="421"/>
      <c r="N35" s="421"/>
      <c r="O35" s="423"/>
      <c r="P35" s="424">
        <v>34373796.710000001</v>
      </c>
      <c r="Q35" s="425">
        <v>26108331.73</v>
      </c>
      <c r="R35" s="117"/>
      <c r="S35" s="426">
        <v>8265464.7400000002</v>
      </c>
      <c r="T35" s="131"/>
    </row>
    <row r="36" spans="1:20" ht="13" x14ac:dyDescent="0.3">
      <c r="A36" s="257" t="s">
        <v>22</v>
      </c>
      <c r="B36" s="11"/>
      <c r="C36" s="41"/>
      <c r="D36" s="41"/>
      <c r="E36" s="12"/>
      <c r="F36" s="27"/>
      <c r="G36" s="427"/>
      <c r="H36" s="427"/>
      <c r="I36" s="428"/>
      <c r="J36" s="428"/>
      <c r="K36" s="427"/>
      <c r="L36" s="427"/>
      <c r="M36" s="427"/>
      <c r="N36" s="427"/>
      <c r="O36" s="429"/>
      <c r="P36" s="427"/>
      <c r="Q36" s="211" t="s">
        <v>48</v>
      </c>
      <c r="R36" s="189"/>
      <c r="S36" s="430"/>
      <c r="T36" s="261"/>
    </row>
    <row r="37" spans="1:20" x14ac:dyDescent="0.25">
      <c r="A37" s="413" t="s">
        <v>28</v>
      </c>
      <c r="B37" s="22">
        <v>131</v>
      </c>
      <c r="C37" s="69" t="s">
        <v>31</v>
      </c>
      <c r="D37" s="406" t="s">
        <v>30</v>
      </c>
      <c r="E37" s="69" t="s">
        <v>98</v>
      </c>
      <c r="F37" s="190" t="s">
        <v>36</v>
      </c>
      <c r="G37" s="407">
        <v>7171</v>
      </c>
      <c r="H37" s="407">
        <v>9171</v>
      </c>
      <c r="I37" s="408">
        <v>52.683700000000002</v>
      </c>
      <c r="J37" s="408">
        <v>51.523800000000001</v>
      </c>
      <c r="K37" s="409"/>
      <c r="L37" s="409"/>
      <c r="M37" s="409"/>
      <c r="N37" s="458">
        <v>4222.08</v>
      </c>
      <c r="O37" s="410">
        <v>846097.50000000012</v>
      </c>
      <c r="P37" s="409">
        <v>126914.63</v>
      </c>
      <c r="Q37" s="409">
        <v>126914.63</v>
      </c>
      <c r="R37" s="199">
        <v>0.15</v>
      </c>
      <c r="S37" s="431"/>
      <c r="T37" s="202"/>
    </row>
    <row r="38" spans="1:20"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row>
    <row r="39" spans="1:20" x14ac:dyDescent="0.25">
      <c r="A39" s="24"/>
      <c r="B39" s="127" t="s">
        <v>105</v>
      </c>
      <c r="C39" s="25" t="s">
        <v>285</v>
      </c>
      <c r="D39" s="30"/>
      <c r="E39" s="31"/>
      <c r="F39" s="30"/>
      <c r="G39" s="418"/>
      <c r="H39" s="418"/>
      <c r="I39" s="419"/>
      <c r="J39" s="419"/>
      <c r="K39" s="418"/>
      <c r="L39" s="418"/>
      <c r="M39" s="418"/>
      <c r="N39" s="418"/>
      <c r="O39" s="420">
        <v>846097.50000000012</v>
      </c>
      <c r="P39" s="420">
        <v>126914.63</v>
      </c>
      <c r="Q39" s="420">
        <v>126914.63</v>
      </c>
      <c r="R39" s="207"/>
      <c r="S39" s="420">
        <v>0</v>
      </c>
      <c r="T39" s="207"/>
    </row>
    <row r="40" spans="1:20" x14ac:dyDescent="0.25">
      <c r="A40" s="102"/>
      <c r="B40" s="265"/>
      <c r="C40" s="25" t="s">
        <v>286</v>
      </c>
      <c r="D40" s="415"/>
      <c r="E40" s="415"/>
      <c r="F40" s="115"/>
      <c r="G40" s="421"/>
      <c r="H40" s="421"/>
      <c r="I40" s="422"/>
      <c r="J40" s="422"/>
      <c r="K40" s="421"/>
      <c r="L40" s="421"/>
      <c r="M40" s="421"/>
      <c r="N40" s="421"/>
      <c r="O40" s="423"/>
      <c r="P40" s="424">
        <v>428971.45</v>
      </c>
      <c r="Q40" s="425">
        <v>428971.45</v>
      </c>
      <c r="R40" s="117"/>
      <c r="S40" s="424">
        <v>0</v>
      </c>
      <c r="T40" s="117"/>
    </row>
    <row r="41" spans="1:20"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row>
    <row r="42" spans="1:20" x14ac:dyDescent="0.25">
      <c r="A42" s="405" t="s">
        <v>28</v>
      </c>
      <c r="B42" s="22">
        <v>8</v>
      </c>
      <c r="C42" s="69" t="s">
        <v>31</v>
      </c>
      <c r="D42" s="69" t="s">
        <v>30</v>
      </c>
      <c r="E42" s="69" t="s">
        <v>98</v>
      </c>
      <c r="F42" s="217" t="s">
        <v>36</v>
      </c>
      <c r="G42" s="409">
        <v>56697</v>
      </c>
      <c r="H42" s="407">
        <v>64779</v>
      </c>
      <c r="I42" s="408">
        <v>62.253500000000003</v>
      </c>
      <c r="J42" s="408">
        <v>60.473500000000001</v>
      </c>
      <c r="K42" s="409"/>
      <c r="L42" s="409"/>
      <c r="M42" s="409"/>
      <c r="N42" s="409">
        <v>5652.9</v>
      </c>
      <c r="O42" s="410">
        <v>7441346.6499999994</v>
      </c>
      <c r="P42" s="409">
        <v>1395252.5</v>
      </c>
      <c r="Q42" s="409">
        <v>1116202</v>
      </c>
      <c r="R42" s="199">
        <v>0.15</v>
      </c>
      <c r="S42" s="409">
        <v>279050.5</v>
      </c>
      <c r="T42" s="236">
        <v>3.7499999999999999E-2</v>
      </c>
    </row>
    <row r="43" spans="1:20" x14ac:dyDescent="0.25">
      <c r="A43" s="405" t="s">
        <v>28</v>
      </c>
      <c r="B43" s="17" t="s">
        <v>12</v>
      </c>
      <c r="C43" s="69" t="s">
        <v>31</v>
      </c>
      <c r="D43" s="69" t="s">
        <v>30</v>
      </c>
      <c r="E43" s="69" t="s">
        <v>98</v>
      </c>
      <c r="F43" s="217" t="s">
        <v>55</v>
      </c>
      <c r="G43" s="407">
        <v>321.68459999999999</v>
      </c>
      <c r="H43" s="407">
        <v>38119.908100000001</v>
      </c>
      <c r="I43" s="408">
        <v>3.6034000000000002</v>
      </c>
      <c r="J43" s="408">
        <v>3.6034999999999999</v>
      </c>
      <c r="K43" s="409"/>
      <c r="L43" s="409"/>
      <c r="M43" s="409"/>
      <c r="N43" s="458">
        <v>1731.15</v>
      </c>
      <c r="O43" s="410">
        <v>136793.1</v>
      </c>
      <c r="P43" s="409">
        <v>25648.71</v>
      </c>
      <c r="Q43" s="409">
        <v>5129.74</v>
      </c>
      <c r="R43" s="236">
        <v>3.7499999999999999E-2</v>
      </c>
      <c r="S43" s="409">
        <v>20518.97</v>
      </c>
      <c r="T43" s="199">
        <v>0.15</v>
      </c>
    </row>
    <row r="44" spans="1:20" x14ac:dyDescent="0.25">
      <c r="A44" s="405" t="s">
        <v>28</v>
      </c>
      <c r="B44" s="17" t="s">
        <v>74</v>
      </c>
      <c r="C44" s="69" t="s">
        <v>31</v>
      </c>
      <c r="D44" s="69" t="s">
        <v>30</v>
      </c>
      <c r="E44" s="69" t="s">
        <v>100</v>
      </c>
      <c r="F44" s="217" t="s">
        <v>36</v>
      </c>
      <c r="G44" s="407">
        <v>0</v>
      </c>
      <c r="H44" s="407"/>
      <c r="I44" s="408">
        <v>0</v>
      </c>
      <c r="J44" s="408"/>
      <c r="K44" s="409"/>
      <c r="L44" s="409"/>
      <c r="M44" s="409"/>
      <c r="N44" s="458">
        <v>3599.81</v>
      </c>
      <c r="O44" s="410">
        <v>-3599.81</v>
      </c>
      <c r="P44" s="409">
        <v>-674.96</v>
      </c>
      <c r="Q44" s="409">
        <v>-134.99</v>
      </c>
      <c r="R44" s="236">
        <v>3.7499999999999999E-2</v>
      </c>
      <c r="S44" s="409">
        <v>-539.97</v>
      </c>
      <c r="T44" s="199">
        <v>0.15</v>
      </c>
    </row>
    <row r="45" spans="1:20" x14ac:dyDescent="0.25">
      <c r="A45" s="405" t="s">
        <v>28</v>
      </c>
      <c r="B45" s="828">
        <v>95</v>
      </c>
      <c r="C45" s="900" t="s">
        <v>31</v>
      </c>
      <c r="D45" s="900" t="s">
        <v>30</v>
      </c>
      <c r="E45" s="900" t="s">
        <v>98</v>
      </c>
      <c r="F45" s="901" t="s">
        <v>36</v>
      </c>
      <c r="G45" s="902">
        <v>200132</v>
      </c>
      <c r="H45" s="902">
        <v>238645</v>
      </c>
      <c r="I45" s="903">
        <v>45.184800000000003</v>
      </c>
      <c r="J45" s="903">
        <v>43.909500000000001</v>
      </c>
      <c r="K45" s="902"/>
      <c r="L45" s="904"/>
      <c r="M45" s="904"/>
      <c r="N45" s="905">
        <v>5652.9</v>
      </c>
      <c r="O45" s="410">
        <v>19516054.120000005</v>
      </c>
      <c r="P45" s="409">
        <v>3659260.15</v>
      </c>
      <c r="Q45" s="409">
        <v>2927408.12</v>
      </c>
      <c r="R45" s="199">
        <v>0.15</v>
      </c>
      <c r="S45" s="409">
        <v>731852.03</v>
      </c>
      <c r="T45" s="236">
        <v>3.7499999999999999E-2</v>
      </c>
    </row>
    <row r="46" spans="1:20"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row>
    <row r="47" spans="1:20" x14ac:dyDescent="0.25">
      <c r="A47" s="432" t="s">
        <v>28</v>
      </c>
      <c r="B47" s="414" t="s">
        <v>53</v>
      </c>
      <c r="C47" s="415"/>
      <c r="D47" s="416"/>
      <c r="E47" s="416"/>
      <c r="F47" s="217"/>
      <c r="G47" s="409"/>
      <c r="H47" s="409"/>
      <c r="I47" s="417"/>
      <c r="J47" s="417"/>
      <c r="K47" s="409"/>
      <c r="L47" s="409"/>
      <c r="M47" s="409"/>
      <c r="N47" s="409"/>
      <c r="O47" s="409">
        <v>-23.459999999031425</v>
      </c>
      <c r="P47" s="409">
        <v>-4.3999999999068677</v>
      </c>
      <c r="Q47" s="409">
        <v>-3.5200000000186265</v>
      </c>
      <c r="R47" s="409"/>
      <c r="S47" s="409">
        <v>-0.88000000000465661</v>
      </c>
      <c r="T47" s="199"/>
    </row>
    <row r="48" spans="1:20" x14ac:dyDescent="0.25">
      <c r="A48" s="24"/>
      <c r="B48" s="127" t="s">
        <v>105</v>
      </c>
      <c r="C48" s="25" t="s">
        <v>287</v>
      </c>
      <c r="D48" s="14"/>
      <c r="E48" s="14"/>
      <c r="F48" s="230"/>
      <c r="G48" s="433"/>
      <c r="H48" s="433"/>
      <c r="I48" s="434"/>
      <c r="J48" s="435"/>
      <c r="K48" s="436"/>
      <c r="L48" s="436"/>
      <c r="M48" s="436"/>
      <c r="N48" s="420"/>
      <c r="O48" s="420">
        <v>27090570.600000001</v>
      </c>
      <c r="P48" s="420">
        <v>5079482</v>
      </c>
      <c r="Q48" s="420">
        <v>4048601.35</v>
      </c>
      <c r="R48" s="220"/>
      <c r="S48" s="420">
        <v>1030880.65</v>
      </c>
      <c r="T48" s="207"/>
    </row>
    <row r="49" spans="1:20" x14ac:dyDescent="0.25">
      <c r="A49" s="121"/>
      <c r="B49" s="122"/>
      <c r="C49" s="25" t="s">
        <v>288</v>
      </c>
      <c r="D49" s="85"/>
      <c r="E49" s="85"/>
      <c r="F49" s="121"/>
      <c r="G49" s="437"/>
      <c r="H49" s="437"/>
      <c r="I49" s="438"/>
      <c r="J49" s="438"/>
      <c r="K49" s="437"/>
      <c r="L49" s="437"/>
      <c r="M49" s="437"/>
      <c r="N49" s="437"/>
      <c r="O49" s="255"/>
      <c r="P49" s="255">
        <v>17168649.16</v>
      </c>
      <c r="Q49" s="426">
        <v>13684272.560000001</v>
      </c>
      <c r="R49" s="131"/>
      <c r="S49" s="426">
        <v>3484376.6</v>
      </c>
      <c r="T49" s="123"/>
    </row>
    <row r="50" spans="1:20"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row>
    <row r="51" spans="1:20" x14ac:dyDescent="0.25">
      <c r="A51" s="405" t="s">
        <v>28</v>
      </c>
      <c r="B51" s="17" t="s">
        <v>160</v>
      </c>
      <c r="C51" s="69" t="s">
        <v>31</v>
      </c>
      <c r="D51" s="69" t="s">
        <v>30</v>
      </c>
      <c r="E51" s="69" t="s">
        <v>158</v>
      </c>
      <c r="F51" s="217" t="s">
        <v>36</v>
      </c>
      <c r="G51" s="409">
        <v>723987</v>
      </c>
      <c r="H51" s="409">
        <v>768230</v>
      </c>
      <c r="I51" s="417">
        <v>34.173200000000001</v>
      </c>
      <c r="J51" s="417">
        <v>33.543199999999999</v>
      </c>
      <c r="K51" s="409"/>
      <c r="L51" s="409"/>
      <c r="M51" s="409"/>
      <c r="N51" s="409"/>
      <c r="O51" s="410">
        <v>50509845.084399998</v>
      </c>
      <c r="P51" s="444">
        <v>18809866.309999999</v>
      </c>
      <c r="Q51" s="463">
        <v>9404933.1600000001</v>
      </c>
      <c r="R51" s="199">
        <v>0.5</v>
      </c>
      <c r="S51" s="409"/>
      <c r="T51" s="236"/>
    </row>
    <row r="52" spans="1:20" x14ac:dyDescent="0.25">
      <c r="A52" s="405" t="s">
        <v>28</v>
      </c>
      <c r="B52" s="17" t="s">
        <v>159</v>
      </c>
      <c r="C52" s="69" t="s">
        <v>31</v>
      </c>
      <c r="D52" s="69" t="s">
        <v>30</v>
      </c>
      <c r="E52" s="69" t="s">
        <v>158</v>
      </c>
      <c r="F52" s="217" t="s">
        <v>55</v>
      </c>
      <c r="G52" s="409">
        <v>12809821.252600001</v>
      </c>
      <c r="H52" s="409">
        <v>13134999.4914</v>
      </c>
      <c r="I52" s="503">
        <v>2.6972</v>
      </c>
      <c r="J52" s="417">
        <v>2.7061000000000002</v>
      </c>
      <c r="K52" s="409"/>
      <c r="L52" s="409"/>
      <c r="M52" s="409"/>
      <c r="N52" s="444"/>
      <c r="O52" s="444">
        <v>70095133.540000007</v>
      </c>
      <c r="P52" s="444">
        <v>26154415.25</v>
      </c>
      <c r="Q52" s="444">
        <v>13077207.630000001</v>
      </c>
      <c r="R52" s="199">
        <v>0.5</v>
      </c>
      <c r="S52" s="409"/>
      <c r="T52" s="199"/>
    </row>
    <row r="53" spans="1:20" x14ac:dyDescent="0.25">
      <c r="A53" s="405" t="s">
        <v>28</v>
      </c>
      <c r="B53" s="17" t="s">
        <v>168</v>
      </c>
      <c r="C53" s="69" t="s">
        <v>31</v>
      </c>
      <c r="D53" s="69" t="s">
        <v>30</v>
      </c>
      <c r="E53" s="69" t="s">
        <v>158</v>
      </c>
      <c r="F53" s="217" t="s">
        <v>36</v>
      </c>
      <c r="G53" s="409">
        <v>174479</v>
      </c>
      <c r="H53" s="409">
        <v>184773</v>
      </c>
      <c r="I53" s="417">
        <v>34.173999999999999</v>
      </c>
      <c r="J53" s="417">
        <v>33.543500000000002</v>
      </c>
      <c r="K53" s="409"/>
      <c r="L53" s="409"/>
      <c r="M53" s="409"/>
      <c r="N53" s="409"/>
      <c r="O53" s="410">
        <v>12160578.4715</v>
      </c>
      <c r="P53" s="444">
        <v>4864231.3900000006</v>
      </c>
      <c r="Q53" s="444">
        <v>2432115.7000000002</v>
      </c>
      <c r="R53" s="199">
        <v>0.5</v>
      </c>
      <c r="S53" s="409"/>
      <c r="T53" s="199"/>
    </row>
    <row r="54" spans="1:20" x14ac:dyDescent="0.25">
      <c r="A54" s="405" t="s">
        <v>28</v>
      </c>
      <c r="B54" s="17" t="s">
        <v>169</v>
      </c>
      <c r="C54" s="69" t="s">
        <v>31</v>
      </c>
      <c r="D54" s="69" t="s">
        <v>30</v>
      </c>
      <c r="E54" s="69" t="s">
        <v>158</v>
      </c>
      <c r="F54" s="217" t="s">
        <v>55</v>
      </c>
      <c r="G54" s="409">
        <v>4153315.2302999999</v>
      </c>
      <c r="H54" s="409">
        <v>4259174.0173000004</v>
      </c>
      <c r="I54" s="417">
        <v>4.008</v>
      </c>
      <c r="J54" s="417">
        <v>4.0739999999999998</v>
      </c>
      <c r="K54" s="409"/>
      <c r="L54" s="409"/>
      <c r="M54" s="409"/>
      <c r="N54" s="409"/>
      <c r="O54" s="410">
        <v>33998362.389522597</v>
      </c>
      <c r="P54" s="444">
        <v>12919377.710000001</v>
      </c>
      <c r="Q54" s="444">
        <v>6459688.8600000003</v>
      </c>
      <c r="R54" s="199">
        <v>0.5</v>
      </c>
      <c r="S54" s="409"/>
      <c r="T54" s="199"/>
    </row>
    <row r="55" spans="1:20" x14ac:dyDescent="0.25">
      <c r="A55" s="405" t="s">
        <v>28</v>
      </c>
      <c r="B55" s="22" t="s">
        <v>175</v>
      </c>
      <c r="C55" s="69" t="s">
        <v>31</v>
      </c>
      <c r="D55" s="69" t="s">
        <v>30</v>
      </c>
      <c r="E55" s="69" t="s">
        <v>158</v>
      </c>
      <c r="F55" s="217" t="s">
        <v>36</v>
      </c>
      <c r="G55" s="409">
        <v>226110</v>
      </c>
      <c r="H55" s="409">
        <v>254860</v>
      </c>
      <c r="I55" s="417">
        <v>31.429200000000002</v>
      </c>
      <c r="J55" s="417">
        <v>30.922999999999998</v>
      </c>
      <c r="K55" s="407"/>
      <c r="L55" s="409"/>
      <c r="M55" s="409"/>
      <c r="N55" s="407"/>
      <c r="O55" s="410">
        <v>14987492.192</v>
      </c>
      <c r="P55" s="444">
        <v>998709.18541300006</v>
      </c>
      <c r="Q55" s="444">
        <v>499354.59</v>
      </c>
      <c r="R55" s="199">
        <v>0.5</v>
      </c>
      <c r="S55" s="409"/>
      <c r="T55" s="236"/>
    </row>
    <row r="56" spans="1:20" x14ac:dyDescent="0.25">
      <c r="A56" s="405" t="s">
        <v>28</v>
      </c>
      <c r="B56" s="250" t="s">
        <v>176</v>
      </c>
      <c r="C56" s="69" t="s">
        <v>31</v>
      </c>
      <c r="D56" s="69" t="s">
        <v>30</v>
      </c>
      <c r="E56" s="69" t="s">
        <v>158</v>
      </c>
      <c r="F56" s="217" t="s">
        <v>55</v>
      </c>
      <c r="G56" s="409">
        <v>3803107.2771000001</v>
      </c>
      <c r="H56" s="409">
        <v>4256918.1366999997</v>
      </c>
      <c r="I56" s="417">
        <v>4.3499999999999996</v>
      </c>
      <c r="J56" s="417">
        <v>4.3499999999999996</v>
      </c>
      <c r="K56" s="504"/>
      <c r="L56" s="409"/>
      <c r="M56" s="409"/>
      <c r="N56" s="407"/>
      <c r="O56" s="410">
        <v>35061110.550029993</v>
      </c>
      <c r="P56" s="444">
        <v>3874102.5360110002</v>
      </c>
      <c r="Q56" s="444">
        <v>1937051.27</v>
      </c>
      <c r="R56" s="199">
        <v>0.5</v>
      </c>
      <c r="S56" s="409"/>
      <c r="T56" s="236"/>
    </row>
    <row r="57" spans="1:20" x14ac:dyDescent="0.25">
      <c r="A57" s="445" t="s">
        <v>28</v>
      </c>
      <c r="B57" s="446" t="s">
        <v>162</v>
      </c>
      <c r="C57" s="447"/>
      <c r="D57" s="447"/>
      <c r="E57" s="448"/>
      <c r="F57" s="190"/>
      <c r="G57" s="239"/>
      <c r="H57" s="240"/>
      <c r="I57" s="240"/>
      <c r="J57" s="241"/>
      <c r="K57" s="241"/>
      <c r="L57" s="241"/>
      <c r="M57" s="155"/>
      <c r="N57" s="155"/>
      <c r="O57" s="551">
        <v>25882000.444791894</v>
      </c>
      <c r="P57" s="551">
        <v>2543850.6847499958</v>
      </c>
      <c r="Q57" s="551">
        <v>1271925.3700000013</v>
      </c>
      <c r="R57" s="123"/>
      <c r="S57" s="156"/>
      <c r="T57" s="123"/>
    </row>
    <row r="58" spans="1:20" x14ac:dyDescent="0.25">
      <c r="A58" s="24"/>
      <c r="B58" s="127" t="s">
        <v>105</v>
      </c>
      <c r="C58" s="25" t="s">
        <v>289</v>
      </c>
      <c r="D58" s="14"/>
      <c r="E58" s="14"/>
      <c r="F58" s="245"/>
      <c r="G58" s="232">
        <v>4153315.2302999999</v>
      </c>
      <c r="H58" s="232">
        <v>4259174.0173000004</v>
      </c>
      <c r="I58" s="299"/>
      <c r="J58" s="232"/>
      <c r="K58" s="243"/>
      <c r="L58" s="237"/>
      <c r="M58" s="297"/>
      <c r="N58" s="174"/>
      <c r="O58" s="174">
        <v>242694522.67224449</v>
      </c>
      <c r="P58" s="174">
        <v>70164553.066174001</v>
      </c>
      <c r="Q58" s="174">
        <v>35082276.580000006</v>
      </c>
      <c r="R58" s="498"/>
      <c r="S58" s="162"/>
      <c r="T58" s="123"/>
    </row>
    <row r="59" spans="1:20" x14ac:dyDescent="0.25">
      <c r="A59" s="121"/>
      <c r="B59" s="122"/>
      <c r="C59" s="25" t="s">
        <v>290</v>
      </c>
      <c r="D59" s="85"/>
      <c r="E59" s="85"/>
      <c r="F59" s="245"/>
      <c r="G59" s="233">
        <v>4.008</v>
      </c>
      <c r="H59" s="233">
        <v>4.0739999999999998</v>
      </c>
      <c r="I59" s="300"/>
      <c r="J59" s="232"/>
      <c r="K59" s="244"/>
      <c r="L59" s="238"/>
      <c r="M59" s="361"/>
      <c r="N59" s="362"/>
      <c r="O59" s="362"/>
      <c r="P59" s="164"/>
      <c r="Q59" s="164">
        <v>118578094.84040001</v>
      </c>
      <c r="R59" s="153"/>
      <c r="S59" s="162"/>
      <c r="T59" s="123"/>
    </row>
    <row r="60" spans="1:20" ht="13" x14ac:dyDescent="0.3">
      <c r="A60" s="8" t="s">
        <v>54</v>
      </c>
      <c r="B60" s="252"/>
      <c r="C60" s="252"/>
      <c r="D60" s="252"/>
      <c r="E60" s="252"/>
      <c r="F60" s="246"/>
      <c r="G60" s="234">
        <v>16646487.443042399</v>
      </c>
      <c r="H60" s="234">
        <v>17351874.9464802</v>
      </c>
      <c r="I60" s="232">
        <v>33998362.389522597</v>
      </c>
      <c r="J60" s="232" t="e">
        <v>#REF!</v>
      </c>
      <c r="K60" s="301" t="e">
        <v>#REF!</v>
      </c>
      <c r="L60" s="302"/>
      <c r="M60" s="255">
        <v>0</v>
      </c>
      <c r="N60" s="255">
        <v>43055.58</v>
      </c>
      <c r="O60" s="255">
        <v>324869923.17224449</v>
      </c>
      <c r="P60" s="426">
        <v>50458435.550000012</v>
      </c>
      <c r="Q60" s="166">
        <v>170549511.92040002</v>
      </c>
      <c r="R60" s="38"/>
      <c r="S60" s="166"/>
      <c r="T60" s="38"/>
    </row>
    <row r="61" spans="1:20" x14ac:dyDescent="0.25">
      <c r="G61" s="251"/>
      <c r="H61" s="251"/>
      <c r="I61" s="251"/>
      <c r="J61" s="251"/>
      <c r="K61" s="251"/>
      <c r="N61" s="477"/>
      <c r="O61" s="460"/>
      <c r="S61" s="290"/>
    </row>
    <row r="62" spans="1:20" x14ac:dyDescent="0.25">
      <c r="A62" s="449" t="s">
        <v>92</v>
      </c>
      <c r="B62" s="251" t="s">
        <v>75</v>
      </c>
      <c r="G62" s="251"/>
      <c r="H62" s="449" t="s">
        <v>76</v>
      </c>
      <c r="I62" s="251"/>
      <c r="J62" s="47"/>
      <c r="K62" s="47"/>
      <c r="N62" s="477"/>
      <c r="O62" s="477"/>
      <c r="P62" s="290"/>
      <c r="Q62" s="47"/>
      <c r="S62" s="47"/>
    </row>
    <row r="63" spans="1:20" ht="13" x14ac:dyDescent="0.3">
      <c r="B63" s="97" t="s">
        <v>77</v>
      </c>
      <c r="C63" s="98" t="s">
        <v>78</v>
      </c>
      <c r="D63" s="99"/>
      <c r="E63" s="100" t="s">
        <v>34</v>
      </c>
      <c r="F63" s="100" t="s">
        <v>79</v>
      </c>
      <c r="G63" s="251"/>
      <c r="H63" s="71" t="s">
        <v>34</v>
      </c>
      <c r="I63" s="252"/>
      <c r="J63" s="252"/>
      <c r="K63" s="252"/>
      <c r="L63" s="72"/>
      <c r="N63" s="477"/>
      <c r="O63" s="477"/>
      <c r="P63" s="290"/>
      <c r="Q63" s="47"/>
      <c r="S63" s="47"/>
    </row>
    <row r="64" spans="1:20" ht="13" x14ac:dyDescent="0.3">
      <c r="B64" s="450" t="s">
        <v>80</v>
      </c>
      <c r="C64" s="74" t="s">
        <v>81</v>
      </c>
      <c r="D64" s="451"/>
      <c r="E64" s="76">
        <v>76.508600000000001</v>
      </c>
      <c r="F64" s="76"/>
      <c r="G64" s="251"/>
      <c r="H64" s="77" t="s">
        <v>353</v>
      </c>
      <c r="I64" s="251"/>
      <c r="J64" s="251"/>
      <c r="K64" s="251"/>
      <c r="L64" s="78"/>
      <c r="M64" s="499"/>
      <c r="N64" s="760">
        <v>0.10869999975948882</v>
      </c>
      <c r="O64" s="47"/>
      <c r="P64" s="500"/>
      <c r="Q64" s="500"/>
      <c r="S64" s="500"/>
    </row>
    <row r="65" spans="1:20" ht="13" x14ac:dyDescent="0.3">
      <c r="B65" s="452" t="s">
        <v>82</v>
      </c>
      <c r="C65" s="80" t="s">
        <v>83</v>
      </c>
      <c r="D65" s="453"/>
      <c r="E65" s="82">
        <v>78.282799999999995</v>
      </c>
      <c r="F65" s="83"/>
      <c r="G65" s="251"/>
      <c r="H65" s="84">
        <v>60.731572314171991</v>
      </c>
      <c r="I65" s="85"/>
      <c r="J65" s="85"/>
      <c r="K65" s="85"/>
      <c r="L65" s="86"/>
      <c r="M65" s="499">
        <v>9.4199999857272176E-2</v>
      </c>
      <c r="N65" s="760">
        <v>6.5900000363190853E-2</v>
      </c>
      <c r="O65" s="47"/>
      <c r="P65" s="500"/>
      <c r="Q65" s="500"/>
      <c r="S65" s="500"/>
    </row>
    <row r="66" spans="1:20" x14ac:dyDescent="0.25">
      <c r="B66" s="452" t="s">
        <v>84</v>
      </c>
      <c r="C66" s="80" t="s">
        <v>85</v>
      </c>
      <c r="D66" s="453"/>
      <c r="E66" s="82">
        <v>33</v>
      </c>
      <c r="F66" s="82"/>
      <c r="G66" s="251"/>
      <c r="H66" s="251"/>
      <c r="I66" s="454"/>
      <c r="J66" s="251"/>
      <c r="K66" s="251"/>
      <c r="M66" s="499">
        <v>0.39999999969547706</v>
      </c>
      <c r="N66" s="499"/>
      <c r="P66" s="290"/>
      <c r="Q66" s="290"/>
    </row>
    <row r="67" spans="1:20" x14ac:dyDescent="0.25">
      <c r="B67" s="452" t="s">
        <v>86</v>
      </c>
      <c r="C67" s="80" t="s">
        <v>87</v>
      </c>
      <c r="D67" s="453"/>
      <c r="E67" s="88">
        <v>0.61990000000000001</v>
      </c>
      <c r="F67" s="88"/>
      <c r="G67" s="251"/>
      <c r="H67" s="71" t="s">
        <v>79</v>
      </c>
      <c r="I67" s="89"/>
      <c r="J67" s="252"/>
      <c r="K67" s="252"/>
      <c r="L67" s="72"/>
      <c r="M67" s="499">
        <v>0.38000000287019686</v>
      </c>
      <c r="N67" s="499"/>
      <c r="O67" s="332"/>
    </row>
    <row r="68" spans="1:20" x14ac:dyDescent="0.25">
      <c r="B68" s="452" t="s">
        <v>88</v>
      </c>
      <c r="C68" s="80" t="s">
        <v>89</v>
      </c>
      <c r="D68" s="453"/>
      <c r="E68" s="90"/>
      <c r="F68" s="83"/>
      <c r="G68" s="251"/>
      <c r="H68" s="77" t="s">
        <v>292</v>
      </c>
      <c r="I68" s="454"/>
      <c r="J68" s="251"/>
      <c r="K68" s="251"/>
      <c r="L68" s="78"/>
      <c r="N68" s="501"/>
      <c r="O68" s="332"/>
    </row>
    <row r="69" spans="1:20" x14ac:dyDescent="0.25">
      <c r="B69" s="455" t="s">
        <v>90</v>
      </c>
      <c r="C69" s="92" t="s">
        <v>91</v>
      </c>
      <c r="D69" s="456"/>
      <c r="E69" s="94"/>
      <c r="F69" s="94"/>
      <c r="G69" s="251"/>
      <c r="H69" s="84">
        <v>0</v>
      </c>
      <c r="I69" s="95"/>
      <c r="J69" s="85"/>
      <c r="K69" s="85"/>
      <c r="L69" s="86"/>
      <c r="M69" s="332"/>
      <c r="N69" s="332"/>
      <c r="O69" s="332"/>
    </row>
    <row r="70" spans="1:20" x14ac:dyDescent="0.25">
      <c r="A70" s="449"/>
      <c r="G70" s="251"/>
      <c r="H70" s="421"/>
      <c r="I70" s="251"/>
      <c r="J70" s="251"/>
      <c r="K70" s="251"/>
      <c r="M70" s="332"/>
      <c r="N70" s="332"/>
      <c r="O70" s="332"/>
    </row>
    <row r="71" spans="1:20" ht="13" x14ac:dyDescent="0.3">
      <c r="A71" s="457"/>
      <c r="G71" s="251"/>
      <c r="H71" s="251"/>
      <c r="I71" s="251"/>
      <c r="J71" s="251"/>
      <c r="K71" s="251"/>
    </row>
    <row r="72" spans="1:20" x14ac:dyDescent="0.25">
      <c r="G72" s="251"/>
      <c r="H72" s="251"/>
      <c r="I72" s="251"/>
      <c r="J72" s="251"/>
      <c r="K72" s="251"/>
      <c r="O72" s="47"/>
      <c r="P72" s="47"/>
      <c r="Q72" s="47"/>
    </row>
    <row r="73" spans="1:20" ht="15.5" outlineLevel="1" x14ac:dyDescent="0.35">
      <c r="A73"/>
      <c r="B73"/>
      <c r="C73"/>
      <c r="D73"/>
      <c r="E73"/>
      <c r="F73"/>
      <c r="G73"/>
      <c r="H73"/>
      <c r="I73"/>
      <c r="J73"/>
      <c r="K73"/>
      <c r="L73"/>
      <c r="M73"/>
      <c r="N73"/>
      <c r="O73"/>
      <c r="P73"/>
      <c r="Q73"/>
      <c r="R73"/>
      <c r="S73"/>
      <c r="T73"/>
    </row>
    <row r="74" spans="1:20" ht="15.5" outlineLevel="1" x14ac:dyDescent="0.35">
      <c r="A74"/>
      <c r="B74"/>
      <c r="C74"/>
      <c r="D74"/>
      <c r="E74"/>
      <c r="F74"/>
      <c r="G74"/>
      <c r="H74"/>
      <c r="I74"/>
      <c r="J74"/>
      <c r="K74"/>
      <c r="L74"/>
      <c r="M74"/>
      <c r="N74"/>
      <c r="O74"/>
      <c r="P74"/>
      <c r="Q74"/>
      <c r="R74"/>
      <c r="S74"/>
      <c r="T74"/>
    </row>
    <row r="75" spans="1:20" ht="15.5" outlineLevel="1" x14ac:dyDescent="0.35">
      <c r="A75"/>
      <c r="B75"/>
      <c r="C75"/>
      <c r="D75"/>
      <c r="E75"/>
      <c r="F75"/>
      <c r="G75"/>
      <c r="H75"/>
      <c r="I75"/>
      <c r="J75"/>
      <c r="K75"/>
      <c r="L75"/>
      <c r="M75"/>
      <c r="N75"/>
      <c r="O75"/>
      <c r="P75"/>
      <c r="Q75"/>
      <c r="R75"/>
      <c r="S75"/>
      <c r="T75"/>
    </row>
    <row r="76" spans="1:20" ht="15.5" outlineLevel="1" x14ac:dyDescent="0.35">
      <c r="A76"/>
      <c r="B76"/>
      <c r="C76"/>
      <c r="D76"/>
      <c r="E76"/>
      <c r="F76"/>
      <c r="G76"/>
      <c r="H76"/>
      <c r="I76"/>
      <c r="J76"/>
      <c r="K76"/>
      <c r="L76"/>
      <c r="M76"/>
      <c r="N76"/>
      <c r="O76"/>
      <c r="P76"/>
      <c r="Q76"/>
      <c r="R76"/>
      <c r="S76"/>
      <c r="T76"/>
    </row>
    <row r="77" spans="1:20" ht="15.5" outlineLevel="1" x14ac:dyDescent="0.35">
      <c r="A77"/>
      <c r="B77"/>
      <c r="C77"/>
      <c r="D77"/>
      <c r="E77"/>
      <c r="F77"/>
      <c r="G77"/>
      <c r="H77"/>
      <c r="I77"/>
      <c r="J77"/>
      <c r="K77"/>
      <c r="L77"/>
      <c r="M77"/>
      <c r="N77"/>
      <c r="O77"/>
      <c r="P77"/>
      <c r="Q77"/>
      <c r="R77"/>
      <c r="S77"/>
      <c r="T77"/>
    </row>
    <row r="78" spans="1:20" ht="15.5" x14ac:dyDescent="0.35">
      <c r="A78"/>
      <c r="B78"/>
      <c r="C78"/>
      <c r="D78"/>
      <c r="E78"/>
      <c r="F78"/>
      <c r="G78"/>
      <c r="H78"/>
      <c r="I78"/>
      <c r="J78"/>
      <c r="K78"/>
      <c r="L78"/>
      <c r="M78"/>
      <c r="N78"/>
      <c r="O78"/>
      <c r="P78"/>
      <c r="Q78"/>
      <c r="R78"/>
      <c r="S78"/>
      <c r="T78"/>
    </row>
    <row r="79" spans="1:20" ht="15.5" x14ac:dyDescent="0.35">
      <c r="A79"/>
      <c r="B79"/>
      <c r="C79"/>
      <c r="D79"/>
      <c r="E79"/>
      <c r="F79"/>
      <c r="G79"/>
      <c r="H79"/>
      <c r="I79"/>
      <c r="J79"/>
      <c r="K79"/>
      <c r="L79"/>
      <c r="M79"/>
      <c r="N79"/>
      <c r="O79"/>
      <c r="P79"/>
      <c r="Q79"/>
      <c r="R79"/>
      <c r="S79"/>
      <c r="T79"/>
    </row>
    <row r="80" spans="1:20" ht="15.5" x14ac:dyDescent="0.35">
      <c r="A80"/>
      <c r="B80"/>
      <c r="C80"/>
      <c r="D80"/>
      <c r="E80"/>
      <c r="F80"/>
      <c r="G80"/>
      <c r="H80"/>
      <c r="I80"/>
      <c r="J80"/>
      <c r="K80"/>
      <c r="L80"/>
      <c r="M80"/>
      <c r="N80"/>
      <c r="O80"/>
      <c r="P80"/>
      <c r="Q80"/>
      <c r="R80"/>
      <c r="S80"/>
      <c r="T80"/>
    </row>
  </sheetData>
  <mergeCells count="2">
    <mergeCell ref="C7:C8"/>
    <mergeCell ref="O7:O8"/>
  </mergeCells>
  <phoneticPr fontId="0" type="noConversion"/>
  <printOptions horizontalCentered="1" verticalCentered="1"/>
  <pageMargins left="0.25" right="0.25" top="0.5" bottom="0.5" header="0" footer="0"/>
  <pageSetup paperSize="9" scale="6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J185"/>
  <sheetViews>
    <sheetView tabSelected="1" view="pageBreakPreview" topLeftCell="A60" zoomScale="95" zoomScaleNormal="95" zoomScaleSheetLayoutView="95" workbookViewId="0">
      <pane xSplit="2" topLeftCell="C1" activePane="topRight" state="frozen"/>
      <selection pane="topRight" activeCell="A62" sqref="A62"/>
    </sheetView>
  </sheetViews>
  <sheetFormatPr baseColWidth="10" defaultColWidth="8.765625" defaultRowHeight="12.5" x14ac:dyDescent="0.25"/>
  <cols>
    <col min="1" max="1" width="3" style="474" customWidth="1"/>
    <col min="2" max="2" width="16.07421875" style="474" customWidth="1"/>
    <col min="3" max="3" width="7.765625" style="474" customWidth="1"/>
    <col min="4" max="4" width="8.07421875" style="474" customWidth="1"/>
    <col min="5" max="5" width="8.765625" style="474" customWidth="1"/>
    <col min="6" max="6" width="8.4609375" style="474" customWidth="1"/>
    <col min="7" max="8" width="11.765625" style="784" customWidth="1"/>
    <col min="9" max="9" width="12.07421875" style="784" customWidth="1"/>
    <col min="10" max="10" width="10.765625" style="784" customWidth="1"/>
    <col min="11" max="11" width="9.53515625" style="784" customWidth="1"/>
    <col min="12" max="12" width="11.23046875" style="474" customWidth="1"/>
    <col min="13" max="13" width="7" style="474" customWidth="1"/>
    <col min="14" max="15" width="13.07421875" style="474" customWidth="1"/>
    <col min="16" max="16" width="13.765625" style="474" customWidth="1"/>
    <col min="17" max="17" width="11.53515625" style="474" customWidth="1"/>
    <col min="18" max="18" width="5.765625" style="474" customWidth="1"/>
    <col min="19" max="19" width="11.53515625" style="474" customWidth="1"/>
    <col min="20" max="20" width="5.765625" style="474" customWidth="1"/>
    <col min="21" max="21" width="11.07421875" style="474" hidden="1" customWidth="1"/>
    <col min="22" max="23" width="10.765625" style="474" hidden="1" customWidth="1"/>
    <col min="24" max="24" width="10.53515625" style="474" hidden="1" customWidth="1"/>
    <col min="25" max="25" width="8.765625" style="474" hidden="1" customWidth="1"/>
    <col min="26" max="26" width="9.53515625" style="474" hidden="1" customWidth="1"/>
    <col min="27" max="34" width="8.765625" style="474" hidden="1" customWidth="1"/>
    <col min="35" max="35" width="6.53515625" style="474" customWidth="1"/>
    <col min="36" max="36" width="9.69140625" style="474" bestFit="1" customWidth="1"/>
    <col min="37" max="16384" width="8.765625" style="474"/>
  </cols>
  <sheetData>
    <row r="1" spans="1:33" ht="12.75" customHeight="1" x14ac:dyDescent="0.25">
      <c r="A1" s="474" t="s">
        <v>347</v>
      </c>
      <c r="C1" s="781"/>
      <c r="D1" s="781"/>
      <c r="E1" s="782">
        <v>45962</v>
      </c>
      <c r="F1" s="783">
        <v>3.3720000019719589</v>
      </c>
      <c r="S1" s="474" t="s">
        <v>306</v>
      </c>
      <c r="U1" s="785" t="s">
        <v>59</v>
      </c>
      <c r="V1" s="785"/>
      <c r="W1" s="786">
        <v>30</v>
      </c>
    </row>
    <row r="2" spans="1:33" x14ac:dyDescent="0.25">
      <c r="A2" s="781" t="s">
        <v>0</v>
      </c>
    </row>
    <row r="3" spans="1:33" ht="13" x14ac:dyDescent="0.25">
      <c r="A3" s="787" t="s">
        <v>106</v>
      </c>
      <c r="B3" s="787"/>
      <c r="C3" s="787"/>
      <c r="D3" s="787"/>
      <c r="E3" s="787"/>
      <c r="F3" s="787"/>
      <c r="G3" s="787"/>
      <c r="H3" s="787"/>
      <c r="I3" s="787"/>
      <c r="J3" s="787"/>
      <c r="K3" s="787"/>
      <c r="L3" s="787"/>
      <c r="M3" s="787"/>
      <c r="N3" s="787"/>
      <c r="O3" s="787"/>
      <c r="P3" s="787"/>
      <c r="Q3" s="787"/>
      <c r="R3" s="787"/>
      <c r="S3" s="787"/>
      <c r="T3" s="787"/>
    </row>
    <row r="4" spans="1:33" x14ac:dyDescent="0.25">
      <c r="A4" s="788" t="s">
        <v>348</v>
      </c>
      <c r="B4" s="788"/>
      <c r="C4" s="788"/>
      <c r="D4" s="788"/>
      <c r="E4" s="788"/>
      <c r="F4" s="788"/>
      <c r="G4" s="788"/>
      <c r="H4" s="788"/>
      <c r="I4" s="788"/>
      <c r="J4" s="788"/>
      <c r="K4" s="788"/>
      <c r="L4" s="788"/>
      <c r="M4" s="788"/>
      <c r="N4" s="788"/>
      <c r="O4" s="788"/>
      <c r="P4" s="788"/>
      <c r="Q4" s="788"/>
      <c r="R4" s="788"/>
      <c r="S4" s="788"/>
      <c r="T4" s="788"/>
    </row>
    <row r="5" spans="1:33" x14ac:dyDescent="0.25">
      <c r="A5" s="788" t="s">
        <v>357</v>
      </c>
      <c r="B5" s="788"/>
      <c r="C5" s="788"/>
      <c r="D5" s="788"/>
      <c r="E5" s="788"/>
      <c r="F5" s="788"/>
      <c r="G5" s="788"/>
      <c r="H5" s="788"/>
      <c r="I5" s="788"/>
      <c r="J5" s="788"/>
      <c r="K5" s="788"/>
      <c r="L5" s="788"/>
      <c r="M5" s="788"/>
      <c r="N5" s="788"/>
      <c r="O5" s="788"/>
      <c r="P5" s="788"/>
      <c r="Q5" s="789"/>
      <c r="R5" s="788"/>
      <c r="S5" s="788"/>
      <c r="T5" s="788"/>
      <c r="U5" s="548"/>
      <c r="V5" s="548"/>
    </row>
    <row r="6" spans="1:33" x14ac:dyDescent="0.25">
      <c r="E6" s="548"/>
      <c r="F6" s="548"/>
      <c r="G6" s="790"/>
      <c r="H6" s="791"/>
      <c r="Q6" s="789"/>
      <c r="U6" s="548"/>
      <c r="W6" s="548"/>
    </row>
    <row r="7" spans="1:33" ht="21.75" customHeight="1" x14ac:dyDescent="0.25">
      <c r="A7" s="792" t="s">
        <v>25</v>
      </c>
      <c r="B7" s="793"/>
      <c r="C7" s="924" t="s">
        <v>33</v>
      </c>
      <c r="D7" s="794" t="s">
        <v>57</v>
      </c>
      <c r="E7" s="795"/>
      <c r="F7" s="796" t="s">
        <v>103</v>
      </c>
      <c r="G7" s="797"/>
      <c r="H7" s="798"/>
      <c r="I7" s="796" t="s">
        <v>37</v>
      </c>
      <c r="J7" s="798"/>
      <c r="K7" s="796" t="s">
        <v>40</v>
      </c>
      <c r="L7" s="797"/>
      <c r="M7" s="797"/>
      <c r="N7" s="798"/>
      <c r="O7" s="924" t="s">
        <v>93</v>
      </c>
      <c r="P7" s="796" t="s">
        <v>49</v>
      </c>
      <c r="Q7" s="797"/>
      <c r="R7" s="797"/>
      <c r="S7" s="797"/>
      <c r="T7" s="798"/>
      <c r="U7" s="799" t="s">
        <v>301</v>
      </c>
      <c r="V7" s="800"/>
      <c r="W7" s="800"/>
      <c r="X7" s="800"/>
      <c r="Y7" s="800"/>
      <c r="Z7" s="801"/>
      <c r="AA7" s="802" t="s">
        <v>302</v>
      </c>
      <c r="AB7" s="803"/>
      <c r="AC7" s="803"/>
      <c r="AD7" s="803"/>
      <c r="AE7" s="803"/>
      <c r="AF7" s="804"/>
      <c r="AG7" s="805" t="s">
        <v>62</v>
      </c>
    </row>
    <row r="8" spans="1:33" ht="14.25" customHeight="1" x14ac:dyDescent="0.25">
      <c r="A8" s="806" t="s">
        <v>26</v>
      </c>
      <c r="B8" s="807"/>
      <c r="C8" s="925"/>
      <c r="D8" s="808" t="s">
        <v>19</v>
      </c>
      <c r="E8" s="809" t="s">
        <v>58</v>
      </c>
      <c r="F8" s="808" t="s">
        <v>27</v>
      </c>
      <c r="G8" s="810" t="s">
        <v>34</v>
      </c>
      <c r="H8" s="811" t="s">
        <v>35</v>
      </c>
      <c r="I8" s="811" t="s">
        <v>34</v>
      </c>
      <c r="J8" s="810" t="s">
        <v>35</v>
      </c>
      <c r="K8" s="810" t="s">
        <v>38</v>
      </c>
      <c r="L8" s="810" t="s">
        <v>39</v>
      </c>
      <c r="M8" s="810" t="s">
        <v>41</v>
      </c>
      <c r="N8" s="810" t="s">
        <v>2</v>
      </c>
      <c r="O8" s="925"/>
      <c r="P8" s="805" t="s">
        <v>1</v>
      </c>
      <c r="Q8" s="796" t="s">
        <v>44</v>
      </c>
      <c r="R8" s="798"/>
      <c r="S8" s="796" t="s">
        <v>45</v>
      </c>
      <c r="T8" s="798"/>
      <c r="U8" s="804" t="s">
        <v>63</v>
      </c>
      <c r="V8" s="800"/>
      <c r="W8" s="801"/>
      <c r="X8" s="812" t="s">
        <v>64</v>
      </c>
      <c r="Y8" s="804" t="s">
        <v>65</v>
      </c>
      <c r="Z8" s="801"/>
      <c r="AA8" s="804" t="s">
        <v>63</v>
      </c>
      <c r="AB8" s="800"/>
      <c r="AC8" s="801"/>
      <c r="AD8" s="810" t="s">
        <v>64</v>
      </c>
      <c r="AE8" s="803" t="s">
        <v>65</v>
      </c>
      <c r="AF8" s="804"/>
      <c r="AG8" s="813" t="s">
        <v>1</v>
      </c>
    </row>
    <row r="9" spans="1:33" ht="13" x14ac:dyDescent="0.3">
      <c r="A9" s="814" t="s">
        <v>23</v>
      </c>
      <c r="B9" s="815"/>
      <c r="C9" s="816"/>
      <c r="D9" s="817"/>
      <c r="E9" s="817"/>
      <c r="F9" s="814"/>
      <c r="G9" s="818"/>
      <c r="H9" s="819"/>
      <c r="I9" s="820"/>
      <c r="J9" s="818"/>
      <c r="K9" s="818"/>
      <c r="L9" s="818"/>
      <c r="M9" s="818"/>
      <c r="N9" s="818"/>
      <c r="O9" s="821"/>
      <c r="P9" s="818"/>
      <c r="Q9" s="822" t="s">
        <v>42</v>
      </c>
      <c r="R9" s="529"/>
      <c r="S9" s="822" t="s">
        <v>43</v>
      </c>
      <c r="T9" s="529"/>
      <c r="U9" s="823" t="s">
        <v>66</v>
      </c>
      <c r="V9" s="823" t="s">
        <v>94</v>
      </c>
      <c r="W9" s="823" t="s">
        <v>67</v>
      </c>
      <c r="X9" s="823" t="s">
        <v>68</v>
      </c>
      <c r="Y9" s="823" t="s">
        <v>68</v>
      </c>
      <c r="Z9" s="823" t="s">
        <v>69</v>
      </c>
      <c r="AA9" s="823" t="s">
        <v>70</v>
      </c>
      <c r="AB9" s="823" t="s">
        <v>94</v>
      </c>
      <c r="AC9" s="823" t="s">
        <v>71</v>
      </c>
      <c r="AD9" s="823" t="s">
        <v>72</v>
      </c>
      <c r="AE9" s="823" t="s">
        <v>72</v>
      </c>
      <c r="AF9" s="824" t="s">
        <v>69</v>
      </c>
      <c r="AG9" s="825" t="s">
        <v>73</v>
      </c>
    </row>
    <row r="10" spans="1:33" s="251" customFormat="1" x14ac:dyDescent="0.25">
      <c r="A10" s="405" t="s">
        <v>28</v>
      </c>
      <c r="B10" s="17" t="s">
        <v>13</v>
      </c>
      <c r="C10" s="69" t="s">
        <v>29</v>
      </c>
      <c r="D10" s="406" t="s">
        <v>21</v>
      </c>
      <c r="E10" s="69" t="s">
        <v>95</v>
      </c>
      <c r="F10" s="223" t="s">
        <v>36</v>
      </c>
      <c r="G10" s="407">
        <v>5577</v>
      </c>
      <c r="H10" s="407">
        <v>6260</v>
      </c>
      <c r="I10" s="408">
        <v>64.450800000000001</v>
      </c>
      <c r="J10" s="407">
        <v>63.391787539936097</v>
      </c>
      <c r="K10" s="409"/>
      <c r="L10" s="409"/>
      <c r="M10" s="409"/>
      <c r="N10" s="458">
        <v>96.16</v>
      </c>
      <c r="O10" s="407">
        <v>756178.53999999992</v>
      </c>
      <c r="P10" s="409">
        <v>141783.48000000001</v>
      </c>
      <c r="Q10" s="409">
        <v>113426.78</v>
      </c>
      <c r="R10" s="199">
        <v>0.15</v>
      </c>
      <c r="S10" s="409">
        <v>28356.7</v>
      </c>
      <c r="T10" s="236">
        <v>3.7499999999999999E-2</v>
      </c>
      <c r="U10" s="46">
        <v>11837</v>
      </c>
      <c r="V10" s="46">
        <v>756178.53999999992</v>
      </c>
      <c r="W10" s="55">
        <v>394.6</v>
      </c>
      <c r="X10" s="56">
        <v>63.882599999999996</v>
      </c>
      <c r="Y10" s="56">
        <v>11.978</v>
      </c>
      <c r="Z10" s="46">
        <v>141783.48000000001</v>
      </c>
      <c r="AA10" s="46" t="s">
        <v>305</v>
      </c>
      <c r="AB10" s="46" t="s">
        <v>305</v>
      </c>
      <c r="AC10" s="55" t="s">
        <v>305</v>
      </c>
      <c r="AD10" s="56" t="s">
        <v>305</v>
      </c>
      <c r="AE10" s="56" t="s">
        <v>305</v>
      </c>
      <c r="AF10" s="46" t="s">
        <v>305</v>
      </c>
      <c r="AG10" s="36"/>
    </row>
    <row r="11" spans="1:33" s="251" customFormat="1" ht="12.75" customHeight="1" x14ac:dyDescent="0.25">
      <c r="A11" s="405" t="s">
        <v>28</v>
      </c>
      <c r="B11" s="17" t="s">
        <v>14</v>
      </c>
      <c r="C11" s="69" t="s">
        <v>29</v>
      </c>
      <c r="D11" s="406" t="s">
        <v>21</v>
      </c>
      <c r="E11" s="69" t="s">
        <v>95</v>
      </c>
      <c r="F11" s="223" t="s">
        <v>55</v>
      </c>
      <c r="G11" s="407">
        <v>41887.743000000002</v>
      </c>
      <c r="H11" s="407">
        <v>41625.673900000002</v>
      </c>
      <c r="I11" s="408">
        <v>3</v>
      </c>
      <c r="J11" s="407">
        <v>2.9999999591598203</v>
      </c>
      <c r="K11" s="409"/>
      <c r="L11" s="409"/>
      <c r="M11" s="409"/>
      <c r="N11" s="458">
        <v>2506.27</v>
      </c>
      <c r="O11" s="407">
        <v>248033.98</v>
      </c>
      <c r="P11" s="409">
        <v>46506.37</v>
      </c>
      <c r="Q11" s="409">
        <v>37205.1</v>
      </c>
      <c r="R11" s="199">
        <v>0.15</v>
      </c>
      <c r="S11" s="409">
        <v>9301.27</v>
      </c>
      <c r="T11" s="236">
        <v>3.7499999999999999E-2</v>
      </c>
      <c r="U11" s="32" t="s">
        <v>305</v>
      </c>
      <c r="V11" s="32" t="s">
        <v>305</v>
      </c>
      <c r="W11" s="57" t="s">
        <v>305</v>
      </c>
      <c r="X11" s="58" t="s">
        <v>305</v>
      </c>
      <c r="Y11" s="58" t="s">
        <v>305</v>
      </c>
      <c r="Z11" s="32" t="s">
        <v>305</v>
      </c>
      <c r="AA11" s="32">
        <v>83513.416900000011</v>
      </c>
      <c r="AB11" s="32">
        <v>248033.98</v>
      </c>
      <c r="AC11" s="57">
        <v>2783.8</v>
      </c>
      <c r="AD11" s="58">
        <v>2.97</v>
      </c>
      <c r="AE11" s="58">
        <v>0.55689999999999995</v>
      </c>
      <c r="AF11" s="32">
        <v>46506.37</v>
      </c>
      <c r="AG11" s="37"/>
    </row>
    <row r="12" spans="1:33" s="251" customFormat="1" x14ac:dyDescent="0.25">
      <c r="A12" s="405" t="s">
        <v>28</v>
      </c>
      <c r="B12" s="17" t="s">
        <v>3</v>
      </c>
      <c r="C12" s="69" t="s">
        <v>31</v>
      </c>
      <c r="D12" s="406" t="s">
        <v>30</v>
      </c>
      <c r="E12" s="69" t="s">
        <v>98</v>
      </c>
      <c r="F12" s="223" t="s">
        <v>36</v>
      </c>
      <c r="G12" s="407">
        <v>3567</v>
      </c>
      <c r="H12" s="407">
        <v>3898</v>
      </c>
      <c r="I12" s="588">
        <v>62.619199999999999</v>
      </c>
      <c r="J12" s="588">
        <v>62.052700000000002</v>
      </c>
      <c r="K12" s="409"/>
      <c r="L12" s="409"/>
      <c r="M12" s="409"/>
      <c r="N12" s="458">
        <v>776.99</v>
      </c>
      <c r="O12" s="407">
        <v>464467.12</v>
      </c>
      <c r="P12" s="409">
        <v>87087.59</v>
      </c>
      <c r="Q12" s="409">
        <v>69670.070000000007</v>
      </c>
      <c r="R12" s="199">
        <v>0.15</v>
      </c>
      <c r="S12" s="409">
        <v>17417.52</v>
      </c>
      <c r="T12" s="236">
        <v>3.7499999999999999E-2</v>
      </c>
      <c r="U12" s="32">
        <v>7527.6192000000001</v>
      </c>
      <c r="V12" s="32">
        <v>464467.12</v>
      </c>
      <c r="W12" s="57">
        <v>250.9</v>
      </c>
      <c r="X12" s="58">
        <v>61.701700000000002</v>
      </c>
      <c r="Y12" s="58">
        <v>11.569100000000001</v>
      </c>
      <c r="Z12" s="32">
        <v>87087.59</v>
      </c>
      <c r="AA12" s="32" t="s">
        <v>305</v>
      </c>
      <c r="AB12" s="32" t="s">
        <v>305</v>
      </c>
      <c r="AC12" s="57" t="s">
        <v>305</v>
      </c>
      <c r="AD12" s="58" t="s">
        <v>305</v>
      </c>
      <c r="AE12" s="58" t="s">
        <v>305</v>
      </c>
      <c r="AF12" s="32" t="s">
        <v>305</v>
      </c>
      <c r="AG12" s="37"/>
    </row>
    <row r="13" spans="1:33" s="251" customFormat="1" x14ac:dyDescent="0.25">
      <c r="A13" s="411" t="s">
        <v>28</v>
      </c>
      <c r="B13" s="412" t="s">
        <v>315</v>
      </c>
      <c r="C13" s="223" t="s">
        <v>29</v>
      </c>
      <c r="D13" s="826" t="s">
        <v>21</v>
      </c>
      <c r="E13" s="223" t="s">
        <v>95</v>
      </c>
      <c r="F13" s="223" t="s">
        <v>55</v>
      </c>
      <c r="G13" s="407">
        <v>24083.477999999999</v>
      </c>
      <c r="H13" s="407">
        <v>23239.878100000002</v>
      </c>
      <c r="I13" s="408">
        <v>2.95</v>
      </c>
      <c r="J13" s="408">
        <v>2.95</v>
      </c>
      <c r="K13" s="409"/>
      <c r="L13" s="409"/>
      <c r="M13" s="409"/>
      <c r="N13" s="458">
        <v>3064</v>
      </c>
      <c r="O13" s="407">
        <v>136539.9</v>
      </c>
      <c r="P13" s="409">
        <v>25601.23</v>
      </c>
      <c r="Q13" s="409">
        <v>20480.990000000002</v>
      </c>
      <c r="R13" s="199">
        <v>0.15</v>
      </c>
      <c r="S13" s="409">
        <v>5120.25</v>
      </c>
      <c r="T13" s="236">
        <v>3.7499999999999999E-2</v>
      </c>
      <c r="U13" s="32" t="s">
        <v>305</v>
      </c>
      <c r="V13" s="32" t="s">
        <v>305</v>
      </c>
      <c r="W13" s="57" t="s">
        <v>305</v>
      </c>
      <c r="X13" s="58" t="s">
        <v>305</v>
      </c>
      <c r="Y13" s="58" t="s">
        <v>305</v>
      </c>
      <c r="Z13" s="32" t="s">
        <v>305</v>
      </c>
      <c r="AA13" s="32">
        <v>47323.356100000005</v>
      </c>
      <c r="AB13" s="32">
        <v>136539.9</v>
      </c>
      <c r="AC13" s="57">
        <v>1577.4</v>
      </c>
      <c r="AD13" s="58">
        <v>2.8853</v>
      </c>
      <c r="AE13" s="58">
        <v>0.54100000000000004</v>
      </c>
      <c r="AF13" s="32">
        <v>25601.23</v>
      </c>
      <c r="AG13" s="37"/>
    </row>
    <row r="14" spans="1:33" s="251" customFormat="1" x14ac:dyDescent="0.25">
      <c r="A14" s="405" t="s">
        <v>28</v>
      </c>
      <c r="B14" s="17" t="s">
        <v>4</v>
      </c>
      <c r="C14" s="69" t="s">
        <v>31</v>
      </c>
      <c r="D14" s="406" t="s">
        <v>30</v>
      </c>
      <c r="E14" s="69" t="s">
        <v>98</v>
      </c>
      <c r="F14" s="223" t="s">
        <v>36</v>
      </c>
      <c r="G14" s="407">
        <v>0</v>
      </c>
      <c r="H14" s="407">
        <v>0</v>
      </c>
      <c r="I14" s="408">
        <v>0</v>
      </c>
      <c r="J14" s="408">
        <v>0</v>
      </c>
      <c r="K14" s="409"/>
      <c r="L14" s="409"/>
      <c r="M14" s="409"/>
      <c r="N14" s="458">
        <v>1155.58</v>
      </c>
      <c r="O14" s="407">
        <v>-1155.58</v>
      </c>
      <c r="P14" s="409">
        <v>-216.67</v>
      </c>
      <c r="Q14" s="409">
        <v>-173.34</v>
      </c>
      <c r="R14" s="199">
        <v>0.15</v>
      </c>
      <c r="S14" s="409">
        <v>-43.33</v>
      </c>
      <c r="T14" s="236">
        <v>3.7499999999999999E-2</v>
      </c>
      <c r="U14" s="32">
        <v>0</v>
      </c>
      <c r="V14" s="32">
        <v>-1155.58</v>
      </c>
      <c r="W14" s="57">
        <v>0</v>
      </c>
      <c r="X14" s="58">
        <v>0</v>
      </c>
      <c r="Y14" s="58">
        <v>0</v>
      </c>
      <c r="Z14" s="32">
        <v>-216.67</v>
      </c>
      <c r="AA14" s="32" t="s">
        <v>305</v>
      </c>
      <c r="AB14" s="32" t="s">
        <v>305</v>
      </c>
      <c r="AC14" s="57" t="s">
        <v>305</v>
      </c>
      <c r="AD14" s="58" t="s">
        <v>305</v>
      </c>
      <c r="AE14" s="58" t="s">
        <v>305</v>
      </c>
      <c r="AF14" s="32" t="s">
        <v>305</v>
      </c>
      <c r="AG14" s="37"/>
    </row>
    <row r="15" spans="1:33" s="251" customFormat="1" x14ac:dyDescent="0.25">
      <c r="A15" s="405" t="s">
        <v>28</v>
      </c>
      <c r="B15" s="17" t="s">
        <v>316</v>
      </c>
      <c r="C15" s="223" t="s">
        <v>29</v>
      </c>
      <c r="D15" s="826" t="s">
        <v>21</v>
      </c>
      <c r="E15" s="223" t="s">
        <v>95</v>
      </c>
      <c r="F15" s="223" t="s">
        <v>55</v>
      </c>
      <c r="G15" s="407">
        <v>0</v>
      </c>
      <c r="H15" s="407">
        <v>0</v>
      </c>
      <c r="I15" s="408">
        <v>0</v>
      </c>
      <c r="J15" s="408">
        <v>0</v>
      </c>
      <c r="K15" s="409"/>
      <c r="L15" s="409"/>
      <c r="M15" s="409"/>
      <c r="N15" s="409"/>
      <c r="O15" s="410">
        <v>0</v>
      </c>
      <c r="P15" s="409">
        <v>0</v>
      </c>
      <c r="Q15" s="409">
        <v>0</v>
      </c>
      <c r="R15" s="199">
        <v>0.15</v>
      </c>
      <c r="S15" s="409">
        <v>0</v>
      </c>
      <c r="T15" s="236">
        <v>3.7499999999999999E-2</v>
      </c>
      <c r="U15" s="32" t="s">
        <v>305</v>
      </c>
      <c r="V15" s="32" t="s">
        <v>305</v>
      </c>
      <c r="W15" s="57" t="s">
        <v>305</v>
      </c>
      <c r="X15" s="58" t="s">
        <v>305</v>
      </c>
      <c r="Y15" s="58" t="s">
        <v>305</v>
      </c>
      <c r="Z15" s="32" t="s">
        <v>305</v>
      </c>
      <c r="AA15" s="32">
        <v>0</v>
      </c>
      <c r="AB15" s="32">
        <v>0</v>
      </c>
      <c r="AC15" s="57">
        <v>0</v>
      </c>
      <c r="AD15" s="58">
        <v>0</v>
      </c>
      <c r="AE15" s="58">
        <v>0</v>
      </c>
      <c r="AF15" s="32">
        <v>0</v>
      </c>
      <c r="AG15" s="37"/>
    </row>
    <row r="16" spans="1:33" s="251" customFormat="1" x14ac:dyDescent="0.25">
      <c r="A16" s="405" t="s">
        <v>28</v>
      </c>
      <c r="B16" s="17" t="s">
        <v>5</v>
      </c>
      <c r="C16" s="69" t="s">
        <v>31</v>
      </c>
      <c r="D16" s="406" t="s">
        <v>30</v>
      </c>
      <c r="E16" s="69" t="s">
        <v>98</v>
      </c>
      <c r="F16" s="223" t="s">
        <v>36</v>
      </c>
      <c r="G16" s="407">
        <v>48455</v>
      </c>
      <c r="H16" s="407">
        <v>50034</v>
      </c>
      <c r="I16" s="408">
        <v>64.450800000000001</v>
      </c>
      <c r="J16" s="408">
        <v>63.482700000000001</v>
      </c>
      <c r="K16" s="409"/>
      <c r="L16" s="409"/>
      <c r="M16" s="409"/>
      <c r="N16" s="458">
        <v>2032.57</v>
      </c>
      <c r="O16" s="407">
        <v>6297224.3499999996</v>
      </c>
      <c r="P16" s="409">
        <v>1180729.57</v>
      </c>
      <c r="Q16" s="409">
        <v>944583.65</v>
      </c>
      <c r="R16" s="199">
        <v>0.15</v>
      </c>
      <c r="S16" s="409">
        <v>236145.91</v>
      </c>
      <c r="T16" s="236">
        <v>3.7499999999999999E-2</v>
      </c>
      <c r="U16" s="32">
        <v>98489</v>
      </c>
      <c r="V16" s="32">
        <v>6297224.3499999996</v>
      </c>
      <c r="W16" s="57">
        <v>3283</v>
      </c>
      <c r="X16" s="58">
        <v>63.938400000000001</v>
      </c>
      <c r="Y16" s="58">
        <v>11.9884</v>
      </c>
      <c r="Z16" s="32">
        <v>1180729.57</v>
      </c>
      <c r="AA16" s="32" t="s">
        <v>305</v>
      </c>
      <c r="AB16" s="32" t="s">
        <v>305</v>
      </c>
      <c r="AC16" s="57" t="s">
        <v>305</v>
      </c>
      <c r="AD16" s="58" t="s">
        <v>305</v>
      </c>
      <c r="AE16" s="58" t="s">
        <v>305</v>
      </c>
      <c r="AF16" s="32" t="s">
        <v>305</v>
      </c>
      <c r="AG16" s="37"/>
    </row>
    <row r="17" spans="1:35" s="251" customFormat="1" x14ac:dyDescent="0.25">
      <c r="A17" s="405" t="s">
        <v>28</v>
      </c>
      <c r="B17" s="17" t="s">
        <v>317</v>
      </c>
      <c r="C17" s="69" t="s">
        <v>31</v>
      </c>
      <c r="D17" s="406" t="s">
        <v>30</v>
      </c>
      <c r="E17" s="69" t="s">
        <v>98</v>
      </c>
      <c r="F17" s="223" t="s">
        <v>36</v>
      </c>
      <c r="G17" s="407">
        <v>68601.657800000001</v>
      </c>
      <c r="H17" s="407">
        <v>64608.399899999997</v>
      </c>
      <c r="I17" s="408">
        <v>2.8281999999999998</v>
      </c>
      <c r="J17" s="408">
        <v>2.8281999999999998</v>
      </c>
      <c r="K17" s="409"/>
      <c r="L17" s="409"/>
      <c r="M17" s="409"/>
      <c r="N17" s="458">
        <v>601.69000000000005</v>
      </c>
      <c r="O17" s="407">
        <v>376143</v>
      </c>
      <c r="P17" s="409">
        <v>70526.81</v>
      </c>
      <c r="Q17" s="409">
        <v>56421.45</v>
      </c>
      <c r="R17" s="199">
        <v>0.15</v>
      </c>
      <c r="S17" s="409">
        <v>14105.36</v>
      </c>
      <c r="T17" s="236">
        <v>3.7499999999999999E-2</v>
      </c>
      <c r="U17" s="32">
        <v>133210.0577</v>
      </c>
      <c r="V17" s="32">
        <v>376143</v>
      </c>
      <c r="W17" s="57">
        <v>4440.3</v>
      </c>
      <c r="X17" s="58">
        <v>2.8237000000000001</v>
      </c>
      <c r="Y17" s="58">
        <v>0.52939999999999998</v>
      </c>
      <c r="Z17" s="32">
        <v>70526.81</v>
      </c>
      <c r="AA17" s="32" t="s">
        <v>305</v>
      </c>
      <c r="AB17" s="32" t="s">
        <v>305</v>
      </c>
      <c r="AC17" s="57" t="s">
        <v>305</v>
      </c>
      <c r="AD17" s="58" t="s">
        <v>305</v>
      </c>
      <c r="AE17" s="58" t="s">
        <v>305</v>
      </c>
      <c r="AF17" s="32" t="s">
        <v>305</v>
      </c>
      <c r="AG17" s="37"/>
    </row>
    <row r="18" spans="1:35" s="251" customFormat="1" x14ac:dyDescent="0.25">
      <c r="A18" s="405" t="s">
        <v>28</v>
      </c>
      <c r="B18" s="17" t="s">
        <v>17</v>
      </c>
      <c r="C18" s="69" t="s">
        <v>29</v>
      </c>
      <c r="D18" s="406" t="s">
        <v>21</v>
      </c>
      <c r="E18" s="69" t="s">
        <v>95</v>
      </c>
      <c r="F18" s="223" t="s">
        <v>36</v>
      </c>
      <c r="G18" s="407">
        <v>2213</v>
      </c>
      <c r="H18" s="407">
        <v>2181</v>
      </c>
      <c r="I18" s="408">
        <v>62.698999999999998</v>
      </c>
      <c r="J18" s="408">
        <v>62.076099999999997</v>
      </c>
      <c r="K18" s="409"/>
      <c r="L18" s="409"/>
      <c r="M18" s="409"/>
      <c r="N18" s="458">
        <v>507.73</v>
      </c>
      <c r="O18" s="410">
        <v>273633.13</v>
      </c>
      <c r="P18" s="409">
        <v>51306.21</v>
      </c>
      <c r="Q18" s="409">
        <v>41044.97</v>
      </c>
      <c r="R18" s="199">
        <v>0.15</v>
      </c>
      <c r="S18" s="409">
        <v>10261.24</v>
      </c>
      <c r="T18" s="236">
        <v>3.7499999999999999E-2</v>
      </c>
      <c r="U18" s="32">
        <v>4394</v>
      </c>
      <c r="V18" s="32">
        <v>273633.13</v>
      </c>
      <c r="W18" s="57">
        <v>146.5</v>
      </c>
      <c r="X18" s="58">
        <v>62.274299999999997</v>
      </c>
      <c r="Y18" s="58">
        <v>11.676399999999999</v>
      </c>
      <c r="Z18" s="32">
        <v>51306.21</v>
      </c>
      <c r="AA18" s="32" t="s">
        <v>305</v>
      </c>
      <c r="AB18" s="32" t="s">
        <v>305</v>
      </c>
      <c r="AC18" s="57" t="s">
        <v>305</v>
      </c>
      <c r="AD18" s="58" t="s">
        <v>305</v>
      </c>
      <c r="AE18" s="58" t="s">
        <v>305</v>
      </c>
      <c r="AF18" s="32" t="s">
        <v>305</v>
      </c>
      <c r="AG18" s="37"/>
    </row>
    <row r="19" spans="1:35" s="251" customFormat="1" x14ac:dyDescent="0.25">
      <c r="A19" s="405" t="s">
        <v>28</v>
      </c>
      <c r="B19" s="17" t="s">
        <v>293</v>
      </c>
      <c r="C19" s="69" t="s">
        <v>31</v>
      </c>
      <c r="D19" s="406" t="s">
        <v>30</v>
      </c>
      <c r="E19" s="69" t="s">
        <v>95</v>
      </c>
      <c r="F19" s="223" t="s">
        <v>36</v>
      </c>
      <c r="G19" s="407"/>
      <c r="H19" s="407"/>
      <c r="I19" s="417"/>
      <c r="J19" s="408"/>
      <c r="K19" s="409"/>
      <c r="L19" s="409"/>
      <c r="M19" s="409"/>
      <c r="N19" s="458">
        <v>411.57</v>
      </c>
      <c r="O19" s="410">
        <v>-411.57</v>
      </c>
      <c r="P19" s="409">
        <v>-77.17</v>
      </c>
      <c r="Q19" s="409">
        <v>-61.74</v>
      </c>
      <c r="R19" s="199">
        <v>0.15</v>
      </c>
      <c r="S19" s="409">
        <v>-15.43</v>
      </c>
      <c r="T19" s="236">
        <v>3.7499999999999999E-2</v>
      </c>
      <c r="U19" s="32">
        <v>0</v>
      </c>
      <c r="V19" s="32">
        <v>-411.57</v>
      </c>
      <c r="W19" s="57">
        <v>0</v>
      </c>
      <c r="X19" s="58">
        <v>0</v>
      </c>
      <c r="Y19" s="58">
        <v>0</v>
      </c>
      <c r="Z19" s="32">
        <v>-77.17</v>
      </c>
      <c r="AA19" s="32" t="s">
        <v>305</v>
      </c>
      <c r="AB19" s="32" t="s">
        <v>305</v>
      </c>
      <c r="AC19" s="57" t="s">
        <v>305</v>
      </c>
      <c r="AD19" s="58" t="s">
        <v>305</v>
      </c>
      <c r="AE19" s="58" t="s">
        <v>305</v>
      </c>
      <c r="AF19" s="32" t="s">
        <v>305</v>
      </c>
      <c r="AG19" s="37"/>
    </row>
    <row r="20" spans="1:35" s="251" customFormat="1" x14ac:dyDescent="0.25">
      <c r="A20" s="405" t="s">
        <v>28</v>
      </c>
      <c r="B20" s="17" t="s">
        <v>294</v>
      </c>
      <c r="C20" s="69" t="s">
        <v>31</v>
      </c>
      <c r="D20" s="406" t="s">
        <v>30</v>
      </c>
      <c r="E20" s="69" t="s">
        <v>95</v>
      </c>
      <c r="F20" s="223" t="s">
        <v>55</v>
      </c>
      <c r="G20" s="407"/>
      <c r="H20" s="407"/>
      <c r="I20" s="417"/>
      <c r="J20" s="408"/>
      <c r="K20" s="409"/>
      <c r="L20" s="409"/>
      <c r="M20" s="409"/>
      <c r="N20" s="458">
        <v>176.94</v>
      </c>
      <c r="O20" s="410">
        <v>-176.94</v>
      </c>
      <c r="P20" s="409">
        <v>-33.18</v>
      </c>
      <c r="Q20" s="409">
        <v>-26.54</v>
      </c>
      <c r="R20" s="199">
        <v>0.15</v>
      </c>
      <c r="S20" s="409">
        <v>-6.64</v>
      </c>
      <c r="T20" s="236">
        <v>3.7499999999999999E-2</v>
      </c>
      <c r="U20" s="32" t="s">
        <v>305</v>
      </c>
      <c r="V20" s="32" t="s">
        <v>305</v>
      </c>
      <c r="W20" s="57" t="s">
        <v>305</v>
      </c>
      <c r="X20" s="58" t="s">
        <v>305</v>
      </c>
      <c r="Y20" s="58" t="s">
        <v>305</v>
      </c>
      <c r="Z20" s="32" t="s">
        <v>305</v>
      </c>
      <c r="AA20" s="32">
        <v>0</v>
      </c>
      <c r="AB20" s="32">
        <v>-176.94</v>
      </c>
      <c r="AC20" s="57">
        <v>0</v>
      </c>
      <c r="AD20" s="58">
        <v>0</v>
      </c>
      <c r="AE20" s="58">
        <v>0</v>
      </c>
      <c r="AF20" s="32">
        <v>-33.18</v>
      </c>
      <c r="AG20" s="37"/>
    </row>
    <row r="21" spans="1:35" s="251" customFormat="1" x14ac:dyDescent="0.25">
      <c r="A21" s="405" t="s">
        <v>28</v>
      </c>
      <c r="B21" s="17" t="s">
        <v>295</v>
      </c>
      <c r="C21" s="69" t="s">
        <v>31</v>
      </c>
      <c r="D21" s="406" t="s">
        <v>30</v>
      </c>
      <c r="E21" s="69" t="s">
        <v>95</v>
      </c>
      <c r="F21" s="223" t="s">
        <v>36</v>
      </c>
      <c r="G21" s="407">
        <v>16378</v>
      </c>
      <c r="H21" s="417">
        <v>16655</v>
      </c>
      <c r="I21" s="417">
        <v>62.698999999999998</v>
      </c>
      <c r="J21" s="408">
        <v>62.076099999999997</v>
      </c>
      <c r="K21" s="409"/>
      <c r="L21" s="409"/>
      <c r="M21" s="409"/>
      <c r="N21" s="458">
        <v>300.02</v>
      </c>
      <c r="O21" s="410">
        <v>2060461.65</v>
      </c>
      <c r="P21" s="409">
        <v>386336.56</v>
      </c>
      <c r="Q21" s="409">
        <v>309069.25</v>
      </c>
      <c r="R21" s="199">
        <v>0.15</v>
      </c>
      <c r="S21" s="409">
        <v>77267.31</v>
      </c>
      <c r="T21" s="236">
        <v>3.7499999999999999E-2</v>
      </c>
      <c r="U21" s="32">
        <v>33033</v>
      </c>
      <c r="V21" s="32">
        <v>2060461.65</v>
      </c>
      <c r="W21" s="57">
        <v>1101.0999999999999</v>
      </c>
      <c r="X21" s="58">
        <v>62.375900000000001</v>
      </c>
      <c r="Y21" s="58">
        <v>11.695499999999999</v>
      </c>
      <c r="Z21" s="32">
        <v>386336.56</v>
      </c>
      <c r="AA21" s="32" t="s">
        <v>305</v>
      </c>
      <c r="AB21" s="32" t="s">
        <v>305</v>
      </c>
      <c r="AC21" s="57" t="s">
        <v>305</v>
      </c>
      <c r="AD21" s="58" t="s">
        <v>305</v>
      </c>
      <c r="AE21" s="58" t="s">
        <v>305</v>
      </c>
      <c r="AF21" s="32" t="s">
        <v>305</v>
      </c>
      <c r="AG21" s="37"/>
    </row>
    <row r="22" spans="1:35" s="251" customFormat="1" x14ac:dyDescent="0.25">
      <c r="A22" s="405" t="s">
        <v>28</v>
      </c>
      <c r="B22" s="17" t="s">
        <v>18</v>
      </c>
      <c r="C22" s="69" t="s">
        <v>31</v>
      </c>
      <c r="D22" s="406" t="s">
        <v>30</v>
      </c>
      <c r="E22" s="69" t="s">
        <v>98</v>
      </c>
      <c r="F22" s="223" t="s">
        <v>36</v>
      </c>
      <c r="G22" s="407">
        <v>2439</v>
      </c>
      <c r="H22" s="407">
        <v>4429</v>
      </c>
      <c r="I22" s="408">
        <v>64.450800000000001</v>
      </c>
      <c r="J22" s="408">
        <v>63.482700000000001</v>
      </c>
      <c r="K22" s="409"/>
      <c r="L22" s="409"/>
      <c r="M22" s="409"/>
      <c r="N22" s="458">
        <v>323.10000000000002</v>
      </c>
      <c r="O22" s="410">
        <v>438037.28</v>
      </c>
      <c r="P22" s="409">
        <v>82131.990000000005</v>
      </c>
      <c r="Q22" s="409">
        <v>65705.59</v>
      </c>
      <c r="R22" s="199">
        <v>0.15</v>
      </c>
      <c r="S22" s="409">
        <v>16426.400000000001</v>
      </c>
      <c r="T22" s="236">
        <v>3.7499999999999999E-2</v>
      </c>
      <c r="U22" s="32">
        <v>6868</v>
      </c>
      <c r="V22" s="32">
        <v>438037.28</v>
      </c>
      <c r="W22" s="57">
        <v>228.9</v>
      </c>
      <c r="X22" s="58">
        <v>63.779499999999999</v>
      </c>
      <c r="Y22" s="58">
        <v>11.958600000000001</v>
      </c>
      <c r="Z22" s="32">
        <v>82131.990000000005</v>
      </c>
      <c r="AA22" s="32" t="s">
        <v>305</v>
      </c>
      <c r="AB22" s="32" t="s">
        <v>305</v>
      </c>
      <c r="AC22" s="57" t="s">
        <v>305</v>
      </c>
      <c r="AD22" s="58" t="s">
        <v>305</v>
      </c>
      <c r="AE22" s="58" t="s">
        <v>305</v>
      </c>
      <c r="AF22" s="32" t="s">
        <v>305</v>
      </c>
      <c r="AG22" s="37"/>
    </row>
    <row r="23" spans="1:35" s="251" customFormat="1" x14ac:dyDescent="0.25">
      <c r="A23" s="405" t="s">
        <v>28</v>
      </c>
      <c r="B23" s="17" t="s">
        <v>20</v>
      </c>
      <c r="C23" s="69" t="s">
        <v>31</v>
      </c>
      <c r="D23" s="406" t="s">
        <v>30</v>
      </c>
      <c r="E23" s="69" t="s">
        <v>98</v>
      </c>
      <c r="F23" s="223" t="s">
        <v>36</v>
      </c>
      <c r="G23" s="407">
        <v>124195</v>
      </c>
      <c r="H23" s="407">
        <v>124259</v>
      </c>
      <c r="I23" s="408">
        <v>64.803799999999995</v>
      </c>
      <c r="J23" s="408">
        <v>64.358699999999999</v>
      </c>
      <c r="K23" s="409"/>
      <c r="L23" s="409"/>
      <c r="M23" s="409"/>
      <c r="N23" s="458">
        <v>663.23</v>
      </c>
      <c r="O23" s="410">
        <v>16044792.41</v>
      </c>
      <c r="P23" s="409">
        <v>3008398.58</v>
      </c>
      <c r="Q23" s="409">
        <v>2406718.86</v>
      </c>
      <c r="R23" s="199">
        <v>0.15</v>
      </c>
      <c r="S23" s="409">
        <v>601679.72</v>
      </c>
      <c r="T23" s="236">
        <v>3.7499999999999999E-2</v>
      </c>
      <c r="U23" s="32">
        <v>248454</v>
      </c>
      <c r="V23" s="32">
        <v>16044792.41</v>
      </c>
      <c r="W23" s="57">
        <v>8281.7999999999993</v>
      </c>
      <c r="X23" s="58">
        <v>64.578500000000005</v>
      </c>
      <c r="Y23" s="58">
        <v>12.108499999999999</v>
      </c>
      <c r="Z23" s="32">
        <v>3008398.58</v>
      </c>
      <c r="AA23" s="32" t="s">
        <v>305</v>
      </c>
      <c r="AB23" s="32" t="s">
        <v>305</v>
      </c>
      <c r="AC23" s="57" t="s">
        <v>305</v>
      </c>
      <c r="AD23" s="58" t="s">
        <v>305</v>
      </c>
      <c r="AE23" s="58" t="s">
        <v>305</v>
      </c>
      <c r="AF23" s="32" t="s">
        <v>305</v>
      </c>
      <c r="AG23" s="37"/>
    </row>
    <row r="24" spans="1:35" s="251" customFormat="1" x14ac:dyDescent="0.25">
      <c r="A24" s="405" t="s">
        <v>28</v>
      </c>
      <c r="B24" s="17" t="s">
        <v>318</v>
      </c>
      <c r="C24" s="69" t="s">
        <v>31</v>
      </c>
      <c r="D24" s="406" t="s">
        <v>21</v>
      </c>
      <c r="E24" s="69" t="s">
        <v>98</v>
      </c>
      <c r="F24" s="223" t="s">
        <v>55</v>
      </c>
      <c r="G24" s="407">
        <v>214706.57</v>
      </c>
      <c r="H24" s="407">
        <v>198768.69</v>
      </c>
      <c r="I24" s="408">
        <v>3.1</v>
      </c>
      <c r="J24" s="408">
        <v>2.9563999999999999</v>
      </c>
      <c r="K24" s="409"/>
      <c r="L24" s="409"/>
      <c r="M24" s="409"/>
      <c r="N24" s="458">
        <v>632.46</v>
      </c>
      <c r="O24" s="410">
        <v>1252597.67</v>
      </c>
      <c r="P24" s="409">
        <v>234862.06</v>
      </c>
      <c r="Q24" s="409">
        <v>187889.65</v>
      </c>
      <c r="R24" s="199">
        <v>0.15</v>
      </c>
      <c r="S24" s="409">
        <v>46972.41</v>
      </c>
      <c r="T24" s="236">
        <v>3.7499999999999999E-2</v>
      </c>
      <c r="U24" s="32" t="s">
        <v>305</v>
      </c>
      <c r="V24" s="32" t="s">
        <v>305</v>
      </c>
      <c r="W24" s="57" t="s">
        <v>305</v>
      </c>
      <c r="X24" s="58" t="s">
        <v>305</v>
      </c>
      <c r="Y24" s="58" t="s">
        <v>305</v>
      </c>
      <c r="Z24" s="32" t="s">
        <v>305</v>
      </c>
      <c r="AA24" s="32">
        <v>413475.26</v>
      </c>
      <c r="AB24" s="32">
        <v>1252597.67</v>
      </c>
      <c r="AC24" s="57">
        <v>13782.5</v>
      </c>
      <c r="AD24" s="58">
        <v>3.0293999999999999</v>
      </c>
      <c r="AE24" s="58">
        <v>0.56799999999999995</v>
      </c>
      <c r="AF24" s="32">
        <v>234862.06</v>
      </c>
      <c r="AG24" s="37"/>
    </row>
    <row r="25" spans="1:35" s="251" customFormat="1" x14ac:dyDescent="0.25">
      <c r="A25" s="405" t="s">
        <v>28</v>
      </c>
      <c r="B25" s="17" t="s">
        <v>9</v>
      </c>
      <c r="C25" s="69" t="s">
        <v>31</v>
      </c>
      <c r="D25" s="406" t="s">
        <v>30</v>
      </c>
      <c r="E25" s="69" t="s">
        <v>98</v>
      </c>
      <c r="F25" s="223" t="s">
        <v>36</v>
      </c>
      <c r="G25" s="407"/>
      <c r="H25" s="407"/>
      <c r="I25" s="408"/>
      <c r="J25" s="408"/>
      <c r="K25" s="409"/>
      <c r="L25" s="409"/>
      <c r="M25" s="409"/>
      <c r="N25" s="458"/>
      <c r="O25" s="410">
        <v>0</v>
      </c>
      <c r="P25" s="409">
        <v>0</v>
      </c>
      <c r="Q25" s="409">
        <v>0</v>
      </c>
      <c r="R25" s="199">
        <v>0.15</v>
      </c>
      <c r="S25" s="409">
        <v>0</v>
      </c>
      <c r="T25" s="236">
        <v>3.7499999999999999E-2</v>
      </c>
      <c r="U25" s="32">
        <v>0</v>
      </c>
      <c r="V25" s="32">
        <v>0</v>
      </c>
      <c r="W25" s="57">
        <v>0</v>
      </c>
      <c r="X25" s="58">
        <v>0</v>
      </c>
      <c r="Y25" s="58">
        <v>0</v>
      </c>
      <c r="Z25" s="32">
        <v>0</v>
      </c>
      <c r="AA25" s="32" t="s">
        <v>305</v>
      </c>
      <c r="AB25" s="32" t="s">
        <v>305</v>
      </c>
      <c r="AC25" s="57" t="s">
        <v>305</v>
      </c>
      <c r="AD25" s="58" t="s">
        <v>305</v>
      </c>
      <c r="AE25" s="58" t="s">
        <v>305</v>
      </c>
      <c r="AF25" s="32" t="s">
        <v>305</v>
      </c>
      <c r="AG25" s="37"/>
    </row>
    <row r="26" spans="1:35" s="251" customFormat="1" x14ac:dyDescent="0.25">
      <c r="A26" s="405" t="s">
        <v>28</v>
      </c>
      <c r="B26" s="17" t="s">
        <v>165</v>
      </c>
      <c r="C26" s="69" t="s">
        <v>31</v>
      </c>
      <c r="D26" s="406" t="s">
        <v>30</v>
      </c>
      <c r="E26" s="69" t="s">
        <v>98</v>
      </c>
      <c r="F26" s="223" t="s">
        <v>36</v>
      </c>
      <c r="G26" s="407">
        <v>12037</v>
      </c>
      <c r="H26" s="408">
        <v>11987</v>
      </c>
      <c r="I26" s="408">
        <v>61.480800000000002</v>
      </c>
      <c r="J26" s="408">
        <v>63.402700000000003</v>
      </c>
      <c r="K26" s="409"/>
      <c r="L26" s="409"/>
      <c r="M26" s="409"/>
      <c r="N26" s="458">
        <v>3346.42</v>
      </c>
      <c r="O26" s="410">
        <v>1496706.1300000001</v>
      </c>
      <c r="P26" s="409">
        <v>280632.40000000002</v>
      </c>
      <c r="Q26" s="409">
        <v>224505.92</v>
      </c>
      <c r="R26" s="199">
        <v>0.15</v>
      </c>
      <c r="S26" s="409">
        <v>56126.48</v>
      </c>
      <c r="T26" s="236">
        <v>3.7499999999999999E-2</v>
      </c>
      <c r="U26" s="32">
        <v>24024</v>
      </c>
      <c r="V26" s="32">
        <v>1496706.1300000001</v>
      </c>
      <c r="W26" s="57">
        <v>800.8</v>
      </c>
      <c r="X26" s="58">
        <v>62.3005</v>
      </c>
      <c r="Y26" s="58">
        <v>11.6813</v>
      </c>
      <c r="Z26" s="32">
        <v>280632.40000000002</v>
      </c>
      <c r="AA26" s="32" t="s">
        <v>305</v>
      </c>
      <c r="AB26" s="32" t="s">
        <v>305</v>
      </c>
      <c r="AC26" s="57" t="s">
        <v>305</v>
      </c>
      <c r="AD26" s="58" t="s">
        <v>305</v>
      </c>
      <c r="AE26" s="58" t="s">
        <v>305</v>
      </c>
      <c r="AF26" s="32" t="s">
        <v>305</v>
      </c>
      <c r="AG26" s="37"/>
    </row>
    <row r="27" spans="1:35" s="937" customFormat="1" x14ac:dyDescent="0.25">
      <c r="A27" s="932" t="s">
        <v>28</v>
      </c>
      <c r="B27" s="933" t="s">
        <v>157</v>
      </c>
      <c r="C27" s="934" t="s">
        <v>31</v>
      </c>
      <c r="D27" s="935" t="s">
        <v>30</v>
      </c>
      <c r="E27" s="934" t="s">
        <v>98</v>
      </c>
      <c r="F27" s="936" t="s">
        <v>55</v>
      </c>
      <c r="G27" s="475">
        <v>427990.91940000001</v>
      </c>
      <c r="H27" s="475">
        <v>555359.3406</v>
      </c>
      <c r="I27" s="475">
        <v>2.9904018099127923</v>
      </c>
      <c r="J27" s="459">
        <v>3.1517461075003301</v>
      </c>
      <c r="K27" s="444"/>
      <c r="L27" s="444"/>
      <c r="M27" s="444"/>
      <c r="N27" s="505">
        <v>3449.95</v>
      </c>
      <c r="O27" s="505">
        <v>3030216.46</v>
      </c>
      <c r="P27" s="505">
        <v>568165.57000000007</v>
      </c>
      <c r="Q27" s="505">
        <v>454532.47</v>
      </c>
      <c r="R27" s="472">
        <v>0.15</v>
      </c>
      <c r="S27" s="505">
        <v>113633.10999999999</v>
      </c>
      <c r="T27" s="473">
        <v>3.7499999999999999E-2</v>
      </c>
      <c r="U27" s="483" t="s">
        <v>305</v>
      </c>
      <c r="V27" s="483" t="s">
        <v>305</v>
      </c>
      <c r="W27" s="484" t="s">
        <v>305</v>
      </c>
      <c r="X27" s="485" t="s">
        <v>305</v>
      </c>
      <c r="Y27" s="485" t="s">
        <v>305</v>
      </c>
      <c r="Z27" s="483" t="s">
        <v>305</v>
      </c>
      <c r="AA27" s="483">
        <v>983350.26</v>
      </c>
      <c r="AB27" s="483">
        <v>3030216.46</v>
      </c>
      <c r="AC27" s="484">
        <v>32778.300000000003</v>
      </c>
      <c r="AD27" s="485">
        <v>3.0815000000000001</v>
      </c>
      <c r="AE27" s="485">
        <v>0.57779999999999998</v>
      </c>
      <c r="AF27" s="483">
        <v>568165.57000000007</v>
      </c>
      <c r="AG27" s="486"/>
    </row>
    <row r="28" spans="1:35" s="251" customFormat="1" x14ac:dyDescent="0.25">
      <c r="A28" s="405" t="s">
        <v>28</v>
      </c>
      <c r="B28" s="17" t="s">
        <v>170</v>
      </c>
      <c r="C28" s="69" t="s">
        <v>31</v>
      </c>
      <c r="D28" s="406" t="s">
        <v>30</v>
      </c>
      <c r="E28" s="69" t="s">
        <v>98</v>
      </c>
      <c r="F28" s="223" t="s">
        <v>36</v>
      </c>
      <c r="G28" s="407">
        <v>133</v>
      </c>
      <c r="H28" s="408">
        <v>139</v>
      </c>
      <c r="I28" s="408">
        <v>64.450800000000001</v>
      </c>
      <c r="J28" s="408">
        <v>63.482700000000001</v>
      </c>
      <c r="K28" s="409"/>
      <c r="L28" s="409"/>
      <c r="M28" s="409"/>
      <c r="N28" s="458">
        <v>207.71</v>
      </c>
      <c r="O28" s="410">
        <v>17188.349999999999</v>
      </c>
      <c r="P28" s="409">
        <v>3222.82</v>
      </c>
      <c r="Q28" s="409">
        <v>644.55999999999995</v>
      </c>
      <c r="R28" s="236">
        <v>3.7499999999999999E-2</v>
      </c>
      <c r="S28" s="409">
        <v>2578.25</v>
      </c>
      <c r="T28" s="199">
        <v>0.15</v>
      </c>
      <c r="U28" s="32">
        <v>272</v>
      </c>
      <c r="V28" s="32">
        <v>17188.349999999999</v>
      </c>
      <c r="W28" s="57">
        <v>9.1</v>
      </c>
      <c r="X28" s="58">
        <v>63.192500000000003</v>
      </c>
      <c r="Y28" s="58">
        <v>11.848599999999999</v>
      </c>
      <c r="Z28" s="32">
        <v>3222.82</v>
      </c>
      <c r="AA28" s="32" t="s">
        <v>305</v>
      </c>
      <c r="AB28" s="32" t="s">
        <v>305</v>
      </c>
      <c r="AC28" s="57" t="s">
        <v>305</v>
      </c>
      <c r="AD28" s="58" t="s">
        <v>305</v>
      </c>
      <c r="AE28" s="58" t="s">
        <v>305</v>
      </c>
      <c r="AF28" s="32" t="s">
        <v>305</v>
      </c>
      <c r="AG28" s="37"/>
    </row>
    <row r="29" spans="1:35" s="251" customFormat="1" x14ac:dyDescent="0.25">
      <c r="A29" s="405" t="s">
        <v>28</v>
      </c>
      <c r="B29" s="17" t="s">
        <v>319</v>
      </c>
      <c r="C29" s="69" t="s">
        <v>31</v>
      </c>
      <c r="D29" s="406" t="s">
        <v>30</v>
      </c>
      <c r="E29" s="69" t="s">
        <v>98</v>
      </c>
      <c r="F29" s="223" t="s">
        <v>36</v>
      </c>
      <c r="G29" s="407"/>
      <c r="H29" s="407"/>
      <c r="I29" s="408"/>
      <c r="J29" s="408"/>
      <c r="K29" s="409"/>
      <c r="L29" s="409"/>
      <c r="M29" s="409"/>
      <c r="N29" s="458">
        <v>1053.93</v>
      </c>
      <c r="O29" s="410">
        <v>-1053.93</v>
      </c>
      <c r="P29" s="409">
        <v>-197.61</v>
      </c>
      <c r="Q29" s="409">
        <v>-39.520000000000003</v>
      </c>
      <c r="R29" s="236">
        <v>3.7499999999999999E-2</v>
      </c>
      <c r="S29" s="409">
        <v>-158.09</v>
      </c>
      <c r="T29" s="199">
        <v>0.15</v>
      </c>
      <c r="U29" s="32"/>
      <c r="V29" s="32"/>
      <c r="W29" s="57"/>
      <c r="X29" s="58"/>
      <c r="Y29" s="58"/>
      <c r="Z29" s="32"/>
      <c r="AA29" s="32"/>
      <c r="AB29" s="32"/>
      <c r="AC29" s="57"/>
      <c r="AD29" s="58"/>
      <c r="AE29" s="58"/>
      <c r="AF29" s="32"/>
      <c r="AG29" s="37"/>
      <c r="AI29" s="290"/>
    </row>
    <row r="30" spans="1:35" s="251" customFormat="1" x14ac:dyDescent="0.25">
      <c r="A30" s="413" t="s">
        <v>28</v>
      </c>
      <c r="B30" s="414" t="s">
        <v>296</v>
      </c>
      <c r="C30" s="69" t="s">
        <v>31</v>
      </c>
      <c r="D30" s="406" t="s">
        <v>30</v>
      </c>
      <c r="E30" s="69" t="s">
        <v>98</v>
      </c>
      <c r="F30" s="223" t="s">
        <v>36</v>
      </c>
      <c r="G30" s="458">
        <v>37054</v>
      </c>
      <c r="H30" s="458">
        <v>54525</v>
      </c>
      <c r="I30" s="408">
        <v>63.918999999999997</v>
      </c>
      <c r="J30" s="408">
        <v>63.405999999999999</v>
      </c>
      <c r="K30" s="407"/>
      <c r="L30" s="409"/>
      <c r="M30" s="409"/>
      <c r="N30" s="458">
        <v>3183.24</v>
      </c>
      <c r="O30" s="410">
        <v>5822483.5399999991</v>
      </c>
      <c r="P30" s="409">
        <v>1091715.6599999999</v>
      </c>
      <c r="Q30" s="409">
        <v>873372.53</v>
      </c>
      <c r="R30" s="227">
        <v>0.15</v>
      </c>
      <c r="S30" s="409">
        <v>218343.13</v>
      </c>
      <c r="T30" s="236">
        <v>3.7499999999999999E-2</v>
      </c>
      <c r="U30" s="32"/>
      <c r="V30" s="32"/>
      <c r="W30" s="57"/>
      <c r="X30" s="58"/>
      <c r="Y30" s="58"/>
      <c r="Z30" s="32"/>
      <c r="AA30" s="32"/>
      <c r="AB30" s="32"/>
      <c r="AC30" s="57"/>
      <c r="AD30" s="58"/>
      <c r="AE30" s="58"/>
      <c r="AF30" s="32"/>
      <c r="AG30" s="37"/>
    </row>
    <row r="31" spans="1:35" s="251" customFormat="1" x14ac:dyDescent="0.25">
      <c r="A31" s="413" t="s">
        <v>28</v>
      </c>
      <c r="B31" s="414" t="s">
        <v>297</v>
      </c>
      <c r="C31" s="69" t="s">
        <v>31</v>
      </c>
      <c r="D31" s="406" t="s">
        <v>30</v>
      </c>
      <c r="E31" s="69" t="s">
        <v>98</v>
      </c>
      <c r="F31" s="223" t="s">
        <v>55</v>
      </c>
      <c r="G31" s="458">
        <v>143609.03</v>
      </c>
      <c r="H31" s="458">
        <v>138944.54</v>
      </c>
      <c r="I31" s="458">
        <v>2.5655059434633047</v>
      </c>
      <c r="J31" s="458">
        <v>2.683842200636311</v>
      </c>
      <c r="K31" s="407"/>
      <c r="L31" s="409"/>
      <c r="M31" s="409"/>
      <c r="N31" s="458">
        <v>3294.48</v>
      </c>
      <c r="O31" s="410">
        <v>738040.56</v>
      </c>
      <c r="P31" s="409">
        <v>138382.60999999999</v>
      </c>
      <c r="Q31" s="409">
        <v>110706.08</v>
      </c>
      <c r="R31" s="227">
        <v>0.15</v>
      </c>
      <c r="S31" s="409">
        <v>27676.52</v>
      </c>
      <c r="T31" s="236">
        <v>3.7499999999999999E-2</v>
      </c>
      <c r="U31" s="32"/>
      <c r="V31" s="32"/>
      <c r="W31" s="57"/>
      <c r="X31" s="58"/>
      <c r="Y31" s="58"/>
      <c r="Z31" s="32"/>
      <c r="AA31" s="32"/>
      <c r="AB31" s="32"/>
      <c r="AC31" s="57"/>
      <c r="AD31" s="58"/>
      <c r="AE31" s="58"/>
      <c r="AF31" s="32"/>
      <c r="AG31" s="37"/>
    </row>
    <row r="32" spans="1:35" s="251" customFormat="1" x14ac:dyDescent="0.25">
      <c r="A32" s="413" t="s">
        <v>28</v>
      </c>
      <c r="B32" s="414" t="s">
        <v>298</v>
      </c>
      <c r="C32" s="69" t="s">
        <v>31</v>
      </c>
      <c r="D32" s="406" t="s">
        <v>30</v>
      </c>
      <c r="E32" s="69" t="s">
        <v>98</v>
      </c>
      <c r="F32" s="223" t="s">
        <v>36</v>
      </c>
      <c r="G32" s="458">
        <v>8167</v>
      </c>
      <c r="H32" s="458">
        <v>10248</v>
      </c>
      <c r="I32" s="408">
        <v>34.682899999999997</v>
      </c>
      <c r="J32" s="408">
        <v>35.275100000000002</v>
      </c>
      <c r="K32" s="407"/>
      <c r="L32" s="409"/>
      <c r="M32" s="409"/>
      <c r="N32" s="458">
        <v>1034.7</v>
      </c>
      <c r="O32" s="410">
        <v>643719.76</v>
      </c>
      <c r="P32" s="409">
        <v>120697.46</v>
      </c>
      <c r="Q32" s="409">
        <v>96557.96</v>
      </c>
      <c r="R32" s="227">
        <v>0.15</v>
      </c>
      <c r="S32" s="409">
        <v>24139.49</v>
      </c>
      <c r="T32" s="236">
        <v>3.7499999999999999E-2</v>
      </c>
      <c r="U32" s="32"/>
      <c r="V32" s="32"/>
      <c r="W32" s="57"/>
      <c r="X32" s="58"/>
      <c r="Y32" s="58"/>
      <c r="Z32" s="32"/>
      <c r="AA32" s="32"/>
      <c r="AB32" s="32"/>
      <c r="AC32" s="57"/>
      <c r="AD32" s="58"/>
      <c r="AE32" s="58"/>
      <c r="AF32" s="32"/>
      <c r="AG32" s="37"/>
    </row>
    <row r="33" spans="1:35" s="251" customFormat="1" x14ac:dyDescent="0.25">
      <c r="A33" s="413" t="s">
        <v>28</v>
      </c>
      <c r="B33" s="414" t="s">
        <v>51</v>
      </c>
      <c r="C33" s="415"/>
      <c r="D33" s="415"/>
      <c r="E33" s="416"/>
      <c r="F33" s="223"/>
      <c r="G33" s="409"/>
      <c r="H33" s="409"/>
      <c r="I33" s="417"/>
      <c r="J33" s="417"/>
      <c r="K33" s="409"/>
      <c r="L33" s="409"/>
      <c r="M33" s="497"/>
      <c r="N33" s="409"/>
      <c r="O33" s="410">
        <v>-29328.820000000185</v>
      </c>
      <c r="P33" s="410">
        <v>-5499.1599999999835</v>
      </c>
      <c r="Q33" s="410">
        <v>-4399.3199999999924</v>
      </c>
      <c r="R33" s="410"/>
      <c r="S33" s="410">
        <v>-1099.8200000000024</v>
      </c>
      <c r="T33" s="199"/>
      <c r="U33" s="32" t="s">
        <v>305</v>
      </c>
      <c r="V33" s="32" t="s">
        <v>305</v>
      </c>
      <c r="W33" s="57" t="s">
        <v>305</v>
      </c>
      <c r="X33" s="58" t="s">
        <v>305</v>
      </c>
      <c r="Y33" s="58" t="s">
        <v>305</v>
      </c>
      <c r="Z33" s="32" t="s">
        <v>305</v>
      </c>
      <c r="AA33" s="32" t="s">
        <v>305</v>
      </c>
      <c r="AB33" s="32" t="s">
        <v>305</v>
      </c>
      <c r="AC33" s="57" t="s">
        <v>305</v>
      </c>
      <c r="AD33" s="58" t="s">
        <v>305</v>
      </c>
      <c r="AE33" s="58" t="s">
        <v>305</v>
      </c>
      <c r="AF33" s="32" t="s">
        <v>305</v>
      </c>
      <c r="AG33" s="37"/>
      <c r="AI33" s="147"/>
    </row>
    <row r="34" spans="1:35" s="251" customFormat="1" x14ac:dyDescent="0.25">
      <c r="A34" s="24"/>
      <c r="B34" s="127" t="s">
        <v>105</v>
      </c>
      <c r="C34" s="25" t="s">
        <v>283</v>
      </c>
      <c r="D34" s="30"/>
      <c r="E34" s="31"/>
      <c r="F34" s="224"/>
      <c r="G34" s="418"/>
      <c r="H34" s="418"/>
      <c r="I34" s="419"/>
      <c r="J34" s="419"/>
      <c r="K34" s="418"/>
      <c r="L34" s="418"/>
      <c r="M34" s="418"/>
      <c r="N34" s="420"/>
      <c r="O34" s="827">
        <v>40064336.989999995</v>
      </c>
      <c r="P34" s="827">
        <v>7512063.1800000006</v>
      </c>
      <c r="Q34" s="827">
        <v>6007835.4199999999</v>
      </c>
      <c r="R34" s="207"/>
      <c r="S34" s="827">
        <v>1504227.7599999998</v>
      </c>
      <c r="T34" s="476">
        <v>0</v>
      </c>
      <c r="U34" s="59">
        <v>568108.67690000008</v>
      </c>
      <c r="V34" s="59">
        <v>28223264.809999999</v>
      </c>
      <c r="W34" s="60">
        <v>18936.999999999996</v>
      </c>
      <c r="X34" s="61">
        <v>49.679299999999998</v>
      </c>
      <c r="Y34" s="61">
        <v>9.3148999999999997</v>
      </c>
      <c r="Z34" s="59">
        <v>5291862.1700000009</v>
      </c>
      <c r="AA34" s="59">
        <v>1527662.2930000001</v>
      </c>
      <c r="AB34" s="59">
        <v>4667211.07</v>
      </c>
      <c r="AC34" s="60">
        <v>50922</v>
      </c>
      <c r="AD34" s="61">
        <v>3.0550999999999999</v>
      </c>
      <c r="AE34" s="61">
        <v>0.57279999999999998</v>
      </c>
      <c r="AF34" s="59">
        <v>875102.05</v>
      </c>
      <c r="AG34" s="33">
        <v>1345098.9599999997</v>
      </c>
      <c r="AI34" s="507"/>
    </row>
    <row r="35" spans="1:35" s="251" customFormat="1" x14ac:dyDescent="0.25">
      <c r="A35" s="102"/>
      <c r="B35" s="265"/>
      <c r="C35" s="25" t="s">
        <v>284</v>
      </c>
      <c r="D35" s="415"/>
      <c r="E35" s="415"/>
      <c r="F35" s="115"/>
      <c r="G35" s="421"/>
      <c r="H35" s="421"/>
      <c r="I35" s="422"/>
      <c r="J35" s="422"/>
      <c r="K35" s="421"/>
      <c r="L35" s="421"/>
      <c r="M35" s="421"/>
      <c r="N35" s="421"/>
      <c r="O35" s="423"/>
      <c r="P35" s="424">
        <v>25330677.059999999</v>
      </c>
      <c r="Q35" s="424">
        <v>20258421.050000001</v>
      </c>
      <c r="R35" s="117"/>
      <c r="S35" s="274">
        <v>5072256.01</v>
      </c>
      <c r="T35" s="123"/>
      <c r="U35" s="118"/>
      <c r="V35" s="118"/>
      <c r="W35" s="119"/>
      <c r="X35" s="120"/>
      <c r="Y35" s="120"/>
      <c r="Z35" s="118"/>
      <c r="AA35" s="118"/>
      <c r="AB35" s="118"/>
      <c r="AC35" s="119"/>
      <c r="AD35" s="120"/>
      <c r="AE35" s="120"/>
      <c r="AF35" s="118"/>
      <c r="AG35" s="118"/>
      <c r="AI35" s="507"/>
    </row>
    <row r="36" spans="1:35" s="251" customFormat="1" ht="13" x14ac:dyDescent="0.3">
      <c r="A36" s="257" t="s">
        <v>22</v>
      </c>
      <c r="B36" s="11"/>
      <c r="C36" s="41"/>
      <c r="D36" s="41"/>
      <c r="E36" s="12"/>
      <c r="F36" s="27"/>
      <c r="G36" s="427"/>
      <c r="H36" s="427"/>
      <c r="I36" s="428"/>
      <c r="J36" s="428"/>
      <c r="K36" s="427"/>
      <c r="L36" s="427"/>
      <c r="M36" s="427"/>
      <c r="N36" s="427"/>
      <c r="O36" s="429"/>
      <c r="P36" s="427"/>
      <c r="Q36" s="211" t="s">
        <v>48</v>
      </c>
      <c r="R36" s="189"/>
      <c r="S36" s="430"/>
      <c r="T36" s="261"/>
      <c r="U36" s="36"/>
      <c r="V36" s="36"/>
      <c r="W36" s="62"/>
      <c r="X36" s="63"/>
      <c r="Y36" s="63"/>
      <c r="Z36" s="63"/>
      <c r="AA36" s="36"/>
      <c r="AB36" s="36"/>
      <c r="AC36" s="62"/>
      <c r="AD36" s="63"/>
      <c r="AE36" s="63"/>
      <c r="AF36" s="63"/>
      <c r="AG36" s="35"/>
    </row>
    <row r="37" spans="1:35" s="251" customFormat="1" x14ac:dyDescent="0.25">
      <c r="A37" s="413" t="s">
        <v>28</v>
      </c>
      <c r="B37" s="22">
        <v>131</v>
      </c>
      <c r="C37" s="69" t="s">
        <v>31</v>
      </c>
      <c r="D37" s="406" t="s">
        <v>30</v>
      </c>
      <c r="E37" s="69" t="s">
        <v>98</v>
      </c>
      <c r="F37" s="190" t="s">
        <v>36</v>
      </c>
      <c r="G37" s="407"/>
      <c r="H37" s="407">
        <v>13632</v>
      </c>
      <c r="I37" s="408"/>
      <c r="J37" s="408">
        <v>51.368499999999997</v>
      </c>
      <c r="K37" s="409"/>
      <c r="L37" s="409"/>
      <c r="M37" s="409"/>
      <c r="N37" s="458">
        <v>4150.32</v>
      </c>
      <c r="O37" s="410">
        <v>696105.07000000007</v>
      </c>
      <c r="P37" s="409">
        <v>104415.76</v>
      </c>
      <c r="Q37" s="409">
        <v>104415.76</v>
      </c>
      <c r="R37" s="199">
        <v>0.15</v>
      </c>
      <c r="S37" s="431"/>
      <c r="T37" s="202"/>
      <c r="U37" s="32">
        <v>13632</v>
      </c>
      <c r="V37" s="32">
        <v>696105.07000000007</v>
      </c>
      <c r="W37" s="57">
        <v>454.4</v>
      </c>
      <c r="X37" s="58">
        <v>51.064</v>
      </c>
      <c r="Y37" s="58">
        <v>7.6596000000000002</v>
      </c>
      <c r="Z37" s="32">
        <v>104415.76</v>
      </c>
      <c r="AA37" s="32" t="s">
        <v>305</v>
      </c>
      <c r="AB37" s="32" t="s">
        <v>305</v>
      </c>
      <c r="AC37" s="57" t="s">
        <v>305</v>
      </c>
      <c r="AD37" s="58" t="s">
        <v>305</v>
      </c>
      <c r="AE37" s="58" t="s">
        <v>305</v>
      </c>
      <c r="AF37" s="32" t="s">
        <v>305</v>
      </c>
      <c r="AG37" s="37"/>
    </row>
    <row r="38" spans="1:35" s="251" customFormat="1"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c r="U38" s="32" t="s">
        <v>305</v>
      </c>
      <c r="V38" s="32" t="s">
        <v>305</v>
      </c>
      <c r="W38" s="57" t="s">
        <v>305</v>
      </c>
      <c r="X38" s="58" t="s">
        <v>305</v>
      </c>
      <c r="Y38" s="58" t="s">
        <v>305</v>
      </c>
      <c r="Z38" s="32" t="s">
        <v>305</v>
      </c>
      <c r="AA38" s="32" t="s">
        <v>305</v>
      </c>
      <c r="AB38" s="32" t="s">
        <v>305</v>
      </c>
      <c r="AC38" s="57" t="s">
        <v>305</v>
      </c>
      <c r="AD38" s="58" t="s">
        <v>305</v>
      </c>
      <c r="AE38" s="58" t="s">
        <v>305</v>
      </c>
      <c r="AF38" s="32" t="s">
        <v>305</v>
      </c>
      <c r="AG38" s="37"/>
      <c r="AI38" s="290"/>
    </row>
    <row r="39" spans="1:35" s="251" customFormat="1" x14ac:dyDescent="0.25">
      <c r="A39" s="24"/>
      <c r="B39" s="127" t="s">
        <v>105</v>
      </c>
      <c r="C39" s="25" t="s">
        <v>285</v>
      </c>
      <c r="D39" s="30"/>
      <c r="E39" s="31"/>
      <c r="F39" s="30"/>
      <c r="G39" s="418"/>
      <c r="H39" s="418"/>
      <c r="I39" s="419"/>
      <c r="J39" s="419"/>
      <c r="K39" s="418"/>
      <c r="L39" s="418"/>
      <c r="M39" s="418"/>
      <c r="N39" s="418"/>
      <c r="O39" s="420">
        <v>696105.07000000007</v>
      </c>
      <c r="P39" s="420">
        <v>104415.76</v>
      </c>
      <c r="Q39" s="420">
        <v>104415.76</v>
      </c>
      <c r="R39" s="207"/>
      <c r="S39" s="420">
        <v>0</v>
      </c>
      <c r="T39" s="207"/>
      <c r="U39" s="33">
        <v>13632</v>
      </c>
      <c r="V39" s="33">
        <v>696105.07000000007</v>
      </c>
      <c r="W39" s="64">
        <v>454.4</v>
      </c>
      <c r="X39" s="65">
        <v>51.064</v>
      </c>
      <c r="Y39" s="65">
        <v>7.6596000000000002</v>
      </c>
      <c r="Z39" s="33">
        <v>104415.76</v>
      </c>
      <c r="AA39" s="33">
        <v>0</v>
      </c>
      <c r="AB39" s="33">
        <v>0</v>
      </c>
      <c r="AC39" s="64">
        <v>0</v>
      </c>
      <c r="AD39" s="65">
        <v>0</v>
      </c>
      <c r="AE39" s="65">
        <v>0</v>
      </c>
      <c r="AF39" s="33">
        <v>0</v>
      </c>
      <c r="AG39" s="59">
        <v>0</v>
      </c>
    </row>
    <row r="40" spans="1:35" s="251" customFormat="1" x14ac:dyDescent="0.25">
      <c r="A40" s="102"/>
      <c r="B40" s="265"/>
      <c r="C40" s="25" t="s">
        <v>286</v>
      </c>
      <c r="D40" s="415"/>
      <c r="E40" s="415"/>
      <c r="F40" s="115"/>
      <c r="G40" s="421"/>
      <c r="H40" s="421"/>
      <c r="I40" s="422"/>
      <c r="J40" s="422"/>
      <c r="K40" s="421"/>
      <c r="L40" s="421"/>
      <c r="M40" s="421"/>
      <c r="N40" s="421"/>
      <c r="O40" s="423"/>
      <c r="P40" s="424">
        <v>352089.94</v>
      </c>
      <c r="Q40" s="424">
        <v>352089.94</v>
      </c>
      <c r="R40" s="117"/>
      <c r="S40" s="424">
        <v>0</v>
      </c>
      <c r="T40" s="117"/>
      <c r="U40" s="118"/>
      <c r="V40" s="118"/>
      <c r="W40" s="119"/>
      <c r="X40" s="120"/>
      <c r="Y40" s="120"/>
      <c r="Z40" s="118"/>
      <c r="AA40" s="118"/>
      <c r="AB40" s="118"/>
      <c r="AC40" s="119"/>
      <c r="AD40" s="120"/>
      <c r="AE40" s="120"/>
      <c r="AF40" s="118"/>
      <c r="AG40" s="118"/>
      <c r="AI40" s="290"/>
    </row>
    <row r="41" spans="1:35" s="251" customFormat="1"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c r="U41" s="35"/>
      <c r="V41" s="35"/>
      <c r="W41" s="55"/>
      <c r="X41" s="56"/>
      <c r="Y41" s="56"/>
      <c r="Z41" s="56"/>
      <c r="AA41" s="35"/>
      <c r="AB41" s="35"/>
      <c r="AC41" s="55"/>
      <c r="AD41" s="56"/>
      <c r="AE41" s="56"/>
      <c r="AF41" s="56"/>
      <c r="AG41" s="35"/>
      <c r="AI41" s="290"/>
    </row>
    <row r="42" spans="1:35" s="251" customFormat="1" x14ac:dyDescent="0.25">
      <c r="A42" s="405" t="s">
        <v>28</v>
      </c>
      <c r="B42" s="22">
        <v>8</v>
      </c>
      <c r="C42" s="69" t="s">
        <v>31</v>
      </c>
      <c r="D42" s="69" t="s">
        <v>30</v>
      </c>
      <c r="E42" s="69" t="s">
        <v>98</v>
      </c>
      <c r="F42" s="217" t="s">
        <v>36</v>
      </c>
      <c r="G42" s="409">
        <v>15265</v>
      </c>
      <c r="H42" s="407">
        <v>47904</v>
      </c>
      <c r="I42" s="408">
        <v>60.697800000000001</v>
      </c>
      <c r="J42" s="408">
        <v>56.47915831663326</v>
      </c>
      <c r="K42" s="409"/>
      <c r="L42" s="409"/>
      <c r="M42" s="409"/>
      <c r="N42" s="409">
        <v>5565.82</v>
      </c>
      <c r="O42" s="410">
        <v>3626563.7</v>
      </c>
      <c r="P42" s="409">
        <v>679980.69</v>
      </c>
      <c r="Q42" s="409">
        <v>543984.56000000006</v>
      </c>
      <c r="R42" s="199">
        <v>0.15</v>
      </c>
      <c r="S42" s="409">
        <v>135996.14000000001</v>
      </c>
      <c r="T42" s="236">
        <v>3.7499999999999999E-2</v>
      </c>
      <c r="U42" s="32">
        <v>63169</v>
      </c>
      <c r="V42" s="32">
        <v>3626563.7</v>
      </c>
      <c r="W42" s="57">
        <v>2105.6</v>
      </c>
      <c r="X42" s="58">
        <v>57.410499999999999</v>
      </c>
      <c r="Y42" s="58">
        <v>10.7645</v>
      </c>
      <c r="Z42" s="32">
        <v>679980.69</v>
      </c>
      <c r="AA42" s="32" t="s">
        <v>305</v>
      </c>
      <c r="AB42" s="32" t="s">
        <v>305</v>
      </c>
      <c r="AC42" s="57" t="s">
        <v>305</v>
      </c>
      <c r="AD42" s="58" t="s">
        <v>305</v>
      </c>
      <c r="AE42" s="58" t="s">
        <v>305</v>
      </c>
      <c r="AF42" s="32" t="s">
        <v>305</v>
      </c>
      <c r="AG42" s="37"/>
    </row>
    <row r="43" spans="1:35" s="251" customFormat="1" x14ac:dyDescent="0.25">
      <c r="A43" s="405" t="s">
        <v>28</v>
      </c>
      <c r="B43" s="17" t="s">
        <v>12</v>
      </c>
      <c r="C43" s="69" t="s">
        <v>31</v>
      </c>
      <c r="D43" s="69" t="s">
        <v>30</v>
      </c>
      <c r="E43" s="69" t="s">
        <v>98</v>
      </c>
      <c r="F43" s="217" t="s">
        <v>55</v>
      </c>
      <c r="G43" s="407">
        <v>815.97180000000003</v>
      </c>
      <c r="H43" s="407"/>
      <c r="I43" s="408">
        <v>3.6034999999999999</v>
      </c>
      <c r="J43" s="408"/>
      <c r="K43" s="409"/>
      <c r="L43" s="409"/>
      <c r="M43" s="409"/>
      <c r="N43" s="410">
        <v>1722.66</v>
      </c>
      <c r="O43" s="410">
        <v>1217.6899999999998</v>
      </c>
      <c r="P43" s="409">
        <v>228.32</v>
      </c>
      <c r="Q43" s="409">
        <v>45.66</v>
      </c>
      <c r="R43" s="236">
        <v>3.7499999999999999E-2</v>
      </c>
      <c r="S43" s="409">
        <v>182.65</v>
      </c>
      <c r="T43" s="199">
        <v>0.15</v>
      </c>
      <c r="U43" s="32" t="s">
        <v>305</v>
      </c>
      <c r="V43" s="32" t="s">
        <v>305</v>
      </c>
      <c r="W43" s="57" t="s">
        <v>305</v>
      </c>
      <c r="X43" s="58" t="s">
        <v>305</v>
      </c>
      <c r="Y43" s="58" t="s">
        <v>305</v>
      </c>
      <c r="Z43" s="32" t="s">
        <v>305</v>
      </c>
      <c r="AA43" s="32">
        <v>815.97180000000003</v>
      </c>
      <c r="AB43" s="32">
        <v>1217.6899999999998</v>
      </c>
      <c r="AC43" s="57">
        <v>27.2</v>
      </c>
      <c r="AD43" s="58">
        <v>1.4923</v>
      </c>
      <c r="AE43" s="58">
        <v>0.27979999999999999</v>
      </c>
      <c r="AF43" s="32">
        <v>228.32</v>
      </c>
      <c r="AG43" s="37"/>
      <c r="AI43" s="290"/>
    </row>
    <row r="44" spans="1:35" s="251" customFormat="1" x14ac:dyDescent="0.25">
      <c r="A44" s="405" t="s">
        <v>28</v>
      </c>
      <c r="B44" s="17" t="s">
        <v>74</v>
      </c>
      <c r="C44" s="69" t="s">
        <v>31</v>
      </c>
      <c r="D44" s="69" t="s">
        <v>30</v>
      </c>
      <c r="E44" s="69" t="s">
        <v>100</v>
      </c>
      <c r="F44" s="217" t="s">
        <v>36</v>
      </c>
      <c r="G44" s="407"/>
      <c r="H44" s="407"/>
      <c r="I44" s="408"/>
      <c r="J44" s="408"/>
      <c r="K44" s="409"/>
      <c r="L44" s="409"/>
      <c r="M44" s="409"/>
      <c r="N44" s="458">
        <v>3561.27</v>
      </c>
      <c r="O44" s="410">
        <v>-3561.27</v>
      </c>
      <c r="P44" s="409">
        <v>-667.74</v>
      </c>
      <c r="Q44" s="409">
        <v>-133.55000000000001</v>
      </c>
      <c r="R44" s="236">
        <v>3.7499999999999999E-2</v>
      </c>
      <c r="S44" s="409">
        <v>-534.19000000000005</v>
      </c>
      <c r="T44" s="199">
        <v>0.15</v>
      </c>
      <c r="U44" s="32">
        <v>0</v>
      </c>
      <c r="V44" s="32">
        <v>-3561.27</v>
      </c>
      <c r="W44" s="57">
        <v>0</v>
      </c>
      <c r="X44" s="58">
        <v>0</v>
      </c>
      <c r="Y44" s="58">
        <v>0</v>
      </c>
      <c r="Z44" s="32">
        <v>-667.74</v>
      </c>
      <c r="AA44" s="32" t="s">
        <v>305</v>
      </c>
      <c r="AB44" s="32" t="s">
        <v>305</v>
      </c>
      <c r="AC44" s="57" t="s">
        <v>305</v>
      </c>
      <c r="AD44" s="58" t="s">
        <v>305</v>
      </c>
      <c r="AE44" s="58" t="s">
        <v>305</v>
      </c>
      <c r="AF44" s="32" t="s">
        <v>305</v>
      </c>
      <c r="AG44" s="37"/>
    </row>
    <row r="45" spans="1:35" s="251" customFormat="1" x14ac:dyDescent="0.25">
      <c r="A45" s="405" t="s">
        <v>28</v>
      </c>
      <c r="B45" s="828">
        <v>95</v>
      </c>
      <c r="C45" s="69" t="s">
        <v>31</v>
      </c>
      <c r="D45" s="69" t="s">
        <v>30</v>
      </c>
      <c r="E45" s="69" t="s">
        <v>98</v>
      </c>
      <c r="F45" s="217" t="s">
        <v>36</v>
      </c>
      <c r="G45" s="407">
        <v>212058</v>
      </c>
      <c r="H45" s="407">
        <v>200280</v>
      </c>
      <c r="I45" s="408">
        <v>44.2254</v>
      </c>
      <c r="J45" s="408">
        <v>42.982500000000002</v>
      </c>
      <c r="K45" s="407"/>
      <c r="L45" s="409"/>
      <c r="M45" s="409"/>
      <c r="N45" s="458">
        <v>5561.98</v>
      </c>
      <c r="O45" s="410">
        <v>17981322.989999998</v>
      </c>
      <c r="P45" s="409">
        <v>3371498.06</v>
      </c>
      <c r="Q45" s="409">
        <v>2697198.45</v>
      </c>
      <c r="R45" s="199">
        <v>0.15</v>
      </c>
      <c r="S45" s="409">
        <v>674299.61</v>
      </c>
      <c r="T45" s="236">
        <v>3.7499999999999999E-2</v>
      </c>
      <c r="U45" s="32">
        <v>412338</v>
      </c>
      <c r="V45" s="32">
        <v>17981322.989999998</v>
      </c>
      <c r="W45" s="57">
        <v>13744.6</v>
      </c>
      <c r="X45" s="58">
        <v>43.608199999999997</v>
      </c>
      <c r="Y45" s="58">
        <v>8.1765000000000008</v>
      </c>
      <c r="Z45" s="32">
        <v>3371498.06</v>
      </c>
      <c r="AA45" s="32" t="s">
        <v>305</v>
      </c>
      <c r="AB45" s="32" t="s">
        <v>305</v>
      </c>
      <c r="AC45" s="57" t="s">
        <v>305</v>
      </c>
      <c r="AD45" s="58" t="s">
        <v>305</v>
      </c>
      <c r="AE45" s="58" t="s">
        <v>305</v>
      </c>
      <c r="AF45" s="32" t="s">
        <v>305</v>
      </c>
      <c r="AG45" s="37"/>
    </row>
    <row r="46" spans="1:35" x14ac:dyDescent="0.25">
      <c r="A46" s="468" t="s">
        <v>28</v>
      </c>
      <c r="B46" s="250">
        <v>67</v>
      </c>
      <c r="C46" s="469" t="s">
        <v>31</v>
      </c>
      <c r="D46" s="469" t="s">
        <v>30</v>
      </c>
      <c r="E46" s="469" t="s">
        <v>98</v>
      </c>
      <c r="F46" s="829" t="s">
        <v>36</v>
      </c>
      <c r="G46" s="465"/>
      <c r="H46" s="465"/>
      <c r="I46" s="462"/>
      <c r="J46" s="462"/>
      <c r="K46" s="465"/>
      <c r="L46" s="444"/>
      <c r="M46" s="830"/>
      <c r="N46" s="444"/>
      <c r="O46" s="505">
        <v>0</v>
      </c>
      <c r="P46" s="444">
        <v>0</v>
      </c>
      <c r="Q46" s="444">
        <v>0</v>
      </c>
      <c r="R46" s="472">
        <v>0.15</v>
      </c>
      <c r="S46" s="444">
        <v>0</v>
      </c>
      <c r="T46" s="473">
        <v>3.7499999999999999E-2</v>
      </c>
      <c r="U46" s="483">
        <v>0</v>
      </c>
      <c r="V46" s="483">
        <v>0</v>
      </c>
      <c r="W46" s="484">
        <v>0</v>
      </c>
      <c r="X46" s="485">
        <v>0</v>
      </c>
      <c r="Y46" s="485">
        <v>0</v>
      </c>
      <c r="Z46" s="483">
        <v>0</v>
      </c>
      <c r="AA46" s="483" t="s">
        <v>305</v>
      </c>
      <c r="AB46" s="483" t="s">
        <v>305</v>
      </c>
      <c r="AC46" s="484" t="s">
        <v>305</v>
      </c>
      <c r="AD46" s="485" t="s">
        <v>305</v>
      </c>
      <c r="AE46" s="485" t="s">
        <v>305</v>
      </c>
      <c r="AF46" s="483" t="s">
        <v>305</v>
      </c>
      <c r="AG46" s="486"/>
    </row>
    <row r="47" spans="1:35" x14ac:dyDescent="0.25">
      <c r="A47" s="831" t="s">
        <v>28</v>
      </c>
      <c r="B47" s="414" t="s">
        <v>53</v>
      </c>
      <c r="C47" s="832"/>
      <c r="D47" s="833"/>
      <c r="E47" s="833"/>
      <c r="F47" s="829"/>
      <c r="G47" s="444"/>
      <c r="H47" s="444"/>
      <c r="I47" s="459"/>
      <c r="J47" s="459"/>
      <c r="K47" s="444"/>
      <c r="L47" s="444"/>
      <c r="M47" s="444"/>
      <c r="N47" s="444"/>
      <c r="O47" s="444"/>
      <c r="P47" s="444"/>
      <c r="Q47" s="444">
        <v>-393.49</v>
      </c>
      <c r="R47" s="444"/>
      <c r="S47" s="444">
        <v>0</v>
      </c>
      <c r="T47" s="472"/>
      <c r="U47" s="483" t="s">
        <v>305</v>
      </c>
      <c r="V47" s="483" t="s">
        <v>305</v>
      </c>
      <c r="W47" s="484" t="s">
        <v>305</v>
      </c>
      <c r="X47" s="485" t="s">
        <v>305</v>
      </c>
      <c r="Y47" s="485" t="s">
        <v>305</v>
      </c>
      <c r="Z47" s="483" t="s">
        <v>305</v>
      </c>
      <c r="AA47" s="483" t="s">
        <v>305</v>
      </c>
      <c r="AB47" s="483" t="s">
        <v>305</v>
      </c>
      <c r="AC47" s="484" t="s">
        <v>305</v>
      </c>
      <c r="AD47" s="485" t="s">
        <v>305</v>
      </c>
      <c r="AE47" s="485" t="s">
        <v>305</v>
      </c>
      <c r="AF47" s="483" t="s">
        <v>305</v>
      </c>
      <c r="AG47" s="486"/>
    </row>
    <row r="48" spans="1:35" x14ac:dyDescent="0.25">
      <c r="A48" s="834"/>
      <c r="B48" s="127" t="s">
        <v>105</v>
      </c>
      <c r="C48" s="835" t="s">
        <v>287</v>
      </c>
      <c r="D48" s="836"/>
      <c r="E48" s="836"/>
      <c r="F48" s="837"/>
      <c r="G48" s="516"/>
      <c r="H48" s="516"/>
      <c r="I48" s="517"/>
      <c r="J48" s="518"/>
      <c r="K48" s="519"/>
      <c r="L48" s="519"/>
      <c r="M48" s="519"/>
      <c r="N48" s="511"/>
      <c r="O48" s="511">
        <v>21605543.109999999</v>
      </c>
      <c r="P48" s="511">
        <v>4051039.33</v>
      </c>
      <c r="Q48" s="511">
        <v>3240701.63</v>
      </c>
      <c r="R48" s="520"/>
      <c r="S48" s="511">
        <v>809944.21</v>
      </c>
      <c r="T48" s="512"/>
      <c r="U48" s="838">
        <v>475507</v>
      </c>
      <c r="V48" s="838">
        <v>21604325.419999998</v>
      </c>
      <c r="W48" s="839">
        <v>15850.2</v>
      </c>
      <c r="X48" s="840">
        <v>45.4343</v>
      </c>
      <c r="Y48" s="840">
        <v>8.5189000000000004</v>
      </c>
      <c r="Z48" s="838">
        <v>4050811.01</v>
      </c>
      <c r="AA48" s="838">
        <v>815.97180000000003</v>
      </c>
      <c r="AB48" s="838">
        <v>1217.6899999999998</v>
      </c>
      <c r="AC48" s="839">
        <v>27.2</v>
      </c>
      <c r="AD48" s="840">
        <v>1.4923</v>
      </c>
      <c r="AE48" s="840">
        <v>0.27979999999999999</v>
      </c>
      <c r="AF48" s="838">
        <v>228.32</v>
      </c>
      <c r="AG48" s="838">
        <v>2.9803004508721642E-10</v>
      </c>
    </row>
    <row r="49" spans="1:36" x14ac:dyDescent="0.25">
      <c r="A49" s="841"/>
      <c r="B49" s="122"/>
      <c r="C49" s="835" t="s">
        <v>288</v>
      </c>
      <c r="D49" s="842"/>
      <c r="E49" s="842"/>
      <c r="F49" s="841"/>
      <c r="G49" s="521"/>
      <c r="H49" s="521"/>
      <c r="I49" s="522"/>
      <c r="J49" s="522"/>
      <c r="K49" s="521"/>
      <c r="L49" s="521"/>
      <c r="M49" s="521"/>
      <c r="N49" s="521"/>
      <c r="O49" s="514"/>
      <c r="P49" s="514">
        <v>13660104.630000001</v>
      </c>
      <c r="Q49" s="514">
        <v>10927645.9</v>
      </c>
      <c r="R49" s="515"/>
      <c r="S49" s="514">
        <v>2731131.88</v>
      </c>
      <c r="T49" s="523"/>
      <c r="U49" s="843"/>
      <c r="V49" s="843"/>
      <c r="W49" s="844"/>
      <c r="X49" s="845"/>
      <c r="Y49" s="845"/>
      <c r="Z49" s="843"/>
      <c r="AA49" s="843"/>
      <c r="AB49" s="843"/>
      <c r="AC49" s="844"/>
      <c r="AD49" s="845"/>
      <c r="AE49" s="845"/>
      <c r="AF49" s="843"/>
      <c r="AG49" s="843"/>
    </row>
    <row r="50" spans="1:36" ht="13" x14ac:dyDescent="0.3">
      <c r="A50" s="814" t="s">
        <v>161</v>
      </c>
      <c r="B50" s="11"/>
      <c r="C50" s="815"/>
      <c r="D50" s="815"/>
      <c r="E50" s="817"/>
      <c r="F50" s="814"/>
      <c r="G50" s="524"/>
      <c r="H50" s="525"/>
      <c r="I50" s="526"/>
      <c r="J50" s="527"/>
      <c r="K50" s="524"/>
      <c r="L50" s="524"/>
      <c r="M50" s="524"/>
      <c r="N50" s="524"/>
      <c r="O50" s="524"/>
      <c r="P50" s="528" t="s">
        <v>163</v>
      </c>
      <c r="Q50" s="528" t="s">
        <v>161</v>
      </c>
      <c r="R50" s="529"/>
      <c r="S50" s="530"/>
      <c r="T50" s="531"/>
      <c r="U50" s="843"/>
      <c r="V50" s="843"/>
      <c r="W50" s="844"/>
      <c r="X50" s="845"/>
      <c r="Y50" s="845"/>
      <c r="Z50" s="843"/>
      <c r="AA50" s="843"/>
      <c r="AB50" s="843"/>
      <c r="AC50" s="844"/>
      <c r="AD50" s="845"/>
      <c r="AE50" s="845"/>
      <c r="AF50" s="843"/>
      <c r="AG50" s="843"/>
    </row>
    <row r="51" spans="1:36" x14ac:dyDescent="0.25">
      <c r="A51" s="468" t="s">
        <v>28</v>
      </c>
      <c r="B51" s="17" t="s">
        <v>160</v>
      </c>
      <c r="C51" s="469" t="s">
        <v>31</v>
      </c>
      <c r="D51" s="469" t="s">
        <v>30</v>
      </c>
      <c r="E51" s="469" t="s">
        <v>158</v>
      </c>
      <c r="F51" s="829" t="s">
        <v>36</v>
      </c>
      <c r="G51" s="444">
        <v>713630</v>
      </c>
      <c r="H51" s="444">
        <v>714759</v>
      </c>
      <c r="I51" s="459">
        <v>33.6952</v>
      </c>
      <c r="J51" s="459">
        <v>33.458599999999997</v>
      </c>
      <c r="K51" s="444"/>
      <c r="L51" s="444"/>
      <c r="M51" s="444"/>
      <c r="N51" s="444"/>
      <c r="O51" s="505">
        <v>47960741.053399995</v>
      </c>
      <c r="P51" s="444">
        <v>17860579.969999999</v>
      </c>
      <c r="Q51" s="444">
        <v>8930289.9900000002</v>
      </c>
      <c r="R51" s="472">
        <v>0.5</v>
      </c>
      <c r="S51" s="444"/>
      <c r="T51" s="473"/>
      <c r="U51" s="483">
        <v>1428389</v>
      </c>
      <c r="V51" s="483">
        <v>47960741.053399995</v>
      </c>
      <c r="W51" s="484">
        <v>47613</v>
      </c>
      <c r="X51" s="485">
        <v>33.576799999999999</v>
      </c>
      <c r="Y51" s="485">
        <v>6.2519999999999998</v>
      </c>
      <c r="Z51" s="483">
        <v>8930289.9900000002</v>
      </c>
      <c r="AA51" s="483" t="s">
        <v>305</v>
      </c>
      <c r="AB51" s="483" t="s">
        <v>305</v>
      </c>
      <c r="AC51" s="484" t="s">
        <v>305</v>
      </c>
      <c r="AD51" s="485" t="s">
        <v>305</v>
      </c>
      <c r="AE51" s="485" t="s">
        <v>305</v>
      </c>
      <c r="AF51" s="483" t="s">
        <v>305</v>
      </c>
      <c r="AG51" s="843"/>
    </row>
    <row r="52" spans="1:36" x14ac:dyDescent="0.25">
      <c r="A52" s="468" t="s">
        <v>28</v>
      </c>
      <c r="B52" s="17" t="s">
        <v>159</v>
      </c>
      <c r="C52" s="469" t="s">
        <v>31</v>
      </c>
      <c r="D52" s="469" t="s">
        <v>30</v>
      </c>
      <c r="E52" s="469" t="s">
        <v>158</v>
      </c>
      <c r="F52" s="829" t="s">
        <v>55</v>
      </c>
      <c r="G52" s="444">
        <v>12580233.113600001</v>
      </c>
      <c r="H52" s="444">
        <v>13163781.219500002</v>
      </c>
      <c r="I52" s="459">
        <v>2.7669000000000001</v>
      </c>
      <c r="J52" s="459">
        <v>2.7642000000000002</v>
      </c>
      <c r="K52" s="444"/>
      <c r="L52" s="444"/>
      <c r="M52" s="444"/>
      <c r="N52" s="444"/>
      <c r="O52" s="444">
        <v>71195503.909999996</v>
      </c>
      <c r="P52" s="444">
        <v>26548793.160000004</v>
      </c>
      <c r="Q52" s="444">
        <v>13274396.609999999</v>
      </c>
      <c r="R52" s="472">
        <v>0.5</v>
      </c>
      <c r="S52" s="444"/>
      <c r="T52" s="472"/>
      <c r="U52" s="483" t="s">
        <v>305</v>
      </c>
      <c r="V52" s="483" t="s">
        <v>305</v>
      </c>
      <c r="W52" s="484" t="s">
        <v>305</v>
      </c>
      <c r="X52" s="485" t="s">
        <v>305</v>
      </c>
      <c r="Y52" s="485" t="s">
        <v>305</v>
      </c>
      <c r="Z52" s="483" t="s">
        <v>305</v>
      </c>
      <c r="AA52" s="483">
        <v>25744014.333100002</v>
      </c>
      <c r="AB52" s="483">
        <v>71195503.909999996</v>
      </c>
      <c r="AC52" s="484">
        <v>858133.8</v>
      </c>
      <c r="AD52" s="485">
        <v>2.7654999999999998</v>
      </c>
      <c r="AE52" s="485">
        <v>0.51559999999999995</v>
      </c>
      <c r="AF52" s="483">
        <v>13274396.609999999</v>
      </c>
      <c r="AG52" s="843"/>
    </row>
    <row r="53" spans="1:36" x14ac:dyDescent="0.25">
      <c r="A53" s="468" t="s">
        <v>28</v>
      </c>
      <c r="B53" s="17" t="s">
        <v>168</v>
      </c>
      <c r="C53" s="469" t="s">
        <v>31</v>
      </c>
      <c r="D53" s="469" t="s">
        <v>30</v>
      </c>
      <c r="E53" s="469" t="s">
        <v>158</v>
      </c>
      <c r="F53" s="829" t="s">
        <v>36</v>
      </c>
      <c r="G53" s="444">
        <v>166080</v>
      </c>
      <c r="H53" s="444">
        <v>171211</v>
      </c>
      <c r="I53" s="459">
        <v>33.688099999999999</v>
      </c>
      <c r="J53" s="459">
        <v>33.459099999999999</v>
      </c>
      <c r="K53" s="444"/>
      <c r="L53" s="444"/>
      <c r="M53" s="444"/>
      <c r="N53" s="444"/>
      <c r="O53" s="505">
        <v>11323485.618099999</v>
      </c>
      <c r="P53" s="444">
        <v>4529394.25</v>
      </c>
      <c r="Q53" s="444">
        <v>2264697.13</v>
      </c>
      <c r="R53" s="472">
        <v>0.5</v>
      </c>
      <c r="S53" s="444"/>
      <c r="T53" s="472"/>
      <c r="U53" s="483">
        <v>337291</v>
      </c>
      <c r="V53" s="483">
        <v>11323485.618099999</v>
      </c>
      <c r="W53" s="484">
        <v>11243</v>
      </c>
      <c r="X53" s="485">
        <v>33.571899999999999</v>
      </c>
      <c r="Y53" s="485">
        <v>6.7144000000000004</v>
      </c>
      <c r="Z53" s="483">
        <v>2264697.13</v>
      </c>
      <c r="AA53" s="483" t="s">
        <v>305</v>
      </c>
      <c r="AB53" s="483" t="s">
        <v>305</v>
      </c>
      <c r="AC53" s="484" t="s">
        <v>305</v>
      </c>
      <c r="AD53" s="485" t="s">
        <v>305</v>
      </c>
      <c r="AE53" s="485" t="s">
        <v>305</v>
      </c>
      <c r="AF53" s="483" t="s">
        <v>305</v>
      </c>
      <c r="AG53" s="843"/>
    </row>
    <row r="54" spans="1:36" x14ac:dyDescent="0.25">
      <c r="A54" s="468" t="s">
        <v>28</v>
      </c>
      <c r="B54" s="17" t="s">
        <v>169</v>
      </c>
      <c r="C54" s="469" t="s">
        <v>31</v>
      </c>
      <c r="D54" s="469" t="s">
        <v>30</v>
      </c>
      <c r="E54" s="469" t="s">
        <v>158</v>
      </c>
      <c r="F54" s="829" t="s">
        <v>55</v>
      </c>
      <c r="G54" s="444">
        <v>3947721.7028000001</v>
      </c>
      <c r="H54" s="444">
        <v>4106752.58</v>
      </c>
      <c r="I54" s="459">
        <v>2.8860000000000001</v>
      </c>
      <c r="J54" s="459">
        <v>2.85</v>
      </c>
      <c r="K54" s="444"/>
      <c r="L54" s="444"/>
      <c r="M54" s="444"/>
      <c r="N54" s="444"/>
      <c r="O54" s="505">
        <v>23097369.6872808</v>
      </c>
      <c r="P54" s="719">
        <v>8777000.4800000004</v>
      </c>
      <c r="Q54" s="719">
        <v>4388500.24</v>
      </c>
      <c r="R54" s="472">
        <v>0.5</v>
      </c>
      <c r="S54" s="444"/>
      <c r="T54" s="472"/>
      <c r="U54" s="483" t="s">
        <v>305</v>
      </c>
      <c r="V54" s="483" t="s">
        <v>305</v>
      </c>
      <c r="W54" s="484" t="s">
        <v>305</v>
      </c>
      <c r="X54" s="485" t="s">
        <v>305</v>
      </c>
      <c r="Y54" s="485" t="s">
        <v>305</v>
      </c>
      <c r="Z54" s="483" t="s">
        <v>305</v>
      </c>
      <c r="AA54" s="483">
        <v>8054474.2828000002</v>
      </c>
      <c r="AB54" s="483">
        <v>23097369.6872808</v>
      </c>
      <c r="AC54" s="484">
        <v>268482.5</v>
      </c>
      <c r="AD54" s="485">
        <v>2.8675999999999999</v>
      </c>
      <c r="AE54" s="485">
        <v>0.54490000000000005</v>
      </c>
      <c r="AF54" s="483">
        <v>4388500.24</v>
      </c>
      <c r="AG54" s="843"/>
    </row>
    <row r="55" spans="1:36" x14ac:dyDescent="0.25">
      <c r="A55" s="468" t="s">
        <v>28</v>
      </c>
      <c r="B55" s="22" t="s">
        <v>175</v>
      </c>
      <c r="C55" s="469" t="s">
        <v>31</v>
      </c>
      <c r="D55" s="469" t="s">
        <v>30</v>
      </c>
      <c r="E55" s="469" t="s">
        <v>158</v>
      </c>
      <c r="F55" s="829" t="s">
        <v>36</v>
      </c>
      <c r="G55" s="444">
        <v>238905</v>
      </c>
      <c r="H55" s="444">
        <v>239856</v>
      </c>
      <c r="I55" s="459">
        <v>32.001899999999999</v>
      </c>
      <c r="J55" s="459">
        <v>32.302999999999997</v>
      </c>
      <c r="K55" s="465"/>
      <c r="L55" s="444"/>
      <c r="M55" s="444"/>
      <c r="N55" s="465"/>
      <c r="O55" s="505">
        <v>15393482.2875</v>
      </c>
      <c r="P55" s="505">
        <v>1036756.164954</v>
      </c>
      <c r="Q55" s="444">
        <v>518378.08</v>
      </c>
      <c r="R55" s="472">
        <v>0.5</v>
      </c>
      <c r="S55" s="444"/>
      <c r="T55" s="473"/>
      <c r="U55" s="483">
        <v>478761</v>
      </c>
      <c r="V55" s="483">
        <v>15393482.2875</v>
      </c>
      <c r="W55" s="484">
        <v>15958.7</v>
      </c>
      <c r="X55" s="485">
        <v>32.152700000000003</v>
      </c>
      <c r="Y55" s="485">
        <v>1.0827</v>
      </c>
      <c r="Z55" s="483">
        <v>518378.08</v>
      </c>
      <c r="AA55" s="483" t="s">
        <v>305</v>
      </c>
      <c r="AB55" s="483" t="s">
        <v>305</v>
      </c>
      <c r="AC55" s="484" t="s">
        <v>305</v>
      </c>
      <c r="AD55" s="485" t="s">
        <v>305</v>
      </c>
      <c r="AE55" s="485" t="s">
        <v>305</v>
      </c>
      <c r="AF55" s="483" t="s">
        <v>305</v>
      </c>
      <c r="AG55" s="843"/>
    </row>
    <row r="56" spans="1:36" x14ac:dyDescent="0.25">
      <c r="A56" s="468" t="s">
        <v>28</v>
      </c>
      <c r="B56" s="250" t="s">
        <v>176</v>
      </c>
      <c r="C56" s="469" t="s">
        <v>31</v>
      </c>
      <c r="D56" s="469" t="s">
        <v>30</v>
      </c>
      <c r="E56" s="469" t="s">
        <v>158</v>
      </c>
      <c r="F56" s="829" t="s">
        <v>55</v>
      </c>
      <c r="G56" s="444">
        <v>3925967.3171999999</v>
      </c>
      <c r="H56" s="444">
        <v>4002660.2308999998</v>
      </c>
      <c r="I56" s="459">
        <v>4.0419999999999998</v>
      </c>
      <c r="J56" s="459">
        <v>4.0419999999999998</v>
      </c>
      <c r="K56" s="846"/>
      <c r="L56" s="444"/>
      <c r="M56" s="444"/>
      <c r="N56" s="465"/>
      <c r="O56" s="505">
        <v>32047512.5494202</v>
      </c>
      <c r="P56" s="444">
        <v>3576719.3955049999</v>
      </c>
      <c r="Q56" s="444">
        <v>1788359.7</v>
      </c>
      <c r="R56" s="472">
        <v>0.5</v>
      </c>
      <c r="S56" s="444"/>
      <c r="T56" s="473"/>
      <c r="U56" s="483" t="s">
        <v>305</v>
      </c>
      <c r="V56" s="483" t="s">
        <v>305</v>
      </c>
      <c r="W56" s="484" t="s">
        <v>305</v>
      </c>
      <c r="X56" s="485" t="s">
        <v>305</v>
      </c>
      <c r="Y56" s="485" t="s">
        <v>305</v>
      </c>
      <c r="Z56" s="483" t="s">
        <v>305</v>
      </c>
      <c r="AA56" s="483">
        <v>7928627.5481000002</v>
      </c>
      <c r="AB56" s="483">
        <v>32047512.5494202</v>
      </c>
      <c r="AC56" s="484">
        <v>264287.59999999998</v>
      </c>
      <c r="AD56" s="485">
        <v>4.0419999999999998</v>
      </c>
      <c r="AE56" s="485">
        <v>0.22559999999999999</v>
      </c>
      <c r="AF56" s="483">
        <v>1788359.7</v>
      </c>
      <c r="AG56" s="843"/>
    </row>
    <row r="57" spans="1:36" x14ac:dyDescent="0.25">
      <c r="A57" s="847" t="s">
        <v>28</v>
      </c>
      <c r="B57" s="446" t="s">
        <v>162</v>
      </c>
      <c r="C57" s="848"/>
      <c r="D57" s="848"/>
      <c r="E57" s="849"/>
      <c r="F57" s="850"/>
      <c r="G57" s="532"/>
      <c r="H57" s="533"/>
      <c r="I57" s="533"/>
      <c r="J57" s="534"/>
      <c r="K57" s="534"/>
      <c r="L57" s="534"/>
      <c r="M57" s="535"/>
      <c r="N57" s="535"/>
      <c r="O57" s="851">
        <v>2355741.3028843356</v>
      </c>
      <c r="P57" s="851">
        <v>1478319.3345209982</v>
      </c>
      <c r="Q57" s="851">
        <v>739159.64999999898</v>
      </c>
      <c r="R57" s="523"/>
      <c r="S57" s="536"/>
      <c r="T57" s="523"/>
      <c r="U57" s="483" t="s">
        <v>305</v>
      </c>
      <c r="V57" s="483" t="s">
        <v>305</v>
      </c>
      <c r="W57" s="484" t="s">
        <v>305</v>
      </c>
      <c r="X57" s="485" t="s">
        <v>305</v>
      </c>
      <c r="Y57" s="485" t="s">
        <v>305</v>
      </c>
      <c r="Z57" s="483" t="s">
        <v>305</v>
      </c>
      <c r="AA57" s="483" t="s">
        <v>305</v>
      </c>
      <c r="AB57" s="483" t="s">
        <v>305</v>
      </c>
      <c r="AC57" s="484" t="s">
        <v>305</v>
      </c>
      <c r="AD57" s="485" t="s">
        <v>305</v>
      </c>
      <c r="AE57" s="485" t="s">
        <v>305</v>
      </c>
      <c r="AF57" s="483" t="s">
        <v>305</v>
      </c>
      <c r="AG57" s="843"/>
    </row>
    <row r="58" spans="1:36" x14ac:dyDescent="0.25">
      <c r="A58" s="834"/>
      <c r="B58" s="852" t="s">
        <v>105</v>
      </c>
      <c r="C58" s="835" t="s">
        <v>289</v>
      </c>
      <c r="D58" s="836"/>
      <c r="E58" s="836"/>
      <c r="F58" s="853"/>
      <c r="G58" s="232"/>
      <c r="H58" s="232"/>
      <c r="I58" s="299"/>
      <c r="J58" s="232"/>
      <c r="K58" s="243"/>
      <c r="L58" s="243"/>
      <c r="M58" s="537"/>
      <c r="N58" s="538"/>
      <c r="O58" s="538">
        <v>203373836.40858534</v>
      </c>
      <c r="P58" s="538">
        <v>63807562.754979998</v>
      </c>
      <c r="Q58" s="538">
        <v>31903781.399999995</v>
      </c>
      <c r="R58" s="854"/>
      <c r="S58" s="539"/>
      <c r="T58" s="523"/>
      <c r="U58" s="838">
        <v>2244441</v>
      </c>
      <c r="V58" s="838">
        <v>74677708.958999991</v>
      </c>
      <c r="W58" s="839">
        <v>74814.7</v>
      </c>
      <c r="X58" s="840">
        <v>33.272300000000001</v>
      </c>
      <c r="Y58" s="840">
        <v>5.2187999999999999</v>
      </c>
      <c r="Z58" s="838">
        <v>11713365.200000001</v>
      </c>
      <c r="AA58" s="838">
        <v>41727116.164000005</v>
      </c>
      <c r="AB58" s="838">
        <v>126340386.14670101</v>
      </c>
      <c r="AC58" s="839">
        <v>1390903.9</v>
      </c>
      <c r="AD58" s="840">
        <v>3.0278</v>
      </c>
      <c r="AE58" s="840">
        <v>0.4662</v>
      </c>
      <c r="AF58" s="838">
        <v>19451256.550000001</v>
      </c>
      <c r="AG58" s="838">
        <v>739159.64999999478</v>
      </c>
    </row>
    <row r="59" spans="1:36" x14ac:dyDescent="0.25">
      <c r="A59" s="841"/>
      <c r="B59" s="855"/>
      <c r="C59" s="835" t="s">
        <v>290</v>
      </c>
      <c r="D59" s="842"/>
      <c r="E59" s="842"/>
      <c r="F59" s="853"/>
      <c r="G59" s="233">
        <v>2.8860000000000001</v>
      </c>
      <c r="H59" s="233">
        <v>2.85</v>
      </c>
      <c r="I59" s="300"/>
      <c r="J59" s="232"/>
      <c r="K59" s="244"/>
      <c r="L59" s="244"/>
      <c r="M59" s="540"/>
      <c r="N59" s="541"/>
      <c r="O59" s="541"/>
      <c r="P59" s="542"/>
      <c r="Q59" s="542">
        <v>107579550.94371293</v>
      </c>
      <c r="R59" s="543"/>
      <c r="S59" s="539"/>
      <c r="T59" s="523"/>
      <c r="U59" s="843"/>
      <c r="V59" s="843"/>
      <c r="W59" s="844"/>
      <c r="X59" s="845"/>
      <c r="Y59" s="845"/>
      <c r="Z59" s="843"/>
      <c r="AA59" s="843"/>
      <c r="AB59" s="843"/>
      <c r="AC59" s="844"/>
      <c r="AD59" s="845"/>
      <c r="AE59" s="845"/>
      <c r="AF59" s="843"/>
      <c r="AG59" s="843"/>
    </row>
    <row r="60" spans="1:36" ht="13" x14ac:dyDescent="0.3">
      <c r="A60" s="857" t="s">
        <v>54</v>
      </c>
      <c r="B60" s="858"/>
      <c r="C60" s="858"/>
      <c r="D60" s="858"/>
      <c r="E60" s="858"/>
      <c r="F60" s="859"/>
      <c r="G60" s="234">
        <v>0</v>
      </c>
      <c r="H60" s="234">
        <v>0</v>
      </c>
      <c r="I60" s="232">
        <v>0</v>
      </c>
      <c r="J60" s="232" t="e">
        <v>#REF!</v>
      </c>
      <c r="K60" s="301" t="e">
        <v>#REF!</v>
      </c>
      <c r="L60" s="301"/>
      <c r="M60" s="514">
        <v>0</v>
      </c>
      <c r="N60" s="514">
        <v>49380.790000000008</v>
      </c>
      <c r="O60" s="514">
        <v>265739821.57858533</v>
      </c>
      <c r="P60" s="514">
        <v>43570906.179999992</v>
      </c>
      <c r="Q60" s="544">
        <v>146921095.72371295</v>
      </c>
      <c r="R60" s="545"/>
      <c r="S60" s="544"/>
      <c r="T60" s="545"/>
      <c r="U60" s="860">
        <v>3301688.6769000003</v>
      </c>
      <c r="V60" s="860">
        <v>125201404.25899999</v>
      </c>
      <c r="W60" s="861">
        <v>110056.29999999999</v>
      </c>
      <c r="X60" s="862">
        <v>37.920400000000001</v>
      </c>
      <c r="Y60" s="862">
        <v>6.4089999999999998</v>
      </c>
      <c r="Z60" s="860">
        <v>21160454.140000001</v>
      </c>
      <c r="AA60" s="860">
        <v>43255594.428800002</v>
      </c>
      <c r="AB60" s="860">
        <v>131008814.90670101</v>
      </c>
      <c r="AC60" s="860">
        <v>1441853.0999999999</v>
      </c>
      <c r="AD60" s="862">
        <v>3.0287000000000002</v>
      </c>
      <c r="AE60" s="862">
        <v>0.46989999999999998</v>
      </c>
      <c r="AF60" s="860">
        <v>20326586.920000002</v>
      </c>
      <c r="AG60" s="860">
        <v>2083865.1199999899</v>
      </c>
    </row>
    <row r="61" spans="1:36" x14ac:dyDescent="0.25">
      <c r="G61" s="474"/>
      <c r="H61" s="474"/>
      <c r="I61" s="474"/>
      <c r="J61" s="474"/>
      <c r="K61" s="474"/>
      <c r="N61" s="546"/>
      <c r="O61" s="547"/>
      <c r="S61" s="549"/>
      <c r="Z61" s="785"/>
      <c r="AA61" s="785"/>
      <c r="AB61" s="785"/>
      <c r="AC61" s="785"/>
      <c r="AD61" s="785"/>
      <c r="AE61" s="785"/>
    </row>
    <row r="62" spans="1:36" x14ac:dyDescent="0.25">
      <c r="A62" s="864" t="s">
        <v>92</v>
      </c>
      <c r="B62" s="474" t="s">
        <v>75</v>
      </c>
      <c r="G62" s="474"/>
      <c r="H62" s="864" t="s">
        <v>76</v>
      </c>
      <c r="I62" s="474"/>
      <c r="J62" s="548"/>
      <c r="K62" s="548"/>
      <c r="N62" s="546"/>
      <c r="O62" s="546"/>
      <c r="P62" s="549"/>
      <c r="Q62" s="548"/>
      <c r="S62" s="548"/>
      <c r="U62" s="785"/>
      <c r="V62" s="856"/>
      <c r="W62" s="856"/>
      <c r="X62" s="856"/>
      <c r="AJ62" s="931"/>
    </row>
    <row r="63" spans="1:36" ht="13" x14ac:dyDescent="0.3">
      <c r="B63" s="865" t="s">
        <v>77</v>
      </c>
      <c r="C63" s="866" t="s">
        <v>78</v>
      </c>
      <c r="D63" s="867"/>
      <c r="E63" s="868" t="s">
        <v>34</v>
      </c>
      <c r="F63" s="868" t="s">
        <v>79</v>
      </c>
      <c r="G63" s="474"/>
      <c r="H63" s="869" t="s">
        <v>34</v>
      </c>
      <c r="I63" s="858"/>
      <c r="J63" s="858"/>
      <c r="K63" s="858"/>
      <c r="L63" s="870"/>
      <c r="N63" s="546"/>
      <c r="O63" s="546"/>
      <c r="P63" s="549"/>
      <c r="Q63" s="548"/>
      <c r="S63" s="548"/>
      <c r="U63" s="785"/>
      <c r="V63" s="856"/>
      <c r="W63" s="856"/>
      <c r="X63" s="856"/>
    </row>
    <row r="64" spans="1:36" ht="13" x14ac:dyDescent="0.3">
      <c r="B64" s="871" t="s">
        <v>80</v>
      </c>
      <c r="C64" s="872" t="s">
        <v>81</v>
      </c>
      <c r="D64" s="873"/>
      <c r="E64" s="874"/>
      <c r="F64" s="874"/>
      <c r="G64" s="474"/>
      <c r="H64" s="875" t="s">
        <v>292</v>
      </c>
      <c r="I64" s="474"/>
      <c r="J64" s="474"/>
      <c r="K64" s="474"/>
      <c r="L64" s="876"/>
      <c r="M64" s="877"/>
      <c r="N64" s="877">
        <v>6.4199999463479832E-2</v>
      </c>
      <c r="O64" s="548"/>
      <c r="P64" s="878"/>
      <c r="Q64" s="879"/>
      <c r="S64" s="879"/>
      <c r="U64" s="785"/>
      <c r="V64" s="856"/>
      <c r="W64" s="856"/>
      <c r="X64" s="856"/>
    </row>
    <row r="65" spans="1:35" ht="13" x14ac:dyDescent="0.3">
      <c r="B65" s="880" t="s">
        <v>82</v>
      </c>
      <c r="C65" s="881" t="s">
        <v>83</v>
      </c>
      <c r="D65" s="882"/>
      <c r="E65" s="883"/>
      <c r="F65" s="884"/>
      <c r="G65" s="474"/>
      <c r="H65" s="885">
        <v>0</v>
      </c>
      <c r="I65" s="842"/>
      <c r="J65" s="842"/>
      <c r="K65" s="842"/>
      <c r="L65" s="886"/>
      <c r="M65" s="877">
        <v>9.4199999857272176E-2</v>
      </c>
      <c r="N65" s="877">
        <v>9.8900000237297003E-2</v>
      </c>
      <c r="O65" s="887"/>
      <c r="P65" s="879"/>
      <c r="Q65" s="879"/>
      <c r="S65" s="879"/>
      <c r="U65" s="785"/>
      <c r="V65" s="863"/>
      <c r="W65" s="863"/>
      <c r="X65" s="856"/>
      <c r="Y65" s="548"/>
      <c r="Z65" s="548"/>
      <c r="AA65" s="548"/>
      <c r="AB65" s="548"/>
      <c r="AC65" s="548"/>
    </row>
    <row r="66" spans="1:35" x14ac:dyDescent="0.25">
      <c r="B66" s="880" t="s">
        <v>84</v>
      </c>
      <c r="C66" s="881" t="s">
        <v>85</v>
      </c>
      <c r="D66" s="882"/>
      <c r="E66" s="883"/>
      <c r="F66" s="883"/>
      <c r="G66" s="474"/>
      <c r="H66" s="474"/>
      <c r="I66" s="888"/>
      <c r="J66" s="474"/>
      <c r="K66" s="474"/>
      <c r="M66" s="877">
        <v>0.39999999969547706</v>
      </c>
      <c r="N66" s="877">
        <v>0.39999999979093542</v>
      </c>
      <c r="O66" s="549"/>
      <c r="P66" s="549"/>
      <c r="Q66" s="549"/>
      <c r="U66" s="785"/>
      <c r="V66" s="856"/>
      <c r="W66" s="856"/>
      <c r="X66" s="856"/>
      <c r="Y66" s="548"/>
      <c r="Z66" s="548"/>
      <c r="AA66" s="548"/>
      <c r="AB66" s="548"/>
    </row>
    <row r="67" spans="1:35" x14ac:dyDescent="0.25">
      <c r="B67" s="880" t="s">
        <v>86</v>
      </c>
      <c r="C67" s="881" t="s">
        <v>87</v>
      </c>
      <c r="D67" s="882"/>
      <c r="E67" s="889"/>
      <c r="F67" s="889"/>
      <c r="G67" s="474"/>
      <c r="H67" s="869" t="s">
        <v>79</v>
      </c>
      <c r="I67" s="890"/>
      <c r="J67" s="858"/>
      <c r="K67" s="858"/>
      <c r="L67" s="870"/>
      <c r="M67" s="877">
        <v>0.38000000287019686</v>
      </c>
      <c r="N67" s="877"/>
      <c r="O67" s="891"/>
      <c r="U67" s="785"/>
      <c r="V67" s="856"/>
      <c r="W67" s="856"/>
      <c r="X67" s="856"/>
      <c r="Y67" s="548"/>
      <c r="Z67" s="548"/>
      <c r="AA67" s="548"/>
      <c r="AB67" s="548"/>
      <c r="AC67" s="548"/>
    </row>
    <row r="68" spans="1:35" x14ac:dyDescent="0.25">
      <c r="B68" s="880" t="s">
        <v>88</v>
      </c>
      <c r="C68" s="881" t="s">
        <v>89</v>
      </c>
      <c r="D68" s="882"/>
      <c r="E68" s="892"/>
      <c r="F68" s="884"/>
      <c r="G68" s="474"/>
      <c r="H68" s="875" t="s">
        <v>292</v>
      </c>
      <c r="I68" s="888"/>
      <c r="J68" s="474"/>
      <c r="K68" s="474"/>
      <c r="L68" s="876"/>
      <c r="N68" s="893"/>
      <c r="O68" s="891"/>
      <c r="U68" s="785"/>
      <c r="V68" s="856"/>
      <c r="W68" s="856"/>
      <c r="X68" s="856"/>
      <c r="Y68" s="548"/>
      <c r="Z68" s="548"/>
      <c r="AA68" s="548"/>
      <c r="AB68" s="548"/>
      <c r="AC68" s="548"/>
    </row>
    <row r="69" spans="1:35" x14ac:dyDescent="0.25">
      <c r="B69" s="894" t="s">
        <v>90</v>
      </c>
      <c r="C69" s="895" t="s">
        <v>91</v>
      </c>
      <c r="D69" s="896"/>
      <c r="E69" s="897"/>
      <c r="F69" s="897"/>
      <c r="G69" s="474"/>
      <c r="H69" s="885">
        <v>0</v>
      </c>
      <c r="I69" s="898"/>
      <c r="J69" s="842"/>
      <c r="K69" s="842"/>
      <c r="L69" s="886"/>
      <c r="M69" s="891"/>
      <c r="N69" s="891"/>
      <c r="O69" s="891"/>
      <c r="U69" s="785"/>
      <c r="V69" s="856"/>
      <c r="W69" s="856"/>
      <c r="X69" s="856"/>
      <c r="Y69" s="548"/>
      <c r="Z69" s="548"/>
      <c r="AA69" s="548"/>
      <c r="AB69" s="548"/>
      <c r="AC69" s="548"/>
    </row>
    <row r="70" spans="1:35" x14ac:dyDescent="0.25">
      <c r="A70" s="864"/>
      <c r="G70" s="474"/>
      <c r="H70" s="513"/>
      <c r="I70" s="474"/>
      <c r="J70" s="474"/>
      <c r="K70" s="474"/>
      <c r="M70" s="891"/>
      <c r="N70" s="891"/>
      <c r="O70" s="891"/>
      <c r="U70" s="785"/>
      <c r="V70" s="856"/>
      <c r="W70" s="856"/>
      <c r="X70" s="856"/>
      <c r="Y70" s="548"/>
      <c r="Z70" s="548"/>
      <c r="AA70" s="548"/>
      <c r="AB70" s="548"/>
      <c r="AC70" s="548"/>
    </row>
    <row r="71" spans="1:35" ht="13" x14ac:dyDescent="0.3">
      <c r="A71" s="899"/>
      <c r="G71" s="474"/>
      <c r="H71" s="474"/>
      <c r="I71" s="474"/>
      <c r="J71" s="474"/>
      <c r="K71" s="474"/>
      <c r="U71" s="785"/>
      <c r="V71" s="856"/>
      <c r="W71" s="856"/>
      <c r="X71" s="856"/>
      <c r="Y71" s="548"/>
      <c r="Z71" s="548"/>
      <c r="AA71" s="548"/>
      <c r="AB71" s="548"/>
      <c r="AC71" s="548"/>
    </row>
    <row r="72" spans="1:35" x14ac:dyDescent="0.25">
      <c r="G72" s="474"/>
      <c r="H72" s="474"/>
      <c r="I72" s="474"/>
      <c r="J72" s="474"/>
      <c r="K72" s="474"/>
      <c r="O72" s="548"/>
      <c r="P72" s="548"/>
      <c r="Q72" s="548"/>
      <c r="U72" s="785"/>
      <c r="V72" s="863"/>
      <c r="W72" s="863"/>
      <c r="X72" s="856"/>
      <c r="Y72" s="548"/>
      <c r="Z72" s="548"/>
      <c r="AA72" s="548"/>
      <c r="AB72" s="548"/>
      <c r="AC72" s="548"/>
    </row>
    <row r="73" spans="1:35" ht="15.5" x14ac:dyDescent="0.35">
      <c r="A73"/>
      <c r="B73"/>
      <c r="C73"/>
      <c r="D73"/>
      <c r="E73"/>
      <c r="F73"/>
      <c r="G73"/>
      <c r="H73"/>
      <c r="I73"/>
      <c r="J73"/>
      <c r="K73"/>
      <c r="L73"/>
      <c r="M73"/>
      <c r="N73"/>
      <c r="O73"/>
      <c r="P73"/>
      <c r="Q73"/>
      <c r="R73"/>
      <c r="S73"/>
      <c r="T73"/>
      <c r="U73"/>
      <c r="V73"/>
      <c r="W73"/>
      <c r="X73"/>
      <c r="Y73"/>
      <c r="Z73"/>
      <c r="AA73"/>
      <c r="AB73"/>
      <c r="AC73"/>
      <c r="AD73"/>
      <c r="AE73"/>
      <c r="AF73"/>
      <c r="AG73"/>
      <c r="AH73"/>
      <c r="AI73"/>
    </row>
    <row r="74" spans="1:35" ht="15.5" x14ac:dyDescent="0.35">
      <c r="A74"/>
      <c r="B74"/>
      <c r="C74"/>
      <c r="D74"/>
      <c r="E74"/>
      <c r="F74"/>
      <c r="G74"/>
      <c r="H74"/>
      <c r="I74"/>
      <c r="J74"/>
      <c r="K74"/>
      <c r="L74"/>
      <c r="M74"/>
      <c r="N74"/>
      <c r="O74"/>
      <c r="P74"/>
      <c r="Q74"/>
      <c r="R74"/>
      <c r="S74"/>
      <c r="T74"/>
      <c r="U74"/>
      <c r="V74"/>
      <c r="W74"/>
      <c r="X74"/>
      <c r="Y74"/>
      <c r="Z74"/>
      <c r="AA74"/>
      <c r="AB74"/>
      <c r="AC74"/>
      <c r="AD74"/>
      <c r="AE74"/>
      <c r="AF74"/>
      <c r="AG74"/>
      <c r="AH74"/>
      <c r="AI74"/>
    </row>
    <row r="75" spans="1:35" ht="15.5" x14ac:dyDescent="0.35">
      <c r="A75"/>
      <c r="B75"/>
      <c r="C75"/>
      <c r="D75"/>
      <c r="E75"/>
      <c r="F75"/>
      <c r="G75"/>
      <c r="H75"/>
      <c r="I75"/>
      <c r="J75"/>
      <c r="K75"/>
      <c r="L75"/>
      <c r="M75"/>
      <c r="N75"/>
      <c r="O75"/>
      <c r="P75"/>
      <c r="Q75"/>
      <c r="R75"/>
      <c r="S75"/>
      <c r="T75"/>
      <c r="U75"/>
      <c r="V75"/>
      <c r="W75"/>
      <c r="X75"/>
      <c r="Y75"/>
      <c r="Z75"/>
      <c r="AA75"/>
      <c r="AB75"/>
      <c r="AC75"/>
      <c r="AD75"/>
      <c r="AE75"/>
      <c r="AF75"/>
      <c r="AG75"/>
      <c r="AH75"/>
      <c r="AI75"/>
    </row>
    <row r="76" spans="1:35" ht="15.5" x14ac:dyDescent="0.35">
      <c r="A76"/>
      <c r="B76"/>
      <c r="C76"/>
      <c r="D76"/>
      <c r="E76"/>
      <c r="F76"/>
      <c r="G76"/>
      <c r="H76"/>
      <c r="I76"/>
      <c r="J76"/>
      <c r="K76"/>
      <c r="L76"/>
      <c r="M76"/>
      <c r="N76"/>
      <c r="O76"/>
      <c r="P76"/>
      <c r="Q76"/>
      <c r="R76"/>
      <c r="S76"/>
      <c r="T76"/>
      <c r="U76"/>
      <c r="V76"/>
      <c r="W76"/>
      <c r="X76"/>
      <c r="Y76"/>
      <c r="Z76"/>
      <c r="AA76"/>
      <c r="AB76"/>
      <c r="AC76"/>
      <c r="AD76"/>
      <c r="AE76"/>
      <c r="AF76"/>
      <c r="AG76"/>
      <c r="AH76"/>
      <c r="AI76"/>
    </row>
    <row r="77" spans="1:35" ht="15.5" x14ac:dyDescent="0.35">
      <c r="A77"/>
      <c r="B77"/>
      <c r="C77"/>
      <c r="D77"/>
      <c r="E77"/>
      <c r="F77"/>
      <c r="G77"/>
      <c r="H77"/>
      <c r="I77"/>
      <c r="J77"/>
      <c r="K77"/>
      <c r="L77"/>
      <c r="M77"/>
      <c r="N77"/>
      <c r="O77"/>
      <c r="P77"/>
      <c r="Q77"/>
      <c r="R77"/>
      <c r="S77"/>
      <c r="T77"/>
      <c r="U77"/>
      <c r="V77"/>
      <c r="W77"/>
      <c r="X77"/>
      <c r="Y77"/>
      <c r="Z77"/>
      <c r="AA77"/>
      <c r="AB77"/>
      <c r="AC77"/>
      <c r="AD77"/>
      <c r="AE77"/>
      <c r="AF77"/>
      <c r="AG77"/>
      <c r="AH77"/>
      <c r="AI77"/>
    </row>
    <row r="78" spans="1:35" ht="15.5" x14ac:dyDescent="0.35">
      <c r="A78"/>
      <c r="B78"/>
      <c r="C78"/>
      <c r="D78"/>
      <c r="E78"/>
      <c r="F78"/>
      <c r="G78"/>
      <c r="H78"/>
      <c r="I78"/>
      <c r="J78"/>
      <c r="K78"/>
      <c r="L78"/>
      <c r="M78"/>
      <c r="N78"/>
      <c r="O78"/>
      <c r="P78"/>
      <c r="Q78"/>
      <c r="R78"/>
      <c r="S78"/>
      <c r="T78"/>
      <c r="U78"/>
      <c r="V78"/>
      <c r="W78"/>
      <c r="X78"/>
      <c r="Y78"/>
      <c r="Z78"/>
      <c r="AA78"/>
      <c r="AB78"/>
      <c r="AC78"/>
      <c r="AD78"/>
      <c r="AE78"/>
      <c r="AF78"/>
      <c r="AG78"/>
      <c r="AH78"/>
      <c r="AI78"/>
    </row>
    <row r="79" spans="1:35" ht="15.5" x14ac:dyDescent="0.35">
      <c r="A79"/>
      <c r="B79"/>
      <c r="C79"/>
      <c r="D79"/>
      <c r="E79"/>
      <c r="F79"/>
      <c r="G79"/>
      <c r="H79"/>
      <c r="I79"/>
      <c r="J79"/>
      <c r="K79"/>
      <c r="L79"/>
      <c r="M79"/>
      <c r="N79"/>
      <c r="O79"/>
      <c r="P79"/>
      <c r="Q79"/>
      <c r="R79"/>
      <c r="S79"/>
      <c r="T79"/>
      <c r="U79"/>
      <c r="V79"/>
      <c r="W79"/>
      <c r="X79"/>
      <c r="Y79"/>
      <c r="Z79"/>
      <c r="AA79"/>
      <c r="AB79"/>
      <c r="AC79"/>
      <c r="AD79"/>
      <c r="AE79"/>
      <c r="AF79"/>
      <c r="AG79"/>
      <c r="AH79"/>
      <c r="AI79"/>
    </row>
    <row r="80" spans="1:35" ht="15.5" x14ac:dyDescent="0.35">
      <c r="A80"/>
      <c r="B80"/>
      <c r="C80"/>
      <c r="D80"/>
      <c r="E80"/>
      <c r="F80"/>
      <c r="G80"/>
      <c r="H80"/>
      <c r="I80"/>
      <c r="J80"/>
      <c r="K80"/>
      <c r="L80"/>
      <c r="M80"/>
      <c r="N80"/>
      <c r="O80"/>
      <c r="P80"/>
      <c r="Q80"/>
      <c r="R80"/>
      <c r="S80"/>
      <c r="T80"/>
      <c r="U80"/>
      <c r="V80"/>
      <c r="W80"/>
      <c r="X80"/>
      <c r="Y80"/>
      <c r="Z80"/>
      <c r="AA80"/>
      <c r="AB80"/>
      <c r="AC80"/>
      <c r="AD80"/>
      <c r="AE80"/>
      <c r="AF80"/>
      <c r="AG80"/>
      <c r="AH80"/>
      <c r="AI80"/>
    </row>
    <row r="81" spans="1:35" ht="15.5" x14ac:dyDescent="0.35">
      <c r="A81"/>
      <c r="B81"/>
      <c r="C81"/>
      <c r="D81"/>
      <c r="E81"/>
      <c r="F81"/>
      <c r="G81"/>
      <c r="H81"/>
      <c r="I81"/>
      <c r="J81"/>
      <c r="K81"/>
      <c r="L81"/>
      <c r="M81"/>
      <c r="N81"/>
      <c r="O81"/>
      <c r="P81"/>
      <c r="Q81"/>
      <c r="R81"/>
      <c r="S81"/>
      <c r="T81"/>
      <c r="U81"/>
      <c r="V81"/>
      <c r="W81"/>
      <c r="X81"/>
      <c r="Y81"/>
      <c r="Z81"/>
      <c r="AA81"/>
      <c r="AB81"/>
      <c r="AC81"/>
      <c r="AD81"/>
      <c r="AE81"/>
      <c r="AF81"/>
      <c r="AG81"/>
      <c r="AH81"/>
      <c r="AI81"/>
    </row>
    <row r="82" spans="1:35" ht="15.5" x14ac:dyDescent="0.35">
      <c r="A82"/>
      <c r="B82"/>
      <c r="C82"/>
      <c r="D82"/>
      <c r="E82"/>
      <c r="F82"/>
      <c r="G82"/>
      <c r="H82"/>
      <c r="I82"/>
      <c r="J82"/>
      <c r="K82"/>
      <c r="L82"/>
      <c r="M82"/>
      <c r="N82"/>
      <c r="O82"/>
      <c r="P82"/>
      <c r="Q82"/>
      <c r="R82"/>
      <c r="S82"/>
      <c r="T82"/>
      <c r="U82"/>
      <c r="V82"/>
      <c r="W82"/>
      <c r="X82"/>
      <c r="Y82"/>
      <c r="Z82"/>
      <c r="AA82"/>
      <c r="AB82"/>
      <c r="AC82"/>
      <c r="AD82"/>
      <c r="AE82"/>
      <c r="AF82"/>
      <c r="AG82"/>
      <c r="AH82"/>
      <c r="AI82"/>
    </row>
    <row r="83" spans="1:35" ht="15.5" x14ac:dyDescent="0.35">
      <c r="A83"/>
      <c r="B83"/>
      <c r="C83"/>
      <c r="D83"/>
      <c r="E83"/>
      <c r="F83"/>
      <c r="G83"/>
      <c r="H83"/>
      <c r="I83"/>
      <c r="J83"/>
      <c r="K83"/>
      <c r="L83"/>
      <c r="M83"/>
      <c r="N83"/>
      <c r="O83"/>
      <c r="P83"/>
      <c r="Q83"/>
      <c r="R83"/>
      <c r="S83"/>
      <c r="T83"/>
      <c r="U83"/>
      <c r="V83"/>
      <c r="W83"/>
      <c r="X83"/>
      <c r="Y83"/>
      <c r="Z83"/>
      <c r="AA83"/>
      <c r="AB83"/>
      <c r="AC83"/>
      <c r="AD83"/>
      <c r="AE83"/>
      <c r="AF83"/>
      <c r="AG83"/>
      <c r="AH83"/>
      <c r="AI83"/>
    </row>
    <row r="84" spans="1:35" ht="15.5" x14ac:dyDescent="0.35">
      <c r="A84"/>
      <c r="B84"/>
      <c r="C84"/>
      <c r="D84"/>
      <c r="E84"/>
      <c r="F84"/>
      <c r="G84"/>
      <c r="H84"/>
      <c r="I84"/>
      <c r="J84"/>
      <c r="K84"/>
      <c r="L84"/>
      <c r="M84"/>
      <c r="N84"/>
      <c r="O84"/>
      <c r="P84"/>
      <c r="Q84"/>
      <c r="R84"/>
      <c r="S84"/>
      <c r="T84"/>
      <c r="U84"/>
      <c r="V84"/>
      <c r="W84"/>
      <c r="X84"/>
      <c r="Y84"/>
      <c r="Z84"/>
      <c r="AA84"/>
      <c r="AB84"/>
      <c r="AC84"/>
      <c r="AD84"/>
      <c r="AE84"/>
      <c r="AF84"/>
      <c r="AG84"/>
      <c r="AH84"/>
      <c r="AI84"/>
    </row>
    <row r="85" spans="1:35" ht="15.5" x14ac:dyDescent="0.35">
      <c r="A85"/>
      <c r="B85"/>
      <c r="C85"/>
      <c r="D85"/>
      <c r="E85"/>
      <c r="F85"/>
      <c r="G85"/>
      <c r="H85"/>
      <c r="I85"/>
      <c r="J85"/>
      <c r="K85"/>
      <c r="L85"/>
      <c r="M85"/>
      <c r="N85"/>
      <c r="O85"/>
      <c r="P85"/>
      <c r="Q85"/>
      <c r="R85"/>
      <c r="S85"/>
      <c r="T85"/>
      <c r="U85"/>
      <c r="V85"/>
      <c r="W85"/>
      <c r="X85"/>
      <c r="Y85"/>
      <c r="Z85"/>
      <c r="AA85"/>
      <c r="AB85"/>
      <c r="AC85"/>
      <c r="AD85"/>
      <c r="AE85"/>
      <c r="AF85"/>
      <c r="AG85"/>
      <c r="AH85"/>
      <c r="AI85"/>
    </row>
    <row r="86" spans="1:35" ht="15.5" x14ac:dyDescent="0.35">
      <c r="A86"/>
      <c r="B86"/>
      <c r="C86"/>
      <c r="D86"/>
      <c r="E86"/>
      <c r="F86"/>
      <c r="G86"/>
      <c r="H86"/>
      <c r="I86"/>
      <c r="J86"/>
      <c r="K86"/>
      <c r="L86"/>
      <c r="M86"/>
      <c r="N86"/>
      <c r="O86"/>
      <c r="P86"/>
      <c r="Q86"/>
      <c r="R86"/>
      <c r="S86"/>
      <c r="T86"/>
      <c r="U86"/>
      <c r="V86"/>
      <c r="W86"/>
      <c r="X86"/>
      <c r="Y86"/>
      <c r="Z86"/>
      <c r="AA86"/>
      <c r="AB86"/>
      <c r="AC86"/>
      <c r="AD86"/>
      <c r="AE86"/>
      <c r="AF86"/>
      <c r="AG86"/>
      <c r="AH86"/>
      <c r="AI86"/>
    </row>
    <row r="87" spans="1:35" ht="15.5" x14ac:dyDescent="0.35">
      <c r="A87"/>
      <c r="B87"/>
      <c r="C87"/>
      <c r="D87"/>
      <c r="E87"/>
      <c r="F87"/>
      <c r="G87"/>
      <c r="H87"/>
      <c r="I87"/>
      <c r="J87"/>
      <c r="K87"/>
      <c r="L87"/>
      <c r="M87"/>
      <c r="N87"/>
      <c r="O87"/>
      <c r="P87"/>
      <c r="Q87"/>
      <c r="R87"/>
      <c r="S87"/>
      <c r="T87"/>
      <c r="U87"/>
      <c r="V87"/>
      <c r="W87"/>
      <c r="X87"/>
      <c r="Y87"/>
      <c r="Z87"/>
      <c r="AA87"/>
      <c r="AB87"/>
      <c r="AC87"/>
      <c r="AD87"/>
      <c r="AE87"/>
      <c r="AF87"/>
      <c r="AG87"/>
      <c r="AH87"/>
      <c r="AI87"/>
    </row>
    <row r="88" spans="1:35" ht="15.5" x14ac:dyDescent="0.35">
      <c r="A88"/>
      <c r="B88"/>
      <c r="C88"/>
      <c r="D88"/>
      <c r="E88"/>
      <c r="F88"/>
      <c r="G88"/>
      <c r="H88"/>
      <c r="I88"/>
      <c r="J88"/>
      <c r="K88"/>
      <c r="L88"/>
      <c r="M88"/>
      <c r="N88"/>
      <c r="O88"/>
      <c r="P88"/>
      <c r="Q88"/>
      <c r="R88"/>
      <c r="S88"/>
      <c r="T88"/>
      <c r="U88"/>
      <c r="V88"/>
      <c r="W88"/>
      <c r="X88"/>
      <c r="Y88"/>
      <c r="Z88"/>
      <c r="AA88"/>
      <c r="AB88"/>
      <c r="AC88"/>
      <c r="AD88"/>
      <c r="AE88"/>
      <c r="AF88"/>
      <c r="AG88"/>
      <c r="AH88"/>
      <c r="AI88"/>
    </row>
    <row r="89" spans="1:35" ht="15.5" x14ac:dyDescent="0.35">
      <c r="A89"/>
      <c r="B89"/>
      <c r="C89"/>
      <c r="D89"/>
      <c r="E89"/>
      <c r="F89"/>
      <c r="G89"/>
      <c r="H89"/>
      <c r="I89"/>
      <c r="J89"/>
      <c r="K89"/>
      <c r="L89"/>
      <c r="M89"/>
      <c r="N89"/>
      <c r="O89"/>
      <c r="P89"/>
      <c r="Q89"/>
      <c r="R89"/>
      <c r="S89"/>
      <c r="T89"/>
      <c r="U89"/>
      <c r="V89"/>
      <c r="W89"/>
      <c r="X89"/>
      <c r="Y89"/>
      <c r="Z89"/>
      <c r="AA89"/>
      <c r="AB89"/>
      <c r="AC89"/>
      <c r="AD89"/>
      <c r="AE89"/>
      <c r="AF89"/>
      <c r="AG89"/>
      <c r="AH89"/>
      <c r="AI89"/>
    </row>
    <row r="90" spans="1:35" ht="15.5" x14ac:dyDescent="0.35">
      <c r="A90"/>
      <c r="B90"/>
      <c r="C90"/>
      <c r="D90"/>
      <c r="E90"/>
      <c r="F90"/>
      <c r="G90"/>
      <c r="H90"/>
      <c r="I90"/>
      <c r="J90"/>
      <c r="K90"/>
      <c r="L90"/>
      <c r="M90"/>
      <c r="N90"/>
      <c r="O90"/>
      <c r="P90"/>
      <c r="Q90"/>
      <c r="R90"/>
      <c r="S90"/>
      <c r="T90"/>
      <c r="U90"/>
      <c r="V90"/>
      <c r="W90"/>
      <c r="X90"/>
      <c r="Y90"/>
      <c r="Z90"/>
      <c r="AA90"/>
      <c r="AB90"/>
      <c r="AC90"/>
      <c r="AD90"/>
      <c r="AE90"/>
      <c r="AF90"/>
      <c r="AG90"/>
      <c r="AH90"/>
      <c r="AI90"/>
    </row>
    <row r="91" spans="1:35" ht="15.5" x14ac:dyDescent="0.35">
      <c r="A91"/>
      <c r="B91"/>
      <c r="C91"/>
      <c r="D91"/>
      <c r="E91"/>
      <c r="F91"/>
      <c r="G91"/>
      <c r="H91"/>
      <c r="I91"/>
      <c r="J91"/>
      <c r="K91"/>
      <c r="L91"/>
      <c r="M91"/>
      <c r="N91"/>
      <c r="O91"/>
      <c r="P91"/>
      <c r="Q91"/>
      <c r="R91"/>
      <c r="S91"/>
      <c r="T91"/>
      <c r="U91"/>
      <c r="V91"/>
      <c r="W91"/>
      <c r="X91"/>
      <c r="Y91"/>
      <c r="Z91"/>
      <c r="AA91"/>
      <c r="AB91"/>
      <c r="AC91"/>
      <c r="AD91"/>
      <c r="AE91"/>
      <c r="AF91"/>
      <c r="AG91"/>
      <c r="AH91"/>
      <c r="AI91"/>
    </row>
    <row r="92" spans="1:35" ht="15.5" x14ac:dyDescent="0.35">
      <c r="A92"/>
      <c r="B92"/>
      <c r="C92"/>
      <c r="D92"/>
      <c r="E92"/>
      <c r="F92"/>
      <c r="G92"/>
      <c r="H92"/>
      <c r="I92"/>
      <c r="J92"/>
      <c r="K92"/>
      <c r="L92"/>
      <c r="M92"/>
      <c r="N92"/>
      <c r="O92"/>
      <c r="P92"/>
      <c r="Q92"/>
      <c r="R92"/>
      <c r="S92"/>
      <c r="T92"/>
      <c r="U92"/>
      <c r="V92"/>
      <c r="W92"/>
      <c r="X92"/>
      <c r="Y92"/>
      <c r="Z92"/>
      <c r="AA92"/>
      <c r="AB92"/>
      <c r="AC92"/>
      <c r="AD92"/>
      <c r="AE92"/>
      <c r="AF92"/>
      <c r="AG92"/>
      <c r="AH92"/>
      <c r="AI92"/>
    </row>
    <row r="93" spans="1:35" ht="15.5" x14ac:dyDescent="0.35">
      <c r="A93"/>
      <c r="B93"/>
      <c r="C93"/>
      <c r="D93"/>
      <c r="E93"/>
      <c r="F93"/>
      <c r="G93"/>
      <c r="H93"/>
      <c r="I93"/>
      <c r="J93"/>
      <c r="K93"/>
      <c r="L93"/>
      <c r="M93"/>
      <c r="N93"/>
      <c r="O93"/>
      <c r="P93"/>
      <c r="Q93"/>
      <c r="R93"/>
      <c r="S93"/>
      <c r="T93"/>
      <c r="U93"/>
      <c r="V93"/>
      <c r="W93"/>
      <c r="X93"/>
      <c r="Y93"/>
      <c r="Z93"/>
      <c r="AA93"/>
      <c r="AB93"/>
      <c r="AC93"/>
      <c r="AD93"/>
      <c r="AE93"/>
      <c r="AF93"/>
      <c r="AG93"/>
      <c r="AH93"/>
      <c r="AI93"/>
    </row>
    <row r="94" spans="1:35" ht="15.5" x14ac:dyDescent="0.35">
      <c r="A94"/>
      <c r="B94"/>
      <c r="C94"/>
      <c r="D94"/>
      <c r="E94"/>
      <c r="F94"/>
      <c r="G94"/>
      <c r="H94"/>
      <c r="I94"/>
      <c r="J94"/>
      <c r="K94"/>
      <c r="L94"/>
      <c r="M94"/>
      <c r="N94"/>
      <c r="O94"/>
      <c r="P94"/>
      <c r="Q94"/>
      <c r="R94"/>
      <c r="S94"/>
      <c r="T94"/>
      <c r="U94"/>
      <c r="V94"/>
      <c r="W94"/>
      <c r="X94"/>
      <c r="Y94"/>
      <c r="Z94"/>
      <c r="AA94"/>
      <c r="AB94"/>
      <c r="AC94"/>
      <c r="AD94"/>
      <c r="AE94"/>
      <c r="AF94"/>
      <c r="AG94"/>
      <c r="AH94"/>
      <c r="AI94"/>
    </row>
    <row r="95" spans="1:35" ht="15.5" x14ac:dyDescent="0.35">
      <c r="A95"/>
      <c r="B95"/>
      <c r="C95"/>
      <c r="D95"/>
      <c r="E95"/>
      <c r="F95"/>
      <c r="G95"/>
      <c r="H95"/>
      <c r="I95"/>
      <c r="J95"/>
      <c r="K95"/>
      <c r="L95"/>
      <c r="M95"/>
      <c r="N95"/>
      <c r="O95"/>
      <c r="P95"/>
      <c r="Q95"/>
      <c r="R95"/>
      <c r="S95"/>
      <c r="T95"/>
      <c r="U95"/>
      <c r="V95"/>
      <c r="W95"/>
      <c r="X95"/>
      <c r="Y95"/>
      <c r="Z95"/>
      <c r="AA95"/>
      <c r="AB95"/>
      <c r="AC95"/>
      <c r="AD95"/>
      <c r="AE95"/>
      <c r="AF95"/>
      <c r="AG95"/>
      <c r="AH95"/>
      <c r="AI95"/>
    </row>
    <row r="96" spans="1:35" ht="15.5" x14ac:dyDescent="0.35">
      <c r="A96"/>
      <c r="B96"/>
      <c r="C96"/>
      <c r="D96"/>
      <c r="E96"/>
      <c r="F96"/>
      <c r="G96"/>
      <c r="H96"/>
      <c r="I96"/>
      <c r="J96"/>
      <c r="K96"/>
      <c r="L96"/>
      <c r="M96"/>
      <c r="N96"/>
      <c r="O96"/>
      <c r="P96"/>
      <c r="Q96"/>
      <c r="R96"/>
      <c r="S96"/>
      <c r="T96"/>
      <c r="U96"/>
      <c r="V96"/>
      <c r="W96"/>
      <c r="X96"/>
      <c r="Y96"/>
      <c r="Z96"/>
      <c r="AA96"/>
      <c r="AB96"/>
      <c r="AC96"/>
      <c r="AD96"/>
      <c r="AE96"/>
      <c r="AF96"/>
      <c r="AG96"/>
      <c r="AH96"/>
      <c r="AI96"/>
    </row>
    <row r="97" spans="1:35" ht="15.5" x14ac:dyDescent="0.35">
      <c r="A97"/>
      <c r="B97"/>
      <c r="C97"/>
      <c r="D97"/>
      <c r="E97"/>
      <c r="F97"/>
      <c r="G97"/>
      <c r="H97"/>
      <c r="I97"/>
      <c r="J97"/>
      <c r="K97"/>
      <c r="L97"/>
      <c r="M97"/>
      <c r="N97"/>
      <c r="O97"/>
      <c r="P97"/>
      <c r="Q97"/>
      <c r="R97"/>
      <c r="S97"/>
      <c r="T97"/>
      <c r="U97"/>
      <c r="V97"/>
      <c r="W97"/>
      <c r="X97"/>
      <c r="Y97"/>
      <c r="Z97"/>
      <c r="AA97"/>
      <c r="AB97"/>
      <c r="AC97"/>
      <c r="AD97"/>
      <c r="AE97"/>
      <c r="AF97"/>
      <c r="AG97"/>
      <c r="AH97"/>
      <c r="AI97"/>
    </row>
    <row r="98" spans="1:35" ht="15.5" x14ac:dyDescent="0.35">
      <c r="A98"/>
      <c r="B98"/>
      <c r="C98"/>
      <c r="D98"/>
      <c r="E98"/>
      <c r="F98"/>
      <c r="G98"/>
      <c r="H98"/>
      <c r="I98"/>
      <c r="J98"/>
      <c r="K98"/>
      <c r="L98"/>
      <c r="M98"/>
      <c r="N98"/>
      <c r="O98"/>
      <c r="P98"/>
      <c r="Q98"/>
      <c r="R98"/>
      <c r="S98"/>
      <c r="T98"/>
      <c r="U98"/>
      <c r="V98"/>
      <c r="W98"/>
      <c r="X98"/>
      <c r="Y98"/>
      <c r="Z98"/>
      <c r="AA98"/>
      <c r="AB98"/>
      <c r="AC98"/>
      <c r="AD98"/>
      <c r="AE98"/>
      <c r="AF98"/>
      <c r="AG98"/>
      <c r="AH98"/>
      <c r="AI98"/>
    </row>
    <row r="99" spans="1:35" ht="15.5" x14ac:dyDescent="0.35">
      <c r="A99"/>
      <c r="B99"/>
      <c r="C99"/>
      <c r="D99"/>
      <c r="E99"/>
      <c r="F99"/>
      <c r="G99"/>
      <c r="H99"/>
      <c r="I99"/>
      <c r="J99"/>
      <c r="K99"/>
      <c r="L99"/>
      <c r="M99"/>
      <c r="N99"/>
      <c r="O99"/>
      <c r="P99"/>
      <c r="Q99"/>
      <c r="R99"/>
      <c r="S99"/>
      <c r="T99"/>
      <c r="U99"/>
      <c r="V99"/>
      <c r="W99"/>
      <c r="X99"/>
      <c r="Y99"/>
      <c r="Z99"/>
      <c r="AA99"/>
      <c r="AB99"/>
      <c r="AC99"/>
      <c r="AD99"/>
      <c r="AE99"/>
      <c r="AF99"/>
      <c r="AG99"/>
      <c r="AH99"/>
      <c r="AI99"/>
    </row>
    <row r="100" spans="1:35" ht="15.5" x14ac:dyDescent="0.3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row>
    <row r="101" spans="1:35" ht="15.5" x14ac:dyDescent="0.3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row>
    <row r="102" spans="1:35" ht="15.5" x14ac:dyDescent="0.3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row>
    <row r="103" spans="1:35" ht="15.5" x14ac:dyDescent="0.3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row>
    <row r="104" spans="1:35" ht="15.5" x14ac:dyDescent="0.3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row>
    <row r="105" spans="1:35" ht="15.5" x14ac:dyDescent="0.3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row>
    <row r="106" spans="1:35" ht="15.5" x14ac:dyDescent="0.3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row>
    <row r="107" spans="1:35" ht="15.5" x14ac:dyDescent="0.3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row>
    <row r="108" spans="1:35" ht="15.5" x14ac:dyDescent="0.3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row>
    <row r="109" spans="1:35" ht="15.5" x14ac:dyDescent="0.3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row>
    <row r="110" spans="1:35" ht="15.5" x14ac:dyDescent="0.3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row>
    <row r="111" spans="1:35" ht="15.5" x14ac:dyDescent="0.3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row>
    <row r="112" spans="1:35" ht="15.5" x14ac:dyDescent="0.3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row>
    <row r="113" spans="1:35" ht="15.5"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row>
    <row r="114" spans="1:35" ht="15.5" x14ac:dyDescent="0.3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row>
    <row r="115" spans="1:35" ht="15.5" x14ac:dyDescent="0.3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row>
    <row r="116" spans="1:35" ht="15.5" x14ac:dyDescent="0.3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row>
    <row r="117" spans="1:35" ht="15.5" x14ac:dyDescent="0.3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row>
    <row r="118" spans="1:35" ht="15.5" x14ac:dyDescent="0.3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row>
    <row r="119" spans="1:35" ht="15.5"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row>
    <row r="120" spans="1:35" ht="15.5" x14ac:dyDescent="0.3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row>
    <row r="121" spans="1:35" ht="15.5" x14ac:dyDescent="0.3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row>
    <row r="122" spans="1:35" ht="15.5" x14ac:dyDescent="0.3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row>
    <row r="123" spans="1:35" ht="15.5" x14ac:dyDescent="0.3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row>
    <row r="124" spans="1:35" ht="15.5" x14ac:dyDescent="0.3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row>
    <row r="125" spans="1:35" ht="15.5" x14ac:dyDescent="0.3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row>
    <row r="126" spans="1:35" ht="15.5" x14ac:dyDescent="0.3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row>
    <row r="127" spans="1:35" ht="15.5" x14ac:dyDescent="0.3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row>
    <row r="128" spans="1:35" ht="15.5" x14ac:dyDescent="0.3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row>
    <row r="129" spans="1:35" ht="15.5" x14ac:dyDescent="0.3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row>
    <row r="130" spans="1:35" ht="15.5" x14ac:dyDescent="0.3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row>
    <row r="131" spans="1:35" ht="15.5" x14ac:dyDescent="0.3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row>
    <row r="132" spans="1:35" ht="15.5" x14ac:dyDescent="0.3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row>
    <row r="133" spans="1:35" ht="15.5" x14ac:dyDescent="0.3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row>
    <row r="134" spans="1:35" ht="15.5" x14ac:dyDescent="0.3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row>
    <row r="135" spans="1:35" ht="15.5" x14ac:dyDescent="0.3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row>
    <row r="136" spans="1:35" ht="15.5" x14ac:dyDescent="0.3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row>
    <row r="137" spans="1:35" ht="15.5" x14ac:dyDescent="0.3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row>
    <row r="138" spans="1:35" ht="15.5" x14ac:dyDescent="0.3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row>
    <row r="139" spans="1:35" ht="15.5" x14ac:dyDescent="0.3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row>
    <row r="140" spans="1:35" ht="15.5" x14ac:dyDescent="0.3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row>
    <row r="141" spans="1:35" ht="15.5" x14ac:dyDescent="0.3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row>
    <row r="142" spans="1:35" ht="15.5" x14ac:dyDescent="0.3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row>
    <row r="143" spans="1:35" ht="15.5" x14ac:dyDescent="0.3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row>
    <row r="144" spans="1:35" ht="15.5" x14ac:dyDescent="0.3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row>
    <row r="145" spans="1:35" ht="15.5" x14ac:dyDescent="0.3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row>
    <row r="146" spans="1:35" ht="15.5" x14ac:dyDescent="0.3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row>
    <row r="147" spans="1:35" ht="15.5" x14ac:dyDescent="0.3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row>
    <row r="148" spans="1:35" ht="15.5" x14ac:dyDescent="0.3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row>
    <row r="149" spans="1:35" ht="15.5" x14ac:dyDescent="0.3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row>
    <row r="150" spans="1:35" ht="15.5" x14ac:dyDescent="0.3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row>
    <row r="151" spans="1:35" ht="15.5" x14ac:dyDescent="0.3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row>
    <row r="152" spans="1:35" ht="15.5" x14ac:dyDescent="0.3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row>
    <row r="153" spans="1:35" ht="15.5" x14ac:dyDescent="0.3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row>
    <row r="154" spans="1:35" ht="15.5" x14ac:dyDescent="0.3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row>
    <row r="155" spans="1:35" ht="15.5" x14ac:dyDescent="0.3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row>
    <row r="156" spans="1:35" ht="15.5" x14ac:dyDescent="0.3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row>
    <row r="157" spans="1:35" ht="15.5" x14ac:dyDescent="0.3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row>
    <row r="158" spans="1:35" ht="15.5" x14ac:dyDescent="0.3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row>
    <row r="159" spans="1:35" ht="15.5" x14ac:dyDescent="0.3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row>
    <row r="160" spans="1:35" ht="15.5" x14ac:dyDescent="0.3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row>
    <row r="161" spans="1:35" ht="15.5" x14ac:dyDescent="0.3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row>
    <row r="162" spans="1:35" ht="15.5" x14ac:dyDescent="0.3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row>
    <row r="163" spans="1:35" ht="15.5" x14ac:dyDescent="0.3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row>
    <row r="164" spans="1:35" ht="15.5" x14ac:dyDescent="0.3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row>
    <row r="165" spans="1:35" ht="15.5" x14ac:dyDescent="0.3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row>
    <row r="166" spans="1:35" ht="15.5" x14ac:dyDescent="0.3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row>
    <row r="167" spans="1:35" ht="15.5" x14ac:dyDescent="0.3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row>
    <row r="168" spans="1:35" ht="15.5" x14ac:dyDescent="0.3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row>
    <row r="169" spans="1:35" ht="15.5" x14ac:dyDescent="0.3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row>
    <row r="170" spans="1:35" ht="15.5" x14ac:dyDescent="0.3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row>
    <row r="171" spans="1:35" ht="15.5" x14ac:dyDescent="0.3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row>
    <row r="172" spans="1:35" ht="15.5" x14ac:dyDescent="0.3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row>
    <row r="173" spans="1:35" ht="15.5" x14ac:dyDescent="0.3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row>
    <row r="174" spans="1:35" ht="15.5" x14ac:dyDescent="0.3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row>
    <row r="175" spans="1:35" ht="15.5" x14ac:dyDescent="0.3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row>
    <row r="176" spans="1:35" ht="15.5" x14ac:dyDescent="0.3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row>
    <row r="177" spans="1:35" ht="15.5" x14ac:dyDescent="0.3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row>
    <row r="178" spans="1:35" ht="15.5" x14ac:dyDescent="0.3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row>
    <row r="179" spans="1:35" ht="15.5" x14ac:dyDescent="0.3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row>
    <row r="180" spans="1:35" ht="15.5" x14ac:dyDescent="0.3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row>
    <row r="181" spans="1:35" ht="15.5" x14ac:dyDescent="0.3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row>
    <row r="182" spans="1:35" ht="15.5" x14ac:dyDescent="0.3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row>
    <row r="183" spans="1:35" ht="15.5" x14ac:dyDescent="0.3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row>
    <row r="184" spans="1:35" ht="15.5" x14ac:dyDescent="0.3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row>
    <row r="185" spans="1:35" ht="15.5" x14ac:dyDescent="0.3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row>
  </sheetData>
  <mergeCells count="2">
    <mergeCell ref="C7:C8"/>
    <mergeCell ref="O7:O8"/>
  </mergeCells>
  <printOptions horizontalCentered="1" verticalCentered="1"/>
  <pageMargins left="0.23622047244094491" right="0.23622047244094491" top="0.51181102362204722" bottom="0.51181102362204722" header="0" footer="0"/>
  <pageSetup paperSize="9" scale="61" fitToWidth="2"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pageSetUpPr fitToPage="1"/>
  </sheetPr>
  <dimension ref="A1:AI72"/>
  <sheetViews>
    <sheetView view="pageBreakPreview" zoomScale="95" zoomScaleNormal="95" zoomScaleSheetLayoutView="95" workbookViewId="0">
      <selection activeCell="D13" sqref="D13:D14"/>
    </sheetView>
  </sheetViews>
  <sheetFormatPr baseColWidth="10" defaultColWidth="11.3828125" defaultRowHeight="12.5" x14ac:dyDescent="0.25"/>
  <cols>
    <col min="1" max="6" width="11.3828125" style="251"/>
    <col min="7" max="11" width="11.3828125" style="172"/>
    <col min="12" max="16384" width="11.3828125" style="251"/>
  </cols>
  <sheetData>
    <row r="1" spans="1:33" ht="12.75" customHeight="1" x14ac:dyDescent="0.25">
      <c r="A1" s="251" t="s">
        <v>347</v>
      </c>
      <c r="C1" s="1"/>
      <c r="D1" s="1"/>
      <c r="E1" s="7">
        <v>45992</v>
      </c>
      <c r="F1" s="502"/>
      <c r="S1" s="251" t="s">
        <v>306</v>
      </c>
      <c r="U1" s="48" t="s">
        <v>59</v>
      </c>
      <c r="V1" s="48"/>
      <c r="W1" s="49">
        <v>31</v>
      </c>
    </row>
    <row r="2" spans="1:33" x14ac:dyDescent="0.25">
      <c r="A2" s="1" t="s">
        <v>0</v>
      </c>
      <c r="I2" s="906"/>
      <c r="N2" s="402"/>
      <c r="O2" s="147"/>
    </row>
    <row r="3" spans="1:33" ht="13" x14ac:dyDescent="0.25">
      <c r="A3" s="110" t="s">
        <v>106</v>
      </c>
      <c r="B3" s="110"/>
      <c r="C3" s="110"/>
      <c r="D3" s="110"/>
      <c r="E3" s="110"/>
      <c r="F3" s="110"/>
      <c r="G3" s="110"/>
      <c r="H3" s="110"/>
      <c r="I3" s="110"/>
      <c r="J3" s="110"/>
      <c r="K3" s="110"/>
      <c r="L3" s="110"/>
      <c r="M3" s="110"/>
      <c r="N3" s="110"/>
      <c r="O3" s="110"/>
      <c r="P3" s="110"/>
      <c r="Q3" s="110"/>
      <c r="R3" s="110"/>
      <c r="S3" s="110"/>
      <c r="T3" s="110"/>
    </row>
    <row r="4" spans="1:33" x14ac:dyDescent="0.25">
      <c r="A4" s="109" t="s">
        <v>356</v>
      </c>
      <c r="B4" s="109"/>
      <c r="C4" s="109"/>
      <c r="D4" s="109"/>
      <c r="E4" s="109"/>
      <c r="F4" s="109"/>
      <c r="G4" s="109"/>
      <c r="H4" s="109"/>
      <c r="I4" s="109"/>
      <c r="J4" s="109"/>
      <c r="K4" s="109"/>
      <c r="L4" s="109"/>
      <c r="M4" s="109"/>
      <c r="N4" s="109"/>
      <c r="O4" s="907"/>
      <c r="P4" s="109"/>
      <c r="Q4" s="109"/>
      <c r="R4" s="109"/>
      <c r="S4" s="109"/>
      <c r="T4" s="109"/>
    </row>
    <row r="5" spans="1:33" x14ac:dyDescent="0.25">
      <c r="A5" s="109" t="s">
        <v>349</v>
      </c>
      <c r="B5" s="109"/>
      <c r="C5" s="109"/>
      <c r="D5" s="109"/>
      <c r="E5" s="109"/>
      <c r="F5" s="109"/>
      <c r="G5" s="109"/>
      <c r="H5" s="109"/>
      <c r="I5" s="109"/>
      <c r="J5" s="109"/>
      <c r="K5" s="109"/>
      <c r="L5" s="109"/>
      <c r="M5" s="109"/>
      <c r="N5" s="109"/>
      <c r="O5" s="109"/>
      <c r="P5" s="109"/>
      <c r="Q5" s="496"/>
      <c r="R5" s="109"/>
      <c r="S5" s="109"/>
      <c r="T5" s="109"/>
      <c r="U5" s="47"/>
      <c r="V5" s="47"/>
    </row>
    <row r="6" spans="1:33" x14ac:dyDescent="0.25">
      <c r="E6" s="47"/>
      <c r="F6" s="47"/>
      <c r="G6" s="242"/>
      <c r="H6" s="173"/>
      <c r="O6" s="290"/>
      <c r="Q6" s="496"/>
      <c r="U6" s="47"/>
      <c r="W6" s="47"/>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479" t="s">
        <v>301</v>
      </c>
      <c r="V7" s="480"/>
      <c r="W7" s="480"/>
      <c r="X7" s="480"/>
      <c r="Y7" s="480"/>
      <c r="Z7" s="481"/>
      <c r="AA7" s="482" t="s">
        <v>302</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5" t="s">
        <v>28</v>
      </c>
      <c r="B10" s="17" t="s">
        <v>13</v>
      </c>
      <c r="C10" s="69" t="s">
        <v>29</v>
      </c>
      <c r="D10" s="406" t="s">
        <v>21</v>
      </c>
      <c r="E10" s="69" t="s">
        <v>95</v>
      </c>
      <c r="F10" s="223" t="s">
        <v>36</v>
      </c>
      <c r="G10" s="407">
        <v>5569</v>
      </c>
      <c r="H10" s="407">
        <v>6085</v>
      </c>
      <c r="I10" s="408">
        <v>62.748600000000003</v>
      </c>
      <c r="J10" s="408">
        <v>61.100700000000003</v>
      </c>
      <c r="K10" s="409"/>
      <c r="L10" s="409"/>
      <c r="M10" s="409"/>
      <c r="N10" s="458">
        <v>99.1</v>
      </c>
      <c r="O10" s="407">
        <v>721145.61</v>
      </c>
      <c r="P10" s="409">
        <v>135214.79999999999</v>
      </c>
      <c r="Q10" s="409">
        <v>108171.84</v>
      </c>
      <c r="R10" s="199">
        <v>0.15</v>
      </c>
      <c r="S10" s="409">
        <v>27042.959999999999</v>
      </c>
      <c r="T10" s="236">
        <v>3.7499999999999999E-2</v>
      </c>
      <c r="U10" s="46">
        <v>11654</v>
      </c>
      <c r="V10" s="46">
        <v>721145.61</v>
      </c>
      <c r="W10" s="55">
        <v>375.9</v>
      </c>
      <c r="X10" s="56">
        <v>61.8797</v>
      </c>
      <c r="Y10" s="56">
        <v>11.602399999999999</v>
      </c>
      <c r="Z10" s="46">
        <v>135214.79999999999</v>
      </c>
      <c r="AA10" s="46" t="s">
        <v>305</v>
      </c>
      <c r="AB10" s="46" t="s">
        <v>305</v>
      </c>
      <c r="AC10" s="55" t="s">
        <v>305</v>
      </c>
      <c r="AD10" s="56" t="s">
        <v>305</v>
      </c>
      <c r="AE10" s="56" t="s">
        <v>305</v>
      </c>
      <c r="AF10" s="46" t="s">
        <v>305</v>
      </c>
      <c r="AG10" s="36"/>
    </row>
    <row r="11" spans="1:33" ht="12.75" customHeight="1" x14ac:dyDescent="0.25">
      <c r="A11" s="405" t="s">
        <v>28</v>
      </c>
      <c r="B11" s="17" t="s">
        <v>14</v>
      </c>
      <c r="C11" s="69" t="s">
        <v>29</v>
      </c>
      <c r="D11" s="406" t="s">
        <v>21</v>
      </c>
      <c r="E11" s="69" t="s">
        <v>95</v>
      </c>
      <c r="F11" s="223" t="s">
        <v>55</v>
      </c>
      <c r="G11" s="407">
        <v>42027.125399999997</v>
      </c>
      <c r="H11" s="407">
        <v>40978.427600000003</v>
      </c>
      <c r="I11" s="408">
        <v>3</v>
      </c>
      <c r="J11" s="408">
        <v>3</v>
      </c>
      <c r="K11" s="409"/>
      <c r="L11" s="409"/>
      <c r="M11" s="409"/>
      <c r="N11" s="458">
        <v>2513.23</v>
      </c>
      <c r="O11" s="407">
        <v>246503.43</v>
      </c>
      <c r="P11" s="409">
        <v>46219.39</v>
      </c>
      <c r="Q11" s="409">
        <v>36975.51</v>
      </c>
      <c r="R11" s="199">
        <v>0.15</v>
      </c>
      <c r="S11" s="409">
        <v>9243.8799999999992</v>
      </c>
      <c r="T11" s="236">
        <v>3.7499999999999999E-2</v>
      </c>
      <c r="U11" s="32" t="s">
        <v>305</v>
      </c>
      <c r="V11" s="32" t="s">
        <v>305</v>
      </c>
      <c r="W11" s="57" t="s">
        <v>305</v>
      </c>
      <c r="X11" s="58" t="s">
        <v>305</v>
      </c>
      <c r="Y11" s="58" t="s">
        <v>305</v>
      </c>
      <c r="Z11" s="32" t="s">
        <v>305</v>
      </c>
      <c r="AA11" s="32">
        <v>83005.553</v>
      </c>
      <c r="AB11" s="32">
        <v>246503.43</v>
      </c>
      <c r="AC11" s="57">
        <v>2677.6</v>
      </c>
      <c r="AD11" s="58">
        <v>2.9697</v>
      </c>
      <c r="AE11" s="58">
        <v>0.55679999999999996</v>
      </c>
      <c r="AF11" s="32">
        <v>46219.39</v>
      </c>
      <c r="AG11" s="37"/>
    </row>
    <row r="12" spans="1:33" x14ac:dyDescent="0.25">
      <c r="A12" s="405" t="s">
        <v>28</v>
      </c>
      <c r="B12" s="17" t="s">
        <v>3</v>
      </c>
      <c r="C12" s="69" t="s">
        <v>31</v>
      </c>
      <c r="D12" s="406" t="s">
        <v>30</v>
      </c>
      <c r="E12" s="69" t="s">
        <v>98</v>
      </c>
      <c r="F12" s="223" t="s">
        <v>36</v>
      </c>
      <c r="G12" s="407"/>
      <c r="H12" s="407"/>
      <c r="I12" s="408"/>
      <c r="J12" s="408"/>
      <c r="K12" s="409"/>
      <c r="L12" s="409"/>
      <c r="M12" s="409"/>
      <c r="N12" s="458"/>
      <c r="O12" s="407">
        <v>0</v>
      </c>
      <c r="P12" s="409">
        <v>0</v>
      </c>
      <c r="Q12" s="409">
        <v>0</v>
      </c>
      <c r="R12" s="199">
        <v>0.15</v>
      </c>
      <c r="S12" s="409">
        <v>0</v>
      </c>
      <c r="T12" s="236">
        <v>3.7499999999999999E-2</v>
      </c>
      <c r="U12" s="32">
        <v>0</v>
      </c>
      <c r="V12" s="32">
        <v>0</v>
      </c>
      <c r="W12" s="57">
        <v>0</v>
      </c>
      <c r="X12" s="58">
        <v>0</v>
      </c>
      <c r="Y12" s="58">
        <v>0</v>
      </c>
      <c r="Z12" s="32">
        <v>0</v>
      </c>
      <c r="AA12" s="32" t="s">
        <v>305</v>
      </c>
      <c r="AB12" s="32" t="s">
        <v>305</v>
      </c>
      <c r="AC12" s="57" t="s">
        <v>305</v>
      </c>
      <c r="AD12" s="58" t="s">
        <v>305</v>
      </c>
      <c r="AE12" s="58" t="s">
        <v>305</v>
      </c>
      <c r="AF12" s="32" t="s">
        <v>305</v>
      </c>
      <c r="AG12" s="37"/>
    </row>
    <row r="13" spans="1:33" x14ac:dyDescent="0.25">
      <c r="A13" s="411" t="s">
        <v>28</v>
      </c>
      <c r="B13" s="17" t="s">
        <v>315</v>
      </c>
      <c r="C13" s="223" t="s">
        <v>29</v>
      </c>
      <c r="D13" s="826" t="s">
        <v>21</v>
      </c>
      <c r="E13" s="223" t="s">
        <v>95</v>
      </c>
      <c r="F13" s="223" t="s">
        <v>55</v>
      </c>
      <c r="G13" s="407"/>
      <c r="H13" s="407"/>
      <c r="I13" s="408"/>
      <c r="J13" s="408"/>
      <c r="K13" s="409"/>
      <c r="L13" s="409"/>
      <c r="M13" s="409"/>
      <c r="N13" s="458"/>
      <c r="O13" s="407">
        <v>0</v>
      </c>
      <c r="P13" s="409">
        <v>0</v>
      </c>
      <c r="Q13" s="409">
        <v>0</v>
      </c>
      <c r="R13" s="199">
        <v>0.15</v>
      </c>
      <c r="S13" s="409">
        <v>0</v>
      </c>
      <c r="T13" s="236">
        <v>3.7499999999999999E-2</v>
      </c>
      <c r="U13" s="32" t="s">
        <v>305</v>
      </c>
      <c r="V13" s="32" t="s">
        <v>305</v>
      </c>
      <c r="W13" s="57" t="s">
        <v>305</v>
      </c>
      <c r="X13" s="58" t="s">
        <v>305</v>
      </c>
      <c r="Y13" s="58" t="s">
        <v>305</v>
      </c>
      <c r="Z13" s="32" t="s">
        <v>305</v>
      </c>
      <c r="AA13" s="32">
        <v>0</v>
      </c>
      <c r="AB13" s="32">
        <v>0</v>
      </c>
      <c r="AC13" s="57">
        <v>0</v>
      </c>
      <c r="AD13" s="58">
        <v>0</v>
      </c>
      <c r="AE13" s="58">
        <v>0</v>
      </c>
      <c r="AF13" s="32">
        <v>0</v>
      </c>
      <c r="AG13" s="37"/>
    </row>
    <row r="14" spans="1:33" x14ac:dyDescent="0.25">
      <c r="A14" s="405" t="s">
        <v>28</v>
      </c>
      <c r="B14" s="17" t="s">
        <v>4</v>
      </c>
      <c r="C14" s="69" t="s">
        <v>31</v>
      </c>
      <c r="D14" s="406" t="s">
        <v>30</v>
      </c>
      <c r="E14" s="69" t="s">
        <v>98</v>
      </c>
      <c r="F14" s="223" t="s">
        <v>36</v>
      </c>
      <c r="G14" s="407">
        <v>37051</v>
      </c>
      <c r="H14" s="407">
        <v>36701</v>
      </c>
      <c r="I14" s="408">
        <v>62.748600000000003</v>
      </c>
      <c r="J14" s="408">
        <v>61.100700000000003</v>
      </c>
      <c r="K14" s="409"/>
      <c r="L14" s="409"/>
      <c r="M14" s="409"/>
      <c r="N14" s="458">
        <v>1174.74</v>
      </c>
      <c r="O14" s="407">
        <v>4566180.43</v>
      </c>
      <c r="P14" s="409">
        <v>856158.83</v>
      </c>
      <c r="Q14" s="409">
        <v>684927.06</v>
      </c>
      <c r="R14" s="199">
        <v>0.15</v>
      </c>
      <c r="S14" s="409">
        <v>171231.77</v>
      </c>
      <c r="T14" s="236">
        <v>3.7499999999999999E-2</v>
      </c>
      <c r="U14" s="32">
        <v>73752</v>
      </c>
      <c r="V14" s="32">
        <v>4566180.43</v>
      </c>
      <c r="W14" s="57">
        <v>2379.1</v>
      </c>
      <c r="X14" s="58">
        <v>61.912599999999998</v>
      </c>
      <c r="Y14" s="58">
        <v>11.608599999999999</v>
      </c>
      <c r="Z14" s="32">
        <v>856158.83</v>
      </c>
      <c r="AA14" s="32" t="s">
        <v>305</v>
      </c>
      <c r="AB14" s="32" t="s">
        <v>305</v>
      </c>
      <c r="AC14" s="57" t="s">
        <v>305</v>
      </c>
      <c r="AD14" s="58" t="s">
        <v>305</v>
      </c>
      <c r="AE14" s="58" t="s">
        <v>305</v>
      </c>
      <c r="AF14" s="32" t="s">
        <v>305</v>
      </c>
      <c r="AG14" s="37"/>
    </row>
    <row r="15" spans="1:33" x14ac:dyDescent="0.25">
      <c r="A15" s="405" t="s">
        <v>28</v>
      </c>
      <c r="B15" s="17" t="s">
        <v>316</v>
      </c>
      <c r="C15" s="223" t="s">
        <v>29</v>
      </c>
      <c r="D15" s="826" t="s">
        <v>21</v>
      </c>
      <c r="E15" s="223" t="s">
        <v>95</v>
      </c>
      <c r="F15" s="223" t="s">
        <v>55</v>
      </c>
      <c r="G15" s="407">
        <v>96949.656199999998</v>
      </c>
      <c r="H15" s="407">
        <v>94901.525599999994</v>
      </c>
      <c r="I15" s="408">
        <v>2.9276</v>
      </c>
      <c r="J15" s="408">
        <v>2.9276</v>
      </c>
      <c r="K15" s="409"/>
      <c r="L15" s="409"/>
      <c r="M15" s="409"/>
      <c r="N15" s="409">
        <v>564.42999999999995</v>
      </c>
      <c r="O15" s="410">
        <v>561099.09</v>
      </c>
      <c r="P15" s="409">
        <v>105206.08</v>
      </c>
      <c r="Q15" s="409">
        <v>84164.86</v>
      </c>
      <c r="R15" s="199">
        <v>0.15</v>
      </c>
      <c r="S15" s="409">
        <v>21041.22</v>
      </c>
      <c r="T15" s="236">
        <v>3.7499999999999999E-2</v>
      </c>
      <c r="U15" s="32" t="s">
        <v>305</v>
      </c>
      <c r="V15" s="32" t="s">
        <v>305</v>
      </c>
      <c r="W15" s="57" t="s">
        <v>305</v>
      </c>
      <c r="X15" s="58" t="s">
        <v>305</v>
      </c>
      <c r="Y15" s="58" t="s">
        <v>305</v>
      </c>
      <c r="Z15" s="32" t="s">
        <v>305</v>
      </c>
      <c r="AA15" s="32">
        <v>191851.18179999999</v>
      </c>
      <c r="AB15" s="32">
        <v>561099.09</v>
      </c>
      <c r="AC15" s="57">
        <v>6188.7</v>
      </c>
      <c r="AD15" s="58">
        <v>2.9247000000000001</v>
      </c>
      <c r="AE15" s="58">
        <v>0.5484</v>
      </c>
      <c r="AF15" s="32">
        <v>105206.08</v>
      </c>
      <c r="AG15" s="37"/>
    </row>
    <row r="16" spans="1:33" x14ac:dyDescent="0.25">
      <c r="A16" s="405" t="s">
        <v>28</v>
      </c>
      <c r="B16" s="17" t="s">
        <v>5</v>
      </c>
      <c r="C16" s="69" t="s">
        <v>31</v>
      </c>
      <c r="D16" s="406" t="s">
        <v>30</v>
      </c>
      <c r="E16" s="69" t="s">
        <v>98</v>
      </c>
      <c r="F16" s="223" t="s">
        <v>36</v>
      </c>
      <c r="G16" s="407"/>
      <c r="H16" s="407">
        <v>49513</v>
      </c>
      <c r="I16" s="408"/>
      <c r="J16" s="408">
        <v>61.100700000000003</v>
      </c>
      <c r="K16" s="409"/>
      <c r="L16" s="409"/>
      <c r="M16" s="409"/>
      <c r="N16" s="409">
        <v>2083.87</v>
      </c>
      <c r="O16" s="407">
        <v>3023195.09</v>
      </c>
      <c r="P16" s="409">
        <v>566849.07999999996</v>
      </c>
      <c r="Q16" s="409">
        <v>453479.26</v>
      </c>
      <c r="R16" s="199">
        <v>0.15</v>
      </c>
      <c r="S16" s="409">
        <v>113369.82</v>
      </c>
      <c r="T16" s="236">
        <v>3.7499999999999999E-2</v>
      </c>
      <c r="U16" s="32">
        <v>49513</v>
      </c>
      <c r="V16" s="32">
        <v>3023195.09</v>
      </c>
      <c r="W16" s="57">
        <v>1597.2</v>
      </c>
      <c r="X16" s="58">
        <v>61.058599999999998</v>
      </c>
      <c r="Y16" s="58">
        <v>11.448499999999999</v>
      </c>
      <c r="Z16" s="32">
        <v>566849.07999999996</v>
      </c>
      <c r="AA16" s="32" t="s">
        <v>305</v>
      </c>
      <c r="AB16" s="32" t="s">
        <v>305</v>
      </c>
      <c r="AC16" s="57" t="s">
        <v>305</v>
      </c>
      <c r="AD16" s="58" t="s">
        <v>305</v>
      </c>
      <c r="AE16" s="58" t="s">
        <v>305</v>
      </c>
      <c r="AF16" s="32" t="s">
        <v>305</v>
      </c>
      <c r="AG16" s="37"/>
    </row>
    <row r="17" spans="1:35" x14ac:dyDescent="0.25">
      <c r="A17" s="405" t="s">
        <v>28</v>
      </c>
      <c r="B17" s="17" t="s">
        <v>317</v>
      </c>
      <c r="C17" s="69" t="s">
        <v>31</v>
      </c>
      <c r="D17" s="406" t="s">
        <v>30</v>
      </c>
      <c r="E17" s="69" t="s">
        <v>98</v>
      </c>
      <c r="F17" s="223" t="s">
        <v>36</v>
      </c>
      <c r="G17" s="407"/>
      <c r="H17" s="407">
        <v>31114.392599999999</v>
      </c>
      <c r="I17" s="408"/>
      <c r="J17" s="408">
        <v>2.8389000000000002</v>
      </c>
      <c r="K17" s="409"/>
      <c r="L17" s="409"/>
      <c r="M17" s="409"/>
      <c r="N17" s="409">
        <v>881.75</v>
      </c>
      <c r="O17" s="407">
        <v>87448.9</v>
      </c>
      <c r="P17" s="409">
        <v>16396.669999999998</v>
      </c>
      <c r="Q17" s="409">
        <v>13117.34</v>
      </c>
      <c r="R17" s="199">
        <v>0.15</v>
      </c>
      <c r="S17" s="409">
        <v>3279.33</v>
      </c>
      <c r="T17" s="236">
        <v>3.7499999999999999E-2</v>
      </c>
      <c r="U17" s="32">
        <v>31114.392599999999</v>
      </c>
      <c r="V17" s="32">
        <v>87448.9</v>
      </c>
      <c r="W17" s="57">
        <v>1003.7</v>
      </c>
      <c r="X17" s="58">
        <v>2.8106</v>
      </c>
      <c r="Y17" s="58">
        <v>0.52700000000000002</v>
      </c>
      <c r="Z17" s="32">
        <v>16396.669999999998</v>
      </c>
      <c r="AA17" s="32" t="s">
        <v>305</v>
      </c>
      <c r="AB17" s="32" t="s">
        <v>305</v>
      </c>
      <c r="AC17" s="57" t="s">
        <v>305</v>
      </c>
      <c r="AD17" s="58" t="s">
        <v>305</v>
      </c>
      <c r="AE17" s="58" t="s">
        <v>305</v>
      </c>
      <c r="AF17" s="32" t="s">
        <v>305</v>
      </c>
      <c r="AG17" s="37"/>
    </row>
    <row r="18" spans="1:35" x14ac:dyDescent="0.25">
      <c r="A18" s="405" t="s">
        <v>28</v>
      </c>
      <c r="B18" s="17" t="s">
        <v>17</v>
      </c>
      <c r="C18" s="69" t="s">
        <v>29</v>
      </c>
      <c r="D18" s="406" t="s">
        <v>21</v>
      </c>
      <c r="E18" s="69" t="s">
        <v>95</v>
      </c>
      <c r="F18" s="223" t="s">
        <v>36</v>
      </c>
      <c r="G18" s="407">
        <v>1647</v>
      </c>
      <c r="H18" s="407">
        <v>1702</v>
      </c>
      <c r="I18" s="408">
        <v>61.656399999999998</v>
      </c>
      <c r="J18" s="408">
        <v>60.458300000000001</v>
      </c>
      <c r="K18" s="409"/>
      <c r="L18" s="409"/>
      <c r="M18" s="409"/>
      <c r="N18" s="458">
        <v>525.65</v>
      </c>
      <c r="O18" s="410">
        <v>203922.47</v>
      </c>
      <c r="P18" s="409">
        <v>38235.46</v>
      </c>
      <c r="Q18" s="409">
        <v>30588.37</v>
      </c>
      <c r="R18" s="199">
        <v>0.15</v>
      </c>
      <c r="S18" s="409">
        <v>7647.09</v>
      </c>
      <c r="T18" s="236">
        <v>3.7499999999999999E-2</v>
      </c>
      <c r="U18" s="32">
        <v>3349</v>
      </c>
      <c r="V18" s="32">
        <v>203922.47</v>
      </c>
      <c r="W18" s="57">
        <v>108</v>
      </c>
      <c r="X18" s="58">
        <v>60.890599999999999</v>
      </c>
      <c r="Y18" s="58">
        <v>11.417</v>
      </c>
      <c r="Z18" s="32">
        <v>38235.46</v>
      </c>
      <c r="AA18" s="32" t="s">
        <v>305</v>
      </c>
      <c r="AB18" s="32" t="s">
        <v>305</v>
      </c>
      <c r="AC18" s="57" t="s">
        <v>305</v>
      </c>
      <c r="AD18" s="58" t="s">
        <v>305</v>
      </c>
      <c r="AE18" s="58" t="s">
        <v>305</v>
      </c>
      <c r="AF18" s="32" t="s">
        <v>305</v>
      </c>
      <c r="AG18" s="37"/>
    </row>
    <row r="19" spans="1:35" x14ac:dyDescent="0.25">
      <c r="A19" s="468" t="s">
        <v>28</v>
      </c>
      <c r="B19" s="403" t="s">
        <v>293</v>
      </c>
      <c r="C19" s="469" t="s">
        <v>31</v>
      </c>
      <c r="D19" s="470" t="s">
        <v>30</v>
      </c>
      <c r="E19" s="469" t="s">
        <v>95</v>
      </c>
      <c r="F19" s="223" t="s">
        <v>36</v>
      </c>
      <c r="G19" s="407"/>
      <c r="H19" s="407"/>
      <c r="I19" s="417"/>
      <c r="J19" s="408"/>
      <c r="K19" s="409"/>
      <c r="L19" s="409"/>
      <c r="M19" s="409"/>
      <c r="N19" s="458"/>
      <c r="O19" s="410">
        <v>0</v>
      </c>
      <c r="P19" s="409">
        <v>0</v>
      </c>
      <c r="Q19" s="409">
        <v>0</v>
      </c>
      <c r="R19" s="199">
        <v>0.15</v>
      </c>
      <c r="S19" s="409">
        <v>0</v>
      </c>
      <c r="T19" s="236">
        <v>3.7499999999999999E-2</v>
      </c>
      <c r="U19" s="32">
        <v>0</v>
      </c>
      <c r="V19" s="32">
        <v>0</v>
      </c>
      <c r="W19" s="57">
        <v>0</v>
      </c>
      <c r="X19" s="58">
        <v>0</v>
      </c>
      <c r="Y19" s="58">
        <v>0</v>
      </c>
      <c r="Z19" s="32">
        <v>0</v>
      </c>
      <c r="AA19" s="32" t="s">
        <v>305</v>
      </c>
      <c r="AB19" s="32" t="s">
        <v>305</v>
      </c>
      <c r="AC19" s="57" t="s">
        <v>305</v>
      </c>
      <c r="AD19" s="58" t="s">
        <v>305</v>
      </c>
      <c r="AE19" s="58" t="s">
        <v>305</v>
      </c>
      <c r="AF19" s="32" t="s">
        <v>305</v>
      </c>
      <c r="AG19" s="37"/>
    </row>
    <row r="20" spans="1:35" x14ac:dyDescent="0.25">
      <c r="A20" s="468" t="s">
        <v>28</v>
      </c>
      <c r="B20" s="403" t="s">
        <v>294</v>
      </c>
      <c r="C20" s="469" t="s">
        <v>31</v>
      </c>
      <c r="D20" s="470" t="s">
        <v>30</v>
      </c>
      <c r="E20" s="469" t="s">
        <v>95</v>
      </c>
      <c r="F20" s="223" t="s">
        <v>55</v>
      </c>
      <c r="G20" s="407"/>
      <c r="H20" s="407"/>
      <c r="I20" s="417"/>
      <c r="J20" s="408"/>
      <c r="K20" s="409"/>
      <c r="L20" s="409"/>
      <c r="M20" s="409"/>
      <c r="N20" s="458"/>
      <c r="O20" s="410">
        <v>0</v>
      </c>
      <c r="P20" s="409">
        <v>0</v>
      </c>
      <c r="Q20" s="409">
        <v>0</v>
      </c>
      <c r="R20" s="199">
        <v>0.15</v>
      </c>
      <c r="S20" s="409">
        <v>0</v>
      </c>
      <c r="T20" s="236">
        <v>3.7499999999999999E-2</v>
      </c>
      <c r="U20" s="32" t="s">
        <v>305</v>
      </c>
      <c r="V20" s="32" t="s">
        <v>305</v>
      </c>
      <c r="W20" s="57" t="s">
        <v>305</v>
      </c>
      <c r="X20" s="58" t="s">
        <v>305</v>
      </c>
      <c r="Y20" s="58" t="s">
        <v>305</v>
      </c>
      <c r="Z20" s="32" t="s">
        <v>305</v>
      </c>
      <c r="AA20" s="32">
        <v>0</v>
      </c>
      <c r="AB20" s="32">
        <v>0</v>
      </c>
      <c r="AC20" s="57">
        <v>0</v>
      </c>
      <c r="AD20" s="58">
        <v>0</v>
      </c>
      <c r="AE20" s="58">
        <v>0</v>
      </c>
      <c r="AF20" s="32">
        <v>0</v>
      </c>
      <c r="AG20" s="37"/>
    </row>
    <row r="21" spans="1:35" x14ac:dyDescent="0.25">
      <c r="A21" s="405" t="s">
        <v>28</v>
      </c>
      <c r="B21" s="17" t="s">
        <v>295</v>
      </c>
      <c r="C21" s="69" t="s">
        <v>31</v>
      </c>
      <c r="D21" s="406" t="s">
        <v>30</v>
      </c>
      <c r="E21" s="69" t="s">
        <v>95</v>
      </c>
      <c r="F21" s="223" t="s">
        <v>36</v>
      </c>
      <c r="G21" s="407">
        <v>15418</v>
      </c>
      <c r="H21" s="407">
        <v>17099</v>
      </c>
      <c r="I21" s="417">
        <v>61.656399999999998</v>
      </c>
      <c r="J21" s="408">
        <v>60.458300000000001</v>
      </c>
      <c r="K21" s="409"/>
      <c r="L21" s="409"/>
      <c r="M21" s="409"/>
      <c r="N21" s="458">
        <v>314.52999999999997</v>
      </c>
      <c r="O21" s="410">
        <v>1984080.32</v>
      </c>
      <c r="P21" s="409">
        <v>372015.06</v>
      </c>
      <c r="Q21" s="409">
        <v>297612.05</v>
      </c>
      <c r="R21" s="199">
        <v>0.15</v>
      </c>
      <c r="S21" s="409">
        <v>74403.009999999995</v>
      </c>
      <c r="T21" s="236">
        <v>3.7499999999999999E-2</v>
      </c>
      <c r="U21" s="32">
        <v>32517</v>
      </c>
      <c r="V21" s="32">
        <v>1984080.32</v>
      </c>
      <c r="W21" s="57">
        <v>1048.9000000000001</v>
      </c>
      <c r="X21" s="58">
        <v>61.0167</v>
      </c>
      <c r="Y21" s="58">
        <v>11.4406</v>
      </c>
      <c r="Z21" s="32">
        <v>372015.06</v>
      </c>
      <c r="AA21" s="32" t="s">
        <v>305</v>
      </c>
      <c r="AB21" s="32" t="s">
        <v>305</v>
      </c>
      <c r="AC21" s="57" t="s">
        <v>305</v>
      </c>
      <c r="AD21" s="58" t="s">
        <v>305</v>
      </c>
      <c r="AE21" s="58" t="s">
        <v>305</v>
      </c>
      <c r="AF21" s="32" t="s">
        <v>305</v>
      </c>
      <c r="AG21" s="37"/>
    </row>
    <row r="22" spans="1:35" x14ac:dyDescent="0.25">
      <c r="A22" s="405" t="s">
        <v>28</v>
      </c>
      <c r="B22" s="17" t="s">
        <v>18</v>
      </c>
      <c r="C22" s="69" t="s">
        <v>31</v>
      </c>
      <c r="D22" s="406" t="s">
        <v>30</v>
      </c>
      <c r="E22" s="69" t="s">
        <v>98</v>
      </c>
      <c r="F22" s="223" t="s">
        <v>36</v>
      </c>
      <c r="G22" s="407">
        <v>2545</v>
      </c>
      <c r="H22" s="407">
        <v>4545</v>
      </c>
      <c r="I22" s="408">
        <v>62.748600000000003</v>
      </c>
      <c r="J22" s="408">
        <v>61.100700000000003</v>
      </c>
      <c r="K22" s="409"/>
      <c r="L22" s="409"/>
      <c r="M22" s="409"/>
      <c r="N22" s="458">
        <v>336.08</v>
      </c>
      <c r="O22" s="410">
        <v>437061.79</v>
      </c>
      <c r="P22" s="409">
        <v>81949.09</v>
      </c>
      <c r="Q22" s="409">
        <v>65559.27</v>
      </c>
      <c r="R22" s="199">
        <v>0.15</v>
      </c>
      <c r="S22" s="409">
        <v>16389.82</v>
      </c>
      <c r="T22" s="236">
        <v>3.7499999999999999E-2</v>
      </c>
      <c r="U22" s="32">
        <v>7090</v>
      </c>
      <c r="V22" s="32">
        <v>437061.79</v>
      </c>
      <c r="W22" s="57">
        <v>228.7</v>
      </c>
      <c r="X22" s="58">
        <v>61.644799999999996</v>
      </c>
      <c r="Y22" s="58">
        <v>11.558400000000001</v>
      </c>
      <c r="Z22" s="32">
        <v>81949.09</v>
      </c>
      <c r="AA22" s="32" t="s">
        <v>305</v>
      </c>
      <c r="AB22" s="32" t="s">
        <v>305</v>
      </c>
      <c r="AC22" s="57" t="s">
        <v>305</v>
      </c>
      <c r="AD22" s="58" t="s">
        <v>305</v>
      </c>
      <c r="AE22" s="58" t="s">
        <v>305</v>
      </c>
      <c r="AF22" s="32" t="s">
        <v>305</v>
      </c>
      <c r="AG22" s="37"/>
    </row>
    <row r="23" spans="1:35" x14ac:dyDescent="0.25">
      <c r="A23" s="405" t="s">
        <v>28</v>
      </c>
      <c r="B23" s="17" t="s">
        <v>20</v>
      </c>
      <c r="C23" s="69" t="s">
        <v>31</v>
      </c>
      <c r="D23" s="406" t="s">
        <v>30</v>
      </c>
      <c r="E23" s="69" t="s">
        <v>98</v>
      </c>
      <c r="F23" s="223" t="s">
        <v>36</v>
      </c>
      <c r="G23" s="407">
        <v>124174</v>
      </c>
      <c r="H23" s="407">
        <v>52627.600000000006</v>
      </c>
      <c r="I23" s="408">
        <v>63.902000000000001</v>
      </c>
      <c r="J23" s="408">
        <v>62.482500000000002</v>
      </c>
      <c r="K23" s="409"/>
      <c r="L23" s="409"/>
      <c r="M23" s="409"/>
      <c r="N23" s="458">
        <v>2583.67</v>
      </c>
      <c r="O23" s="410">
        <v>11220687.300000001</v>
      </c>
      <c r="P23" s="409">
        <v>2103878.87</v>
      </c>
      <c r="Q23" s="409">
        <v>1683103.1</v>
      </c>
      <c r="R23" s="199">
        <v>0.15</v>
      </c>
      <c r="S23" s="409">
        <v>420775.77</v>
      </c>
      <c r="T23" s="236">
        <v>3.7499999999999999E-2</v>
      </c>
      <c r="U23" s="32">
        <v>176801.6</v>
      </c>
      <c r="V23" s="32">
        <v>11220687.300000001</v>
      </c>
      <c r="W23" s="57">
        <v>5703.3</v>
      </c>
      <c r="X23" s="58">
        <v>63.4649</v>
      </c>
      <c r="Y23" s="58">
        <v>11.899699999999999</v>
      </c>
      <c r="Z23" s="32">
        <v>2103878.87</v>
      </c>
      <c r="AA23" s="32" t="s">
        <v>305</v>
      </c>
      <c r="AB23" s="32" t="s">
        <v>305</v>
      </c>
      <c r="AC23" s="57" t="s">
        <v>305</v>
      </c>
      <c r="AD23" s="58" t="s">
        <v>305</v>
      </c>
      <c r="AE23" s="58" t="s">
        <v>305</v>
      </c>
      <c r="AF23" s="32" t="s">
        <v>305</v>
      </c>
      <c r="AG23" s="37"/>
    </row>
    <row r="24" spans="1:35" x14ac:dyDescent="0.25">
      <c r="A24" s="405" t="s">
        <v>28</v>
      </c>
      <c r="B24" s="17" t="s">
        <v>318</v>
      </c>
      <c r="C24" s="69" t="s">
        <v>31</v>
      </c>
      <c r="D24" s="406" t="s">
        <v>21</v>
      </c>
      <c r="E24" s="69" t="s">
        <v>98</v>
      </c>
      <c r="F24" s="223" t="s">
        <v>55</v>
      </c>
      <c r="G24" s="407">
        <v>194595.08</v>
      </c>
      <c r="H24" s="407">
        <v>80751.700000000012</v>
      </c>
      <c r="I24" s="408">
        <v>2.9</v>
      </c>
      <c r="J24" s="408">
        <v>2.9</v>
      </c>
      <c r="K24" s="409"/>
      <c r="L24" s="409"/>
      <c r="M24" s="409"/>
      <c r="N24" s="458">
        <v>1622.84</v>
      </c>
      <c r="O24" s="410">
        <v>796882.82</v>
      </c>
      <c r="P24" s="409">
        <v>149415.53</v>
      </c>
      <c r="Q24" s="409">
        <v>119532.42</v>
      </c>
      <c r="R24" s="199">
        <v>0.15</v>
      </c>
      <c r="S24" s="409">
        <v>29883.11</v>
      </c>
      <c r="T24" s="236">
        <v>3.7499999999999999E-2</v>
      </c>
      <c r="U24" s="32" t="s">
        <v>305</v>
      </c>
      <c r="V24" s="32" t="s">
        <v>305</v>
      </c>
      <c r="W24" s="57" t="s">
        <v>305</v>
      </c>
      <c r="X24" s="58" t="s">
        <v>305</v>
      </c>
      <c r="Y24" s="58" t="s">
        <v>305</v>
      </c>
      <c r="Z24" s="32" t="s">
        <v>305</v>
      </c>
      <c r="AA24" s="32">
        <v>275346.78000000003</v>
      </c>
      <c r="AB24" s="32">
        <v>796882.82</v>
      </c>
      <c r="AC24" s="57">
        <v>8882.2000000000007</v>
      </c>
      <c r="AD24" s="58">
        <v>2.8940999999999999</v>
      </c>
      <c r="AE24" s="58">
        <v>0.54259999999999997</v>
      </c>
      <c r="AF24" s="32">
        <v>149415.53</v>
      </c>
      <c r="AG24" s="37"/>
    </row>
    <row r="25" spans="1:35" ht="13.5" customHeight="1" x14ac:dyDescent="0.25">
      <c r="A25" s="405" t="s">
        <v>28</v>
      </c>
      <c r="B25" s="17" t="s">
        <v>9</v>
      </c>
      <c r="C25" s="69" t="s">
        <v>31</v>
      </c>
      <c r="D25" s="406" t="s">
        <v>30</v>
      </c>
      <c r="E25" s="69" t="s">
        <v>98</v>
      </c>
      <c r="F25" s="223" t="s">
        <v>36</v>
      </c>
      <c r="G25" s="407"/>
      <c r="H25" s="407"/>
      <c r="I25" s="408"/>
      <c r="J25" s="408"/>
      <c r="K25" s="409"/>
      <c r="L25" s="409"/>
      <c r="M25" s="409"/>
      <c r="N25" s="458"/>
      <c r="O25" s="410">
        <v>0</v>
      </c>
      <c r="P25" s="409">
        <v>0</v>
      </c>
      <c r="Q25" s="409">
        <v>0</v>
      </c>
      <c r="R25" s="199">
        <v>0.15</v>
      </c>
      <c r="S25" s="409">
        <v>0</v>
      </c>
      <c r="T25" s="236">
        <v>3.7499999999999999E-2</v>
      </c>
      <c r="U25" s="32">
        <v>0</v>
      </c>
      <c r="V25" s="32">
        <v>0</v>
      </c>
      <c r="W25" s="57">
        <v>0</v>
      </c>
      <c r="X25" s="58">
        <v>0</v>
      </c>
      <c r="Y25" s="58">
        <v>0</v>
      </c>
      <c r="Z25" s="32">
        <v>0</v>
      </c>
      <c r="AA25" s="32" t="s">
        <v>305</v>
      </c>
      <c r="AB25" s="32" t="s">
        <v>305</v>
      </c>
      <c r="AC25" s="57" t="s">
        <v>305</v>
      </c>
      <c r="AD25" s="58" t="s">
        <v>305</v>
      </c>
      <c r="AE25" s="58" t="s">
        <v>305</v>
      </c>
      <c r="AF25" s="32" t="s">
        <v>305</v>
      </c>
      <c r="AG25" s="37"/>
    </row>
    <row r="26" spans="1:35" x14ac:dyDescent="0.25">
      <c r="A26" s="405" t="s">
        <v>28</v>
      </c>
      <c r="B26" s="17" t="s">
        <v>165</v>
      </c>
      <c r="C26" s="69" t="s">
        <v>31</v>
      </c>
      <c r="D26" s="406" t="s">
        <v>30</v>
      </c>
      <c r="E26" s="69" t="s">
        <v>98</v>
      </c>
      <c r="F26" s="223" t="s">
        <v>36</v>
      </c>
      <c r="G26" s="407">
        <v>11580</v>
      </c>
      <c r="H26" s="407">
        <v>11475</v>
      </c>
      <c r="I26" s="408">
        <v>59.718600000000002</v>
      </c>
      <c r="J26" s="408">
        <v>59.710700000000003</v>
      </c>
      <c r="K26" s="409"/>
      <c r="L26" s="409"/>
      <c r="M26" s="409"/>
      <c r="N26" s="458">
        <v>3477.09</v>
      </c>
      <c r="O26" s="410">
        <v>1373244.5799999998</v>
      </c>
      <c r="P26" s="409">
        <v>257483.36</v>
      </c>
      <c r="Q26" s="409">
        <v>205986.69</v>
      </c>
      <c r="R26" s="199">
        <v>0.15</v>
      </c>
      <c r="S26" s="409">
        <v>51496.67</v>
      </c>
      <c r="T26" s="236">
        <v>3.7499999999999999E-2</v>
      </c>
      <c r="U26" s="32">
        <v>23055</v>
      </c>
      <c r="V26" s="32">
        <v>1373244.5799999998</v>
      </c>
      <c r="W26" s="57">
        <v>743.7</v>
      </c>
      <c r="X26" s="58">
        <v>59.563899999999997</v>
      </c>
      <c r="Y26" s="58">
        <v>11.168200000000001</v>
      </c>
      <c r="Z26" s="32">
        <v>257483.36</v>
      </c>
      <c r="AA26" s="32" t="s">
        <v>305</v>
      </c>
      <c r="AB26" s="32" t="s">
        <v>305</v>
      </c>
      <c r="AC26" s="57" t="s">
        <v>305</v>
      </c>
      <c r="AD26" s="58" t="s">
        <v>305</v>
      </c>
      <c r="AE26" s="58" t="s">
        <v>305</v>
      </c>
      <c r="AF26" s="32" t="s">
        <v>305</v>
      </c>
      <c r="AG26" s="37"/>
    </row>
    <row r="27" spans="1:35" x14ac:dyDescent="0.25">
      <c r="A27" s="405" t="s">
        <v>28</v>
      </c>
      <c r="B27" s="17" t="s">
        <v>157</v>
      </c>
      <c r="C27" s="69" t="s">
        <v>31</v>
      </c>
      <c r="D27" s="406" t="s">
        <v>30</v>
      </c>
      <c r="E27" s="69" t="s">
        <v>98</v>
      </c>
      <c r="F27" s="223" t="s">
        <v>55</v>
      </c>
      <c r="G27" s="458">
        <v>408636.93949999998</v>
      </c>
      <c r="H27" s="458">
        <v>442903.60240000003</v>
      </c>
      <c r="I27" s="458">
        <v>2.9392976109052915</v>
      </c>
      <c r="J27" s="458">
        <v>2.8878037186179366</v>
      </c>
      <c r="K27" s="409"/>
      <c r="L27" s="409"/>
      <c r="M27" s="409"/>
      <c r="N27" s="410">
        <v>3500.93</v>
      </c>
      <c r="O27" s="410">
        <v>2480124.25</v>
      </c>
      <c r="P27" s="410">
        <v>465023.29</v>
      </c>
      <c r="Q27" s="410">
        <v>372018.63</v>
      </c>
      <c r="R27" s="199">
        <v>0.15</v>
      </c>
      <c r="S27" s="409">
        <v>93004.66</v>
      </c>
      <c r="T27" s="236">
        <v>3.7499999999999999E-2</v>
      </c>
      <c r="U27" s="32" t="s">
        <v>305</v>
      </c>
      <c r="V27" s="32" t="s">
        <v>305</v>
      </c>
      <c r="W27" s="57" t="s">
        <v>305</v>
      </c>
      <c r="X27" s="58" t="s">
        <v>305</v>
      </c>
      <c r="Y27" s="58" t="s">
        <v>305</v>
      </c>
      <c r="Z27" s="32" t="s">
        <v>305</v>
      </c>
      <c r="AA27" s="32">
        <v>851540.54190000007</v>
      </c>
      <c r="AB27" s="32">
        <v>2480124.25</v>
      </c>
      <c r="AC27" s="57">
        <v>27469</v>
      </c>
      <c r="AD27" s="58">
        <v>2.9125000000000001</v>
      </c>
      <c r="AE27" s="58">
        <v>0.54610000000000003</v>
      </c>
      <c r="AF27" s="32">
        <v>465023.29</v>
      </c>
      <c r="AG27" s="37"/>
    </row>
    <row r="28" spans="1:35" x14ac:dyDescent="0.25">
      <c r="A28" s="405" t="s">
        <v>28</v>
      </c>
      <c r="B28" s="17" t="s">
        <v>170</v>
      </c>
      <c r="C28" s="69" t="s">
        <v>31</v>
      </c>
      <c r="D28" s="406" t="s">
        <v>30</v>
      </c>
      <c r="E28" s="69" t="s">
        <v>98</v>
      </c>
      <c r="F28" s="223" t="s">
        <v>36</v>
      </c>
      <c r="G28" s="407">
        <v>140</v>
      </c>
      <c r="H28" s="407">
        <v>129</v>
      </c>
      <c r="I28" s="408">
        <v>62.748600000000003</v>
      </c>
      <c r="J28" s="408">
        <v>61.100700000000003</v>
      </c>
      <c r="K28" s="409"/>
      <c r="L28" s="409"/>
      <c r="M28" s="409"/>
      <c r="N28" s="458">
        <v>215.43</v>
      </c>
      <c r="O28" s="410">
        <v>16451.36</v>
      </c>
      <c r="P28" s="409">
        <v>3084.63</v>
      </c>
      <c r="Q28" s="409">
        <v>616.92999999999995</v>
      </c>
      <c r="R28" s="236">
        <v>3.7499999999999999E-2</v>
      </c>
      <c r="S28" s="409">
        <v>2467.6999999999998</v>
      </c>
      <c r="T28" s="199">
        <v>0.15</v>
      </c>
      <c r="U28" s="32">
        <v>269</v>
      </c>
      <c r="V28" s="32">
        <v>16451.36</v>
      </c>
      <c r="W28" s="57">
        <v>8.6999999999999993</v>
      </c>
      <c r="X28" s="58">
        <v>61.157499999999999</v>
      </c>
      <c r="Y28" s="58">
        <v>11.467000000000001</v>
      </c>
      <c r="Z28" s="32">
        <v>3084.63</v>
      </c>
      <c r="AA28" s="32" t="s">
        <v>305</v>
      </c>
      <c r="AB28" s="32" t="s">
        <v>305</v>
      </c>
      <c r="AC28" s="57" t="s">
        <v>305</v>
      </c>
      <c r="AD28" s="58" t="s">
        <v>305</v>
      </c>
      <c r="AE28" s="58" t="s">
        <v>305</v>
      </c>
      <c r="AF28" s="32" t="s">
        <v>305</v>
      </c>
      <c r="AG28" s="37"/>
    </row>
    <row r="29" spans="1:35" x14ac:dyDescent="0.25">
      <c r="A29" s="405" t="s">
        <v>28</v>
      </c>
      <c r="B29" s="17" t="s">
        <v>319</v>
      </c>
      <c r="C29" s="69" t="s">
        <v>31</v>
      </c>
      <c r="D29" s="406" t="s">
        <v>30</v>
      </c>
      <c r="E29" s="69" t="s">
        <v>98</v>
      </c>
      <c r="F29" s="223" t="s">
        <v>36</v>
      </c>
      <c r="G29" s="407"/>
      <c r="H29" s="407"/>
      <c r="I29" s="408"/>
      <c r="J29" s="408"/>
      <c r="K29" s="409"/>
      <c r="L29" s="409"/>
      <c r="M29" s="409"/>
      <c r="N29" s="908">
        <v>1094.4000000000001</v>
      </c>
      <c r="O29" s="410">
        <v>-1094.4000000000001</v>
      </c>
      <c r="P29" s="409">
        <v>-205.2</v>
      </c>
      <c r="Q29" s="409">
        <v>-41.04</v>
      </c>
      <c r="R29" s="236">
        <v>3.7499999999999999E-2</v>
      </c>
      <c r="S29" s="409">
        <v>-164.16</v>
      </c>
      <c r="T29" s="199">
        <v>0.15</v>
      </c>
      <c r="U29" s="32"/>
      <c r="V29" s="32"/>
      <c r="W29" s="57"/>
      <c r="X29" s="58"/>
      <c r="Y29" s="58"/>
      <c r="Z29" s="32"/>
      <c r="AA29" s="32"/>
      <c r="AB29" s="32"/>
      <c r="AC29" s="57"/>
      <c r="AD29" s="58"/>
      <c r="AE29" s="58"/>
      <c r="AF29" s="32"/>
      <c r="AG29" s="37"/>
      <c r="AI29" s="290"/>
    </row>
    <row r="30" spans="1:35" x14ac:dyDescent="0.25">
      <c r="A30" s="413" t="s">
        <v>28</v>
      </c>
      <c r="B30" s="414" t="s">
        <v>296</v>
      </c>
      <c r="C30" s="69" t="s">
        <v>31</v>
      </c>
      <c r="D30" s="406" t="s">
        <v>30</v>
      </c>
      <c r="E30" s="69" t="s">
        <v>98</v>
      </c>
      <c r="F30" s="223" t="s">
        <v>36</v>
      </c>
      <c r="G30" s="458"/>
      <c r="H30" s="458">
        <v>59809</v>
      </c>
      <c r="I30" s="408"/>
      <c r="J30" s="408">
        <v>60.993600000000001</v>
      </c>
      <c r="K30" s="407"/>
      <c r="L30" s="409"/>
      <c r="M30" s="409"/>
      <c r="N30" s="458">
        <v>3333.41</v>
      </c>
      <c r="O30" s="410">
        <v>3644632.81</v>
      </c>
      <c r="P30" s="409">
        <v>683368.65</v>
      </c>
      <c r="Q30" s="409">
        <v>546694.92000000004</v>
      </c>
      <c r="R30" s="227">
        <v>0.15</v>
      </c>
      <c r="S30" s="409">
        <v>136673.73000000001</v>
      </c>
      <c r="T30" s="236">
        <v>3.7499999999999999E-2</v>
      </c>
      <c r="U30" s="32"/>
      <c r="V30" s="32"/>
      <c r="W30" s="57"/>
      <c r="X30" s="58"/>
      <c r="Y30" s="58"/>
      <c r="Z30" s="32"/>
      <c r="AA30" s="32"/>
      <c r="AB30" s="32"/>
      <c r="AC30" s="57"/>
      <c r="AD30" s="58"/>
      <c r="AE30" s="58"/>
      <c r="AF30" s="32"/>
      <c r="AG30" s="37"/>
    </row>
    <row r="31" spans="1:35" x14ac:dyDescent="0.25">
      <c r="A31" s="413" t="s">
        <v>28</v>
      </c>
      <c r="B31" s="414" t="s">
        <v>297</v>
      </c>
      <c r="C31" s="69" t="s">
        <v>31</v>
      </c>
      <c r="D31" s="406" t="s">
        <v>30</v>
      </c>
      <c r="E31" s="69" t="s">
        <v>98</v>
      </c>
      <c r="F31" s="223" t="s">
        <v>55</v>
      </c>
      <c r="G31" s="458"/>
      <c r="H31" s="458">
        <v>140673.59850000002</v>
      </c>
      <c r="I31" s="408"/>
      <c r="J31" s="458">
        <v>2.7190978554515328</v>
      </c>
      <c r="K31" s="407"/>
      <c r="L31" s="409"/>
      <c r="M31" s="409"/>
      <c r="N31" s="458">
        <v>1072.8599999999999</v>
      </c>
      <c r="O31" s="458">
        <v>381432.42</v>
      </c>
      <c r="P31" s="458">
        <v>71518.58</v>
      </c>
      <c r="Q31" s="409">
        <v>57214.86</v>
      </c>
      <c r="R31" s="227">
        <v>0.15</v>
      </c>
      <c r="S31" s="409">
        <v>14303.72</v>
      </c>
      <c r="T31" s="236">
        <v>3.7499999999999999E-2</v>
      </c>
      <c r="U31" s="32"/>
      <c r="V31" s="32"/>
      <c r="W31" s="57"/>
      <c r="X31" s="58"/>
      <c r="Y31" s="58"/>
      <c r="Z31" s="32"/>
      <c r="AA31" s="32"/>
      <c r="AB31" s="32"/>
      <c r="AC31" s="57"/>
      <c r="AD31" s="58"/>
      <c r="AE31" s="58"/>
      <c r="AF31" s="32"/>
      <c r="AG31" s="37"/>
    </row>
    <row r="32" spans="1:35" x14ac:dyDescent="0.25">
      <c r="A32" s="413" t="s">
        <v>28</v>
      </c>
      <c r="B32" s="414" t="s">
        <v>298</v>
      </c>
      <c r="C32" s="69" t="s">
        <v>31</v>
      </c>
      <c r="D32" s="406" t="s">
        <v>30</v>
      </c>
      <c r="E32" s="69" t="s">
        <v>98</v>
      </c>
      <c r="F32" s="223" t="s">
        <v>36</v>
      </c>
      <c r="G32" s="458"/>
      <c r="H32" s="458">
        <v>10891</v>
      </c>
      <c r="I32" s="408"/>
      <c r="J32" s="408">
        <v>34.145600000000002</v>
      </c>
      <c r="K32" s="407"/>
      <c r="L32" s="409"/>
      <c r="M32" s="409"/>
      <c r="N32" s="458">
        <v>986.68</v>
      </c>
      <c r="O32" s="410">
        <v>370893.05</v>
      </c>
      <c r="P32" s="409">
        <v>69542.45</v>
      </c>
      <c r="Q32" s="409">
        <v>55633.96</v>
      </c>
      <c r="R32" s="227">
        <v>0.15</v>
      </c>
      <c r="S32" s="409">
        <v>13908.49</v>
      </c>
      <c r="T32" s="236">
        <v>3.7499999999999999E-2</v>
      </c>
      <c r="U32" s="32"/>
      <c r="V32" s="32"/>
      <c r="W32" s="57"/>
      <c r="X32" s="58"/>
      <c r="Y32" s="58"/>
      <c r="Z32" s="32"/>
      <c r="AA32" s="32"/>
      <c r="AB32" s="32"/>
      <c r="AC32" s="57"/>
      <c r="AD32" s="58"/>
      <c r="AE32" s="58"/>
      <c r="AF32" s="32"/>
      <c r="AG32" s="37"/>
    </row>
    <row r="33" spans="1:35" x14ac:dyDescent="0.25">
      <c r="A33" s="413" t="s">
        <v>28</v>
      </c>
      <c r="B33" s="414" t="s">
        <v>51</v>
      </c>
      <c r="C33" s="415"/>
      <c r="D33" s="415"/>
      <c r="E33" s="416"/>
      <c r="F33" s="223"/>
      <c r="G33" s="409"/>
      <c r="H33" s="409"/>
      <c r="I33" s="417"/>
      <c r="J33" s="417"/>
      <c r="K33" s="409"/>
      <c r="L33" s="409"/>
      <c r="M33" s="497"/>
      <c r="N33" s="409"/>
      <c r="O33" s="508">
        <v>-522423.83000000031</v>
      </c>
      <c r="P33" s="508">
        <v>-97954.449999999866</v>
      </c>
      <c r="Q33" s="508">
        <v>-78363.569999999949</v>
      </c>
      <c r="R33" s="227">
        <v>0.15</v>
      </c>
      <c r="S33" s="508">
        <v>-19590.900000000012</v>
      </c>
      <c r="T33" s="236">
        <v>3.7499999999999999E-2</v>
      </c>
      <c r="U33" s="32" t="s">
        <v>305</v>
      </c>
      <c r="V33" s="32" t="s">
        <v>305</v>
      </c>
      <c r="W33" s="57" t="s">
        <v>305</v>
      </c>
      <c r="X33" s="58" t="s">
        <v>305</v>
      </c>
      <c r="Y33" s="58" t="s">
        <v>305</v>
      </c>
      <c r="Z33" s="32" t="s">
        <v>305</v>
      </c>
      <c r="AA33" s="32" t="s">
        <v>305</v>
      </c>
      <c r="AB33" s="32" t="s">
        <v>305</v>
      </c>
      <c r="AC33" s="57" t="s">
        <v>305</v>
      </c>
      <c r="AD33" s="58" t="s">
        <v>305</v>
      </c>
      <c r="AE33" s="58" t="s">
        <v>305</v>
      </c>
      <c r="AF33" s="32" t="s">
        <v>305</v>
      </c>
      <c r="AG33" s="37"/>
      <c r="AI33" s="147"/>
    </row>
    <row r="34" spans="1:35" x14ac:dyDescent="0.25">
      <c r="A34" s="24"/>
      <c r="B34" s="127" t="s">
        <v>105</v>
      </c>
      <c r="C34" s="25" t="s">
        <v>283</v>
      </c>
      <c r="D34" s="30"/>
      <c r="E34" s="31"/>
      <c r="F34" s="224"/>
      <c r="G34" s="418"/>
      <c r="H34" s="418"/>
      <c r="I34" s="419"/>
      <c r="J34" s="419"/>
      <c r="K34" s="418"/>
      <c r="L34" s="418"/>
      <c r="M34" s="418"/>
      <c r="N34" s="418"/>
      <c r="O34" s="420">
        <v>31591467.489999998</v>
      </c>
      <c r="P34" s="420">
        <v>5923400.1700000009</v>
      </c>
      <c r="Q34" s="420">
        <v>4736992.46</v>
      </c>
      <c r="R34" s="207"/>
      <c r="S34" s="420">
        <v>1186407.6900000002</v>
      </c>
      <c r="T34" s="476"/>
      <c r="U34" s="59">
        <v>409114.9926</v>
      </c>
      <c r="V34" s="59">
        <v>23633417.849999998</v>
      </c>
      <c r="W34" s="60">
        <v>13197.2</v>
      </c>
      <c r="X34" s="61">
        <v>57.767200000000003</v>
      </c>
      <c r="Y34" s="61">
        <v>10.831300000000001</v>
      </c>
      <c r="Z34" s="59">
        <v>4431265.8500000006</v>
      </c>
      <c r="AA34" s="59">
        <v>1401744.0567000001</v>
      </c>
      <c r="AB34" s="59">
        <v>4084609.59</v>
      </c>
      <c r="AC34" s="60">
        <v>45217.5</v>
      </c>
      <c r="AD34" s="61">
        <v>2.9138999999999999</v>
      </c>
      <c r="AE34" s="61">
        <v>0.5464</v>
      </c>
      <c r="AF34" s="59">
        <v>765864.29</v>
      </c>
      <c r="AG34" s="33">
        <v>726270.03000000026</v>
      </c>
      <c r="AI34" s="507"/>
    </row>
    <row r="35" spans="1:35" x14ac:dyDescent="0.25">
      <c r="A35" s="102"/>
      <c r="B35" s="265"/>
      <c r="C35" s="25" t="s">
        <v>284</v>
      </c>
      <c r="D35" s="415"/>
      <c r="E35" s="415"/>
      <c r="F35" s="115"/>
      <c r="G35" s="421"/>
      <c r="H35" s="421"/>
      <c r="I35" s="422"/>
      <c r="J35" s="422"/>
      <c r="K35" s="421"/>
      <c r="L35" s="421"/>
      <c r="M35" s="421"/>
      <c r="N35" s="421"/>
      <c r="O35" s="423"/>
      <c r="P35" s="424">
        <v>0</v>
      </c>
      <c r="Q35" s="424">
        <v>0</v>
      </c>
      <c r="R35" s="117"/>
      <c r="S35" s="426">
        <v>0</v>
      </c>
      <c r="T35" s="131"/>
      <c r="U35" s="118"/>
      <c r="V35" s="118"/>
      <c r="W35" s="119"/>
      <c r="X35" s="120"/>
      <c r="Y35" s="120"/>
      <c r="Z35" s="118"/>
      <c r="AA35" s="118"/>
      <c r="AB35" s="118"/>
      <c r="AC35" s="119"/>
      <c r="AD35" s="120"/>
      <c r="AE35" s="120"/>
      <c r="AF35" s="118"/>
      <c r="AG35" s="118"/>
      <c r="AI35" s="507"/>
    </row>
    <row r="36" spans="1:35" ht="13" x14ac:dyDescent="0.3">
      <c r="A36" s="257" t="s">
        <v>22</v>
      </c>
      <c r="B36" s="11"/>
      <c r="C36" s="41"/>
      <c r="D36" s="41"/>
      <c r="E36" s="12"/>
      <c r="F36" s="27"/>
      <c r="G36" s="427"/>
      <c r="H36" s="427"/>
      <c r="I36" s="428"/>
      <c r="J36" s="428"/>
      <c r="K36" s="427"/>
      <c r="L36" s="427"/>
      <c r="M36" s="427"/>
      <c r="N36" s="427"/>
      <c r="O36" s="429"/>
      <c r="P36" s="427"/>
      <c r="Q36" s="211" t="s">
        <v>48</v>
      </c>
      <c r="R36" s="189"/>
      <c r="S36" s="430"/>
      <c r="T36" s="261"/>
      <c r="U36" s="36"/>
      <c r="V36" s="36"/>
      <c r="W36" s="62"/>
      <c r="X36" s="63"/>
      <c r="Y36" s="63"/>
      <c r="Z36" s="63"/>
      <c r="AA36" s="36"/>
      <c r="AB36" s="36"/>
      <c r="AC36" s="62"/>
      <c r="AD36" s="63"/>
      <c r="AE36" s="63"/>
      <c r="AF36" s="63"/>
      <c r="AG36" s="35"/>
    </row>
    <row r="37" spans="1:35" x14ac:dyDescent="0.25">
      <c r="A37" s="413" t="s">
        <v>28</v>
      </c>
      <c r="B37" s="22">
        <v>131</v>
      </c>
      <c r="C37" s="69" t="s">
        <v>31</v>
      </c>
      <c r="D37" s="406" t="s">
        <v>30</v>
      </c>
      <c r="E37" s="69" t="s">
        <v>98</v>
      </c>
      <c r="F37" s="190" t="s">
        <v>36</v>
      </c>
      <c r="G37" s="407"/>
      <c r="H37" s="407">
        <v>12677</v>
      </c>
      <c r="I37" s="408"/>
      <c r="J37" s="408">
        <v>49.193300000000001</v>
      </c>
      <c r="K37" s="409"/>
      <c r="L37" s="409"/>
      <c r="M37" s="409"/>
      <c r="N37" s="458">
        <v>4317.28</v>
      </c>
      <c r="O37" s="410">
        <v>619306.17999999993</v>
      </c>
      <c r="P37" s="409">
        <v>92895.93</v>
      </c>
      <c r="Q37" s="409">
        <v>92895.93</v>
      </c>
      <c r="R37" s="199">
        <v>0.15</v>
      </c>
      <c r="S37" s="431"/>
      <c r="T37" s="202"/>
      <c r="U37" s="32">
        <v>12677</v>
      </c>
      <c r="V37" s="32">
        <v>619306.17999999993</v>
      </c>
      <c r="W37" s="57">
        <v>408.9</v>
      </c>
      <c r="X37" s="58">
        <v>48.852699999999999</v>
      </c>
      <c r="Y37" s="58">
        <v>7.3278999999999996</v>
      </c>
      <c r="Z37" s="32">
        <v>92895.93</v>
      </c>
      <c r="AA37" s="32" t="s">
        <v>305</v>
      </c>
      <c r="AB37" s="32" t="s">
        <v>305</v>
      </c>
      <c r="AC37" s="57" t="s">
        <v>305</v>
      </c>
      <c r="AD37" s="58" t="s">
        <v>305</v>
      </c>
      <c r="AE37" s="58" t="s">
        <v>305</v>
      </c>
      <c r="AF37" s="32" t="s">
        <v>305</v>
      </c>
      <c r="AG37" s="37"/>
    </row>
    <row r="38" spans="1:35" ht="13" x14ac:dyDescent="0.3">
      <c r="A38" s="413" t="s">
        <v>28</v>
      </c>
      <c r="B38" s="414" t="s">
        <v>52</v>
      </c>
      <c r="C38" s="415"/>
      <c r="D38" s="415"/>
      <c r="E38" s="365"/>
      <c r="F38" s="190"/>
      <c r="G38" s="409"/>
      <c r="H38" s="409"/>
      <c r="I38" s="417"/>
      <c r="J38" s="417"/>
      <c r="K38" s="409"/>
      <c r="L38" s="409"/>
      <c r="M38" s="409"/>
      <c r="N38" s="409"/>
      <c r="O38" s="410"/>
      <c r="P38" s="410"/>
      <c r="Q38" s="410"/>
      <c r="R38" s="202"/>
      <c r="S38" s="410"/>
      <c r="T38" s="202"/>
      <c r="U38" s="32" t="s">
        <v>305</v>
      </c>
      <c r="V38" s="32" t="s">
        <v>305</v>
      </c>
      <c r="W38" s="57" t="s">
        <v>305</v>
      </c>
      <c r="X38" s="58" t="s">
        <v>305</v>
      </c>
      <c r="Y38" s="58" t="s">
        <v>305</v>
      </c>
      <c r="Z38" s="32" t="s">
        <v>305</v>
      </c>
      <c r="AA38" s="32" t="s">
        <v>305</v>
      </c>
      <c r="AB38" s="32" t="s">
        <v>305</v>
      </c>
      <c r="AC38" s="57" t="s">
        <v>305</v>
      </c>
      <c r="AD38" s="58" t="s">
        <v>305</v>
      </c>
      <c r="AE38" s="58" t="s">
        <v>305</v>
      </c>
      <c r="AF38" s="32" t="s">
        <v>305</v>
      </c>
      <c r="AG38" s="37"/>
      <c r="AI38" s="290"/>
    </row>
    <row r="39" spans="1:35" x14ac:dyDescent="0.25">
      <c r="A39" s="24"/>
      <c r="B39" s="127" t="s">
        <v>105</v>
      </c>
      <c r="C39" s="25" t="s">
        <v>285</v>
      </c>
      <c r="D39" s="30"/>
      <c r="E39" s="31"/>
      <c r="F39" s="30"/>
      <c r="G39" s="418"/>
      <c r="H39" s="418"/>
      <c r="I39" s="419"/>
      <c r="J39" s="419"/>
      <c r="K39" s="418"/>
      <c r="L39" s="418"/>
      <c r="M39" s="418"/>
      <c r="N39" s="418"/>
      <c r="O39" s="420">
        <v>619306.17999999993</v>
      </c>
      <c r="P39" s="420">
        <v>92895.93</v>
      </c>
      <c r="Q39" s="420">
        <v>92895.93</v>
      </c>
      <c r="R39" s="207"/>
      <c r="S39" s="420">
        <v>0</v>
      </c>
      <c r="T39" s="207"/>
      <c r="U39" s="33">
        <v>12677</v>
      </c>
      <c r="V39" s="33">
        <v>619306.17999999993</v>
      </c>
      <c r="W39" s="64">
        <v>408.9</v>
      </c>
      <c r="X39" s="65">
        <v>48.852699999999999</v>
      </c>
      <c r="Y39" s="65">
        <v>7.3278999999999996</v>
      </c>
      <c r="Z39" s="33">
        <v>92895.93</v>
      </c>
      <c r="AA39" s="33">
        <v>0</v>
      </c>
      <c r="AB39" s="33">
        <v>0</v>
      </c>
      <c r="AC39" s="64">
        <v>0</v>
      </c>
      <c r="AD39" s="65">
        <v>0</v>
      </c>
      <c r="AE39" s="65">
        <v>0</v>
      </c>
      <c r="AF39" s="33">
        <v>0</v>
      </c>
      <c r="AG39" s="59">
        <v>0</v>
      </c>
    </row>
    <row r="40" spans="1:35" x14ac:dyDescent="0.25">
      <c r="A40" s="102"/>
      <c r="B40" s="265"/>
      <c r="C40" s="25" t="s">
        <v>286</v>
      </c>
      <c r="D40" s="415"/>
      <c r="E40" s="415"/>
      <c r="F40" s="115"/>
      <c r="G40" s="421"/>
      <c r="H40" s="421"/>
      <c r="I40" s="422"/>
      <c r="J40" s="422"/>
      <c r="K40" s="421"/>
      <c r="L40" s="421"/>
      <c r="M40" s="421"/>
      <c r="N40" s="421"/>
      <c r="O40" s="423"/>
      <c r="P40" s="424">
        <v>0</v>
      </c>
      <c r="Q40" s="424">
        <v>0</v>
      </c>
      <c r="R40" s="117"/>
      <c r="S40" s="424">
        <v>0</v>
      </c>
      <c r="T40" s="117"/>
      <c r="U40" s="118"/>
      <c r="V40" s="118"/>
      <c r="W40" s="119"/>
      <c r="X40" s="120"/>
      <c r="Y40" s="120"/>
      <c r="Z40" s="118"/>
      <c r="AA40" s="118"/>
      <c r="AB40" s="118"/>
      <c r="AC40" s="119"/>
      <c r="AD40" s="120"/>
      <c r="AE40" s="120"/>
      <c r="AF40" s="118"/>
      <c r="AG40" s="118"/>
      <c r="AI40" s="290"/>
    </row>
    <row r="41" spans="1:35" ht="13" x14ac:dyDescent="0.3">
      <c r="A41" s="257" t="s">
        <v>24</v>
      </c>
      <c r="B41" s="11"/>
      <c r="C41" s="41"/>
      <c r="D41" s="41"/>
      <c r="E41" s="12"/>
      <c r="F41" s="212"/>
      <c r="G41" s="427"/>
      <c r="H41" s="427"/>
      <c r="I41" s="428"/>
      <c r="J41" s="428"/>
      <c r="K41" s="427"/>
      <c r="L41" s="427"/>
      <c r="M41" s="427"/>
      <c r="N41" s="427"/>
      <c r="O41" s="429"/>
      <c r="P41" s="427"/>
      <c r="Q41" s="211" t="s">
        <v>46</v>
      </c>
      <c r="R41" s="189"/>
      <c r="S41" s="213" t="s">
        <v>47</v>
      </c>
      <c r="T41" s="189"/>
      <c r="U41" s="35"/>
      <c r="V41" s="35"/>
      <c r="W41" s="55"/>
      <c r="X41" s="56"/>
      <c r="Y41" s="56"/>
      <c r="Z41" s="56"/>
      <c r="AA41" s="35"/>
      <c r="AB41" s="35"/>
      <c r="AC41" s="55"/>
      <c r="AD41" s="56"/>
      <c r="AE41" s="56"/>
      <c r="AF41" s="56"/>
      <c r="AG41" s="35"/>
      <c r="AI41" s="290"/>
    </row>
    <row r="42" spans="1:35" x14ac:dyDescent="0.25">
      <c r="A42" s="405" t="s">
        <v>28</v>
      </c>
      <c r="B42" s="22">
        <v>8</v>
      </c>
      <c r="C42" s="69" t="s">
        <v>31</v>
      </c>
      <c r="D42" s="69" t="s">
        <v>30</v>
      </c>
      <c r="E42" s="69" t="s">
        <v>98</v>
      </c>
      <c r="F42" s="217" t="s">
        <v>36</v>
      </c>
      <c r="G42" s="409">
        <v>42079</v>
      </c>
      <c r="H42" s="407">
        <v>39164</v>
      </c>
      <c r="I42" s="409">
        <v>55.940447253974668</v>
      </c>
      <c r="J42" s="407">
        <v>57.452000051067301</v>
      </c>
      <c r="K42" s="409"/>
      <c r="L42" s="409"/>
      <c r="M42" s="409"/>
      <c r="N42" s="409">
        <v>5786.5300000000007</v>
      </c>
      <c r="O42" s="410">
        <v>4598181.68</v>
      </c>
      <c r="P42" s="409">
        <v>862159.07</v>
      </c>
      <c r="Q42" s="409">
        <v>689727.25</v>
      </c>
      <c r="R42" s="199">
        <v>0.15</v>
      </c>
      <c r="S42" s="409">
        <v>172431.81</v>
      </c>
      <c r="T42" s="236">
        <v>3.7499999999999999E-2</v>
      </c>
      <c r="U42" s="32">
        <v>81243</v>
      </c>
      <c r="V42" s="32">
        <v>4598181.68</v>
      </c>
      <c r="W42" s="57">
        <v>2620.6999999999998</v>
      </c>
      <c r="X42" s="58">
        <v>56.597900000000003</v>
      </c>
      <c r="Y42" s="58">
        <v>10.6121</v>
      </c>
      <c r="Z42" s="32">
        <v>862159.07</v>
      </c>
      <c r="AA42" s="32" t="s">
        <v>305</v>
      </c>
      <c r="AB42" s="32" t="s">
        <v>305</v>
      </c>
      <c r="AC42" s="57" t="s">
        <v>305</v>
      </c>
      <c r="AD42" s="58" t="s">
        <v>305</v>
      </c>
      <c r="AE42" s="58" t="s">
        <v>305</v>
      </c>
      <c r="AF42" s="32" t="s">
        <v>305</v>
      </c>
      <c r="AG42" s="37"/>
    </row>
    <row r="43" spans="1:35" x14ac:dyDescent="0.25">
      <c r="A43" s="405" t="s">
        <v>28</v>
      </c>
      <c r="B43" s="17" t="s">
        <v>12</v>
      </c>
      <c r="C43" s="69" t="s">
        <v>31</v>
      </c>
      <c r="D43" s="69" t="s">
        <v>30</v>
      </c>
      <c r="E43" s="69" t="s">
        <v>98</v>
      </c>
      <c r="F43" s="217" t="s">
        <v>55</v>
      </c>
      <c r="G43" s="407">
        <v>75609.3753</v>
      </c>
      <c r="H43" s="407">
        <v>117232.98940000001</v>
      </c>
      <c r="I43" s="408">
        <v>3.6036000000000001</v>
      </c>
      <c r="J43" s="408">
        <v>3.6036999999999999</v>
      </c>
      <c r="K43" s="409"/>
      <c r="L43" s="409"/>
      <c r="M43" s="409"/>
      <c r="N43" s="458">
        <v>1746.28</v>
      </c>
      <c r="O43" s="410">
        <v>693192.17999999993</v>
      </c>
      <c r="P43" s="409">
        <v>129973.53</v>
      </c>
      <c r="Q43" s="409">
        <v>25994.71</v>
      </c>
      <c r="R43" s="236">
        <v>3.7499999999999999E-2</v>
      </c>
      <c r="S43" s="409">
        <v>103978.83</v>
      </c>
      <c r="T43" s="199">
        <v>0.15</v>
      </c>
      <c r="U43" s="32" t="s">
        <v>305</v>
      </c>
      <c r="V43" s="32" t="s">
        <v>305</v>
      </c>
      <c r="W43" s="57" t="s">
        <v>305</v>
      </c>
      <c r="X43" s="58" t="s">
        <v>305</v>
      </c>
      <c r="Y43" s="58" t="s">
        <v>305</v>
      </c>
      <c r="Z43" s="32" t="s">
        <v>305</v>
      </c>
      <c r="AA43" s="32">
        <v>192842.36470000001</v>
      </c>
      <c r="AB43" s="32">
        <v>693192.17999999993</v>
      </c>
      <c r="AC43" s="57">
        <v>6220.7</v>
      </c>
      <c r="AD43" s="58">
        <v>3.5945999999999998</v>
      </c>
      <c r="AE43" s="58">
        <v>0.67400000000000004</v>
      </c>
      <c r="AF43" s="32">
        <v>129973.53</v>
      </c>
      <c r="AG43" s="37"/>
      <c r="AI43" s="290"/>
    </row>
    <row r="44" spans="1:35" x14ac:dyDescent="0.25">
      <c r="A44" s="405" t="s">
        <v>28</v>
      </c>
      <c r="B44" s="17" t="s">
        <v>74</v>
      </c>
      <c r="C44" s="69" t="s">
        <v>31</v>
      </c>
      <c r="D44" s="69" t="s">
        <v>30</v>
      </c>
      <c r="E44" s="69" t="s">
        <v>100</v>
      </c>
      <c r="F44" s="217" t="s">
        <v>36</v>
      </c>
      <c r="G44" s="407"/>
      <c r="H44" s="407"/>
      <c r="I44" s="408"/>
      <c r="J44" s="408"/>
      <c r="K44" s="409"/>
      <c r="L44" s="409"/>
      <c r="M44" s="409"/>
      <c r="N44" s="458">
        <v>3650.71</v>
      </c>
      <c r="O44" s="410">
        <v>-3650.71</v>
      </c>
      <c r="P44" s="409">
        <v>-684.51</v>
      </c>
      <c r="Q44" s="409">
        <v>-136.9</v>
      </c>
      <c r="R44" s="236">
        <v>3.7499999999999999E-2</v>
      </c>
      <c r="S44" s="409">
        <v>-547.61</v>
      </c>
      <c r="T44" s="199">
        <v>0.15</v>
      </c>
      <c r="U44" s="32">
        <v>0</v>
      </c>
      <c r="V44" s="32">
        <v>-3650.71</v>
      </c>
      <c r="W44" s="57">
        <v>0</v>
      </c>
      <c r="X44" s="58">
        <v>0</v>
      </c>
      <c r="Y44" s="58">
        <v>0</v>
      </c>
      <c r="Z44" s="32">
        <v>-684.51</v>
      </c>
      <c r="AA44" s="32" t="s">
        <v>305</v>
      </c>
      <c r="AB44" s="32" t="s">
        <v>305</v>
      </c>
      <c r="AC44" s="57" t="s">
        <v>305</v>
      </c>
      <c r="AD44" s="58" t="s">
        <v>305</v>
      </c>
      <c r="AE44" s="58" t="s">
        <v>305</v>
      </c>
      <c r="AF44" s="32" t="s">
        <v>305</v>
      </c>
      <c r="AG44" s="37"/>
    </row>
    <row r="45" spans="1:35" x14ac:dyDescent="0.25">
      <c r="A45" s="405" t="s">
        <v>28</v>
      </c>
      <c r="B45" s="22">
        <v>95</v>
      </c>
      <c r="C45" s="69" t="s">
        <v>31</v>
      </c>
      <c r="D45" s="69" t="s">
        <v>30</v>
      </c>
      <c r="E45" s="69" t="s">
        <v>98</v>
      </c>
      <c r="F45" s="217" t="s">
        <v>36</v>
      </c>
      <c r="G45" s="407">
        <v>221349</v>
      </c>
      <c r="H45" s="407">
        <v>234026</v>
      </c>
      <c r="I45" s="408">
        <v>42.335299999999997</v>
      </c>
      <c r="J45" s="408">
        <v>40.9559</v>
      </c>
      <c r="K45" s="407"/>
      <c r="L45" s="409"/>
      <c r="M45" s="409"/>
      <c r="N45" s="458">
        <v>5786.54</v>
      </c>
      <c r="O45" s="410">
        <v>18949835.23</v>
      </c>
      <c r="P45" s="409">
        <v>3553094.11</v>
      </c>
      <c r="Q45" s="409">
        <v>2842475.29</v>
      </c>
      <c r="R45" s="199">
        <v>0.15</v>
      </c>
      <c r="S45" s="409">
        <v>710618.82</v>
      </c>
      <c r="T45" s="236">
        <v>3.7499999999999999E-2</v>
      </c>
      <c r="U45" s="32">
        <v>455375</v>
      </c>
      <c r="V45" s="32">
        <v>18949835.23</v>
      </c>
      <c r="W45" s="57">
        <v>14689.5</v>
      </c>
      <c r="X45" s="58">
        <v>41.613700000000001</v>
      </c>
      <c r="Y45" s="58">
        <v>7.8026</v>
      </c>
      <c r="Z45" s="32">
        <v>3553094.11</v>
      </c>
      <c r="AA45" s="32" t="s">
        <v>305</v>
      </c>
      <c r="AB45" s="32" t="s">
        <v>305</v>
      </c>
      <c r="AC45" s="57" t="s">
        <v>305</v>
      </c>
      <c r="AD45" s="58" t="s">
        <v>305</v>
      </c>
      <c r="AE45" s="58" t="s">
        <v>305</v>
      </c>
      <c r="AF45" s="32" t="s">
        <v>305</v>
      </c>
      <c r="AG45" s="37"/>
    </row>
    <row r="46" spans="1:35" x14ac:dyDescent="0.25">
      <c r="A46" s="405" t="s">
        <v>28</v>
      </c>
      <c r="B46" s="250">
        <v>67</v>
      </c>
      <c r="C46" s="69" t="s">
        <v>31</v>
      </c>
      <c r="D46" s="69" t="s">
        <v>30</v>
      </c>
      <c r="E46" s="69" t="s">
        <v>98</v>
      </c>
      <c r="F46" s="217" t="s">
        <v>36</v>
      </c>
      <c r="G46" s="407"/>
      <c r="H46" s="407"/>
      <c r="I46" s="408"/>
      <c r="J46" s="408"/>
      <c r="K46" s="407"/>
      <c r="L46" s="409"/>
      <c r="M46" s="497"/>
      <c r="N46" s="409"/>
      <c r="O46" s="410">
        <v>0</v>
      </c>
      <c r="P46" s="409">
        <v>0</v>
      </c>
      <c r="Q46" s="409">
        <v>0</v>
      </c>
      <c r="R46" s="199">
        <v>0.15</v>
      </c>
      <c r="S46" s="409">
        <v>0</v>
      </c>
      <c r="T46" s="236">
        <v>3.7499999999999999E-2</v>
      </c>
      <c r="U46" s="32">
        <v>0</v>
      </c>
      <c r="V46" s="32">
        <v>0</v>
      </c>
      <c r="W46" s="57">
        <v>0</v>
      </c>
      <c r="X46" s="58">
        <v>0</v>
      </c>
      <c r="Y46" s="58">
        <v>0</v>
      </c>
      <c r="Z46" s="32">
        <v>0</v>
      </c>
      <c r="AA46" s="32" t="s">
        <v>305</v>
      </c>
      <c r="AB46" s="32" t="s">
        <v>305</v>
      </c>
      <c r="AC46" s="57" t="s">
        <v>305</v>
      </c>
      <c r="AD46" s="58" t="s">
        <v>305</v>
      </c>
      <c r="AE46" s="58" t="s">
        <v>305</v>
      </c>
      <c r="AF46" s="32" t="s">
        <v>305</v>
      </c>
      <c r="AG46" s="37"/>
    </row>
    <row r="47" spans="1:35" x14ac:dyDescent="0.25">
      <c r="A47" s="432" t="s">
        <v>28</v>
      </c>
      <c r="B47" s="414" t="s">
        <v>53</v>
      </c>
      <c r="C47" s="415"/>
      <c r="D47" s="416"/>
      <c r="E47" s="416"/>
      <c r="F47" s="217"/>
      <c r="G47" s="409"/>
      <c r="H47" s="409"/>
      <c r="I47" s="417"/>
      <c r="J47" s="417"/>
      <c r="K47" s="409"/>
      <c r="L47" s="409"/>
      <c r="M47" s="409"/>
      <c r="N47" s="409"/>
      <c r="O47" s="409"/>
      <c r="P47" s="409"/>
      <c r="Q47" s="409"/>
      <c r="R47" s="409"/>
      <c r="S47" s="409"/>
      <c r="T47" s="199"/>
      <c r="U47" s="32" t="s">
        <v>305</v>
      </c>
      <c r="V47" s="32" t="s">
        <v>305</v>
      </c>
      <c r="W47" s="57" t="s">
        <v>305</v>
      </c>
      <c r="X47" s="58" t="s">
        <v>305</v>
      </c>
      <c r="Y47" s="58" t="s">
        <v>305</v>
      </c>
      <c r="Z47" s="32" t="s">
        <v>305</v>
      </c>
      <c r="AA47" s="32" t="s">
        <v>305</v>
      </c>
      <c r="AB47" s="32" t="s">
        <v>305</v>
      </c>
      <c r="AC47" s="57" t="s">
        <v>305</v>
      </c>
      <c r="AD47" s="58" t="s">
        <v>305</v>
      </c>
      <c r="AE47" s="58" t="s">
        <v>305</v>
      </c>
      <c r="AF47" s="32" t="s">
        <v>305</v>
      </c>
      <c r="AG47" s="37"/>
    </row>
    <row r="48" spans="1:35" x14ac:dyDescent="0.25">
      <c r="A48" s="24"/>
      <c r="B48" s="127" t="s">
        <v>105</v>
      </c>
      <c r="C48" s="25" t="s">
        <v>287</v>
      </c>
      <c r="D48" s="14"/>
      <c r="E48" s="14"/>
      <c r="F48" s="230"/>
      <c r="G48" s="433"/>
      <c r="H48" s="433"/>
      <c r="I48" s="434"/>
      <c r="J48" s="435"/>
      <c r="K48" s="436"/>
      <c r="L48" s="436"/>
      <c r="M48" s="436"/>
      <c r="N48" s="420"/>
      <c r="O48" s="420">
        <v>24237558.379999999</v>
      </c>
      <c r="P48" s="420">
        <v>4544542.2</v>
      </c>
      <c r="Q48" s="420">
        <v>3558060.35</v>
      </c>
      <c r="R48" s="220"/>
      <c r="S48" s="420">
        <v>986481.85</v>
      </c>
      <c r="T48" s="207"/>
      <c r="U48" s="59">
        <v>536618</v>
      </c>
      <c r="V48" s="59">
        <v>23544366.199999999</v>
      </c>
      <c r="W48" s="60">
        <v>17310.2</v>
      </c>
      <c r="X48" s="61">
        <v>43.875500000000002</v>
      </c>
      <c r="Y48" s="61">
        <v>8.2266999999999992</v>
      </c>
      <c r="Z48" s="59">
        <v>4414568.67</v>
      </c>
      <c r="AA48" s="59">
        <v>192842.36470000001</v>
      </c>
      <c r="AB48" s="59">
        <v>693192.17999999993</v>
      </c>
      <c r="AC48" s="60">
        <v>6220.7</v>
      </c>
      <c r="AD48" s="61">
        <v>3.5945999999999998</v>
      </c>
      <c r="AE48" s="61">
        <v>0.67400000000000004</v>
      </c>
      <c r="AF48" s="59">
        <v>129973.53</v>
      </c>
      <c r="AG48" s="59">
        <v>2.6193447411060333E-10</v>
      </c>
    </row>
    <row r="49" spans="1:35" x14ac:dyDescent="0.25">
      <c r="A49" s="121"/>
      <c r="B49" s="122"/>
      <c r="C49" s="25" t="s">
        <v>288</v>
      </c>
      <c r="D49" s="85"/>
      <c r="E49" s="85"/>
      <c r="F49" s="121"/>
      <c r="G49" s="437"/>
      <c r="H49" s="437"/>
      <c r="I49" s="438"/>
      <c r="J49" s="438"/>
      <c r="K49" s="437"/>
      <c r="L49" s="437"/>
      <c r="M49" s="437"/>
      <c r="N49" s="437"/>
      <c r="O49" s="255"/>
      <c r="P49" s="255">
        <v>0</v>
      </c>
      <c r="Q49" s="255">
        <v>0</v>
      </c>
      <c r="R49" s="131"/>
      <c r="S49" s="426">
        <v>0</v>
      </c>
      <c r="T49" s="123"/>
      <c r="U49" s="124"/>
      <c r="V49" s="124"/>
      <c r="W49" s="125"/>
      <c r="X49" s="126"/>
      <c r="Y49" s="126"/>
      <c r="Z49" s="124"/>
      <c r="AA49" s="124"/>
      <c r="AB49" s="124"/>
      <c r="AC49" s="125"/>
      <c r="AD49" s="126"/>
      <c r="AE49" s="126"/>
      <c r="AF49" s="124"/>
      <c r="AG49" s="124"/>
    </row>
    <row r="50" spans="1:35" ht="13" x14ac:dyDescent="0.3">
      <c r="A50" s="257" t="s">
        <v>161</v>
      </c>
      <c r="B50" s="11"/>
      <c r="C50" s="11"/>
      <c r="D50" s="11"/>
      <c r="E50" s="15"/>
      <c r="F50" s="257"/>
      <c r="G50" s="439"/>
      <c r="H50" s="440"/>
      <c r="I50" s="441"/>
      <c r="J50" s="442"/>
      <c r="K50" s="439"/>
      <c r="L50" s="439"/>
      <c r="M50" s="439"/>
      <c r="N50" s="439"/>
      <c r="O50" s="439"/>
      <c r="P50" s="188" t="s">
        <v>163</v>
      </c>
      <c r="Q50" s="188" t="s">
        <v>161</v>
      </c>
      <c r="R50" s="140"/>
      <c r="S50" s="443"/>
      <c r="T50" s="148"/>
      <c r="U50" s="124"/>
      <c r="V50" s="124"/>
      <c r="W50" s="125"/>
      <c r="X50" s="126"/>
      <c r="Y50" s="126"/>
      <c r="Z50" s="124"/>
      <c r="AA50" s="124"/>
      <c r="AB50" s="124"/>
      <c r="AC50" s="125"/>
      <c r="AD50" s="126"/>
      <c r="AE50" s="126"/>
      <c r="AF50" s="124"/>
      <c r="AG50" s="124"/>
    </row>
    <row r="51" spans="1:35" x14ac:dyDescent="0.25">
      <c r="A51" s="405" t="s">
        <v>28</v>
      </c>
      <c r="B51" s="17" t="s">
        <v>160</v>
      </c>
      <c r="C51" s="69" t="s">
        <v>31</v>
      </c>
      <c r="D51" s="69" t="s">
        <v>30</v>
      </c>
      <c r="E51" s="69" t="s">
        <v>158</v>
      </c>
      <c r="F51" s="217" t="s">
        <v>36</v>
      </c>
      <c r="G51" s="409">
        <v>709557</v>
      </c>
      <c r="H51" s="409">
        <v>745558</v>
      </c>
      <c r="I51" s="417">
        <v>34.775300000000001</v>
      </c>
      <c r="J51" s="417">
        <v>32.156799999999997</v>
      </c>
      <c r="K51" s="409"/>
      <c r="L51" s="409"/>
      <c r="M51" s="409"/>
      <c r="N51" s="908"/>
      <c r="O51" s="410">
        <v>48649817.036499999</v>
      </c>
      <c r="P51" s="444">
        <v>18117191.859999999</v>
      </c>
      <c r="Q51" s="444">
        <v>9058595.9299999997</v>
      </c>
      <c r="R51" s="199">
        <v>0.5</v>
      </c>
      <c r="S51" s="409"/>
      <c r="T51" s="236"/>
      <c r="U51" s="32">
        <v>1455115</v>
      </c>
      <c r="V51" s="32">
        <v>48649817.036499999</v>
      </c>
      <c r="W51" s="57">
        <v>46939.199999999997</v>
      </c>
      <c r="X51" s="58">
        <v>33.433700000000002</v>
      </c>
      <c r="Y51" s="58">
        <v>6.2252999999999998</v>
      </c>
      <c r="Z51" s="32">
        <v>9058595.9299999997</v>
      </c>
      <c r="AA51" s="32" t="s">
        <v>305</v>
      </c>
      <c r="AB51" s="32" t="s">
        <v>305</v>
      </c>
      <c r="AC51" s="57" t="s">
        <v>305</v>
      </c>
      <c r="AD51" s="58" t="s">
        <v>305</v>
      </c>
      <c r="AE51" s="58" t="s">
        <v>305</v>
      </c>
      <c r="AF51" s="32" t="s">
        <v>305</v>
      </c>
      <c r="AG51" s="124"/>
    </row>
    <row r="52" spans="1:35" x14ac:dyDescent="0.25">
      <c r="A52" s="405" t="s">
        <v>28</v>
      </c>
      <c r="B52" s="17" t="s">
        <v>159</v>
      </c>
      <c r="C52" s="69" t="s">
        <v>31</v>
      </c>
      <c r="D52" s="69" t="s">
        <v>30</v>
      </c>
      <c r="E52" s="69" t="s">
        <v>158</v>
      </c>
      <c r="F52" s="217" t="s">
        <v>55</v>
      </c>
      <c r="G52" s="409">
        <v>14817870.717800001</v>
      </c>
      <c r="H52" s="409">
        <v>15392432.487600001</v>
      </c>
      <c r="I52" s="409">
        <v>2.8003</v>
      </c>
      <c r="J52" s="409">
        <v>2.7850000000000001</v>
      </c>
      <c r="K52" s="409"/>
      <c r="L52" s="409"/>
      <c r="M52" s="409"/>
      <c r="N52" s="908"/>
      <c r="O52" s="409">
        <v>84361337.900000006</v>
      </c>
      <c r="P52" s="409">
        <v>31461727.470000003</v>
      </c>
      <c r="Q52" s="409">
        <v>15730863.75</v>
      </c>
      <c r="R52" s="199">
        <v>0.5</v>
      </c>
      <c r="S52" s="409"/>
      <c r="T52" s="199"/>
      <c r="U52" s="32" t="s">
        <v>305</v>
      </c>
      <c r="V52" s="32" t="s">
        <v>305</v>
      </c>
      <c r="W52" s="57" t="s">
        <v>305</v>
      </c>
      <c r="X52" s="58" t="s">
        <v>305</v>
      </c>
      <c r="Y52" s="58" t="s">
        <v>305</v>
      </c>
      <c r="Z52" s="32" t="s">
        <v>305</v>
      </c>
      <c r="AA52" s="32">
        <v>30210303.205400001</v>
      </c>
      <c r="AB52" s="32">
        <v>84361337.900000006</v>
      </c>
      <c r="AC52" s="57">
        <v>974525.9</v>
      </c>
      <c r="AD52" s="58">
        <v>2.7925</v>
      </c>
      <c r="AE52" s="58">
        <v>0.52070000000000005</v>
      </c>
      <c r="AF52" s="32">
        <v>15730863.75</v>
      </c>
      <c r="AG52" s="124"/>
    </row>
    <row r="53" spans="1:35" x14ac:dyDescent="0.25">
      <c r="A53" s="405" t="s">
        <v>28</v>
      </c>
      <c r="B53" s="17" t="s">
        <v>168</v>
      </c>
      <c r="C53" s="69" t="s">
        <v>31</v>
      </c>
      <c r="D53" s="69" t="s">
        <v>30</v>
      </c>
      <c r="E53" s="69" t="s">
        <v>158</v>
      </c>
      <c r="F53" s="217" t="s">
        <v>36</v>
      </c>
      <c r="G53" s="409">
        <v>164620</v>
      </c>
      <c r="H53" s="409">
        <v>177774</v>
      </c>
      <c r="I53" s="417">
        <v>34.778500000000001</v>
      </c>
      <c r="J53" s="417">
        <v>32.157400000000003</v>
      </c>
      <c r="K53" s="409"/>
      <c r="L53" s="409"/>
      <c r="M53" s="409"/>
      <c r="N53" s="409"/>
      <c r="O53" s="410">
        <v>11441986.297600001</v>
      </c>
      <c r="P53" s="444">
        <v>4576794.5199999996</v>
      </c>
      <c r="Q53" s="444">
        <v>2288397.2599999998</v>
      </c>
      <c r="R53" s="199">
        <v>0.5</v>
      </c>
      <c r="S53" s="409"/>
      <c r="T53" s="199"/>
      <c r="U53" s="32">
        <v>342394</v>
      </c>
      <c r="V53" s="32">
        <v>11441986.297600001</v>
      </c>
      <c r="W53" s="57">
        <v>11045</v>
      </c>
      <c r="X53" s="58">
        <v>33.4176</v>
      </c>
      <c r="Y53" s="58">
        <v>6.6835000000000004</v>
      </c>
      <c r="Z53" s="32">
        <v>2288397.2599999998</v>
      </c>
      <c r="AA53" s="32" t="s">
        <v>305</v>
      </c>
      <c r="AB53" s="32" t="s">
        <v>305</v>
      </c>
      <c r="AC53" s="57" t="s">
        <v>305</v>
      </c>
      <c r="AD53" s="58" t="s">
        <v>305</v>
      </c>
      <c r="AE53" s="58" t="s">
        <v>305</v>
      </c>
      <c r="AF53" s="32" t="s">
        <v>305</v>
      </c>
      <c r="AG53" s="124"/>
    </row>
    <row r="54" spans="1:35" x14ac:dyDescent="0.25">
      <c r="A54" s="405" t="s">
        <v>28</v>
      </c>
      <c r="B54" s="17" t="s">
        <v>169</v>
      </c>
      <c r="C54" s="69" t="s">
        <v>31</v>
      </c>
      <c r="D54" s="69" t="s">
        <v>30</v>
      </c>
      <c r="E54" s="69" t="s">
        <v>158</v>
      </c>
      <c r="F54" s="217" t="s">
        <v>55</v>
      </c>
      <c r="G54" s="409">
        <v>3894760.2694000001</v>
      </c>
      <c r="H54" s="409">
        <v>4141178.9972000001</v>
      </c>
      <c r="I54" s="503">
        <v>3.677</v>
      </c>
      <c r="J54" s="417">
        <v>3.359</v>
      </c>
      <c r="K54" s="409"/>
      <c r="L54" s="409"/>
      <c r="M54" s="409"/>
      <c r="N54" s="409"/>
      <c r="O54" s="505">
        <v>28231253.7621786</v>
      </c>
      <c r="P54" s="444">
        <v>10727876.43</v>
      </c>
      <c r="Q54" s="444">
        <v>5363938.22</v>
      </c>
      <c r="R54" s="199">
        <v>0.5</v>
      </c>
      <c r="S54" s="409"/>
      <c r="T54" s="199"/>
      <c r="U54" s="32" t="s">
        <v>305</v>
      </c>
      <c r="V54" s="32" t="s">
        <v>305</v>
      </c>
      <c r="W54" s="57" t="s">
        <v>305</v>
      </c>
      <c r="X54" s="58" t="s">
        <v>305</v>
      </c>
      <c r="Y54" s="58" t="s">
        <v>305</v>
      </c>
      <c r="Z54" s="32" t="s">
        <v>305</v>
      </c>
      <c r="AA54" s="32">
        <v>8035939.2665999997</v>
      </c>
      <c r="AB54" s="32">
        <v>28231253.7621786</v>
      </c>
      <c r="AC54" s="57">
        <v>259223.8</v>
      </c>
      <c r="AD54" s="58">
        <v>3.5131000000000001</v>
      </c>
      <c r="AE54" s="58">
        <v>0.66749999999999998</v>
      </c>
      <c r="AF54" s="32">
        <v>5363938.22</v>
      </c>
      <c r="AG54" s="124"/>
    </row>
    <row r="55" spans="1:35" ht="13.5" customHeight="1" x14ac:dyDescent="0.25">
      <c r="A55" s="405" t="s">
        <v>28</v>
      </c>
      <c r="B55" s="22" t="s">
        <v>175</v>
      </c>
      <c r="C55" s="69" t="s">
        <v>31</v>
      </c>
      <c r="D55" s="69" t="s">
        <v>30</v>
      </c>
      <c r="E55" s="69" t="s">
        <v>158</v>
      </c>
      <c r="F55" s="217" t="s">
        <v>36</v>
      </c>
      <c r="G55" s="409">
        <v>234998</v>
      </c>
      <c r="H55" s="409">
        <v>256230</v>
      </c>
      <c r="I55" s="417">
        <v>32.857599999999998</v>
      </c>
      <c r="J55" s="417">
        <v>30.338799999999999</v>
      </c>
      <c r="K55" s="407"/>
      <c r="L55" s="409"/>
      <c r="M55" s="409"/>
      <c r="N55" s="407"/>
      <c r="O55" s="410">
        <v>15495181.0088</v>
      </c>
      <c r="P55" s="444">
        <v>1039742.3172319999</v>
      </c>
      <c r="Q55" s="444">
        <v>519871.16</v>
      </c>
      <c r="R55" s="199">
        <v>0.5</v>
      </c>
      <c r="S55" s="409"/>
      <c r="T55" s="236"/>
      <c r="U55" s="32">
        <v>491228</v>
      </c>
      <c r="V55" s="32">
        <v>15495181.0088</v>
      </c>
      <c r="W55" s="57">
        <v>15846.1</v>
      </c>
      <c r="X55" s="58">
        <v>31.543800000000001</v>
      </c>
      <c r="Y55" s="58">
        <v>1.0583</v>
      </c>
      <c r="Z55" s="32">
        <v>519871.16</v>
      </c>
      <c r="AA55" s="32" t="s">
        <v>305</v>
      </c>
      <c r="AB55" s="32" t="s">
        <v>305</v>
      </c>
      <c r="AC55" s="57" t="s">
        <v>305</v>
      </c>
      <c r="AD55" s="58" t="s">
        <v>305</v>
      </c>
      <c r="AE55" s="58" t="s">
        <v>305</v>
      </c>
      <c r="AF55" s="32" t="s">
        <v>305</v>
      </c>
      <c r="AG55" s="124"/>
    </row>
    <row r="56" spans="1:35" x14ac:dyDescent="0.25">
      <c r="A56" s="405" t="s">
        <v>28</v>
      </c>
      <c r="B56" s="250" t="s">
        <v>176</v>
      </c>
      <c r="C56" s="69" t="s">
        <v>31</v>
      </c>
      <c r="D56" s="69" t="s">
        <v>30</v>
      </c>
      <c r="E56" s="69" t="s">
        <v>158</v>
      </c>
      <c r="F56" s="217" t="s">
        <v>55</v>
      </c>
      <c r="G56" s="409">
        <v>3928962.9506999999</v>
      </c>
      <c r="H56" s="409">
        <v>4238432.2852999996</v>
      </c>
      <c r="I56" s="417">
        <v>2.7829999999999999</v>
      </c>
      <c r="J56" s="417">
        <v>2.7829999999999999</v>
      </c>
      <c r="K56" s="504"/>
      <c r="L56" s="409"/>
      <c r="M56" s="409"/>
      <c r="N56" s="407"/>
      <c r="O56" s="410">
        <v>22729860.941787995</v>
      </c>
      <c r="P56" s="444">
        <v>2531271.4542749999</v>
      </c>
      <c r="Q56" s="444">
        <v>1265635.73</v>
      </c>
      <c r="R56" s="199">
        <v>0.5</v>
      </c>
      <c r="S56" s="409"/>
      <c r="T56" s="236"/>
      <c r="U56" s="32" t="s">
        <v>305</v>
      </c>
      <c r="V56" s="32" t="s">
        <v>305</v>
      </c>
      <c r="W56" s="57" t="s">
        <v>305</v>
      </c>
      <c r="X56" s="58" t="s">
        <v>305</v>
      </c>
      <c r="Y56" s="58" t="s">
        <v>305</v>
      </c>
      <c r="Z56" s="32" t="s">
        <v>305</v>
      </c>
      <c r="AA56" s="32">
        <v>8167395.2359999996</v>
      </c>
      <c r="AB56" s="32">
        <v>22729860.941787995</v>
      </c>
      <c r="AC56" s="57">
        <v>263464.40000000002</v>
      </c>
      <c r="AD56" s="58">
        <v>2.7829999999999999</v>
      </c>
      <c r="AE56" s="58">
        <v>0.155</v>
      </c>
      <c r="AF56" s="32">
        <v>1265635.73</v>
      </c>
      <c r="AG56" s="124"/>
    </row>
    <row r="57" spans="1:35" x14ac:dyDescent="0.25">
      <c r="A57" s="445" t="s">
        <v>28</v>
      </c>
      <c r="B57" s="446" t="s">
        <v>162</v>
      </c>
      <c r="C57" s="447"/>
      <c r="D57" s="447"/>
      <c r="E57" s="448"/>
      <c r="F57" s="190"/>
      <c r="G57" s="239"/>
      <c r="H57" s="240"/>
      <c r="I57" s="240"/>
      <c r="J57" s="241"/>
      <c r="K57" s="241"/>
      <c r="L57" s="241"/>
      <c r="M57" s="155"/>
      <c r="N57" s="155"/>
      <c r="O57" s="909">
        <v>-10936086.836658739</v>
      </c>
      <c r="P57" s="909">
        <v>-1444445.4731170002</v>
      </c>
      <c r="Q57" s="909">
        <v>-722222.73999999941</v>
      </c>
      <c r="R57" s="123"/>
      <c r="S57" s="156"/>
      <c r="T57" s="123"/>
      <c r="U57" s="32" t="s">
        <v>305</v>
      </c>
      <c r="V57" s="32" t="s">
        <v>305</v>
      </c>
      <c r="W57" s="57" t="s">
        <v>305</v>
      </c>
      <c r="X57" s="58" t="s">
        <v>305</v>
      </c>
      <c r="Y57" s="58" t="s">
        <v>305</v>
      </c>
      <c r="Z57" s="32" t="s">
        <v>305</v>
      </c>
      <c r="AA57" s="32" t="s">
        <v>305</v>
      </c>
      <c r="AB57" s="32" t="s">
        <v>305</v>
      </c>
      <c r="AC57" s="57" t="s">
        <v>305</v>
      </c>
      <c r="AD57" s="58" t="s">
        <v>305</v>
      </c>
      <c r="AE57" s="58" t="s">
        <v>305</v>
      </c>
      <c r="AF57" s="32" t="s">
        <v>305</v>
      </c>
      <c r="AG57" s="124"/>
    </row>
    <row r="58" spans="1:35" x14ac:dyDescent="0.25">
      <c r="A58" s="24"/>
      <c r="B58" s="127" t="s">
        <v>105</v>
      </c>
      <c r="C58" s="25" t="s">
        <v>289</v>
      </c>
      <c r="D58" s="14"/>
      <c r="E58" s="14"/>
      <c r="F58" s="245"/>
      <c r="G58" s="232">
        <v>3894760.2694000001</v>
      </c>
      <c r="H58" s="232">
        <v>4141178.9972000001</v>
      </c>
      <c r="I58" s="299"/>
      <c r="J58" s="232"/>
      <c r="K58" s="243"/>
      <c r="L58" s="237"/>
      <c r="M58" s="297"/>
      <c r="N58" s="174"/>
      <c r="O58" s="174">
        <v>199973350.11020786</v>
      </c>
      <c r="P58" s="174">
        <v>67010158.578389995</v>
      </c>
      <c r="Q58" s="174">
        <v>33505079.309999999</v>
      </c>
      <c r="R58" s="498"/>
      <c r="S58" s="162"/>
      <c r="T58" s="123"/>
      <c r="U58" s="59">
        <v>2288737</v>
      </c>
      <c r="V58" s="59">
        <v>75586984.342900008</v>
      </c>
      <c r="W58" s="60">
        <v>73830.3</v>
      </c>
      <c r="X58" s="61">
        <v>33.025599999999997</v>
      </c>
      <c r="Y58" s="61">
        <v>5.1848999999999998</v>
      </c>
      <c r="Z58" s="59">
        <v>11866864.35</v>
      </c>
      <c r="AA58" s="59">
        <v>46413637.708000004</v>
      </c>
      <c r="AB58" s="59">
        <v>135322452.60396659</v>
      </c>
      <c r="AC58" s="60">
        <v>1497214.1</v>
      </c>
      <c r="AD58" s="61">
        <v>2.9156</v>
      </c>
      <c r="AE58" s="61">
        <v>0.48180000000000001</v>
      </c>
      <c r="AF58" s="59">
        <v>22360437.699999999</v>
      </c>
      <c r="AG58" s="59">
        <v>-722222.73999999836</v>
      </c>
    </row>
    <row r="59" spans="1:35" x14ac:dyDescent="0.25">
      <c r="A59" s="121"/>
      <c r="B59" s="122"/>
      <c r="C59" s="25" t="s">
        <v>290</v>
      </c>
      <c r="D59" s="85"/>
      <c r="E59" s="85"/>
      <c r="F59" s="245"/>
      <c r="G59" s="233">
        <v>3.677</v>
      </c>
      <c r="H59" s="233">
        <v>3.359</v>
      </c>
      <c r="I59" s="300"/>
      <c r="J59" s="232"/>
      <c r="K59" s="244"/>
      <c r="L59" s="238"/>
      <c r="M59" s="361"/>
      <c r="N59" s="362"/>
      <c r="O59" s="362"/>
      <c r="P59" s="164"/>
      <c r="Q59" s="164">
        <v>0</v>
      </c>
      <c r="R59" s="153"/>
      <c r="S59" s="162"/>
      <c r="T59" s="123"/>
      <c r="U59" s="124"/>
      <c r="V59" s="124"/>
      <c r="W59" s="125"/>
      <c r="X59" s="126"/>
      <c r="Y59" s="126"/>
      <c r="Z59" s="124"/>
      <c r="AA59" s="124"/>
      <c r="AB59" s="124"/>
      <c r="AC59" s="125"/>
      <c r="AD59" s="126"/>
      <c r="AE59" s="126"/>
      <c r="AF59" s="124"/>
      <c r="AG59" s="124"/>
    </row>
    <row r="60" spans="1:35" ht="13" x14ac:dyDescent="0.3">
      <c r="A60" s="8" t="s">
        <v>54</v>
      </c>
      <c r="B60" s="252"/>
      <c r="C60" s="252"/>
      <c r="D60" s="252"/>
      <c r="E60" s="252"/>
      <c r="F60" s="246"/>
      <c r="G60" s="234">
        <v>14321033.510583801</v>
      </c>
      <c r="H60" s="234">
        <v>13910220.251594801</v>
      </c>
      <c r="I60" s="232">
        <v>28231253.7621786</v>
      </c>
      <c r="J60" s="232" t="e">
        <v>#REF!</v>
      </c>
      <c r="K60" s="301" t="e">
        <v>#REF!</v>
      </c>
      <c r="L60" s="302"/>
      <c r="M60" s="255">
        <v>0</v>
      </c>
      <c r="N60" s="255">
        <v>47668.03</v>
      </c>
      <c r="O60" s="255">
        <v>256421682.16020787</v>
      </c>
      <c r="P60" s="426">
        <v>44065917.609999999</v>
      </c>
      <c r="Q60" s="166">
        <v>0</v>
      </c>
      <c r="R60" s="38"/>
      <c r="S60" s="166"/>
      <c r="T60" s="38"/>
      <c r="U60" s="66">
        <v>3247146.9926</v>
      </c>
      <c r="V60" s="66">
        <v>123384074.5729</v>
      </c>
      <c r="W60" s="67">
        <v>104746.6</v>
      </c>
      <c r="X60" s="68">
        <v>37.997700000000002</v>
      </c>
      <c r="Y60" s="68">
        <v>6.4073000000000002</v>
      </c>
      <c r="Z60" s="66">
        <v>20805594.799999997</v>
      </c>
      <c r="AA60" s="66">
        <v>48008224.129400007</v>
      </c>
      <c r="AB60" s="66">
        <v>140100254.3739666</v>
      </c>
      <c r="AC60" s="66">
        <v>1548652.3</v>
      </c>
      <c r="AD60" s="68">
        <v>2.9182999999999999</v>
      </c>
      <c r="AE60" s="68">
        <v>0.4844</v>
      </c>
      <c r="AF60" s="66">
        <v>23256275.52</v>
      </c>
      <c r="AG60" s="66">
        <v>4047.2900000028312</v>
      </c>
      <c r="AI60" s="251">
        <v>57</v>
      </c>
    </row>
    <row r="61" spans="1:35" x14ac:dyDescent="0.25">
      <c r="G61" s="251"/>
      <c r="H61" s="251"/>
      <c r="I61" s="251"/>
      <c r="J61" s="251"/>
      <c r="K61" s="251"/>
      <c r="N61" s="910"/>
      <c r="O61" s="911"/>
      <c r="P61" s="911"/>
      <c r="Q61" s="911"/>
      <c r="R61" s="911"/>
      <c r="S61" s="912"/>
      <c r="Z61" s="48"/>
      <c r="AA61" s="48"/>
      <c r="AB61" s="48"/>
      <c r="AC61" s="48"/>
      <c r="AD61" s="48"/>
      <c r="AE61" s="48"/>
      <c r="AI61" s="251">
        <v>56</v>
      </c>
    </row>
    <row r="62" spans="1:35" x14ac:dyDescent="0.25">
      <c r="A62" s="449" t="s">
        <v>92</v>
      </c>
      <c r="B62" s="251" t="s">
        <v>75</v>
      </c>
      <c r="G62" s="251"/>
      <c r="H62" s="449" t="s">
        <v>76</v>
      </c>
      <c r="I62" s="251"/>
      <c r="J62" s="47"/>
      <c r="K62" s="47"/>
      <c r="N62" s="913"/>
      <c r="O62" s="913">
        <v>4.0185400199350269E-2</v>
      </c>
      <c r="P62" s="914"/>
      <c r="Q62" s="915"/>
      <c r="R62" s="460"/>
      <c r="S62" s="915"/>
      <c r="U62" s="48"/>
      <c r="V62" s="294"/>
      <c r="W62" s="294"/>
      <c r="X62" s="294"/>
      <c r="AI62" s="251">
        <v>88</v>
      </c>
    </row>
    <row r="63" spans="1:35" ht="13" x14ac:dyDescent="0.3">
      <c r="B63" s="97" t="s">
        <v>77</v>
      </c>
      <c r="C63" s="98" t="s">
        <v>78</v>
      </c>
      <c r="D63" s="99"/>
      <c r="E63" s="100" t="s">
        <v>34</v>
      </c>
      <c r="F63" s="100" t="s">
        <v>79</v>
      </c>
      <c r="G63" s="251"/>
      <c r="H63" s="71" t="s">
        <v>34</v>
      </c>
      <c r="I63" s="252"/>
      <c r="J63" s="252"/>
      <c r="K63" s="252"/>
      <c r="L63" s="72"/>
      <c r="N63" s="916"/>
      <c r="O63" s="917">
        <v>6.6799999390789594E-2</v>
      </c>
      <c r="P63" s="914" t="s">
        <v>354</v>
      </c>
      <c r="Q63" s="915"/>
      <c r="R63" s="460"/>
      <c r="S63" s="915"/>
      <c r="U63" s="48"/>
      <c r="V63" s="294"/>
      <c r="W63" s="294"/>
      <c r="X63" s="294"/>
    </row>
    <row r="64" spans="1:35" ht="13" x14ac:dyDescent="0.3">
      <c r="B64" s="450" t="s">
        <v>80</v>
      </c>
      <c r="C64" s="74" t="s">
        <v>81</v>
      </c>
      <c r="D64" s="451"/>
      <c r="E64" s="76"/>
      <c r="F64" s="76"/>
      <c r="G64" s="251"/>
      <c r="H64" s="77" t="s">
        <v>292</v>
      </c>
      <c r="I64" s="251"/>
      <c r="J64" s="251"/>
      <c r="K64" s="251"/>
      <c r="L64" s="78"/>
      <c r="M64" s="499"/>
      <c r="N64" s="598"/>
      <c r="O64" s="918">
        <v>0.11100000022812352</v>
      </c>
      <c r="P64" s="919" t="s">
        <v>355</v>
      </c>
      <c r="Q64" s="919"/>
      <c r="R64" s="460"/>
      <c r="S64" s="919"/>
      <c r="U64" s="48"/>
      <c r="V64" s="294"/>
      <c r="W64" s="294"/>
      <c r="X64" s="294"/>
    </row>
    <row r="65" spans="1:29" ht="13" x14ac:dyDescent="0.3">
      <c r="B65" s="452" t="s">
        <v>82</v>
      </c>
      <c r="C65" s="80" t="s">
        <v>83</v>
      </c>
      <c r="D65" s="453"/>
      <c r="E65" s="82"/>
      <c r="F65" s="83"/>
      <c r="G65" s="251"/>
      <c r="H65" s="84">
        <v>0</v>
      </c>
      <c r="I65" s="85"/>
      <c r="J65" s="85"/>
      <c r="K65" s="85"/>
      <c r="L65" s="86"/>
      <c r="M65" s="499">
        <v>9.4199999857272176E-2</v>
      </c>
      <c r="N65" s="598"/>
      <c r="O65" s="915"/>
      <c r="P65" s="919"/>
      <c r="Q65" s="919"/>
      <c r="R65" s="460"/>
      <c r="S65" s="919"/>
      <c r="U65" s="48"/>
      <c r="V65" s="295"/>
      <c r="W65" s="295"/>
      <c r="X65" s="294"/>
      <c r="Y65" s="47"/>
      <c r="Z65" s="47"/>
      <c r="AA65" s="47"/>
      <c r="AB65" s="47"/>
      <c r="AC65" s="47"/>
    </row>
    <row r="66" spans="1:29" x14ac:dyDescent="0.25">
      <c r="B66" s="452" t="s">
        <v>84</v>
      </c>
      <c r="C66" s="80" t="s">
        <v>85</v>
      </c>
      <c r="D66" s="453"/>
      <c r="E66" s="82"/>
      <c r="F66" s="82"/>
      <c r="G66" s="251"/>
      <c r="H66" s="251"/>
      <c r="I66" s="454"/>
      <c r="J66" s="251"/>
      <c r="K66" s="251"/>
      <c r="M66" s="499">
        <v>0.39999999969547706</v>
      </c>
      <c r="N66" s="598"/>
      <c r="O66" s="913">
        <v>6.7399999674801384E-2</v>
      </c>
      <c r="P66" s="914" t="s">
        <v>354</v>
      </c>
      <c r="Q66" s="914"/>
      <c r="R66" s="460"/>
      <c r="S66" s="460"/>
      <c r="U66" s="48"/>
      <c r="V66" s="294"/>
      <c r="W66" s="294"/>
      <c r="X66" s="294"/>
      <c r="Y66" s="47"/>
      <c r="Z66" s="47"/>
      <c r="AA66" s="47"/>
      <c r="AB66" s="47"/>
    </row>
    <row r="67" spans="1:29" ht="13" x14ac:dyDescent="0.3">
      <c r="B67" s="452" t="s">
        <v>86</v>
      </c>
      <c r="C67" s="80" t="s">
        <v>87</v>
      </c>
      <c r="D67" s="453"/>
      <c r="E67" s="88"/>
      <c r="F67" s="88"/>
      <c r="G67" s="251"/>
      <c r="H67" s="71" t="s">
        <v>79</v>
      </c>
      <c r="I67" s="89"/>
      <c r="J67" s="252"/>
      <c r="K67" s="252"/>
      <c r="L67" s="72"/>
      <c r="M67" s="499">
        <v>0.38000000287019686</v>
      </c>
      <c r="N67" s="598"/>
      <c r="O67" s="918">
        <v>0.11169999978932744</v>
      </c>
      <c r="P67" s="919" t="s">
        <v>355</v>
      </c>
      <c r="Q67" s="460"/>
      <c r="R67" s="460"/>
      <c r="S67" s="460"/>
      <c r="U67" s="48"/>
      <c r="V67" s="294"/>
      <c r="W67" s="294"/>
      <c r="X67" s="294"/>
      <c r="Y67" s="47"/>
      <c r="Z67" s="47"/>
      <c r="AA67" s="47"/>
      <c r="AB67" s="47"/>
      <c r="AC67" s="47"/>
    </row>
    <row r="68" spans="1:29" x14ac:dyDescent="0.25">
      <c r="B68" s="452" t="s">
        <v>88</v>
      </c>
      <c r="C68" s="80" t="s">
        <v>89</v>
      </c>
      <c r="D68" s="453"/>
      <c r="E68" s="90"/>
      <c r="F68" s="83"/>
      <c r="G68" s="251"/>
      <c r="H68" s="77" t="s">
        <v>292</v>
      </c>
      <c r="I68" s="454"/>
      <c r="J68" s="251"/>
      <c r="K68" s="251"/>
      <c r="L68" s="78"/>
      <c r="N68" s="598"/>
      <c r="O68" s="460"/>
      <c r="P68" s="460"/>
      <c r="Q68" s="460"/>
      <c r="R68" s="460"/>
      <c r="S68" s="460"/>
      <c r="U68" s="48"/>
      <c r="V68" s="294"/>
      <c r="W68" s="294"/>
      <c r="X68" s="294"/>
      <c r="Y68" s="47"/>
      <c r="Z68" s="47"/>
      <c r="AA68" s="47"/>
      <c r="AB68" s="47"/>
      <c r="AC68" s="47"/>
    </row>
    <row r="69" spans="1:29" x14ac:dyDescent="0.25">
      <c r="B69" s="455" t="s">
        <v>90</v>
      </c>
      <c r="C69" s="92" t="s">
        <v>91</v>
      </c>
      <c r="D69" s="456"/>
      <c r="E69" s="94"/>
      <c r="F69" s="94"/>
      <c r="G69" s="251"/>
      <c r="H69" s="84">
        <v>0</v>
      </c>
      <c r="I69" s="95"/>
      <c r="J69" s="85"/>
      <c r="K69" s="85"/>
      <c r="L69" s="86"/>
      <c r="M69" s="332"/>
      <c r="N69" s="460"/>
      <c r="O69" s="460"/>
      <c r="P69" s="460"/>
      <c r="Q69" s="460"/>
      <c r="R69" s="460"/>
      <c r="S69" s="460"/>
      <c r="U69" s="48"/>
      <c r="V69" s="294"/>
      <c r="W69" s="294"/>
      <c r="X69" s="294"/>
      <c r="Y69" s="47"/>
      <c r="Z69" s="47"/>
      <c r="AA69" s="47"/>
      <c r="AB69" s="47"/>
      <c r="AC69" s="47"/>
    </row>
    <row r="70" spans="1:29" x14ac:dyDescent="0.25">
      <c r="A70" s="449"/>
      <c r="G70" s="251"/>
      <c r="H70" s="421"/>
      <c r="I70" s="251"/>
      <c r="J70" s="251"/>
      <c r="K70" s="251"/>
      <c r="M70" s="332"/>
      <c r="U70" s="48"/>
      <c r="V70" s="294"/>
      <c r="W70" s="294"/>
      <c r="X70" s="294"/>
      <c r="Y70" s="47"/>
      <c r="Z70" s="47"/>
      <c r="AA70" s="47"/>
      <c r="AB70" s="47"/>
      <c r="AC70" s="47"/>
    </row>
    <row r="71" spans="1:29" ht="13" x14ac:dyDescent="0.3">
      <c r="A71" s="457"/>
      <c r="G71" s="251"/>
      <c r="H71" s="251"/>
      <c r="I71" s="251"/>
      <c r="J71" s="251"/>
      <c r="K71" s="251"/>
      <c r="U71" s="48"/>
      <c r="V71" s="294"/>
      <c r="W71" s="294"/>
      <c r="X71" s="294"/>
      <c r="Y71" s="47"/>
      <c r="Z71" s="47"/>
      <c r="AA71" s="47"/>
      <c r="AB71" s="47"/>
      <c r="AC71" s="47"/>
    </row>
    <row r="72" spans="1:29" x14ac:dyDescent="0.25">
      <c r="G72" s="251"/>
      <c r="H72" s="251"/>
      <c r="I72" s="251"/>
      <c r="J72" s="251"/>
      <c r="K72" s="251"/>
      <c r="O72" s="47"/>
      <c r="P72" s="47"/>
      <c r="Q72" s="47"/>
      <c r="U72" s="48"/>
      <c r="V72" s="295"/>
      <c r="W72" s="295"/>
      <c r="X72" s="294"/>
      <c r="Y72" s="47"/>
      <c r="Z72" s="47"/>
      <c r="AA72" s="47"/>
      <c r="AB72" s="47"/>
      <c r="AC72" s="47"/>
    </row>
  </sheetData>
  <mergeCells count="2">
    <mergeCell ref="C7:C8"/>
    <mergeCell ref="O7:O8"/>
  </mergeCells>
  <phoneticPr fontId="0" type="noConversion"/>
  <printOptions horizontalCentered="1" verticalCentered="1"/>
  <pageMargins left="0.25" right="0.25" top="0.5" bottom="0.5" header="0" footer="0"/>
  <pageSetup scale="4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EECE5-96BC-4FB7-A8BB-C30A4838BD81}">
  <dimension ref="A1:AG426"/>
  <sheetViews>
    <sheetView topLeftCell="A52" zoomScale="145" zoomScaleNormal="145" workbookViewId="0">
      <selection activeCell="A66" sqref="A66"/>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ol min="6" max="6" width="8.4609375" style="251" customWidth="1"/>
    <col min="7" max="10" width="10.4609375" style="251" customWidth="1"/>
    <col min="11" max="13" width="10.4609375" style="251" hidden="1" customWidth="1"/>
    <col min="14"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21" width="11.69140625" style="251" hidden="1" customWidth="1"/>
    <col min="22" max="22" width="10.3046875" style="251" hidden="1" customWidth="1"/>
    <col min="23" max="23" width="9.53515625" style="251" hidden="1" customWidth="1"/>
    <col min="24" max="24" width="12.07421875" style="251" hidden="1" customWidth="1"/>
    <col min="25" max="33" width="0" style="251" hidden="1" customWidth="1"/>
    <col min="34" max="16384" width="8.84375" style="251"/>
  </cols>
  <sheetData>
    <row r="1" spans="1:33" x14ac:dyDescent="0.25">
      <c r="A1" s="251" t="s">
        <v>50</v>
      </c>
      <c r="C1" s="1"/>
      <c r="D1" s="1"/>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
        <v>314</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
        <v>291</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H6" s="464"/>
      <c r="P6" s="467"/>
    </row>
    <row r="7" spans="1:33" ht="21.75" customHeight="1" x14ac:dyDescent="0.25">
      <c r="A7" s="141" t="s">
        <v>25</v>
      </c>
      <c r="B7" s="142"/>
      <c r="C7" s="920" t="s">
        <v>33</v>
      </c>
      <c r="D7" s="43" t="s">
        <v>57</v>
      </c>
      <c r="E7" s="44"/>
      <c r="F7" s="143" t="s">
        <v>103</v>
      </c>
      <c r="G7" s="144"/>
      <c r="H7" s="254"/>
      <c r="I7" s="143" t="s">
        <v>37</v>
      </c>
      <c r="J7" s="254"/>
      <c r="K7" s="143" t="s">
        <v>40</v>
      </c>
      <c r="L7" s="144"/>
      <c r="M7" s="144"/>
      <c r="N7" s="254"/>
      <c r="O7" s="920" t="s">
        <v>93</v>
      </c>
      <c r="P7" s="143" t="s">
        <v>49</v>
      </c>
      <c r="Q7" s="144"/>
      <c r="R7" s="144"/>
      <c r="S7" s="144"/>
      <c r="T7" s="254"/>
      <c r="U7" s="479" t="s">
        <v>301</v>
      </c>
      <c r="V7" s="480"/>
      <c r="W7" s="480"/>
      <c r="X7" s="480"/>
      <c r="Y7" s="480"/>
      <c r="Z7" s="481"/>
      <c r="AA7" s="482" t="s">
        <v>302</v>
      </c>
      <c r="AB7" s="145"/>
      <c r="AC7" s="145"/>
      <c r="AD7" s="145"/>
      <c r="AE7" s="145"/>
      <c r="AF7" s="111"/>
      <c r="AG7" s="29" t="s">
        <v>62</v>
      </c>
    </row>
    <row r="8" spans="1:33" ht="14.25" customHeight="1" x14ac:dyDescent="0.25">
      <c r="A8" s="9" t="s">
        <v>26</v>
      </c>
      <c r="B8" s="10"/>
      <c r="C8" s="921"/>
      <c r="D8" s="263" t="s">
        <v>19</v>
      </c>
      <c r="E8" s="262" t="s">
        <v>58</v>
      </c>
      <c r="F8" s="263" t="s">
        <v>27</v>
      </c>
      <c r="G8" s="264" t="s">
        <v>34</v>
      </c>
      <c r="H8" s="253" t="s">
        <v>35</v>
      </c>
      <c r="I8" s="253" t="s">
        <v>34</v>
      </c>
      <c r="J8" s="264" t="s">
        <v>35</v>
      </c>
      <c r="K8" s="264" t="s">
        <v>38</v>
      </c>
      <c r="L8" s="264" t="s">
        <v>39</v>
      </c>
      <c r="M8" s="264" t="s">
        <v>41</v>
      </c>
      <c r="N8" s="264" t="s">
        <v>2</v>
      </c>
      <c r="O8" s="921"/>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5" t="s">
        <v>28</v>
      </c>
      <c r="B10" s="17" t="s">
        <v>13</v>
      </c>
      <c r="C10" s="469" t="s">
        <v>31</v>
      </c>
      <c r="D10" s="470" t="s">
        <v>30</v>
      </c>
      <c r="E10" s="469" t="s">
        <v>98</v>
      </c>
      <c r="F10" s="223" t="s">
        <v>36</v>
      </c>
      <c r="G10" s="458"/>
      <c r="H10" s="458"/>
      <c r="I10" s="417"/>
      <c r="J10" s="408"/>
      <c r="K10" s="409"/>
      <c r="L10" s="409"/>
      <c r="M10" s="409"/>
      <c r="N10" s="458">
        <f>Ene!N10+Feb!N10+Mar!N10+Abr!N10+May!N10+Jun!N10+Jul!N10+Ago!N10+Set!N10+Oct!N10+Nov!N10+Dic!N10</f>
        <v>1024.46</v>
      </c>
      <c r="O10" s="458">
        <f>Ene!O10+Feb!O10+Mar!O10+Abr!O10+May!O10+Jun!O10+Jul!O10+Ago!O10+Set!O10+Oct!O10+Nov!O10+Dic!O10</f>
        <v>11732332.019999998</v>
      </c>
      <c r="P10" s="458">
        <f>Ene!P10+Feb!P10+Mar!P10+Abr!P10+May!P10+Jun!P10+Jul!P10+Ago!P10+Set!P10+Oct!P10+Nov!P10+Dic!P10</f>
        <v>2199812.2599999998</v>
      </c>
      <c r="Q10" s="458">
        <f>Ene!Q10+Feb!Q10+Mar!Q10+Abr!Q10+May!Q10+Jun!Q10+Jul!Q10+Ago!Q10+Set!Q10+Oct!Q10+Nov!Q10+Dic!Q10</f>
        <v>1759849.78</v>
      </c>
      <c r="R10" s="563">
        <v>0.15</v>
      </c>
      <c r="S10" s="458">
        <f>Ene!S10+Feb!S10+Mar!S10+Abr!S10+May!S10+Jun!S10+Jul!S10+Ago!S10+Set!S10+Oct!S10+Nov!S10+Dic!S10</f>
        <v>439962.47000000003</v>
      </c>
      <c r="T10" s="564">
        <v>3.7499999999999999E-2</v>
      </c>
      <c r="U10" s="46">
        <v>14309</v>
      </c>
      <c r="V10" s="46">
        <v>1141119.6600000001</v>
      </c>
      <c r="W10" s="55">
        <v>461.6</v>
      </c>
      <c r="X10" s="56">
        <v>79.748400000000004</v>
      </c>
      <c r="Y10" s="56">
        <v>14.9528</v>
      </c>
      <c r="Z10" s="46">
        <v>213959.94</v>
      </c>
      <c r="AA10" s="46" t="s">
        <v>305</v>
      </c>
      <c r="AB10" s="46" t="s">
        <v>305</v>
      </c>
      <c r="AC10" s="55" t="s">
        <v>305</v>
      </c>
      <c r="AD10" s="56" t="s">
        <v>305</v>
      </c>
      <c r="AE10" s="56" t="s">
        <v>305</v>
      </c>
      <c r="AF10" s="46" t="s">
        <v>305</v>
      </c>
      <c r="AG10" s="36"/>
    </row>
    <row r="11" spans="1:33" ht="12.75" customHeight="1" x14ac:dyDescent="0.25">
      <c r="A11" s="405" t="s">
        <v>28</v>
      </c>
      <c r="B11" s="17" t="s">
        <v>14</v>
      </c>
      <c r="C11" s="469" t="s">
        <v>31</v>
      </c>
      <c r="D11" s="470" t="s">
        <v>30</v>
      </c>
      <c r="E11" s="469" t="s">
        <v>98</v>
      </c>
      <c r="F11" s="223" t="s">
        <v>55</v>
      </c>
      <c r="G11" s="458"/>
      <c r="H11" s="458"/>
      <c r="I11" s="417"/>
      <c r="J11" s="417"/>
      <c r="K11" s="409"/>
      <c r="L11" s="409"/>
      <c r="M11" s="409"/>
      <c r="N11" s="458">
        <f>Ene!N11+Feb!N11+Mar!N11+Abr!N11+May!N11+Jun!N11+Jul!N11+Ago!N11+Set!N11+Oct!N11+Nov!N11+Dic!N11</f>
        <v>8641.86</v>
      </c>
      <c r="O11" s="458">
        <f>Ene!O11+Feb!O11+Mar!O11+Abr!O11+May!O11+Jun!O11+Jul!O11+Ago!O11+Set!O11+Oct!O11+Nov!O11+Dic!O11</f>
        <v>3698099.76</v>
      </c>
      <c r="P11" s="458">
        <f>Ene!P11+Feb!P11+Mar!P11+Abr!P11+May!P11+Jun!P11+Jul!P11+Ago!P11+Set!P11+Oct!P11+Nov!P11+Dic!P11</f>
        <v>693393.72000000009</v>
      </c>
      <c r="Q11" s="458">
        <f>Ene!Q11+Feb!Q11+Mar!Q11+Abr!Q11+May!Q11+Jun!Q11+Jul!Q11+Ago!Q11+Set!Q11+Oct!Q11+Nov!Q11+Dic!Q11</f>
        <v>554714.97</v>
      </c>
      <c r="R11" s="563">
        <v>0.15</v>
      </c>
      <c r="S11" s="458">
        <f>Ene!S11+Feb!S11+Mar!S11+Abr!S11+May!S11+Jun!S11+Jul!S11+Ago!S11+Set!S11+Oct!S11+Nov!S11+Dic!S11</f>
        <v>138678.75</v>
      </c>
      <c r="T11" s="564">
        <v>3.7499999999999999E-2</v>
      </c>
      <c r="U11" s="32" t="s">
        <v>305</v>
      </c>
      <c r="V11" s="32" t="s">
        <v>305</v>
      </c>
      <c r="W11" s="57" t="s">
        <v>305</v>
      </c>
      <c r="X11" s="58" t="s">
        <v>305</v>
      </c>
      <c r="Y11" s="58" t="s">
        <v>305</v>
      </c>
      <c r="Z11" s="32" t="s">
        <v>305</v>
      </c>
      <c r="AA11" s="32">
        <v>96250.679399999994</v>
      </c>
      <c r="AB11" s="32">
        <v>384748.00999999995</v>
      </c>
      <c r="AC11" s="57">
        <v>3104.9</v>
      </c>
      <c r="AD11" s="58">
        <v>3.9973999999999998</v>
      </c>
      <c r="AE11" s="58">
        <v>0.74950000000000006</v>
      </c>
      <c r="AF11" s="32">
        <v>72140.25</v>
      </c>
      <c r="AG11" s="37"/>
    </row>
    <row r="12" spans="1:33" x14ac:dyDescent="0.25">
      <c r="A12" s="405" t="s">
        <v>28</v>
      </c>
      <c r="B12" s="17" t="s">
        <v>3</v>
      </c>
      <c r="C12" s="469" t="s">
        <v>31</v>
      </c>
      <c r="D12" s="470" t="s">
        <v>30</v>
      </c>
      <c r="E12" s="469" t="s">
        <v>98</v>
      </c>
      <c r="F12" s="223" t="s">
        <v>36</v>
      </c>
      <c r="G12" s="458"/>
      <c r="H12" s="458"/>
      <c r="I12" s="408"/>
      <c r="J12" s="408"/>
      <c r="K12" s="409"/>
      <c r="L12" s="409"/>
      <c r="M12" s="409"/>
      <c r="N12" s="458">
        <f>Ene!N12+Feb!N12+Mar!N12+Abr!N12+May!N12+Jun!N12+Jul!N12+Ago!N12+Set!N12+Oct!N12+Nov!N12+Dic!N12</f>
        <v>7447.7000000000007</v>
      </c>
      <c r="O12" s="458">
        <f>Ene!O12+Feb!O12+Mar!O12+Abr!O12+May!O12+Jun!O12+Jul!O12+Ago!O12+Set!O12+Oct!O12+Nov!O12+Dic!O12</f>
        <v>6949298.0899999989</v>
      </c>
      <c r="P12" s="458">
        <f>Ene!P12+Feb!P12+Mar!P12+Abr!P12+May!P12+Jun!P12+Jul!P12+Ago!P12+Set!P12+Oct!P12+Nov!P12+Dic!P12</f>
        <v>1302993.4000000001</v>
      </c>
      <c r="Q12" s="458">
        <f>Ene!Q12+Feb!Q12+Mar!Q12+Abr!Q12+May!Q12+Jun!Q12+Jul!Q12+Ago!Q12+Set!Q12+Oct!Q12+Nov!Q12+Dic!Q12</f>
        <v>1042394.7</v>
      </c>
      <c r="R12" s="563">
        <v>0.15</v>
      </c>
      <c r="S12" s="458">
        <f>Ene!S12+Feb!S12+Mar!S12+Abr!S12+May!S12+Jun!S12+Jul!S12+Ago!S12+Set!S12+Oct!S12+Nov!S12+Dic!S12</f>
        <v>260598.69</v>
      </c>
      <c r="T12" s="564">
        <v>3.7499999999999999E-2</v>
      </c>
      <c r="U12" s="32">
        <v>15725</v>
      </c>
      <c r="V12" s="32">
        <v>1252613.6400000001</v>
      </c>
      <c r="W12" s="57">
        <v>507.3</v>
      </c>
      <c r="X12" s="58">
        <v>79.657499999999999</v>
      </c>
      <c r="Y12" s="58">
        <v>14.9358</v>
      </c>
      <c r="Z12" s="32">
        <v>234865.06</v>
      </c>
      <c r="AA12" s="32" t="s">
        <v>305</v>
      </c>
      <c r="AB12" s="32" t="s">
        <v>305</v>
      </c>
      <c r="AC12" s="57" t="s">
        <v>305</v>
      </c>
      <c r="AD12" s="58" t="s">
        <v>305</v>
      </c>
      <c r="AE12" s="58" t="s">
        <v>305</v>
      </c>
      <c r="AF12" s="32" t="s">
        <v>305</v>
      </c>
      <c r="AG12" s="37"/>
    </row>
    <row r="13" spans="1:33" x14ac:dyDescent="0.25">
      <c r="A13" s="411" t="s">
        <v>28</v>
      </c>
      <c r="B13" s="412" t="s">
        <v>172</v>
      </c>
      <c r="C13" s="469" t="s">
        <v>31</v>
      </c>
      <c r="D13" s="470" t="s">
        <v>30</v>
      </c>
      <c r="E13" s="469" t="s">
        <v>98</v>
      </c>
      <c r="F13" s="223" t="s">
        <v>55</v>
      </c>
      <c r="G13" s="458"/>
      <c r="H13" s="458"/>
      <c r="I13" s="408"/>
      <c r="J13" s="417"/>
      <c r="K13" s="409"/>
      <c r="L13" s="409"/>
      <c r="M13" s="409"/>
      <c r="N13" s="458">
        <f>Ene!N13+Feb!N13+Mar!N13+Abr!N13+May!N13+Jun!N13+Jul!N13+Ago!N13+Set!N13+Oct!N13+Nov!N13+Dic!N13</f>
        <v>11495.72</v>
      </c>
      <c r="O13" s="458">
        <f>Ene!O13+Feb!O13+Mar!O13+Abr!O13+May!O13+Jun!O13+Jul!O13+Ago!O13+Set!O13+Oct!O13+Nov!O13+Dic!O13</f>
        <v>1312822.44</v>
      </c>
      <c r="P13" s="458">
        <f>Ene!P13+Feb!P13+Mar!P13+Abr!P13+May!P13+Jun!P13+Jul!P13+Ago!P13+Set!P13+Oct!P13+Nov!P13+Dic!P13</f>
        <v>246154.2</v>
      </c>
      <c r="Q13" s="458">
        <f>Ene!Q13+Feb!Q13+Mar!Q13+Abr!Q13+May!Q13+Jun!Q13+Jul!Q13+Ago!Q13+Set!Q13+Oct!Q13+Nov!Q13+Dic!Q13</f>
        <v>196923.38</v>
      </c>
      <c r="R13" s="563">
        <v>0.15</v>
      </c>
      <c r="S13" s="458">
        <f>Ene!S13+Feb!S13+Mar!S13+Abr!S13+May!S13+Jun!S13+Jul!S13+Ago!S13+Set!S13+Oct!S13+Nov!S13+Dic!S13</f>
        <v>49230.850000000006</v>
      </c>
      <c r="T13" s="564">
        <v>3.7499999999999999E-2</v>
      </c>
      <c r="U13" s="32" t="s">
        <v>305</v>
      </c>
      <c r="V13" s="32" t="s">
        <v>305</v>
      </c>
      <c r="W13" s="57" t="s">
        <v>305</v>
      </c>
      <c r="X13" s="58" t="s">
        <v>305</v>
      </c>
      <c r="Y13" s="58" t="s">
        <v>305</v>
      </c>
      <c r="Z13" s="32" t="s">
        <v>305</v>
      </c>
      <c r="AA13" s="32">
        <v>33705.967099999994</v>
      </c>
      <c r="AB13" s="32">
        <v>93978.63</v>
      </c>
      <c r="AC13" s="57">
        <v>1087.3</v>
      </c>
      <c r="AD13" s="58">
        <v>2.7881999999999998</v>
      </c>
      <c r="AE13" s="58">
        <v>0.52280000000000004</v>
      </c>
      <c r="AF13" s="32">
        <v>17620.990000000002</v>
      </c>
      <c r="AG13" s="37"/>
    </row>
    <row r="14" spans="1:33" s="474" customFormat="1" x14ac:dyDescent="0.25">
      <c r="A14" s="468" t="s">
        <v>28</v>
      </c>
      <c r="B14" s="403" t="s">
        <v>4</v>
      </c>
      <c r="C14" s="469" t="s">
        <v>31</v>
      </c>
      <c r="D14" s="470" t="s">
        <v>30</v>
      </c>
      <c r="E14" s="469" t="s">
        <v>98</v>
      </c>
      <c r="F14" s="471" t="s">
        <v>36</v>
      </c>
      <c r="G14" s="475"/>
      <c r="H14" s="475"/>
      <c r="I14" s="459"/>
      <c r="J14" s="459"/>
      <c r="K14" s="444"/>
      <c r="L14" s="444"/>
      <c r="M14" s="444"/>
      <c r="N14" s="458">
        <f>Ene!N14+Feb!N14+Mar!N14+Abr!N14+May!N14+Jun!N14+Jul!N14+Ago!N14+Set!N14+Oct!N14+Nov!N14+Dic!N14</f>
        <v>13091.8</v>
      </c>
      <c r="O14" s="458">
        <f>Ene!O14+Feb!O14+Mar!O14+Abr!O14+May!O14+Jun!O14+Jul!O14+Ago!O14+Set!O14+Oct!O14+Nov!O14+Dic!O14</f>
        <v>50446504.299999997</v>
      </c>
      <c r="P14" s="458">
        <f>Ene!P14+Feb!P14+Mar!P14+Abr!P14+May!P14+Jun!P14+Jul!P14+Ago!P14+Set!P14+Oct!P14+Nov!P14+Dic!P14</f>
        <v>9458719.5700000003</v>
      </c>
      <c r="Q14" s="458">
        <f>Ene!Q14+Feb!Q14+Mar!Q14+Abr!Q14+May!Q14+Jun!Q14+Jul!Q14+Ago!Q14+Set!Q14+Oct!Q14+Nov!Q14+Dic!Q14</f>
        <v>7566975.6400000006</v>
      </c>
      <c r="R14" s="563">
        <v>0.15</v>
      </c>
      <c r="S14" s="458">
        <f>Ene!S14+Feb!S14+Mar!S14+Abr!S14+May!S14+Jun!S14+Jul!S14+Ago!S14+Set!S14+Oct!S14+Nov!S14+Dic!S14</f>
        <v>1891743.92</v>
      </c>
      <c r="T14" s="565">
        <v>3.7499999999999999E-2</v>
      </c>
      <c r="U14" s="483">
        <v>23259</v>
      </c>
      <c r="V14" s="483">
        <v>1808615.97</v>
      </c>
      <c r="W14" s="484">
        <v>750.3</v>
      </c>
      <c r="X14" s="485">
        <v>77.759799999999998</v>
      </c>
      <c r="Y14" s="485">
        <v>14.58</v>
      </c>
      <c r="Z14" s="483">
        <v>339115.49</v>
      </c>
      <c r="AA14" s="483" t="s">
        <v>305</v>
      </c>
      <c r="AB14" s="483" t="s">
        <v>305</v>
      </c>
      <c r="AC14" s="484" t="s">
        <v>305</v>
      </c>
      <c r="AD14" s="485" t="s">
        <v>305</v>
      </c>
      <c r="AE14" s="485" t="s">
        <v>305</v>
      </c>
      <c r="AF14" s="483" t="s">
        <v>305</v>
      </c>
      <c r="AG14" s="486"/>
    </row>
    <row r="15" spans="1:33" s="493" customFormat="1" ht="12.75" customHeight="1" x14ac:dyDescent="0.3">
      <c r="A15" s="487" t="s">
        <v>28</v>
      </c>
      <c r="B15" s="17" t="s">
        <v>300</v>
      </c>
      <c r="C15" s="469" t="s">
        <v>31</v>
      </c>
      <c r="D15" s="470" t="s">
        <v>30</v>
      </c>
      <c r="E15" s="469" t="s">
        <v>98</v>
      </c>
      <c r="F15" s="223" t="s">
        <v>55</v>
      </c>
      <c r="G15" s="458"/>
      <c r="H15" s="475"/>
      <c r="I15" s="462"/>
      <c r="J15" s="459"/>
      <c r="K15" s="461"/>
      <c r="L15" s="461"/>
      <c r="M15" s="461"/>
      <c r="N15" s="458">
        <f>Ene!N15+Feb!N15+Mar!N15+Abr!N15+May!N15+Jun!N15+Jul!N15+Ago!N15+Set!N15+Oct!N15+Nov!N15+Dic!N15</f>
        <v>564.42999999999995</v>
      </c>
      <c r="O15" s="458">
        <f>Ene!O15+Feb!O15+Mar!O15+Abr!O15+May!O15+Jun!O15+Jul!O15+Ago!O15+Set!O15+Oct!O15+Nov!O15+Dic!O15</f>
        <v>3876140.0199999996</v>
      </c>
      <c r="P15" s="458">
        <f>Ene!P15+Feb!P15+Mar!P15+Abr!P15+May!P15+Jun!P15+Jul!P15+Ago!P15+Set!P15+Oct!P15+Nov!P15+Dic!P15</f>
        <v>726776.25999999989</v>
      </c>
      <c r="Q15" s="458">
        <f>Ene!Q15+Feb!Q15+Mar!Q15+Abr!Q15+May!Q15+Jun!Q15+Jul!Q15+Ago!Q15+Set!Q15+Oct!Q15+Nov!Q15+Dic!Q15</f>
        <v>581421.00999999989</v>
      </c>
      <c r="R15" s="563">
        <v>0.15</v>
      </c>
      <c r="S15" s="458">
        <f>Ene!S15+Feb!S15+Mar!S15+Abr!S15+May!S15+Jun!S15+Jul!S15+Ago!S15+Set!S15+Oct!S15+Nov!S15+Dic!S15</f>
        <v>145355.24</v>
      </c>
      <c r="T15" s="565">
        <v>3.7499999999999999E-2</v>
      </c>
      <c r="U15" s="489" t="s">
        <v>305</v>
      </c>
      <c r="V15" s="489" t="s">
        <v>305</v>
      </c>
      <c r="W15" s="490" t="s">
        <v>305</v>
      </c>
      <c r="X15" s="491" t="s">
        <v>305</v>
      </c>
      <c r="Y15" s="491" t="s">
        <v>305</v>
      </c>
      <c r="Z15" s="489" t="s">
        <v>305</v>
      </c>
      <c r="AA15" s="489">
        <v>9889.6661000000004</v>
      </c>
      <c r="AB15" s="489">
        <v>31730.42</v>
      </c>
      <c r="AC15" s="490">
        <v>319</v>
      </c>
      <c r="AD15" s="491">
        <v>3.2084000000000001</v>
      </c>
      <c r="AE15" s="491">
        <v>0.60160000000000002</v>
      </c>
      <c r="AF15" s="489">
        <v>5949.45</v>
      </c>
      <c r="AG15" s="492"/>
    </row>
    <row r="16" spans="1:33" s="474" customFormat="1" x14ac:dyDescent="0.25">
      <c r="A16" s="468" t="s">
        <v>28</v>
      </c>
      <c r="B16" s="403" t="s">
        <v>5</v>
      </c>
      <c r="C16" s="469" t="s">
        <v>31</v>
      </c>
      <c r="D16" s="470" t="s">
        <v>30</v>
      </c>
      <c r="E16" s="469" t="s">
        <v>98</v>
      </c>
      <c r="F16" s="471" t="s">
        <v>36</v>
      </c>
      <c r="G16" s="475"/>
      <c r="H16" s="475"/>
      <c r="I16" s="459"/>
      <c r="J16" s="459"/>
      <c r="K16" s="444"/>
      <c r="L16" s="444"/>
      <c r="M16" s="444"/>
      <c r="N16" s="458">
        <f>Ene!N16+Feb!N16+Mar!N16+Abr!N16+May!N16+Jun!N16+Jul!N16+Ago!N16+Set!N16+Oct!N16+Nov!N16+Dic!N16</f>
        <v>22411</v>
      </c>
      <c r="O16" s="458">
        <f>Ene!O16+Feb!O16+Mar!O16+Abr!O16+May!O16+Jun!O16+Jul!O16+Ago!O16+Set!O16+Oct!O16+Nov!O16+Dic!O16</f>
        <v>77183877.479999989</v>
      </c>
      <c r="P16" s="458">
        <f>Ene!P16+Feb!P16+Mar!P16+Abr!P16+May!P16+Jun!P16+Jul!P16+Ago!P16+Set!P16+Oct!P16+Nov!P16+Dic!P16</f>
        <v>14471977.030000001</v>
      </c>
      <c r="Q16" s="458">
        <f>Ene!Q16+Feb!Q16+Mar!Q16+Abr!Q16+May!Q16+Jun!Q16+Jul!Q16+Ago!Q16+Set!Q16+Oct!Q16+Nov!Q16+Dic!Q16</f>
        <v>11577581.630000001</v>
      </c>
      <c r="R16" s="563">
        <v>0.15</v>
      </c>
      <c r="S16" s="458">
        <f>Ene!S16+Feb!S16+Mar!S16+Abr!S16+May!S16+Jun!S16+Jul!S16+Ago!S16+Set!S16+Oct!S16+Nov!S16+Dic!S16</f>
        <v>2894395.41</v>
      </c>
      <c r="T16" s="565">
        <v>3.7499999999999999E-2</v>
      </c>
      <c r="U16" s="483">
        <v>32708</v>
      </c>
      <c r="V16" s="483">
        <v>2542958.1</v>
      </c>
      <c r="W16" s="484">
        <v>1055.0999999999999</v>
      </c>
      <c r="X16" s="485">
        <v>77.747299999999996</v>
      </c>
      <c r="Y16" s="485">
        <v>14.5776</v>
      </c>
      <c r="Z16" s="483">
        <v>476804.64</v>
      </c>
      <c r="AA16" s="483" t="s">
        <v>305</v>
      </c>
      <c r="AB16" s="483" t="s">
        <v>305</v>
      </c>
      <c r="AC16" s="484" t="s">
        <v>305</v>
      </c>
      <c r="AD16" s="485" t="s">
        <v>305</v>
      </c>
      <c r="AE16" s="485" t="s">
        <v>305</v>
      </c>
      <c r="AF16" s="483" t="s">
        <v>305</v>
      </c>
      <c r="AG16" s="486"/>
    </row>
    <row r="17" spans="1:33" s="493" customFormat="1" ht="12.65" customHeight="1" x14ac:dyDescent="0.3">
      <c r="A17" s="487" t="s">
        <v>28</v>
      </c>
      <c r="B17" s="17" t="s">
        <v>282</v>
      </c>
      <c r="C17" s="469" t="s">
        <v>31</v>
      </c>
      <c r="D17" s="470" t="s">
        <v>30</v>
      </c>
      <c r="E17" s="469" t="s">
        <v>98</v>
      </c>
      <c r="F17" s="223" t="s">
        <v>55</v>
      </c>
      <c r="G17" s="458"/>
      <c r="H17" s="475"/>
      <c r="I17" s="462"/>
      <c r="J17" s="459"/>
      <c r="K17" s="461"/>
      <c r="L17" s="461"/>
      <c r="M17" s="461"/>
      <c r="N17" s="458">
        <f>Ene!N17+Feb!N17+Mar!N17+Abr!N17+May!N17+Jun!N17+Jul!N17+Ago!N17+Set!N17+Oct!N17+Nov!N17+Dic!N17</f>
        <v>7497.9700000000012</v>
      </c>
      <c r="O17" s="458">
        <f>Ene!O17+Feb!O17+Mar!O17+Abr!O17+May!O17+Jun!O17+Jul!O17+Ago!O17+Set!O17+Oct!O17+Nov!O17+Dic!O17</f>
        <v>8158563.870000001</v>
      </c>
      <c r="P17" s="458">
        <f>Ene!P17+Feb!P17+Mar!P17+Abr!P17+May!P17+Jun!P17+Jul!P17+Ago!P17+Set!P17+Oct!P17+Nov!P17+Dic!P17</f>
        <v>1529730.75</v>
      </c>
      <c r="Q17" s="458">
        <f>Ene!Q17+Feb!Q17+Mar!Q17+Abr!Q17+May!Q17+Jun!Q17+Jul!Q17+Ago!Q17+Set!Q17+Oct!Q17+Nov!Q17+Dic!Q17</f>
        <v>1223784.58</v>
      </c>
      <c r="R17" s="563">
        <v>0.15</v>
      </c>
      <c r="S17" s="458">
        <f>Ene!S17+Feb!S17+Mar!S17+Abr!S17+May!S17+Jun!S17+Jul!S17+Ago!S17+Set!S17+Oct!S17+Nov!S17+Dic!S17</f>
        <v>305946.15000000002</v>
      </c>
      <c r="T17" s="565">
        <v>3.7499999999999999E-2</v>
      </c>
      <c r="U17" s="489" t="s">
        <v>305</v>
      </c>
      <c r="V17" s="489" t="s">
        <v>305</v>
      </c>
      <c r="W17" s="490" t="s">
        <v>305</v>
      </c>
      <c r="X17" s="491" t="s">
        <v>305</v>
      </c>
      <c r="Y17" s="491" t="s">
        <v>305</v>
      </c>
      <c r="Z17" s="489" t="s">
        <v>305</v>
      </c>
      <c r="AA17" s="489">
        <v>77486.746799999994</v>
      </c>
      <c r="AB17" s="489">
        <v>294675.73</v>
      </c>
      <c r="AC17" s="490">
        <v>2499.6</v>
      </c>
      <c r="AD17" s="491">
        <v>3.8029000000000002</v>
      </c>
      <c r="AE17" s="491">
        <v>0.71299999999999997</v>
      </c>
      <c r="AF17" s="489">
        <v>55251.7</v>
      </c>
      <c r="AG17" s="492"/>
    </row>
    <row r="18" spans="1:33" x14ac:dyDescent="0.25">
      <c r="A18" s="405" t="s">
        <v>28</v>
      </c>
      <c r="B18" s="17" t="s">
        <v>17</v>
      </c>
      <c r="C18" s="469" t="s">
        <v>31</v>
      </c>
      <c r="D18" s="470" t="s">
        <v>30</v>
      </c>
      <c r="E18" s="469" t="s">
        <v>98</v>
      </c>
      <c r="F18" s="223" t="s">
        <v>36</v>
      </c>
      <c r="G18" s="458"/>
      <c r="H18" s="458"/>
      <c r="I18" s="417"/>
      <c r="J18" s="408"/>
      <c r="K18" s="409"/>
      <c r="L18" s="409"/>
      <c r="M18" s="409"/>
      <c r="N18" s="458">
        <f>Ene!N18+Feb!N18+Mar!N18+Abr!N18+May!N18+Jun!N18+Jul!N18+Ago!N18+Set!N18+Oct!N18+Nov!N18+Dic!N18</f>
        <v>5382.3099999999995</v>
      </c>
      <c r="O18" s="458">
        <f>Ene!O18+Feb!O18+Mar!O18+Abr!O18+May!O18+Jun!O18+Jul!O18+Ago!O18+Set!O18+Oct!O18+Nov!O18+Dic!O18</f>
        <v>4507401.2699999996</v>
      </c>
      <c r="P18" s="458">
        <f>Ene!P18+Feb!P18+Mar!P18+Abr!P18+May!P18+Jun!P18+Jul!P18+Ago!P18+Set!P18+Oct!P18+Nov!P18+Dic!P18</f>
        <v>845137.73999999987</v>
      </c>
      <c r="Q18" s="458">
        <f>Ene!Q18+Feb!Q18+Mar!Q18+Abr!Q18+May!Q18+Jun!Q18+Jul!Q18+Ago!Q18+Set!Q18+Oct!Q18+Nov!Q18+Dic!Q18</f>
        <v>676110.2</v>
      </c>
      <c r="R18" s="563">
        <v>0.15</v>
      </c>
      <c r="S18" s="458">
        <f>Ene!S18+Feb!S18+Mar!S18+Abr!S18+May!S18+Jun!S18+Jul!S18+Ago!S18+Set!S18+Oct!S18+Nov!S18+Dic!S18</f>
        <v>169027.53999999998</v>
      </c>
      <c r="T18" s="564">
        <v>3.7499999999999999E-2</v>
      </c>
      <c r="U18" s="32">
        <v>2173</v>
      </c>
      <c r="V18" s="32">
        <v>172404.58</v>
      </c>
      <c r="W18" s="57">
        <v>70.099999999999994</v>
      </c>
      <c r="X18" s="58">
        <v>79.339399999999998</v>
      </c>
      <c r="Y18" s="58">
        <v>14.876099999999999</v>
      </c>
      <c r="Z18" s="32">
        <v>32325.86</v>
      </c>
      <c r="AA18" s="32" t="s">
        <v>305</v>
      </c>
      <c r="AB18" s="32" t="s">
        <v>305</v>
      </c>
      <c r="AC18" s="57" t="s">
        <v>305</v>
      </c>
      <c r="AD18" s="58" t="s">
        <v>305</v>
      </c>
      <c r="AE18" s="58" t="s">
        <v>305</v>
      </c>
      <c r="AF18" s="32" t="s">
        <v>305</v>
      </c>
      <c r="AG18" s="37"/>
    </row>
    <row r="19" spans="1:33" x14ac:dyDescent="0.25">
      <c r="A19" s="468" t="s">
        <v>28</v>
      </c>
      <c r="B19" s="403" t="s">
        <v>303</v>
      </c>
      <c r="C19" s="469" t="s">
        <v>31</v>
      </c>
      <c r="D19" s="470" t="s">
        <v>30</v>
      </c>
      <c r="E19" s="469" t="s">
        <v>98</v>
      </c>
      <c r="F19" s="223" t="s">
        <v>36</v>
      </c>
      <c r="G19" s="458"/>
      <c r="H19" s="458"/>
      <c r="I19" s="417"/>
      <c r="J19" s="417"/>
      <c r="K19" s="409"/>
      <c r="L19" s="409"/>
      <c r="M19" s="409"/>
      <c r="N19" s="458">
        <f>Ene!N19+Feb!N19+Mar!N19+Abr!N19+May!N19+Jun!N19+Jul!N19+Ago!N19+Set!N19+Oct!N19+Nov!N19+Dic!N19</f>
        <v>5452.77</v>
      </c>
      <c r="O19" s="458">
        <f>Ene!O19+Feb!O19+Mar!O19+Abr!O19+May!O19+Jun!O19+Jul!O19+Ago!O19+Set!O19+Oct!O19+Nov!O19+Dic!O19</f>
        <v>32057882.18</v>
      </c>
      <c r="P19" s="458">
        <f>Ene!P19+Feb!P19+Mar!P19+Abr!P19+May!P19+Jun!P19+Jul!P19+Ago!P19+Set!P19+Oct!P19+Nov!P19+Dic!P19</f>
        <v>6010852.9100000001</v>
      </c>
      <c r="Q19" s="458">
        <f>Ene!Q19+Feb!Q19+Mar!Q19+Abr!Q19+May!Q19+Jun!Q19+Jul!Q19+Ago!Q19+Set!Q19+Oct!Q19+Nov!Q19+Dic!Q19</f>
        <v>4808682.3299999991</v>
      </c>
      <c r="R19" s="563">
        <v>0.15</v>
      </c>
      <c r="S19" s="458">
        <f>Ene!S19+Feb!S19+Mar!S19+Abr!S19+May!S19+Jun!S19+Jul!S19+Ago!S19+Set!S19+Oct!S19+Nov!S19+Dic!S19</f>
        <v>1202170.5899999999</v>
      </c>
      <c r="T19" s="564">
        <v>3.7499999999999999E-2</v>
      </c>
      <c r="U19" s="32">
        <v>60577</v>
      </c>
      <c r="V19" s="32">
        <v>4816176.55</v>
      </c>
      <c r="W19" s="57">
        <v>1954.1</v>
      </c>
      <c r="X19" s="58">
        <v>79.504999999999995</v>
      </c>
      <c r="Y19" s="58">
        <v>14.9072</v>
      </c>
      <c r="Z19" s="32">
        <v>903033.1</v>
      </c>
      <c r="AA19" s="32" t="s">
        <v>305</v>
      </c>
      <c r="AB19" s="32" t="s">
        <v>305</v>
      </c>
      <c r="AC19" s="57" t="s">
        <v>305</v>
      </c>
      <c r="AD19" s="58" t="s">
        <v>305</v>
      </c>
      <c r="AE19" s="58" t="s">
        <v>305</v>
      </c>
      <c r="AF19" s="32" t="s">
        <v>305</v>
      </c>
      <c r="AG19" s="37"/>
    </row>
    <row r="20" spans="1:33" x14ac:dyDescent="0.25">
      <c r="A20" s="468" t="s">
        <v>28</v>
      </c>
      <c r="B20" s="403" t="s">
        <v>294</v>
      </c>
      <c r="C20" s="469" t="s">
        <v>31</v>
      </c>
      <c r="D20" s="470" t="s">
        <v>30</v>
      </c>
      <c r="E20" s="469" t="s">
        <v>98</v>
      </c>
      <c r="F20" s="223" t="s">
        <v>55</v>
      </c>
      <c r="G20" s="458"/>
      <c r="H20" s="458"/>
      <c r="I20" s="417"/>
      <c r="J20" s="417"/>
      <c r="K20" s="409"/>
      <c r="L20" s="409"/>
      <c r="M20" s="409"/>
      <c r="N20" s="458">
        <f>Ene!N20+Feb!N20+Mar!N20+Abr!N20+May!N20+Jun!N20+Jul!N20+Ago!N20+Set!N20+Oct!N20+Nov!N20+Dic!N20</f>
        <v>2346.36</v>
      </c>
      <c r="O20" s="458">
        <f>Ene!O20+Feb!O20+Mar!O20+Abr!O20+May!O20+Jun!O20+Jul!O20+Ago!O20+Set!O20+Oct!O20+Nov!O20+Dic!O20</f>
        <v>3895203.65</v>
      </c>
      <c r="P20" s="458">
        <f>Ene!P20+Feb!P20+Mar!P20+Abr!P20+May!P20+Jun!P20+Jul!P20+Ago!P20+Set!P20+Oct!P20+Nov!P20+Dic!P20</f>
        <v>730350.66999999993</v>
      </c>
      <c r="Q20" s="458">
        <f>Ene!Q20+Feb!Q20+Mar!Q20+Abr!Q20+May!Q20+Jun!Q20+Jul!Q20+Ago!Q20+Set!Q20+Oct!Q20+Nov!Q20+Dic!Q20</f>
        <v>584280.54999999993</v>
      </c>
      <c r="R20" s="563">
        <v>0.15</v>
      </c>
      <c r="S20" s="458">
        <f>Ene!S20+Feb!S20+Mar!S20+Abr!S20+May!S20+Jun!S20+Jul!S20+Ago!S20+Set!S20+Oct!S20+Nov!S20+Dic!S20</f>
        <v>146070.12999999998</v>
      </c>
      <c r="T20" s="564">
        <v>3.7499999999999999E-2</v>
      </c>
      <c r="U20" s="32" t="s">
        <v>305</v>
      </c>
      <c r="V20" s="32" t="s">
        <v>305</v>
      </c>
      <c r="W20" s="57" t="s">
        <v>305</v>
      </c>
      <c r="X20" s="58" t="s">
        <v>305</v>
      </c>
      <c r="Y20" s="58" t="s">
        <v>305</v>
      </c>
      <c r="Z20" s="32" t="s">
        <v>305</v>
      </c>
      <c r="AA20" s="32">
        <v>118010.96119999999</v>
      </c>
      <c r="AB20" s="32">
        <v>471796.41</v>
      </c>
      <c r="AC20" s="57">
        <v>3806.8</v>
      </c>
      <c r="AD20" s="58">
        <v>3.9979</v>
      </c>
      <c r="AE20" s="58">
        <v>0.74960000000000004</v>
      </c>
      <c r="AF20" s="32">
        <v>88461.83</v>
      </c>
      <c r="AG20" s="37"/>
    </row>
    <row r="21" spans="1:33" x14ac:dyDescent="0.25">
      <c r="A21" s="468" t="s">
        <v>28</v>
      </c>
      <c r="B21" s="403" t="s">
        <v>304</v>
      </c>
      <c r="C21" s="469" t="s">
        <v>31</v>
      </c>
      <c r="D21" s="470" t="s">
        <v>30</v>
      </c>
      <c r="E21" s="469" t="s">
        <v>98</v>
      </c>
      <c r="F21" s="223" t="s">
        <v>36</v>
      </c>
      <c r="G21" s="458"/>
      <c r="H21" s="458"/>
      <c r="I21" s="417"/>
      <c r="J21" s="408"/>
      <c r="K21" s="409"/>
      <c r="L21" s="409"/>
      <c r="M21" s="409"/>
      <c r="N21" s="458">
        <f>Ene!N21+Feb!N21+Mar!N21+Abr!N21+May!N21+Jun!N21+Jul!N21+Ago!N21+Set!N21+Oct!N21+Nov!N21+Dic!N21</f>
        <v>3201.66</v>
      </c>
      <c r="O21" s="458">
        <f>Ene!O21+Feb!O21+Mar!O21+Abr!O21+May!O21+Jun!O21+Jul!O21+Ago!O21+Set!O21+Oct!O21+Nov!O21+Dic!O21</f>
        <v>25888895.399999995</v>
      </c>
      <c r="P21" s="458">
        <f>Ene!P21+Feb!P21+Mar!P21+Abr!P21+May!P21+Jun!P21+Jul!P21+Ago!P21+Set!P21+Oct!P21+Nov!P21+Dic!P21</f>
        <v>4854167.8999999994</v>
      </c>
      <c r="Q21" s="458">
        <f>Ene!Q21+Feb!Q21+Mar!Q21+Abr!Q21+May!Q21+Jun!Q21+Jul!Q21+Ago!Q21+Set!Q21+Oct!Q21+Nov!Q21+Dic!Q21</f>
        <v>3883334.31</v>
      </c>
      <c r="R21" s="563">
        <v>0.15</v>
      </c>
      <c r="S21" s="458">
        <f>Ene!S21+Feb!S21+Mar!S21+Abr!S21+May!S21+Jun!S21+Jul!S21+Ago!S21+Set!S21+Oct!S21+Nov!S21+Dic!S21</f>
        <v>970833.58000000007</v>
      </c>
      <c r="T21" s="564">
        <v>3.7499999999999999E-2</v>
      </c>
      <c r="U21" s="32">
        <v>27190</v>
      </c>
      <c r="V21" s="32">
        <v>2136254.77</v>
      </c>
      <c r="W21" s="57">
        <v>877.1</v>
      </c>
      <c r="X21" s="58">
        <v>78.567700000000002</v>
      </c>
      <c r="Y21" s="58">
        <v>14.731400000000001</v>
      </c>
      <c r="Z21" s="32">
        <v>400547.77</v>
      </c>
      <c r="AA21" s="32" t="s">
        <v>305</v>
      </c>
      <c r="AB21" s="32" t="s">
        <v>305</v>
      </c>
      <c r="AC21" s="57" t="s">
        <v>305</v>
      </c>
      <c r="AD21" s="58" t="s">
        <v>305</v>
      </c>
      <c r="AE21" s="58" t="s">
        <v>305</v>
      </c>
      <c r="AF21" s="32" t="s">
        <v>305</v>
      </c>
      <c r="AG21" s="37"/>
    </row>
    <row r="22" spans="1:33" x14ac:dyDescent="0.25">
      <c r="A22" s="405" t="s">
        <v>28</v>
      </c>
      <c r="B22" s="17" t="s">
        <v>18</v>
      </c>
      <c r="C22" s="469" t="s">
        <v>31</v>
      </c>
      <c r="D22" s="470" t="s">
        <v>30</v>
      </c>
      <c r="E22" s="469" t="s">
        <v>98</v>
      </c>
      <c r="F22" s="223" t="s">
        <v>36</v>
      </c>
      <c r="G22" s="458"/>
      <c r="H22" s="458"/>
      <c r="I22" s="417"/>
      <c r="J22" s="417"/>
      <c r="K22" s="409"/>
      <c r="L22" s="409"/>
      <c r="M22" s="409"/>
      <c r="N22" s="458">
        <f>Ene!N22+Feb!N22+Mar!N22+Abr!N22+May!N22+Jun!N22+Jul!N22+Ago!N22+Set!N22+Oct!N22+Nov!N22+Dic!N22</f>
        <v>3445.3099999999995</v>
      </c>
      <c r="O22" s="458">
        <f>Ene!O22+Feb!O22+Mar!O22+Abr!O22+May!O22+Jun!O22+Jul!O22+Ago!O22+Set!O22+Oct!O22+Nov!O22+Dic!O22</f>
        <v>4168991.3900000006</v>
      </c>
      <c r="P22" s="458">
        <f>Ene!P22+Feb!P22+Mar!P22+Abr!P22+May!P22+Jun!P22+Jul!P22+Ago!P22+Set!P22+Oct!P22+Nov!P22+Dic!P22</f>
        <v>781685.8899999999</v>
      </c>
      <c r="Q22" s="458">
        <f>Ene!Q22+Feb!Q22+Mar!Q22+Abr!Q22+May!Q22+Jun!Q22+Jul!Q22+Ago!Q22+Set!Q22+Oct!Q22+Nov!Q22+Dic!Q22</f>
        <v>625348.68999999994</v>
      </c>
      <c r="R22" s="563">
        <v>0.15</v>
      </c>
      <c r="S22" s="458">
        <f>Ene!S22+Feb!S22+Mar!S22+Abr!S22+May!S22+Jun!S22+Jul!S22+Ago!S22+Set!S22+Oct!S22+Nov!S22+Dic!S22</f>
        <v>156337.18</v>
      </c>
      <c r="T22" s="564">
        <v>3.7499999999999999E-2</v>
      </c>
      <c r="U22" s="32">
        <v>4867</v>
      </c>
      <c r="V22" s="32">
        <v>386853.20999999996</v>
      </c>
      <c r="W22" s="57">
        <v>157</v>
      </c>
      <c r="X22" s="58">
        <v>79.484899999999996</v>
      </c>
      <c r="Y22" s="58">
        <v>14.9034</v>
      </c>
      <c r="Z22" s="32">
        <v>72534.98</v>
      </c>
      <c r="AA22" s="32" t="s">
        <v>305</v>
      </c>
      <c r="AB22" s="32" t="s">
        <v>305</v>
      </c>
      <c r="AC22" s="57" t="s">
        <v>305</v>
      </c>
      <c r="AD22" s="58" t="s">
        <v>305</v>
      </c>
      <c r="AE22" s="58" t="s">
        <v>305</v>
      </c>
      <c r="AF22" s="32" t="s">
        <v>305</v>
      </c>
      <c r="AG22" s="37"/>
    </row>
    <row r="23" spans="1:33" x14ac:dyDescent="0.25">
      <c r="A23" s="405" t="s">
        <v>28</v>
      </c>
      <c r="B23" s="17" t="s">
        <v>20</v>
      </c>
      <c r="C23" s="469" t="s">
        <v>31</v>
      </c>
      <c r="D23" s="470" t="s">
        <v>30</v>
      </c>
      <c r="E23" s="469" t="s">
        <v>98</v>
      </c>
      <c r="F23" s="223" t="s">
        <v>36</v>
      </c>
      <c r="G23" s="458"/>
      <c r="H23" s="458"/>
      <c r="I23" s="417"/>
      <c r="J23" s="417"/>
      <c r="K23" s="409"/>
      <c r="L23" s="409"/>
      <c r="M23" s="409"/>
      <c r="N23" s="458">
        <f>Ene!N23+Feb!N23+Mar!N23+Abr!N23+May!N23+Jun!N23+Jul!N23+Ago!N23+Set!N23+Oct!N23+Nov!N23+Dic!N23</f>
        <v>14964.589999999998</v>
      </c>
      <c r="O23" s="458">
        <f>Ene!O23+Feb!O23+Mar!O23+Abr!O23+May!O23+Jun!O23+Jul!O23+Ago!O23+Set!O23+Oct!O23+Nov!O23+Dic!O23</f>
        <v>202005921.11000001</v>
      </c>
      <c r="P23" s="458">
        <f>Ene!P23+Feb!P23+Mar!P23+Abr!P23+May!P23+Jun!P23+Jul!P23+Ago!P23+Set!P23+Oct!P23+Nov!P23+Dic!P23</f>
        <v>37876110.219999999</v>
      </c>
      <c r="Q23" s="458">
        <f>Ene!Q23+Feb!Q23+Mar!Q23+Abr!Q23+May!Q23+Jun!Q23+Jul!Q23+Ago!Q23+Set!Q23+Oct!Q23+Nov!Q23+Dic!Q23</f>
        <v>30300888.170000002</v>
      </c>
      <c r="R23" s="563">
        <v>0.15</v>
      </c>
      <c r="S23" s="458">
        <f>Ene!S23+Feb!S23+Mar!S23+Abr!S23+May!S23+Jun!S23+Jul!S23+Ago!S23+Set!S23+Oct!S23+Nov!S23+Dic!S23</f>
        <v>7575222.040000001</v>
      </c>
      <c r="T23" s="564">
        <v>3.7499999999999999E-2</v>
      </c>
      <c r="U23" s="32">
        <v>274555</v>
      </c>
      <c r="V23" s="32">
        <v>21780855.359999999</v>
      </c>
      <c r="W23" s="57">
        <v>8856.6</v>
      </c>
      <c r="X23" s="58">
        <v>79.331500000000005</v>
      </c>
      <c r="Y23" s="58">
        <v>14.874700000000001</v>
      </c>
      <c r="Z23" s="32">
        <v>4083910.38</v>
      </c>
      <c r="AA23" s="32" t="s">
        <v>305</v>
      </c>
      <c r="AB23" s="32" t="s">
        <v>305</v>
      </c>
      <c r="AC23" s="57" t="s">
        <v>305</v>
      </c>
      <c r="AD23" s="58" t="s">
        <v>305</v>
      </c>
      <c r="AE23" s="58" t="s">
        <v>305</v>
      </c>
      <c r="AF23" s="32" t="s">
        <v>305</v>
      </c>
      <c r="AG23" s="37"/>
    </row>
    <row r="24" spans="1:33" x14ac:dyDescent="0.25">
      <c r="A24" s="405" t="s">
        <v>28</v>
      </c>
      <c r="B24" s="17" t="s">
        <v>8</v>
      </c>
      <c r="C24" s="469" t="s">
        <v>31</v>
      </c>
      <c r="D24" s="470" t="s">
        <v>30</v>
      </c>
      <c r="E24" s="469" t="s">
        <v>98</v>
      </c>
      <c r="F24" s="223" t="s">
        <v>55</v>
      </c>
      <c r="G24" s="458"/>
      <c r="H24" s="458"/>
      <c r="I24" s="494"/>
      <c r="J24" s="494"/>
      <c r="K24" s="409"/>
      <c r="L24" s="409"/>
      <c r="M24" s="409"/>
      <c r="N24" s="458">
        <f>Ene!N24+Feb!N24+Mar!N24+Abr!N24+May!N24+Jun!N24+Jul!N24+Ago!N24+Set!N24+Oct!N24+Nov!N24+Dic!N24</f>
        <v>11249.869999999999</v>
      </c>
      <c r="O24" s="458">
        <f>Ene!O24+Feb!O24+Mar!O24+Abr!O24+May!O24+Jun!O24+Jul!O24+Ago!O24+Set!O24+Oct!O24+Nov!O24+Dic!O24</f>
        <v>14416937.709999999</v>
      </c>
      <c r="P24" s="458">
        <f>Ene!P24+Feb!P24+Mar!P24+Abr!P24+May!P24+Jun!P24+Jul!P24+Ago!P24+Set!P24+Oct!P24+Nov!P24+Dic!P24</f>
        <v>2703175.8200000003</v>
      </c>
      <c r="Q24" s="458">
        <f>Ene!Q24+Feb!Q24+Mar!Q24+Abr!Q24+May!Q24+Jun!Q24+Jul!Q24+Ago!Q24+Set!Q24+Oct!Q24+Nov!Q24+Dic!Q24</f>
        <v>2162540.65</v>
      </c>
      <c r="R24" s="563">
        <v>0.15</v>
      </c>
      <c r="S24" s="458">
        <f>Ene!S24+Feb!S24+Mar!S24+Abr!S24+May!S24+Jun!S24+Jul!S24+Ago!S24+Set!S24+Oct!S24+Nov!S24+Dic!S24</f>
        <v>540635.16</v>
      </c>
      <c r="T24" s="564">
        <v>3.7499999999999999E-2</v>
      </c>
      <c r="U24" s="32" t="s">
        <v>305</v>
      </c>
      <c r="V24" s="32" t="s">
        <v>305</v>
      </c>
      <c r="W24" s="57" t="s">
        <v>305</v>
      </c>
      <c r="X24" s="58" t="s">
        <v>305</v>
      </c>
      <c r="Y24" s="58" t="s">
        <v>305</v>
      </c>
      <c r="Z24" s="32" t="s">
        <v>305</v>
      </c>
      <c r="AA24" s="32">
        <v>446315.69999999995</v>
      </c>
      <c r="AB24" s="32">
        <v>1149484.1599999999</v>
      </c>
      <c r="AC24" s="57">
        <v>14397.3</v>
      </c>
      <c r="AD24" s="58">
        <v>2.5754999999999999</v>
      </c>
      <c r="AE24" s="58">
        <v>0.4829</v>
      </c>
      <c r="AF24" s="32">
        <v>215528.28</v>
      </c>
      <c r="AG24" s="37"/>
    </row>
    <row r="25" spans="1:33" x14ac:dyDescent="0.25">
      <c r="A25" s="405" t="s">
        <v>28</v>
      </c>
      <c r="B25" s="17" t="s">
        <v>9</v>
      </c>
      <c r="C25" s="469" t="s">
        <v>31</v>
      </c>
      <c r="D25" s="470" t="s">
        <v>30</v>
      </c>
      <c r="E25" s="469" t="s">
        <v>98</v>
      </c>
      <c r="F25" s="223" t="s">
        <v>36</v>
      </c>
      <c r="G25" s="458"/>
      <c r="H25" s="458"/>
      <c r="I25" s="417"/>
      <c r="J25" s="417"/>
      <c r="K25" s="409"/>
      <c r="L25" s="409"/>
      <c r="M25" s="409"/>
      <c r="N25" s="458">
        <f>Ene!N25+Feb!N25+Mar!N25+Abr!N25+May!N25+Jun!N25+Jul!N25+Ago!N25+Set!N25+Oct!N25+Nov!N25+Dic!N25</f>
        <v>2662.54</v>
      </c>
      <c r="O25" s="458">
        <f>Ene!O25+Feb!O25+Mar!O25+Abr!O25+May!O25+Jun!O25+Jul!O25+Ago!O25+Set!O25+Oct!O25+Nov!O25+Dic!O25</f>
        <v>313534.01999999996</v>
      </c>
      <c r="P25" s="458">
        <f>Ene!P25+Feb!P25+Mar!P25+Abr!P25+May!P25+Jun!P25+Jul!P25+Ago!P25+Set!P25+Oct!P25+Nov!P25+Dic!P25</f>
        <v>58787.63</v>
      </c>
      <c r="Q25" s="458">
        <f>Ene!Q25+Feb!Q25+Mar!Q25+Abr!Q25+May!Q25+Jun!Q25+Jul!Q25+Ago!Q25+Set!Q25+Oct!Q25+Nov!Q25+Dic!Q25</f>
        <v>47030.11</v>
      </c>
      <c r="R25" s="563">
        <v>0.15</v>
      </c>
      <c r="S25" s="458">
        <f>Ene!S25+Feb!S25+Mar!S25+Abr!S25+May!S25+Jun!S25+Jul!S25+Ago!S25+Set!S25+Oct!S25+Nov!S25+Dic!S25</f>
        <v>11757.530000000002</v>
      </c>
      <c r="T25" s="564">
        <v>3.7499999999999999E-2</v>
      </c>
      <c r="U25" s="32">
        <v>725</v>
      </c>
      <c r="V25" s="32">
        <v>56985.469999999994</v>
      </c>
      <c r="W25" s="57">
        <v>23.4</v>
      </c>
      <c r="X25" s="58">
        <v>78.6006</v>
      </c>
      <c r="Y25" s="58">
        <v>14.7376</v>
      </c>
      <c r="Z25" s="32">
        <v>10684.78</v>
      </c>
      <c r="AA25" s="32" t="s">
        <v>305</v>
      </c>
      <c r="AB25" s="32" t="s">
        <v>305</v>
      </c>
      <c r="AC25" s="57" t="s">
        <v>305</v>
      </c>
      <c r="AD25" s="58" t="s">
        <v>305</v>
      </c>
      <c r="AE25" s="58" t="s">
        <v>305</v>
      </c>
      <c r="AF25" s="32" t="s">
        <v>305</v>
      </c>
      <c r="AG25" s="37"/>
    </row>
    <row r="26" spans="1:33" x14ac:dyDescent="0.25">
      <c r="A26" s="405" t="s">
        <v>28</v>
      </c>
      <c r="B26" s="17" t="s">
        <v>165</v>
      </c>
      <c r="C26" s="469" t="s">
        <v>31</v>
      </c>
      <c r="D26" s="470" t="s">
        <v>30</v>
      </c>
      <c r="E26" s="469" t="s">
        <v>98</v>
      </c>
      <c r="F26" s="223" t="s">
        <v>36</v>
      </c>
      <c r="G26" s="458"/>
      <c r="H26" s="458"/>
      <c r="I26" s="408"/>
      <c r="J26" s="417"/>
      <c r="K26" s="409"/>
      <c r="L26" s="409"/>
      <c r="M26" s="409"/>
      <c r="N26" s="458">
        <f>Ene!N26+Feb!N26+Mar!N26+Abr!N26+May!N26+Jun!N26+Jul!N26+Ago!N26+Set!N26+Oct!N26+Nov!N26+Dic!N26</f>
        <v>35592.020000000004</v>
      </c>
      <c r="O26" s="458">
        <f>Ene!O26+Feb!O26+Mar!O26+Abr!O26+May!O26+Jun!O26+Jul!O26+Ago!O26+Set!O26+Oct!O26+Nov!O26+Dic!O26</f>
        <v>21752022.099999998</v>
      </c>
      <c r="P26" s="458">
        <f>Ene!P26+Feb!P26+Mar!P26+Abr!P26+May!P26+Jun!P26+Jul!P26+Ago!P26+Set!P26+Oct!P26+Nov!P26+Dic!P26</f>
        <v>4078504.15</v>
      </c>
      <c r="Q26" s="458">
        <f>Ene!Q26+Feb!Q26+Mar!Q26+Abr!Q26+May!Q26+Jun!Q26+Jul!Q26+Ago!Q26+Set!Q26+Oct!Q26+Nov!Q26+Dic!Q26</f>
        <v>3262803.32</v>
      </c>
      <c r="R26" s="563">
        <v>0.15</v>
      </c>
      <c r="S26" s="458">
        <f>Ene!S26+Feb!S26+Mar!S26+Abr!S26+May!S26+Jun!S26+Jul!S26+Ago!S26+Set!S26+Oct!S26+Nov!S26+Dic!S26</f>
        <v>815700.80999999994</v>
      </c>
      <c r="T26" s="566">
        <v>3.7499999999999999E-2</v>
      </c>
      <c r="U26" s="32">
        <v>41459</v>
      </c>
      <c r="V26" s="32">
        <v>3250250.02</v>
      </c>
      <c r="W26" s="57">
        <v>1337.4</v>
      </c>
      <c r="X26" s="58">
        <v>78.396699999999996</v>
      </c>
      <c r="Y26" s="58">
        <v>14.699400000000001</v>
      </c>
      <c r="Z26" s="32">
        <v>609421.88</v>
      </c>
      <c r="AA26" s="32" t="s">
        <v>305</v>
      </c>
      <c r="AB26" s="32" t="s">
        <v>305</v>
      </c>
      <c r="AC26" s="57" t="s">
        <v>305</v>
      </c>
      <c r="AD26" s="58" t="s">
        <v>305</v>
      </c>
      <c r="AE26" s="58" t="s">
        <v>305</v>
      </c>
      <c r="AF26" s="32" t="s">
        <v>305</v>
      </c>
      <c r="AG26" s="37"/>
    </row>
    <row r="27" spans="1:33" x14ac:dyDescent="0.25">
      <c r="A27" s="405" t="s">
        <v>28</v>
      </c>
      <c r="B27" s="17" t="s">
        <v>299</v>
      </c>
      <c r="C27" s="469" t="s">
        <v>31</v>
      </c>
      <c r="D27" s="470" t="s">
        <v>30</v>
      </c>
      <c r="E27" s="469" t="s">
        <v>98</v>
      </c>
      <c r="F27" s="223" t="s">
        <v>55</v>
      </c>
      <c r="G27" s="458"/>
      <c r="H27" s="458"/>
      <c r="I27" s="417"/>
      <c r="J27" s="417"/>
      <c r="K27" s="409"/>
      <c r="L27" s="409"/>
      <c r="M27" s="409"/>
      <c r="N27" s="458">
        <f>Ene!N27+Feb!N27+Mar!N27+Abr!N27+May!N27+Jun!N27+Jul!N27+Ago!N27+Set!N27+Oct!N27+Nov!N27+Dic!N27</f>
        <v>20123.189999999999</v>
      </c>
      <c r="O27" s="458">
        <f>Ene!O27+Feb!O27+Mar!O27+Abr!O27+May!O27+Jun!O27+Jul!O27+Ago!O27+Set!O27+Oct!O27+Nov!O27+Dic!O27</f>
        <v>31034188.800000001</v>
      </c>
      <c r="P27" s="458">
        <f>Ene!P27+Feb!P27+Mar!P27+Abr!P27+May!P27+Jun!P27+Jul!P27+Ago!P27+Set!P27+Oct!P27+Nov!P27+Dic!P27</f>
        <v>5818910.3900000006</v>
      </c>
      <c r="Q27" s="458">
        <f>Ene!Q27+Feb!Q27+Mar!Q27+Abr!Q27+May!Q27+Jun!Q27+Jul!Q27+Ago!Q27+Set!Q27+Oct!Q27+Nov!Q27+Dic!Q27</f>
        <v>4655128.33</v>
      </c>
      <c r="R27" s="563">
        <v>0.15</v>
      </c>
      <c r="S27" s="458">
        <f>Ene!S27+Feb!S27+Mar!S27+Abr!S27+May!S27+Jun!S27+Jul!S27+Ago!S27+Set!S27+Oct!S27+Nov!S27+Dic!S27</f>
        <v>1163782.0799999998</v>
      </c>
      <c r="T27" s="566">
        <v>3.7499999999999999E-2</v>
      </c>
      <c r="U27" s="32" t="s">
        <v>305</v>
      </c>
      <c r="V27" s="32" t="s">
        <v>305</v>
      </c>
      <c r="W27" s="57" t="s">
        <v>305</v>
      </c>
      <c r="X27" s="58" t="s">
        <v>305</v>
      </c>
      <c r="Y27" s="58" t="s">
        <v>305</v>
      </c>
      <c r="Z27" s="32" t="s">
        <v>305</v>
      </c>
      <c r="AA27" s="32">
        <v>853677.89170000004</v>
      </c>
      <c r="AB27" s="32">
        <v>2391186.15</v>
      </c>
      <c r="AC27" s="57">
        <v>27538</v>
      </c>
      <c r="AD27" s="58">
        <v>2.8010000000000002</v>
      </c>
      <c r="AE27" s="58">
        <v>0.5252</v>
      </c>
      <c r="AF27" s="32">
        <v>448347.41000000003</v>
      </c>
      <c r="AG27" s="37"/>
    </row>
    <row r="28" spans="1:33" x14ac:dyDescent="0.25">
      <c r="A28" s="405" t="s">
        <v>28</v>
      </c>
      <c r="B28" s="17" t="s">
        <v>170</v>
      </c>
      <c r="C28" s="469" t="s">
        <v>31</v>
      </c>
      <c r="D28" s="470" t="s">
        <v>30</v>
      </c>
      <c r="E28" s="469" t="s">
        <v>98</v>
      </c>
      <c r="F28" s="223" t="s">
        <v>36</v>
      </c>
      <c r="G28" s="458"/>
      <c r="H28" s="458"/>
      <c r="I28" s="408"/>
      <c r="J28" s="417"/>
      <c r="K28" s="409"/>
      <c r="L28" s="409"/>
      <c r="M28" s="409"/>
      <c r="N28" s="458">
        <f>Ene!N28+Feb!N28+Mar!N28+Abr!N28+May!N28+Jun!N28+Jul!N28+Ago!N28+Set!N28+Oct!N28+Nov!N28+Dic!N28</f>
        <v>2214.21</v>
      </c>
      <c r="O28" s="458">
        <f>Ene!O28+Feb!O28+Mar!O28+Abr!O28+May!O28+Jun!O28+Jul!O28+Ago!O28+Set!O28+Oct!O28+Nov!O28+Dic!O28</f>
        <v>226350.19</v>
      </c>
      <c r="P28" s="458">
        <f>Ene!P28+Feb!P28+Mar!P28+Abr!P28+May!P28+Jun!P28+Jul!P28+Ago!P28+Set!P28+Oct!P28+Nov!P28+Dic!P28</f>
        <v>42440.670000000006</v>
      </c>
      <c r="Q28" s="458">
        <f>Ene!Q28+Feb!Q28+Mar!Q28+Abr!Q28+May!Q28+Jun!Q28+Jul!Q28+Ago!Q28+Set!Q28+Oct!Q28+Nov!Q28+Dic!Q28</f>
        <v>8488.1299999999992</v>
      </c>
      <c r="R28" s="563">
        <v>0.15</v>
      </c>
      <c r="S28" s="458">
        <f>Ene!S28+Feb!S28+Mar!S28+Abr!S28+May!S28+Jun!S28+Jul!S28+Ago!S28+Set!S28+Oct!S28+Nov!S28+Dic!S28</f>
        <v>33952.53</v>
      </c>
      <c r="T28" s="567">
        <v>3.7499999999999999E-2</v>
      </c>
      <c r="U28" s="32">
        <v>401</v>
      </c>
      <c r="V28" s="32">
        <v>31644.789999999997</v>
      </c>
      <c r="W28" s="57">
        <v>12.9</v>
      </c>
      <c r="X28" s="58">
        <v>78.914699999999996</v>
      </c>
      <c r="Y28" s="58">
        <v>14.7965</v>
      </c>
      <c r="Z28" s="32">
        <v>5933.4</v>
      </c>
      <c r="AA28" s="32" t="s">
        <v>305</v>
      </c>
      <c r="AB28" s="32" t="s">
        <v>305</v>
      </c>
      <c r="AC28" s="57" t="s">
        <v>305</v>
      </c>
      <c r="AD28" s="58" t="s">
        <v>305</v>
      </c>
      <c r="AE28" s="58" t="s">
        <v>305</v>
      </c>
      <c r="AF28" s="32" t="s">
        <v>305</v>
      </c>
      <c r="AG28" s="37"/>
    </row>
    <row r="29" spans="1:33" x14ac:dyDescent="0.25">
      <c r="A29" s="405" t="s">
        <v>28</v>
      </c>
      <c r="B29" s="414" t="s">
        <v>308</v>
      </c>
      <c r="C29" s="469" t="s">
        <v>31</v>
      </c>
      <c r="D29" s="470" t="s">
        <v>30</v>
      </c>
      <c r="E29" s="469" t="s">
        <v>98</v>
      </c>
      <c r="F29" s="223" t="s">
        <v>36</v>
      </c>
      <c r="G29" s="458"/>
      <c r="H29" s="458"/>
      <c r="I29" s="408"/>
      <c r="J29" s="417"/>
      <c r="K29" s="409"/>
      <c r="L29" s="409"/>
      <c r="M29" s="409"/>
      <c r="N29" s="458">
        <f>Ene!N29+Feb!N29+Mar!N29+Abr!N29+May!N29+Jun!N29+Jul!N29+Ago!N29+Set!N29+Oct!N29+Nov!N29+Dic!N29</f>
        <v>11207.140000000001</v>
      </c>
      <c r="O29" s="458">
        <f>Ene!O29+Feb!O29+Mar!O29+Abr!O29+May!O29+Jun!O29+Jul!O29+Ago!O29+Set!O29+Oct!O29+Nov!O29+Dic!O29</f>
        <v>15917192.329999998</v>
      </c>
      <c r="P29" s="458">
        <f>Ene!P29+Feb!P29+Mar!P29+Abr!P29+May!P29+Jun!P29+Jul!P29+Ago!P29+Set!P29+Oct!P29+Nov!P29+Dic!P29</f>
        <v>2984473.5699999994</v>
      </c>
      <c r="Q29" s="458">
        <f>Ene!Q29+Feb!Q29+Mar!Q29+Abr!Q29+May!Q29+Jun!Q29+Jul!Q29+Ago!Q29+Set!Q29+Oct!Q29+Nov!Q29+Dic!Q29</f>
        <v>596894.71999999997</v>
      </c>
      <c r="R29" s="563">
        <v>0.15</v>
      </c>
      <c r="S29" s="458">
        <f>Ene!S29+Feb!S29+Mar!S29+Abr!S29+May!S29+Jun!S29+Jul!S29+Ago!S29+Set!S29+Oct!S29+Nov!S29+Dic!S29</f>
        <v>2387578.85</v>
      </c>
      <c r="T29" s="567">
        <v>3.7499999999999999E-2</v>
      </c>
      <c r="U29" s="32"/>
      <c r="V29" s="32"/>
      <c r="W29" s="57"/>
      <c r="X29" s="58"/>
      <c r="Y29" s="58"/>
      <c r="Z29" s="32"/>
      <c r="AA29" s="32"/>
      <c r="AB29" s="32"/>
      <c r="AC29" s="57"/>
      <c r="AD29" s="58"/>
      <c r="AE29" s="58"/>
      <c r="AF29" s="32"/>
      <c r="AG29" s="37"/>
    </row>
    <row r="30" spans="1:33" x14ac:dyDescent="0.25">
      <c r="A30" s="413" t="s">
        <v>28</v>
      </c>
      <c r="B30" s="414" t="s">
        <v>296</v>
      </c>
      <c r="C30" s="469" t="s">
        <v>31</v>
      </c>
      <c r="D30" s="470" t="s">
        <v>30</v>
      </c>
      <c r="E30" s="469" t="s">
        <v>98</v>
      </c>
      <c r="F30" s="223" t="s">
        <v>36</v>
      </c>
      <c r="G30" s="458"/>
      <c r="H30" s="458"/>
      <c r="I30" s="408"/>
      <c r="J30" s="408"/>
      <c r="K30" s="407"/>
      <c r="L30" s="409"/>
      <c r="M30" s="409"/>
      <c r="N30" s="458">
        <f>Ene!N30+Feb!N30+Mar!N30+Abr!N30+May!N30+Jun!N30+Jul!N30+Ago!N30+Set!N30+Oct!N30+Nov!N30+Dic!N30</f>
        <v>12857.509999999998</v>
      </c>
      <c r="O30" s="458">
        <f>Ene!O30+Feb!O30+Mar!O30+Abr!O30+May!O30+Jun!O30+Jul!O30+Ago!O30+Set!O30+Oct!O30+Nov!O30+Dic!O30</f>
        <v>82175503.620000005</v>
      </c>
      <c r="P30" s="458">
        <f>Ene!P30+Feb!P30+Mar!P30+Abr!P30+May!P30+Jun!P30+Jul!P30+Ago!P30+Set!P30+Oct!P30+Nov!P30+Dic!P30</f>
        <v>15407906.939999999</v>
      </c>
      <c r="Q30" s="458">
        <f>Ene!Q30+Feb!Q30+Mar!Q30+Abr!Q30+May!Q30+Jun!Q30+Jul!Q30+Ago!Q30+Set!Q30+Oct!Q30+Nov!Q30+Dic!Q30</f>
        <v>12326325.549999999</v>
      </c>
      <c r="R30" s="563">
        <v>0.15</v>
      </c>
      <c r="S30" s="458">
        <f>Ene!S30+Feb!S30+Mar!S30+Abr!S30+May!S30+Jun!S30+Jul!S30+Ago!S30+Set!S30+Oct!S30+Nov!S30+Dic!S30</f>
        <v>3081583.76</v>
      </c>
      <c r="T30" s="566">
        <v>3.7499999999999999E-2</v>
      </c>
      <c r="U30" s="32"/>
      <c r="V30" s="32"/>
      <c r="W30" s="57"/>
      <c r="X30" s="58"/>
      <c r="Y30" s="58"/>
      <c r="Z30" s="32"/>
      <c r="AA30" s="32"/>
      <c r="AB30" s="32"/>
      <c r="AC30" s="57"/>
      <c r="AD30" s="58"/>
      <c r="AE30" s="58"/>
      <c r="AF30" s="32"/>
      <c r="AG30" s="37"/>
    </row>
    <row r="31" spans="1:33" x14ac:dyDescent="0.25">
      <c r="A31" s="413" t="s">
        <v>28</v>
      </c>
      <c r="B31" s="414" t="s">
        <v>297</v>
      </c>
      <c r="C31" s="469" t="s">
        <v>31</v>
      </c>
      <c r="D31" s="470" t="s">
        <v>30</v>
      </c>
      <c r="E31" s="469" t="s">
        <v>98</v>
      </c>
      <c r="F31" s="223" t="s">
        <v>55</v>
      </c>
      <c r="G31" s="458"/>
      <c r="H31" s="458"/>
      <c r="I31" s="408"/>
      <c r="J31" s="408"/>
      <c r="K31" s="407"/>
      <c r="L31" s="409"/>
      <c r="M31" s="409"/>
      <c r="N31" s="458">
        <f>Ene!N31+Feb!N31+Mar!N31+Abr!N31+May!N31+Jun!N31+Jul!N31+Ago!N31+Set!N31+Oct!N31+Nov!N31+Dic!N31</f>
        <v>8074.46</v>
      </c>
      <c r="O31" s="458">
        <f>Ene!O31+Feb!O31+Mar!O31+Abr!O31+May!O31+Jun!O31+Jul!O31+Ago!O31+Set!O31+Oct!O31+Nov!O31+Dic!O31</f>
        <v>8725068.0599999987</v>
      </c>
      <c r="P31" s="458">
        <f>Ene!P31+Feb!P31+Mar!P31+Abr!P31+May!P31+Jun!P31+Jul!P31+Ago!P31+Set!P31+Oct!P31+Nov!P31+Dic!P31</f>
        <v>1635950.27</v>
      </c>
      <c r="Q31" s="458">
        <f>Ene!Q31+Feb!Q31+Mar!Q31+Abr!Q31+May!Q31+Jun!Q31+Jul!Q31+Ago!Q31+Set!Q31+Oct!Q31+Nov!Q31+Dic!Q31</f>
        <v>1308760.2300000002</v>
      </c>
      <c r="R31" s="563">
        <v>0.15</v>
      </c>
      <c r="S31" s="458">
        <f>Ene!S31+Feb!S31+Mar!S31+Abr!S31+May!S31+Jun!S31+Jul!S31+Ago!S31+Set!S31+Oct!S31+Nov!S31+Dic!S31</f>
        <v>327190.07</v>
      </c>
      <c r="T31" s="566">
        <v>3.7499999999999999E-2</v>
      </c>
      <c r="U31" s="32"/>
      <c r="V31" s="32"/>
      <c r="W31" s="57"/>
      <c r="X31" s="58"/>
      <c r="Y31" s="58"/>
      <c r="Z31" s="32"/>
      <c r="AA31" s="32"/>
      <c r="AB31" s="32"/>
      <c r="AC31" s="57"/>
      <c r="AD31" s="58"/>
      <c r="AE31" s="58"/>
      <c r="AF31" s="32"/>
      <c r="AG31" s="37"/>
    </row>
    <row r="32" spans="1:33" x14ac:dyDescent="0.25">
      <c r="A32" s="413" t="s">
        <v>28</v>
      </c>
      <c r="B32" s="414" t="s">
        <v>298</v>
      </c>
      <c r="C32" s="469" t="s">
        <v>31</v>
      </c>
      <c r="D32" s="470" t="s">
        <v>30</v>
      </c>
      <c r="E32" s="469" t="s">
        <v>98</v>
      </c>
      <c r="F32" s="223" t="s">
        <v>36</v>
      </c>
      <c r="G32" s="458"/>
      <c r="H32" s="458"/>
      <c r="I32" s="408"/>
      <c r="J32" s="408"/>
      <c r="K32" s="407"/>
      <c r="L32" s="409"/>
      <c r="M32" s="409"/>
      <c r="N32" s="458">
        <f>Ene!N32+Feb!N32+Mar!N32+Abr!N32+May!N32+Jun!N32+Jul!N32+Ago!N32+Set!N32+Oct!N32+Nov!N32+Dic!N32</f>
        <v>6993.69</v>
      </c>
      <c r="O32" s="458">
        <f>Ene!O32+Feb!O32+Mar!O32+Abr!O32+May!O32+Jun!O32+Jul!O32+Ago!O32+Set!O32+Oct!O32+Nov!O32+Dic!O32</f>
        <v>9163405.8100000005</v>
      </c>
      <c r="P32" s="458">
        <f>Ene!P32+Feb!P32+Mar!P32+Abr!P32+May!P32+Jun!P32+Jul!P32+Ago!P32+Set!P32+Oct!P32+Nov!P32+Dic!P32</f>
        <v>1718138.5999999999</v>
      </c>
      <c r="Q32" s="458">
        <f>Ene!Q32+Feb!Q32+Mar!Q32+Abr!Q32+May!Q32+Jun!Q32+Jul!Q32+Ago!Q32+Set!Q32+Oct!Q32+Nov!Q32+Dic!Q32</f>
        <v>1374510.8699999996</v>
      </c>
      <c r="R32" s="563">
        <v>0.15</v>
      </c>
      <c r="S32" s="458">
        <f>Ene!S32+Feb!S32+Mar!S32+Abr!S32+May!S32+Jun!S32+Jul!S32+Ago!S32+Set!S32+Oct!S32+Nov!S32+Dic!S32</f>
        <v>343627.71999999991</v>
      </c>
      <c r="T32" s="566">
        <v>0.15</v>
      </c>
      <c r="U32" s="32"/>
      <c r="V32" s="32"/>
      <c r="W32" s="57"/>
      <c r="X32" s="58"/>
      <c r="Y32" s="58"/>
      <c r="Z32" s="32"/>
      <c r="AA32" s="32"/>
      <c r="AB32" s="32"/>
      <c r="AC32" s="57"/>
      <c r="AD32" s="58"/>
      <c r="AE32" s="58"/>
      <c r="AF32" s="32"/>
      <c r="AG32" s="37"/>
    </row>
    <row r="33" spans="1:33" x14ac:dyDescent="0.25">
      <c r="A33" s="413" t="s">
        <v>28</v>
      </c>
      <c r="B33" s="414" t="s">
        <v>51</v>
      </c>
      <c r="C33" s="415"/>
      <c r="D33" s="415"/>
      <c r="E33" s="416"/>
      <c r="F33" s="223"/>
      <c r="G33" s="409"/>
      <c r="H33" s="409"/>
      <c r="I33" s="417"/>
      <c r="J33" s="417"/>
      <c r="K33" s="409"/>
      <c r="L33" s="409"/>
      <c r="M33" s="409"/>
      <c r="N33" s="458">
        <f>Ene!N33+Feb!N33+Mar!N33+Abr!N33+May!N33+Jun!N33+Jul!N33+Ago!N33+Set!N33+Oct!N33+Nov!N33+Dic!N33</f>
        <v>0</v>
      </c>
      <c r="O33" s="458">
        <f>Ene!O33+Feb!O33+Mar!O33+Abr!O33+May!O33+Jun!O33+Jul!O33+Ago!O33+Set!O33+Oct!O33+Nov!O33+Dic!O33</f>
        <v>-6506383.8566666264</v>
      </c>
      <c r="P33" s="458">
        <f>Ene!P33+Feb!P33+Mar!P33+Abr!P33+May!P33+Jun!P33+Jul!P33+Ago!P33+Set!P33+Oct!P33+Nov!P33+Dic!P33</f>
        <v>-1219946.9499999997</v>
      </c>
      <c r="Q33" s="458">
        <f>Ene!Q33+Feb!Q33+Mar!Q33+Abr!Q33+May!Q33+Jun!Q33+Jul!Q33+Ago!Q33+Set!Q33+Oct!Q33+Nov!Q33+Dic!Q33</f>
        <v>-791816.00000000012</v>
      </c>
      <c r="R33" s="563">
        <v>0.15</v>
      </c>
      <c r="S33" s="458">
        <f>Ene!S33+Feb!S33+Mar!S33+Abr!S33+May!S33+Jun!S33+Jul!S33+Ago!S33+Set!S33+Oct!S33+Nov!S33+Dic!S33</f>
        <v>-428131.0500000001</v>
      </c>
      <c r="T33" s="566">
        <v>0.15</v>
      </c>
      <c r="U33" s="32" t="s">
        <v>305</v>
      </c>
      <c r="V33" s="32" t="s">
        <v>305</v>
      </c>
      <c r="W33" s="57" t="s">
        <v>305</v>
      </c>
      <c r="X33" s="58" t="s">
        <v>305</v>
      </c>
      <c r="Y33" s="58" t="s">
        <v>305</v>
      </c>
      <c r="Z33" s="32" t="s">
        <v>305</v>
      </c>
      <c r="AA33" s="32" t="s">
        <v>305</v>
      </c>
      <c r="AB33" s="32" t="s">
        <v>305</v>
      </c>
      <c r="AC33" s="57" t="s">
        <v>305</v>
      </c>
      <c r="AD33" s="58" t="s">
        <v>305</v>
      </c>
      <c r="AE33" s="58" t="s">
        <v>305</v>
      </c>
      <c r="AF33" s="32" t="s">
        <v>305</v>
      </c>
      <c r="AG33" s="37"/>
    </row>
    <row r="34" spans="1:33" x14ac:dyDescent="0.25">
      <c r="A34" s="24"/>
      <c r="B34" s="127" t="s">
        <v>105</v>
      </c>
      <c r="C34" s="25" t="s">
        <v>283</v>
      </c>
      <c r="D34" s="30"/>
      <c r="E34" s="31"/>
      <c r="F34" s="224"/>
      <c r="G34" s="418"/>
      <c r="H34" s="418"/>
      <c r="I34" s="419"/>
      <c r="J34" s="419"/>
      <c r="K34" s="418"/>
      <c r="L34" s="418"/>
      <c r="M34" s="418"/>
      <c r="N34" s="577">
        <f>SUM(N10:N33)</f>
        <v>217942.57</v>
      </c>
      <c r="O34" s="577">
        <f>SUM(O10:O33)</f>
        <v>613099751.7633332</v>
      </c>
      <c r="P34" s="577">
        <f>SUM(P10:P33)</f>
        <v>114956203.60999998</v>
      </c>
      <c r="Q34" s="577">
        <f>SUM(Q10:Q33)</f>
        <v>90332955.849999994</v>
      </c>
      <c r="R34" s="220"/>
      <c r="S34" s="577">
        <f>SUM(S10:S33)</f>
        <v>24623249.999999996</v>
      </c>
      <c r="T34" s="573"/>
      <c r="U34" s="59">
        <v>497948</v>
      </c>
      <c r="V34" s="59">
        <v>39376732.120000005</v>
      </c>
      <c r="W34" s="60">
        <v>16062.9</v>
      </c>
      <c r="X34" s="61">
        <v>79.078000000000003</v>
      </c>
      <c r="Y34" s="61">
        <v>14.8271</v>
      </c>
      <c r="Z34" s="59">
        <v>7383137.2800000003</v>
      </c>
      <c r="AA34" s="59">
        <v>1635337.6122999999</v>
      </c>
      <c r="AB34" s="59">
        <v>4817599.51</v>
      </c>
      <c r="AC34" s="60">
        <v>52752.899999999994</v>
      </c>
      <c r="AD34" s="61">
        <v>2.9459</v>
      </c>
      <c r="AE34" s="61">
        <v>0.5524</v>
      </c>
      <c r="AF34" s="59">
        <v>903299.91</v>
      </c>
      <c r="AG34" s="33">
        <v>2733305.8500000006</v>
      </c>
    </row>
    <row r="35" spans="1:33" x14ac:dyDescent="0.25">
      <c r="A35" s="102"/>
      <c r="B35" s="265"/>
      <c r="C35" s="25" t="s">
        <v>284</v>
      </c>
      <c r="D35" s="415"/>
      <c r="E35" s="415"/>
      <c r="F35" s="115"/>
      <c r="G35" s="421"/>
      <c r="H35" s="421"/>
      <c r="I35" s="422"/>
      <c r="J35" s="422"/>
      <c r="K35" s="421"/>
      <c r="L35" s="421"/>
      <c r="M35" s="421"/>
      <c r="N35" s="421"/>
      <c r="O35" s="574"/>
      <c r="P35" s="575">
        <f>Ene!P35+Feb!P35+Mar!P35+Abr!P35+May!P35+Jun!P35+Jul!P35+Ago!P35+Set!P35+Oct!P35+Nov!P35+Dic!P35</f>
        <v>387662812.31999999</v>
      </c>
      <c r="Q35" s="576">
        <f>Ene!Q35+Feb!Q35+Mar!Q35+Abr!Q35+May!Q35+Jun!Q35+Jul!Q35+Ago!Q35+Set!Q35+Oct!Q35+Nov!Q35+Dic!Q35</f>
        <v>304279317.25</v>
      </c>
      <c r="R35" s="562"/>
      <c r="S35" s="576">
        <f>Ene!S35+Feb!S35+Mar!S35+Abr!S35+May!S35+Jun!S35+Jul!S35+Ago!S35+Set!S35+Oct!S35+Nov!S35+Dic!S35</f>
        <v>83383503.13000001</v>
      </c>
      <c r="T35" s="568"/>
      <c r="U35" s="118"/>
      <c r="V35" s="118"/>
      <c r="W35" s="119"/>
      <c r="X35" s="120"/>
      <c r="Y35" s="120"/>
      <c r="Z35" s="118"/>
      <c r="AA35" s="118"/>
      <c r="AB35" s="118"/>
      <c r="AC35" s="119"/>
      <c r="AD35" s="120"/>
      <c r="AE35" s="120"/>
      <c r="AF35" s="118"/>
      <c r="AG35" s="118"/>
    </row>
    <row r="36" spans="1:33" ht="13" x14ac:dyDescent="0.3">
      <c r="A36" s="257" t="s">
        <v>22</v>
      </c>
      <c r="B36" s="11"/>
      <c r="C36" s="41"/>
      <c r="D36" s="41"/>
      <c r="E36" s="12"/>
      <c r="F36" s="27"/>
      <c r="G36" s="427"/>
      <c r="H36" s="427"/>
      <c r="I36" s="428"/>
      <c r="J36" s="428"/>
      <c r="K36" s="427"/>
      <c r="L36" s="427"/>
      <c r="M36" s="427"/>
      <c r="N36" s="427"/>
      <c r="O36" s="429"/>
      <c r="P36" s="427"/>
      <c r="Q36" s="211"/>
      <c r="R36" s="189"/>
      <c r="S36" s="430"/>
      <c r="T36" s="569"/>
      <c r="U36" s="36"/>
      <c r="V36" s="36"/>
      <c r="W36" s="62"/>
      <c r="X36" s="63"/>
      <c r="Y36" s="63"/>
      <c r="Z36" s="63"/>
      <c r="AA36" s="36"/>
      <c r="AB36" s="36"/>
      <c r="AC36" s="62"/>
      <c r="AD36" s="63"/>
      <c r="AE36" s="63"/>
      <c r="AF36" s="63"/>
      <c r="AG36" s="35"/>
    </row>
    <row r="37" spans="1:33" x14ac:dyDescent="0.25">
      <c r="A37" s="413" t="s">
        <v>28</v>
      </c>
      <c r="B37" s="22">
        <v>131</v>
      </c>
      <c r="C37" s="69" t="s">
        <v>31</v>
      </c>
      <c r="D37" s="406" t="s">
        <v>30</v>
      </c>
      <c r="E37" s="69" t="s">
        <v>98</v>
      </c>
      <c r="F37" s="190" t="s">
        <v>36</v>
      </c>
      <c r="G37" s="458"/>
      <c r="H37" s="458"/>
      <c r="I37" s="417"/>
      <c r="J37" s="408"/>
      <c r="K37" s="409"/>
      <c r="L37" s="409"/>
      <c r="M37" s="409"/>
      <c r="N37" s="458">
        <f>Ene!N37+Feb!N37+Mar!N37+Abr!N37+May!N37+Jun!N37+Jul!N37+Ago!N37+Set!N37+Oct!N37+Nov!N37+Dic!N37</f>
        <v>44188.38</v>
      </c>
      <c r="O37" s="458">
        <f>Ene!O37+Feb!O37+Mar!O37+Abr!O37+May!O37+Jun!O37+Jul!O37+Ago!O37+Set!O37+Oct!O37+Nov!O37+Dic!O37</f>
        <v>10497560.25</v>
      </c>
      <c r="P37" s="458">
        <f>Ene!P37+Feb!P37+Mar!P37+Abr!P37+May!P37+Jun!P37+Jul!P37+Ago!P37+Set!P37+Oct!P37+Nov!P37+Dic!P37</f>
        <v>1574634.0499999998</v>
      </c>
      <c r="Q37" s="458">
        <f>Ene!Q37+Feb!Q37+Mar!Q37+Abr!Q37+May!Q37+Jun!Q37+Jul!Q37+Ago!Q37+Set!Q37+Oct!Q37+Nov!Q37+Dic!Q37</f>
        <v>1574634.0499999998</v>
      </c>
      <c r="R37" s="199"/>
      <c r="S37" s="431"/>
      <c r="T37" s="567"/>
      <c r="U37" s="32">
        <v>31648</v>
      </c>
      <c r="V37" s="32">
        <v>2122334.21</v>
      </c>
      <c r="W37" s="57">
        <v>1020.9</v>
      </c>
      <c r="X37" s="58">
        <v>67.060599999999994</v>
      </c>
      <c r="Y37" s="58">
        <v>10.059100000000001</v>
      </c>
      <c r="Z37" s="32">
        <v>318350.13</v>
      </c>
      <c r="AA37" s="32" t="s">
        <v>305</v>
      </c>
      <c r="AB37" s="32" t="s">
        <v>305</v>
      </c>
      <c r="AC37" s="57" t="s">
        <v>305</v>
      </c>
      <c r="AD37" s="58" t="s">
        <v>305</v>
      </c>
      <c r="AE37" s="58" t="s">
        <v>305</v>
      </c>
      <c r="AF37" s="32" t="s">
        <v>305</v>
      </c>
      <c r="AG37" s="37"/>
    </row>
    <row r="38" spans="1:33" ht="13" x14ac:dyDescent="0.3">
      <c r="A38" s="413" t="s">
        <v>28</v>
      </c>
      <c r="B38" s="414" t="s">
        <v>52</v>
      </c>
      <c r="C38" s="415"/>
      <c r="D38" s="415"/>
      <c r="E38" s="365"/>
      <c r="F38" s="190"/>
      <c r="G38" s="409"/>
      <c r="H38" s="409"/>
      <c r="I38" s="417"/>
      <c r="J38" s="417"/>
      <c r="K38" s="409"/>
      <c r="L38" s="409"/>
      <c r="M38" s="409"/>
      <c r="N38" s="458">
        <f>Ene!N38+Feb!N38+Mar!N38+Abr!N38+May!N38+Jun!N38+Jul!N38+Ago!N38+Set!N38+Oct!N38+Nov!N38+Dic!N38</f>
        <v>0</v>
      </c>
      <c r="O38" s="458">
        <f>Ene!O38+Feb!O38+Mar!O38+Abr!O38+May!O38+Jun!O38+Jul!O38+Ago!O38+Set!O38+Oct!O38+Nov!O38+Dic!O38</f>
        <v>0</v>
      </c>
      <c r="P38" s="458">
        <f>Ene!P38+Feb!P38+Mar!P38+Abr!P38+May!P38+Jun!P38+Jul!P38+Ago!P38+Set!P38+Oct!P38+Nov!P38+Dic!P38</f>
        <v>0</v>
      </c>
      <c r="Q38" s="458">
        <f>Ene!Q38+Feb!Q38+Mar!Q38+Abr!Q38+May!Q38+Jun!Q38+Jul!Q38+Ago!Q38+Set!Q38+Oct!Q38+Nov!Q38+Dic!Q38</f>
        <v>0</v>
      </c>
      <c r="R38" s="202"/>
      <c r="S38" s="410"/>
      <c r="T38" s="567"/>
      <c r="U38" s="32" t="s">
        <v>305</v>
      </c>
      <c r="V38" s="32" t="s">
        <v>305</v>
      </c>
      <c r="W38" s="57" t="s">
        <v>305</v>
      </c>
      <c r="X38" s="58" t="s">
        <v>305</v>
      </c>
      <c r="Y38" s="58" t="s">
        <v>305</v>
      </c>
      <c r="Z38" s="32" t="s">
        <v>305</v>
      </c>
      <c r="AA38" s="32" t="s">
        <v>305</v>
      </c>
      <c r="AB38" s="32" t="s">
        <v>305</v>
      </c>
      <c r="AC38" s="57" t="s">
        <v>305</v>
      </c>
      <c r="AD38" s="58" t="s">
        <v>305</v>
      </c>
      <c r="AE38" s="58" t="s">
        <v>305</v>
      </c>
      <c r="AF38" s="32" t="s">
        <v>305</v>
      </c>
      <c r="AG38" s="37"/>
    </row>
    <row r="39" spans="1:33" x14ac:dyDescent="0.25">
      <c r="A39" s="24"/>
      <c r="B39" s="127" t="s">
        <v>105</v>
      </c>
      <c r="C39" s="25" t="s">
        <v>285</v>
      </c>
      <c r="D39" s="30"/>
      <c r="E39" s="31"/>
      <c r="F39" s="30"/>
      <c r="G39" s="418"/>
      <c r="H39" s="418"/>
      <c r="I39" s="419"/>
      <c r="J39" s="419"/>
      <c r="K39" s="418"/>
      <c r="L39" s="418"/>
      <c r="M39" s="418"/>
      <c r="N39" s="420">
        <f>SUM(N37:N38)</f>
        <v>44188.38</v>
      </c>
      <c r="O39" s="420">
        <f t="shared" ref="O39:Q39" si="0">SUM(O37:O38)</f>
        <v>10497560.25</v>
      </c>
      <c r="P39" s="420">
        <f t="shared" si="0"/>
        <v>1574634.0499999998</v>
      </c>
      <c r="Q39" s="420">
        <f t="shared" si="0"/>
        <v>1574634.0499999998</v>
      </c>
      <c r="R39" s="207"/>
      <c r="S39" s="420"/>
      <c r="T39" s="570"/>
      <c r="U39" s="33">
        <v>31648</v>
      </c>
      <c r="V39" s="33">
        <v>2122334.21</v>
      </c>
      <c r="W39" s="64">
        <v>1020.9</v>
      </c>
      <c r="X39" s="65">
        <v>67.060599999999994</v>
      </c>
      <c r="Y39" s="65">
        <v>10.059100000000001</v>
      </c>
      <c r="Z39" s="33">
        <v>318350.13</v>
      </c>
      <c r="AA39" s="33">
        <v>0</v>
      </c>
      <c r="AB39" s="33">
        <v>0</v>
      </c>
      <c r="AC39" s="64">
        <v>0</v>
      </c>
      <c r="AD39" s="65">
        <v>0</v>
      </c>
      <c r="AE39" s="65">
        <v>0</v>
      </c>
      <c r="AF39" s="33">
        <v>0</v>
      </c>
      <c r="AG39" s="59">
        <v>0</v>
      </c>
    </row>
    <row r="40" spans="1:33" x14ac:dyDescent="0.25">
      <c r="A40" s="102"/>
      <c r="B40" s="265"/>
      <c r="C40" s="25" t="s">
        <v>286</v>
      </c>
      <c r="D40" s="415"/>
      <c r="E40" s="415"/>
      <c r="F40" s="115"/>
      <c r="G40" s="421"/>
      <c r="H40" s="421"/>
      <c r="I40" s="422"/>
      <c r="J40" s="422"/>
      <c r="K40" s="421"/>
      <c r="L40" s="421"/>
      <c r="M40" s="421"/>
      <c r="N40" s="421"/>
      <c r="O40" s="423"/>
      <c r="P40" s="488">
        <f>Ene!P40+Feb!P40+Mar!P40+Abr!P40+May!P40+Jun!P40+Jul!P40+Ago!P40+Set!P40+Oct!P40+Nov!P40+Dic!P40</f>
        <v>5282222.7700000005</v>
      </c>
      <c r="Q40" s="561">
        <f>Ene!Q40+Feb!Q40+Mar!Q40+Abr!Q40+May!Q40+Jun!Q40+Jul!Q40+Ago!Q40+Set!Q40+Oct!Q40+Nov!Q40+Dic!Q40</f>
        <v>5282222.7700000005</v>
      </c>
      <c r="R40" s="117"/>
      <c r="S40" s="424"/>
      <c r="T40" s="571"/>
      <c r="U40" s="118"/>
      <c r="V40" s="118"/>
      <c r="W40" s="119"/>
      <c r="X40" s="120"/>
      <c r="Y40" s="120"/>
      <c r="Z40" s="118"/>
      <c r="AA40" s="118"/>
      <c r="AB40" s="118"/>
      <c r="AC40" s="119"/>
      <c r="AD40" s="120"/>
      <c r="AE40" s="120"/>
      <c r="AF40" s="118"/>
      <c r="AG40" s="118"/>
    </row>
    <row r="41" spans="1:33" ht="13" x14ac:dyDescent="0.3">
      <c r="A41" s="257" t="s">
        <v>24</v>
      </c>
      <c r="B41" s="11"/>
      <c r="C41" s="41"/>
      <c r="D41" s="41"/>
      <c r="E41" s="12"/>
      <c r="F41" s="212"/>
      <c r="G41" s="427"/>
      <c r="H41" s="427"/>
      <c r="I41" s="428"/>
      <c r="J41" s="428"/>
      <c r="K41" s="427"/>
      <c r="L41" s="427"/>
      <c r="M41" s="427"/>
      <c r="N41" s="427"/>
      <c r="O41" s="429"/>
      <c r="P41" s="427"/>
      <c r="Q41" s="211"/>
      <c r="R41" s="189"/>
      <c r="S41" s="213"/>
      <c r="T41" s="559"/>
      <c r="U41" s="35"/>
      <c r="V41" s="35"/>
      <c r="W41" s="55"/>
      <c r="X41" s="56"/>
      <c r="Y41" s="56"/>
      <c r="Z41" s="56"/>
      <c r="AA41" s="35"/>
      <c r="AB41" s="35"/>
      <c r="AC41" s="55"/>
      <c r="AD41" s="56"/>
      <c r="AE41" s="56"/>
      <c r="AF41" s="56"/>
      <c r="AG41" s="35"/>
    </row>
    <row r="42" spans="1:33" x14ac:dyDescent="0.25">
      <c r="A42" s="510" t="s">
        <v>28</v>
      </c>
      <c r="B42" s="509">
        <v>8</v>
      </c>
      <c r="C42" s="69" t="s">
        <v>31</v>
      </c>
      <c r="D42" s="69" t="s">
        <v>30</v>
      </c>
      <c r="E42" s="69" t="s">
        <v>98</v>
      </c>
      <c r="F42" s="217" t="s">
        <v>55</v>
      </c>
      <c r="G42" s="409"/>
      <c r="H42" s="407"/>
      <c r="I42" s="408"/>
      <c r="J42" s="408"/>
      <c r="K42" s="409"/>
      <c r="L42" s="409"/>
      <c r="M42" s="409"/>
      <c r="N42" s="458">
        <f>Ene!N42+Feb!N42+Mar!N42+Abr!N42+May!N42+Jun!N42+Jul!N42+Ago!N42+Set!N42+Oct!N42+Nov!N42+Dic!N42</f>
        <v>59199.689999999995</v>
      </c>
      <c r="O42" s="458">
        <f>Ene!O42+Feb!O42+Mar!O42+Abr!O42+May!O42+Jun!O42+Jul!O42+Ago!O42+Set!O42+Oct!O42+Nov!O42+Dic!O42</f>
        <v>65693334.270000003</v>
      </c>
      <c r="P42" s="458">
        <f>Ene!P42+Feb!P42+Mar!P42+Abr!P42+May!P42+Jun!P42+Jul!P42+Ago!P42+Set!P42+Oct!P42+Nov!P42+Dic!P42</f>
        <v>12317500.18</v>
      </c>
      <c r="Q42" s="458">
        <f>Ene!Q42+Feb!Q42+Mar!Q42+Abr!Q42+May!Q42+Jun!Q42+Jul!Q42+Ago!Q42+Set!Q42+Oct!Q42+Nov!Q42+Dic!Q42</f>
        <v>9854000.1600000001</v>
      </c>
      <c r="R42" s="563">
        <v>0.15</v>
      </c>
      <c r="S42" s="458">
        <f>Ene!S42+Feb!S42+Mar!S42+Abr!S42+May!S42+Jun!S42+Jul!S42+Ago!S42+Set!S42+Oct!S42+Nov!S42+Dic!S42</f>
        <v>2463500.0300000003</v>
      </c>
      <c r="T42" s="564">
        <v>3.7499999999999999E-2</v>
      </c>
    </row>
    <row r="43" spans="1:33" x14ac:dyDescent="0.25">
      <c r="A43" s="405" t="s">
        <v>28</v>
      </c>
      <c r="B43" s="17" t="s">
        <v>12</v>
      </c>
      <c r="C43" s="69" t="s">
        <v>31</v>
      </c>
      <c r="D43" s="69" t="s">
        <v>30</v>
      </c>
      <c r="E43" s="69" t="s">
        <v>98</v>
      </c>
      <c r="F43" s="217" t="s">
        <v>55</v>
      </c>
      <c r="G43" s="407"/>
      <c r="H43" s="407"/>
      <c r="I43" s="408"/>
      <c r="J43" s="408"/>
      <c r="K43" s="409"/>
      <c r="L43" s="409"/>
      <c r="M43" s="409"/>
      <c r="N43" s="458">
        <f>Ene!N43+Feb!N43+Mar!N43+Abr!N43+May!N43+Jun!N43+Jul!N43+Ago!N43+Set!N43+Oct!N43+Nov!N43+Dic!N43</f>
        <v>19975.8</v>
      </c>
      <c r="O43" s="458">
        <f>Ene!O43+Feb!O43+Mar!O43+Abr!O43+May!O43+Jun!O43+Jul!O43+Ago!O43+Set!O43+Oct!O43+Nov!O43+Dic!O43</f>
        <v>3553056.6399999997</v>
      </c>
      <c r="P43" s="458">
        <f>Ene!P43+Feb!P43+Mar!P43+Abr!P43+May!P43+Jun!P43+Jul!P43+Ago!P43+Set!P43+Oct!P43+Nov!P43+Dic!P43</f>
        <v>666198.12</v>
      </c>
      <c r="Q43" s="458">
        <f>Ene!Q43+Feb!Q43+Mar!Q43+Abr!Q43+May!Q43+Jun!Q43+Jul!Q43+Ago!Q43+Set!Q43+Oct!Q43+Nov!Q43+Dic!Q43</f>
        <v>133239.63</v>
      </c>
      <c r="R43" s="563">
        <v>3.7499999999999999E-2</v>
      </c>
      <c r="S43" s="458">
        <f>Ene!S43+Feb!S43+Mar!S43+Abr!S43+May!S43+Jun!S43+Jul!S43+Ago!S43+Set!S43+Oct!S43+Nov!S43+Dic!S43</f>
        <v>532958.5</v>
      </c>
      <c r="T43" s="563">
        <v>0.15</v>
      </c>
      <c r="U43" s="32" t="s">
        <v>305</v>
      </c>
      <c r="V43" s="32" t="s">
        <v>305</v>
      </c>
      <c r="W43" s="57" t="s">
        <v>305</v>
      </c>
      <c r="X43" s="58" t="s">
        <v>305</v>
      </c>
      <c r="Y43" s="58" t="s">
        <v>305</v>
      </c>
      <c r="Z43" s="32" t="s">
        <v>305</v>
      </c>
      <c r="AA43" s="32">
        <v>184484.89169999998</v>
      </c>
      <c r="AB43" s="32">
        <v>672297.45</v>
      </c>
      <c r="AC43" s="57">
        <v>5951.1</v>
      </c>
      <c r="AD43" s="58">
        <v>3.6442000000000001</v>
      </c>
      <c r="AE43" s="58">
        <v>0.68330000000000002</v>
      </c>
      <c r="AF43" s="32">
        <v>126055.77</v>
      </c>
      <c r="AG43" s="37"/>
    </row>
    <row r="44" spans="1:33" x14ac:dyDescent="0.25">
      <c r="A44" s="405" t="s">
        <v>28</v>
      </c>
      <c r="B44" s="17" t="s">
        <v>74</v>
      </c>
      <c r="C44" s="69" t="s">
        <v>31</v>
      </c>
      <c r="D44" s="69" t="s">
        <v>30</v>
      </c>
      <c r="E44" s="69" t="s">
        <v>100</v>
      </c>
      <c r="F44" s="217" t="s">
        <v>36</v>
      </c>
      <c r="G44" s="407"/>
      <c r="H44" s="407"/>
      <c r="I44" s="408"/>
      <c r="J44" s="408"/>
      <c r="K44" s="409"/>
      <c r="L44" s="409"/>
      <c r="M44" s="409"/>
      <c r="N44" s="458">
        <f>Ene!N44+Feb!N44+Mar!N44+Abr!N44+May!N44+Jun!N44+Jul!N44+Ago!N44+Set!N44+Oct!N44+Nov!N44+Dic!N44</f>
        <v>39524.449999999997</v>
      </c>
      <c r="O44" s="458">
        <f>Ene!O44+Feb!O44+Mar!O44+Abr!O44+May!O44+Jun!O44+Jul!O44+Ago!O44+Set!O44+Oct!O44+Nov!O44+Dic!O44</f>
        <v>229327.07</v>
      </c>
      <c r="P44" s="458">
        <f>Ene!P44+Feb!P44+Mar!P44+Abr!P44+May!P44+Jun!P44+Jul!P44+Ago!P44+Set!P44+Oct!P44+Nov!P44+Dic!P44</f>
        <v>42998.83</v>
      </c>
      <c r="Q44" s="458">
        <f>Ene!Q44+Feb!Q44+Mar!Q44+Abr!Q44+May!Q44+Jun!Q44+Jul!Q44+Ago!Q44+Set!Q44+Oct!Q44+Nov!Q44+Dic!Q44</f>
        <v>8599.760000000002</v>
      </c>
      <c r="R44" s="563">
        <v>3.7499999999999999E-2</v>
      </c>
      <c r="S44" s="458">
        <f>Ene!S44+Feb!S44+Mar!S44+Abr!S44+May!S44+Jun!S44+Jul!S44+Ago!S44+Set!S44+Oct!S44+Nov!S44+Dic!S44</f>
        <v>34399.06</v>
      </c>
      <c r="T44" s="563">
        <v>0.15</v>
      </c>
      <c r="U44" s="32">
        <v>2707</v>
      </c>
      <c r="V44" s="32">
        <v>152464.76</v>
      </c>
      <c r="W44" s="57">
        <v>87.3</v>
      </c>
      <c r="X44" s="58">
        <v>56.322400000000002</v>
      </c>
      <c r="Y44" s="58">
        <v>10.560499999999999</v>
      </c>
      <c r="Z44" s="32">
        <v>28587.14</v>
      </c>
      <c r="AA44" s="32" t="s">
        <v>305</v>
      </c>
      <c r="AB44" s="32" t="s">
        <v>305</v>
      </c>
      <c r="AC44" s="57" t="s">
        <v>305</v>
      </c>
      <c r="AD44" s="58" t="s">
        <v>305</v>
      </c>
      <c r="AE44" s="58" t="s">
        <v>305</v>
      </c>
      <c r="AF44" s="32" t="s">
        <v>305</v>
      </c>
      <c r="AG44" s="37"/>
    </row>
    <row r="45" spans="1:33" x14ac:dyDescent="0.25">
      <c r="A45" s="405" t="s">
        <v>28</v>
      </c>
      <c r="B45" s="22">
        <v>95</v>
      </c>
      <c r="C45" s="69" t="s">
        <v>31</v>
      </c>
      <c r="D45" s="69" t="s">
        <v>30</v>
      </c>
      <c r="E45" s="69" t="s">
        <v>98</v>
      </c>
      <c r="F45" s="217" t="s">
        <v>36</v>
      </c>
      <c r="G45" s="407"/>
      <c r="H45" s="407"/>
      <c r="I45" s="408"/>
      <c r="J45" s="408"/>
      <c r="K45" s="407"/>
      <c r="L45" s="409"/>
      <c r="M45" s="409"/>
      <c r="N45" s="458">
        <f>Ene!N45+Feb!N45+Mar!N45+Abr!N45+May!N45+Jun!N45+Jul!N45+Ago!N45+Set!N45+Oct!N45+Nov!N45+Dic!N45</f>
        <v>59221.88</v>
      </c>
      <c r="O45" s="458">
        <f>Ene!O45+Feb!O45+Mar!O45+Abr!O45+May!O45+Jun!O45+Jul!O45+Ago!O45+Set!O45+Oct!O45+Nov!O45+Dic!O45</f>
        <v>335473890.09999996</v>
      </c>
      <c r="P45" s="458">
        <f>Ene!P45+Feb!P45+Mar!P45+Abr!P45+May!P45+Jun!P45+Jul!P45+Ago!P45+Set!P45+Oct!P45+Nov!P45+Dic!P45</f>
        <v>62901354.399999999</v>
      </c>
      <c r="Q45" s="458">
        <f>Ene!Q45+Feb!Q45+Mar!Q45+Abr!Q45+May!Q45+Jun!Q45+Jul!Q45+Ago!Q45+Set!Q45+Oct!Q45+Nov!Q45+Dic!Q45</f>
        <v>50321083.530000001</v>
      </c>
      <c r="R45" s="563">
        <v>3.7499999999999999E-2</v>
      </c>
      <c r="S45" s="458">
        <f>Ene!S45+Feb!S45+Mar!S45+Abr!S45+May!S45+Jun!S45+Jul!S45+Ago!S45+Set!S45+Oct!S45+Nov!S45+Dic!S45</f>
        <v>12580270.869999999</v>
      </c>
      <c r="T45" s="564">
        <v>0.15</v>
      </c>
      <c r="U45" s="32">
        <v>587731</v>
      </c>
      <c r="V45" s="32">
        <v>35605973.630000003</v>
      </c>
      <c r="W45" s="57">
        <v>18959.099999999999</v>
      </c>
      <c r="X45" s="58">
        <v>60.582099999999997</v>
      </c>
      <c r="Y45" s="58">
        <v>11.3591</v>
      </c>
      <c r="Z45" s="32">
        <v>6676120.0599999996</v>
      </c>
      <c r="AA45" s="32" t="s">
        <v>305</v>
      </c>
      <c r="AB45" s="32" t="s">
        <v>305</v>
      </c>
      <c r="AC45" s="57" t="s">
        <v>305</v>
      </c>
      <c r="AD45" s="58" t="s">
        <v>305</v>
      </c>
      <c r="AE45" s="58" t="s">
        <v>305</v>
      </c>
      <c r="AF45" s="32" t="s">
        <v>305</v>
      </c>
      <c r="AG45" s="37"/>
    </row>
    <row r="46" spans="1:33" x14ac:dyDescent="0.25">
      <c r="A46" s="405" t="s">
        <v>28</v>
      </c>
      <c r="B46" s="250">
        <v>67</v>
      </c>
      <c r="C46" s="69" t="s">
        <v>31</v>
      </c>
      <c r="D46" s="69" t="s">
        <v>30</v>
      </c>
      <c r="E46" s="69" t="s">
        <v>98</v>
      </c>
      <c r="F46" s="217" t="s">
        <v>36</v>
      </c>
      <c r="G46" s="407"/>
      <c r="H46" s="407"/>
      <c r="I46" s="408"/>
      <c r="J46" s="408"/>
      <c r="K46" s="407"/>
      <c r="L46" s="409"/>
      <c r="M46" s="497"/>
      <c r="N46" s="458">
        <f>Ene!N46+Feb!N46+Mar!N46+Abr!N46+May!N46+Jun!N46+Jul!N46+Ago!N46+Set!N46+Oct!N46+Nov!N46+Dic!N46</f>
        <v>0</v>
      </c>
      <c r="O46" s="458">
        <f>Ene!O46+Feb!O46+Mar!O46+Abr!O46+May!O46+Jun!O46+Jul!O46+Ago!O46+Set!O46+Oct!O46+Nov!O46+Dic!O46</f>
        <v>0</v>
      </c>
      <c r="P46" s="458">
        <f>Ene!P46+Feb!P46+Mar!P46+Abr!P46+May!P46+Jun!P46+Jul!P46+Ago!P46+Set!P46+Oct!P46+Nov!P46+Dic!P46</f>
        <v>0</v>
      </c>
      <c r="Q46" s="458">
        <f>Ene!Q46+Feb!Q46+Mar!Q46+Abr!Q46+May!Q46+Jun!Q46+Jul!Q46+Ago!Q46+Set!Q46+Oct!Q46+Nov!Q46+Dic!Q46</f>
        <v>0</v>
      </c>
      <c r="R46" s="563">
        <v>0.15</v>
      </c>
      <c r="S46" s="458">
        <f>Ene!S46+Feb!S46+Mar!S46+Abr!S46+May!S46+Jun!S46+Jul!S46+Ago!S46+Set!S46+Oct!S46+Nov!S46+Dic!S46</f>
        <v>0</v>
      </c>
      <c r="T46" s="564">
        <v>3.7499999999999999E-2</v>
      </c>
      <c r="U46" s="32">
        <v>0</v>
      </c>
      <c r="V46" s="32">
        <v>0</v>
      </c>
      <c r="W46" s="57">
        <v>0</v>
      </c>
      <c r="X46" s="58">
        <v>0</v>
      </c>
      <c r="Y46" s="58">
        <v>0</v>
      </c>
      <c r="Z46" s="32">
        <v>0</v>
      </c>
      <c r="AA46" s="32" t="s">
        <v>305</v>
      </c>
      <c r="AB46" s="32" t="s">
        <v>305</v>
      </c>
      <c r="AC46" s="57" t="s">
        <v>305</v>
      </c>
      <c r="AD46" s="58" t="s">
        <v>305</v>
      </c>
      <c r="AE46" s="58" t="s">
        <v>305</v>
      </c>
      <c r="AF46" s="32" t="s">
        <v>305</v>
      </c>
      <c r="AG46" s="37"/>
    </row>
    <row r="47" spans="1:33" x14ac:dyDescent="0.25">
      <c r="A47" s="432" t="s">
        <v>28</v>
      </c>
      <c r="B47" s="414" t="s">
        <v>53</v>
      </c>
      <c r="C47" s="415"/>
      <c r="D47" s="416"/>
      <c r="E47" s="416"/>
      <c r="F47" s="217"/>
      <c r="G47" s="409"/>
      <c r="H47" s="409"/>
      <c r="I47" s="417"/>
      <c r="J47" s="417"/>
      <c r="K47" s="409"/>
      <c r="L47" s="409"/>
      <c r="M47" s="409"/>
      <c r="N47" s="458">
        <f>Ene!N47+Feb!N47+Mar!N47+Abr!N47+May!N47+Jun!N47+Jul!N47+Ago!N47+Set!N47+Oct!N47+Nov!N47+Dic!N47</f>
        <v>0</v>
      </c>
      <c r="O47" s="458">
        <f>Ene!O47+Feb!O47+Mar!O47+Abr!O47+May!O47+Jun!O47+Jul!O47+Ago!O47+Set!O47+Oct!O47+Nov!O47+Dic!O47</f>
        <v>-1465614.2599999993</v>
      </c>
      <c r="P47" s="458">
        <f>Ene!P47+Feb!P47+Mar!P47+Abr!P47+May!P47+Jun!P47+Jul!P47+Ago!P47+Set!P47+Oct!P47+Nov!P47+Dic!P47</f>
        <v>-274802.67000000004</v>
      </c>
      <c r="Q47" s="458">
        <f>Ene!Q47+Feb!Q47+Mar!Q47+Abr!Q47+May!Q47+Jun!Q47+Jul!Q47+Ago!Q47+Set!Q47+Oct!Q47+Nov!Q47+Dic!Q47</f>
        <v>-220235.62999999989</v>
      </c>
      <c r="R47" s="563">
        <v>0.15</v>
      </c>
      <c r="S47" s="458">
        <f>Ene!S47+Feb!S47+Mar!S47+Abr!S47+May!S47+Jun!S47+Jul!S47+Ago!S47+Set!S47+Oct!S47+Nov!S47+Dic!S47</f>
        <v>-54960.529999999977</v>
      </c>
      <c r="T47" s="563">
        <v>3.7499999999999999E-2</v>
      </c>
      <c r="U47" s="32" t="s">
        <v>305</v>
      </c>
      <c r="V47" s="32" t="s">
        <v>305</v>
      </c>
      <c r="W47" s="57" t="s">
        <v>305</v>
      </c>
      <c r="X47" s="58" t="s">
        <v>305</v>
      </c>
      <c r="Y47" s="58" t="s">
        <v>305</v>
      </c>
      <c r="Z47" s="32" t="s">
        <v>305</v>
      </c>
      <c r="AA47" s="32" t="s">
        <v>305</v>
      </c>
      <c r="AB47" s="32" t="s">
        <v>305</v>
      </c>
      <c r="AC47" s="57" t="s">
        <v>305</v>
      </c>
      <c r="AD47" s="58" t="s">
        <v>305</v>
      </c>
      <c r="AE47" s="58" t="s">
        <v>305</v>
      </c>
      <c r="AF47" s="32" t="s">
        <v>305</v>
      </c>
      <c r="AG47" s="37"/>
    </row>
    <row r="48" spans="1:33" x14ac:dyDescent="0.25">
      <c r="A48" s="24"/>
      <c r="B48" s="127" t="s">
        <v>105</v>
      </c>
      <c r="C48" s="25" t="s">
        <v>287</v>
      </c>
      <c r="D48" s="14"/>
      <c r="E48" s="14"/>
      <c r="F48" s="230"/>
      <c r="G48" s="433"/>
      <c r="H48" s="433"/>
      <c r="I48" s="434"/>
      <c r="J48" s="435"/>
      <c r="K48" s="436"/>
      <c r="L48" s="436"/>
      <c r="M48" s="436"/>
      <c r="N48" s="420">
        <f>SUM(N42:N47)</f>
        <v>177921.81999999998</v>
      </c>
      <c r="O48" s="420">
        <f t="shared" ref="O48:S48" si="1">SUM(O42:O47)</f>
        <v>403483993.81999993</v>
      </c>
      <c r="P48" s="420">
        <f t="shared" si="1"/>
        <v>75653248.859999999</v>
      </c>
      <c r="Q48" s="420">
        <f t="shared" si="1"/>
        <v>60096687.449999996</v>
      </c>
      <c r="R48" s="495"/>
      <c r="S48" s="420">
        <f t="shared" si="1"/>
        <v>15556167.93</v>
      </c>
      <c r="T48" s="570">
        <v>3.7499999999999999E-2</v>
      </c>
      <c r="U48" s="59">
        <v>590438</v>
      </c>
      <c r="V48" s="59">
        <v>35758438.390000001</v>
      </c>
      <c r="W48" s="60">
        <v>19046.399999999998</v>
      </c>
      <c r="X48" s="61">
        <v>60.562600000000003</v>
      </c>
      <c r="Y48" s="61">
        <v>11.355499999999999</v>
      </c>
      <c r="Z48" s="59">
        <v>6704707.1999999993</v>
      </c>
      <c r="AA48" s="59">
        <v>184484.89169999998</v>
      </c>
      <c r="AB48" s="59">
        <v>672297.45</v>
      </c>
      <c r="AC48" s="60">
        <v>5951.1</v>
      </c>
      <c r="AD48" s="61">
        <v>3.6442000000000001</v>
      </c>
      <c r="AE48" s="61">
        <v>0.68330000000000002</v>
      </c>
      <c r="AF48" s="59">
        <v>126055.77</v>
      </c>
      <c r="AG48" s="59">
        <v>4.8021320253610611E-10</v>
      </c>
    </row>
    <row r="49" spans="1:33" x14ac:dyDescent="0.25">
      <c r="A49" s="121"/>
      <c r="B49" s="122"/>
      <c r="C49" s="25" t="s">
        <v>288</v>
      </c>
      <c r="D49" s="85"/>
      <c r="E49" s="85"/>
      <c r="F49" s="121"/>
      <c r="G49" s="437"/>
      <c r="H49" s="437"/>
      <c r="I49" s="438"/>
      <c r="J49" s="438"/>
      <c r="K49" s="437"/>
      <c r="L49" s="437"/>
      <c r="M49" s="437"/>
      <c r="N49" s="437"/>
      <c r="O49" s="255"/>
      <c r="P49" s="488">
        <f>Ene!P49+Feb!P49+Mar!P49+Abr!P49+May!P49+Jun!P49+Jul!P49+Ago!P49+Set!P49+Oct!P49+Nov!P49+Dic!P49</f>
        <v>253920126.09</v>
      </c>
      <c r="Q49" s="561">
        <f>Ene!Q49+Feb!Q49+Mar!Q49+Abr!Q49+May!Q49+Jun!Q49+Jul!Q49+Ago!Q49+Set!Q49+Oct!Q49+Nov!Q49+Dic!Q49</f>
        <v>201885763.08000001</v>
      </c>
      <c r="R49" s="578"/>
      <c r="S49" s="561">
        <f>Ene!S49+Feb!S49+Mar!S49+Abr!S49+May!S49+Jun!S49+Jul!S49+Ago!S49+Set!S49+Oct!S49+Nov!S49+Dic!S49</f>
        <v>52033036.190000005</v>
      </c>
      <c r="T49" s="572"/>
      <c r="U49" s="124"/>
      <c r="V49" s="124"/>
      <c r="W49" s="125"/>
      <c r="X49" s="126"/>
      <c r="Y49" s="126"/>
      <c r="Z49" s="124"/>
      <c r="AA49" s="124"/>
      <c r="AB49" s="124"/>
      <c r="AC49" s="125"/>
      <c r="AD49" s="126"/>
      <c r="AE49" s="126"/>
      <c r="AF49" s="124"/>
      <c r="AG49" s="124"/>
    </row>
    <row r="50" spans="1:33" ht="13" x14ac:dyDescent="0.3">
      <c r="A50" s="257" t="s">
        <v>161</v>
      </c>
      <c r="B50" s="11"/>
      <c r="C50" s="11"/>
      <c r="D50" s="11"/>
      <c r="E50" s="15"/>
      <c r="F50" s="257"/>
      <c r="G50" s="439"/>
      <c r="H50" s="440"/>
      <c r="I50" s="441"/>
      <c r="J50" s="442"/>
      <c r="K50" s="439"/>
      <c r="L50" s="439"/>
      <c r="M50" s="439"/>
      <c r="N50" s="439"/>
      <c r="O50" s="439"/>
      <c r="P50" s="188"/>
      <c r="Q50" s="188"/>
      <c r="R50" s="140"/>
      <c r="S50" s="443"/>
      <c r="T50" s="557"/>
      <c r="U50" s="124"/>
      <c r="V50" s="124"/>
      <c r="W50" s="125"/>
      <c r="X50" s="126"/>
      <c r="Y50" s="126"/>
      <c r="Z50" s="124"/>
      <c r="AA50" s="124"/>
      <c r="AB50" s="124"/>
      <c r="AC50" s="125"/>
      <c r="AD50" s="126"/>
      <c r="AE50" s="126"/>
      <c r="AF50" s="124"/>
      <c r="AG50" s="124"/>
    </row>
    <row r="51" spans="1:33" x14ac:dyDescent="0.25">
      <c r="A51" s="405" t="s">
        <v>28</v>
      </c>
      <c r="B51" s="17" t="s">
        <v>160</v>
      </c>
      <c r="C51" s="69" t="s">
        <v>31</v>
      </c>
      <c r="D51" s="69" t="s">
        <v>30</v>
      </c>
      <c r="E51" s="69" t="s">
        <v>158</v>
      </c>
      <c r="F51" s="217" t="s">
        <v>36</v>
      </c>
      <c r="G51" s="444"/>
      <c r="H51" s="444"/>
      <c r="I51" s="459"/>
      <c r="J51" s="417"/>
      <c r="K51" s="409"/>
      <c r="L51" s="409"/>
      <c r="M51" s="409"/>
      <c r="N51" s="458">
        <f>Ene!N51+Feb!N51+Mar!N51+Abr!N51+May!N51+Jun!N51+Jul!N51+Ago!N51+Set!N51+Oct!N51+Nov!N51+Dic!N51</f>
        <v>0</v>
      </c>
      <c r="O51" s="458">
        <f>Ene!O51+Feb!O51+Mar!O51+Abr!O51+May!O51+Jun!O51+Jul!O51+Ago!O51+Set!O51+Oct!O51+Nov!O51+Dic!O51</f>
        <v>656398895.99860001</v>
      </c>
      <c r="P51" s="458">
        <f>Ene!P51+Feb!P51+Mar!P51+Abr!P51+May!P51+Jun!P51+Jul!P51+Ago!P51+Set!P51+Oct!P51+Nov!P51+Dic!P51</f>
        <v>244442948.86000001</v>
      </c>
      <c r="Q51" s="458">
        <f>Ene!Q51+Feb!Q51+Mar!Q51+Abr!Q51+May!Q51+Jun!Q51+Jul!Q51+Ago!Q51+Set!Q51+Oct!Q51+Nov!Q51+Dic!Q51</f>
        <v>122221474.44999999</v>
      </c>
      <c r="R51" s="199"/>
      <c r="S51" s="458"/>
      <c r="T51" s="236"/>
      <c r="U51" s="32">
        <v>1589273</v>
      </c>
      <c r="V51" s="32">
        <v>68119333.276999995</v>
      </c>
      <c r="W51" s="57">
        <v>51266.9</v>
      </c>
      <c r="X51" s="58">
        <v>42.861899999999999</v>
      </c>
      <c r="Y51" s="58">
        <v>7.9809000000000001</v>
      </c>
      <c r="Z51" s="32">
        <v>12683819.859999999</v>
      </c>
      <c r="AA51" s="32" t="s">
        <v>305</v>
      </c>
      <c r="AB51" s="32" t="s">
        <v>305</v>
      </c>
      <c r="AC51" s="57" t="s">
        <v>305</v>
      </c>
      <c r="AD51" s="58" t="s">
        <v>305</v>
      </c>
      <c r="AE51" s="58" t="s">
        <v>305</v>
      </c>
      <c r="AF51" s="32" t="s">
        <v>305</v>
      </c>
      <c r="AG51" s="124"/>
    </row>
    <row r="52" spans="1:33" x14ac:dyDescent="0.25">
      <c r="A52" s="405" t="s">
        <v>28</v>
      </c>
      <c r="B52" s="17" t="s">
        <v>159</v>
      </c>
      <c r="C52" s="69" t="s">
        <v>31</v>
      </c>
      <c r="D52" s="69" t="s">
        <v>30</v>
      </c>
      <c r="E52" s="69" t="s">
        <v>158</v>
      </c>
      <c r="F52" s="217" t="s">
        <v>55</v>
      </c>
      <c r="G52" s="444"/>
      <c r="H52" s="444"/>
      <c r="I52" s="459"/>
      <c r="J52" s="417"/>
      <c r="K52" s="409"/>
      <c r="L52" s="409"/>
      <c r="M52" s="409"/>
      <c r="N52" s="458">
        <f>Ene!N52+Feb!N52+Mar!N52+Abr!N52+May!N52+Jun!N52+Jul!N52+Ago!N52+Set!N52+Oct!N52+Nov!N52+Dic!N52</f>
        <v>0</v>
      </c>
      <c r="O52" s="458">
        <f>Ene!O52+Feb!O52+Mar!O52+Abr!O52+May!O52+Jun!O52+Jul!O52+Ago!O52+Set!O52+Oct!O52+Nov!O52+Dic!O52</f>
        <v>886426409.29999995</v>
      </c>
      <c r="P52" s="458">
        <f>Ene!P52+Feb!P52+Mar!P52+Abr!P52+May!P52+Jun!P52+Jul!P52+Ago!P52+Set!P52+Oct!P52+Nov!P52+Dic!P52</f>
        <v>330746254.16000003</v>
      </c>
      <c r="Q52" s="458">
        <f>Ene!Q52+Feb!Q52+Mar!Q52+Abr!Q52+May!Q52+Jun!Q52+Jul!Q52+Ago!Q52+Set!Q52+Oct!Q52+Nov!Q52+Dic!Q52</f>
        <v>165373127.20999998</v>
      </c>
      <c r="R52" s="199"/>
      <c r="S52" s="458"/>
      <c r="T52" s="199"/>
      <c r="U52" s="32" t="s">
        <v>305</v>
      </c>
      <c r="V52" s="32" t="s">
        <v>305</v>
      </c>
      <c r="W52" s="57" t="s">
        <v>305</v>
      </c>
      <c r="X52" s="58" t="s">
        <v>305</v>
      </c>
      <c r="Y52" s="58" t="s">
        <v>305</v>
      </c>
      <c r="Z52" s="32" t="s">
        <v>305</v>
      </c>
      <c r="AA52" s="32">
        <v>22414146.408299997</v>
      </c>
      <c r="AB52" s="32">
        <v>65115803.409999996</v>
      </c>
      <c r="AC52" s="57">
        <v>723037</v>
      </c>
      <c r="AD52" s="58">
        <v>2.9051</v>
      </c>
      <c r="AE52" s="58">
        <v>0.54200000000000004</v>
      </c>
      <c r="AF52" s="32">
        <v>12148867.66</v>
      </c>
      <c r="AG52" s="124"/>
    </row>
    <row r="53" spans="1:33" x14ac:dyDescent="0.25">
      <c r="A53" s="405" t="s">
        <v>28</v>
      </c>
      <c r="B53" s="17" t="s">
        <v>168</v>
      </c>
      <c r="C53" s="69" t="s">
        <v>31</v>
      </c>
      <c r="D53" s="69" t="s">
        <v>30</v>
      </c>
      <c r="E53" s="69" t="s">
        <v>158</v>
      </c>
      <c r="F53" s="217" t="s">
        <v>36</v>
      </c>
      <c r="G53" s="444"/>
      <c r="H53" s="444"/>
      <c r="I53" s="459"/>
      <c r="J53" s="417"/>
      <c r="K53" s="409"/>
      <c r="L53" s="409"/>
      <c r="M53" s="409"/>
      <c r="N53" s="458">
        <f>Ene!N53+Feb!N53+Mar!N53+Abr!N53+May!N53+Jun!N53+Jul!N53+Ago!N53+Set!N53+Oct!N53+Nov!N53+Dic!N53</f>
        <v>0</v>
      </c>
      <c r="O53" s="458">
        <f>Ene!O53+Feb!O53+Mar!O53+Abr!O53+May!O53+Jun!O53+Jul!O53+Ago!O53+Set!O53+Oct!O53+Nov!O53+Dic!O53</f>
        <v>148062341.0566</v>
      </c>
      <c r="P53" s="458">
        <f>Ene!P53+Feb!P53+Mar!P53+Abr!P53+May!P53+Jun!P53+Jul!P53+Ago!P53+Set!P53+Oct!P53+Nov!P53+Dic!P53</f>
        <v>59224936.420000002</v>
      </c>
      <c r="Q53" s="458">
        <f>Ene!Q53+Feb!Q53+Mar!Q53+Abr!Q53+May!Q53+Jun!Q53+Jul!Q53+Ago!Q53+Set!Q53+Oct!Q53+Nov!Q53+Dic!Q53</f>
        <v>29612468.25</v>
      </c>
      <c r="R53" s="199"/>
      <c r="S53" s="458"/>
      <c r="T53" s="199"/>
      <c r="U53" s="32">
        <v>425063</v>
      </c>
      <c r="V53" s="32">
        <v>18262829.658</v>
      </c>
      <c r="W53" s="57">
        <v>13711.7</v>
      </c>
      <c r="X53" s="58">
        <v>42.965000000000003</v>
      </c>
      <c r="Y53" s="58">
        <v>8.593</v>
      </c>
      <c r="Z53" s="32">
        <v>3652565.94</v>
      </c>
      <c r="AA53" s="32" t="s">
        <v>305</v>
      </c>
      <c r="AB53" s="32" t="s">
        <v>305</v>
      </c>
      <c r="AC53" s="57" t="s">
        <v>305</v>
      </c>
      <c r="AD53" s="58" t="s">
        <v>305</v>
      </c>
      <c r="AE53" s="58" t="s">
        <v>305</v>
      </c>
      <c r="AF53" s="32" t="s">
        <v>305</v>
      </c>
      <c r="AG53" s="124"/>
    </row>
    <row r="54" spans="1:33" x14ac:dyDescent="0.25">
      <c r="A54" s="405" t="s">
        <v>28</v>
      </c>
      <c r="B54" s="17" t="s">
        <v>169</v>
      </c>
      <c r="C54" s="69" t="s">
        <v>31</v>
      </c>
      <c r="D54" s="69" t="s">
        <v>30</v>
      </c>
      <c r="E54" s="69" t="s">
        <v>158</v>
      </c>
      <c r="F54" s="217" t="s">
        <v>55</v>
      </c>
      <c r="G54" s="444"/>
      <c r="H54" s="444"/>
      <c r="I54" s="478"/>
      <c r="J54" s="417"/>
      <c r="K54" s="409"/>
      <c r="L54" s="409"/>
      <c r="M54" s="409"/>
      <c r="N54" s="458">
        <f>Ene!N54+Feb!N54+Mar!N54+Abr!N54+May!N54+Jun!N54+Jul!N54+Ago!N54+Set!N54+Oct!N54+Nov!N54+Dic!N54</f>
        <v>0</v>
      </c>
      <c r="O54" s="458">
        <f>Ene!O54+Feb!O54+Mar!O54+Abr!O54+May!O54+Jun!O54+Jul!O54+Ago!O54+Set!O54+Oct!O54+Nov!O54+Dic!O54</f>
        <v>432909922.26735616</v>
      </c>
      <c r="P54" s="458">
        <f>Ene!P54+Feb!P54+Mar!P54+Abr!P54+May!P54+Jun!P54+Jul!P54+Ago!P54+Set!P54+Oct!P54+Nov!P54+Dic!P54</f>
        <v>164353750.06</v>
      </c>
      <c r="Q54" s="458">
        <f>Ene!Q54+Feb!Q54+Mar!Q54+Abr!Q54+May!Q54+Jun!Q54+Jul!Q54+Ago!Q54+Set!Q54+Oct!Q54+Nov!Q54+Dic!Q54</f>
        <v>82176875.059999987</v>
      </c>
      <c r="R54" s="199"/>
      <c r="S54" s="458"/>
      <c r="T54" s="199"/>
      <c r="U54" s="32" t="s">
        <v>305</v>
      </c>
      <c r="V54" s="32" t="s">
        <v>305</v>
      </c>
      <c r="W54" s="57" t="s">
        <v>305</v>
      </c>
      <c r="X54" s="58" t="s">
        <v>305</v>
      </c>
      <c r="Y54" s="58" t="s">
        <v>305</v>
      </c>
      <c r="Z54" s="32" t="s">
        <v>305</v>
      </c>
      <c r="AA54" s="32">
        <v>10704451.6724</v>
      </c>
      <c r="AB54" s="32">
        <v>38038863.939999998</v>
      </c>
      <c r="AC54" s="57">
        <v>345304.9</v>
      </c>
      <c r="AD54" s="58">
        <v>3.5535999999999999</v>
      </c>
      <c r="AE54" s="58">
        <v>0.67520000000000002</v>
      </c>
      <c r="AF54" s="32">
        <v>7227384.1500000004</v>
      </c>
      <c r="AG54" s="124"/>
    </row>
    <row r="55" spans="1:33" x14ac:dyDescent="0.25">
      <c r="A55" s="405" t="s">
        <v>28</v>
      </c>
      <c r="B55" s="22" t="s">
        <v>175</v>
      </c>
      <c r="C55" s="69" t="s">
        <v>31</v>
      </c>
      <c r="D55" s="69" t="s">
        <v>30</v>
      </c>
      <c r="E55" s="69" t="s">
        <v>158</v>
      </c>
      <c r="F55" s="217" t="s">
        <v>36</v>
      </c>
      <c r="G55" s="444"/>
      <c r="H55" s="444"/>
      <c r="I55" s="459"/>
      <c r="J55" s="417"/>
      <c r="K55" s="407"/>
      <c r="L55" s="409"/>
      <c r="M55" s="409"/>
      <c r="N55" s="458">
        <f>Ene!N55+Feb!N55+Mar!N55+Abr!N55+May!N55+Jun!N55+Jul!N55+Ago!N55+Set!N55+Oct!N55+Nov!N55+Dic!N55</f>
        <v>0</v>
      </c>
      <c r="O55" s="458">
        <f>Ene!O55+Feb!O55+Mar!O55+Abr!O55+May!O55+Jun!O55+Jul!O55+Ago!O55+Set!O55+Oct!O55+Nov!O55+Dic!O55</f>
        <v>188763156.8838</v>
      </c>
      <c r="P55" s="458">
        <f>Ene!P55+Feb!P55+Mar!P55+Abr!P55+May!P55+Jun!P55+Jul!P55+Ago!P55+Set!P55+Oct!P55+Nov!P55+Dic!P55</f>
        <v>12646515.047841998</v>
      </c>
      <c r="Q55" s="458">
        <f>Ene!Q55+Feb!Q55+Mar!Q55+Abr!Q55+May!Q55+Jun!Q55+Jul!Q55+Ago!Q55+Set!Q55+Oct!Q55+Nov!Q55+Dic!Q55</f>
        <v>6323257.5100000007</v>
      </c>
      <c r="R55" s="199"/>
      <c r="S55" s="458"/>
      <c r="T55" s="236"/>
      <c r="U55" s="32">
        <v>495185</v>
      </c>
      <c r="V55" s="32">
        <v>19128972.643399999</v>
      </c>
      <c r="W55" s="57">
        <v>15973.7</v>
      </c>
      <c r="X55" s="58">
        <v>38.630000000000003</v>
      </c>
      <c r="Y55" s="58">
        <v>1.3199000000000001</v>
      </c>
      <c r="Z55" s="32">
        <v>653606.68999999994</v>
      </c>
      <c r="AA55" s="32" t="s">
        <v>305</v>
      </c>
      <c r="AB55" s="32" t="s">
        <v>305</v>
      </c>
      <c r="AC55" s="57" t="s">
        <v>305</v>
      </c>
      <c r="AD55" s="58" t="s">
        <v>305</v>
      </c>
      <c r="AE55" s="58" t="s">
        <v>305</v>
      </c>
      <c r="AF55" s="32" t="s">
        <v>305</v>
      </c>
      <c r="AG55" s="124"/>
    </row>
    <row r="56" spans="1:33" x14ac:dyDescent="0.25">
      <c r="A56" s="405" t="s">
        <v>28</v>
      </c>
      <c r="B56" s="250" t="s">
        <v>176</v>
      </c>
      <c r="C56" s="69" t="s">
        <v>31</v>
      </c>
      <c r="D56" s="69" t="s">
        <v>30</v>
      </c>
      <c r="E56" s="69" t="s">
        <v>158</v>
      </c>
      <c r="F56" s="217" t="s">
        <v>55</v>
      </c>
      <c r="G56" s="444"/>
      <c r="H56" s="444"/>
      <c r="I56" s="417"/>
      <c r="J56" s="417"/>
      <c r="K56" s="355"/>
      <c r="L56" s="409"/>
      <c r="M56" s="409"/>
      <c r="N56" s="458">
        <f>Ene!N56+Feb!N56+Mar!N56+Abr!N56+May!N56+Jun!N56+Jul!N56+Ago!N56+Set!N56+Oct!N56+Nov!N56+Dic!N56</f>
        <v>0</v>
      </c>
      <c r="O56" s="458">
        <f>Ene!O56+Feb!O56+Mar!O56+Abr!O56+May!O56+Jun!O56+Jul!O56+Ago!O56+Set!O56+Oct!O56+Nov!O56+Dic!O56</f>
        <v>416019686.8548013</v>
      </c>
      <c r="P56" s="458">
        <f>Ene!P56+Feb!P56+Mar!P56+Abr!P56+May!P56+Jun!P56+Jul!P56+Ago!P56+Set!P56+Oct!P56+Nov!P56+Dic!P56</f>
        <v>46989465.174453005</v>
      </c>
      <c r="Q56" s="458">
        <f>Ene!Q56+Feb!Q56+Mar!Q56+Abr!Q56+May!Q56+Jun!Q56+Jul!Q56+Ago!Q56+Set!Q56+Oct!Q56+Nov!Q56+Dic!Q56</f>
        <v>23494732.59</v>
      </c>
      <c r="R56" s="199"/>
      <c r="S56" s="458"/>
      <c r="T56" s="236"/>
      <c r="U56" s="32" t="s">
        <v>305</v>
      </c>
      <c r="V56" s="32" t="s">
        <v>305</v>
      </c>
      <c r="W56" s="57" t="s">
        <v>305</v>
      </c>
      <c r="X56" s="58" t="s">
        <v>305</v>
      </c>
      <c r="Y56" s="58" t="s">
        <v>305</v>
      </c>
      <c r="Z56" s="32" t="s">
        <v>305</v>
      </c>
      <c r="AA56" s="32">
        <v>7886479.1588000003</v>
      </c>
      <c r="AB56" s="32">
        <v>18067923.752810799</v>
      </c>
      <c r="AC56" s="57">
        <v>254402.6</v>
      </c>
      <c r="AD56" s="58">
        <v>2.2909999999999999</v>
      </c>
      <c r="AE56" s="58">
        <v>0.12790000000000001</v>
      </c>
      <c r="AF56" s="32">
        <v>1009047.89</v>
      </c>
      <c r="AG56" s="124"/>
    </row>
    <row r="57" spans="1:33" x14ac:dyDescent="0.25">
      <c r="A57" s="445" t="s">
        <v>28</v>
      </c>
      <c r="B57" s="446" t="s">
        <v>162</v>
      </c>
      <c r="C57" s="447"/>
      <c r="D57" s="447"/>
      <c r="E57" s="448"/>
      <c r="F57" s="190"/>
      <c r="G57" s="239"/>
      <c r="H57" s="240"/>
      <c r="I57" s="240"/>
      <c r="J57" s="241"/>
      <c r="K57" s="241"/>
      <c r="L57" s="241"/>
      <c r="M57" s="155"/>
      <c r="N57" s="458">
        <f>Ene!N57+Feb!N57+Mar!N57+Abr!N57+May!N57+Jun!N57+Jul!N57+Ago!N57+Set!N57+Oct!N57+Nov!N57+Dic!N57</f>
        <v>0</v>
      </c>
      <c r="O57" s="458">
        <f>Ene!O57+Feb!O57+Mar!O57+Abr!O57+May!O57+Jun!O57+Jul!O57+Ago!O57+Set!O57+Oct!O57+Nov!O57+Dic!O57</f>
        <v>-11489297.866500661</v>
      </c>
      <c r="P57" s="458">
        <f>Ene!P57+Feb!P57+Mar!P57+Abr!P57+May!P57+Jun!P57+Jul!P57+Ago!P57+Set!P57+Oct!P57+Nov!P57+Dic!P57</f>
        <v>-1456048.3392210077</v>
      </c>
      <c r="Q57" s="458">
        <f>Ene!Q57+Feb!Q57+Mar!Q57+Abr!Q57+May!Q57+Jun!Q57+Jul!Q57+Ago!Q57+Set!Q57+Oct!Q57+Nov!Q57+Dic!Q57</f>
        <v>-728024.11999999604</v>
      </c>
      <c r="R57" s="123"/>
      <c r="S57" s="458"/>
      <c r="T57" s="123"/>
      <c r="U57" s="32" t="s">
        <v>305</v>
      </c>
      <c r="V57" s="32" t="s">
        <v>305</v>
      </c>
      <c r="W57" s="57" t="s">
        <v>305</v>
      </c>
      <c r="X57" s="58" t="s">
        <v>305</v>
      </c>
      <c r="Y57" s="58" t="s">
        <v>305</v>
      </c>
      <c r="Z57" s="32" t="s">
        <v>305</v>
      </c>
      <c r="AA57" s="32" t="s">
        <v>305</v>
      </c>
      <c r="AB57" s="32" t="s">
        <v>305</v>
      </c>
      <c r="AC57" s="57" t="s">
        <v>305</v>
      </c>
      <c r="AD57" s="58" t="s">
        <v>305</v>
      </c>
      <c r="AE57" s="58" t="s">
        <v>305</v>
      </c>
      <c r="AF57" s="32" t="s">
        <v>305</v>
      </c>
      <c r="AG57" s="124"/>
    </row>
    <row r="58" spans="1:33" x14ac:dyDescent="0.25">
      <c r="A58" s="24"/>
      <c r="B58" s="127" t="s">
        <v>105</v>
      </c>
      <c r="C58" s="25" t="s">
        <v>289</v>
      </c>
      <c r="D58" s="14"/>
      <c r="E58" s="14"/>
      <c r="F58" s="245"/>
      <c r="G58" s="232"/>
      <c r="H58" s="232"/>
      <c r="I58" s="299"/>
      <c r="J58" s="232"/>
      <c r="K58" s="243"/>
      <c r="L58" s="237"/>
      <c r="M58" s="297"/>
      <c r="N58" s="174">
        <f>SUM(N51:N57)</f>
        <v>0</v>
      </c>
      <c r="O58" s="174">
        <f t="shared" ref="O58:Q58" si="2">SUM(O51:O57)</f>
        <v>2717091114.4946566</v>
      </c>
      <c r="P58" s="174">
        <f t="shared" si="2"/>
        <v>856947821.38307405</v>
      </c>
      <c r="Q58" s="174">
        <f t="shared" si="2"/>
        <v>428473910.94999993</v>
      </c>
      <c r="R58" s="154"/>
      <c r="S58" s="162"/>
      <c r="T58" s="123"/>
      <c r="U58" s="59">
        <v>2509521</v>
      </c>
      <c r="V58" s="59">
        <v>105511135.5784</v>
      </c>
      <c r="W58" s="60">
        <v>80952.3</v>
      </c>
      <c r="X58" s="61">
        <v>42.0443</v>
      </c>
      <c r="Y58" s="61">
        <v>6.7702</v>
      </c>
      <c r="Z58" s="59">
        <v>16989992.489999998</v>
      </c>
      <c r="AA58" s="59">
        <v>41005077.239499994</v>
      </c>
      <c r="AB58" s="59">
        <v>121222591.1028108</v>
      </c>
      <c r="AC58" s="60">
        <v>1322744.5</v>
      </c>
      <c r="AD58" s="61">
        <v>2.9563000000000001</v>
      </c>
      <c r="AE58" s="61">
        <v>0.49709999999999999</v>
      </c>
      <c r="AF58" s="59">
        <v>20385299.700000003</v>
      </c>
      <c r="AG58" s="59">
        <v>-1279495.8100000061</v>
      </c>
    </row>
    <row r="59" spans="1:33" x14ac:dyDescent="0.25">
      <c r="A59" s="121"/>
      <c r="B59" s="122"/>
      <c r="C59" s="25" t="s">
        <v>290</v>
      </c>
      <c r="D59" s="85"/>
      <c r="E59" s="85"/>
      <c r="F59" s="245"/>
      <c r="G59" s="233"/>
      <c r="H59" s="233"/>
      <c r="I59" s="300"/>
      <c r="J59" s="232"/>
      <c r="K59" s="244"/>
      <c r="L59" s="238"/>
      <c r="M59" s="361"/>
      <c r="N59" s="362"/>
      <c r="O59" s="362"/>
      <c r="P59" s="164"/>
      <c r="Q59" s="560">
        <f>Ene!Q59+Feb!Q59+Mar!Q59+Abr!Q59+May!Q59+Jun!Q59+Jul!Q59+Ago!Q59+Set!Q59+Oct!Q59+Nov!Q59+Dic!Q59</f>
        <v>1404792614.0232329</v>
      </c>
      <c r="R59" s="153"/>
      <c r="S59" s="162"/>
      <c r="T59" s="123"/>
      <c r="U59" s="124"/>
      <c r="V59" s="124"/>
      <c r="W59" s="125"/>
      <c r="X59" s="126"/>
      <c r="Y59" s="126"/>
      <c r="Z59" s="124"/>
      <c r="AA59" s="124"/>
      <c r="AB59" s="124"/>
      <c r="AC59" s="125"/>
      <c r="AD59" s="126"/>
      <c r="AE59" s="126"/>
      <c r="AF59" s="124"/>
      <c r="AG59" s="124"/>
    </row>
    <row r="60" spans="1:33" ht="13" x14ac:dyDescent="0.3">
      <c r="A60" s="8" t="s">
        <v>54</v>
      </c>
      <c r="B60" s="252"/>
      <c r="C60" s="252"/>
      <c r="D60" s="252"/>
      <c r="E60" s="252"/>
      <c r="F60" s="246"/>
      <c r="G60" s="234"/>
      <c r="H60" s="234"/>
      <c r="I60" s="232"/>
      <c r="J60" s="232"/>
      <c r="K60" s="301"/>
      <c r="L60" s="302"/>
      <c r="M60" s="255"/>
      <c r="N60" s="255"/>
      <c r="O60" s="255"/>
      <c r="P60" s="426">
        <f>Q58+P48+P39+P34</f>
        <v>620657997.46999991</v>
      </c>
      <c r="Q60" s="579">
        <f>Q59+Q49+S49+Q40+Q35+S35</f>
        <v>2051656456.443233</v>
      </c>
      <c r="R60" s="38"/>
      <c r="S60" s="166"/>
      <c r="T60" s="38"/>
      <c r="U60" s="66">
        <v>3629555</v>
      </c>
      <c r="V60" s="66">
        <v>182768640.29839998</v>
      </c>
      <c r="W60" s="67">
        <v>117082.5</v>
      </c>
      <c r="X60" s="68">
        <v>50.355699999999999</v>
      </c>
      <c r="Y60" s="68">
        <v>8.6501000000000001</v>
      </c>
      <c r="Z60" s="66">
        <v>31396187.099999998</v>
      </c>
      <c r="AA60" s="66">
        <v>42824899.743499994</v>
      </c>
      <c r="AB60" s="66">
        <v>126712488.06281079</v>
      </c>
      <c r="AC60" s="66">
        <v>1381448.5</v>
      </c>
      <c r="AD60" s="68">
        <v>2.9588999999999999</v>
      </c>
      <c r="AE60" s="68">
        <v>0.50009999999999999</v>
      </c>
      <c r="AF60" s="66">
        <v>21414655.380000003</v>
      </c>
      <c r="AG60" s="66">
        <v>1453810.0399999954</v>
      </c>
    </row>
    <row r="65" s="251" customFormat="1" x14ac:dyDescent="0.25"/>
    <row r="66" s="251" customFormat="1" x14ac:dyDescent="0.25"/>
    <row r="67" s="251" customFormat="1" x14ac:dyDescent="0.25"/>
    <row r="68" s="251" customFormat="1" x14ac:dyDescent="0.25"/>
    <row r="69" s="251" customFormat="1" x14ac:dyDescent="0.25"/>
    <row r="70" s="251" customFormat="1" x14ac:dyDescent="0.25"/>
    <row r="71" s="251" customFormat="1" x14ac:dyDescent="0.25"/>
    <row r="72" s="251" customFormat="1" x14ac:dyDescent="0.25"/>
    <row r="73" s="251" customFormat="1" x14ac:dyDescent="0.25"/>
    <row r="74" s="251" customFormat="1" x14ac:dyDescent="0.25"/>
    <row r="75" s="251" customFormat="1" x14ac:dyDescent="0.25"/>
    <row r="76" s="251" customFormat="1" x14ac:dyDescent="0.25"/>
    <row r="77" s="251" customFormat="1" x14ac:dyDescent="0.25"/>
    <row r="78" s="251" customFormat="1" x14ac:dyDescent="0.25"/>
    <row r="79" s="251" customFormat="1" x14ac:dyDescent="0.25"/>
    <row r="80" s="251" customFormat="1" x14ac:dyDescent="0.25"/>
    <row r="81" s="251" customFormat="1" x14ac:dyDescent="0.25"/>
    <row r="82" s="251" customFormat="1" x14ac:dyDescent="0.25"/>
    <row r="83" s="251" customFormat="1" x14ac:dyDescent="0.25"/>
    <row r="84" s="251" customFormat="1" x14ac:dyDescent="0.25"/>
    <row r="85" s="251" customFormat="1" x14ac:dyDescent="0.25"/>
    <row r="86" s="251" customFormat="1" x14ac:dyDescent="0.25"/>
    <row r="87" s="251" customFormat="1" x14ac:dyDescent="0.25"/>
    <row r="88" s="251" customFormat="1" x14ac:dyDescent="0.25"/>
    <row r="89" s="251" customFormat="1" x14ac:dyDescent="0.25"/>
    <row r="90" s="251" customFormat="1" x14ac:dyDescent="0.25"/>
    <row r="91" s="251" customFormat="1" x14ac:dyDescent="0.25"/>
    <row r="92" s="251" customFormat="1" x14ac:dyDescent="0.25"/>
    <row r="93" s="251" customFormat="1" x14ac:dyDescent="0.25"/>
    <row r="94" s="251" customFormat="1" x14ac:dyDescent="0.25"/>
    <row r="95" s="251" customFormat="1" x14ac:dyDescent="0.25"/>
    <row r="96" s="251" customFormat="1" x14ac:dyDescent="0.25"/>
    <row r="97" s="251" customFormat="1" x14ac:dyDescent="0.25"/>
    <row r="98" s="251" customFormat="1" x14ac:dyDescent="0.25"/>
    <row r="99" s="251" customFormat="1" x14ac:dyDescent="0.25"/>
    <row r="100" s="251" customFormat="1" x14ac:dyDescent="0.25"/>
    <row r="101" s="251" customFormat="1" x14ac:dyDescent="0.25"/>
    <row r="102" s="251" customFormat="1" x14ac:dyDescent="0.25"/>
    <row r="103" s="251" customFormat="1" x14ac:dyDescent="0.25"/>
    <row r="104" s="251" customFormat="1" x14ac:dyDescent="0.25"/>
    <row r="105" s="251" customFormat="1" x14ac:dyDescent="0.25"/>
    <row r="106" s="251" customFormat="1" x14ac:dyDescent="0.25"/>
    <row r="107" s="251" customFormat="1" x14ac:dyDescent="0.25"/>
    <row r="108" s="251" customFormat="1" x14ac:dyDescent="0.25"/>
    <row r="109" s="251" customFormat="1" x14ac:dyDescent="0.25"/>
    <row r="110" s="251" customFormat="1" x14ac:dyDescent="0.25"/>
    <row r="111" s="251" customFormat="1" x14ac:dyDescent="0.25"/>
    <row r="112" s="251" customFormat="1" x14ac:dyDescent="0.25"/>
    <row r="113" s="251" customFormat="1" x14ac:dyDescent="0.25"/>
    <row r="114" s="251" customFormat="1" x14ac:dyDescent="0.25"/>
    <row r="115" s="251" customFormat="1" x14ac:dyDescent="0.25"/>
    <row r="116" s="251" customFormat="1" x14ac:dyDescent="0.25"/>
    <row r="117" s="251" customFormat="1" x14ac:dyDescent="0.25"/>
    <row r="118" s="251" customFormat="1" x14ac:dyDescent="0.25"/>
    <row r="119" s="251" customFormat="1" x14ac:dyDescent="0.25"/>
    <row r="120" s="251" customFormat="1" x14ac:dyDescent="0.25"/>
    <row r="121" s="251" customFormat="1" x14ac:dyDescent="0.25"/>
    <row r="122" s="251" customFormat="1" x14ac:dyDescent="0.25"/>
    <row r="123" s="251" customFormat="1" x14ac:dyDescent="0.25"/>
    <row r="124" s="251" customFormat="1" x14ac:dyDescent="0.25"/>
    <row r="125" s="251" customFormat="1" x14ac:dyDescent="0.25"/>
    <row r="126" s="251" customFormat="1" x14ac:dyDescent="0.25"/>
    <row r="127" s="251" customFormat="1" x14ac:dyDescent="0.25"/>
    <row r="128" s="251" customFormat="1" x14ac:dyDescent="0.25"/>
    <row r="129" s="251" customFormat="1" x14ac:dyDescent="0.25"/>
    <row r="130" s="251" customFormat="1" x14ac:dyDescent="0.25"/>
    <row r="131" s="251" customFormat="1" x14ac:dyDescent="0.25"/>
    <row r="132" s="251" customFormat="1" x14ac:dyDescent="0.25"/>
    <row r="133" s="251" customFormat="1" x14ac:dyDescent="0.25"/>
    <row r="134" s="251" customFormat="1" x14ac:dyDescent="0.25"/>
    <row r="135" s="251" customFormat="1" x14ac:dyDescent="0.25"/>
    <row r="136" s="251" customFormat="1" x14ac:dyDescent="0.25"/>
    <row r="137" s="251" customFormat="1" x14ac:dyDescent="0.25"/>
    <row r="138" s="251" customFormat="1" x14ac:dyDescent="0.25"/>
    <row r="139" s="251" customFormat="1" x14ac:dyDescent="0.25"/>
    <row r="140" s="251" customFormat="1" x14ac:dyDescent="0.25"/>
    <row r="141" s="251" customFormat="1" x14ac:dyDescent="0.25"/>
    <row r="142" s="251" customFormat="1" x14ac:dyDescent="0.25"/>
    <row r="143" s="251" customFormat="1" x14ac:dyDescent="0.25"/>
    <row r="144" s="251" customFormat="1" x14ac:dyDescent="0.25"/>
    <row r="145" s="251" customFormat="1" x14ac:dyDescent="0.25"/>
    <row r="146" s="251" customFormat="1" x14ac:dyDescent="0.25"/>
    <row r="147" s="251" customFormat="1" x14ac:dyDescent="0.25"/>
    <row r="148" s="251" customFormat="1" x14ac:dyDescent="0.25"/>
    <row r="149" s="251" customFormat="1" x14ac:dyDescent="0.25"/>
    <row r="150" s="251" customFormat="1" x14ac:dyDescent="0.25"/>
    <row r="151" s="251" customFormat="1" x14ac:dyDescent="0.25"/>
    <row r="152" s="251" customFormat="1" x14ac:dyDescent="0.25"/>
    <row r="153" s="251" customFormat="1" x14ac:dyDescent="0.25"/>
    <row r="154" s="251" customFormat="1" x14ac:dyDescent="0.25"/>
    <row r="155" s="251" customFormat="1" x14ac:dyDescent="0.25"/>
    <row r="156" s="251" customFormat="1" x14ac:dyDescent="0.25"/>
    <row r="157" s="251" customFormat="1" x14ac:dyDescent="0.25"/>
    <row r="158" s="251" customFormat="1" x14ac:dyDescent="0.25"/>
    <row r="159" s="251" customFormat="1" x14ac:dyDescent="0.25"/>
    <row r="160" s="251" customFormat="1" x14ac:dyDescent="0.25"/>
    <row r="161" s="251" customFormat="1" x14ac:dyDescent="0.25"/>
    <row r="162" s="251" customFormat="1" x14ac:dyDescent="0.25"/>
    <row r="163" s="251" customFormat="1" x14ac:dyDescent="0.25"/>
    <row r="164" s="251" customFormat="1" x14ac:dyDescent="0.25"/>
    <row r="165" s="251" customFormat="1" x14ac:dyDescent="0.25"/>
    <row r="166" s="251" customFormat="1" x14ac:dyDescent="0.25"/>
    <row r="167" s="251" customFormat="1" x14ac:dyDescent="0.25"/>
    <row r="168" s="251" customFormat="1" x14ac:dyDescent="0.25"/>
    <row r="169" s="251" customFormat="1" x14ac:dyDescent="0.25"/>
    <row r="170" s="251" customFormat="1" x14ac:dyDescent="0.25"/>
    <row r="171" s="251" customFormat="1" x14ac:dyDescent="0.25"/>
    <row r="172" s="251" customFormat="1" x14ac:dyDescent="0.25"/>
    <row r="173" s="251" customFormat="1" x14ac:dyDescent="0.25"/>
    <row r="174" s="251" customFormat="1" x14ac:dyDescent="0.25"/>
    <row r="175" s="251" customFormat="1" x14ac:dyDescent="0.25"/>
    <row r="176" s="251" customFormat="1" x14ac:dyDescent="0.25"/>
    <row r="177" s="251" customFormat="1" x14ac:dyDescent="0.25"/>
    <row r="178" s="251" customFormat="1" x14ac:dyDescent="0.25"/>
    <row r="179" s="251" customFormat="1" x14ac:dyDescent="0.25"/>
    <row r="180" s="251" customFormat="1" x14ac:dyDescent="0.25"/>
    <row r="181" s="251" customFormat="1" x14ac:dyDescent="0.25"/>
    <row r="182" s="251" customFormat="1" x14ac:dyDescent="0.25"/>
    <row r="183" s="251" customFormat="1" x14ac:dyDescent="0.25"/>
    <row r="184" s="251" customFormat="1" x14ac:dyDescent="0.25"/>
    <row r="185" s="251" customFormat="1" x14ac:dyDescent="0.25"/>
    <row r="186" s="251" customFormat="1" x14ac:dyDescent="0.25"/>
    <row r="187" s="251" customFormat="1" x14ac:dyDescent="0.25"/>
    <row r="188" s="251" customFormat="1" x14ac:dyDescent="0.25"/>
    <row r="189" s="251" customFormat="1" x14ac:dyDescent="0.25"/>
    <row r="190" s="251" customFormat="1" x14ac:dyDescent="0.25"/>
    <row r="191" s="251" customFormat="1" x14ac:dyDescent="0.25"/>
    <row r="192" s="251" customFormat="1" x14ac:dyDescent="0.25"/>
    <row r="193" s="251" customFormat="1" x14ac:dyDescent="0.25"/>
    <row r="194" s="251" customFormat="1" x14ac:dyDescent="0.25"/>
    <row r="195" s="251" customFormat="1" x14ac:dyDescent="0.25"/>
    <row r="196" s="251" customFormat="1" x14ac:dyDescent="0.25"/>
    <row r="197" s="251" customFormat="1" x14ac:dyDescent="0.25"/>
    <row r="198" s="251" customFormat="1" x14ac:dyDescent="0.25"/>
    <row r="199" s="251" customFormat="1" x14ac:dyDescent="0.25"/>
    <row r="200" s="251" customFormat="1" x14ac:dyDescent="0.25"/>
    <row r="201" s="251" customFormat="1" x14ac:dyDescent="0.25"/>
    <row r="202" s="251" customFormat="1" x14ac:dyDescent="0.25"/>
    <row r="203" s="251" customFormat="1" x14ac:dyDescent="0.25"/>
    <row r="204" s="251" customFormat="1" x14ac:dyDescent="0.25"/>
    <row r="205" s="251" customFormat="1" x14ac:dyDescent="0.25"/>
    <row r="206" s="251" customFormat="1" x14ac:dyDescent="0.25"/>
    <row r="207" s="251" customFormat="1" x14ac:dyDescent="0.25"/>
    <row r="208" s="251" customFormat="1" x14ac:dyDescent="0.25"/>
    <row r="209" s="251" customFormat="1" x14ac:dyDescent="0.25"/>
    <row r="210" s="251" customFormat="1" x14ac:dyDescent="0.25"/>
    <row r="211" s="251" customFormat="1" x14ac:dyDescent="0.25"/>
    <row r="212" s="251" customFormat="1" x14ac:dyDescent="0.25"/>
    <row r="213" s="251" customFormat="1" x14ac:dyDescent="0.25"/>
    <row r="214" s="251" customFormat="1" x14ac:dyDescent="0.25"/>
    <row r="215" s="251" customFormat="1" x14ac:dyDescent="0.25"/>
    <row r="216" s="251" customFormat="1" x14ac:dyDescent="0.25"/>
    <row r="217" s="251" customFormat="1" x14ac:dyDescent="0.25"/>
    <row r="218" s="251" customFormat="1" x14ac:dyDescent="0.25"/>
    <row r="219" s="251" customFormat="1" x14ac:dyDescent="0.25"/>
    <row r="220" s="251" customFormat="1" x14ac:dyDescent="0.25"/>
    <row r="221" s="251" customFormat="1" x14ac:dyDescent="0.25"/>
    <row r="222" s="251" customFormat="1" x14ac:dyDescent="0.25"/>
    <row r="223" s="251" customFormat="1" x14ac:dyDescent="0.25"/>
    <row r="224" s="251" customFormat="1" x14ac:dyDescent="0.25"/>
    <row r="225" s="251" customFormat="1" x14ac:dyDescent="0.25"/>
    <row r="226" s="251" customFormat="1" x14ac:dyDescent="0.25"/>
    <row r="227" s="251" customFormat="1" x14ac:dyDescent="0.25"/>
    <row r="228" s="251" customFormat="1" x14ac:dyDescent="0.25"/>
    <row r="229" s="251" customFormat="1" x14ac:dyDescent="0.25"/>
    <row r="230" s="251" customFormat="1" x14ac:dyDescent="0.25"/>
    <row r="231" s="251" customFormat="1" x14ac:dyDescent="0.25"/>
    <row r="232" s="251" customFormat="1" x14ac:dyDescent="0.25"/>
    <row r="233" s="251" customFormat="1" x14ac:dyDescent="0.25"/>
    <row r="234" s="251" customFormat="1" x14ac:dyDescent="0.25"/>
    <row r="235" s="251" customFormat="1" x14ac:dyDescent="0.25"/>
    <row r="236" s="251" customFormat="1" x14ac:dyDescent="0.25"/>
    <row r="237" s="251" customFormat="1" x14ac:dyDescent="0.25"/>
    <row r="238" s="251" customFormat="1" x14ac:dyDescent="0.25"/>
    <row r="239" s="251" customFormat="1" x14ac:dyDescent="0.25"/>
    <row r="240" s="251" customFormat="1" x14ac:dyDescent="0.25"/>
    <row r="241" s="251" customFormat="1" x14ac:dyDescent="0.25"/>
    <row r="242" s="251" customFormat="1" x14ac:dyDescent="0.25"/>
    <row r="243" s="251" customFormat="1" x14ac:dyDescent="0.25"/>
    <row r="244" s="251" customFormat="1" x14ac:dyDescent="0.25"/>
    <row r="245" s="251" customFormat="1" x14ac:dyDescent="0.25"/>
    <row r="246" s="251" customFormat="1" x14ac:dyDescent="0.25"/>
    <row r="247" s="251" customFormat="1" x14ac:dyDescent="0.25"/>
    <row r="248" s="251" customFormat="1" x14ac:dyDescent="0.25"/>
    <row r="249" s="251" customFormat="1" x14ac:dyDescent="0.25"/>
    <row r="250" s="251" customFormat="1" x14ac:dyDescent="0.25"/>
    <row r="251" s="251" customFormat="1" x14ac:dyDescent="0.25"/>
    <row r="252" s="251" customFormat="1" x14ac:dyDescent="0.25"/>
    <row r="253" s="251" customFormat="1" x14ac:dyDescent="0.25"/>
    <row r="254" s="251" customFormat="1" x14ac:dyDescent="0.25"/>
    <row r="255" s="251" customFormat="1" x14ac:dyDescent="0.25"/>
    <row r="256" s="251" customFormat="1" x14ac:dyDescent="0.25"/>
    <row r="257" s="251" customFormat="1" x14ac:dyDescent="0.25"/>
    <row r="258" s="251" customFormat="1" x14ac:dyDescent="0.25"/>
    <row r="259" s="251" customFormat="1" x14ac:dyDescent="0.25"/>
    <row r="260" s="251" customFormat="1" x14ac:dyDescent="0.25"/>
    <row r="261" s="251" customFormat="1" x14ac:dyDescent="0.25"/>
    <row r="262" s="251" customFormat="1" x14ac:dyDescent="0.25"/>
    <row r="263" s="251" customFormat="1" x14ac:dyDescent="0.25"/>
    <row r="264" s="251" customFormat="1" x14ac:dyDescent="0.25"/>
    <row r="265" s="251" customFormat="1" x14ac:dyDescent="0.25"/>
    <row r="266" s="251" customFormat="1" x14ac:dyDescent="0.25"/>
    <row r="267" s="251" customFormat="1" x14ac:dyDescent="0.25"/>
    <row r="268" s="251" customFormat="1" x14ac:dyDescent="0.25"/>
    <row r="269" s="251" customFormat="1" x14ac:dyDescent="0.25"/>
    <row r="270" s="251" customFormat="1" x14ac:dyDescent="0.25"/>
    <row r="271" s="251" customFormat="1" x14ac:dyDescent="0.25"/>
    <row r="272" s="251" customFormat="1" x14ac:dyDescent="0.25"/>
    <row r="273" s="251" customFormat="1" x14ac:dyDescent="0.25"/>
    <row r="274" s="251" customFormat="1" x14ac:dyDescent="0.25"/>
    <row r="275" s="251" customFormat="1" x14ac:dyDescent="0.25"/>
    <row r="276" s="251" customFormat="1" x14ac:dyDescent="0.25"/>
    <row r="277" s="251" customFormat="1" x14ac:dyDescent="0.25"/>
    <row r="278" s="251" customFormat="1" x14ac:dyDescent="0.25"/>
    <row r="279" s="251" customFormat="1" x14ac:dyDescent="0.25"/>
    <row r="280" s="251" customFormat="1" x14ac:dyDescent="0.25"/>
    <row r="281" s="251" customFormat="1" x14ac:dyDescent="0.25"/>
    <row r="282" s="251" customFormat="1" x14ac:dyDescent="0.25"/>
    <row r="283" s="251" customFormat="1" x14ac:dyDescent="0.25"/>
    <row r="284" s="251" customFormat="1" x14ac:dyDescent="0.25"/>
    <row r="285" s="251" customFormat="1" x14ac:dyDescent="0.25"/>
    <row r="286" s="251" customFormat="1" x14ac:dyDescent="0.25"/>
    <row r="287" s="251" customFormat="1" x14ac:dyDescent="0.25"/>
    <row r="288" s="251" customFormat="1" x14ac:dyDescent="0.25"/>
    <row r="289" s="251" customFormat="1" x14ac:dyDescent="0.25"/>
    <row r="290" s="251" customFormat="1" x14ac:dyDescent="0.25"/>
    <row r="291" s="251" customFormat="1" x14ac:dyDescent="0.25"/>
    <row r="292" s="251" customFormat="1" x14ac:dyDescent="0.25"/>
    <row r="293" s="251" customFormat="1" x14ac:dyDescent="0.25"/>
    <row r="294" s="251" customFormat="1" x14ac:dyDescent="0.25"/>
    <row r="295" s="251" customFormat="1" x14ac:dyDescent="0.25"/>
    <row r="296" s="251" customFormat="1" x14ac:dyDescent="0.25"/>
    <row r="297" s="251" customFormat="1" x14ac:dyDescent="0.25"/>
    <row r="298" s="251" customFormat="1" x14ac:dyDescent="0.25"/>
    <row r="299" s="251" customFormat="1" x14ac:dyDescent="0.25"/>
    <row r="300" s="251" customFormat="1" x14ac:dyDescent="0.25"/>
    <row r="301" s="251" customFormat="1" x14ac:dyDescent="0.25"/>
    <row r="302" s="251" customFormat="1" x14ac:dyDescent="0.25"/>
    <row r="303" s="251" customFormat="1" x14ac:dyDescent="0.25"/>
    <row r="304" s="251" customFormat="1" x14ac:dyDescent="0.25"/>
    <row r="305" s="251" customFormat="1" x14ac:dyDescent="0.25"/>
    <row r="306" s="251" customFormat="1" x14ac:dyDescent="0.25"/>
    <row r="307" s="251" customFormat="1" x14ac:dyDescent="0.25"/>
    <row r="308" s="251" customFormat="1" x14ac:dyDescent="0.25"/>
    <row r="309" s="251" customFormat="1" x14ac:dyDescent="0.25"/>
    <row r="310" s="251" customFormat="1" x14ac:dyDescent="0.25"/>
    <row r="311" s="251" customFormat="1" x14ac:dyDescent="0.25"/>
    <row r="312" s="251" customFormat="1" x14ac:dyDescent="0.25"/>
    <row r="313" s="251" customFormat="1" x14ac:dyDescent="0.25"/>
    <row r="314" s="251" customFormat="1" x14ac:dyDescent="0.25"/>
    <row r="315" s="251" customFormat="1" x14ac:dyDescent="0.25"/>
    <row r="316" s="251" customFormat="1" x14ac:dyDescent="0.25"/>
    <row r="317" s="251" customFormat="1" x14ac:dyDescent="0.25"/>
    <row r="385" s="251" customFormat="1" x14ac:dyDescent="0.25"/>
    <row r="386" s="251" customFormat="1" x14ac:dyDescent="0.25"/>
    <row r="387" s="251" customFormat="1" x14ac:dyDescent="0.25"/>
    <row r="388" s="251" customFormat="1" x14ac:dyDescent="0.25"/>
    <row r="389" s="251" customFormat="1" x14ac:dyDescent="0.25"/>
    <row r="390" s="251" customFormat="1" x14ac:dyDescent="0.25"/>
    <row r="391" s="251" customFormat="1" x14ac:dyDescent="0.25"/>
    <row r="392" s="251" customFormat="1" x14ac:dyDescent="0.25"/>
    <row r="393" s="251" customFormat="1" x14ac:dyDescent="0.25"/>
    <row r="394" s="251" customFormat="1" x14ac:dyDescent="0.25"/>
    <row r="395" s="251" customFormat="1" x14ac:dyDescent="0.25"/>
    <row r="396" s="251" customFormat="1" x14ac:dyDescent="0.25"/>
    <row r="397" s="251" customFormat="1" x14ac:dyDescent="0.25"/>
    <row r="398" s="251" customFormat="1" x14ac:dyDescent="0.25"/>
    <row r="399" s="251" customFormat="1" x14ac:dyDescent="0.25"/>
    <row r="400" s="251" customFormat="1" x14ac:dyDescent="0.25"/>
    <row r="401" s="251" customFormat="1" x14ac:dyDescent="0.25"/>
    <row r="402" s="251" customFormat="1" x14ac:dyDescent="0.25"/>
    <row r="403" s="251" customFormat="1" x14ac:dyDescent="0.25"/>
    <row r="404" s="251" customFormat="1" x14ac:dyDescent="0.25"/>
    <row r="405" s="251" customFormat="1" x14ac:dyDescent="0.25"/>
    <row r="406" s="251" customFormat="1" x14ac:dyDescent="0.25"/>
    <row r="407" s="251" customFormat="1" x14ac:dyDescent="0.25"/>
    <row r="408" s="251" customFormat="1" x14ac:dyDescent="0.25"/>
    <row r="409" s="251" customFormat="1" x14ac:dyDescent="0.25"/>
    <row r="410" s="251" customFormat="1" x14ac:dyDescent="0.25"/>
    <row r="411" s="251" customFormat="1" x14ac:dyDescent="0.25"/>
    <row r="412" s="251" customFormat="1" x14ac:dyDescent="0.25"/>
    <row r="413" s="251" customFormat="1" x14ac:dyDescent="0.25"/>
    <row r="414" s="251" customFormat="1" x14ac:dyDescent="0.25"/>
    <row r="415" s="251" customFormat="1" x14ac:dyDescent="0.25"/>
    <row r="416" s="251" customFormat="1" x14ac:dyDescent="0.25"/>
    <row r="417" s="251" customFormat="1" x14ac:dyDescent="0.25"/>
    <row r="418" s="251" customFormat="1" x14ac:dyDescent="0.25"/>
    <row r="419" s="251" customFormat="1" x14ac:dyDescent="0.25"/>
    <row r="420" s="251" customFormat="1" x14ac:dyDescent="0.25"/>
    <row r="421" s="251" customFormat="1" x14ac:dyDescent="0.25"/>
    <row r="422" s="251" customFormat="1" x14ac:dyDescent="0.25"/>
    <row r="423" s="251" customFormat="1" x14ac:dyDescent="0.25"/>
    <row r="424" s="251" customFormat="1" x14ac:dyDescent="0.25"/>
    <row r="425" s="251" customFormat="1" x14ac:dyDescent="0.25"/>
    <row r="426" s="251" customFormat="1" x14ac:dyDescent="0.25"/>
  </sheetData>
  <mergeCells count="2">
    <mergeCell ref="C7:C8"/>
    <mergeCell ref="O7:O8"/>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4">
    <pageSetUpPr fitToPage="1"/>
  </sheetPr>
  <dimension ref="A1:H48"/>
  <sheetViews>
    <sheetView zoomScale="75" zoomScaleNormal="75" workbookViewId="0"/>
  </sheetViews>
  <sheetFormatPr baseColWidth="10" defaultColWidth="11.53515625" defaultRowHeight="15.5" x14ac:dyDescent="0.35"/>
  <cols>
    <col min="1" max="1" width="1.53515625" customWidth="1"/>
    <col min="2" max="2" width="2.07421875" customWidth="1"/>
    <col min="3" max="3" width="80.53515625" customWidth="1"/>
  </cols>
  <sheetData>
    <row r="1" spans="1:8" x14ac:dyDescent="0.35">
      <c r="A1" s="132" t="s">
        <v>0</v>
      </c>
    </row>
    <row r="2" spans="1:8" ht="23.25" customHeight="1" x14ac:dyDescent="0.35">
      <c r="A2" s="926" t="s">
        <v>113</v>
      </c>
      <c r="B2" s="926"/>
      <c r="C2" s="926"/>
    </row>
    <row r="3" spans="1:8" x14ac:dyDescent="0.35">
      <c r="A3" s="927" t="s">
        <v>114</v>
      </c>
      <c r="B3" s="928"/>
      <c r="C3" s="928"/>
      <c r="D3" s="133"/>
      <c r="E3" s="133"/>
      <c r="F3" s="133"/>
      <c r="G3" s="133"/>
      <c r="H3" s="133"/>
    </row>
    <row r="4" spans="1:8" x14ac:dyDescent="0.35">
      <c r="A4" s="134"/>
      <c r="B4" s="134"/>
      <c r="C4" s="134"/>
      <c r="D4" s="134"/>
      <c r="E4" s="134"/>
      <c r="F4" s="134"/>
      <c r="G4" s="134"/>
      <c r="H4" s="134"/>
    </row>
    <row r="5" spans="1:8" x14ac:dyDescent="0.35">
      <c r="A5" s="135" t="s">
        <v>28</v>
      </c>
      <c r="B5" s="132" t="s">
        <v>115</v>
      </c>
      <c r="C5" s="134"/>
      <c r="D5" s="134"/>
      <c r="E5" s="134"/>
      <c r="F5" s="134"/>
      <c r="G5" s="134"/>
      <c r="H5" s="134"/>
    </row>
    <row r="6" spans="1:8" x14ac:dyDescent="0.35">
      <c r="A6" s="136"/>
      <c r="B6" s="137" t="s">
        <v>116</v>
      </c>
      <c r="C6" s="134"/>
      <c r="D6" s="134"/>
      <c r="E6" s="134"/>
      <c r="F6" s="134"/>
      <c r="G6" s="134"/>
      <c r="H6" s="134"/>
    </row>
    <row r="7" spans="1:8" x14ac:dyDescent="0.35">
      <c r="A7" s="135" t="s">
        <v>28</v>
      </c>
      <c r="B7" s="132" t="s">
        <v>117</v>
      </c>
      <c r="D7" s="134"/>
      <c r="E7" s="134"/>
      <c r="F7" s="134"/>
      <c r="G7" s="134"/>
      <c r="H7" s="134"/>
    </row>
    <row r="8" spans="1:8" ht="33.75" customHeight="1" x14ac:dyDescent="0.35">
      <c r="A8" s="136"/>
      <c r="B8" s="929" t="s">
        <v>118</v>
      </c>
      <c r="C8" s="929"/>
      <c r="D8" s="134"/>
      <c r="E8" s="134"/>
      <c r="F8" s="134"/>
      <c r="G8" s="134"/>
      <c r="H8" s="134"/>
    </row>
    <row r="9" spans="1:8" x14ac:dyDescent="0.35">
      <c r="A9" s="135" t="s">
        <v>28</v>
      </c>
      <c r="B9" s="132" t="s">
        <v>119</v>
      </c>
      <c r="C9" s="134"/>
      <c r="D9" s="134"/>
      <c r="E9" s="134"/>
      <c r="F9" s="134"/>
      <c r="G9" s="134"/>
      <c r="H9" s="134"/>
    </row>
    <row r="10" spans="1:8" ht="22.5" customHeight="1" x14ac:dyDescent="0.35">
      <c r="A10" s="136"/>
      <c r="B10" s="929" t="s">
        <v>120</v>
      </c>
      <c r="C10" s="929"/>
      <c r="D10" s="134"/>
      <c r="E10" s="134"/>
      <c r="F10" s="134"/>
      <c r="G10" s="134"/>
      <c r="H10" s="134"/>
    </row>
    <row r="11" spans="1:8" x14ac:dyDescent="0.35">
      <c r="A11" s="136"/>
      <c r="B11" s="136" t="s">
        <v>28</v>
      </c>
      <c r="C11" s="137" t="s">
        <v>99</v>
      </c>
      <c r="D11" s="134"/>
      <c r="E11" s="134"/>
      <c r="F11" s="134"/>
      <c r="G11" s="134"/>
      <c r="H11" s="134"/>
    </row>
    <row r="12" spans="1:8" x14ac:dyDescent="0.35">
      <c r="A12" s="134"/>
      <c r="B12" s="136" t="s">
        <v>28</v>
      </c>
      <c r="C12" s="137" t="s">
        <v>96</v>
      </c>
      <c r="D12" s="134"/>
      <c r="E12" s="134"/>
      <c r="F12" s="134"/>
      <c r="G12" s="134"/>
      <c r="H12" s="134"/>
    </row>
    <row r="13" spans="1:8" ht="12.75" customHeight="1" x14ac:dyDescent="0.35">
      <c r="A13" s="134"/>
      <c r="B13" s="136" t="s">
        <v>28</v>
      </c>
      <c r="C13" s="137" t="s">
        <v>121</v>
      </c>
      <c r="D13" s="134"/>
      <c r="E13" s="134"/>
      <c r="F13" s="134"/>
      <c r="G13" s="134"/>
      <c r="H13" s="134"/>
    </row>
    <row r="14" spans="1:8" x14ac:dyDescent="0.35">
      <c r="A14" s="135" t="s">
        <v>28</v>
      </c>
      <c r="B14" s="132" t="s">
        <v>122</v>
      </c>
      <c r="C14" s="134"/>
      <c r="D14" s="134"/>
      <c r="E14" s="134"/>
      <c r="F14" s="134"/>
      <c r="G14" s="134"/>
      <c r="H14" s="134"/>
    </row>
    <row r="15" spans="1:8" x14ac:dyDescent="0.35">
      <c r="A15" s="134"/>
      <c r="B15" s="135" t="s">
        <v>28</v>
      </c>
      <c r="C15" s="132" t="s">
        <v>123</v>
      </c>
      <c r="D15" s="134"/>
      <c r="E15" s="134"/>
      <c r="F15" s="134"/>
      <c r="G15" s="134"/>
      <c r="H15" s="134"/>
    </row>
    <row r="16" spans="1:8" ht="22.5" customHeight="1" x14ac:dyDescent="0.35">
      <c r="A16" s="134"/>
      <c r="B16" s="136"/>
      <c r="C16" s="138" t="s">
        <v>124</v>
      </c>
      <c r="D16" s="134"/>
      <c r="E16" s="134"/>
      <c r="F16" s="134"/>
      <c r="G16" s="134"/>
      <c r="H16" s="134"/>
    </row>
    <row r="17" spans="1:8" x14ac:dyDescent="0.35">
      <c r="A17" s="134"/>
      <c r="B17" s="135" t="s">
        <v>28</v>
      </c>
      <c r="C17" s="132" t="s">
        <v>125</v>
      </c>
      <c r="D17" s="134"/>
      <c r="E17" s="134"/>
      <c r="F17" s="134"/>
      <c r="G17" s="134"/>
      <c r="H17" s="134"/>
    </row>
    <row r="18" spans="1:8" ht="12.75" customHeight="1" x14ac:dyDescent="0.35">
      <c r="A18" s="134"/>
      <c r="B18" s="136"/>
      <c r="C18" s="138" t="s">
        <v>126</v>
      </c>
      <c r="D18" s="134"/>
      <c r="E18" s="134"/>
      <c r="F18" s="134"/>
      <c r="G18" s="134"/>
      <c r="H18" s="134"/>
    </row>
    <row r="19" spans="1:8" x14ac:dyDescent="0.35">
      <c r="A19" s="135" t="s">
        <v>28</v>
      </c>
      <c r="B19" s="132" t="s">
        <v>127</v>
      </c>
      <c r="C19" s="134"/>
      <c r="D19" s="134"/>
      <c r="E19" s="134"/>
      <c r="F19" s="134"/>
      <c r="G19" s="134"/>
      <c r="H19" s="134"/>
    </row>
    <row r="20" spans="1:8" ht="22.5" customHeight="1" x14ac:dyDescent="0.35">
      <c r="A20" s="136"/>
      <c r="B20" s="929" t="s">
        <v>128</v>
      </c>
      <c r="C20" s="929"/>
      <c r="D20" s="134"/>
      <c r="E20" s="134"/>
      <c r="F20" s="134"/>
      <c r="G20" s="134"/>
      <c r="H20" s="134"/>
    </row>
    <row r="21" spans="1:8" x14ac:dyDescent="0.35">
      <c r="A21" s="134"/>
      <c r="B21" s="135" t="s">
        <v>28</v>
      </c>
      <c r="C21" s="132" t="s">
        <v>104</v>
      </c>
      <c r="D21" s="134"/>
      <c r="E21" s="134"/>
      <c r="F21" s="134"/>
      <c r="G21" s="134"/>
      <c r="H21" s="134"/>
    </row>
    <row r="22" spans="1:8" ht="22.5" customHeight="1" x14ac:dyDescent="0.35">
      <c r="A22" s="134"/>
      <c r="B22" s="136"/>
      <c r="C22" s="138" t="s">
        <v>129</v>
      </c>
      <c r="D22" s="134"/>
      <c r="E22" s="134"/>
      <c r="F22" s="134"/>
      <c r="G22" s="134"/>
      <c r="H22" s="134"/>
    </row>
    <row r="23" spans="1:8" x14ac:dyDescent="0.35">
      <c r="A23" s="134"/>
      <c r="B23" s="135" t="s">
        <v>28</v>
      </c>
      <c r="C23" s="132" t="s">
        <v>130</v>
      </c>
      <c r="D23" s="134"/>
      <c r="E23" s="134"/>
      <c r="F23" s="134"/>
      <c r="G23" s="134"/>
      <c r="H23" s="134"/>
    </row>
    <row r="24" spans="1:8" ht="12.75" customHeight="1" x14ac:dyDescent="0.35">
      <c r="A24" s="134"/>
      <c r="B24" s="136"/>
      <c r="C24" s="138" t="s">
        <v>131</v>
      </c>
      <c r="D24" s="134"/>
      <c r="E24" s="134"/>
      <c r="F24" s="134"/>
      <c r="G24" s="134"/>
      <c r="H24" s="134"/>
    </row>
    <row r="25" spans="1:8" x14ac:dyDescent="0.35">
      <c r="A25" s="134"/>
      <c r="B25" s="135" t="s">
        <v>28</v>
      </c>
      <c r="C25" s="132" t="s">
        <v>132</v>
      </c>
      <c r="D25" s="134"/>
      <c r="E25" s="134"/>
      <c r="F25" s="134"/>
      <c r="G25" s="134"/>
      <c r="H25" s="134"/>
    </row>
    <row r="26" spans="1:8" ht="23" x14ac:dyDescent="0.35">
      <c r="A26" s="134"/>
      <c r="B26" s="136"/>
      <c r="C26" s="138" t="s">
        <v>133</v>
      </c>
      <c r="D26" s="134"/>
      <c r="E26" s="134"/>
      <c r="F26" s="134"/>
      <c r="G26" s="134"/>
      <c r="H26" s="134"/>
    </row>
    <row r="27" spans="1:8" x14ac:dyDescent="0.35">
      <c r="A27" s="135" t="s">
        <v>28</v>
      </c>
      <c r="B27" s="132" t="s">
        <v>134</v>
      </c>
      <c r="C27" s="134"/>
      <c r="D27" s="134"/>
      <c r="E27" s="134"/>
      <c r="F27" s="134"/>
      <c r="G27" s="134"/>
      <c r="H27" s="134"/>
    </row>
    <row r="28" spans="1:8" x14ac:dyDescent="0.35">
      <c r="A28" s="136"/>
      <c r="B28" s="132" t="s">
        <v>135</v>
      </c>
      <c r="C28" s="132" t="s">
        <v>136</v>
      </c>
      <c r="D28" s="134"/>
      <c r="E28" s="134"/>
      <c r="F28" s="134"/>
      <c r="G28" s="134"/>
      <c r="H28" s="134"/>
    </row>
    <row r="29" spans="1:8" ht="52.5" customHeight="1" x14ac:dyDescent="0.35">
      <c r="A29" s="136"/>
      <c r="B29" s="134"/>
      <c r="C29" s="138" t="s">
        <v>137</v>
      </c>
      <c r="D29" s="134"/>
      <c r="E29" s="134"/>
      <c r="F29" s="134"/>
      <c r="G29" s="134"/>
      <c r="H29" s="134"/>
    </row>
    <row r="30" spans="1:8" x14ac:dyDescent="0.35">
      <c r="A30" s="134"/>
      <c r="B30" s="132" t="s">
        <v>138</v>
      </c>
      <c r="C30" s="132" t="s">
        <v>139</v>
      </c>
      <c r="D30" s="134"/>
      <c r="E30" s="134"/>
      <c r="F30" s="134"/>
      <c r="G30" s="134"/>
      <c r="H30" s="134"/>
    </row>
    <row r="31" spans="1:8" ht="39" customHeight="1" x14ac:dyDescent="0.35">
      <c r="A31" s="134"/>
      <c r="B31" s="136"/>
      <c r="C31" s="138" t="s">
        <v>140</v>
      </c>
      <c r="D31" s="134"/>
      <c r="E31" s="134"/>
      <c r="F31" s="134"/>
      <c r="G31" s="134"/>
      <c r="H31" s="134"/>
    </row>
    <row r="32" spans="1:8" x14ac:dyDescent="0.35">
      <c r="A32" s="135" t="s">
        <v>28</v>
      </c>
      <c r="B32" s="132" t="s">
        <v>141</v>
      </c>
      <c r="C32" s="134"/>
      <c r="D32" s="134"/>
      <c r="E32" s="134"/>
      <c r="F32" s="134"/>
      <c r="G32" s="134"/>
      <c r="H32" s="134"/>
    </row>
    <row r="33" spans="1:8" x14ac:dyDescent="0.35">
      <c r="A33" s="136"/>
      <c r="B33" s="929" t="s">
        <v>142</v>
      </c>
      <c r="C33" s="929"/>
      <c r="D33" s="134"/>
      <c r="E33" s="134"/>
      <c r="F33" s="134"/>
      <c r="G33" s="134"/>
      <c r="H33" s="134"/>
    </row>
    <row r="34" spans="1:8" x14ac:dyDescent="0.35">
      <c r="A34" s="134"/>
      <c r="B34" s="135" t="s">
        <v>28</v>
      </c>
      <c r="C34" s="132" t="s">
        <v>143</v>
      </c>
      <c r="D34" s="134"/>
      <c r="E34" s="134"/>
      <c r="F34" s="134"/>
      <c r="G34" s="134"/>
      <c r="H34" s="134"/>
    </row>
    <row r="35" spans="1:8" ht="22.5" customHeight="1" x14ac:dyDescent="0.35">
      <c r="A35" s="134"/>
      <c r="B35" s="136"/>
      <c r="C35" s="138" t="s">
        <v>144</v>
      </c>
      <c r="D35" s="134"/>
      <c r="E35" s="134"/>
      <c r="F35" s="134"/>
      <c r="G35" s="134"/>
      <c r="H35" s="134"/>
    </row>
    <row r="36" spans="1:8" x14ac:dyDescent="0.35">
      <c r="A36" s="134"/>
      <c r="B36" s="135" t="s">
        <v>28</v>
      </c>
      <c r="C36" s="132" t="s">
        <v>145</v>
      </c>
      <c r="D36" s="134"/>
      <c r="E36" s="134"/>
      <c r="F36" s="134"/>
      <c r="G36" s="134"/>
      <c r="H36" s="134"/>
    </row>
    <row r="37" spans="1:8" ht="12.75" customHeight="1" x14ac:dyDescent="0.35">
      <c r="A37" s="134"/>
      <c r="B37" s="136"/>
      <c r="C37" s="138" t="s">
        <v>146</v>
      </c>
      <c r="D37" s="134"/>
      <c r="E37" s="134"/>
      <c r="F37" s="134"/>
      <c r="G37" s="134"/>
      <c r="H37" s="134"/>
    </row>
    <row r="38" spans="1:8" x14ac:dyDescent="0.35">
      <c r="A38" s="134"/>
      <c r="B38" s="135" t="s">
        <v>28</v>
      </c>
      <c r="C38" s="132" t="s">
        <v>147</v>
      </c>
      <c r="D38" s="134"/>
      <c r="E38" s="134"/>
      <c r="F38" s="134"/>
      <c r="G38" s="134"/>
      <c r="H38" s="134"/>
    </row>
    <row r="39" spans="1:8" ht="12.75" customHeight="1" x14ac:dyDescent="0.35">
      <c r="A39" s="134"/>
      <c r="B39" s="136"/>
      <c r="C39" s="138" t="s">
        <v>148</v>
      </c>
      <c r="D39" s="134"/>
      <c r="E39" s="134"/>
      <c r="F39" s="134"/>
      <c r="G39" s="134"/>
      <c r="H39" s="134"/>
    </row>
    <row r="40" spans="1:8" x14ac:dyDescent="0.35">
      <c r="A40" s="134"/>
      <c r="B40" s="135" t="s">
        <v>28</v>
      </c>
      <c r="C40" s="132" t="s">
        <v>149</v>
      </c>
      <c r="D40" s="134"/>
      <c r="E40" s="134"/>
      <c r="F40" s="134"/>
      <c r="G40" s="134"/>
      <c r="H40" s="134"/>
    </row>
    <row r="41" spans="1:8" ht="12.75" customHeight="1" x14ac:dyDescent="0.35">
      <c r="A41" s="134"/>
      <c r="B41" s="136"/>
      <c r="C41" s="138" t="s">
        <v>150</v>
      </c>
      <c r="D41" s="134"/>
      <c r="E41" s="134"/>
      <c r="F41" s="134"/>
      <c r="G41" s="134"/>
      <c r="H41" s="134"/>
    </row>
    <row r="42" spans="1:8" x14ac:dyDescent="0.35">
      <c r="A42" s="135" t="s">
        <v>28</v>
      </c>
      <c r="B42" s="132" t="s">
        <v>151</v>
      </c>
      <c r="C42" s="134"/>
      <c r="D42" s="134"/>
      <c r="E42" s="134"/>
      <c r="F42" s="134"/>
      <c r="G42" s="134"/>
      <c r="H42" s="134"/>
    </row>
    <row r="43" spans="1:8" ht="22.5" customHeight="1" x14ac:dyDescent="0.35">
      <c r="A43" s="136"/>
      <c r="B43" s="929" t="s">
        <v>152</v>
      </c>
      <c r="C43" s="929"/>
      <c r="D43" s="134"/>
      <c r="E43" s="134"/>
      <c r="F43" s="134"/>
      <c r="G43" s="134"/>
      <c r="H43" s="134"/>
    </row>
    <row r="44" spans="1:8" x14ac:dyDescent="0.35">
      <c r="A44" s="135" t="s">
        <v>28</v>
      </c>
      <c r="B44" s="132" t="s">
        <v>153</v>
      </c>
      <c r="C44" s="134"/>
      <c r="D44" s="134"/>
      <c r="E44" s="134"/>
      <c r="F44" s="134"/>
      <c r="G44" s="134"/>
      <c r="H44" s="134"/>
    </row>
    <row r="45" spans="1:8" ht="22.5" customHeight="1" x14ac:dyDescent="0.35">
      <c r="A45" s="136"/>
      <c r="B45" s="929" t="s">
        <v>154</v>
      </c>
      <c r="C45" s="929"/>
      <c r="D45" s="134"/>
      <c r="E45" s="134"/>
      <c r="F45" s="134"/>
      <c r="G45" s="134"/>
      <c r="H45" s="134"/>
    </row>
    <row r="46" spans="1:8" x14ac:dyDescent="0.35">
      <c r="A46" s="930">
        <f ca="1">TODAY()</f>
        <v>46043</v>
      </c>
      <c r="B46" s="930"/>
      <c r="C46" s="930"/>
      <c r="D46" s="134"/>
      <c r="E46" s="134"/>
      <c r="F46" s="134"/>
      <c r="G46" s="134"/>
      <c r="H46" s="134"/>
    </row>
    <row r="47" spans="1:8" x14ac:dyDescent="0.35">
      <c r="A47" s="134"/>
      <c r="B47" s="136"/>
      <c r="C47" s="134"/>
      <c r="D47" s="134"/>
      <c r="E47" s="134"/>
      <c r="F47" s="134"/>
      <c r="G47" s="134"/>
      <c r="H47" s="134"/>
    </row>
    <row r="48" spans="1:8" x14ac:dyDescent="0.35">
      <c r="A48" s="134"/>
      <c r="B48" s="136"/>
      <c r="C48" s="134"/>
      <c r="D48" s="134"/>
      <c r="E48" s="134"/>
      <c r="F48" s="134"/>
      <c r="G48" s="134"/>
      <c r="H48" s="134"/>
    </row>
  </sheetData>
  <mergeCells count="9">
    <mergeCell ref="A2:C2"/>
    <mergeCell ref="A3:C3"/>
    <mergeCell ref="B8:C8"/>
    <mergeCell ref="B10:C10"/>
    <mergeCell ref="A46:C46"/>
    <mergeCell ref="B20:C20"/>
    <mergeCell ref="B33:C33"/>
    <mergeCell ref="B43:C43"/>
    <mergeCell ref="B45:C45"/>
  </mergeCells>
  <phoneticPr fontId="0" type="noConversion"/>
  <printOptions horizontalCentered="1"/>
  <pageMargins left="0.78740157480314965" right="0.78740157480314965" top="0.98425196850393704" bottom="1" header="0" footer="0"/>
  <pageSetup paperSize="9" fitToWidth="2" fitToHeight="0" orientation="landscape" r:id="rId1"/>
  <headerFooter alignWithMargins="0"/>
  <rowBreaks count="1" manualBreakCount="1">
    <brk id="26" max="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I25"/>
  <sheetViews>
    <sheetView workbookViewId="0">
      <selection activeCell="A3" sqref="A3"/>
    </sheetView>
  </sheetViews>
  <sheetFormatPr baseColWidth="10" defaultColWidth="11.53515625" defaultRowHeight="12.5" x14ac:dyDescent="0.25"/>
  <cols>
    <col min="1" max="1" width="3.84375" style="104" customWidth="1"/>
    <col min="2" max="3" width="9.84375" style="104" customWidth="1"/>
    <col min="4" max="16384" width="11.53515625" style="104"/>
  </cols>
  <sheetData>
    <row r="1" spans="1:9" x14ac:dyDescent="0.25">
      <c r="A1" s="1" t="s">
        <v>0</v>
      </c>
    </row>
    <row r="2" spans="1:9" ht="13" x14ac:dyDescent="0.3">
      <c r="A2" s="105" t="s">
        <v>156</v>
      </c>
      <c r="B2" s="106"/>
      <c r="C2" s="106"/>
      <c r="D2" s="106"/>
      <c r="E2" s="106"/>
      <c r="F2" s="106"/>
      <c r="G2" s="106"/>
      <c r="H2" s="106"/>
      <c r="I2" s="106"/>
    </row>
    <row r="4" spans="1:9" ht="13" x14ac:dyDescent="0.3">
      <c r="A4" s="129" t="s">
        <v>95</v>
      </c>
      <c r="B4" s="105" t="s">
        <v>96</v>
      </c>
      <c r="C4" s="106"/>
    </row>
    <row r="5" spans="1:9" ht="13" x14ac:dyDescent="0.3">
      <c r="A5" s="129"/>
      <c r="B5" s="106" t="s">
        <v>97</v>
      </c>
      <c r="C5" s="106"/>
      <c r="D5" s="108" t="s">
        <v>107</v>
      </c>
    </row>
    <row r="6" spans="1:9" ht="13" x14ac:dyDescent="0.3">
      <c r="A6" s="129"/>
      <c r="D6" s="104" t="s">
        <v>108</v>
      </c>
      <c r="E6" s="108"/>
    </row>
    <row r="7" spans="1:9" ht="13" x14ac:dyDescent="0.3">
      <c r="A7" s="129"/>
    </row>
    <row r="8" spans="1:9" ht="13" x14ac:dyDescent="0.3">
      <c r="A8" s="129" t="s">
        <v>98</v>
      </c>
      <c r="B8" s="105" t="s">
        <v>99</v>
      </c>
      <c r="C8" s="106"/>
      <c r="D8" s="108"/>
    </row>
    <row r="9" spans="1:9" ht="13" x14ac:dyDescent="0.3">
      <c r="A9" s="129"/>
      <c r="B9" s="106" t="s">
        <v>97</v>
      </c>
      <c r="C9" s="106"/>
      <c r="D9" s="108" t="s">
        <v>109</v>
      </c>
    </row>
    <row r="10" spans="1:9" ht="13" x14ac:dyDescent="0.3">
      <c r="A10" s="129"/>
      <c r="B10" s="106"/>
      <c r="C10" s="106"/>
      <c r="D10" s="104" t="s">
        <v>111</v>
      </c>
      <c r="E10" s="108"/>
    </row>
    <row r="11" spans="1:9" ht="13" x14ac:dyDescent="0.3">
      <c r="A11" s="129"/>
    </row>
    <row r="12" spans="1:9" ht="13" x14ac:dyDescent="0.3">
      <c r="A12" s="129" t="s">
        <v>100</v>
      </c>
      <c r="B12" s="105" t="s">
        <v>99</v>
      </c>
      <c r="C12" s="106"/>
    </row>
    <row r="13" spans="1:9" ht="13" x14ac:dyDescent="0.3">
      <c r="A13" s="107"/>
      <c r="B13" s="106" t="s">
        <v>101</v>
      </c>
      <c r="C13" s="106"/>
    </row>
    <row r="14" spans="1:9" ht="13" x14ac:dyDescent="0.3">
      <c r="A14" s="107"/>
      <c r="B14" s="106" t="s">
        <v>102</v>
      </c>
      <c r="C14" s="106"/>
      <c r="D14" s="108" t="s">
        <v>112</v>
      </c>
    </row>
    <row r="15" spans="1:9" ht="13" x14ac:dyDescent="0.3">
      <c r="A15" s="107"/>
      <c r="B15" s="106"/>
      <c r="C15" s="106"/>
      <c r="D15" s="104" t="s">
        <v>110</v>
      </c>
      <c r="E15" s="108"/>
    </row>
    <row r="17" spans="1:6" x14ac:dyDescent="0.25">
      <c r="A17" s="70"/>
      <c r="D17" s="5" t="s">
        <v>75</v>
      </c>
      <c r="E17" s="5"/>
      <c r="F17" s="4"/>
    </row>
    <row r="18" spans="1:6" ht="13" x14ac:dyDescent="0.3">
      <c r="A18" s="4"/>
      <c r="D18" s="97" t="s">
        <v>77</v>
      </c>
      <c r="E18" s="98" t="s">
        <v>78</v>
      </c>
      <c r="F18" s="99"/>
    </row>
    <row r="19" spans="1:6" x14ac:dyDescent="0.25">
      <c r="A19" s="5"/>
      <c r="D19" s="73" t="s">
        <v>80</v>
      </c>
      <c r="E19" s="74" t="s">
        <v>81</v>
      </c>
      <c r="F19" s="75"/>
    </row>
    <row r="20" spans="1:6" x14ac:dyDescent="0.25">
      <c r="A20" s="4"/>
      <c r="D20" s="79" t="s">
        <v>82</v>
      </c>
      <c r="E20" s="80" t="s">
        <v>83</v>
      </c>
      <c r="F20" s="81"/>
    </row>
    <row r="21" spans="1:6" x14ac:dyDescent="0.25">
      <c r="A21" s="4"/>
      <c r="D21" s="79" t="s">
        <v>84</v>
      </c>
      <c r="E21" s="80" t="s">
        <v>85</v>
      </c>
      <c r="F21" s="81"/>
    </row>
    <row r="22" spans="1:6" x14ac:dyDescent="0.25">
      <c r="A22" s="4"/>
      <c r="D22" s="79" t="s">
        <v>86</v>
      </c>
      <c r="E22" s="80" t="s">
        <v>87</v>
      </c>
      <c r="F22" s="81"/>
    </row>
    <row r="23" spans="1:6" x14ac:dyDescent="0.25">
      <c r="A23" s="4"/>
      <c r="D23" s="91" t="s">
        <v>90</v>
      </c>
      <c r="E23" s="92" t="s">
        <v>91</v>
      </c>
      <c r="F23" s="93"/>
    </row>
    <row r="24" spans="1:6" x14ac:dyDescent="0.25">
      <c r="A24" s="4"/>
      <c r="D24" s="39"/>
      <c r="E24" s="96"/>
      <c r="F24" s="5"/>
    </row>
    <row r="25" spans="1:6" x14ac:dyDescent="0.25">
      <c r="A25" s="130">
        <f ca="1">TODAY()</f>
        <v>46043</v>
      </c>
      <c r="B25" s="128"/>
    </row>
  </sheetData>
  <phoneticPr fontId="0" type="noConversion"/>
  <printOptions horizontalCentered="1" verticalCentered="1"/>
  <pageMargins left="0.75" right="0.75" top="0.78740157480314965" bottom="1" header="0" footer="0"/>
  <pageSetup paperSize="9" orientation="landscape"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18</vt:i4>
      </vt:variant>
    </vt:vector>
  </HeadingPairs>
  <TitlesOfParts>
    <vt:vector size="35" baseType="lpstr">
      <vt:lpstr>Abr (2)</vt:lpstr>
      <vt:lpstr>Ene</vt:lpstr>
      <vt:lpstr>Ene-2</vt:lpstr>
      <vt:lpstr>Feb</vt:lpstr>
      <vt:lpstr>Mar</vt:lpstr>
      <vt:lpstr>Abr</vt:lpstr>
      <vt:lpstr>May</vt:lpstr>
      <vt:lpstr>Jun</vt:lpstr>
      <vt:lpstr>Jul</vt:lpstr>
      <vt:lpstr>Ago</vt:lpstr>
      <vt:lpstr>Set</vt:lpstr>
      <vt:lpstr>Oct</vt:lpstr>
      <vt:lpstr>Nov</vt:lpstr>
      <vt:lpstr>Dic</vt:lpstr>
      <vt:lpstr>TOTAL</vt:lpstr>
      <vt:lpstr>Nomenclatura</vt:lpstr>
      <vt:lpstr>Formulas</vt:lpstr>
      <vt:lpstr>Abr!Área_de_impresión</vt:lpstr>
      <vt:lpstr>'Abr (2)'!Área_de_impresión</vt:lpstr>
      <vt:lpstr>Ago!Área_de_impresión</vt:lpstr>
      <vt:lpstr>Dic!Área_de_impresión</vt:lpstr>
      <vt:lpstr>Ene!Área_de_impresión</vt:lpstr>
      <vt:lpstr>'Ene-2'!Área_de_impresión</vt:lpstr>
      <vt:lpstr>Feb!Área_de_impresión</vt:lpstr>
      <vt:lpstr>Jul!Área_de_impresión</vt:lpstr>
      <vt:lpstr>Jun!Área_de_impresión</vt:lpstr>
      <vt:lpstr>Mar!Área_de_impresión</vt:lpstr>
      <vt:lpstr>May!Área_de_impresión</vt:lpstr>
      <vt:lpstr>Nomenclatura!Área_de_impresión</vt:lpstr>
      <vt:lpstr>Nov!Área_de_impresión</vt:lpstr>
      <vt:lpstr>Oct!Área_de_impresión</vt:lpstr>
      <vt:lpstr>Set!Área_de_impresión</vt:lpstr>
      <vt:lpstr>Set!tc</vt:lpstr>
      <vt:lpstr>tc</vt:lpstr>
      <vt:lpstr>Nomenclatura!Títulos_a_imprimir</vt:lpstr>
    </vt:vector>
  </TitlesOfParts>
  <Company>PERUPETRO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Vásquez Guevara</dc:creator>
  <cp:lastModifiedBy>Jessica Gallo Cabrera</cp:lastModifiedBy>
  <cp:lastPrinted>2025-09-01T19:51:22Z</cp:lastPrinted>
  <dcterms:created xsi:type="dcterms:W3CDTF">2000-02-15T17:08:19Z</dcterms:created>
  <dcterms:modified xsi:type="dcterms:W3CDTF">2026-01-21T23:44:21Z</dcterms:modified>
</cp:coreProperties>
</file>