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DMI\GFTE\ESTADISTICAS\Canon\Portal\2026\CANON\"/>
    </mc:Choice>
  </mc:AlternateContent>
  <xr:revisionPtr revIDLastSave="0" documentId="13_ncr:1_{BF18655D-A72E-418A-B565-72B8227333F6}" xr6:coauthVersionLast="47" xr6:coauthVersionMax="47" xr10:uidLastSave="{00000000-0000-0000-0000-000000000000}"/>
  <bookViews>
    <workbookView xWindow="-25320" yWindow="-2100" windowWidth="25440" windowHeight="15270" tabRatio="501" xr2:uid="{00000000-000D-0000-FFFF-FFFF00000000}"/>
  </bookViews>
  <sheets>
    <sheet name="2026" sheetId="39" r:id="rId1"/>
    <sheet name="2025" sheetId="38" r:id="rId2"/>
    <sheet name="2024" sheetId="37" r:id="rId3"/>
    <sheet name="2023" sheetId="36" r:id="rId4"/>
    <sheet name="2022" sheetId="35" r:id="rId5"/>
    <sheet name="2021" sheetId="34" r:id="rId6"/>
    <sheet name="2020" sheetId="33" r:id="rId7"/>
    <sheet name="2019" sheetId="32" r:id="rId8"/>
    <sheet name="2018" sheetId="31" r:id="rId9"/>
    <sheet name="2017" sheetId="30" r:id="rId10"/>
    <sheet name="2016" sheetId="29" r:id="rId11"/>
    <sheet name="2015" sheetId="28" r:id="rId12"/>
    <sheet name="2014" sheetId="27" r:id="rId13"/>
    <sheet name="2013" sheetId="26" r:id="rId14"/>
    <sheet name="2012" sheetId="25" r:id="rId15"/>
    <sheet name="2011" sheetId="24" r:id="rId16"/>
    <sheet name="2010" sheetId="23" r:id="rId17"/>
    <sheet name="2009" sheetId="22" r:id="rId18"/>
    <sheet name="2008" sheetId="21" r:id="rId19"/>
    <sheet name="2007" sheetId="20" r:id="rId20"/>
    <sheet name="2006" sheetId="19" r:id="rId21"/>
    <sheet name="2005" sheetId="17" r:id="rId22"/>
    <sheet name="2004" sheetId="16" r:id="rId23"/>
    <sheet name="2003" sheetId="15" r:id="rId24"/>
    <sheet name="2002" sheetId="14" r:id="rId25"/>
    <sheet name="2001" sheetId="4" r:id="rId26"/>
    <sheet name="2000" sheetId="5" r:id="rId27"/>
    <sheet name="99" sheetId="6" r:id="rId28"/>
    <sheet name="98" sheetId="7" r:id="rId29"/>
    <sheet name="97" sheetId="8" r:id="rId30"/>
    <sheet name="96" sheetId="9" r:id="rId31"/>
    <sheet name="95" sheetId="10" r:id="rId32"/>
    <sheet name="94" sheetId="11" r:id="rId33"/>
    <sheet name="93" sheetId="12" r:id="rId34"/>
  </sheets>
  <definedNames>
    <definedName name="_xlnm.Print_Area" localSheetId="26">'2000'!$A$7:$Q$81</definedName>
    <definedName name="_xlnm.Print_Area" localSheetId="25">'2001'!$A$7:$Q$81</definedName>
    <definedName name="_xlnm.Print_Area" localSheetId="24">'2002'!$A$1:$Q$84</definedName>
    <definedName name="_xlnm.Print_Area" localSheetId="23">'2003'!$A$1:$Q$15</definedName>
    <definedName name="_xlnm.Print_Area" localSheetId="22">'2004'!$A$1:$Q$15</definedName>
    <definedName name="_xlnm.Print_Area" localSheetId="21">'2005'!$A$1:$Q$15</definedName>
    <definedName name="_xlnm.Print_Area" localSheetId="20">'2006'!$A$1:$Q$15</definedName>
    <definedName name="_xlnm.Print_Area" localSheetId="19">'2007'!$A$1:$Q$15</definedName>
    <definedName name="_xlnm.Print_Area" localSheetId="18">'2008'!$A$1:$Q$15</definedName>
    <definedName name="_xlnm.Print_Area" localSheetId="17">'2009'!$A$1:$Q$17</definedName>
    <definedName name="_xlnm.Print_Area" localSheetId="33">'93'!$A$7:$Q$81</definedName>
    <definedName name="_xlnm.Print_Area" localSheetId="32">'94'!$A$7:$Q$81</definedName>
    <definedName name="_xlnm.Print_Area" localSheetId="31">'95'!$A$7:$Q$81</definedName>
    <definedName name="_xlnm.Print_Area" localSheetId="30">'96'!$A$7:$Q$81</definedName>
    <definedName name="_xlnm.Print_Area" localSheetId="29">'97'!$A$7:$Q$81</definedName>
    <definedName name="_xlnm.Print_Area" localSheetId="28">'98'!$A$7:$Q$81</definedName>
    <definedName name="_xlnm.Print_Area" localSheetId="27">'99'!$A$7:$Q$81</definedName>
    <definedName name="_xlnm.Print_Titles" localSheetId="26">'2000'!$1:$7</definedName>
    <definedName name="_xlnm.Print_Titles" localSheetId="25">'2001'!$1:$7</definedName>
    <definedName name="_xlnm.Print_Titles" localSheetId="24">'2002'!$1:$7</definedName>
    <definedName name="_xlnm.Print_Titles" localSheetId="23">'2003'!$1:$7</definedName>
    <definedName name="_xlnm.Print_Titles" localSheetId="22">'2004'!$1:$7</definedName>
    <definedName name="_xlnm.Print_Titles" localSheetId="21">'2005'!$1:$7</definedName>
    <definedName name="_xlnm.Print_Titles" localSheetId="20">'2006'!$1:$7</definedName>
    <definedName name="_xlnm.Print_Titles" localSheetId="19">'2007'!$1:$7</definedName>
    <definedName name="_xlnm.Print_Titles" localSheetId="18">'2008'!$1:$7</definedName>
    <definedName name="_xlnm.Print_Titles" localSheetId="17">'2009'!$1:$7</definedName>
    <definedName name="_xlnm.Print_Titles" localSheetId="33">'93'!$1:$7</definedName>
    <definedName name="_xlnm.Print_Titles" localSheetId="32">'94'!$1:$7</definedName>
    <definedName name="_xlnm.Print_Titles" localSheetId="31">'95'!$1:$7</definedName>
    <definedName name="_xlnm.Print_Titles" localSheetId="30">'96'!$1:$7</definedName>
    <definedName name="_xlnm.Print_Titles" localSheetId="29">'97'!$1:$7</definedName>
    <definedName name="_xlnm.Print_Titles" localSheetId="28">'98'!$1:$7</definedName>
    <definedName name="_xlnm.Print_Titles" localSheetId="27">'99'!$1:$7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" i="39" l="1"/>
  <c r="O15" i="39"/>
  <c r="N15" i="39"/>
  <c r="M15" i="39"/>
  <c r="L15" i="39"/>
  <c r="K15" i="39"/>
  <c r="J15" i="39"/>
  <c r="I15" i="39"/>
  <c r="H15" i="39"/>
  <c r="G15" i="39"/>
  <c r="F15" i="39"/>
  <c r="E15" i="39"/>
  <c r="Q14" i="39"/>
  <c r="Q13" i="39"/>
  <c r="Q12" i="39"/>
  <c r="Q11" i="39"/>
  <c r="Q10" i="39"/>
  <c r="Q9" i="39"/>
  <c r="Q8" i="39"/>
  <c r="P5" i="39"/>
  <c r="O5" i="39"/>
  <c r="N5" i="39"/>
  <c r="M5" i="39"/>
  <c r="L5" i="39"/>
  <c r="K5" i="39"/>
  <c r="J5" i="39"/>
  <c r="I5" i="39"/>
  <c r="H5" i="39"/>
  <c r="G5" i="39"/>
  <c r="F5" i="39"/>
  <c r="E5" i="39"/>
  <c r="P16" i="38"/>
  <c r="O16" i="38"/>
  <c r="N16" i="38"/>
  <c r="M16" i="38"/>
  <c r="L16" i="38"/>
  <c r="K16" i="38"/>
  <c r="J16" i="38"/>
  <c r="I16" i="38"/>
  <c r="H16" i="38"/>
  <c r="G16" i="38"/>
  <c r="F16" i="38"/>
  <c r="E16" i="38"/>
  <c r="Q15" i="38"/>
  <c r="Q14" i="38"/>
  <c r="Q13" i="38"/>
  <c r="Q12" i="38"/>
  <c r="Q11" i="38"/>
  <c r="Q10" i="38"/>
  <c r="Q9" i="38"/>
  <c r="Q8" i="38"/>
  <c r="P5" i="38"/>
  <c r="O5" i="38"/>
  <c r="N5" i="38"/>
  <c r="M5" i="38"/>
  <c r="L5" i="38"/>
  <c r="K5" i="38"/>
  <c r="J5" i="38"/>
  <c r="I5" i="38"/>
  <c r="H5" i="38"/>
  <c r="G5" i="38"/>
  <c r="F5" i="38"/>
  <c r="E5" i="38"/>
  <c r="Q11" i="37"/>
  <c r="E16" i="37"/>
  <c r="E5" i="37"/>
  <c r="F5" i="37"/>
  <c r="G5" i="37"/>
  <c r="H5" i="37"/>
  <c r="I5" i="37"/>
  <c r="J5" i="37"/>
  <c r="K5" i="37"/>
  <c r="L5" i="37"/>
  <c r="M5" i="37"/>
  <c r="N5" i="37"/>
  <c r="O5" i="37"/>
  <c r="P5" i="37"/>
  <c r="P16" i="37"/>
  <c r="O16" i="37"/>
  <c r="N16" i="37"/>
  <c r="M16" i="37"/>
  <c r="L16" i="37"/>
  <c r="K16" i="37"/>
  <c r="J16" i="37"/>
  <c r="I16" i="37"/>
  <c r="H16" i="37"/>
  <c r="G16" i="37"/>
  <c r="F16" i="37"/>
  <c r="Q15" i="37"/>
  <c r="Q14" i="37"/>
  <c r="Q13" i="37"/>
  <c r="Q12" i="37"/>
  <c r="Q10" i="37"/>
  <c r="Q9" i="37"/>
  <c r="Q8" i="37"/>
  <c r="P15" i="36"/>
  <c r="P24" i="36" s="1"/>
  <c r="O15" i="36"/>
  <c r="O23" i="36" s="1"/>
  <c r="N15" i="36"/>
  <c r="N22" i="36" s="1"/>
  <c r="M15" i="36"/>
  <c r="M21" i="36" s="1"/>
  <c r="L15" i="36"/>
  <c r="L20" i="36" s="1"/>
  <c r="K15" i="36"/>
  <c r="K20" i="36" s="1"/>
  <c r="J15" i="36"/>
  <c r="J23" i="36" s="1"/>
  <c r="I15" i="36"/>
  <c r="I22" i="36" s="1"/>
  <c r="H15" i="36"/>
  <c r="G15" i="36"/>
  <c r="F15" i="36"/>
  <c r="E15" i="36"/>
  <c r="Q14" i="36"/>
  <c r="Q13" i="36"/>
  <c r="Q12" i="36"/>
  <c r="Q11" i="36"/>
  <c r="Q10" i="36"/>
  <c r="Q9" i="36"/>
  <c r="Q8" i="36"/>
  <c r="P5" i="36"/>
  <c r="O5" i="36"/>
  <c r="N5" i="36"/>
  <c r="M5" i="36"/>
  <c r="L5" i="36"/>
  <c r="K5" i="36"/>
  <c r="J5" i="36"/>
  <c r="I5" i="36"/>
  <c r="H5" i="36"/>
  <c r="G5" i="36"/>
  <c r="F5" i="36"/>
  <c r="E5" i="36"/>
  <c r="Q12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Q14" i="35"/>
  <c r="Q13" i="35"/>
  <c r="Q11" i="35"/>
  <c r="Q10" i="35"/>
  <c r="Q9" i="35"/>
  <c r="Q8" i="35"/>
  <c r="P5" i="35"/>
  <c r="O5" i="35"/>
  <c r="N5" i="35"/>
  <c r="M5" i="35"/>
  <c r="L5" i="35"/>
  <c r="K5" i="35"/>
  <c r="J5" i="35"/>
  <c r="I5" i="35"/>
  <c r="H5" i="35"/>
  <c r="G5" i="35"/>
  <c r="F5" i="35"/>
  <c r="E5" i="35"/>
  <c r="N21" i="36" l="1"/>
  <c r="O21" i="36"/>
  <c r="P21" i="36"/>
  <c r="Q15" i="39"/>
  <c r="M20" i="36"/>
  <c r="N20" i="36"/>
  <c r="O20" i="36"/>
  <c r="N23" i="36"/>
  <c r="M22" i="36"/>
  <c r="O22" i="36"/>
  <c r="P22" i="36"/>
  <c r="P20" i="36"/>
  <c r="P23" i="36"/>
  <c r="I21" i="36"/>
  <c r="J24" i="36"/>
  <c r="I23" i="36"/>
  <c r="J22" i="36"/>
  <c r="K23" i="36"/>
  <c r="I24" i="36"/>
  <c r="J21" i="36"/>
  <c r="K22" i="36"/>
  <c r="L23" i="36"/>
  <c r="M24" i="36"/>
  <c r="I20" i="36"/>
  <c r="K24" i="36"/>
  <c r="L24" i="36"/>
  <c r="J20" i="36"/>
  <c r="K21" i="36"/>
  <c r="L22" i="36"/>
  <c r="M23" i="36"/>
  <c r="N24" i="36"/>
  <c r="L21" i="36"/>
  <c r="O24" i="36"/>
  <c r="Q16" i="38"/>
  <c r="Q16" i="37"/>
  <c r="Q15" i="36"/>
  <c r="Q15" i="35"/>
  <c r="P14" i="34"/>
  <c r="O14" i="34"/>
  <c r="N14" i="34"/>
  <c r="M14" i="34"/>
  <c r="L14" i="34"/>
  <c r="K14" i="34"/>
  <c r="J14" i="34"/>
  <c r="I14" i="34"/>
  <c r="H14" i="34"/>
  <c r="G14" i="34"/>
  <c r="F14" i="34"/>
  <c r="E14" i="34"/>
  <c r="Q13" i="34"/>
  <c r="Q12" i="34"/>
  <c r="Q11" i="34"/>
  <c r="Q10" i="34"/>
  <c r="Q9" i="34"/>
  <c r="Q8" i="34"/>
  <c r="P5" i="34"/>
  <c r="O5" i="34"/>
  <c r="N5" i="34"/>
  <c r="M5" i="34"/>
  <c r="L5" i="34"/>
  <c r="K5" i="34"/>
  <c r="J5" i="34"/>
  <c r="I5" i="34"/>
  <c r="H5" i="34"/>
  <c r="G5" i="34"/>
  <c r="F5" i="34"/>
  <c r="E5" i="34"/>
  <c r="Q14" i="34" l="1"/>
  <c r="P5" i="33"/>
  <c r="O5" i="33"/>
  <c r="N5" i="33"/>
  <c r="M5" i="33"/>
  <c r="L5" i="33"/>
  <c r="K5" i="33"/>
  <c r="J5" i="33"/>
  <c r="I5" i="33"/>
  <c r="H5" i="33"/>
  <c r="G5" i="33"/>
  <c r="F5" i="33"/>
  <c r="E5" i="33"/>
  <c r="P14" i="33" l="1"/>
  <c r="O14" i="33"/>
  <c r="N14" i="33"/>
  <c r="M14" i="33"/>
  <c r="L14" i="33"/>
  <c r="K14" i="33"/>
  <c r="J14" i="33"/>
  <c r="I14" i="33"/>
  <c r="H14" i="33"/>
  <c r="G14" i="33"/>
  <c r="F14" i="33"/>
  <c r="E14" i="33"/>
  <c r="Q13" i="33"/>
  <c r="Q12" i="33"/>
  <c r="Q11" i="33"/>
  <c r="Q10" i="33"/>
  <c r="Q9" i="33"/>
  <c r="Q8" i="33"/>
  <c r="Q14" i="33" l="1"/>
  <c r="P14" i="32"/>
  <c r="O14" i="32"/>
  <c r="N14" i="32"/>
  <c r="M14" i="32"/>
  <c r="L14" i="32"/>
  <c r="K14" i="32"/>
  <c r="J14" i="32"/>
  <c r="I14" i="32"/>
  <c r="H14" i="32"/>
  <c r="G14" i="32"/>
  <c r="F14" i="32"/>
  <c r="E14" i="32"/>
  <c r="Q13" i="32"/>
  <c r="Q12" i="32"/>
  <c r="Q11" i="32"/>
  <c r="Q10" i="32"/>
  <c r="Q9" i="32"/>
  <c r="Q8" i="32"/>
  <c r="P5" i="32"/>
  <c r="O5" i="32"/>
  <c r="N5" i="32"/>
  <c r="M5" i="32"/>
  <c r="L5" i="32"/>
  <c r="K5" i="32"/>
  <c r="J5" i="32"/>
  <c r="I5" i="32"/>
  <c r="H5" i="32"/>
  <c r="G5" i="32"/>
  <c r="F5" i="32"/>
  <c r="E5" i="32"/>
  <c r="Q14" i="32" l="1"/>
  <c r="P14" i="31"/>
  <c r="O14" i="31"/>
  <c r="N14" i="31"/>
  <c r="M14" i="31"/>
  <c r="L14" i="31"/>
  <c r="K14" i="31"/>
  <c r="J14" i="31"/>
  <c r="I14" i="31"/>
  <c r="H14" i="31"/>
  <c r="G14" i="31"/>
  <c r="F14" i="31"/>
  <c r="E14" i="31"/>
  <c r="Q13" i="31"/>
  <c r="Q12" i="31"/>
  <c r="Q11" i="31"/>
  <c r="Q10" i="31"/>
  <c r="Q9" i="31"/>
  <c r="Q8" i="31"/>
  <c r="P5" i="31"/>
  <c r="O5" i="31"/>
  <c r="N5" i="31"/>
  <c r="M5" i="31"/>
  <c r="L5" i="31"/>
  <c r="K5" i="31"/>
  <c r="J5" i="31"/>
  <c r="I5" i="31"/>
  <c r="H5" i="31"/>
  <c r="G5" i="31"/>
  <c r="F5" i="31"/>
  <c r="E5" i="31"/>
  <c r="Q14" i="31" l="1"/>
  <c r="P14" i="29" l="1"/>
  <c r="O14" i="29"/>
  <c r="N14" i="29"/>
  <c r="M14" i="29"/>
  <c r="L14" i="29"/>
  <c r="K14" i="29"/>
  <c r="J14" i="29"/>
  <c r="I14" i="29"/>
  <c r="H14" i="29"/>
  <c r="G14" i="29"/>
  <c r="F14" i="29"/>
  <c r="E14" i="29"/>
  <c r="Q13" i="29"/>
  <c r="Q12" i="29"/>
  <c r="Q11" i="29"/>
  <c r="Q10" i="29"/>
  <c r="Q9" i="29"/>
  <c r="Q8" i="29"/>
  <c r="P5" i="29"/>
  <c r="O5" i="29"/>
  <c r="N5" i="29"/>
  <c r="M5" i="29"/>
  <c r="L5" i="29"/>
  <c r="K5" i="29"/>
  <c r="J5" i="29"/>
  <c r="I5" i="29"/>
  <c r="H5" i="29"/>
  <c r="G5" i="29"/>
  <c r="F5" i="29"/>
  <c r="E5" i="29"/>
  <c r="P14" i="30"/>
  <c r="O14" i="30"/>
  <c r="N14" i="30"/>
  <c r="M14" i="30"/>
  <c r="L14" i="30"/>
  <c r="K14" i="30"/>
  <c r="J14" i="30"/>
  <c r="I14" i="30"/>
  <c r="H14" i="30"/>
  <c r="G14" i="30"/>
  <c r="F14" i="30"/>
  <c r="E14" i="30"/>
  <c r="Q13" i="30"/>
  <c r="Q12" i="30"/>
  <c r="Q11" i="30"/>
  <c r="Q10" i="30"/>
  <c r="Q9" i="30"/>
  <c r="Q8" i="30"/>
  <c r="P5" i="30"/>
  <c r="O5" i="30"/>
  <c r="N5" i="30"/>
  <c r="M5" i="30"/>
  <c r="L5" i="30"/>
  <c r="K5" i="30"/>
  <c r="J5" i="30"/>
  <c r="I5" i="30"/>
  <c r="H5" i="30"/>
  <c r="G5" i="30"/>
  <c r="F5" i="30"/>
  <c r="E5" i="30"/>
  <c r="Q14" i="29" l="1"/>
  <c r="Q14" i="30"/>
  <c r="P14" i="28"/>
  <c r="O14" i="28"/>
  <c r="N14" i="28"/>
  <c r="M14" i="28"/>
  <c r="L14" i="28"/>
  <c r="K14" i="28"/>
  <c r="J14" i="28"/>
  <c r="I14" i="28"/>
  <c r="H14" i="28"/>
  <c r="G14" i="28"/>
  <c r="F14" i="28"/>
  <c r="E14" i="28"/>
  <c r="Q13" i="28"/>
  <c r="Q12" i="28"/>
  <c r="Q11" i="28"/>
  <c r="Q10" i="28"/>
  <c r="Q9" i="28"/>
  <c r="Q8" i="28"/>
  <c r="P5" i="28"/>
  <c r="O5" i="28"/>
  <c r="N5" i="28"/>
  <c r="M5" i="28"/>
  <c r="L5" i="28"/>
  <c r="K5" i="28"/>
  <c r="J5" i="28"/>
  <c r="I5" i="28"/>
  <c r="H5" i="28"/>
  <c r="G5" i="28"/>
  <c r="F5" i="28"/>
  <c r="E5" i="28"/>
  <c r="Q14" i="28" l="1"/>
  <c r="P14" i="27"/>
  <c r="O14" i="27"/>
  <c r="N14" i="27"/>
  <c r="M14" i="27"/>
  <c r="L14" i="27"/>
  <c r="K14" i="27"/>
  <c r="J14" i="27"/>
  <c r="I14" i="27"/>
  <c r="H14" i="27"/>
  <c r="G14" i="27"/>
  <c r="F14" i="27"/>
  <c r="E14" i="27"/>
  <c r="Q13" i="27"/>
  <c r="Q12" i="27"/>
  <c r="Q11" i="27"/>
  <c r="Q10" i="27"/>
  <c r="Q9" i="27"/>
  <c r="Q8" i="27"/>
  <c r="P5" i="27"/>
  <c r="O5" i="27"/>
  <c r="N5" i="27"/>
  <c r="M5" i="27"/>
  <c r="L5" i="27"/>
  <c r="K5" i="27"/>
  <c r="J5" i="27"/>
  <c r="I5" i="27"/>
  <c r="H5" i="27"/>
  <c r="G5" i="27"/>
  <c r="F5" i="27"/>
  <c r="E5" i="27"/>
  <c r="Q14" i="27" l="1"/>
  <c r="P14" i="26"/>
  <c r="O14" i="26"/>
  <c r="N14" i="26"/>
  <c r="M14" i="26"/>
  <c r="L14" i="26"/>
  <c r="K14" i="26"/>
  <c r="J14" i="26"/>
  <c r="I14" i="26"/>
  <c r="H14" i="26"/>
  <c r="G14" i="26"/>
  <c r="F14" i="26"/>
  <c r="E14" i="26"/>
  <c r="Q13" i="26"/>
  <c r="Q12" i="26"/>
  <c r="Q11" i="26"/>
  <c r="Q10" i="26"/>
  <c r="Q9" i="26"/>
  <c r="Q8" i="26"/>
  <c r="P5" i="26"/>
  <c r="O5" i="26"/>
  <c r="N5" i="26"/>
  <c r="M5" i="26"/>
  <c r="L5" i="26"/>
  <c r="K5" i="26"/>
  <c r="J5" i="26"/>
  <c r="I5" i="26"/>
  <c r="H5" i="26"/>
  <c r="G5" i="26"/>
  <c r="F5" i="26"/>
  <c r="E5" i="26"/>
  <c r="Q14" i="26" l="1"/>
  <c r="P14" i="25" l="1"/>
  <c r="O14" i="25"/>
  <c r="N14" i="25"/>
  <c r="M14" i="25"/>
  <c r="L14" i="25"/>
  <c r="K14" i="25"/>
  <c r="J14" i="25"/>
  <c r="I14" i="25"/>
  <c r="H14" i="25"/>
  <c r="G14" i="25"/>
  <c r="F14" i="25"/>
  <c r="E14" i="25"/>
  <c r="Q13" i="25"/>
  <c r="Q12" i="25"/>
  <c r="Q11" i="25"/>
  <c r="Q10" i="25"/>
  <c r="Q9" i="25"/>
  <c r="Q8" i="25"/>
  <c r="P5" i="25"/>
  <c r="O5" i="25"/>
  <c r="N5" i="25"/>
  <c r="M5" i="25"/>
  <c r="L5" i="25"/>
  <c r="K5" i="25"/>
  <c r="J5" i="25"/>
  <c r="I5" i="25"/>
  <c r="H5" i="25"/>
  <c r="G5" i="25"/>
  <c r="F5" i="25"/>
  <c r="E5" i="25"/>
  <c r="Q14" i="25" l="1"/>
  <c r="P14" i="24"/>
  <c r="O14" i="24"/>
  <c r="N14" i="24"/>
  <c r="M14" i="24"/>
  <c r="L14" i="24"/>
  <c r="K14" i="24"/>
  <c r="J14" i="24"/>
  <c r="I14" i="24"/>
  <c r="H14" i="24"/>
  <c r="G14" i="24"/>
  <c r="F14" i="24"/>
  <c r="E14" i="24"/>
  <c r="Q13" i="24"/>
  <c r="Q12" i="24"/>
  <c r="Q11" i="24"/>
  <c r="Q10" i="24"/>
  <c r="Q9" i="24"/>
  <c r="Q8" i="24"/>
  <c r="P5" i="24"/>
  <c r="O5" i="24"/>
  <c r="N5" i="24"/>
  <c r="M5" i="24"/>
  <c r="L5" i="24"/>
  <c r="K5" i="24"/>
  <c r="J5" i="24"/>
  <c r="I5" i="24"/>
  <c r="H5" i="24"/>
  <c r="G5" i="24"/>
  <c r="F5" i="24"/>
  <c r="E5" i="24"/>
  <c r="Q14" i="24" l="1"/>
  <c r="E5" i="15"/>
  <c r="F5" i="15"/>
  <c r="G5" i="15"/>
  <c r="H5" i="15"/>
  <c r="I5" i="15"/>
  <c r="J5" i="15"/>
  <c r="K5" i="15"/>
  <c r="L5" i="15"/>
  <c r="M5" i="15"/>
  <c r="N5" i="15"/>
  <c r="O5" i="15"/>
  <c r="P5" i="15"/>
  <c r="E9" i="15"/>
  <c r="F9" i="15"/>
  <c r="G9" i="15"/>
  <c r="H9" i="15"/>
  <c r="I9" i="15"/>
  <c r="J9" i="15"/>
  <c r="K9" i="15"/>
  <c r="L9" i="15"/>
  <c r="M9" i="15"/>
  <c r="N9" i="15"/>
  <c r="O9" i="15"/>
  <c r="P9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E5" i="16"/>
  <c r="F5" i="16"/>
  <c r="G5" i="16"/>
  <c r="H5" i="16"/>
  <c r="I5" i="16"/>
  <c r="J5" i="16"/>
  <c r="K5" i="16"/>
  <c r="L5" i="16"/>
  <c r="M5" i="16"/>
  <c r="N5" i="16"/>
  <c r="O5" i="16"/>
  <c r="P5" i="16"/>
  <c r="E9" i="16"/>
  <c r="F9" i="16"/>
  <c r="G9" i="16"/>
  <c r="H9" i="16"/>
  <c r="I9" i="16"/>
  <c r="J9" i="16"/>
  <c r="K9" i="16"/>
  <c r="L9" i="16"/>
  <c r="M9" i="16"/>
  <c r="N9" i="16"/>
  <c r="O9" i="16"/>
  <c r="P9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E5" i="17"/>
  <c r="F5" i="17"/>
  <c r="G5" i="17"/>
  <c r="H5" i="17"/>
  <c r="I5" i="17"/>
  <c r="J5" i="17"/>
  <c r="K5" i="17"/>
  <c r="L5" i="17"/>
  <c r="M5" i="17"/>
  <c r="N5" i="17"/>
  <c r="O5" i="17"/>
  <c r="P5" i="17"/>
  <c r="Q8" i="17"/>
  <c r="Q9" i="17"/>
  <c r="Q10" i="17"/>
  <c r="Q11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E5" i="19"/>
  <c r="F5" i="19"/>
  <c r="G5" i="19"/>
  <c r="H5" i="19"/>
  <c r="I5" i="19"/>
  <c r="J5" i="19"/>
  <c r="K5" i="19"/>
  <c r="L5" i="19"/>
  <c r="M5" i="19"/>
  <c r="N5" i="19"/>
  <c r="O5" i="19"/>
  <c r="P5" i="19"/>
  <c r="Q8" i="19"/>
  <c r="Q9" i="19"/>
  <c r="Q10" i="19"/>
  <c r="Q11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E5" i="20"/>
  <c r="F5" i="20"/>
  <c r="G5" i="20"/>
  <c r="H5" i="20"/>
  <c r="I5" i="20"/>
  <c r="J5" i="20"/>
  <c r="K5" i="20"/>
  <c r="L5" i="20"/>
  <c r="M5" i="20"/>
  <c r="N5" i="20"/>
  <c r="O5" i="20"/>
  <c r="P5" i="20"/>
  <c r="Q8" i="20"/>
  <c r="Q9" i="20"/>
  <c r="Q10" i="20"/>
  <c r="Q11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E5" i="21"/>
  <c r="F5" i="21"/>
  <c r="G5" i="21"/>
  <c r="H5" i="21"/>
  <c r="I5" i="21"/>
  <c r="J5" i="21"/>
  <c r="K5" i="21"/>
  <c r="L5" i="21"/>
  <c r="M5" i="21"/>
  <c r="N5" i="21"/>
  <c r="O5" i="21"/>
  <c r="P5" i="21"/>
  <c r="Q8" i="21"/>
  <c r="Q9" i="21"/>
  <c r="Q10" i="21"/>
  <c r="Q11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E5" i="22"/>
  <c r="F5" i="22"/>
  <c r="G5" i="22"/>
  <c r="H5" i="22"/>
  <c r="I5" i="22"/>
  <c r="J5" i="22"/>
  <c r="K5" i="22"/>
  <c r="L5" i="22"/>
  <c r="M5" i="22"/>
  <c r="N5" i="22"/>
  <c r="O5" i="22"/>
  <c r="P5" i="22"/>
  <c r="Q8" i="22"/>
  <c r="Q9" i="22"/>
  <c r="Q10" i="22"/>
  <c r="Q11" i="22"/>
  <c r="Q12" i="22"/>
  <c r="Q13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E5" i="23"/>
  <c r="F5" i="23"/>
  <c r="G5" i="23"/>
  <c r="H5" i="23"/>
  <c r="I5" i="23"/>
  <c r="J5" i="23"/>
  <c r="K5" i="23"/>
  <c r="L5" i="23"/>
  <c r="M5" i="23"/>
  <c r="N5" i="23"/>
  <c r="O5" i="23"/>
  <c r="P5" i="23"/>
  <c r="Q8" i="23"/>
  <c r="Q9" i="23"/>
  <c r="Q10" i="23"/>
  <c r="Q11" i="23"/>
  <c r="Q12" i="23"/>
  <c r="Q13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1" i="16" l="1"/>
  <c r="Q12" i="17"/>
  <c r="O8" i="15"/>
  <c r="K8" i="15"/>
  <c r="G8" i="15"/>
  <c r="N8" i="16"/>
  <c r="Q14" i="22"/>
  <c r="F8" i="16"/>
  <c r="Q9" i="16"/>
  <c r="Q12" i="21"/>
  <c r="Q10" i="15"/>
  <c r="N8" i="15"/>
  <c r="J8" i="15"/>
  <c r="Q14" i="23"/>
  <c r="Q12" i="20"/>
  <c r="H8" i="16"/>
  <c r="P8" i="16"/>
  <c r="L8" i="16"/>
  <c r="J8" i="16"/>
  <c r="I8" i="16"/>
  <c r="Q12" i="19"/>
  <c r="M8" i="16"/>
  <c r="E8" i="16"/>
  <c r="M8" i="15"/>
  <c r="I8" i="15"/>
  <c r="E8" i="15"/>
  <c r="P8" i="15"/>
  <c r="L8" i="15"/>
  <c r="H8" i="15"/>
  <c r="Q11" i="15"/>
  <c r="Q10" i="16"/>
  <c r="O8" i="16"/>
  <c r="K8" i="16"/>
  <c r="G8" i="16"/>
  <c r="F8" i="15"/>
  <c r="Q9" i="15"/>
  <c r="Q8" i="15" l="1"/>
  <c r="Q8" i="16"/>
  <c r="Q12" i="15" l="1"/>
  <c r="Q12" i="16"/>
</calcChain>
</file>

<file path=xl/sharedStrings.xml><?xml version="1.0" encoding="utf-8"?>
<sst xmlns="http://schemas.openxmlformats.org/spreadsheetml/2006/main" count="1253" uniqueCount="211">
  <si>
    <t>CORDE-LORETO</t>
  </si>
  <si>
    <t>UNIV. NAC. AMAZONIA</t>
  </si>
  <si>
    <t>INST. PER. AMAZONIA</t>
  </si>
  <si>
    <t>CONC. MUNICIPALES</t>
  </si>
  <si>
    <t>DISTRIBUCION POR CONCEJOS MUNICIPALES (*)</t>
  </si>
  <si>
    <t>MAYNAS (36.72%)</t>
  </si>
  <si>
    <t>IQUITOS</t>
  </si>
  <si>
    <t>ALTO NANAY</t>
  </si>
  <si>
    <t>FERNANDO LORES</t>
  </si>
  <si>
    <t>INDIANA</t>
  </si>
  <si>
    <t>LAS AMAZONAS</t>
  </si>
  <si>
    <t>MAZAN</t>
  </si>
  <si>
    <t>NAPO</t>
  </si>
  <si>
    <t>PUTUMAYO</t>
  </si>
  <si>
    <t>TORRES CAUSANA</t>
  </si>
  <si>
    <t>YAQUERANA</t>
  </si>
  <si>
    <t>PUNCHANA</t>
  </si>
  <si>
    <t>LORETO (13.57%)</t>
  </si>
  <si>
    <t>NAUTA</t>
  </si>
  <si>
    <t>PARINARI</t>
  </si>
  <si>
    <t>TIGRE</t>
  </si>
  <si>
    <t>URARINAS</t>
  </si>
  <si>
    <t>TROMPETEROS</t>
  </si>
  <si>
    <t>YURIMAGUAS</t>
  </si>
  <si>
    <t>BALSAPUERTO</t>
  </si>
  <si>
    <t>BARRANCA</t>
  </si>
  <si>
    <t>CAHUAPANAS</t>
  </si>
  <si>
    <t>JEBEROS</t>
  </si>
  <si>
    <t>LAGUNAS</t>
  </si>
  <si>
    <t>MANSERICHE</t>
  </si>
  <si>
    <t>MORONA</t>
  </si>
  <si>
    <t>PASTAZA</t>
  </si>
  <si>
    <t>SANTA CRUZ</t>
  </si>
  <si>
    <t>TNTE.CESAR LOPEZ</t>
  </si>
  <si>
    <t>RAMON CASTILLA</t>
  </si>
  <si>
    <t>PEBAS</t>
  </si>
  <si>
    <t>YAVARI</t>
  </si>
  <si>
    <t>REQUENA (10.41%)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</si>
  <si>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</si>
  <si>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</si>
  <si>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</si>
  <si>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</si>
  <si>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</si>
  <si>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</si>
  <si>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</si>
  <si>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</si>
  <si>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</si>
  <si>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UCAYALI (13.05%)</t>
  </si>
  <si>
    <t>CONTAMANA</t>
  </si>
  <si>
    <t>INAHUAYA</t>
  </si>
  <si>
    <t>PADRE MARQUEZ</t>
  </si>
  <si>
    <t>PAMPA HERMOSA</t>
  </si>
  <si>
    <t>SARAYACU</t>
  </si>
  <si>
    <t>VARGAS GUERRA</t>
  </si>
  <si>
    <t>TOTAL CONCEJOS MUNICIPALES</t>
  </si>
  <si>
    <t>SAN PABLO</t>
  </si>
  <si>
    <t>JENARO HERRERA</t>
  </si>
  <si>
    <t>TOTAL</t>
  </si>
  <si>
    <t>DISTRIBUCION DEL CANON</t>
  </si>
  <si>
    <t>DEPARTAMENTO DE LORETO: D.LEY 21678</t>
  </si>
  <si>
    <t>Cifras expresada en Nuevos Soles</t>
  </si>
  <si>
    <t xml:space="preserve">52% </t>
  </si>
  <si>
    <t xml:space="preserve">5% </t>
  </si>
  <si>
    <t xml:space="preserve">3% </t>
  </si>
  <si>
    <t xml:space="preserve">40% </t>
  </si>
  <si>
    <t>ALTO AMAZONAS (15.69%)</t>
  </si>
  <si>
    <t>RAMON CASTILLA(10.56%)</t>
  </si>
  <si>
    <t>TOTAL CONC. MUNICIPALES</t>
  </si>
  <si>
    <t xml:space="preserve">TOTAL CANON </t>
  </si>
  <si>
    <t>RAMON CASTILLA (10.56%)</t>
  </si>
  <si>
    <t xml:space="preserve">TOTAL CONC. MUNICIPALES  </t>
  </si>
  <si>
    <t xml:space="preserve">TOTAL CONCEJOS MUNICIPALES  </t>
  </si>
  <si>
    <t>PERIODO DE PAGO</t>
  </si>
  <si>
    <t xml:space="preserve">TOTAL CONCEJOS MUNICIPALES </t>
  </si>
  <si>
    <t>PERUPETRO S.A.</t>
  </si>
  <si>
    <t>Distribucion por Concejos Municipales (*)</t>
  </si>
  <si>
    <t>FECHA DE PAGO</t>
  </si>
  <si>
    <t>BELEN</t>
  </si>
  <si>
    <t>SAN JUAN BAUTISTA</t>
  </si>
  <si>
    <t>(*)</t>
  </si>
  <si>
    <t xml:space="preserve">       importes a favor de los Concejos Municipales de Belen y San Juan Bautista</t>
  </si>
  <si>
    <t xml:space="preserve">(*)  A partir de las transferencias de Canon y Sobrecanon correspondiente al mes de febrero-2002, se viene  aplicando el D.S. N° 033-2002-EF, la regulación de los saldos por vigencia de la norma desde la producción del mes de Diciembre-2001, es aplicada en concordancia con lo establecido en el D.S N° 031-2002-EF, por lo cual se efectúan transferencias de mayores </t>
  </si>
  <si>
    <t xml:space="preserve"> * DISTRIBUCION A MUNICIPALIDADES SE REALIZA A TRAVES DEL CONSEJO NACIONAL DE DESCENTRALIZACIÓN</t>
  </si>
  <si>
    <t>REGION LORETO</t>
  </si>
  <si>
    <t>Ley N° 29289 - Contrapartida Nacional</t>
  </si>
  <si>
    <t>Ley N° 29289 - Servicio de Deuda</t>
  </si>
  <si>
    <t>Ene.2002</t>
  </si>
  <si>
    <t>Feb.2002</t>
  </si>
  <si>
    <t>Mar.2002</t>
  </si>
  <si>
    <t>Abr.2002</t>
  </si>
  <si>
    <t>May.2002</t>
  </si>
  <si>
    <t>Jun.2002</t>
  </si>
  <si>
    <t>Jul.2002</t>
  </si>
  <si>
    <t>Ago.2002</t>
  </si>
  <si>
    <t>Sep.2002</t>
  </si>
  <si>
    <t>Oct.2002</t>
  </si>
  <si>
    <t>Nov.2002</t>
  </si>
  <si>
    <t>Dic.2002</t>
  </si>
  <si>
    <t>Ene.2001</t>
  </si>
  <si>
    <t>Feb.2001</t>
  </si>
  <si>
    <t>Mar.2001</t>
  </si>
  <si>
    <t>Abr.2001</t>
  </si>
  <si>
    <t>May.2001</t>
  </si>
  <si>
    <t>Jun.2001</t>
  </si>
  <si>
    <t>Jul.2001</t>
  </si>
  <si>
    <t>Ago.2001</t>
  </si>
  <si>
    <t>Sep.2001</t>
  </si>
  <si>
    <t>Oct.2001</t>
  </si>
  <si>
    <t>Nov.2001</t>
  </si>
  <si>
    <t>Dic.2001</t>
  </si>
  <si>
    <t>Ene.2000</t>
  </si>
  <si>
    <t>Feb.2000</t>
  </si>
  <si>
    <t>Mar.2000</t>
  </si>
  <si>
    <t>Abr.2000</t>
  </si>
  <si>
    <t>May.2000</t>
  </si>
  <si>
    <t>Jun.2000</t>
  </si>
  <si>
    <t>Jul.2000</t>
  </si>
  <si>
    <t>Ago.2000</t>
  </si>
  <si>
    <t>Sep.2000</t>
  </si>
  <si>
    <t>Oct.2000</t>
  </si>
  <si>
    <t>Nov.2000</t>
  </si>
  <si>
    <t>Dic.2000</t>
  </si>
  <si>
    <t>Ene.1999</t>
  </si>
  <si>
    <t>Feb.1999</t>
  </si>
  <si>
    <t>Mar.1999</t>
  </si>
  <si>
    <t>Abr.1999</t>
  </si>
  <si>
    <t>May.1999</t>
  </si>
  <si>
    <t>Jun.1999</t>
  </si>
  <si>
    <t>Jul.1999</t>
  </si>
  <si>
    <t>Ago.1999</t>
  </si>
  <si>
    <t>Sep.1999</t>
  </si>
  <si>
    <t>Oct.1999</t>
  </si>
  <si>
    <t>Nov.1999</t>
  </si>
  <si>
    <t>Dic.1999</t>
  </si>
  <si>
    <t>Ene.1998</t>
  </si>
  <si>
    <t>Feb.1998</t>
  </si>
  <si>
    <t>Mar.1998</t>
  </si>
  <si>
    <t>Abr.1998</t>
  </si>
  <si>
    <t>May.1998</t>
  </si>
  <si>
    <t>Jun.1998</t>
  </si>
  <si>
    <t>Jul.1998</t>
  </si>
  <si>
    <t>Ago.1998</t>
  </si>
  <si>
    <t>Sep.1998</t>
  </si>
  <si>
    <t>Oct.1998</t>
  </si>
  <si>
    <t>Nov.1998</t>
  </si>
  <si>
    <t>Dic.1998</t>
  </si>
  <si>
    <t>Ene.1997</t>
  </si>
  <si>
    <t>Feb.1997</t>
  </si>
  <si>
    <t>Mar.1997</t>
  </si>
  <si>
    <t>Abr.1997</t>
  </si>
  <si>
    <t>May.1997</t>
  </si>
  <si>
    <t>Jun.1997</t>
  </si>
  <si>
    <t>Jul.1997</t>
  </si>
  <si>
    <t>Ago.1997</t>
  </si>
  <si>
    <t>Sep.1997</t>
  </si>
  <si>
    <t>Oct.1997</t>
  </si>
  <si>
    <t>Nov.1997</t>
  </si>
  <si>
    <t>Dic.1997</t>
  </si>
  <si>
    <t>Ene.1996</t>
  </si>
  <si>
    <t>Feb.1996</t>
  </si>
  <si>
    <t>Mar.1996</t>
  </si>
  <si>
    <t>Abr.1996</t>
  </si>
  <si>
    <t>May.1996</t>
  </si>
  <si>
    <t>Jun.1996</t>
  </si>
  <si>
    <t>Jul.1996</t>
  </si>
  <si>
    <t>Ago.1996</t>
  </si>
  <si>
    <t>Sep.1996</t>
  </si>
  <si>
    <t>Oct.1996</t>
  </si>
  <si>
    <t>Nov.1996</t>
  </si>
  <si>
    <t>Dic.1996</t>
  </si>
  <si>
    <t>Ene.1995</t>
  </si>
  <si>
    <t>Feb.1995</t>
  </si>
  <si>
    <t>Mar.1995</t>
  </si>
  <si>
    <t>Abr.1995</t>
  </si>
  <si>
    <t>May.1995</t>
  </si>
  <si>
    <t>Jun.1995</t>
  </si>
  <si>
    <t>Jul.1995</t>
  </si>
  <si>
    <t>Ago.1995</t>
  </si>
  <si>
    <t>Sep.1995</t>
  </si>
  <si>
    <t>Oct.1995</t>
  </si>
  <si>
    <t>Nov.1995</t>
  </si>
  <si>
    <t>Dic.1995</t>
  </si>
  <si>
    <t>Ene.1994</t>
  </si>
  <si>
    <t>Feb.1994</t>
  </si>
  <si>
    <t>Mar.1994</t>
  </si>
  <si>
    <t>Abr.1994</t>
  </si>
  <si>
    <t>May.1994</t>
  </si>
  <si>
    <t>Jun.1994</t>
  </si>
  <si>
    <t>Jul.1994</t>
  </si>
  <si>
    <t>Ago.1994</t>
  </si>
  <si>
    <t>Sep.1994</t>
  </si>
  <si>
    <t>Oct.1994</t>
  </si>
  <si>
    <t>Nov.1994</t>
  </si>
  <si>
    <t>Dic.1994</t>
  </si>
  <si>
    <t>Ene.1993</t>
  </si>
  <si>
    <t>Feb.1993</t>
  </si>
  <si>
    <t>Mar.1993</t>
  </si>
  <si>
    <t>Abr.1993</t>
  </si>
  <si>
    <t>May.1993</t>
  </si>
  <si>
    <t>Jun.1993</t>
  </si>
  <si>
    <t>Jul.1993</t>
  </si>
  <si>
    <t>Ago.1993</t>
  </si>
  <si>
    <t>Sep.1993</t>
  </si>
  <si>
    <t>Oct.1993</t>
  </si>
  <si>
    <t>Nov.1993</t>
  </si>
  <si>
    <t>Dic.1993</t>
  </si>
  <si>
    <t>Cifras expresada en Soles</t>
  </si>
  <si>
    <t>UNIV. NAC. AUTONOMA  ALTO AMAZONAS</t>
  </si>
  <si>
    <t>REGION LORETO - INST.TEC.NAC</t>
  </si>
  <si>
    <t xml:space="preserve">A partir del 30 de Enero 2024 se aplica la Ley N° 31934 </t>
  </si>
  <si>
    <t>UNIVERSIDADES 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</si>
</sst>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S/.&quot;\ #,##0_);\(&quot;S/.&quot;\ #,##0\)"/>
    <numFmt numFmtId="165" formatCode="&quot;S/.&quot;\ #,##0.00_);\(&quot;S/.&quot;\ #,##0.00\)"/>
    <numFmt numFmtId="166" formatCode="#,##0.0"/>
    <numFmt numFmtId="167" formatCode="0.0000%"/>
    <numFmt numFmtId="168" formatCode="mmmm\ d\,\ yyyy"/>
    <numFmt numFmtId="169" formatCode="#,##0.000000_);\(#,##0.000000\)"/>
    <numFmt numFmtId="170" formatCode="0.0%"/>
  </numFmts>
  <fonts count="1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Helv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166" fontId="1" fillId="0" borderId="0" applyFill="0" applyBorder="0" applyAlignment="0" applyProtection="0"/>
    <xf numFmtId="3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68" fontId="1" fillId="0" borderId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0" fontId="1" fillId="0" borderId="0" applyFill="0" applyBorder="0" applyAlignment="0" applyProtection="0"/>
    <xf numFmtId="0" fontId="1" fillId="0" borderId="1" applyNumberFormat="0" applyFill="0" applyAlignment="0" applyProtection="0"/>
    <xf numFmtId="0" fontId="11" fillId="0" borderId="0"/>
    <xf numFmtId="9" fontId="12" fillId="0" borderId="0" applyFont="0" applyFill="0" applyBorder="0" applyAlignment="0" applyProtection="0"/>
  </cellStyleXfs>
  <cellXfs count="156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Continuous"/>
    </xf>
    <xf numFmtId="39" fontId="4" fillId="0" borderId="2" xfId="0" applyNumberFormat="1" applyFont="1" applyBorder="1" applyAlignment="1" applyProtection="1">
      <alignment horizontal="centerContinuous"/>
    </xf>
    <xf numFmtId="0" fontId="5" fillId="0" borderId="3" xfId="0" applyFont="1" applyBorder="1"/>
    <xf numFmtId="0" fontId="5" fillId="0" borderId="0" xfId="0" applyFont="1" applyBorder="1"/>
    <xf numFmtId="0" fontId="5" fillId="0" borderId="4" xfId="0" applyFont="1" applyBorder="1"/>
    <xf numFmtId="39" fontId="5" fillId="0" borderId="4" xfId="0" applyNumberFormat="1" applyFont="1" applyBorder="1" applyProtection="1"/>
    <xf numFmtId="39" fontId="5" fillId="0" borderId="5" xfId="0" applyNumberFormat="1" applyFont="1" applyBorder="1" applyProtection="1"/>
    <xf numFmtId="39" fontId="5" fillId="0" borderId="6" xfId="0" applyNumberFormat="1" applyFont="1" applyBorder="1" applyProtection="1"/>
    <xf numFmtId="39" fontId="5" fillId="0" borderId="7" xfId="0" applyNumberFormat="1" applyFont="1" applyBorder="1" applyProtection="1"/>
    <xf numFmtId="39" fontId="5" fillId="0" borderId="8" xfId="0" applyNumberFormat="1" applyFont="1" applyBorder="1" applyProtection="1"/>
    <xf numFmtId="0" fontId="4" fillId="0" borderId="4" xfId="0" applyFont="1" applyBorder="1" applyAlignment="1">
      <alignment horizontal="right"/>
    </xf>
    <xf numFmtId="39" fontId="4" fillId="0" borderId="4" xfId="0" applyNumberFormat="1" applyFont="1" applyBorder="1" applyProtection="1"/>
    <xf numFmtId="39" fontId="4" fillId="0" borderId="5" xfId="0" applyNumberFormat="1" applyFont="1" applyBorder="1" applyProtection="1"/>
    <xf numFmtId="0" fontId="4" fillId="0" borderId="9" xfId="0" applyFont="1" applyBorder="1" applyProtection="1"/>
    <xf numFmtId="0" fontId="4" fillId="0" borderId="10" xfId="0" applyFont="1" applyBorder="1" applyProtection="1"/>
    <xf numFmtId="0" fontId="4" fillId="0" borderId="0" xfId="0" applyFont="1" applyBorder="1" applyProtection="1"/>
    <xf numFmtId="39" fontId="4" fillId="0" borderId="4" xfId="0" applyNumberFormat="1" applyFont="1" applyBorder="1" applyAlignment="1" applyProtection="1">
      <alignment horizontal="center"/>
    </xf>
    <xf numFmtId="39" fontId="4" fillId="0" borderId="5" xfId="0" applyNumberFormat="1" applyFont="1" applyBorder="1" applyAlignment="1" applyProtection="1">
      <alignment horizontal="center"/>
    </xf>
    <xf numFmtId="2" fontId="5" fillId="0" borderId="0" xfId="0" applyNumberFormat="1" applyFont="1"/>
    <xf numFmtId="39" fontId="5" fillId="0" borderId="11" xfId="0" applyNumberFormat="1" applyFont="1" applyBorder="1" applyProtection="1"/>
    <xf numFmtId="39" fontId="5" fillId="0" borderId="12" xfId="0" applyNumberFormat="1" applyFont="1" applyBorder="1" applyProtection="1"/>
    <xf numFmtId="0" fontId="5" fillId="0" borderId="5" xfId="0" applyFont="1" applyBorder="1"/>
    <xf numFmtId="0" fontId="4" fillId="0" borderId="3" xfId="0" applyFont="1" applyBorder="1" applyAlignment="1" applyProtection="1">
      <alignment horizontal="center"/>
    </xf>
    <xf numFmtId="0" fontId="5" fillId="0" borderId="13" xfId="0" applyFont="1" applyBorder="1"/>
    <xf numFmtId="0" fontId="5" fillId="0" borderId="2" xfId="0" applyFont="1" applyBorder="1"/>
    <xf numFmtId="39" fontId="4" fillId="0" borderId="14" xfId="0" applyNumberFormat="1" applyFont="1" applyBorder="1" applyProtection="1"/>
    <xf numFmtId="39" fontId="4" fillId="0" borderId="15" xfId="0" applyNumberFormat="1" applyFont="1" applyBorder="1" applyProtection="1"/>
    <xf numFmtId="39" fontId="4" fillId="0" borderId="0" xfId="0" applyNumberFormat="1" applyFont="1" applyProtection="1"/>
    <xf numFmtId="39" fontId="4" fillId="0" borderId="0" xfId="0" applyNumberFormat="1" applyFont="1" applyBorder="1" applyAlignment="1" applyProtection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39" fontId="4" fillId="0" borderId="0" xfId="0" applyNumberFormat="1" applyFont="1"/>
    <xf numFmtId="39" fontId="6" fillId="0" borderId="4" xfId="0" applyNumberFormat="1" applyFont="1" applyBorder="1" applyProtection="1"/>
    <xf numFmtId="39" fontId="6" fillId="0" borderId="5" xfId="0" applyNumberFormat="1" applyFont="1" applyBorder="1" applyProtection="1"/>
    <xf numFmtId="39" fontId="7" fillId="0" borderId="4" xfId="0" applyNumberFormat="1" applyFont="1" applyBorder="1" applyAlignment="1" applyProtection="1">
      <alignment horizontal="center"/>
    </xf>
    <xf numFmtId="39" fontId="7" fillId="0" borderId="5" xfId="0" applyNumberFormat="1" applyFont="1" applyBorder="1" applyAlignment="1" applyProtection="1">
      <alignment horizontal="center"/>
    </xf>
    <xf numFmtId="167" fontId="5" fillId="0" borderId="4" xfId="0" applyNumberFormat="1" applyFont="1" applyBorder="1"/>
    <xf numFmtId="0" fontId="5" fillId="0" borderId="4" xfId="0" applyFont="1" applyBorder="1" applyAlignment="1">
      <alignment horizontal="right"/>
    </xf>
    <xf numFmtId="0" fontId="5" fillId="0" borderId="16" xfId="0" applyFont="1" applyBorder="1"/>
    <xf numFmtId="0" fontId="5" fillId="0" borderId="17" xfId="0" applyFont="1" applyBorder="1"/>
    <xf numFmtId="167" fontId="5" fillId="0" borderId="18" xfId="0" applyNumberFormat="1" applyFont="1" applyBorder="1"/>
    <xf numFmtId="0" fontId="4" fillId="0" borderId="0" xfId="0" applyFont="1"/>
    <xf numFmtId="167" fontId="5" fillId="0" borderId="0" xfId="0" applyNumberFormat="1" applyFont="1" applyBorder="1"/>
    <xf numFmtId="167" fontId="5" fillId="0" borderId="17" xfId="0" applyNumberFormat="1" applyFont="1" applyBorder="1"/>
    <xf numFmtId="0" fontId="4" fillId="0" borderId="0" xfId="10" applyFont="1"/>
    <xf numFmtId="0" fontId="5" fillId="0" borderId="0" xfId="10" applyFont="1"/>
    <xf numFmtId="0" fontId="4" fillId="0" borderId="0" xfId="10" applyFont="1" applyAlignment="1">
      <alignment horizontal="centerContinuous"/>
    </xf>
    <xf numFmtId="39" fontId="4" fillId="0" borderId="0" xfId="10" applyNumberFormat="1" applyFont="1" applyBorder="1" applyAlignment="1" applyProtection="1">
      <alignment horizontal="centerContinuous"/>
    </xf>
    <xf numFmtId="39" fontId="4" fillId="0" borderId="2" xfId="10" applyNumberFormat="1" applyFont="1" applyBorder="1" applyAlignment="1" applyProtection="1">
      <alignment horizontal="centerContinuous"/>
    </xf>
    <xf numFmtId="0" fontId="5" fillId="0" borderId="3" xfId="10" applyFont="1" applyBorder="1"/>
    <xf numFmtId="0" fontId="5" fillId="0" borderId="0" xfId="10" applyFont="1" applyBorder="1"/>
    <xf numFmtId="0" fontId="5" fillId="0" borderId="4" xfId="10" applyFont="1" applyBorder="1"/>
    <xf numFmtId="39" fontId="5" fillId="0" borderId="12" xfId="10" applyNumberFormat="1" applyFont="1" applyBorder="1" applyProtection="1"/>
    <xf numFmtId="0" fontId="5" fillId="0" borderId="4" xfId="10" applyFont="1" applyBorder="1" applyAlignment="1">
      <alignment horizontal="right"/>
    </xf>
    <xf numFmtId="39" fontId="5" fillId="0" borderId="4" xfId="10" applyNumberFormat="1" applyFont="1" applyBorder="1" applyProtection="1"/>
    <xf numFmtId="39" fontId="5" fillId="0" borderId="5" xfId="10" applyNumberFormat="1" applyFont="1" applyBorder="1" applyProtection="1"/>
    <xf numFmtId="39" fontId="5" fillId="0" borderId="6" xfId="10" applyNumberFormat="1" applyFont="1" applyBorder="1" applyProtection="1"/>
    <xf numFmtId="39" fontId="5" fillId="0" borderId="7" xfId="10" applyNumberFormat="1" applyFont="1" applyBorder="1" applyProtection="1"/>
    <xf numFmtId="39" fontId="5" fillId="0" borderId="8" xfId="10" applyNumberFormat="1" applyFont="1" applyBorder="1" applyProtection="1"/>
    <xf numFmtId="0" fontId="4" fillId="0" borderId="4" xfId="10" applyFont="1" applyBorder="1" applyAlignment="1">
      <alignment horizontal="right"/>
    </xf>
    <xf numFmtId="39" fontId="4" fillId="0" borderId="4" xfId="10" applyNumberFormat="1" applyFont="1" applyBorder="1" applyProtection="1"/>
    <xf numFmtId="39" fontId="4" fillId="0" borderId="5" xfId="10" applyNumberFormat="1" applyFont="1" applyBorder="1" applyProtection="1"/>
    <xf numFmtId="0" fontId="4" fillId="0" borderId="9" xfId="10" applyFont="1" applyBorder="1" applyProtection="1"/>
    <xf numFmtId="0" fontId="4" fillId="0" borderId="10" xfId="10" applyFont="1" applyBorder="1" applyProtection="1"/>
    <xf numFmtId="39" fontId="4" fillId="0" borderId="4" xfId="10" applyNumberFormat="1" applyFont="1" applyBorder="1" applyAlignment="1" applyProtection="1">
      <alignment horizontal="center"/>
    </xf>
    <xf numFmtId="39" fontId="4" fillId="0" borderId="5" xfId="10" applyNumberFormat="1" applyFont="1" applyBorder="1" applyAlignment="1" applyProtection="1">
      <alignment horizontal="center"/>
    </xf>
    <xf numFmtId="167" fontId="5" fillId="0" borderId="4" xfId="10" applyNumberFormat="1" applyFont="1" applyBorder="1"/>
    <xf numFmtId="2" fontId="5" fillId="0" borderId="0" xfId="10" applyNumberFormat="1" applyFont="1"/>
    <xf numFmtId="39" fontId="5" fillId="0" borderId="11" xfId="10" applyNumberFormat="1" applyFont="1" applyBorder="1" applyProtection="1"/>
    <xf numFmtId="0" fontId="5" fillId="0" borderId="5" xfId="10" applyFont="1" applyBorder="1"/>
    <xf numFmtId="0" fontId="4" fillId="0" borderId="3" xfId="10" applyFont="1" applyBorder="1" applyAlignment="1" applyProtection="1">
      <alignment horizontal="center"/>
    </xf>
    <xf numFmtId="0" fontId="5" fillId="0" borderId="16" xfId="10" applyFont="1" applyBorder="1"/>
    <xf numFmtId="0" fontId="5" fillId="0" borderId="17" xfId="10" applyFont="1" applyBorder="1"/>
    <xf numFmtId="167" fontId="5" fillId="0" borderId="18" xfId="10" applyNumberFormat="1" applyFont="1" applyBorder="1"/>
    <xf numFmtId="39" fontId="4" fillId="0" borderId="14" xfId="10" applyNumberFormat="1" applyFont="1" applyBorder="1" applyProtection="1"/>
    <xf numFmtId="39" fontId="4" fillId="0" borderId="15" xfId="10" applyNumberFormat="1" applyFont="1" applyBorder="1" applyProtection="1"/>
    <xf numFmtId="39" fontId="4" fillId="0" borderId="0" xfId="10" applyNumberFormat="1" applyFont="1" applyProtection="1"/>
    <xf numFmtId="15" fontId="5" fillId="0" borderId="4" xfId="10" applyNumberFormat="1" applyFont="1" applyBorder="1" applyAlignment="1" applyProtection="1">
      <alignment horizontal="center"/>
    </xf>
    <xf numFmtId="0" fontId="4" fillId="0" borderId="0" xfId="0" applyFont="1" applyBorder="1" applyAlignment="1">
      <alignment horizontal="right"/>
    </xf>
    <xf numFmtId="0" fontId="5" fillId="0" borderId="19" xfId="12" applyFont="1" applyBorder="1" applyAlignment="1">
      <alignment horizontal="centerContinuous"/>
    </xf>
    <xf numFmtId="0" fontId="5" fillId="0" borderId="20" xfId="12" applyFont="1" applyBorder="1" applyAlignment="1">
      <alignment horizontal="centerContinuous"/>
    </xf>
    <xf numFmtId="14" fontId="5" fillId="0" borderId="21" xfId="12" applyNumberFormat="1" applyFont="1" applyBorder="1" applyAlignment="1">
      <alignment horizontal="center"/>
    </xf>
    <xf numFmtId="14" fontId="5" fillId="0" borderId="20" xfId="12" applyNumberFormat="1" applyFont="1" applyBorder="1" applyAlignment="1">
      <alignment horizontal="center"/>
    </xf>
    <xf numFmtId="0" fontId="5" fillId="0" borderId="13" xfId="12" applyFont="1" applyBorder="1" applyAlignment="1">
      <alignment horizontal="centerContinuous"/>
    </xf>
    <xf numFmtId="0" fontId="5" fillId="0" borderId="2" xfId="12" applyFont="1" applyBorder="1" applyAlignment="1">
      <alignment horizontal="centerContinuous"/>
    </xf>
    <xf numFmtId="15" fontId="5" fillId="0" borderId="12" xfId="12" applyNumberFormat="1" applyFont="1" applyBorder="1" applyAlignment="1">
      <alignment horizontal="center"/>
    </xf>
    <xf numFmtId="15" fontId="5" fillId="0" borderId="2" xfId="12" applyNumberFormat="1" applyFont="1" applyBorder="1" applyAlignment="1">
      <alignment horizontal="center"/>
    </xf>
    <xf numFmtId="0" fontId="5" fillId="0" borderId="12" xfId="12" applyNumberFormat="1" applyFont="1" applyBorder="1" applyAlignment="1">
      <alignment horizontal="center"/>
    </xf>
    <xf numFmtId="167" fontId="5" fillId="0" borderId="0" xfId="10" applyNumberFormat="1" applyFont="1" applyBorder="1"/>
    <xf numFmtId="169" fontId="5" fillId="0" borderId="5" xfId="10" applyNumberFormat="1" applyFont="1" applyBorder="1" applyProtection="1"/>
    <xf numFmtId="169" fontId="4" fillId="0" borderId="5" xfId="10" applyNumberFormat="1" applyFont="1" applyBorder="1" applyAlignment="1" applyProtection="1">
      <alignment horizontal="center"/>
    </xf>
    <xf numFmtId="0" fontId="5" fillId="0" borderId="0" xfId="10" quotePrefix="1" applyFont="1" applyBorder="1"/>
    <xf numFmtId="0" fontId="5" fillId="0" borderId="13" xfId="10" applyFont="1" applyBorder="1"/>
    <xf numFmtId="0" fontId="5" fillId="0" borderId="2" xfId="10" applyFont="1" applyBorder="1"/>
    <xf numFmtId="167" fontId="5" fillId="0" borderId="11" xfId="10" applyNumberFormat="1" applyFont="1" applyBorder="1"/>
    <xf numFmtId="39" fontId="4" fillId="0" borderId="11" xfId="10" applyNumberFormat="1" applyFont="1" applyBorder="1" applyProtection="1"/>
    <xf numFmtId="39" fontId="4" fillId="0" borderId="12" xfId="10" applyNumberFormat="1" applyFont="1" applyBorder="1" applyProtection="1"/>
    <xf numFmtId="15" fontId="5" fillId="0" borderId="11" xfId="9" applyNumberFormat="1" applyFont="1" applyBorder="1" applyAlignment="1">
      <alignment horizontal="center"/>
    </xf>
    <xf numFmtId="39" fontId="5" fillId="0" borderId="0" xfId="10" applyNumberFormat="1" applyFont="1" applyBorder="1" applyProtection="1"/>
    <xf numFmtId="169" fontId="5" fillId="0" borderId="2" xfId="10" applyNumberFormat="1" applyFont="1" applyBorder="1" applyProtection="1"/>
    <xf numFmtId="39" fontId="5" fillId="0" borderId="2" xfId="10" applyNumberFormat="1" applyFont="1" applyBorder="1" applyProtection="1"/>
    <xf numFmtId="0" fontId="9" fillId="0" borderId="3" xfId="10" applyFont="1" applyBorder="1"/>
    <xf numFmtId="0" fontId="8" fillId="0" borderId="0" xfId="10" applyFont="1"/>
    <xf numFmtId="0" fontId="9" fillId="0" borderId="0" xfId="10" applyFont="1"/>
    <xf numFmtId="0" fontId="8" fillId="0" borderId="0" xfId="10" applyFont="1" applyAlignment="1">
      <alignment horizontal="centerContinuous"/>
    </xf>
    <xf numFmtId="39" fontId="8" fillId="0" borderId="0" xfId="10" applyNumberFormat="1" applyFont="1" applyBorder="1" applyAlignment="1" applyProtection="1">
      <alignment horizontal="centerContinuous"/>
    </xf>
    <xf numFmtId="39" fontId="8" fillId="0" borderId="2" xfId="10" applyNumberFormat="1" applyFont="1" applyBorder="1" applyAlignment="1" applyProtection="1">
      <alignment horizontal="centerContinuous"/>
    </xf>
    <xf numFmtId="0" fontId="9" fillId="0" borderId="19" xfId="12" applyFont="1" applyBorder="1" applyAlignment="1">
      <alignment horizontal="centerContinuous"/>
    </xf>
    <xf numFmtId="0" fontId="9" fillId="0" borderId="20" xfId="12" applyFont="1" applyBorder="1" applyAlignment="1">
      <alignment horizontal="centerContinuous"/>
    </xf>
    <xf numFmtId="14" fontId="9" fillId="0" borderId="21" xfId="12" applyNumberFormat="1" applyFont="1" applyBorder="1" applyAlignment="1">
      <alignment horizontal="center"/>
    </xf>
    <xf numFmtId="14" fontId="9" fillId="0" borderId="20" xfId="12" applyNumberFormat="1" applyFont="1" applyBorder="1" applyAlignment="1">
      <alignment horizontal="center"/>
    </xf>
    <xf numFmtId="0" fontId="9" fillId="0" borderId="13" xfId="12" applyFont="1" applyBorder="1" applyAlignment="1">
      <alignment horizontal="centerContinuous"/>
    </xf>
    <xf numFmtId="0" fontId="9" fillId="0" borderId="2" xfId="12" applyFont="1" applyBorder="1" applyAlignment="1">
      <alignment horizontal="centerContinuous"/>
    </xf>
    <xf numFmtId="15" fontId="9" fillId="0" borderId="12" xfId="12" applyNumberFormat="1" applyFont="1" applyBorder="1" applyAlignment="1">
      <alignment horizontal="center"/>
    </xf>
    <xf numFmtId="15" fontId="9" fillId="0" borderId="2" xfId="12" applyNumberFormat="1" applyFont="1" applyBorder="1" applyAlignment="1">
      <alignment horizontal="center"/>
    </xf>
    <xf numFmtId="15" fontId="9" fillId="0" borderId="11" xfId="9" applyNumberFormat="1" applyFont="1" applyBorder="1" applyAlignment="1">
      <alignment horizontal="center"/>
    </xf>
    <xf numFmtId="0" fontId="9" fillId="0" borderId="12" xfId="12" applyNumberFormat="1" applyFont="1" applyBorder="1" applyAlignment="1">
      <alignment horizontal="center"/>
    </xf>
    <xf numFmtId="0" fontId="9" fillId="0" borderId="0" xfId="10" applyFont="1" applyBorder="1"/>
    <xf numFmtId="0" fontId="9" fillId="0" borderId="4" xfId="10" applyFont="1" applyBorder="1"/>
    <xf numFmtId="15" fontId="9" fillId="0" borderId="4" xfId="10" applyNumberFormat="1" applyFont="1" applyBorder="1" applyAlignment="1" applyProtection="1">
      <alignment horizontal="center"/>
    </xf>
    <xf numFmtId="39" fontId="9" fillId="0" borderId="5" xfId="10" applyNumberFormat="1" applyFont="1" applyBorder="1" applyProtection="1"/>
    <xf numFmtId="0" fontId="9" fillId="0" borderId="5" xfId="10" applyFont="1" applyBorder="1"/>
    <xf numFmtId="0" fontId="9" fillId="0" borderId="4" xfId="10" applyFont="1" applyBorder="1" applyAlignment="1">
      <alignment horizontal="right"/>
    </xf>
    <xf numFmtId="39" fontId="9" fillId="0" borderId="4" xfId="10" applyNumberFormat="1" applyFont="1" applyBorder="1" applyProtection="1"/>
    <xf numFmtId="39" fontId="9" fillId="0" borderId="6" xfId="10" applyNumberFormat="1" applyFont="1" applyBorder="1" applyProtection="1"/>
    <xf numFmtId="39" fontId="9" fillId="0" borderId="7" xfId="10" applyNumberFormat="1" applyFont="1" applyBorder="1" applyProtection="1"/>
    <xf numFmtId="39" fontId="9" fillId="0" borderId="8" xfId="10" applyNumberFormat="1" applyFont="1" applyBorder="1" applyProtection="1"/>
    <xf numFmtId="0" fontId="8" fillId="0" borderId="4" xfId="10" applyFont="1" applyBorder="1" applyAlignment="1">
      <alignment horizontal="right"/>
    </xf>
    <xf numFmtId="39" fontId="8" fillId="0" borderId="5" xfId="10" applyNumberFormat="1" applyFont="1" applyBorder="1" applyProtection="1"/>
    <xf numFmtId="39" fontId="9" fillId="0" borderId="12" xfId="10" applyNumberFormat="1" applyFont="1" applyBorder="1" applyProtection="1"/>
    <xf numFmtId="39" fontId="9" fillId="0" borderId="0" xfId="10" applyNumberFormat="1" applyFont="1" applyBorder="1" applyProtection="1"/>
    <xf numFmtId="0" fontId="9" fillId="0" borderId="13" xfId="10" applyFont="1" applyBorder="1"/>
    <xf numFmtId="0" fontId="9" fillId="0" borderId="2" xfId="10" applyFont="1" applyBorder="1"/>
    <xf numFmtId="169" fontId="9" fillId="0" borderId="2" xfId="10" applyNumberFormat="1" applyFont="1" applyBorder="1" applyProtection="1"/>
    <xf numFmtId="39" fontId="9" fillId="0" borderId="2" xfId="10" applyNumberFormat="1" applyFont="1" applyBorder="1" applyProtection="1"/>
    <xf numFmtId="39" fontId="9" fillId="0" borderId="11" xfId="10" applyNumberFormat="1" applyFont="1" applyBorder="1" applyProtection="1"/>
    <xf numFmtId="0" fontId="10" fillId="0" borderId="3" xfId="10" applyFont="1" applyBorder="1"/>
    <xf numFmtId="15" fontId="9" fillId="0" borderId="11" xfId="11" applyNumberFormat="1" applyFont="1" applyBorder="1" applyAlignment="1">
      <alignment horizontal="center"/>
    </xf>
    <xf numFmtId="15" fontId="9" fillId="0" borderId="11" xfId="15" applyNumberFormat="1" applyFont="1" applyBorder="1" applyAlignment="1">
      <alignment horizontal="center"/>
    </xf>
    <xf numFmtId="14" fontId="9" fillId="0" borderId="22" xfId="12" applyNumberFormat="1" applyFont="1" applyBorder="1" applyAlignment="1">
      <alignment horizontal="center"/>
    </xf>
    <xf numFmtId="0" fontId="9" fillId="0" borderId="22" xfId="12" applyFont="1" applyBorder="1" applyAlignment="1">
      <alignment horizontal="centerContinuous"/>
    </xf>
    <xf numFmtId="0" fontId="9" fillId="0" borderId="11" xfId="12" applyFont="1" applyBorder="1" applyAlignment="1">
      <alignment horizontal="centerContinuous"/>
    </xf>
    <xf numFmtId="14" fontId="1" fillId="0" borderId="21" xfId="12" applyNumberFormat="1" applyFont="1" applyBorder="1" applyAlignment="1">
      <alignment horizontal="center"/>
    </xf>
    <xf numFmtId="14" fontId="1" fillId="0" borderId="20" xfId="12" applyNumberFormat="1" applyFont="1" applyBorder="1" applyAlignment="1">
      <alignment horizontal="center"/>
    </xf>
    <xf numFmtId="15" fontId="9" fillId="0" borderId="12" xfId="15" applyNumberFormat="1" applyFont="1" applyBorder="1" applyAlignment="1">
      <alignment horizontal="center"/>
    </xf>
    <xf numFmtId="0" fontId="1" fillId="0" borderId="12" xfId="12" applyNumberFormat="1" applyFont="1" applyBorder="1" applyAlignment="1">
      <alignment horizontal="center"/>
    </xf>
    <xf numFmtId="39" fontId="9" fillId="0" borderId="0" xfId="10" applyNumberFormat="1" applyFont="1"/>
    <xf numFmtId="0" fontId="9" fillId="0" borderId="0" xfId="10" applyFont="1" applyAlignment="1">
      <alignment horizontal="right"/>
    </xf>
    <xf numFmtId="4" fontId="9" fillId="0" borderId="0" xfId="10" applyNumberFormat="1" applyFont="1"/>
    <xf numFmtId="15" fontId="1" fillId="0" borderId="12" xfId="0" applyNumberFormat="1" applyFont="1" applyBorder="1" applyAlignment="1">
      <alignment horizontal="center"/>
    </xf>
    <xf numFmtId="170" fontId="9" fillId="0" borderId="4" xfId="10" applyNumberFormat="1" applyFont="1" applyBorder="1" applyAlignment="1">
      <alignment horizontal="right"/>
    </xf>
    <xf numFmtId="9" fontId="9" fillId="0" borderId="0" xfId="16" applyFont="1"/>
    <xf numFmtId="9" fontId="9" fillId="0" borderId="4" xfId="16" applyFont="1" applyBorder="1" applyAlignment="1">
      <alignment horizontal="right"/>
    </xf>
  </cellXfs>
  <cellStyles count="17">
    <cellStyle name="Comma" xfId="1" xr:uid="{00000000-0005-0000-0000-000000000000}"/>
    <cellStyle name="Comma0" xfId="2" xr:uid="{00000000-0005-0000-0000-000001000000}"/>
    <cellStyle name="Currency" xfId="3" xr:uid="{00000000-0005-0000-0000-000002000000}"/>
    <cellStyle name="Currency0" xfId="4" xr:uid="{00000000-0005-0000-0000-000003000000}"/>
    <cellStyle name="Date" xfId="5" xr:uid="{00000000-0005-0000-0000-000004000000}"/>
    <cellStyle name="Fixed" xfId="6" xr:uid="{00000000-0005-0000-0000-000005000000}"/>
    <cellStyle name="Heading 1" xfId="7" xr:uid="{00000000-0005-0000-0000-000006000000}"/>
    <cellStyle name="Heading 2" xfId="8" xr:uid="{00000000-0005-0000-0000-000007000000}"/>
    <cellStyle name="Normal" xfId="0" builtinId="0"/>
    <cellStyle name="normal 2" xfId="9" xr:uid="{00000000-0005-0000-0000-000009000000}"/>
    <cellStyle name="Normal_CANON 2001" xfId="15" xr:uid="{00000000-0005-0000-0000-00000A000000}"/>
    <cellStyle name="Normal_CANON POR AÑO LORETO" xfId="10" xr:uid="{00000000-0005-0000-0000-00000B000000}"/>
    <cellStyle name="normal_CANON POR AÑO LORETO_1" xfId="11" xr:uid="{00000000-0005-0000-0000-00000C000000}"/>
    <cellStyle name="normal_CANON POR AÑO PIURA" xfId="12" xr:uid="{00000000-0005-0000-0000-00000D000000}"/>
    <cellStyle name="Percent" xfId="13" xr:uid="{00000000-0005-0000-0000-00000E000000}"/>
    <cellStyle name="Porcentaje" xfId="16" builtinId="5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zoomScale="85" zoomScaleNormal="85" workbookViewId="0">
      <selection activeCell="I23" sqref="I23"/>
    </sheetView>
  </sheetViews>
  <sheetFormatPr baseColWidth="10" defaultColWidth="12.5703125" defaultRowHeight="14.25" x14ac:dyDescent="0.2"/>
  <cols>
    <col min="1" max="1" width="30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8" ht="15" x14ac:dyDescent="0.25">
      <c r="A1" s="105"/>
    </row>
    <row r="2" spans="1:18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8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8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8" ht="15" x14ac:dyDescent="0.2">
      <c r="A5" s="110" t="s">
        <v>72</v>
      </c>
      <c r="B5" s="111"/>
      <c r="C5" s="111"/>
      <c r="D5" s="143"/>
      <c r="E5" s="145" t="str">
        <f>"Ene."&amp;Q6</f>
        <v>Ene.2026</v>
      </c>
      <c r="F5" s="146" t="str">
        <f>"Feb."&amp;Q6</f>
        <v>Feb.2026</v>
      </c>
      <c r="G5" s="145" t="str">
        <f>"Mar."&amp;Q6</f>
        <v>Mar.2026</v>
      </c>
      <c r="H5" s="145" t="str">
        <f>"Abr."&amp;Q6</f>
        <v>Abr.2026</v>
      </c>
      <c r="I5" s="145" t="str">
        <f>"May."&amp;Q6</f>
        <v>May.2026</v>
      </c>
      <c r="J5" s="145" t="str">
        <f>"Jun."&amp;Q6</f>
        <v>Jun.2026</v>
      </c>
      <c r="K5" s="145" t="str">
        <f>"Jul."&amp;Q6</f>
        <v>Jul.2026</v>
      </c>
      <c r="L5" s="145" t="str">
        <f>"Ago."&amp;Q6</f>
        <v>Ago.2026</v>
      </c>
      <c r="M5" s="145" t="str">
        <f>"Sep."&amp;Q6</f>
        <v>Sep.2026</v>
      </c>
      <c r="N5" s="145" t="str">
        <f>"Oct."&amp;Q6</f>
        <v>Oct.2026</v>
      </c>
      <c r="O5" s="145" t="str">
        <f>"Nov."&amp;Q6</f>
        <v>Nov.2026</v>
      </c>
      <c r="P5" s="145" t="str">
        <f>"Dic."&amp;Q6</f>
        <v>Dic.2026</v>
      </c>
      <c r="Q5" s="145" t="s">
        <v>57</v>
      </c>
    </row>
    <row r="6" spans="1:18" ht="15" x14ac:dyDescent="0.2">
      <c r="A6" s="114" t="s">
        <v>76</v>
      </c>
      <c r="B6" s="115"/>
      <c r="C6" s="115"/>
      <c r="D6" s="144"/>
      <c r="E6" s="152">
        <v>46072</v>
      </c>
      <c r="F6" s="152">
        <v>46101</v>
      </c>
      <c r="G6" s="152">
        <v>46134</v>
      </c>
      <c r="H6" s="152">
        <v>46163</v>
      </c>
      <c r="I6" s="152">
        <v>46191</v>
      </c>
      <c r="J6" s="152">
        <v>46224</v>
      </c>
      <c r="K6" s="152">
        <v>46254</v>
      </c>
      <c r="L6" s="152"/>
      <c r="M6" s="152"/>
      <c r="N6" s="152"/>
      <c r="O6" s="152"/>
      <c r="P6" s="152"/>
      <c r="Q6" s="148">
        <v>2026</v>
      </c>
    </row>
    <row r="7" spans="1:18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8" hidden="1" x14ac:dyDescent="0.2">
      <c r="A8" s="104" t="s">
        <v>84</v>
      </c>
      <c r="B8" s="120"/>
      <c r="C8" s="120"/>
      <c r="D8" s="125"/>
      <c r="E8" s="126"/>
      <c r="F8" s="126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>
        <f t="shared" ref="Q8:Q14" si="0">SUM(E8:P8)</f>
        <v>0</v>
      </c>
    </row>
    <row r="9" spans="1:18" hidden="1" x14ac:dyDescent="0.2">
      <c r="A9" s="104" t="s">
        <v>85</v>
      </c>
      <c r="B9" s="120"/>
      <c r="C9" s="120"/>
      <c r="D9" s="125"/>
      <c r="E9" s="126"/>
      <c r="F9" s="126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>
        <f t="shared" si="0"/>
        <v>0</v>
      </c>
    </row>
    <row r="10" spans="1:18" x14ac:dyDescent="0.2">
      <c r="A10" s="104" t="s">
        <v>83</v>
      </c>
      <c r="B10" s="120"/>
      <c r="C10" s="120"/>
      <c r="D10" s="155">
        <v>0.2</v>
      </c>
      <c r="E10" s="126">
        <v>2794369.3299999945</v>
      </c>
      <c r="F10" s="123">
        <v>2757304.07</v>
      </c>
      <c r="G10" s="123">
        <v>3553378.4799999972</v>
      </c>
      <c r="H10" s="123">
        <v>4727040.510000011</v>
      </c>
      <c r="I10" s="123">
        <v>4660538.1474031471</v>
      </c>
      <c r="J10" s="123">
        <v>3303778.1400000006</v>
      </c>
      <c r="K10" s="123">
        <v>2944693.8500000006</v>
      </c>
      <c r="L10" s="123"/>
      <c r="M10" s="123"/>
      <c r="N10" s="123"/>
      <c r="O10" s="123"/>
      <c r="P10" s="123"/>
      <c r="Q10" s="123">
        <f t="shared" si="0"/>
        <v>24741102.527403153</v>
      </c>
      <c r="R10" s="151"/>
    </row>
    <row r="11" spans="1:18" x14ac:dyDescent="0.2">
      <c r="A11" s="104" t="s">
        <v>208</v>
      </c>
      <c r="B11" s="120"/>
      <c r="C11" s="120"/>
      <c r="D11" s="153">
        <v>0.02</v>
      </c>
      <c r="E11" s="126">
        <v>278557.09999999998</v>
      </c>
      <c r="F11" s="123">
        <v>272946.62</v>
      </c>
      <c r="G11" s="123">
        <v>398790.66</v>
      </c>
      <c r="H11" s="123">
        <v>470611.44</v>
      </c>
      <c r="I11" s="123">
        <v>461396.86</v>
      </c>
      <c r="J11" s="123">
        <v>325574.43</v>
      </c>
      <c r="K11" s="123">
        <v>289108.40999999997</v>
      </c>
      <c r="L11" s="123"/>
      <c r="M11" s="123"/>
      <c r="N11" s="123"/>
      <c r="O11" s="123"/>
      <c r="P11" s="123"/>
      <c r="Q11" s="123">
        <f t="shared" si="0"/>
        <v>2496985.52</v>
      </c>
      <c r="R11" s="151"/>
    </row>
    <row r="12" spans="1:18" x14ac:dyDescent="0.2">
      <c r="A12" s="104" t="s">
        <v>210</v>
      </c>
      <c r="B12" s="120"/>
      <c r="C12" s="120"/>
      <c r="D12" s="153">
        <v>0.05</v>
      </c>
      <c r="E12" s="126">
        <v>697238.74</v>
      </c>
      <c r="F12" s="123">
        <v>685043.26</v>
      </c>
      <c r="G12" s="123">
        <v>1505155.92</v>
      </c>
      <c r="H12" s="123">
        <v>1178540.71</v>
      </c>
      <c r="I12" s="123">
        <v>1157969.9943932118</v>
      </c>
      <c r="J12" s="123">
        <v>818554.71</v>
      </c>
      <c r="K12" s="123">
        <v>727925.79</v>
      </c>
      <c r="L12" s="123"/>
      <c r="M12" s="123"/>
      <c r="N12" s="123"/>
      <c r="O12" s="123"/>
      <c r="P12" s="123"/>
      <c r="Q12" s="123">
        <f t="shared" si="0"/>
        <v>6770429.1243932117</v>
      </c>
      <c r="R12" s="151"/>
    </row>
    <row r="13" spans="1:18" x14ac:dyDescent="0.2">
      <c r="A13" s="104" t="s">
        <v>2</v>
      </c>
      <c r="B13" s="120"/>
      <c r="C13" s="120"/>
      <c r="D13" s="155">
        <v>0.03</v>
      </c>
      <c r="E13" s="126">
        <v>418343.25</v>
      </c>
      <c r="F13" s="123">
        <v>411025.96</v>
      </c>
      <c r="G13" s="123">
        <v>602062.36</v>
      </c>
      <c r="H13" s="123">
        <v>707124.43</v>
      </c>
      <c r="I13" s="123">
        <v>694782</v>
      </c>
      <c r="J13" s="123">
        <v>491132.82</v>
      </c>
      <c r="K13" s="123">
        <v>436755.48</v>
      </c>
      <c r="L13" s="123"/>
      <c r="M13" s="123"/>
      <c r="N13" s="123"/>
      <c r="O13" s="123"/>
      <c r="P13" s="123"/>
      <c r="Q13" s="123">
        <f t="shared" si="0"/>
        <v>3761226.3</v>
      </c>
      <c r="R13" s="151"/>
    </row>
    <row r="14" spans="1:18" ht="15" thickBot="1" x14ac:dyDescent="0.25">
      <c r="A14" s="104" t="s">
        <v>3</v>
      </c>
      <c r="B14" s="120"/>
      <c r="C14" s="120"/>
      <c r="D14" s="155">
        <v>0.7</v>
      </c>
      <c r="E14" s="127">
        <v>9756266.4299999997</v>
      </c>
      <c r="F14" s="128">
        <v>9574545.4000000004</v>
      </c>
      <c r="G14" s="128">
        <v>14009358.189999999</v>
      </c>
      <c r="H14" s="128">
        <v>16487497.289999999</v>
      </c>
      <c r="I14" s="128">
        <v>16184712.939999999</v>
      </c>
      <c r="J14" s="128">
        <v>11432054.119999999</v>
      </c>
      <c r="K14" s="128">
        <v>10160032.5</v>
      </c>
      <c r="L14" s="128"/>
      <c r="M14" s="128"/>
      <c r="N14" s="128"/>
      <c r="O14" s="128"/>
      <c r="P14" s="128"/>
      <c r="Q14" s="129">
        <f t="shared" si="0"/>
        <v>87604466.86999999</v>
      </c>
      <c r="R14" s="151"/>
    </row>
    <row r="15" spans="1:18" ht="15" x14ac:dyDescent="0.25">
      <c r="A15" s="104"/>
      <c r="B15" s="120"/>
      <c r="D15" s="130" t="s">
        <v>68</v>
      </c>
      <c r="E15" s="131">
        <f t="shared" ref="E15:Q15" si="1">SUM(E8:E14)</f>
        <v>13944774.849999994</v>
      </c>
      <c r="F15" s="131">
        <f t="shared" si="1"/>
        <v>13700865.310000001</v>
      </c>
      <c r="G15" s="131">
        <f t="shared" si="1"/>
        <v>20068745.609999996</v>
      </c>
      <c r="H15" s="131">
        <f t="shared" si="1"/>
        <v>23570814.38000001</v>
      </c>
      <c r="I15" s="131">
        <f t="shared" si="1"/>
        <v>23159399.941796359</v>
      </c>
      <c r="J15" s="131">
        <f t="shared" si="1"/>
        <v>16371094.220000001</v>
      </c>
      <c r="K15" s="131">
        <f t="shared" si="1"/>
        <v>14558516.030000001</v>
      </c>
      <c r="L15" s="131">
        <f t="shared" si="1"/>
        <v>0</v>
      </c>
      <c r="M15" s="131">
        <f t="shared" si="1"/>
        <v>0</v>
      </c>
      <c r="N15" s="131">
        <f t="shared" si="1"/>
        <v>0</v>
      </c>
      <c r="O15" s="131">
        <f t="shared" si="1"/>
        <v>0</v>
      </c>
      <c r="P15" s="131">
        <f t="shared" si="1"/>
        <v>0</v>
      </c>
      <c r="Q15" s="131">
        <f t="shared" si="1"/>
        <v>125374210.34179635</v>
      </c>
    </row>
    <row r="16" spans="1:18" x14ac:dyDescent="0.2">
      <c r="A16" s="104"/>
      <c r="B16" s="120"/>
      <c r="C16" s="120"/>
      <c r="D16" s="121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</row>
    <row r="17" spans="1:17" x14ac:dyDescent="0.2">
      <c r="A17" s="139" t="s">
        <v>82</v>
      </c>
      <c r="B17" s="120"/>
      <c r="C17" s="120"/>
      <c r="D17" s="120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26"/>
    </row>
    <row r="18" spans="1:17" x14ac:dyDescent="0.2">
      <c r="A18" s="134"/>
      <c r="B18" s="135"/>
      <c r="C18" s="135"/>
      <c r="D18" s="135"/>
      <c r="E18" s="136"/>
      <c r="F18" s="136"/>
      <c r="G18" s="136"/>
      <c r="H18" s="136"/>
      <c r="I18" s="136"/>
      <c r="J18" s="137"/>
      <c r="K18" s="137"/>
      <c r="L18" s="137"/>
      <c r="M18" s="137"/>
      <c r="N18" s="137"/>
      <c r="O18" s="137"/>
      <c r="P18" s="137"/>
      <c r="Q18" s="138"/>
    </row>
    <row r="20" spans="1:17" x14ac:dyDescent="0.2">
      <c r="A20" s="106" t="s">
        <v>209</v>
      </c>
      <c r="G20" s="14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zoomScale="85" zoomScaleNormal="85" workbookViewId="0">
      <selection activeCell="A20" sqref="A20"/>
    </sheetView>
  </sheetViews>
  <sheetFormatPr baseColWidth="10" defaultColWidth="12.5703125" defaultRowHeight="14.25" x14ac:dyDescent="0.2"/>
  <cols>
    <col min="1" max="1" width="30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8" ht="15" x14ac:dyDescent="0.25">
      <c r="A1" s="105"/>
    </row>
    <row r="2" spans="1:18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8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8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8" ht="15" x14ac:dyDescent="0.2">
      <c r="A5" s="110" t="s">
        <v>72</v>
      </c>
      <c r="B5" s="111"/>
      <c r="C5" s="111"/>
      <c r="D5" s="143"/>
      <c r="E5" s="145" t="str">
        <f>"Ene."&amp;Q6</f>
        <v>Ene.2025</v>
      </c>
      <c r="F5" s="146" t="str">
        <f>"Feb."&amp;Q6</f>
        <v>Feb.2025</v>
      </c>
      <c r="G5" s="145" t="str">
        <f>"Mar."&amp;Q6</f>
        <v>Mar.2025</v>
      </c>
      <c r="H5" s="145" t="str">
        <f>"Abr."&amp;Q6</f>
        <v>Abr.2025</v>
      </c>
      <c r="I5" s="145" t="str">
        <f>"May."&amp;Q6</f>
        <v>May.2025</v>
      </c>
      <c r="J5" s="145" t="str">
        <f>"Jun."&amp;Q6</f>
        <v>Jun.2025</v>
      </c>
      <c r="K5" s="145" t="str">
        <f>"Jul."&amp;Q6</f>
        <v>Jul.2025</v>
      </c>
      <c r="L5" s="145" t="str">
        <f>"Ago."&amp;Q6</f>
        <v>Ago.2025</v>
      </c>
      <c r="M5" s="145" t="str">
        <f>"Sep."&amp;Q6</f>
        <v>Sep.2025</v>
      </c>
      <c r="N5" s="145" t="str">
        <f>"Oct."&amp;Q6</f>
        <v>Oct.2025</v>
      </c>
      <c r="O5" s="145" t="str">
        <f>"Nov."&amp;Q6</f>
        <v>Nov.2025</v>
      </c>
      <c r="P5" s="145" t="str">
        <f>"Dic."&amp;Q6</f>
        <v>Dic.2025</v>
      </c>
      <c r="Q5" s="145" t="s">
        <v>57</v>
      </c>
    </row>
    <row r="6" spans="1:18" ht="15" x14ac:dyDescent="0.2">
      <c r="A6" s="114" t="s">
        <v>76</v>
      </c>
      <c r="B6" s="115"/>
      <c r="C6" s="115"/>
      <c r="D6" s="144"/>
      <c r="E6" s="152">
        <v>45708</v>
      </c>
      <c r="F6" s="152">
        <v>45736</v>
      </c>
      <c r="G6" s="152">
        <v>45769</v>
      </c>
      <c r="H6" s="152">
        <v>45798</v>
      </c>
      <c r="I6" s="152">
        <v>45827</v>
      </c>
      <c r="J6" s="152">
        <v>45856</v>
      </c>
      <c r="K6" s="152">
        <v>45890</v>
      </c>
      <c r="L6" s="152">
        <v>45918</v>
      </c>
      <c r="M6" s="152">
        <v>45951</v>
      </c>
      <c r="N6" s="152">
        <v>45981</v>
      </c>
      <c r="O6" s="152">
        <v>46013</v>
      </c>
      <c r="P6" s="152">
        <v>46045</v>
      </c>
      <c r="Q6" s="148">
        <v>2025</v>
      </c>
    </row>
    <row r="7" spans="1:18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8" hidden="1" x14ac:dyDescent="0.2">
      <c r="A8" s="104" t="s">
        <v>84</v>
      </c>
      <c r="B8" s="120"/>
      <c r="C8" s="120"/>
      <c r="D8" s="125"/>
      <c r="E8" s="126"/>
      <c r="F8" s="126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>
        <f t="shared" ref="Q8:Q15" si="0">SUM(E8:P8)</f>
        <v>0</v>
      </c>
    </row>
    <row r="9" spans="1:18" hidden="1" x14ac:dyDescent="0.2">
      <c r="A9" s="104" t="s">
        <v>85</v>
      </c>
      <c r="B9" s="120"/>
      <c r="C9" s="120"/>
      <c r="D9" s="125"/>
      <c r="E9" s="126"/>
      <c r="F9" s="126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>
        <f t="shared" si="0"/>
        <v>0</v>
      </c>
    </row>
    <row r="10" spans="1:18" x14ac:dyDescent="0.2">
      <c r="A10" s="104" t="s">
        <v>83</v>
      </c>
      <c r="B10" s="120"/>
      <c r="C10" s="120"/>
      <c r="D10" s="155">
        <v>0.2</v>
      </c>
      <c r="E10" s="126">
        <v>4642197.1800000062</v>
      </c>
      <c r="F10" s="123">
        <v>4259199.6399999997</v>
      </c>
      <c r="G10" s="123">
        <v>4817989.8499999996</v>
      </c>
      <c r="H10" s="123">
        <v>4535863.66</v>
      </c>
      <c r="I10" s="123">
        <v>3406782.74</v>
      </c>
      <c r="J10" s="123">
        <v>3398149.01</v>
      </c>
      <c r="K10" s="123">
        <v>4096274.24</v>
      </c>
      <c r="L10" s="123">
        <v>3406766.3</v>
      </c>
      <c r="M10" s="123">
        <v>3019466.6600000011</v>
      </c>
      <c r="N10" s="123">
        <v>2742256.82</v>
      </c>
      <c r="O10" s="123">
        <v>2185529.1700000037</v>
      </c>
      <c r="P10" s="123">
        <v>2418818.820000004</v>
      </c>
      <c r="Q10" s="123">
        <f t="shared" si="0"/>
        <v>42929294.090000018</v>
      </c>
      <c r="R10" s="151"/>
    </row>
    <row r="11" spans="1:18" x14ac:dyDescent="0.2">
      <c r="A11" s="104" t="s">
        <v>208</v>
      </c>
      <c r="B11" s="120"/>
      <c r="C11" s="120"/>
      <c r="D11" s="153">
        <v>0.02</v>
      </c>
      <c r="E11" s="126">
        <v>462466.97</v>
      </c>
      <c r="F11" s="123">
        <v>419359.31</v>
      </c>
      <c r="G11" s="123">
        <v>479159.58</v>
      </c>
      <c r="H11" s="123">
        <v>451748.65</v>
      </c>
      <c r="I11" s="123">
        <v>340558.73</v>
      </c>
      <c r="J11" s="123">
        <v>337029.67</v>
      </c>
      <c r="K11" s="123">
        <v>408219.69</v>
      </c>
      <c r="L11" s="123">
        <v>338449.24</v>
      </c>
      <c r="M11" s="123">
        <v>300490.03999999998</v>
      </c>
      <c r="N11" s="123">
        <v>273347.81</v>
      </c>
      <c r="O11" s="123">
        <v>218552.92</v>
      </c>
      <c r="P11" s="123">
        <v>237364.01</v>
      </c>
      <c r="Q11" s="123">
        <f t="shared" si="0"/>
        <v>4266746.62</v>
      </c>
      <c r="R11" s="151"/>
    </row>
    <row r="12" spans="1:18" x14ac:dyDescent="0.2">
      <c r="A12" s="104" t="s">
        <v>1</v>
      </c>
      <c r="B12" s="120"/>
      <c r="C12" s="120"/>
      <c r="D12" s="153">
        <v>2.5000000000000001E-2</v>
      </c>
      <c r="E12" s="126">
        <v>578926.38</v>
      </c>
      <c r="F12" s="123">
        <v>527353.30000000005</v>
      </c>
      <c r="G12" s="123">
        <v>600218.42000000004</v>
      </c>
      <c r="H12" s="123">
        <v>565569.32999999996</v>
      </c>
      <c r="I12" s="123">
        <v>425755.88</v>
      </c>
      <c r="J12" s="123">
        <v>422626.14</v>
      </c>
      <c r="K12" s="123">
        <v>510951.41</v>
      </c>
      <c r="L12" s="123">
        <v>424132.42</v>
      </c>
      <c r="M12" s="123">
        <v>376312.85</v>
      </c>
      <c r="N12" s="123">
        <v>342106.82</v>
      </c>
      <c r="O12" s="123">
        <v>273191.15000000002</v>
      </c>
      <c r="P12" s="123">
        <v>298877.07</v>
      </c>
      <c r="Q12" s="123">
        <f t="shared" si="0"/>
        <v>5346021.1700000009</v>
      </c>
      <c r="R12" s="151"/>
    </row>
    <row r="13" spans="1:18" x14ac:dyDescent="0.2">
      <c r="A13" s="104" t="s">
        <v>207</v>
      </c>
      <c r="B13" s="120"/>
      <c r="C13" s="120"/>
      <c r="D13" s="153">
        <v>2.5000000000000001E-2</v>
      </c>
      <c r="E13" s="126">
        <v>578926.38</v>
      </c>
      <c r="F13" s="123">
        <v>527353.30000000005</v>
      </c>
      <c r="G13" s="123">
        <v>600218.42000000004</v>
      </c>
      <c r="H13" s="123">
        <v>565569.32999999996</v>
      </c>
      <c r="I13" s="123">
        <v>425755.88</v>
      </c>
      <c r="J13" s="123">
        <v>422626.14</v>
      </c>
      <c r="K13" s="123">
        <v>510951.41</v>
      </c>
      <c r="L13" s="123">
        <v>424132.42</v>
      </c>
      <c r="M13" s="123">
        <v>376312.85</v>
      </c>
      <c r="N13" s="123">
        <v>342106.82</v>
      </c>
      <c r="O13" s="123">
        <v>273191.15000000002</v>
      </c>
      <c r="P13" s="123">
        <v>298877.07</v>
      </c>
      <c r="Q13" s="123">
        <f t="shared" si="0"/>
        <v>5346021.1700000009</v>
      </c>
      <c r="R13" s="151"/>
    </row>
    <row r="14" spans="1:18" x14ac:dyDescent="0.2">
      <c r="A14" s="104" t="s">
        <v>2</v>
      </c>
      <c r="B14" s="120"/>
      <c r="C14" s="120"/>
      <c r="D14" s="155">
        <v>0.03</v>
      </c>
      <c r="E14" s="126">
        <v>694711.64999999991</v>
      </c>
      <c r="F14" s="123">
        <v>632823.94999999995</v>
      </c>
      <c r="G14" s="123">
        <v>720262.1</v>
      </c>
      <c r="H14" s="123">
        <v>678683.19</v>
      </c>
      <c r="I14" s="123">
        <v>510907.06</v>
      </c>
      <c r="J14" s="123">
        <v>507151.37</v>
      </c>
      <c r="K14" s="123">
        <v>613141.68999999994</v>
      </c>
      <c r="L14" s="123">
        <v>508958.9</v>
      </c>
      <c r="M14" s="123">
        <v>451575.41</v>
      </c>
      <c r="N14" s="123">
        <v>410528.18</v>
      </c>
      <c r="O14" s="123">
        <v>327829.38</v>
      </c>
      <c r="P14" s="123">
        <v>358652.48</v>
      </c>
      <c r="Q14" s="123">
        <f t="shared" si="0"/>
        <v>6415225.3599999994</v>
      </c>
      <c r="R14" s="151"/>
    </row>
    <row r="15" spans="1:18" ht="15" thickBot="1" x14ac:dyDescent="0.25">
      <c r="A15" s="104" t="s">
        <v>3</v>
      </c>
      <c r="B15" s="120"/>
      <c r="C15" s="120"/>
      <c r="D15" s="155">
        <v>0.7</v>
      </c>
      <c r="E15" s="127">
        <v>16199826.510000002</v>
      </c>
      <c r="F15" s="128">
        <v>14728042.41</v>
      </c>
      <c r="G15" s="128">
        <v>16790888.370000001</v>
      </c>
      <c r="H15" s="128">
        <v>15825339.02</v>
      </c>
      <c r="I15" s="128">
        <v>11920475.050000001</v>
      </c>
      <c r="J15" s="128">
        <v>11817463.18</v>
      </c>
      <c r="K15" s="128">
        <v>14298517.970000001</v>
      </c>
      <c r="L15" s="128">
        <v>11862857.300000001</v>
      </c>
      <c r="M15" s="128">
        <v>10528356.109999999</v>
      </c>
      <c r="N15" s="128">
        <v>9573926.1199999992</v>
      </c>
      <c r="O15" s="128">
        <v>7649352.1399999997</v>
      </c>
      <c r="P15" s="128">
        <v>8342493.1500000004</v>
      </c>
      <c r="Q15" s="129">
        <f t="shared" si="0"/>
        <v>149537537.32999998</v>
      </c>
      <c r="R15" s="151"/>
    </row>
    <row r="16" spans="1:18" ht="15" x14ac:dyDescent="0.25">
      <c r="A16" s="104"/>
      <c r="B16" s="120"/>
      <c r="D16" s="130" t="s">
        <v>68</v>
      </c>
      <c r="E16" s="131">
        <f>SUM(E8:E15)</f>
        <v>23157055.070000008</v>
      </c>
      <c r="F16" s="131">
        <f t="shared" ref="F16:Q16" si="1">SUM(F8:F15)</f>
        <v>21094131.91</v>
      </c>
      <c r="G16" s="131">
        <f t="shared" si="1"/>
        <v>24008736.740000002</v>
      </c>
      <c r="H16" s="131">
        <f t="shared" si="1"/>
        <v>22622773.18</v>
      </c>
      <c r="I16" s="131">
        <f t="shared" si="1"/>
        <v>17030235.34</v>
      </c>
      <c r="J16" s="131">
        <f t="shared" si="1"/>
        <v>16905045.509999998</v>
      </c>
      <c r="K16" s="131">
        <f t="shared" si="1"/>
        <v>20438056.410000004</v>
      </c>
      <c r="L16" s="131">
        <f t="shared" si="1"/>
        <v>16965296.580000002</v>
      </c>
      <c r="M16" s="131">
        <f t="shared" si="1"/>
        <v>15052513.920000002</v>
      </c>
      <c r="N16" s="131">
        <f t="shared" si="1"/>
        <v>13684272.569999998</v>
      </c>
      <c r="O16" s="131">
        <f t="shared" si="1"/>
        <v>10927645.910000004</v>
      </c>
      <c r="P16" s="131">
        <f t="shared" si="1"/>
        <v>11955082.600000003</v>
      </c>
      <c r="Q16" s="131">
        <f t="shared" si="1"/>
        <v>213840845.74000001</v>
      </c>
    </row>
    <row r="17" spans="1:17" x14ac:dyDescent="0.2">
      <c r="A17" s="104"/>
      <c r="B17" s="120"/>
      <c r="C17" s="120"/>
      <c r="D17" s="121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spans="1:17" x14ac:dyDescent="0.2">
      <c r="A18" s="139" t="s">
        <v>82</v>
      </c>
      <c r="B18" s="120"/>
      <c r="C18" s="120"/>
      <c r="D18" s="120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26"/>
    </row>
    <row r="19" spans="1:17" x14ac:dyDescent="0.2">
      <c r="A19" s="134"/>
      <c r="B19" s="135"/>
      <c r="C19" s="135"/>
      <c r="D19" s="135"/>
      <c r="E19" s="136"/>
      <c r="F19" s="136"/>
      <c r="G19" s="136"/>
      <c r="H19" s="136"/>
      <c r="I19" s="136"/>
      <c r="J19" s="137"/>
      <c r="K19" s="137"/>
      <c r="L19" s="137"/>
      <c r="M19" s="137"/>
      <c r="N19" s="137"/>
      <c r="O19" s="137"/>
      <c r="P19" s="137"/>
      <c r="Q19" s="138"/>
    </row>
    <row r="21" spans="1:17" x14ac:dyDescent="0.2">
      <c r="A21" s="106" t="s">
        <v>209</v>
      </c>
      <c r="G21" s="14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topLeftCell="I1" zoomScale="85" zoomScaleNormal="85" workbookViewId="0">
      <selection activeCell="P17" sqref="P17"/>
    </sheetView>
  </sheetViews>
  <sheetFormatPr baseColWidth="10" defaultColWidth="12.5703125" defaultRowHeight="14.25" x14ac:dyDescent="0.2"/>
  <cols>
    <col min="1" max="1" width="30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8" ht="15" x14ac:dyDescent="0.25">
      <c r="A1" s="105"/>
    </row>
    <row r="2" spans="1:18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8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8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8" ht="15" x14ac:dyDescent="0.2">
      <c r="A5" s="110" t="s">
        <v>72</v>
      </c>
      <c r="B5" s="111"/>
      <c r="C5" s="111"/>
      <c r="D5" s="143"/>
      <c r="E5" s="145" t="str">
        <f>"Ene."&amp;Q6</f>
        <v>Ene.2024</v>
      </c>
      <c r="F5" s="146" t="str">
        <f>"Feb."&amp;Q6</f>
        <v>Feb.2024</v>
      </c>
      <c r="G5" s="145" t="str">
        <f>"Mar."&amp;Q6</f>
        <v>Mar.2024</v>
      </c>
      <c r="H5" s="145" t="str">
        <f>"Abr."&amp;Q6</f>
        <v>Abr.2024</v>
      </c>
      <c r="I5" s="145" t="str">
        <f>"May."&amp;Q6</f>
        <v>May.2024</v>
      </c>
      <c r="J5" s="145" t="str">
        <f>"Jun."&amp;Q6</f>
        <v>Jun.2024</v>
      </c>
      <c r="K5" s="145" t="str">
        <f>"Jul."&amp;Q6</f>
        <v>Jul.2024</v>
      </c>
      <c r="L5" s="145" t="str">
        <f>"Ago."&amp;Q6</f>
        <v>Ago.2024</v>
      </c>
      <c r="M5" s="145" t="str">
        <f>"Sep."&amp;Q6</f>
        <v>Sep.2024</v>
      </c>
      <c r="N5" s="145" t="str">
        <f>"Oct."&amp;Q6</f>
        <v>Oct.2024</v>
      </c>
      <c r="O5" s="145" t="str">
        <f>"Nov."&amp;Q6</f>
        <v>Nov.2024</v>
      </c>
      <c r="P5" s="145" t="str">
        <f>"Dic."&amp;Q6</f>
        <v>Dic.2024</v>
      </c>
      <c r="Q5" s="145" t="s">
        <v>57</v>
      </c>
    </row>
    <row r="6" spans="1:18" ht="15" x14ac:dyDescent="0.2">
      <c r="A6" s="114" t="s">
        <v>76</v>
      </c>
      <c r="B6" s="115"/>
      <c r="C6" s="115"/>
      <c r="D6" s="144"/>
      <c r="E6" s="152">
        <v>45342</v>
      </c>
      <c r="F6" s="152">
        <v>45371</v>
      </c>
      <c r="G6" s="152">
        <v>45401</v>
      </c>
      <c r="H6" s="152">
        <v>45433</v>
      </c>
      <c r="I6" s="152">
        <v>45464</v>
      </c>
      <c r="J6" s="152">
        <v>45493</v>
      </c>
      <c r="K6" s="152">
        <v>45525</v>
      </c>
      <c r="L6" s="152">
        <v>45554</v>
      </c>
      <c r="M6" s="152">
        <v>45586</v>
      </c>
      <c r="N6" s="152">
        <v>45617</v>
      </c>
      <c r="O6" s="152">
        <v>45646</v>
      </c>
      <c r="P6" s="152">
        <v>45678</v>
      </c>
      <c r="Q6" s="148">
        <v>2024</v>
      </c>
    </row>
    <row r="7" spans="1:18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8" hidden="1" x14ac:dyDescent="0.2">
      <c r="A8" s="104" t="s">
        <v>84</v>
      </c>
      <c r="B8" s="120"/>
      <c r="C8" s="120"/>
      <c r="D8" s="125"/>
      <c r="E8" s="126"/>
      <c r="F8" s="126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>
        <f t="shared" ref="Q8:Q15" si="0">SUM(E8:P8)</f>
        <v>0</v>
      </c>
    </row>
    <row r="9" spans="1:18" hidden="1" x14ac:dyDescent="0.2">
      <c r="A9" s="104" t="s">
        <v>85</v>
      </c>
      <c r="B9" s="120"/>
      <c r="C9" s="120"/>
      <c r="D9" s="125"/>
      <c r="E9" s="126"/>
      <c r="F9" s="126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>
        <f t="shared" si="0"/>
        <v>0</v>
      </c>
    </row>
    <row r="10" spans="1:18" x14ac:dyDescent="0.2">
      <c r="A10" s="104" t="s">
        <v>83</v>
      </c>
      <c r="B10" s="120"/>
      <c r="C10" s="120"/>
      <c r="D10" s="155">
        <v>0.2</v>
      </c>
      <c r="E10" s="126">
        <v>4127785.6999999965</v>
      </c>
      <c r="F10" s="123">
        <v>3671412.8299999954</v>
      </c>
      <c r="G10" s="123">
        <v>4105032.660000002</v>
      </c>
      <c r="H10" s="123">
        <v>4325838.8600000013</v>
      </c>
      <c r="I10" s="123">
        <v>3540856.0200000028</v>
      </c>
      <c r="J10" s="123">
        <v>4213032.969999996</v>
      </c>
      <c r="K10" s="123">
        <v>4495871.07</v>
      </c>
      <c r="L10" s="123">
        <v>3054392.0800000019</v>
      </c>
      <c r="M10" s="123">
        <v>1932484.149999995</v>
      </c>
      <c r="N10" s="123">
        <v>3044709.6500000018</v>
      </c>
      <c r="O10" s="123">
        <v>3738744.7900000042</v>
      </c>
      <c r="P10" s="123">
        <v>4062195.9300000137</v>
      </c>
      <c r="Q10" s="123">
        <f t="shared" si="0"/>
        <v>44312356.710000008</v>
      </c>
      <c r="R10" s="151"/>
    </row>
    <row r="11" spans="1:18" x14ac:dyDescent="0.2">
      <c r="A11" s="104" t="s">
        <v>208</v>
      </c>
      <c r="B11" s="120"/>
      <c r="C11" s="120"/>
      <c r="D11" s="153">
        <v>0.02</v>
      </c>
      <c r="E11" s="126">
        <v>406655.83</v>
      </c>
      <c r="F11" s="123">
        <v>362308.85</v>
      </c>
      <c r="G11" s="123">
        <v>407864.26</v>
      </c>
      <c r="H11" s="123">
        <v>430136.14</v>
      </c>
      <c r="I11" s="123">
        <v>352577.5</v>
      </c>
      <c r="J11" s="123">
        <v>415239.34</v>
      </c>
      <c r="K11" s="123">
        <v>434506.98</v>
      </c>
      <c r="L11" s="123">
        <v>294238.34999999998</v>
      </c>
      <c r="M11" s="123">
        <v>180831.63</v>
      </c>
      <c r="N11" s="123">
        <v>292873.71000000002</v>
      </c>
      <c r="O11" s="123">
        <v>368982.37</v>
      </c>
      <c r="P11" s="123">
        <v>406147.75</v>
      </c>
      <c r="Q11" s="123">
        <f t="shared" si="0"/>
        <v>4352362.71</v>
      </c>
      <c r="R11" s="151"/>
    </row>
    <row r="12" spans="1:18" x14ac:dyDescent="0.2">
      <c r="A12" s="104" t="s">
        <v>1</v>
      </c>
      <c r="B12" s="120"/>
      <c r="C12" s="120"/>
      <c r="D12" s="153">
        <v>2.5000000000000001E-2</v>
      </c>
      <c r="E12" s="126">
        <v>511263.41000000003</v>
      </c>
      <c r="F12" s="123">
        <v>455209.35</v>
      </c>
      <c r="G12" s="123">
        <v>511099.07</v>
      </c>
      <c r="H12" s="123">
        <v>538846.9800000001</v>
      </c>
      <c r="I12" s="123">
        <v>441446.93</v>
      </c>
      <c r="J12" s="123">
        <v>521964.54</v>
      </c>
      <c r="K12" s="123">
        <v>550383.78</v>
      </c>
      <c r="L12" s="123">
        <v>373182.97000000003</v>
      </c>
      <c r="M12" s="123">
        <v>232009.13999999998</v>
      </c>
      <c r="N12" s="123">
        <v>371667.74</v>
      </c>
      <c r="O12" s="123">
        <v>463579.94</v>
      </c>
      <c r="P12" s="123">
        <v>507719.23</v>
      </c>
      <c r="Q12" s="123">
        <f t="shared" si="0"/>
        <v>5478373.0800000019</v>
      </c>
      <c r="R12" s="151"/>
    </row>
    <row r="13" spans="1:18" x14ac:dyDescent="0.2">
      <c r="A13" s="104" t="s">
        <v>207</v>
      </c>
      <c r="B13" s="120"/>
      <c r="C13" s="120"/>
      <c r="D13" s="153">
        <v>2.5000000000000001E-2</v>
      </c>
      <c r="E13" s="126">
        <v>511263.41000000003</v>
      </c>
      <c r="F13" s="123">
        <v>455209.35</v>
      </c>
      <c r="G13" s="123">
        <v>511099.07</v>
      </c>
      <c r="H13" s="123">
        <v>538846.9800000001</v>
      </c>
      <c r="I13" s="123">
        <v>441446.93</v>
      </c>
      <c r="J13" s="123">
        <v>521964.54</v>
      </c>
      <c r="K13" s="123">
        <v>550383.78</v>
      </c>
      <c r="L13" s="123">
        <v>373182.97000000003</v>
      </c>
      <c r="M13" s="123">
        <v>232009.13999999998</v>
      </c>
      <c r="N13" s="123">
        <v>371667.74</v>
      </c>
      <c r="O13" s="123">
        <v>463579.94</v>
      </c>
      <c r="P13" s="123">
        <v>507719.23</v>
      </c>
      <c r="Q13" s="123">
        <f t="shared" si="0"/>
        <v>5478373.0800000019</v>
      </c>
      <c r="R13" s="151"/>
    </row>
    <row r="14" spans="1:18" x14ac:dyDescent="0.2">
      <c r="A14" s="104" t="s">
        <v>2</v>
      </c>
      <c r="B14" s="120"/>
      <c r="C14" s="120"/>
      <c r="D14" s="155">
        <v>0.03</v>
      </c>
      <c r="E14" s="126">
        <v>613516.09</v>
      </c>
      <c r="F14" s="123">
        <v>546251.22</v>
      </c>
      <c r="G14" s="123">
        <v>613318.89</v>
      </c>
      <c r="H14" s="123">
        <v>646616.37</v>
      </c>
      <c r="I14" s="123">
        <v>529736.32000000007</v>
      </c>
      <c r="J14" s="123">
        <v>626357.43999999994</v>
      </c>
      <c r="K14" s="123">
        <v>660460.53999999992</v>
      </c>
      <c r="L14" s="123">
        <v>447819.56000000006</v>
      </c>
      <c r="M14" s="123">
        <v>278410.97000000003</v>
      </c>
      <c r="N14" s="123">
        <v>446001.27999999997</v>
      </c>
      <c r="O14" s="123">
        <v>556295.92000000004</v>
      </c>
      <c r="P14" s="123">
        <v>609263.07999999996</v>
      </c>
      <c r="Q14" s="123">
        <f t="shared" si="0"/>
        <v>6574047.6799999997</v>
      </c>
      <c r="R14" s="151"/>
    </row>
    <row r="15" spans="1:18" ht="15" thickBot="1" x14ac:dyDescent="0.25">
      <c r="A15" s="104" t="s">
        <v>3</v>
      </c>
      <c r="B15" s="120"/>
      <c r="C15" s="120"/>
      <c r="D15" s="155">
        <v>0.7</v>
      </c>
      <c r="E15" s="127">
        <v>14280051.92</v>
      </c>
      <c r="F15" s="128">
        <v>12717982.209999999</v>
      </c>
      <c r="G15" s="128">
        <v>14295549.08</v>
      </c>
      <c r="H15" s="128">
        <v>15073593.789999999</v>
      </c>
      <c r="I15" s="128">
        <v>12351813.42</v>
      </c>
      <c r="J15" s="128">
        <v>14580022.610000001</v>
      </c>
      <c r="K15" s="128">
        <v>15323745.15</v>
      </c>
      <c r="L15" s="128">
        <v>10384502.719999999</v>
      </c>
      <c r="M15" s="128">
        <v>6424620.6799999997</v>
      </c>
      <c r="N15" s="128">
        <v>10339789.5</v>
      </c>
      <c r="O15" s="128">
        <v>12952014.460000001</v>
      </c>
      <c r="P15" s="128">
        <v>14215723.99</v>
      </c>
      <c r="Q15" s="129">
        <f t="shared" si="0"/>
        <v>152939409.53000003</v>
      </c>
      <c r="R15" s="151"/>
    </row>
    <row r="16" spans="1:18" ht="15" x14ac:dyDescent="0.25">
      <c r="A16" s="104"/>
      <c r="B16" s="120"/>
      <c r="D16" s="130" t="s">
        <v>68</v>
      </c>
      <c r="E16" s="131">
        <f>SUM(E8:E15)</f>
        <v>20450536.359999996</v>
      </c>
      <c r="F16" s="131">
        <f t="shared" ref="F16:Q16" si="1">SUM(F8:F15)</f>
        <v>18208373.809999995</v>
      </c>
      <c r="G16" s="131">
        <f t="shared" si="1"/>
        <v>20443963.030000001</v>
      </c>
      <c r="H16" s="131">
        <f t="shared" si="1"/>
        <v>21553879.120000001</v>
      </c>
      <c r="I16" s="131">
        <f t="shared" si="1"/>
        <v>17657877.120000005</v>
      </c>
      <c r="J16" s="131">
        <f t="shared" si="1"/>
        <v>20878581.439999998</v>
      </c>
      <c r="K16" s="131">
        <f t="shared" si="1"/>
        <v>22015351.300000001</v>
      </c>
      <c r="L16" s="131">
        <f t="shared" si="1"/>
        <v>14927318.650000002</v>
      </c>
      <c r="M16" s="131">
        <f t="shared" si="1"/>
        <v>9280365.7099999953</v>
      </c>
      <c r="N16" s="131">
        <f t="shared" si="1"/>
        <v>14866709.620000001</v>
      </c>
      <c r="O16" s="131">
        <f t="shared" si="1"/>
        <v>18543197.420000006</v>
      </c>
      <c r="P16" s="131">
        <f t="shared" si="1"/>
        <v>20308769.210000016</v>
      </c>
      <c r="Q16" s="131">
        <f t="shared" si="1"/>
        <v>219134922.79000005</v>
      </c>
    </row>
    <row r="17" spans="1:17" x14ac:dyDescent="0.2">
      <c r="A17" s="104"/>
      <c r="B17" s="120"/>
      <c r="C17" s="120"/>
      <c r="D17" s="121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spans="1:17" x14ac:dyDescent="0.2">
      <c r="A18" s="139" t="s">
        <v>82</v>
      </c>
      <c r="B18" s="120"/>
      <c r="C18" s="120"/>
      <c r="D18" s="120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26"/>
    </row>
    <row r="19" spans="1:17" x14ac:dyDescent="0.2">
      <c r="A19" s="134"/>
      <c r="B19" s="135"/>
      <c r="C19" s="135"/>
      <c r="D19" s="135"/>
      <c r="E19" s="136"/>
      <c r="F19" s="136"/>
      <c r="G19" s="136"/>
      <c r="H19" s="136"/>
      <c r="I19" s="136"/>
      <c r="J19" s="137"/>
      <c r="K19" s="137"/>
      <c r="L19" s="137"/>
      <c r="M19" s="137"/>
      <c r="N19" s="137"/>
      <c r="O19" s="137"/>
      <c r="P19" s="137"/>
      <c r="Q19" s="138"/>
    </row>
    <row r="21" spans="1:17" x14ac:dyDescent="0.2">
      <c r="A21" s="106" t="s">
        <v>209</v>
      </c>
      <c r="G21" s="14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4"/>
  <sheetViews>
    <sheetView topLeftCell="I1" zoomScaleNormal="100" workbookViewId="0">
      <selection activeCell="S20" sqref="S20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15" x14ac:dyDescent="0.2">
      <c r="A5" s="110" t="s">
        <v>72</v>
      </c>
      <c r="B5" s="111"/>
      <c r="C5" s="111"/>
      <c r="D5" s="143"/>
      <c r="E5" s="145" t="str">
        <f>"Ene."&amp;Q6</f>
        <v>Ene.2023</v>
      </c>
      <c r="F5" s="146" t="str">
        <f>"Feb."&amp;Q6</f>
        <v>Feb.2023</v>
      </c>
      <c r="G5" s="145" t="str">
        <f>"Mar."&amp;Q6</f>
        <v>Mar.2023</v>
      </c>
      <c r="H5" s="145" t="str">
        <f>"Abr."&amp;Q6</f>
        <v>Abr.2023</v>
      </c>
      <c r="I5" s="145" t="str">
        <f>"May."&amp;Q6</f>
        <v>May.2023</v>
      </c>
      <c r="J5" s="145" t="str">
        <f>"Jun."&amp;Q6</f>
        <v>Jun.2023</v>
      </c>
      <c r="K5" s="145" t="str">
        <f>"Jul."&amp;Q6</f>
        <v>Jul.2023</v>
      </c>
      <c r="L5" s="145" t="str">
        <f>"Ago."&amp;Q6</f>
        <v>Ago.2023</v>
      </c>
      <c r="M5" s="145" t="str">
        <f>"Sep."&amp;Q6</f>
        <v>Sep.2023</v>
      </c>
      <c r="N5" s="145" t="str">
        <f>"Oct."&amp;Q6</f>
        <v>Oct.2023</v>
      </c>
      <c r="O5" s="145" t="str">
        <f>"Nov."&amp;Q6</f>
        <v>Nov.2023</v>
      </c>
      <c r="P5" s="145" t="str">
        <f>"Dic."&amp;Q6</f>
        <v>Dic.2023</v>
      </c>
      <c r="Q5" s="145" t="s">
        <v>57</v>
      </c>
    </row>
    <row r="6" spans="1:17" ht="15" x14ac:dyDescent="0.2">
      <c r="A6" s="114" t="s">
        <v>76</v>
      </c>
      <c r="B6" s="115"/>
      <c r="C6" s="115"/>
      <c r="D6" s="144"/>
      <c r="E6" s="152">
        <v>44977</v>
      </c>
      <c r="F6" s="152">
        <v>45005</v>
      </c>
      <c r="G6" s="152">
        <v>45040</v>
      </c>
      <c r="H6" s="152">
        <v>45065</v>
      </c>
      <c r="I6" s="152">
        <v>45097</v>
      </c>
      <c r="J6" s="152">
        <v>45127</v>
      </c>
      <c r="K6" s="152">
        <v>45156</v>
      </c>
      <c r="L6" s="152">
        <v>45189</v>
      </c>
      <c r="M6" s="152">
        <v>45219</v>
      </c>
      <c r="N6" s="152">
        <v>45251</v>
      </c>
      <c r="O6" s="152">
        <v>45281</v>
      </c>
      <c r="P6" s="152">
        <v>45310</v>
      </c>
      <c r="Q6" s="148">
        <v>2023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4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2500000</v>
      </c>
      <c r="F9" s="126">
        <v>1500000</v>
      </c>
      <c r="G9" s="123">
        <v>4500000</v>
      </c>
      <c r="H9" s="123">
        <v>2700000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f t="shared" si="0"/>
        <v>11200000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3849359.6700000064</v>
      </c>
      <c r="F10" s="123">
        <v>2795274.1799999978</v>
      </c>
      <c r="G10" s="123">
        <v>8412463.299999997</v>
      </c>
      <c r="H10" s="123">
        <v>10283030.980000004</v>
      </c>
      <c r="I10" s="123">
        <v>8943015.0500000045</v>
      </c>
      <c r="J10" s="123">
        <v>7931150.8300000038</v>
      </c>
      <c r="K10" s="123">
        <v>6357645.5799999936</v>
      </c>
      <c r="L10" s="123">
        <v>7088007.290000001</v>
      </c>
      <c r="M10" s="123">
        <v>6254848.9200000027</v>
      </c>
      <c r="N10" s="123">
        <v>7546449.0699999966</v>
      </c>
      <c r="O10" s="123">
        <v>6612140.6199999955</v>
      </c>
      <c r="P10" s="123">
        <v>11068655.589999996</v>
      </c>
      <c r="Q10" s="123">
        <f t="shared" si="0"/>
        <v>87142041.079999983</v>
      </c>
    </row>
    <row r="11" spans="1:17" x14ac:dyDescent="0.2">
      <c r="A11" s="104" t="s">
        <v>1</v>
      </c>
      <c r="B11" s="120"/>
      <c r="C11" s="120"/>
      <c r="D11" s="153">
        <v>2.5000000000000001E-2</v>
      </c>
      <c r="E11" s="126">
        <v>185065.37</v>
      </c>
      <c r="F11" s="123">
        <v>134388.18000000002</v>
      </c>
      <c r="G11" s="123">
        <v>404445.35000000003</v>
      </c>
      <c r="H11" s="123">
        <v>494376.49000000005</v>
      </c>
      <c r="I11" s="123">
        <v>429952.65</v>
      </c>
      <c r="J11" s="123">
        <v>381305.33</v>
      </c>
      <c r="K11" s="123">
        <v>305656.04000000004</v>
      </c>
      <c r="L11" s="123">
        <v>340769.57999999996</v>
      </c>
      <c r="M11" s="123">
        <v>300713.88999999996</v>
      </c>
      <c r="N11" s="123">
        <v>362810.05</v>
      </c>
      <c r="O11" s="123">
        <v>317891.38</v>
      </c>
      <c r="P11" s="123">
        <v>532146.91</v>
      </c>
      <c r="Q11" s="123">
        <f t="shared" si="0"/>
        <v>4189521.22</v>
      </c>
    </row>
    <row r="12" spans="1:17" x14ac:dyDescent="0.2">
      <c r="A12" s="104" t="s">
        <v>207</v>
      </c>
      <c r="B12" s="120"/>
      <c r="C12" s="120"/>
      <c r="D12" s="153">
        <v>2.5000000000000001E-2</v>
      </c>
      <c r="E12" s="126">
        <v>185065.37</v>
      </c>
      <c r="F12" s="123">
        <v>134388.18000000002</v>
      </c>
      <c r="G12" s="123">
        <v>404445.35000000003</v>
      </c>
      <c r="H12" s="123">
        <v>494376.49000000005</v>
      </c>
      <c r="I12" s="123">
        <v>429952.65</v>
      </c>
      <c r="J12" s="123">
        <v>381305.33</v>
      </c>
      <c r="K12" s="123">
        <v>305656.04000000004</v>
      </c>
      <c r="L12" s="123">
        <v>340769.57999999996</v>
      </c>
      <c r="M12" s="123">
        <v>300713.88999999996</v>
      </c>
      <c r="N12" s="123">
        <v>362810.05</v>
      </c>
      <c r="O12" s="123">
        <v>317891.38</v>
      </c>
      <c r="P12" s="123">
        <v>532146.91</v>
      </c>
      <c r="Q12" s="123">
        <f t="shared" si="0"/>
        <v>4189521.22</v>
      </c>
    </row>
    <row r="13" spans="1:17" x14ac:dyDescent="0.2">
      <c r="A13" s="104" t="s">
        <v>2</v>
      </c>
      <c r="B13" s="120"/>
      <c r="C13" s="120"/>
      <c r="D13" s="125" t="s">
        <v>63</v>
      </c>
      <c r="E13" s="126">
        <v>222078.44</v>
      </c>
      <c r="F13" s="123">
        <v>161265.82</v>
      </c>
      <c r="G13" s="123">
        <v>485334.42</v>
      </c>
      <c r="H13" s="123">
        <v>593251.78</v>
      </c>
      <c r="I13" s="123">
        <v>515943.18</v>
      </c>
      <c r="J13" s="123">
        <v>457566.4</v>
      </c>
      <c r="K13" s="123">
        <v>366787.25</v>
      </c>
      <c r="L13" s="123">
        <v>408923.5</v>
      </c>
      <c r="M13" s="123">
        <v>360856.67</v>
      </c>
      <c r="N13" s="123">
        <v>435372.06</v>
      </c>
      <c r="O13" s="123">
        <v>381469.65</v>
      </c>
      <c r="P13" s="123">
        <v>638576.28</v>
      </c>
      <c r="Q13" s="123">
        <f t="shared" si="0"/>
        <v>5027425.45</v>
      </c>
    </row>
    <row r="14" spans="1:17" ht="15" thickBot="1" x14ac:dyDescent="0.25">
      <c r="A14" s="104" t="s">
        <v>3</v>
      </c>
      <c r="B14" s="120"/>
      <c r="C14" s="120"/>
      <c r="D14" s="125" t="s">
        <v>64</v>
      </c>
      <c r="E14" s="127">
        <v>2961045.9</v>
      </c>
      <c r="F14" s="128">
        <v>2150210.91</v>
      </c>
      <c r="G14" s="128">
        <v>6471125.6099999994</v>
      </c>
      <c r="H14" s="128">
        <v>7910023.8200000003</v>
      </c>
      <c r="I14" s="128">
        <v>6879242.3600000003</v>
      </c>
      <c r="J14" s="128">
        <v>6100885.2599999998</v>
      </c>
      <c r="K14" s="128">
        <v>4890496.6100000003</v>
      </c>
      <c r="L14" s="128">
        <v>5452313.29</v>
      </c>
      <c r="M14" s="128">
        <v>4811422.24</v>
      </c>
      <c r="N14" s="128">
        <v>5804960.8199999994</v>
      </c>
      <c r="O14" s="128">
        <v>5086262.0199999996</v>
      </c>
      <c r="P14" s="128">
        <v>8514350.459999999</v>
      </c>
      <c r="Q14" s="129">
        <f t="shared" si="0"/>
        <v>67032339.300000004</v>
      </c>
    </row>
    <row r="15" spans="1:17" ht="15" x14ac:dyDescent="0.25">
      <c r="A15" s="104"/>
      <c r="B15" s="120"/>
      <c r="D15" s="130" t="s">
        <v>68</v>
      </c>
      <c r="E15" s="131">
        <f>SUM(E8:E14)</f>
        <v>9902614.7500000075</v>
      </c>
      <c r="F15" s="131">
        <f t="shared" ref="F15:Q15" si="1">SUM(F8:F14)</f>
        <v>6875527.2699999977</v>
      </c>
      <c r="G15" s="131">
        <f t="shared" si="1"/>
        <v>20677814.029999994</v>
      </c>
      <c r="H15" s="131">
        <f t="shared" si="1"/>
        <v>22475059.560000002</v>
      </c>
      <c r="I15" s="131">
        <f t="shared" si="1"/>
        <v>17198105.890000004</v>
      </c>
      <c r="J15" s="131">
        <f t="shared" si="1"/>
        <v>15252213.150000004</v>
      </c>
      <c r="K15" s="131">
        <f t="shared" si="1"/>
        <v>12226241.519999994</v>
      </c>
      <c r="L15" s="131">
        <f t="shared" si="1"/>
        <v>13630783.240000002</v>
      </c>
      <c r="M15" s="131">
        <f t="shared" si="1"/>
        <v>12028555.610000003</v>
      </c>
      <c r="N15" s="131">
        <f t="shared" si="1"/>
        <v>14512402.049999997</v>
      </c>
      <c r="O15" s="131">
        <f t="shared" si="1"/>
        <v>12715655.049999995</v>
      </c>
      <c r="P15" s="131">
        <f t="shared" si="1"/>
        <v>21285876.149999995</v>
      </c>
      <c r="Q15" s="131">
        <f t="shared" si="1"/>
        <v>178780848.26999998</v>
      </c>
    </row>
    <row r="16" spans="1:17" x14ac:dyDescent="0.2">
      <c r="A16" s="104"/>
      <c r="B16" s="120"/>
      <c r="C16" s="120"/>
      <c r="D16" s="121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</row>
    <row r="17" spans="1:17" x14ac:dyDescent="0.2">
      <c r="A17" s="139" t="s">
        <v>82</v>
      </c>
      <c r="B17" s="120"/>
      <c r="C17" s="120"/>
      <c r="D17" s="120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26"/>
    </row>
    <row r="18" spans="1:17" x14ac:dyDescent="0.2">
      <c r="A18" s="134"/>
      <c r="B18" s="135"/>
      <c r="C18" s="135"/>
      <c r="D18" s="135"/>
      <c r="E18" s="136"/>
      <c r="F18" s="136"/>
      <c r="G18" s="136"/>
      <c r="H18" s="136"/>
      <c r="I18" s="136"/>
      <c r="J18" s="137"/>
      <c r="K18" s="137"/>
      <c r="L18" s="137"/>
      <c r="M18" s="137"/>
      <c r="N18" s="137"/>
      <c r="O18" s="137"/>
      <c r="P18" s="137"/>
      <c r="Q18" s="138"/>
    </row>
    <row r="20" spans="1:17" x14ac:dyDescent="0.2">
      <c r="G20" s="149"/>
      <c r="I20" s="154">
        <f>I10/I15</f>
        <v>0.51999999925573215</v>
      </c>
      <c r="J20" s="154">
        <f t="shared" ref="J20:P20" si="2">J10/J15</f>
        <v>0.51999999947548603</v>
      </c>
      <c r="K20" s="154">
        <f t="shared" si="2"/>
        <v>0.51999999914937034</v>
      </c>
      <c r="L20" s="154">
        <f t="shared" si="2"/>
        <v>0.52000000038148941</v>
      </c>
      <c r="M20" s="154">
        <f t="shared" si="2"/>
        <v>0.52000000023277948</v>
      </c>
      <c r="N20" s="154">
        <f t="shared" si="2"/>
        <v>0.52000000027562621</v>
      </c>
      <c r="O20" s="154">
        <f t="shared" si="2"/>
        <v>0.51999999952814058</v>
      </c>
      <c r="P20" s="154">
        <f t="shared" si="2"/>
        <v>0.51999999962416388</v>
      </c>
    </row>
    <row r="21" spans="1:17" x14ac:dyDescent="0.2">
      <c r="G21" s="150"/>
      <c r="I21" s="154">
        <f>I11/I15</f>
        <v>2.5000000159901326E-2</v>
      </c>
      <c r="J21" s="154">
        <f t="shared" ref="J21:P21" si="3">J11/J15</f>
        <v>2.5000000081955315E-2</v>
      </c>
      <c r="K21" s="154">
        <f t="shared" si="3"/>
        <v>2.5000000163582583E-2</v>
      </c>
      <c r="L21" s="154">
        <f t="shared" si="3"/>
        <v>2.4999999926636637E-2</v>
      </c>
      <c r="M21" s="154">
        <f t="shared" si="3"/>
        <v>2.4999999979216113E-2</v>
      </c>
      <c r="N21" s="154">
        <f t="shared" si="3"/>
        <v>2.4999999913866779E-2</v>
      </c>
      <c r="O21" s="154">
        <f t="shared" si="3"/>
        <v>2.5000000294912068E-2</v>
      </c>
      <c r="P21" s="154">
        <f t="shared" si="3"/>
        <v>2.5000000293621937E-2</v>
      </c>
    </row>
    <row r="22" spans="1:17" x14ac:dyDescent="0.2">
      <c r="G22" s="151"/>
      <c r="I22" s="154">
        <f>I12/I15</f>
        <v>2.5000000159901326E-2</v>
      </c>
      <c r="J22" s="154">
        <f t="shared" ref="J22:P22" si="4">J12/J15</f>
        <v>2.5000000081955315E-2</v>
      </c>
      <c r="K22" s="154">
        <f t="shared" si="4"/>
        <v>2.5000000163582583E-2</v>
      </c>
      <c r="L22" s="154">
        <f t="shared" si="4"/>
        <v>2.4999999926636637E-2</v>
      </c>
      <c r="M22" s="154">
        <f t="shared" si="4"/>
        <v>2.4999999979216113E-2</v>
      </c>
      <c r="N22" s="154">
        <f t="shared" si="4"/>
        <v>2.4999999913866779E-2</v>
      </c>
      <c r="O22" s="154">
        <f t="shared" si="4"/>
        <v>2.5000000294912068E-2</v>
      </c>
      <c r="P22" s="154">
        <f t="shared" si="4"/>
        <v>2.5000000293621937E-2</v>
      </c>
    </row>
    <row r="23" spans="1:17" x14ac:dyDescent="0.2">
      <c r="I23" s="154">
        <f>I13/I15</f>
        <v>3.0000000191881589E-2</v>
      </c>
      <c r="J23" s="154">
        <f t="shared" ref="J23:P23" si="5">J13/J15</f>
        <v>3.00000003606034E-2</v>
      </c>
      <c r="K23" s="154">
        <f t="shared" si="5"/>
        <v>3.0000000359881668E-2</v>
      </c>
      <c r="L23" s="154">
        <f t="shared" si="5"/>
        <v>3.000000020541739E-2</v>
      </c>
      <c r="M23" s="154">
        <f t="shared" si="5"/>
        <v>3.0000000141330342E-2</v>
      </c>
      <c r="N23" s="154">
        <f t="shared" si="5"/>
        <v>2.9999999896640137E-2</v>
      </c>
      <c r="O23" s="154">
        <f t="shared" si="5"/>
        <v>2.9999999882035191E-2</v>
      </c>
      <c r="P23" s="154">
        <f t="shared" si="5"/>
        <v>2.9999999788592219E-2</v>
      </c>
    </row>
    <row r="24" spans="1:17" x14ac:dyDescent="0.2">
      <c r="I24" s="154">
        <f>I14/I15</f>
        <v>0.4000000002325837</v>
      </c>
      <c r="J24" s="154">
        <f t="shared" ref="J24:P24" si="6">J14/J15</f>
        <v>0.39999999999999986</v>
      </c>
      <c r="K24" s="154">
        <f t="shared" si="6"/>
        <v>0.40000000016358278</v>
      </c>
      <c r="L24" s="154">
        <f t="shared" si="6"/>
        <v>0.3999999995598198</v>
      </c>
      <c r="M24" s="154">
        <f t="shared" si="6"/>
        <v>0.39999999966745792</v>
      </c>
      <c r="N24" s="154">
        <f t="shared" si="6"/>
        <v>0.4</v>
      </c>
      <c r="O24" s="154">
        <f t="shared" si="6"/>
        <v>0.40000000000000013</v>
      </c>
      <c r="P24" s="154">
        <f t="shared" si="6"/>
        <v>0.40000000000000008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topLeftCell="I1" zoomScaleNormal="100" workbookViewId="0">
      <selection activeCell="S16" sqref="S16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15" x14ac:dyDescent="0.2">
      <c r="A5" s="110" t="s">
        <v>72</v>
      </c>
      <c r="B5" s="111"/>
      <c r="C5" s="111"/>
      <c r="D5" s="143"/>
      <c r="E5" s="145" t="str">
        <f>"Ene."&amp;Q6</f>
        <v>Ene.2022</v>
      </c>
      <c r="F5" s="146" t="str">
        <f>"Feb."&amp;Q6</f>
        <v>Feb.2022</v>
      </c>
      <c r="G5" s="145" t="str">
        <f>"Mar."&amp;Q6</f>
        <v>Mar.2022</v>
      </c>
      <c r="H5" s="145" t="str">
        <f>"Abr."&amp;Q6</f>
        <v>Abr.2022</v>
      </c>
      <c r="I5" s="145" t="str">
        <f>"May."&amp;Q6</f>
        <v>May.2022</v>
      </c>
      <c r="J5" s="145" t="str">
        <f>"Jun."&amp;Q6</f>
        <v>Jun.2022</v>
      </c>
      <c r="K5" s="145" t="str">
        <f>"Jul."&amp;Q6</f>
        <v>Jul.2022</v>
      </c>
      <c r="L5" s="145" t="str">
        <f>"Ago."&amp;Q6</f>
        <v>Ago.2022</v>
      </c>
      <c r="M5" s="145" t="str">
        <f>"Sep."&amp;Q6</f>
        <v>Sep.2022</v>
      </c>
      <c r="N5" s="145" t="str">
        <f>"Oct."&amp;Q6</f>
        <v>Oct.2022</v>
      </c>
      <c r="O5" s="145" t="str">
        <f>"Nov."&amp;Q6</f>
        <v>Nov.2022</v>
      </c>
      <c r="P5" s="145" t="str">
        <f>"Dic."&amp;Q6</f>
        <v>Dic.2022</v>
      </c>
      <c r="Q5" s="145" t="s">
        <v>57</v>
      </c>
    </row>
    <row r="6" spans="1:17" ht="15" x14ac:dyDescent="0.2">
      <c r="A6" s="114" t="s">
        <v>76</v>
      </c>
      <c r="B6" s="115"/>
      <c r="C6" s="115"/>
      <c r="D6" s="144"/>
      <c r="E6" s="152">
        <v>44610</v>
      </c>
      <c r="F6" s="152">
        <v>44638</v>
      </c>
      <c r="G6" s="152">
        <v>44672</v>
      </c>
      <c r="H6" s="152">
        <v>44700</v>
      </c>
      <c r="I6" s="152">
        <v>44732</v>
      </c>
      <c r="J6" s="152">
        <v>44762</v>
      </c>
      <c r="K6" s="152">
        <v>44791</v>
      </c>
      <c r="L6" s="152">
        <v>44824</v>
      </c>
      <c r="M6" s="152">
        <v>44854</v>
      </c>
      <c r="N6" s="152">
        <v>44886</v>
      </c>
      <c r="O6" s="152">
        <v>44916</v>
      </c>
      <c r="P6" s="152">
        <v>44946</v>
      </c>
      <c r="Q6" s="148">
        <v>2022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4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4800000</v>
      </c>
      <c r="F9" s="126">
        <v>7000000</v>
      </c>
      <c r="G9" s="123">
        <v>0</v>
      </c>
      <c r="H9" s="123">
        <v>6000000</v>
      </c>
      <c r="I9" s="123">
        <v>8000000</v>
      </c>
      <c r="J9" s="123">
        <v>8500000</v>
      </c>
      <c r="K9" s="123">
        <v>5400000</v>
      </c>
      <c r="L9" s="123">
        <v>6900000</v>
      </c>
      <c r="M9" s="123">
        <v>0</v>
      </c>
      <c r="N9" s="123">
        <v>1500000</v>
      </c>
      <c r="O9" s="123">
        <v>2500000</v>
      </c>
      <c r="P9" s="123">
        <v>2000000</v>
      </c>
      <c r="Q9" s="123">
        <f t="shared" si="0"/>
        <v>52600000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6213856.1999999965</v>
      </c>
      <c r="F10" s="123">
        <v>9573698.8699999861</v>
      </c>
      <c r="G10" s="123">
        <v>865325.45000000077</v>
      </c>
      <c r="H10" s="123">
        <v>7602872.6699999943</v>
      </c>
      <c r="I10" s="123">
        <v>9878083.0900000017</v>
      </c>
      <c r="J10" s="123">
        <v>10927065.899999997</v>
      </c>
      <c r="K10" s="123">
        <v>6808268.6899999976</v>
      </c>
      <c r="L10" s="123">
        <v>8410999.0700000133</v>
      </c>
      <c r="M10" s="123">
        <v>8176097.5999999987</v>
      </c>
      <c r="N10" s="123">
        <v>3706591.2399999979</v>
      </c>
      <c r="O10" s="123">
        <v>5954869.3399999961</v>
      </c>
      <c r="P10" s="123">
        <v>6346509.4100000039</v>
      </c>
      <c r="Q10" s="123">
        <f t="shared" si="0"/>
        <v>84464237.529999971</v>
      </c>
    </row>
    <row r="11" spans="1:17" x14ac:dyDescent="0.2">
      <c r="A11" s="104" t="s">
        <v>1</v>
      </c>
      <c r="B11" s="120"/>
      <c r="C11" s="120"/>
      <c r="D11" s="153">
        <v>2.5000000000000001E-2</v>
      </c>
      <c r="E11" s="126">
        <v>597486.16999999993</v>
      </c>
      <c r="F11" s="123">
        <v>920547.97</v>
      </c>
      <c r="G11" s="123">
        <v>41602.18</v>
      </c>
      <c r="H11" s="123">
        <v>365522.72</v>
      </c>
      <c r="I11" s="123">
        <v>474907.84</v>
      </c>
      <c r="J11" s="123">
        <v>525339.71</v>
      </c>
      <c r="K11" s="123">
        <v>327320.61</v>
      </c>
      <c r="L11" s="123">
        <v>404374.96</v>
      </c>
      <c r="M11" s="123">
        <v>393081.62</v>
      </c>
      <c r="N11" s="123">
        <v>178201.5</v>
      </c>
      <c r="O11" s="123">
        <v>286291.8</v>
      </c>
      <c r="P11" s="123">
        <v>305120.64000000001</v>
      </c>
      <c r="Q11" s="123">
        <f t="shared" si="0"/>
        <v>4819797.7199999988</v>
      </c>
    </row>
    <row r="12" spans="1:17" x14ac:dyDescent="0.2">
      <c r="A12" s="104" t="s">
        <v>207</v>
      </c>
      <c r="B12" s="120"/>
      <c r="C12" s="120"/>
      <c r="D12" s="153">
        <v>2.5000000000000001E-2</v>
      </c>
      <c r="E12" s="126"/>
      <c r="F12" s="123"/>
      <c r="G12" s="123">
        <v>41602.18</v>
      </c>
      <c r="H12" s="123">
        <v>365522.72</v>
      </c>
      <c r="I12" s="123">
        <v>474907.84</v>
      </c>
      <c r="J12" s="123">
        <v>525339.71</v>
      </c>
      <c r="K12" s="123">
        <v>327320.61</v>
      </c>
      <c r="L12" s="123">
        <v>404374.96</v>
      </c>
      <c r="M12" s="123">
        <v>393081.62</v>
      </c>
      <c r="N12" s="123">
        <v>178201.5</v>
      </c>
      <c r="O12" s="123">
        <v>286291.8</v>
      </c>
      <c r="P12" s="123">
        <v>305120.64000000001</v>
      </c>
      <c r="Q12" s="123">
        <f t="shared" si="0"/>
        <v>3301763.58</v>
      </c>
    </row>
    <row r="13" spans="1:17" x14ac:dyDescent="0.2">
      <c r="A13" s="104" t="s">
        <v>2</v>
      </c>
      <c r="B13" s="120"/>
      <c r="C13" s="120"/>
      <c r="D13" s="125" t="s">
        <v>63</v>
      </c>
      <c r="E13" s="126">
        <v>358491.69999999995</v>
      </c>
      <c r="F13" s="123">
        <v>552328.78</v>
      </c>
      <c r="G13" s="123">
        <v>49922.619999999995</v>
      </c>
      <c r="H13" s="123">
        <v>438627.26999999996</v>
      </c>
      <c r="I13" s="123">
        <v>569889.41</v>
      </c>
      <c r="J13" s="123">
        <v>630407.65</v>
      </c>
      <c r="K13" s="123">
        <v>392784.73</v>
      </c>
      <c r="L13" s="123">
        <v>485249.95</v>
      </c>
      <c r="M13" s="123">
        <v>471697.94</v>
      </c>
      <c r="N13" s="123">
        <v>213841.8</v>
      </c>
      <c r="O13" s="123">
        <v>343550.16000000003</v>
      </c>
      <c r="P13" s="123">
        <v>366144.77</v>
      </c>
      <c r="Q13" s="123">
        <f t="shared" si="0"/>
        <v>4872936.7799999993</v>
      </c>
    </row>
    <row r="14" spans="1:17" ht="15" thickBot="1" x14ac:dyDescent="0.25">
      <c r="A14" s="104" t="s">
        <v>3</v>
      </c>
      <c r="B14" s="120"/>
      <c r="C14" s="120"/>
      <c r="D14" s="125" t="s">
        <v>64</v>
      </c>
      <c r="E14" s="127">
        <v>4779889.3900000006</v>
      </c>
      <c r="F14" s="128">
        <v>7364383.75</v>
      </c>
      <c r="G14" s="128">
        <v>665634.96</v>
      </c>
      <c r="H14" s="128">
        <v>5848363.5800000001</v>
      </c>
      <c r="I14" s="128">
        <v>7598525.46</v>
      </c>
      <c r="J14" s="128">
        <v>8405435.3200000003</v>
      </c>
      <c r="K14" s="128">
        <v>5237129.7700000005</v>
      </c>
      <c r="L14" s="128">
        <v>6469999.2999999998</v>
      </c>
      <c r="M14" s="128">
        <v>6289305.8600000003</v>
      </c>
      <c r="N14" s="128">
        <v>2851224.02</v>
      </c>
      <c r="O14" s="128">
        <v>4580668.7299999995</v>
      </c>
      <c r="P14" s="128">
        <v>4881930.3</v>
      </c>
      <c r="Q14" s="129">
        <f t="shared" si="0"/>
        <v>64972490.439999998</v>
      </c>
    </row>
    <row r="15" spans="1:17" ht="15" x14ac:dyDescent="0.25">
      <c r="A15" s="104"/>
      <c r="B15" s="120"/>
      <c r="D15" s="130" t="s">
        <v>68</v>
      </c>
      <c r="E15" s="131">
        <f>SUM(E8:E14)</f>
        <v>16749723.459999995</v>
      </c>
      <c r="F15" s="131">
        <f t="shared" ref="F15:Q15" si="1">SUM(F8:F14)</f>
        <v>25410959.369999986</v>
      </c>
      <c r="G15" s="131">
        <f t="shared" si="1"/>
        <v>1664087.3900000008</v>
      </c>
      <c r="H15" s="131">
        <f t="shared" si="1"/>
        <v>20620908.959999993</v>
      </c>
      <c r="I15" s="131">
        <f t="shared" si="1"/>
        <v>26996313.640000004</v>
      </c>
      <c r="J15" s="131">
        <f t="shared" si="1"/>
        <v>29513588.289999999</v>
      </c>
      <c r="K15" s="131">
        <f t="shared" si="1"/>
        <v>18492824.409999996</v>
      </c>
      <c r="L15" s="131">
        <f t="shared" si="1"/>
        <v>23074998.240000013</v>
      </c>
      <c r="M15" s="131">
        <f t="shared" si="1"/>
        <v>15723264.639999997</v>
      </c>
      <c r="N15" s="131">
        <f t="shared" si="1"/>
        <v>8628060.0599999987</v>
      </c>
      <c r="O15" s="131">
        <f t="shared" si="1"/>
        <v>13951671.829999998</v>
      </c>
      <c r="P15" s="131">
        <f t="shared" si="1"/>
        <v>14204825.760000005</v>
      </c>
      <c r="Q15" s="131">
        <f t="shared" si="1"/>
        <v>215031226.04999998</v>
      </c>
    </row>
    <row r="16" spans="1:17" x14ac:dyDescent="0.2">
      <c r="A16" s="104"/>
      <c r="B16" s="120"/>
      <c r="C16" s="120"/>
      <c r="D16" s="121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</row>
    <row r="17" spans="1:17" x14ac:dyDescent="0.2">
      <c r="A17" s="139" t="s">
        <v>82</v>
      </c>
      <c r="B17" s="120"/>
      <c r="C17" s="120"/>
      <c r="D17" s="120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26"/>
    </row>
    <row r="18" spans="1:17" x14ac:dyDescent="0.2">
      <c r="A18" s="134"/>
      <c r="B18" s="135"/>
      <c r="C18" s="135"/>
      <c r="D18" s="135"/>
      <c r="E18" s="136"/>
      <c r="F18" s="136"/>
      <c r="G18" s="136"/>
      <c r="H18" s="136"/>
      <c r="I18" s="136"/>
      <c r="J18" s="137"/>
      <c r="K18" s="137"/>
      <c r="L18" s="137"/>
      <c r="M18" s="137"/>
      <c r="N18" s="137"/>
      <c r="O18" s="137"/>
      <c r="P18" s="137"/>
      <c r="Q18" s="138"/>
    </row>
    <row r="20" spans="1:17" x14ac:dyDescent="0.2">
      <c r="G20" s="149"/>
    </row>
    <row r="21" spans="1:17" x14ac:dyDescent="0.2">
      <c r="G21" s="150"/>
    </row>
    <row r="22" spans="1:17" x14ac:dyDescent="0.2">
      <c r="G22" s="15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topLeftCell="J1" zoomScaleNormal="100" workbookViewId="0">
      <selection activeCell="P20" sqref="P20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15" x14ac:dyDescent="0.2">
      <c r="A5" s="110" t="s">
        <v>72</v>
      </c>
      <c r="B5" s="111"/>
      <c r="C5" s="111"/>
      <c r="D5" s="143"/>
      <c r="E5" s="145" t="str">
        <f>"Ene."&amp;Q6</f>
        <v>Ene.2021</v>
      </c>
      <c r="F5" s="146" t="str">
        <f>"Feb."&amp;Q6</f>
        <v>Feb.2021</v>
      </c>
      <c r="G5" s="145" t="str">
        <f>"Mar."&amp;Q6</f>
        <v>Mar.2021</v>
      </c>
      <c r="H5" s="145" t="str">
        <f>"Abr."&amp;Q6</f>
        <v>Abr.2021</v>
      </c>
      <c r="I5" s="145" t="str">
        <f>"May."&amp;Q6</f>
        <v>May.2021</v>
      </c>
      <c r="J5" s="145" t="str">
        <f>"Jun."&amp;Q6</f>
        <v>Jun.2021</v>
      </c>
      <c r="K5" s="145" t="str">
        <f>"Jul."&amp;Q6</f>
        <v>Jul.2021</v>
      </c>
      <c r="L5" s="145" t="str">
        <f>"Ago."&amp;Q6</f>
        <v>Ago.2021</v>
      </c>
      <c r="M5" s="145" t="str">
        <f>"Sep."&amp;Q6</f>
        <v>Sep.2021</v>
      </c>
      <c r="N5" s="145" t="str">
        <f>"Oct."&amp;Q6</f>
        <v>Oct.2021</v>
      </c>
      <c r="O5" s="145" t="str">
        <f>"Nov."&amp;Q6</f>
        <v>Nov.2021</v>
      </c>
      <c r="P5" s="145" t="str">
        <f>"Dic."&amp;Q6</f>
        <v>Dic.2021</v>
      </c>
      <c r="Q5" s="145" t="s">
        <v>57</v>
      </c>
    </row>
    <row r="6" spans="1:17" ht="15" x14ac:dyDescent="0.2">
      <c r="A6" s="114" t="s">
        <v>76</v>
      </c>
      <c r="B6" s="115"/>
      <c r="C6" s="115"/>
      <c r="D6" s="144"/>
      <c r="E6" s="147">
        <v>44245</v>
      </c>
      <c r="F6" s="141">
        <v>44273</v>
      </c>
      <c r="G6" s="141">
        <v>44308</v>
      </c>
      <c r="H6" s="141">
        <v>44336</v>
      </c>
      <c r="I6" s="141">
        <v>44365</v>
      </c>
      <c r="J6" s="141">
        <v>44397</v>
      </c>
      <c r="K6" s="141">
        <v>44427</v>
      </c>
      <c r="L6" s="141">
        <v>37154</v>
      </c>
      <c r="M6" s="141">
        <v>44490</v>
      </c>
      <c r="N6" s="141">
        <v>44519</v>
      </c>
      <c r="O6" s="141">
        <v>44550</v>
      </c>
      <c r="P6" s="141">
        <v>44580</v>
      </c>
      <c r="Q6" s="148">
        <v>2021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0</v>
      </c>
      <c r="F9" s="126">
        <v>1000000</v>
      </c>
      <c r="G9" s="123">
        <v>1000000</v>
      </c>
      <c r="H9" s="123">
        <v>2000000</v>
      </c>
      <c r="I9" s="123">
        <v>2000000</v>
      </c>
      <c r="J9" s="123">
        <v>2000000</v>
      </c>
      <c r="K9" s="123">
        <v>3000000</v>
      </c>
      <c r="L9" s="123">
        <v>2500000</v>
      </c>
      <c r="M9" s="123">
        <v>3800000</v>
      </c>
      <c r="N9" s="123">
        <v>5000000</v>
      </c>
      <c r="O9" s="123">
        <v>2650000</v>
      </c>
      <c r="P9" s="123">
        <v>2950000</v>
      </c>
      <c r="Q9" s="123">
        <f t="shared" si="0"/>
        <v>27900000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2711691.4000000013</v>
      </c>
      <c r="F10" s="123">
        <v>3309382.8199999956</v>
      </c>
      <c r="G10" s="123">
        <v>3039513.14</v>
      </c>
      <c r="H10" s="123">
        <v>4539253.8900000015</v>
      </c>
      <c r="I10" s="123">
        <v>5038586.030000004</v>
      </c>
      <c r="J10" s="123">
        <v>4699279.6300000008</v>
      </c>
      <c r="K10" s="123">
        <v>4502871.37</v>
      </c>
      <c r="L10" s="123">
        <v>3312864.1600000025</v>
      </c>
      <c r="M10" s="123">
        <v>4898254.870000001</v>
      </c>
      <c r="N10" s="123">
        <v>6703819.8500000052</v>
      </c>
      <c r="O10" s="123">
        <v>3433233.2700000023</v>
      </c>
      <c r="P10" s="123">
        <v>3609725.790000001</v>
      </c>
      <c r="Q10" s="123">
        <f t="shared" si="0"/>
        <v>49798476.220000014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260739.56</v>
      </c>
      <c r="F11" s="123">
        <v>318209.89</v>
      </c>
      <c r="G11" s="123">
        <v>292260.87999999995</v>
      </c>
      <c r="H11" s="123">
        <v>436466.72</v>
      </c>
      <c r="I11" s="123">
        <v>484479.43</v>
      </c>
      <c r="J11" s="123">
        <v>451853.81</v>
      </c>
      <c r="K11" s="123">
        <v>432968.4</v>
      </c>
      <c r="L11" s="123">
        <v>318544.63</v>
      </c>
      <c r="M11" s="123">
        <v>470986.04</v>
      </c>
      <c r="N11" s="123">
        <v>644598.06000000006</v>
      </c>
      <c r="O11" s="123">
        <v>330118.58</v>
      </c>
      <c r="P11" s="123">
        <v>347089.01999999996</v>
      </c>
      <c r="Q11" s="123">
        <f t="shared" si="0"/>
        <v>4788315.0199999986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156443.72999999998</v>
      </c>
      <c r="F12" s="123">
        <v>190925.93</v>
      </c>
      <c r="G12" s="123">
        <v>175356.53</v>
      </c>
      <c r="H12" s="123">
        <v>261880.03</v>
      </c>
      <c r="I12" s="123">
        <v>290687.65999999997</v>
      </c>
      <c r="J12" s="123">
        <v>271112.28999999998</v>
      </c>
      <c r="K12" s="123">
        <v>259781.04</v>
      </c>
      <c r="L12" s="123">
        <v>191126.78</v>
      </c>
      <c r="M12" s="123">
        <v>282591.63</v>
      </c>
      <c r="N12" s="123">
        <v>386758.83999999997</v>
      </c>
      <c r="O12" s="123">
        <v>198071.15</v>
      </c>
      <c r="P12" s="123">
        <v>208253.41</v>
      </c>
      <c r="Q12" s="123">
        <f t="shared" si="0"/>
        <v>2872989.02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2085916.45</v>
      </c>
      <c r="F13" s="128">
        <v>2545679.09</v>
      </c>
      <c r="G13" s="128">
        <v>2338087.04</v>
      </c>
      <c r="H13" s="128">
        <v>3491733.75</v>
      </c>
      <c r="I13" s="128">
        <v>3875835.42</v>
      </c>
      <c r="J13" s="128">
        <v>3614830.4899999998</v>
      </c>
      <c r="K13" s="128">
        <v>3463747.21</v>
      </c>
      <c r="L13" s="128">
        <v>2548357.04</v>
      </c>
      <c r="M13" s="128">
        <v>3767888.35</v>
      </c>
      <c r="N13" s="128">
        <v>5156784.5</v>
      </c>
      <c r="O13" s="128">
        <v>2640948.6800000002</v>
      </c>
      <c r="P13" s="128">
        <v>2776712.15</v>
      </c>
      <c r="Q13" s="129">
        <f t="shared" si="0"/>
        <v>38306520.170000002</v>
      </c>
    </row>
    <row r="14" spans="1:17" ht="15" x14ac:dyDescent="0.25">
      <c r="A14" s="104"/>
      <c r="B14" s="120"/>
      <c r="D14" s="130" t="s">
        <v>68</v>
      </c>
      <c r="E14" s="131">
        <f>SUM(E8:E13)</f>
        <v>5214791.1400000015</v>
      </c>
      <c r="F14" s="131">
        <f t="shared" ref="F14:Q14" si="1">SUM(F8:F13)</f>
        <v>7364197.7299999949</v>
      </c>
      <c r="G14" s="131">
        <f t="shared" si="1"/>
        <v>6845217.5900000008</v>
      </c>
      <c r="H14" s="131">
        <f t="shared" si="1"/>
        <v>10729334.390000001</v>
      </c>
      <c r="I14" s="131">
        <f t="shared" si="1"/>
        <v>11689588.540000003</v>
      </c>
      <c r="J14" s="131">
        <f t="shared" si="1"/>
        <v>11037076.220000001</v>
      </c>
      <c r="K14" s="131">
        <f t="shared" si="1"/>
        <v>11659368.02</v>
      </c>
      <c r="L14" s="131">
        <f t="shared" si="1"/>
        <v>8870892.6100000031</v>
      </c>
      <c r="M14" s="131">
        <f t="shared" si="1"/>
        <v>13219720.890000001</v>
      </c>
      <c r="N14" s="131">
        <f t="shared" si="1"/>
        <v>17891961.250000007</v>
      </c>
      <c r="O14" s="131">
        <f t="shared" si="1"/>
        <v>9252371.6800000034</v>
      </c>
      <c r="P14" s="131">
        <f t="shared" si="1"/>
        <v>9891780.370000001</v>
      </c>
      <c r="Q14" s="131">
        <f t="shared" si="1"/>
        <v>123666300.43000001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  <row r="19" spans="1:17" x14ac:dyDescent="0.2">
      <c r="G19" s="149"/>
    </row>
    <row r="20" spans="1:17" x14ac:dyDescent="0.2">
      <c r="G20" s="150"/>
    </row>
    <row r="21" spans="1:17" x14ac:dyDescent="0.2">
      <c r="G21" s="15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topLeftCell="K1" zoomScale="115" zoomScaleNormal="115" workbookViewId="0">
      <selection activeCell="O22" sqref="O22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15" x14ac:dyDescent="0.2">
      <c r="A5" s="110" t="s">
        <v>72</v>
      </c>
      <c r="B5" s="111"/>
      <c r="C5" s="111"/>
      <c r="D5" s="143"/>
      <c r="E5" s="145" t="str">
        <f>"Ene."&amp;Q6</f>
        <v>Ene.2020</v>
      </c>
      <c r="F5" s="146" t="str">
        <f>"Feb."&amp;Q6</f>
        <v>Feb.2020</v>
      </c>
      <c r="G5" s="145" t="str">
        <f>"Mar."&amp;Q6</f>
        <v>Mar.2020</v>
      </c>
      <c r="H5" s="145" t="str">
        <f>"Abr."&amp;Q6</f>
        <v>Abr.2020</v>
      </c>
      <c r="I5" s="145" t="str">
        <f>"May."&amp;Q6</f>
        <v>May.2020</v>
      </c>
      <c r="J5" s="145" t="str">
        <f>"Jun."&amp;Q6</f>
        <v>Jun.2020</v>
      </c>
      <c r="K5" s="145" t="str">
        <f>"Jul."&amp;Q6</f>
        <v>Jul.2020</v>
      </c>
      <c r="L5" s="145" t="str">
        <f>"Ago."&amp;Q6</f>
        <v>Ago.2020</v>
      </c>
      <c r="M5" s="145" t="str">
        <f>"Sep."&amp;Q6</f>
        <v>Sep.2020</v>
      </c>
      <c r="N5" s="145" t="str">
        <f>"Oct."&amp;Q6</f>
        <v>Oct.2020</v>
      </c>
      <c r="O5" s="145" t="str">
        <f>"Nov."&amp;Q6</f>
        <v>Nov.2020</v>
      </c>
      <c r="P5" s="145" t="str">
        <f>"Dic."&amp;Q6</f>
        <v>Dic.2020</v>
      </c>
      <c r="Q5" s="145" t="s">
        <v>57</v>
      </c>
    </row>
    <row r="6" spans="1:17" ht="15" x14ac:dyDescent="0.2">
      <c r="A6" s="114" t="s">
        <v>76</v>
      </c>
      <c r="B6" s="115"/>
      <c r="C6" s="115"/>
      <c r="D6" s="144"/>
      <c r="E6" s="147">
        <v>43880</v>
      </c>
      <c r="F6" s="141">
        <v>43908</v>
      </c>
      <c r="G6" s="141">
        <v>43942</v>
      </c>
      <c r="H6" s="141">
        <v>43971</v>
      </c>
      <c r="I6" s="141">
        <v>44000</v>
      </c>
      <c r="J6" s="141">
        <v>44032</v>
      </c>
      <c r="K6" s="141">
        <v>44063</v>
      </c>
      <c r="L6" s="141">
        <v>44092</v>
      </c>
      <c r="M6" s="141">
        <v>44124</v>
      </c>
      <c r="N6" s="141">
        <v>44154</v>
      </c>
      <c r="O6" s="141">
        <v>44186</v>
      </c>
      <c r="P6" s="141">
        <v>44217</v>
      </c>
      <c r="Q6" s="148">
        <v>2020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2200000</v>
      </c>
      <c r="F9" s="126">
        <v>2200000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950000</v>
      </c>
      <c r="O9" s="123">
        <v>750000</v>
      </c>
      <c r="P9" s="123">
        <v>0</v>
      </c>
      <c r="Q9" s="123">
        <f t="shared" si="0"/>
        <v>6100000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7761374.6200000085</v>
      </c>
      <c r="F10" s="123">
        <v>6774341.1000000061</v>
      </c>
      <c r="G10" s="123">
        <v>2511227.9700000007</v>
      </c>
      <c r="H10" s="123">
        <v>940971.87000000011</v>
      </c>
      <c r="I10" s="123">
        <v>115448.90000000001</v>
      </c>
      <c r="J10" s="123">
        <v>445733.47999999969</v>
      </c>
      <c r="K10" s="123">
        <v>1139223.6199999996</v>
      </c>
      <c r="L10" s="123">
        <v>432668.78999999969</v>
      </c>
      <c r="M10" s="123">
        <v>189331.28999999992</v>
      </c>
      <c r="N10" s="123">
        <v>2902107.7200000016</v>
      </c>
      <c r="O10" s="123">
        <v>2316639.8599999985</v>
      </c>
      <c r="P10" s="123">
        <v>1372148.2600000002</v>
      </c>
      <c r="Q10" s="123">
        <f t="shared" si="0"/>
        <v>26901217.480000015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746286.03</v>
      </c>
      <c r="F11" s="123">
        <v>651378.95000000007</v>
      </c>
      <c r="G11" s="123">
        <v>241464.23</v>
      </c>
      <c r="H11" s="123">
        <v>90478.06</v>
      </c>
      <c r="I11" s="123">
        <v>11100.86</v>
      </c>
      <c r="J11" s="123">
        <v>42858.990000000005</v>
      </c>
      <c r="K11" s="123">
        <v>109540.73</v>
      </c>
      <c r="L11" s="123">
        <v>41602.770000000004</v>
      </c>
      <c r="M11" s="123">
        <v>18204.93</v>
      </c>
      <c r="N11" s="123">
        <v>279048.82</v>
      </c>
      <c r="O11" s="123">
        <v>222753.83000000002</v>
      </c>
      <c r="P11" s="123">
        <v>131937.32999999999</v>
      </c>
      <c r="Q11" s="123">
        <f t="shared" si="0"/>
        <v>2586655.5300000003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447771.62</v>
      </c>
      <c r="F12" s="123">
        <v>390827.37</v>
      </c>
      <c r="G12" s="123">
        <v>144878.54</v>
      </c>
      <c r="H12" s="123">
        <v>54286.840000000004</v>
      </c>
      <c r="I12" s="123">
        <v>6660.52</v>
      </c>
      <c r="J12" s="123">
        <v>25715.39</v>
      </c>
      <c r="K12" s="123">
        <v>65724.44</v>
      </c>
      <c r="L12" s="123">
        <v>24961.66</v>
      </c>
      <c r="M12" s="123">
        <v>10922.96</v>
      </c>
      <c r="N12" s="123">
        <v>167429.29</v>
      </c>
      <c r="O12" s="123">
        <v>133652.29999999999</v>
      </c>
      <c r="P12" s="123">
        <v>79162.400000000009</v>
      </c>
      <c r="Q12" s="123">
        <f t="shared" si="0"/>
        <v>1551993.3299999998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5970288.1799999997</v>
      </c>
      <c r="F13" s="128">
        <v>5211031.62</v>
      </c>
      <c r="G13" s="128">
        <v>1931713.8299999998</v>
      </c>
      <c r="H13" s="128">
        <v>723824.52</v>
      </c>
      <c r="I13" s="128">
        <v>88806.85</v>
      </c>
      <c r="J13" s="128">
        <v>342871.91000000003</v>
      </c>
      <c r="K13" s="128">
        <v>876325.86</v>
      </c>
      <c r="L13" s="128">
        <v>332822.15000000002</v>
      </c>
      <c r="M13" s="128">
        <v>145639.45000000001</v>
      </c>
      <c r="N13" s="128">
        <v>2232390.56</v>
      </c>
      <c r="O13" s="128">
        <v>1782030.66</v>
      </c>
      <c r="P13" s="128">
        <v>1055498.6599999999</v>
      </c>
      <c r="Q13" s="129">
        <f t="shared" si="0"/>
        <v>20693244.25</v>
      </c>
    </row>
    <row r="14" spans="1:17" ht="15" x14ac:dyDescent="0.25">
      <c r="A14" s="104"/>
      <c r="B14" s="120"/>
      <c r="D14" s="130" t="s">
        <v>68</v>
      </c>
      <c r="E14" s="131">
        <f>SUM(E8:E13)</f>
        <v>17125720.450000007</v>
      </c>
      <c r="F14" s="131">
        <f t="shared" ref="F14:Q14" si="1">SUM(F8:F13)</f>
        <v>15227579.040000003</v>
      </c>
      <c r="G14" s="131">
        <f t="shared" si="1"/>
        <v>4829284.57</v>
      </c>
      <c r="H14" s="131">
        <f t="shared" si="1"/>
        <v>1809561.2900000003</v>
      </c>
      <c r="I14" s="131">
        <f t="shared" si="1"/>
        <v>222017.13</v>
      </c>
      <c r="J14" s="131">
        <f t="shared" si="1"/>
        <v>857179.76999999979</v>
      </c>
      <c r="K14" s="131">
        <f t="shared" si="1"/>
        <v>2190814.6499999994</v>
      </c>
      <c r="L14" s="131">
        <f t="shared" si="1"/>
        <v>832055.36999999965</v>
      </c>
      <c r="M14" s="131">
        <f t="shared" si="1"/>
        <v>364098.62999999989</v>
      </c>
      <c r="N14" s="131">
        <f t="shared" si="1"/>
        <v>6530976.3900000006</v>
      </c>
      <c r="O14" s="131">
        <f t="shared" si="1"/>
        <v>5205076.6499999985</v>
      </c>
      <c r="P14" s="131">
        <f t="shared" si="1"/>
        <v>2638746.6500000004</v>
      </c>
      <c r="Q14" s="131">
        <f t="shared" si="1"/>
        <v>57833110.590000011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7"/>
  <sheetViews>
    <sheetView topLeftCell="J1" zoomScale="80" zoomScaleNormal="80" workbookViewId="0">
      <selection activeCell="S19" sqref="S19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43"/>
      <c r="E5" s="142" t="str">
        <f>"Ene."&amp;Q6</f>
        <v>Ene.2019</v>
      </c>
      <c r="F5" s="113" t="str">
        <f>"Feb."&amp;Q6</f>
        <v>Feb.2019</v>
      </c>
      <c r="G5" s="112" t="str">
        <f>"Mar."&amp;Q6</f>
        <v>Mar.2019</v>
      </c>
      <c r="H5" s="112" t="str">
        <f>"Abr."&amp;Q6</f>
        <v>Abr.2019</v>
      </c>
      <c r="I5" s="112" t="str">
        <f>"May."&amp;Q6</f>
        <v>May.2019</v>
      </c>
      <c r="J5" s="112" t="str">
        <f>"Jun."&amp;Q6</f>
        <v>Jun.2019</v>
      </c>
      <c r="K5" s="112" t="str">
        <f>"Jul."&amp;Q6</f>
        <v>Jul.2019</v>
      </c>
      <c r="L5" s="112" t="str">
        <f>"Ago."&amp;Q6</f>
        <v>Ago.2019</v>
      </c>
      <c r="M5" s="112" t="str">
        <f>"Sep."&amp;Q6</f>
        <v>Sep.2019</v>
      </c>
      <c r="N5" s="112" t="str">
        <f>"Oct."&amp;Q6</f>
        <v>Oct.2019</v>
      </c>
      <c r="O5" s="112" t="str">
        <f>"Nov."&amp;Q6</f>
        <v>Nov.2019</v>
      </c>
      <c r="P5" s="112" t="str">
        <f>"Dic."&amp;Q6</f>
        <v>Dic.2019</v>
      </c>
      <c r="Q5" s="112" t="s">
        <v>57</v>
      </c>
    </row>
    <row r="6" spans="1:17" x14ac:dyDescent="0.2">
      <c r="A6" s="114" t="s">
        <v>76</v>
      </c>
      <c r="B6" s="115"/>
      <c r="C6" s="115"/>
      <c r="D6" s="144"/>
      <c r="E6" s="141">
        <v>43515</v>
      </c>
      <c r="F6" s="141">
        <v>43543</v>
      </c>
      <c r="G6" s="141">
        <v>43572</v>
      </c>
      <c r="H6" s="141">
        <v>43605</v>
      </c>
      <c r="I6" s="141">
        <v>43635</v>
      </c>
      <c r="J6" s="141">
        <v>43663</v>
      </c>
      <c r="K6" s="141">
        <v>43696</v>
      </c>
      <c r="L6" s="141">
        <v>43726</v>
      </c>
      <c r="M6" s="141">
        <v>43756</v>
      </c>
      <c r="N6" s="141">
        <v>43789</v>
      </c>
      <c r="O6" s="141">
        <v>43817</v>
      </c>
      <c r="P6" s="141">
        <v>43850</v>
      </c>
      <c r="Q6" s="119">
        <v>2019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100000</v>
      </c>
      <c r="F9" s="126">
        <v>1400000</v>
      </c>
      <c r="G9" s="123">
        <v>2000000</v>
      </c>
      <c r="H9" s="123">
        <v>3000000</v>
      </c>
      <c r="I9" s="123">
        <v>3000000</v>
      </c>
      <c r="J9" s="123">
        <v>2200000</v>
      </c>
      <c r="K9" s="123">
        <v>1400000</v>
      </c>
      <c r="L9" s="123">
        <v>2200000</v>
      </c>
      <c r="M9" s="123">
        <v>2200000</v>
      </c>
      <c r="N9" s="123">
        <v>2200000</v>
      </c>
      <c r="O9" s="123">
        <v>2200000</v>
      </c>
      <c r="P9" s="123">
        <v>2200000</v>
      </c>
      <c r="Q9" s="123">
        <f t="shared" si="0"/>
        <v>24100000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1091564.3799999999</v>
      </c>
      <c r="F10" s="123">
        <v>2496562.5</v>
      </c>
      <c r="G10" s="123">
        <v>4635610.8099999968</v>
      </c>
      <c r="H10" s="123">
        <v>6769771.0900000008</v>
      </c>
      <c r="I10" s="123">
        <v>6355376.660000002</v>
      </c>
      <c r="J10" s="123">
        <v>4426149.6099999957</v>
      </c>
      <c r="K10" s="123">
        <v>2908720.7499999995</v>
      </c>
      <c r="L10" s="123">
        <v>6025142.6399999997</v>
      </c>
      <c r="M10" s="123">
        <v>6588812.7200000035</v>
      </c>
      <c r="N10" s="123">
        <v>6156962.4300000025</v>
      </c>
      <c r="O10" s="123">
        <v>9498229.7900000028</v>
      </c>
      <c r="P10" s="123">
        <v>6575426.2799999956</v>
      </c>
      <c r="Q10" s="123">
        <f t="shared" si="0"/>
        <v>63528329.659999989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104958.12</v>
      </c>
      <c r="F11" s="123">
        <v>240054.09</v>
      </c>
      <c r="G11" s="123">
        <v>445731.81</v>
      </c>
      <c r="H11" s="123">
        <v>650939.52</v>
      </c>
      <c r="I11" s="123">
        <v>611093.92000000004</v>
      </c>
      <c r="J11" s="123">
        <v>425591.32</v>
      </c>
      <c r="K11" s="123">
        <v>279684.68</v>
      </c>
      <c r="L11" s="123">
        <v>579340.64</v>
      </c>
      <c r="M11" s="123">
        <v>633539.68000000005</v>
      </c>
      <c r="N11" s="123">
        <v>592015.62000000011</v>
      </c>
      <c r="O11" s="123">
        <v>913291.33</v>
      </c>
      <c r="P11" s="123">
        <v>632252.52999999991</v>
      </c>
      <c r="Q11" s="123">
        <f t="shared" si="0"/>
        <v>6108493.2600000007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62974.87</v>
      </c>
      <c r="F12" s="123">
        <v>144032.45000000001</v>
      </c>
      <c r="G12" s="123">
        <v>267439.08</v>
      </c>
      <c r="H12" s="123">
        <v>390563.71</v>
      </c>
      <c r="I12" s="123">
        <v>366656.34</v>
      </c>
      <c r="J12" s="123">
        <v>255354.79</v>
      </c>
      <c r="K12" s="123">
        <v>167810.81</v>
      </c>
      <c r="L12" s="123">
        <v>347604.39</v>
      </c>
      <c r="M12" s="123">
        <v>380123.81</v>
      </c>
      <c r="N12" s="123">
        <v>355209.38</v>
      </c>
      <c r="O12" s="123">
        <v>547974.79999999993</v>
      </c>
      <c r="P12" s="123">
        <v>379351.50999999995</v>
      </c>
      <c r="Q12" s="123">
        <f t="shared" si="0"/>
        <v>3665095.94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839664.91</v>
      </c>
      <c r="F13" s="128">
        <v>1920432.69</v>
      </c>
      <c r="G13" s="128">
        <v>3565854.48</v>
      </c>
      <c r="H13" s="128">
        <v>5207516.21</v>
      </c>
      <c r="I13" s="128">
        <v>4888751.28</v>
      </c>
      <c r="J13" s="128">
        <v>3404730.48</v>
      </c>
      <c r="K13" s="128">
        <v>2237477.4899999998</v>
      </c>
      <c r="L13" s="128">
        <v>4634725.1100000003</v>
      </c>
      <c r="M13" s="128">
        <v>5068317.47</v>
      </c>
      <c r="N13" s="128">
        <v>4736124.95</v>
      </c>
      <c r="O13" s="128">
        <v>7306330.6200000001</v>
      </c>
      <c r="P13" s="128">
        <v>5058020.21</v>
      </c>
      <c r="Q13" s="129">
        <f t="shared" si="0"/>
        <v>48867945.899999999</v>
      </c>
    </row>
    <row r="14" spans="1:17" ht="15" x14ac:dyDescent="0.25">
      <c r="A14" s="104"/>
      <c r="B14" s="120"/>
      <c r="D14" s="130" t="s">
        <v>68</v>
      </c>
      <c r="E14" s="131">
        <f>SUM(E8:E13)</f>
        <v>2199162.2800000003</v>
      </c>
      <c r="F14" s="131">
        <f t="shared" ref="F14:Q14" si="1">SUM(F8:F13)</f>
        <v>6201081.7300000004</v>
      </c>
      <c r="G14" s="131">
        <f t="shared" si="1"/>
        <v>10914636.179999996</v>
      </c>
      <c r="H14" s="131">
        <f t="shared" si="1"/>
        <v>16018790.530000001</v>
      </c>
      <c r="I14" s="131">
        <f t="shared" si="1"/>
        <v>15221878.200000003</v>
      </c>
      <c r="J14" s="131">
        <f t="shared" si="1"/>
        <v>10711826.199999996</v>
      </c>
      <c r="K14" s="131">
        <f t="shared" si="1"/>
        <v>6993693.7299999986</v>
      </c>
      <c r="L14" s="131">
        <f t="shared" si="1"/>
        <v>13786812.780000001</v>
      </c>
      <c r="M14" s="131">
        <f t="shared" si="1"/>
        <v>14870793.680000003</v>
      </c>
      <c r="N14" s="131">
        <f t="shared" si="1"/>
        <v>14040312.380000003</v>
      </c>
      <c r="O14" s="131">
        <f t="shared" si="1"/>
        <v>20465826.540000003</v>
      </c>
      <c r="P14" s="131">
        <f t="shared" si="1"/>
        <v>14845050.529999994</v>
      </c>
      <c r="Q14" s="131">
        <f t="shared" si="1"/>
        <v>146269864.75999999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7"/>
  <sheetViews>
    <sheetView topLeftCell="L1" zoomScale="80" zoomScaleNormal="80" workbookViewId="0">
      <selection activeCell="R24" sqref="R24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206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43"/>
      <c r="E5" s="142" t="str">
        <f>"Ene."&amp;Q6</f>
        <v>Ene.2018</v>
      </c>
      <c r="F5" s="113" t="str">
        <f>"Feb."&amp;Q6</f>
        <v>Feb.2018</v>
      </c>
      <c r="G5" s="112" t="str">
        <f>"Mar."&amp;Q6</f>
        <v>Mar.2018</v>
      </c>
      <c r="H5" s="112" t="str">
        <f>"Abr."&amp;Q6</f>
        <v>Abr.2018</v>
      </c>
      <c r="I5" s="112" t="str">
        <f>"May."&amp;Q6</f>
        <v>May.2018</v>
      </c>
      <c r="J5" s="112" t="str">
        <f>"Jun."&amp;Q6</f>
        <v>Jun.2018</v>
      </c>
      <c r="K5" s="112" t="str">
        <f>"Jul."&amp;Q6</f>
        <v>Jul.2018</v>
      </c>
      <c r="L5" s="112" t="str">
        <f>"Ago."&amp;Q6</f>
        <v>Ago.2018</v>
      </c>
      <c r="M5" s="112" t="str">
        <f>"Sep."&amp;Q6</f>
        <v>Sep.2018</v>
      </c>
      <c r="N5" s="112" t="str">
        <f>"Oct."&amp;Q6</f>
        <v>Oct.2018</v>
      </c>
      <c r="O5" s="112" t="str">
        <f>"Nov."&amp;Q6</f>
        <v>Nov.2018</v>
      </c>
      <c r="P5" s="112" t="str">
        <f>"Dic."&amp;Q6</f>
        <v>Dic.2018</v>
      </c>
      <c r="Q5" s="112" t="s">
        <v>57</v>
      </c>
    </row>
    <row r="6" spans="1:17" x14ac:dyDescent="0.2">
      <c r="A6" s="114" t="s">
        <v>76</v>
      </c>
      <c r="B6" s="115"/>
      <c r="C6" s="115"/>
      <c r="D6" s="144"/>
      <c r="E6" s="141">
        <v>43150</v>
      </c>
      <c r="F6" s="141">
        <v>43178</v>
      </c>
      <c r="G6" s="141">
        <v>43209</v>
      </c>
      <c r="H6" s="141">
        <v>43228</v>
      </c>
      <c r="I6" s="141">
        <v>43270</v>
      </c>
      <c r="J6" s="141">
        <v>43299</v>
      </c>
      <c r="K6" s="141">
        <v>43329</v>
      </c>
      <c r="L6" s="141">
        <v>43362</v>
      </c>
      <c r="M6" s="141">
        <v>43391</v>
      </c>
      <c r="N6" s="141">
        <v>43425</v>
      </c>
      <c r="O6" s="141">
        <v>43453</v>
      </c>
      <c r="P6" s="141">
        <v>43483</v>
      </c>
      <c r="Q6" s="119">
        <v>2018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3750000</v>
      </c>
      <c r="F9" s="126">
        <v>2400000</v>
      </c>
      <c r="G9" s="123">
        <v>3680000</v>
      </c>
      <c r="H9" s="123">
        <v>3630000</v>
      </c>
      <c r="I9" s="123">
        <v>4300000</v>
      </c>
      <c r="J9" s="123">
        <v>1850000</v>
      </c>
      <c r="K9" s="123">
        <v>1550000</v>
      </c>
      <c r="L9" s="123">
        <v>1980000</v>
      </c>
      <c r="M9" s="123">
        <v>2000000</v>
      </c>
      <c r="N9" s="123">
        <v>3000000</v>
      </c>
      <c r="O9" s="123">
        <v>2000000</v>
      </c>
      <c r="P9" s="123">
        <v>2000000</v>
      </c>
      <c r="Q9" s="123">
        <f t="shared" si="0"/>
        <v>32140000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4698982.49</v>
      </c>
      <c r="F10" s="123">
        <v>3016383.3100000005</v>
      </c>
      <c r="G10" s="123">
        <v>4543820.1800000053</v>
      </c>
      <c r="H10" s="123">
        <v>4506234.0399999991</v>
      </c>
      <c r="I10" s="123">
        <v>5361233.9799999977</v>
      </c>
      <c r="J10" s="123">
        <v>2279640.4000000022</v>
      </c>
      <c r="K10" s="123">
        <v>3185273.11</v>
      </c>
      <c r="L10" s="123">
        <v>2408828.5099999961</v>
      </c>
      <c r="M10" s="123">
        <v>7696695.3399999924</v>
      </c>
      <c r="N10" s="123">
        <v>7842682.7099999972</v>
      </c>
      <c r="O10" s="123">
        <v>4521086.9299999978</v>
      </c>
      <c r="P10" s="123">
        <v>3753853.5800000015</v>
      </c>
      <c r="Q10" s="123">
        <f t="shared" si="0"/>
        <v>53814714.579999991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451825.24</v>
      </c>
      <c r="F11" s="123">
        <v>290036.86000000004</v>
      </c>
      <c r="G11" s="123">
        <v>436905.77999999997</v>
      </c>
      <c r="H11" s="123">
        <v>433291.74</v>
      </c>
      <c r="I11" s="123">
        <v>515503.27</v>
      </c>
      <c r="J11" s="123">
        <v>219196.19</v>
      </c>
      <c r="K11" s="123">
        <v>306276.26</v>
      </c>
      <c r="L11" s="123">
        <v>231618.13</v>
      </c>
      <c r="M11" s="123">
        <v>740066.86</v>
      </c>
      <c r="N11" s="123">
        <v>754104.1</v>
      </c>
      <c r="O11" s="123">
        <v>434719.89</v>
      </c>
      <c r="P11" s="123">
        <v>360947.46</v>
      </c>
      <c r="Q11" s="123">
        <f t="shared" si="0"/>
        <v>5174491.7799999993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271095.15000000002</v>
      </c>
      <c r="F12" s="123">
        <v>174022.11</v>
      </c>
      <c r="G12" s="123">
        <v>262143.47</v>
      </c>
      <c r="H12" s="123">
        <v>259975.05</v>
      </c>
      <c r="I12" s="123">
        <v>309301.95999999996</v>
      </c>
      <c r="J12" s="123">
        <v>131517.72</v>
      </c>
      <c r="K12" s="123">
        <v>183765.75</v>
      </c>
      <c r="L12" s="123">
        <v>138970.87000000002</v>
      </c>
      <c r="M12" s="123">
        <v>444040.12</v>
      </c>
      <c r="N12" s="123">
        <v>452462.47000000003</v>
      </c>
      <c r="O12" s="123">
        <v>260831.93000000002</v>
      </c>
      <c r="P12" s="123">
        <v>216568.48</v>
      </c>
      <c r="Q12" s="123">
        <f t="shared" si="0"/>
        <v>3104695.0800000005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3614601.9200000004</v>
      </c>
      <c r="F13" s="128">
        <v>2320294.85</v>
      </c>
      <c r="G13" s="128">
        <v>3495246.3</v>
      </c>
      <c r="H13" s="128">
        <v>3466333.8800000004</v>
      </c>
      <c r="I13" s="128">
        <v>4124026.14</v>
      </c>
      <c r="J13" s="128">
        <v>1753569.55</v>
      </c>
      <c r="K13" s="128">
        <v>2450210.08</v>
      </c>
      <c r="L13" s="128">
        <v>1852945</v>
      </c>
      <c r="M13" s="128">
        <v>5920534.8900000006</v>
      </c>
      <c r="N13" s="128">
        <v>6032832.8599999994</v>
      </c>
      <c r="O13" s="128">
        <v>3477759.18</v>
      </c>
      <c r="P13" s="128">
        <v>2887579.68</v>
      </c>
      <c r="Q13" s="129">
        <f t="shared" si="0"/>
        <v>41395934.329999998</v>
      </c>
    </row>
    <row r="14" spans="1:17" ht="15" x14ac:dyDescent="0.25">
      <c r="A14" s="104"/>
      <c r="B14" s="120"/>
      <c r="D14" s="130" t="s">
        <v>68</v>
      </c>
      <c r="E14" s="131">
        <f>SUM(E8:E13)</f>
        <v>12786504.800000001</v>
      </c>
      <c r="F14" s="131">
        <f t="shared" ref="F14:Q14" si="1">SUM(F8:F13)</f>
        <v>8200737.1300000008</v>
      </c>
      <c r="G14" s="131">
        <f t="shared" si="1"/>
        <v>12418115.730000004</v>
      </c>
      <c r="H14" s="131">
        <f t="shared" si="1"/>
        <v>12295834.710000001</v>
      </c>
      <c r="I14" s="131">
        <f t="shared" si="1"/>
        <v>14610065.349999998</v>
      </c>
      <c r="J14" s="131">
        <f t="shared" si="1"/>
        <v>6233923.8600000022</v>
      </c>
      <c r="K14" s="131">
        <f t="shared" si="1"/>
        <v>7675525.1999999993</v>
      </c>
      <c r="L14" s="131">
        <f t="shared" si="1"/>
        <v>6612362.5099999961</v>
      </c>
      <c r="M14" s="131">
        <f t="shared" si="1"/>
        <v>16801337.209999993</v>
      </c>
      <c r="N14" s="131">
        <f t="shared" si="1"/>
        <v>18082082.139999997</v>
      </c>
      <c r="O14" s="131">
        <f t="shared" si="1"/>
        <v>10694397.929999998</v>
      </c>
      <c r="P14" s="131">
        <f t="shared" si="1"/>
        <v>9218949.200000003</v>
      </c>
      <c r="Q14" s="131">
        <f t="shared" si="1"/>
        <v>135629835.76999998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"/>
  <sheetViews>
    <sheetView zoomScale="80" zoomScaleNormal="80" workbookViewId="0">
      <selection activeCell="E6" sqref="E6:P6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43"/>
      <c r="E5" s="142" t="str">
        <f>"Ene."&amp;Q6</f>
        <v>Ene.2017</v>
      </c>
      <c r="F5" s="113" t="str">
        <f>"Feb."&amp;Q6</f>
        <v>Feb.2017</v>
      </c>
      <c r="G5" s="112" t="str">
        <f>"Mar."&amp;Q6</f>
        <v>Mar.2017</v>
      </c>
      <c r="H5" s="112" t="str">
        <f>"Abr."&amp;Q6</f>
        <v>Abr.2017</v>
      </c>
      <c r="I5" s="112" t="str">
        <f>"May."&amp;Q6</f>
        <v>May.2017</v>
      </c>
      <c r="J5" s="112" t="str">
        <f>"Jun."&amp;Q6</f>
        <v>Jun.2017</v>
      </c>
      <c r="K5" s="112" t="str">
        <f>"Jul."&amp;Q6</f>
        <v>Jul.2017</v>
      </c>
      <c r="L5" s="112" t="str">
        <f>"Ago."&amp;Q6</f>
        <v>Ago.2017</v>
      </c>
      <c r="M5" s="112" t="str">
        <f>"Sep."&amp;Q6</f>
        <v>Sep.2017</v>
      </c>
      <c r="N5" s="112" t="str">
        <f>"Oct."&amp;Q6</f>
        <v>Oct.2017</v>
      </c>
      <c r="O5" s="112" t="str">
        <f>"Nov."&amp;Q6</f>
        <v>Nov.2017</v>
      </c>
      <c r="P5" s="112" t="str">
        <f>"Dic."&amp;Q6</f>
        <v>Dic.2017</v>
      </c>
      <c r="Q5" s="112" t="s">
        <v>57</v>
      </c>
    </row>
    <row r="6" spans="1:17" x14ac:dyDescent="0.2">
      <c r="A6" s="114" t="s">
        <v>76</v>
      </c>
      <c r="B6" s="115"/>
      <c r="C6" s="115"/>
      <c r="D6" s="144"/>
      <c r="E6" s="141">
        <v>42783</v>
      </c>
      <c r="F6" s="141">
        <v>42811</v>
      </c>
      <c r="G6" s="141">
        <v>42846</v>
      </c>
      <c r="H6" s="141">
        <v>42873</v>
      </c>
      <c r="I6" s="141">
        <v>42905</v>
      </c>
      <c r="J6" s="141">
        <v>42935</v>
      </c>
      <c r="K6" s="141">
        <v>42964</v>
      </c>
      <c r="L6" s="141">
        <v>42997</v>
      </c>
      <c r="M6" s="141">
        <v>43026</v>
      </c>
      <c r="N6" s="141">
        <v>43059</v>
      </c>
      <c r="O6" s="141">
        <v>43089</v>
      </c>
      <c r="P6" s="141">
        <v>43118</v>
      </c>
      <c r="Q6" s="119">
        <v>2017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1100000</v>
      </c>
      <c r="F9" s="126">
        <v>1350000</v>
      </c>
      <c r="G9" s="123">
        <v>1600000</v>
      </c>
      <c r="H9" s="123">
        <v>1600000</v>
      </c>
      <c r="I9" s="123">
        <v>1270000</v>
      </c>
      <c r="J9" s="123">
        <v>1250000</v>
      </c>
      <c r="K9" s="123">
        <v>1500000</v>
      </c>
      <c r="L9" s="123">
        <v>2900000</v>
      </c>
      <c r="M9" s="123">
        <v>1500000</v>
      </c>
      <c r="N9" s="123">
        <v>1300000</v>
      </c>
      <c r="O9" s="123">
        <v>1750000</v>
      </c>
      <c r="P9" s="123">
        <v>2550000</v>
      </c>
      <c r="Q9" s="123">
        <f t="shared" si="0"/>
        <v>19670000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1349067.0599999984</v>
      </c>
      <c r="F10" s="123">
        <v>1698588.4600000009</v>
      </c>
      <c r="G10" s="123">
        <v>2010106.2499999981</v>
      </c>
      <c r="H10" s="123">
        <v>1922720.4300000004</v>
      </c>
      <c r="I10" s="123">
        <v>1557105.9800000023</v>
      </c>
      <c r="J10" s="123">
        <v>1519880.4000000006</v>
      </c>
      <c r="K10" s="123">
        <v>1864373.1099999982</v>
      </c>
      <c r="L10" s="123">
        <v>3742370.359999998</v>
      </c>
      <c r="M10" s="123">
        <v>1834331.7600000014</v>
      </c>
      <c r="N10" s="123">
        <v>1624338.7700000023</v>
      </c>
      <c r="O10" s="123">
        <v>2232453.4599999986</v>
      </c>
      <c r="P10" s="123">
        <v>3174414.7729000016</v>
      </c>
      <c r="Q10" s="123">
        <f t="shared" si="0"/>
        <v>24529750.812899996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129717.98999999999</v>
      </c>
      <c r="F11" s="123">
        <v>163325.81</v>
      </c>
      <c r="G11" s="123">
        <v>193279.43999999997</v>
      </c>
      <c r="H11" s="123">
        <v>184876.96000000002</v>
      </c>
      <c r="I11" s="123">
        <v>149721.73000000001</v>
      </c>
      <c r="J11" s="123">
        <v>146142.35</v>
      </c>
      <c r="K11" s="123">
        <v>179266.63999999998</v>
      </c>
      <c r="L11" s="123">
        <v>359843.31</v>
      </c>
      <c r="M11" s="123">
        <v>176378.06</v>
      </c>
      <c r="N11" s="123">
        <v>156186.42000000001</v>
      </c>
      <c r="O11" s="123">
        <v>214658.99</v>
      </c>
      <c r="P11" s="123">
        <v>305232.19</v>
      </c>
      <c r="Q11" s="123">
        <f t="shared" si="0"/>
        <v>2358629.89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77830.790000000008</v>
      </c>
      <c r="F12" s="123">
        <v>97995.49</v>
      </c>
      <c r="G12" s="123">
        <v>115967.67</v>
      </c>
      <c r="H12" s="123">
        <v>110926.18</v>
      </c>
      <c r="I12" s="123">
        <v>89833.04</v>
      </c>
      <c r="J12" s="123">
        <v>87685.41</v>
      </c>
      <c r="K12" s="123">
        <v>107559.98</v>
      </c>
      <c r="L12" s="123">
        <v>215905.98</v>
      </c>
      <c r="M12" s="123">
        <v>105826.83</v>
      </c>
      <c r="N12" s="123">
        <v>93711.85</v>
      </c>
      <c r="O12" s="123">
        <v>128795.39</v>
      </c>
      <c r="P12" s="123">
        <v>183139.31</v>
      </c>
      <c r="Q12" s="123">
        <f t="shared" si="0"/>
        <v>1415177.92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1037743.8999999999</v>
      </c>
      <c r="F13" s="128">
        <v>1306606.5</v>
      </c>
      <c r="G13" s="128">
        <v>1546235.5699999998</v>
      </c>
      <c r="H13" s="128">
        <v>1479015.7100000002</v>
      </c>
      <c r="I13" s="128">
        <v>1197773.8299999998</v>
      </c>
      <c r="J13" s="128">
        <v>1169138.78</v>
      </c>
      <c r="K13" s="128">
        <v>1434133.15</v>
      </c>
      <c r="L13" s="128">
        <v>2878746.44</v>
      </c>
      <c r="M13" s="128">
        <v>1411024.43</v>
      </c>
      <c r="N13" s="128">
        <v>1249491.3700000001</v>
      </c>
      <c r="O13" s="128">
        <v>1717271.89</v>
      </c>
      <c r="P13" s="128">
        <v>2441857.52</v>
      </c>
      <c r="Q13" s="129">
        <f t="shared" si="0"/>
        <v>18869039.09</v>
      </c>
    </row>
    <row r="14" spans="1:17" ht="15" x14ac:dyDescent="0.25">
      <c r="A14" s="104"/>
      <c r="B14" s="120"/>
      <c r="D14" s="130" t="s">
        <v>68</v>
      </c>
      <c r="E14" s="131">
        <f>SUM(E8:E13)</f>
        <v>3694359.7399999988</v>
      </c>
      <c r="F14" s="131">
        <f t="shared" ref="F14:Q14" si="1">SUM(F8:F13)</f>
        <v>4616516.2600000016</v>
      </c>
      <c r="G14" s="131">
        <f t="shared" si="1"/>
        <v>5465588.9299999978</v>
      </c>
      <c r="H14" s="131">
        <f t="shared" si="1"/>
        <v>5297539.2800000012</v>
      </c>
      <c r="I14" s="131">
        <f t="shared" si="1"/>
        <v>4264434.5800000019</v>
      </c>
      <c r="J14" s="131">
        <f t="shared" si="1"/>
        <v>4172846.9400000004</v>
      </c>
      <c r="K14" s="131">
        <f t="shared" si="1"/>
        <v>5085332.879999999</v>
      </c>
      <c r="L14" s="131">
        <f t="shared" si="1"/>
        <v>10096866.089999998</v>
      </c>
      <c r="M14" s="131">
        <f t="shared" si="1"/>
        <v>5027561.0800000019</v>
      </c>
      <c r="N14" s="131">
        <f t="shared" si="1"/>
        <v>4423728.410000002</v>
      </c>
      <c r="O14" s="131">
        <f t="shared" si="1"/>
        <v>6043179.7299999977</v>
      </c>
      <c r="P14" s="131">
        <f t="shared" si="1"/>
        <v>8654643.7929000016</v>
      </c>
      <c r="Q14" s="131">
        <f t="shared" si="1"/>
        <v>66842597.712899998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showGridLines="0" zoomScale="80" zoomScaleNormal="80" workbookViewId="0">
      <selection activeCell="G29" sqref="G29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Ene.2016</v>
      </c>
      <c r="F5" s="113" t="str">
        <f>"Feb."&amp;Q6</f>
        <v>Feb.2016</v>
      </c>
      <c r="G5" s="112" t="str">
        <f>"Mar."&amp;Q6</f>
        <v>Mar.2016</v>
      </c>
      <c r="H5" s="112" t="str">
        <f>"Abr."&amp;Q6</f>
        <v>Abr.2016</v>
      </c>
      <c r="I5" s="112" t="str">
        <f>"May."&amp;Q6</f>
        <v>May.2016</v>
      </c>
      <c r="J5" s="112" t="str">
        <f>"Jun."&amp;Q6</f>
        <v>Jun.2016</v>
      </c>
      <c r="K5" s="112" t="str">
        <f>"Jul."&amp;Q6</f>
        <v>Jul.2016</v>
      </c>
      <c r="L5" s="112" t="str">
        <f>"Ago."&amp;Q6</f>
        <v>Ago.2016</v>
      </c>
      <c r="M5" s="112" t="str">
        <f>"Sep."&amp;Q6</f>
        <v>Sep.2016</v>
      </c>
      <c r="N5" s="112" t="str">
        <f>"Oct."&amp;Q6</f>
        <v>Oct.2016</v>
      </c>
      <c r="O5" s="112" t="str">
        <f>"Nov."&amp;Q6</f>
        <v>Nov.2016</v>
      </c>
      <c r="P5" s="112" t="str">
        <f>"Dic."&amp;Q6</f>
        <v>Dic.2016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42417</v>
      </c>
      <c r="F6" s="117">
        <v>42446</v>
      </c>
      <c r="G6" s="116">
        <v>42479</v>
      </c>
      <c r="H6" s="116">
        <v>42508</v>
      </c>
      <c r="I6" s="140">
        <v>42538</v>
      </c>
      <c r="J6" s="116">
        <v>42570</v>
      </c>
      <c r="K6" s="116">
        <v>42599</v>
      </c>
      <c r="L6" s="116">
        <v>42632</v>
      </c>
      <c r="M6" s="116">
        <v>42662</v>
      </c>
      <c r="N6" s="116">
        <v>42696</v>
      </c>
      <c r="O6" s="116">
        <v>42724</v>
      </c>
      <c r="P6" s="116">
        <v>42753</v>
      </c>
      <c r="Q6" s="119">
        <v>2016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1900000</v>
      </c>
      <c r="F9" s="126">
        <v>1900000</v>
      </c>
      <c r="G9" s="123">
        <v>1900000</v>
      </c>
      <c r="H9" s="123">
        <v>0</v>
      </c>
      <c r="I9" s="123">
        <v>50000</v>
      </c>
      <c r="J9" s="123">
        <v>280000</v>
      </c>
      <c r="K9" s="123">
        <v>900000</v>
      </c>
      <c r="L9" s="123">
        <v>900000</v>
      </c>
      <c r="M9" s="123">
        <v>0</v>
      </c>
      <c r="N9" s="123">
        <v>50000</v>
      </c>
      <c r="O9" s="123">
        <v>0</v>
      </c>
      <c r="P9" s="123">
        <v>700000</v>
      </c>
      <c r="Q9" s="123">
        <f t="shared" si="0"/>
        <v>8580000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1399662.0299999993</v>
      </c>
      <c r="F10" s="123">
        <v>1435458.3999999985</v>
      </c>
      <c r="G10" s="123">
        <v>321338.85000000033</v>
      </c>
      <c r="H10" s="123">
        <v>1254712.8299999994</v>
      </c>
      <c r="I10" s="123">
        <v>1722152.2000000002</v>
      </c>
      <c r="J10" s="123">
        <v>1184132.2199999988</v>
      </c>
      <c r="K10" s="123">
        <v>1088076.1499999999</v>
      </c>
      <c r="L10" s="123">
        <v>1187908.4900000005</v>
      </c>
      <c r="M10" s="123">
        <v>181854.75999999981</v>
      </c>
      <c r="N10" s="123">
        <v>261812.21000000005</v>
      </c>
      <c r="O10" s="123">
        <v>32334.890000000014</v>
      </c>
      <c r="P10" s="123">
        <v>854806.06999999983</v>
      </c>
      <c r="Q10" s="123">
        <f t="shared" si="0"/>
        <v>10924249.099999998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134582.88</v>
      </c>
      <c r="F11" s="123">
        <v>138024.84</v>
      </c>
      <c r="G11" s="123">
        <v>30897.97</v>
      </c>
      <c r="H11" s="123">
        <v>120645.47</v>
      </c>
      <c r="I11" s="123">
        <v>165591.56</v>
      </c>
      <c r="J11" s="123">
        <v>113858.87000000001</v>
      </c>
      <c r="K11" s="123">
        <v>104622.70000000001</v>
      </c>
      <c r="L11" s="123">
        <v>114221.97</v>
      </c>
      <c r="M11" s="123">
        <v>17486.03</v>
      </c>
      <c r="N11" s="123">
        <v>25174.260000000002</v>
      </c>
      <c r="O11" s="123">
        <v>3109.1200000000008</v>
      </c>
      <c r="P11" s="123">
        <v>82192.89</v>
      </c>
      <c r="Q11" s="123">
        <f t="shared" si="0"/>
        <v>1050408.56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80749.73</v>
      </c>
      <c r="F12" s="123">
        <v>82814.91</v>
      </c>
      <c r="G12" s="123">
        <v>18538.78</v>
      </c>
      <c r="H12" s="123">
        <v>72387.28</v>
      </c>
      <c r="I12" s="123">
        <v>99354.94</v>
      </c>
      <c r="J12" s="123">
        <v>68315.320000000007</v>
      </c>
      <c r="K12" s="123">
        <v>62773.63</v>
      </c>
      <c r="L12" s="123">
        <v>68533.179999999993</v>
      </c>
      <c r="M12" s="123">
        <v>10491.62</v>
      </c>
      <c r="N12" s="123">
        <v>15104.56</v>
      </c>
      <c r="O12" s="123">
        <v>1865.4700000000012</v>
      </c>
      <c r="P12" s="123">
        <v>49315.729999999996</v>
      </c>
      <c r="Q12" s="123">
        <f t="shared" si="0"/>
        <v>630245.15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1076663.08</v>
      </c>
      <c r="F13" s="128">
        <v>1104198.77</v>
      </c>
      <c r="G13" s="128">
        <v>247183.72999999998</v>
      </c>
      <c r="H13" s="128">
        <v>965163.72</v>
      </c>
      <c r="I13" s="128">
        <v>1324732.48</v>
      </c>
      <c r="J13" s="128">
        <v>910870.93</v>
      </c>
      <c r="K13" s="128">
        <v>836981.6399999999</v>
      </c>
      <c r="L13" s="128">
        <v>913775.76</v>
      </c>
      <c r="M13" s="128">
        <v>139888.26</v>
      </c>
      <c r="N13" s="128">
        <v>201394.01</v>
      </c>
      <c r="O13" s="128">
        <v>24872.99</v>
      </c>
      <c r="P13" s="128">
        <v>657543.13</v>
      </c>
      <c r="Q13" s="129">
        <f t="shared" si="0"/>
        <v>8403268.4999999981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4591657.7199999988</v>
      </c>
      <c r="F14" s="131">
        <f t="shared" si="1"/>
        <v>4660496.9199999981</v>
      </c>
      <c r="G14" s="131">
        <f t="shared" si="1"/>
        <v>2517959.3300000005</v>
      </c>
      <c r="H14" s="131">
        <f t="shared" si="1"/>
        <v>2412909.2999999993</v>
      </c>
      <c r="I14" s="131">
        <f t="shared" si="1"/>
        <v>3361831.18</v>
      </c>
      <c r="J14" s="131">
        <f t="shared" si="1"/>
        <v>2557177.3399999989</v>
      </c>
      <c r="K14" s="131">
        <f t="shared" si="1"/>
        <v>2992454.12</v>
      </c>
      <c r="L14" s="131">
        <f t="shared" si="1"/>
        <v>3184439.4000000004</v>
      </c>
      <c r="M14" s="131">
        <f t="shared" si="1"/>
        <v>349720.66999999981</v>
      </c>
      <c r="N14" s="131">
        <f t="shared" si="1"/>
        <v>553485.04</v>
      </c>
      <c r="O14" s="131">
        <f t="shared" si="1"/>
        <v>62182.470000000016</v>
      </c>
      <c r="P14" s="131">
        <f t="shared" si="1"/>
        <v>2343857.8199999998</v>
      </c>
      <c r="Q14" s="131">
        <f t="shared" si="1"/>
        <v>29588171.309999995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5" right="0.75" top="1" bottom="1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7"/>
  <sheetViews>
    <sheetView showGridLines="0" zoomScale="80" zoomScaleNormal="80" workbookViewId="0">
      <selection activeCell="A2" sqref="A2"/>
    </sheetView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/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Ene.2015</v>
      </c>
      <c r="F5" s="113" t="str">
        <f>"Feb."&amp;Q6</f>
        <v>Feb.2015</v>
      </c>
      <c r="G5" s="112" t="str">
        <f>"Mar."&amp;Q6</f>
        <v>Mar.2015</v>
      </c>
      <c r="H5" s="112" t="str">
        <f>"Abr."&amp;Q6</f>
        <v>Abr.2015</v>
      </c>
      <c r="I5" s="112" t="str">
        <f>"May."&amp;Q6</f>
        <v>May.2015</v>
      </c>
      <c r="J5" s="112" t="str">
        <f>"Jun."&amp;Q6</f>
        <v>Jun.2015</v>
      </c>
      <c r="K5" s="112" t="str">
        <f>"Jul."&amp;Q6</f>
        <v>Jul.2015</v>
      </c>
      <c r="L5" s="112" t="str">
        <f>"Ago."&amp;Q6</f>
        <v>Ago.2015</v>
      </c>
      <c r="M5" s="112" t="str">
        <f>"Sep."&amp;Q6</f>
        <v>Sep.2015</v>
      </c>
      <c r="N5" s="112" t="str">
        <f>"Oct."&amp;Q6</f>
        <v>Oct.2015</v>
      </c>
      <c r="O5" s="112" t="str">
        <f>"Nov."&amp;Q6</f>
        <v>Nov.2015</v>
      </c>
      <c r="P5" s="112" t="str">
        <f>"Dic."&amp;Q6</f>
        <v>Dic.2015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42053</v>
      </c>
      <c r="F6" s="117">
        <v>42081</v>
      </c>
      <c r="G6" s="116">
        <v>42115</v>
      </c>
      <c r="H6" s="116">
        <v>42144</v>
      </c>
      <c r="I6" s="140">
        <v>42172</v>
      </c>
      <c r="J6" s="116">
        <v>42202</v>
      </c>
      <c r="K6" s="116">
        <v>42235</v>
      </c>
      <c r="L6" s="116">
        <v>42264</v>
      </c>
      <c r="M6" s="116">
        <v>42297</v>
      </c>
      <c r="N6" s="116">
        <v>42326</v>
      </c>
      <c r="O6" s="116">
        <v>42356</v>
      </c>
      <c r="P6" s="116">
        <v>42389</v>
      </c>
      <c r="Q6" s="119">
        <v>2015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0</v>
      </c>
    </row>
    <row r="9" spans="1:17" x14ac:dyDescent="0.2">
      <c r="A9" s="104" t="s">
        <v>85</v>
      </c>
      <c r="B9" s="120"/>
      <c r="C9" s="120"/>
      <c r="D9" s="125"/>
      <c r="E9" s="126">
        <v>1840000</v>
      </c>
      <c r="F9" s="126">
        <v>1840000</v>
      </c>
      <c r="G9" s="123">
        <v>1840000</v>
      </c>
      <c r="H9" s="123">
        <v>1840000</v>
      </c>
      <c r="I9" s="123">
        <v>1840000</v>
      </c>
      <c r="J9" s="123">
        <v>1840000</v>
      </c>
      <c r="K9" s="123">
        <v>1840000</v>
      </c>
      <c r="L9" s="123">
        <v>1840000</v>
      </c>
      <c r="M9" s="123">
        <v>1840000</v>
      </c>
      <c r="N9" s="123">
        <v>1840000</v>
      </c>
      <c r="O9" s="123">
        <v>1840000</v>
      </c>
      <c r="P9" s="123">
        <v>1840000</v>
      </c>
      <c r="Q9" s="123">
        <f t="shared" si="0"/>
        <v>22080000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4497341.3499999996</v>
      </c>
      <c r="F10" s="123">
        <v>3896771.0100000026</v>
      </c>
      <c r="G10" s="123">
        <v>5897543.2199999923</v>
      </c>
      <c r="H10" s="123">
        <v>5788669.9899999984</v>
      </c>
      <c r="I10" s="123">
        <v>6547626.8199999975</v>
      </c>
      <c r="J10" s="123">
        <v>5939798.9199999953</v>
      </c>
      <c r="K10" s="123">
        <v>5031559.9000000004</v>
      </c>
      <c r="L10" s="123">
        <v>3312978.0599999987</v>
      </c>
      <c r="M10" s="123">
        <v>1812318.7499999986</v>
      </c>
      <c r="N10" s="123">
        <v>3137499.9300000006</v>
      </c>
      <c r="O10" s="123">
        <v>2756422.120000001</v>
      </c>
      <c r="P10" s="123">
        <v>2241011.8600000008</v>
      </c>
      <c r="Q10" s="123">
        <f t="shared" si="0"/>
        <v>50859541.929999977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432436.66</v>
      </c>
      <c r="F11" s="123">
        <v>374689.52</v>
      </c>
      <c r="G11" s="123">
        <v>567071.46</v>
      </c>
      <c r="H11" s="123">
        <v>556602.88</v>
      </c>
      <c r="I11" s="123">
        <v>629579.51</v>
      </c>
      <c r="J11" s="123">
        <v>571134.52</v>
      </c>
      <c r="K11" s="123">
        <v>483803.83</v>
      </c>
      <c r="L11" s="123">
        <v>318555.58</v>
      </c>
      <c r="M11" s="123">
        <v>174261.41999999998</v>
      </c>
      <c r="N11" s="123">
        <v>301682.69</v>
      </c>
      <c r="O11" s="123">
        <v>265040.59000000003</v>
      </c>
      <c r="P11" s="123">
        <v>215481.90999999997</v>
      </c>
      <c r="Q11" s="123">
        <f t="shared" si="0"/>
        <v>4890340.57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259462</v>
      </c>
      <c r="F12" s="123">
        <v>224813.71</v>
      </c>
      <c r="G12" s="123">
        <v>340242.88</v>
      </c>
      <c r="H12" s="123">
        <v>333961.73</v>
      </c>
      <c r="I12" s="123">
        <v>377747.7</v>
      </c>
      <c r="J12" s="123">
        <v>342680.71</v>
      </c>
      <c r="K12" s="123">
        <v>290282.3</v>
      </c>
      <c r="L12" s="123">
        <v>191133.35</v>
      </c>
      <c r="M12" s="123">
        <v>104556.84999999999</v>
      </c>
      <c r="N12" s="123">
        <v>181009.61</v>
      </c>
      <c r="O12" s="123">
        <v>159024.35</v>
      </c>
      <c r="P12" s="123">
        <v>129289.15000000001</v>
      </c>
      <c r="Q12" s="123">
        <f t="shared" si="0"/>
        <v>2934204.34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3459493.34</v>
      </c>
      <c r="F13" s="128">
        <v>2997516.16</v>
      </c>
      <c r="G13" s="128">
        <v>4536571.72</v>
      </c>
      <c r="H13" s="128">
        <v>4452823.07</v>
      </c>
      <c r="I13" s="128">
        <v>5036636.01</v>
      </c>
      <c r="J13" s="128">
        <v>4569076.0999999996</v>
      </c>
      <c r="K13" s="128">
        <v>3870430.68</v>
      </c>
      <c r="L13" s="128">
        <v>2548444.65</v>
      </c>
      <c r="M13" s="128">
        <v>1394091.3399999999</v>
      </c>
      <c r="N13" s="128">
        <v>2413461.48</v>
      </c>
      <c r="O13" s="128">
        <v>2120324.71</v>
      </c>
      <c r="P13" s="128">
        <v>1723855.2799999998</v>
      </c>
      <c r="Q13" s="129">
        <f t="shared" si="0"/>
        <v>39122724.539999999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10488733.35</v>
      </c>
      <c r="F14" s="131">
        <f t="shared" si="1"/>
        <v>9333790.4000000022</v>
      </c>
      <c r="G14" s="131">
        <f t="shared" si="1"/>
        <v>13181429.279999994</v>
      </c>
      <c r="H14" s="131">
        <f t="shared" si="1"/>
        <v>12972057.669999998</v>
      </c>
      <c r="I14" s="131">
        <f t="shared" si="1"/>
        <v>14431590.039999997</v>
      </c>
      <c r="J14" s="131">
        <f t="shared" si="1"/>
        <v>13262690.249999996</v>
      </c>
      <c r="K14" s="131">
        <f t="shared" si="1"/>
        <v>11516076.710000001</v>
      </c>
      <c r="L14" s="131">
        <f t="shared" si="1"/>
        <v>8211111.6399999987</v>
      </c>
      <c r="M14" s="131">
        <f t="shared" si="1"/>
        <v>5325228.3599999985</v>
      </c>
      <c r="N14" s="131">
        <f t="shared" si="1"/>
        <v>7873653.7100000009</v>
      </c>
      <c r="O14" s="131">
        <f t="shared" si="1"/>
        <v>7140811.7700000005</v>
      </c>
      <c r="P14" s="131">
        <f t="shared" si="1"/>
        <v>6149638.2000000011</v>
      </c>
      <c r="Q14" s="131">
        <f t="shared" si="1"/>
        <v>119886811.37999997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5" right="0.75" top="1" bottom="1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7"/>
  <sheetViews>
    <sheetView showGridLines="0" zoomScale="80" zoomScaleNormal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Ene.2014</v>
      </c>
      <c r="F5" s="113" t="str">
        <f>"Feb."&amp;Q6</f>
        <v>Feb.2014</v>
      </c>
      <c r="G5" s="112" t="str">
        <f>"Mar."&amp;Q6</f>
        <v>Mar.2014</v>
      </c>
      <c r="H5" s="112" t="str">
        <f>"Abr."&amp;Q6</f>
        <v>Abr.2014</v>
      </c>
      <c r="I5" s="112" t="str">
        <f>"May."&amp;Q6</f>
        <v>May.2014</v>
      </c>
      <c r="J5" s="112" t="str">
        <f>"Jun."&amp;Q6</f>
        <v>Jun.2014</v>
      </c>
      <c r="K5" s="112" t="str">
        <f>"Jul."&amp;Q6</f>
        <v>Jul.2014</v>
      </c>
      <c r="L5" s="112" t="str">
        <f>"Ago."&amp;Q6</f>
        <v>Ago.2014</v>
      </c>
      <c r="M5" s="112" t="str">
        <f>"Sep."&amp;Q6</f>
        <v>Sep.2014</v>
      </c>
      <c r="N5" s="112" t="str">
        <f>"Oct."&amp;Q6</f>
        <v>Oct.2014</v>
      </c>
      <c r="O5" s="112" t="str">
        <f>"Nov."&amp;Q6</f>
        <v>Nov.2014</v>
      </c>
      <c r="P5" s="112" t="str">
        <f>"Dic."&amp;Q6</f>
        <v>Dic.2014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41689</v>
      </c>
      <c r="F6" s="117">
        <v>41717</v>
      </c>
      <c r="G6" s="116">
        <v>41750</v>
      </c>
      <c r="H6" s="116">
        <v>41779</v>
      </c>
      <c r="I6" s="140">
        <v>41808</v>
      </c>
      <c r="J6" s="116">
        <v>41837</v>
      </c>
      <c r="K6" s="116">
        <v>41870</v>
      </c>
      <c r="L6" s="116">
        <v>41899</v>
      </c>
      <c r="M6" s="116">
        <v>41932</v>
      </c>
      <c r="N6" s="116">
        <v>41962</v>
      </c>
      <c r="O6" s="116">
        <v>41991</v>
      </c>
      <c r="P6" s="116">
        <v>42024</v>
      </c>
      <c r="Q6" s="119">
        <v>2014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7000000</v>
      </c>
      <c r="F8" s="126">
        <v>7000000</v>
      </c>
      <c r="G8" s="123">
        <v>7000000</v>
      </c>
      <c r="H8" s="123">
        <v>6258317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N8" s="123">
        <v>0</v>
      </c>
      <c r="O8" s="123">
        <v>0</v>
      </c>
      <c r="P8" s="123">
        <v>0</v>
      </c>
      <c r="Q8" s="123">
        <f t="shared" ref="Q8:Q13" si="0">SUM(E8:P8)</f>
        <v>27258317</v>
      </c>
    </row>
    <row r="9" spans="1:17" x14ac:dyDescent="0.2">
      <c r="A9" s="104" t="s">
        <v>85</v>
      </c>
      <c r="B9" s="120"/>
      <c r="C9" s="120"/>
      <c r="D9" s="125"/>
      <c r="E9" s="126">
        <v>1900000</v>
      </c>
      <c r="F9" s="126">
        <v>1900000</v>
      </c>
      <c r="G9" s="123">
        <v>1900000</v>
      </c>
      <c r="H9" s="123">
        <v>1900000</v>
      </c>
      <c r="I9" s="123">
        <v>1900000</v>
      </c>
      <c r="J9" s="123">
        <v>1900000</v>
      </c>
      <c r="K9" s="123">
        <v>1900000</v>
      </c>
      <c r="L9" s="123">
        <v>1900000</v>
      </c>
      <c r="M9" s="123">
        <v>1900000</v>
      </c>
      <c r="N9" s="123">
        <v>1900000</v>
      </c>
      <c r="O9" s="123">
        <v>1900000</v>
      </c>
      <c r="P9" s="123">
        <v>1900000</v>
      </c>
      <c r="Q9" s="123">
        <f t="shared" si="0"/>
        <v>22800000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10377423.499999996</v>
      </c>
      <c r="F10" s="123">
        <v>10665108.689999994</v>
      </c>
      <c r="G10" s="123">
        <v>13175555.969999993</v>
      </c>
      <c r="H10" s="123">
        <v>11374514.740000011</v>
      </c>
      <c r="I10" s="123">
        <v>16625421.580000006</v>
      </c>
      <c r="J10" s="123">
        <v>16493553.040000003</v>
      </c>
      <c r="K10" s="123">
        <v>13375182.719999989</v>
      </c>
      <c r="L10" s="123">
        <v>14407786.45000002</v>
      </c>
      <c r="M10" s="123">
        <v>14254430.140000006</v>
      </c>
      <c r="N10" s="123">
        <v>12008251.58</v>
      </c>
      <c r="O10" s="123">
        <v>9535843.3800000008</v>
      </c>
      <c r="P10" s="123">
        <v>6317142.29</v>
      </c>
      <c r="Q10" s="123">
        <f t="shared" si="0"/>
        <v>148610214.07999998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997829.17999999993</v>
      </c>
      <c r="F11" s="123">
        <v>1025491.22</v>
      </c>
      <c r="G11" s="123">
        <v>1266880.3799999999</v>
      </c>
      <c r="H11" s="123">
        <v>1093703.3400000001</v>
      </c>
      <c r="I11" s="123">
        <v>1598598.23</v>
      </c>
      <c r="J11" s="123">
        <v>1585918.5599999998</v>
      </c>
      <c r="K11" s="123">
        <v>1286075.26</v>
      </c>
      <c r="L11" s="123">
        <v>1385364.0799999998</v>
      </c>
      <c r="M11" s="123">
        <v>1370618.28</v>
      </c>
      <c r="N11" s="123">
        <v>1154639.58</v>
      </c>
      <c r="O11" s="123">
        <v>916908.01</v>
      </c>
      <c r="P11" s="123">
        <v>607417.53</v>
      </c>
      <c r="Q11" s="123">
        <f t="shared" si="0"/>
        <v>14289443.649999999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598697.51</v>
      </c>
      <c r="F12" s="123">
        <v>615294.73</v>
      </c>
      <c r="G12" s="123">
        <v>760128.23</v>
      </c>
      <c r="H12" s="123">
        <v>656222.01</v>
      </c>
      <c r="I12" s="123">
        <v>959158.94000000006</v>
      </c>
      <c r="J12" s="123">
        <v>951551.14</v>
      </c>
      <c r="K12" s="123">
        <v>771645.15</v>
      </c>
      <c r="L12" s="123">
        <v>831218.45</v>
      </c>
      <c r="M12" s="123">
        <v>822370.97</v>
      </c>
      <c r="N12" s="123">
        <v>692783.75</v>
      </c>
      <c r="O12" s="123">
        <v>550144.80000000005</v>
      </c>
      <c r="P12" s="123">
        <v>364450.51</v>
      </c>
      <c r="Q12" s="123">
        <f t="shared" si="0"/>
        <v>8573666.1899999995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7982633.4699999997</v>
      </c>
      <c r="F13" s="128">
        <v>8203929.7599999998</v>
      </c>
      <c r="G13" s="128">
        <v>10135043.050000001</v>
      </c>
      <c r="H13" s="128">
        <v>8749626.7199999988</v>
      </c>
      <c r="I13" s="128">
        <v>12788785.83</v>
      </c>
      <c r="J13" s="128">
        <v>12687348.49</v>
      </c>
      <c r="K13" s="128">
        <v>10288602.1</v>
      </c>
      <c r="L13" s="128">
        <v>11082912.65</v>
      </c>
      <c r="M13" s="128">
        <v>10964946.26</v>
      </c>
      <c r="N13" s="128">
        <v>9237116.6099999994</v>
      </c>
      <c r="O13" s="128">
        <v>7335264.1200000001</v>
      </c>
      <c r="P13" s="128">
        <v>4859340.22</v>
      </c>
      <c r="Q13" s="129">
        <f t="shared" si="0"/>
        <v>114315549.28000002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28856583.659999996</v>
      </c>
      <c r="F14" s="131">
        <f t="shared" si="1"/>
        <v>29409824.399999991</v>
      </c>
      <c r="G14" s="131">
        <f t="shared" si="1"/>
        <v>34237607.629999995</v>
      </c>
      <c r="H14" s="131">
        <f t="shared" si="1"/>
        <v>30032383.81000001</v>
      </c>
      <c r="I14" s="131">
        <f t="shared" si="1"/>
        <v>33871964.580000006</v>
      </c>
      <c r="J14" s="131">
        <f t="shared" si="1"/>
        <v>33618371.230000004</v>
      </c>
      <c r="K14" s="131">
        <f t="shared" si="1"/>
        <v>27621505.229999989</v>
      </c>
      <c r="L14" s="131">
        <f t="shared" si="1"/>
        <v>29607281.630000018</v>
      </c>
      <c r="M14" s="131">
        <f t="shared" si="1"/>
        <v>29312365.650000006</v>
      </c>
      <c r="N14" s="131">
        <f t="shared" si="1"/>
        <v>24992791.52</v>
      </c>
      <c r="O14" s="131">
        <f t="shared" si="1"/>
        <v>20238160.310000002</v>
      </c>
      <c r="P14" s="131">
        <f t="shared" si="1"/>
        <v>14048350.550000001</v>
      </c>
      <c r="Q14" s="131">
        <f t="shared" si="1"/>
        <v>335847190.19999999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Ene.2013</v>
      </c>
      <c r="F5" s="113" t="str">
        <f>"Feb."&amp;Q6</f>
        <v>Feb.2013</v>
      </c>
      <c r="G5" s="112" t="str">
        <f>"Mar."&amp;Q6</f>
        <v>Mar.2013</v>
      </c>
      <c r="H5" s="112" t="str">
        <f>"Abr."&amp;Q6</f>
        <v>Abr.2013</v>
      </c>
      <c r="I5" s="112" t="str">
        <f>"May."&amp;Q6</f>
        <v>May.2013</v>
      </c>
      <c r="J5" s="112" t="str">
        <f>"Jun."&amp;Q6</f>
        <v>Jun.2013</v>
      </c>
      <c r="K5" s="112" t="str">
        <f>"Jul."&amp;Q6</f>
        <v>Jul.2013</v>
      </c>
      <c r="L5" s="112" t="str">
        <f>"Ago."&amp;Q6</f>
        <v>Ago.2013</v>
      </c>
      <c r="M5" s="112" t="str">
        <f>"Sep."&amp;Q6</f>
        <v>Sep.2013</v>
      </c>
      <c r="N5" s="112" t="str">
        <f>"Oct."&amp;Q6</f>
        <v>Oct.2013</v>
      </c>
      <c r="O5" s="112" t="str">
        <f>"Nov."&amp;Q6</f>
        <v>Nov.2013</v>
      </c>
      <c r="P5" s="112" t="str">
        <f>"Dic."&amp;Q6</f>
        <v>Dic.2013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41324</v>
      </c>
      <c r="F6" s="117">
        <v>41352</v>
      </c>
      <c r="G6" s="116">
        <v>41381</v>
      </c>
      <c r="H6" s="116">
        <v>41414</v>
      </c>
      <c r="I6" s="140">
        <v>41444</v>
      </c>
      <c r="J6" s="116">
        <v>41472</v>
      </c>
      <c r="K6" s="116">
        <v>41505</v>
      </c>
      <c r="L6" s="116">
        <v>41535</v>
      </c>
      <c r="M6" s="116">
        <v>41565</v>
      </c>
      <c r="N6" s="116">
        <v>41598</v>
      </c>
      <c r="O6" s="116">
        <v>41626</v>
      </c>
      <c r="P6" s="116">
        <v>41659</v>
      </c>
      <c r="Q6" s="119">
        <v>2013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6">
        <v>0</v>
      </c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7500000</v>
      </c>
      <c r="M8" s="123">
        <v>7500000</v>
      </c>
      <c r="N8" s="123">
        <v>7500000</v>
      </c>
      <c r="O8" s="123">
        <v>7500000</v>
      </c>
      <c r="P8" s="123">
        <v>7500000</v>
      </c>
      <c r="Q8" s="123">
        <f t="shared" ref="Q8:Q13" si="0">SUM(E8:P8)</f>
        <v>37500000</v>
      </c>
    </row>
    <row r="9" spans="1:17" x14ac:dyDescent="0.2">
      <c r="A9" s="104" t="s">
        <v>85</v>
      </c>
      <c r="B9" s="120"/>
      <c r="C9" s="120"/>
      <c r="D9" s="125"/>
      <c r="E9" s="126">
        <v>1305000</v>
      </c>
      <c r="F9" s="126">
        <v>1305000</v>
      </c>
      <c r="G9" s="123">
        <v>1305000</v>
      </c>
      <c r="H9" s="123">
        <v>1305000</v>
      </c>
      <c r="I9" s="123">
        <v>1305000</v>
      </c>
      <c r="J9" s="123">
        <v>1305000</v>
      </c>
      <c r="K9" s="123">
        <v>1305000</v>
      </c>
      <c r="L9" s="123">
        <v>1305000</v>
      </c>
      <c r="M9" s="123">
        <v>1305000</v>
      </c>
      <c r="N9" s="123">
        <v>1305000</v>
      </c>
      <c r="O9" s="123">
        <v>1305000</v>
      </c>
      <c r="P9" s="123">
        <v>1305000</v>
      </c>
      <c r="Q9" s="123">
        <f t="shared" si="0"/>
        <v>15660000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14696828.560000008</v>
      </c>
      <c r="F10" s="123">
        <v>14369630.950000007</v>
      </c>
      <c r="G10" s="123">
        <v>14476553.330000017</v>
      </c>
      <c r="H10" s="123">
        <v>13314915.320000002</v>
      </c>
      <c r="I10" s="123">
        <v>14969555.680000005</v>
      </c>
      <c r="J10" s="123">
        <v>14120918.819999993</v>
      </c>
      <c r="K10" s="123">
        <v>14740887.770000009</v>
      </c>
      <c r="L10" s="123">
        <v>10425503.280000003</v>
      </c>
      <c r="M10" s="123">
        <v>9338328.8200000059</v>
      </c>
      <c r="N10" s="123">
        <v>10216934.690000007</v>
      </c>
      <c r="O10" s="123">
        <v>9494758.6600000057</v>
      </c>
      <c r="P10" s="123">
        <v>11077172.000000002</v>
      </c>
      <c r="Q10" s="123">
        <f t="shared" si="0"/>
        <v>151241987.88000005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1413156.5899999999</v>
      </c>
      <c r="F11" s="123">
        <v>1381695.29</v>
      </c>
      <c r="G11" s="123">
        <v>1391976.2899999998</v>
      </c>
      <c r="H11" s="123">
        <v>1280280.32</v>
      </c>
      <c r="I11" s="123">
        <v>1439380.35</v>
      </c>
      <c r="J11" s="123">
        <v>1357780.6600000001</v>
      </c>
      <c r="K11" s="123">
        <v>1417393.0599999998</v>
      </c>
      <c r="L11" s="123">
        <v>1002452.24</v>
      </c>
      <c r="M11" s="123">
        <v>897916.23</v>
      </c>
      <c r="N11" s="123">
        <v>982397.57</v>
      </c>
      <c r="O11" s="123">
        <v>912957.56</v>
      </c>
      <c r="P11" s="123">
        <v>1065112.69</v>
      </c>
      <c r="Q11" s="123">
        <f t="shared" si="0"/>
        <v>14542498.850000001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847893.96</v>
      </c>
      <c r="F12" s="123">
        <v>829017.17999999993</v>
      </c>
      <c r="G12" s="123">
        <v>835185.7699999999</v>
      </c>
      <c r="H12" s="123">
        <v>768168.19000000006</v>
      </c>
      <c r="I12" s="123">
        <v>863628.21</v>
      </c>
      <c r="J12" s="123">
        <v>814668.39</v>
      </c>
      <c r="K12" s="123">
        <v>850435.83</v>
      </c>
      <c r="L12" s="123">
        <v>601471.34000000008</v>
      </c>
      <c r="M12" s="123">
        <v>538749.74</v>
      </c>
      <c r="N12" s="123">
        <v>589438.53999999992</v>
      </c>
      <c r="O12" s="123">
        <v>547774.53999999992</v>
      </c>
      <c r="P12" s="123">
        <v>639067.61</v>
      </c>
      <c r="Q12" s="123">
        <f t="shared" si="0"/>
        <v>8725499.2999999989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11305252.74</v>
      </c>
      <c r="F13" s="128">
        <v>11053562.290000001</v>
      </c>
      <c r="G13" s="128">
        <v>11135810.26</v>
      </c>
      <c r="H13" s="128">
        <v>10242242.550000001</v>
      </c>
      <c r="I13" s="128">
        <v>11515042.83</v>
      </c>
      <c r="J13" s="128">
        <v>10862245.24</v>
      </c>
      <c r="K13" s="128">
        <v>11339144.439999999</v>
      </c>
      <c r="L13" s="128">
        <v>8019617.9000000004</v>
      </c>
      <c r="M13" s="128">
        <v>7183329.8700000001</v>
      </c>
      <c r="N13" s="128">
        <v>7859180.5300000003</v>
      </c>
      <c r="O13" s="128">
        <v>7303660.5099999998</v>
      </c>
      <c r="P13" s="128">
        <v>8520901.5399999991</v>
      </c>
      <c r="Q13" s="129">
        <f t="shared" si="0"/>
        <v>116339990.70000002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29568131.850000009</v>
      </c>
      <c r="F14" s="131">
        <f t="shared" si="1"/>
        <v>28938905.710000008</v>
      </c>
      <c r="G14" s="131">
        <f t="shared" si="1"/>
        <v>29144525.650000013</v>
      </c>
      <c r="H14" s="131">
        <f t="shared" si="1"/>
        <v>26910606.380000003</v>
      </c>
      <c r="I14" s="131">
        <f t="shared" si="1"/>
        <v>30092607.070000008</v>
      </c>
      <c r="J14" s="131">
        <f t="shared" si="1"/>
        <v>28460613.109999992</v>
      </c>
      <c r="K14" s="131">
        <f t="shared" si="1"/>
        <v>29652861.100000009</v>
      </c>
      <c r="L14" s="131">
        <f t="shared" si="1"/>
        <v>28854044.759999998</v>
      </c>
      <c r="M14" s="131">
        <f t="shared" si="1"/>
        <v>26763324.660000008</v>
      </c>
      <c r="N14" s="131">
        <f t="shared" si="1"/>
        <v>28452951.330000006</v>
      </c>
      <c r="O14" s="131">
        <f t="shared" si="1"/>
        <v>27064151.270000003</v>
      </c>
      <c r="P14" s="131">
        <f t="shared" si="1"/>
        <v>30107253.84</v>
      </c>
      <c r="Q14" s="131">
        <f t="shared" si="1"/>
        <v>344009976.73000008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5" right="0.75" top="1" bottom="1" header="0" footer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Ene.2012</v>
      </c>
      <c r="F5" s="113" t="str">
        <f>"Feb."&amp;Q6</f>
        <v>Feb.2012</v>
      </c>
      <c r="G5" s="112" t="str">
        <f>"Mar."&amp;Q6</f>
        <v>Mar.2012</v>
      </c>
      <c r="H5" s="112" t="str">
        <f>"Abr."&amp;Q6</f>
        <v>Abr.2012</v>
      </c>
      <c r="I5" s="112" t="str">
        <f>"May."&amp;Q6</f>
        <v>May.2012</v>
      </c>
      <c r="J5" s="112" t="str">
        <f>"Jun."&amp;Q6</f>
        <v>Jun.2012</v>
      </c>
      <c r="K5" s="112" t="str">
        <f>"Jul."&amp;Q6</f>
        <v>Jul.2012</v>
      </c>
      <c r="L5" s="112" t="str">
        <f>"Ago."&amp;Q6</f>
        <v>Ago.2012</v>
      </c>
      <c r="M5" s="112" t="str">
        <f>"Sep."&amp;Q6</f>
        <v>Sep.2012</v>
      </c>
      <c r="N5" s="112" t="str">
        <f>"Oct."&amp;Q6</f>
        <v>Oct.2012</v>
      </c>
      <c r="O5" s="112" t="str">
        <f>"Nov."&amp;Q6</f>
        <v>Nov.2012</v>
      </c>
      <c r="P5" s="112" t="str">
        <f>"Dic."&amp;Q6</f>
        <v>Dic.2012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40956</v>
      </c>
      <c r="F6" s="117">
        <v>40987</v>
      </c>
      <c r="G6" s="116">
        <v>41019</v>
      </c>
      <c r="H6" s="116">
        <v>41047</v>
      </c>
      <c r="I6" s="140">
        <v>41079</v>
      </c>
      <c r="J6" s="116">
        <v>41108</v>
      </c>
      <c r="K6" s="116">
        <v>41138</v>
      </c>
      <c r="L6" s="116">
        <v>41171</v>
      </c>
      <c r="M6" s="116">
        <v>41200</v>
      </c>
      <c r="N6" s="116">
        <v>41233</v>
      </c>
      <c r="O6" s="116">
        <v>41262</v>
      </c>
      <c r="P6" s="116">
        <v>41292</v>
      </c>
      <c r="Q6" s="119">
        <v>2012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7872037.0800000001</v>
      </c>
      <c r="F8" s="126">
        <v>7872037.0800000001</v>
      </c>
      <c r="G8" s="123">
        <v>7872037.0800000001</v>
      </c>
      <c r="H8" s="123">
        <v>7872037.0800000001</v>
      </c>
      <c r="I8" s="123">
        <v>7872037.0800000001</v>
      </c>
      <c r="J8" s="123">
        <v>7872037.0800000001</v>
      </c>
      <c r="K8" s="123">
        <v>7872037.0800000001</v>
      </c>
      <c r="L8" s="123">
        <v>7872037.0800000001</v>
      </c>
      <c r="M8" s="123">
        <v>7872037.0800000001</v>
      </c>
      <c r="N8" s="123">
        <v>7872037.0800000001</v>
      </c>
      <c r="O8" s="123">
        <v>7872037.0800000001</v>
      </c>
      <c r="P8" s="123">
        <v>7872037.1200000001</v>
      </c>
      <c r="Q8" s="123">
        <f t="shared" ref="Q8:Q13" si="0">SUM(E8:P8)</f>
        <v>94464445</v>
      </c>
    </row>
    <row r="9" spans="1:17" x14ac:dyDescent="0.2">
      <c r="A9" s="104" t="s">
        <v>85</v>
      </c>
      <c r="B9" s="120"/>
      <c r="C9" s="120"/>
      <c r="D9" s="125"/>
      <c r="E9" s="126">
        <v>162000</v>
      </c>
      <c r="F9" s="126">
        <v>162000</v>
      </c>
      <c r="G9" s="123">
        <v>162000</v>
      </c>
      <c r="H9" s="123">
        <v>162000</v>
      </c>
      <c r="I9" s="123">
        <v>162000</v>
      </c>
      <c r="J9" s="123">
        <v>162000</v>
      </c>
      <c r="K9" s="123">
        <v>162000</v>
      </c>
      <c r="L9" s="123">
        <v>162000</v>
      </c>
      <c r="M9" s="123">
        <v>162000</v>
      </c>
      <c r="N9" s="123">
        <v>162000</v>
      </c>
      <c r="O9" s="123">
        <v>162000</v>
      </c>
      <c r="P9" s="123">
        <v>162000</v>
      </c>
      <c r="Q9" s="123">
        <f t="shared" si="0"/>
        <v>1944000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13205088.660000009</v>
      </c>
      <c r="F10" s="123">
        <v>13828058.240000011</v>
      </c>
      <c r="G10" s="123">
        <v>15264276.219999997</v>
      </c>
      <c r="H10" s="123">
        <v>14832079.929999987</v>
      </c>
      <c r="I10" s="123">
        <v>12930372.159999989</v>
      </c>
      <c r="J10" s="123">
        <v>9903126.5599999931</v>
      </c>
      <c r="K10" s="123">
        <v>12053816.470000004</v>
      </c>
      <c r="L10" s="123">
        <v>12711335.140000004</v>
      </c>
      <c r="M10" s="123">
        <v>9949841.6799999997</v>
      </c>
      <c r="N10" s="123">
        <v>11183997.269999992</v>
      </c>
      <c r="O10" s="123">
        <v>10404188.93</v>
      </c>
      <c r="P10" s="123">
        <v>10095296.219999993</v>
      </c>
      <c r="Q10" s="123">
        <f t="shared" si="0"/>
        <v>146361477.47999996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1269720.06</v>
      </c>
      <c r="F11" s="123">
        <v>1329620.98</v>
      </c>
      <c r="G11" s="123">
        <v>1467718.87</v>
      </c>
      <c r="H11" s="123">
        <v>1426161.53</v>
      </c>
      <c r="I11" s="123">
        <v>1243305.02</v>
      </c>
      <c r="J11" s="123">
        <v>952223.71</v>
      </c>
      <c r="K11" s="123">
        <v>1159020.8099999998</v>
      </c>
      <c r="L11" s="123">
        <v>1222243.76</v>
      </c>
      <c r="M11" s="123">
        <v>956715.54</v>
      </c>
      <c r="N11" s="123">
        <v>1075384.3599999999</v>
      </c>
      <c r="O11" s="123">
        <v>1000402.7799999999</v>
      </c>
      <c r="P11" s="123">
        <v>970701.55999999994</v>
      </c>
      <c r="Q11" s="123">
        <f t="shared" si="0"/>
        <v>14073218.98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761832.04</v>
      </c>
      <c r="F12" s="123">
        <v>797772.59</v>
      </c>
      <c r="G12" s="123">
        <v>880631.32</v>
      </c>
      <c r="H12" s="123">
        <v>855696.91</v>
      </c>
      <c r="I12" s="123">
        <v>745983.01</v>
      </c>
      <c r="J12" s="123">
        <v>571334.22</v>
      </c>
      <c r="K12" s="123">
        <v>695412.49</v>
      </c>
      <c r="L12" s="123">
        <v>733346.25</v>
      </c>
      <c r="M12" s="123">
        <v>574029.33000000007</v>
      </c>
      <c r="N12" s="123">
        <v>645230.62</v>
      </c>
      <c r="O12" s="123">
        <v>600241.66999999993</v>
      </c>
      <c r="P12" s="123">
        <v>582420.93000000005</v>
      </c>
      <c r="Q12" s="123">
        <f t="shared" si="0"/>
        <v>8443931.3800000008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10157760.51</v>
      </c>
      <c r="F13" s="128">
        <v>10636967.880000001</v>
      </c>
      <c r="G13" s="128">
        <v>11741750.939999999</v>
      </c>
      <c r="H13" s="128">
        <v>11409292.26</v>
      </c>
      <c r="I13" s="128">
        <v>9946440.120000001</v>
      </c>
      <c r="J13" s="128">
        <v>7617789.6699999999</v>
      </c>
      <c r="K13" s="128">
        <v>9272166.5099999998</v>
      </c>
      <c r="L13" s="128">
        <v>9777950.0999999996</v>
      </c>
      <c r="M13" s="128">
        <v>7653724.3799999999</v>
      </c>
      <c r="N13" s="128">
        <v>8603074.8200000003</v>
      </c>
      <c r="O13" s="128">
        <v>8003222.2599999998</v>
      </c>
      <c r="P13" s="128">
        <v>7765612.4699999997</v>
      </c>
      <c r="Q13" s="129">
        <f t="shared" si="0"/>
        <v>112585751.92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33428438.350000009</v>
      </c>
      <c r="F14" s="131">
        <f t="shared" si="1"/>
        <v>34626456.770000011</v>
      </c>
      <c r="G14" s="131">
        <f t="shared" si="1"/>
        <v>37388414.43</v>
      </c>
      <c r="H14" s="131">
        <f t="shared" si="1"/>
        <v>36557267.709999986</v>
      </c>
      <c r="I14" s="131">
        <f t="shared" si="1"/>
        <v>32900137.389999989</v>
      </c>
      <c r="J14" s="131">
        <f t="shared" si="1"/>
        <v>27078511.239999995</v>
      </c>
      <c r="K14" s="131">
        <f t="shared" si="1"/>
        <v>31214453.359999999</v>
      </c>
      <c r="L14" s="131">
        <f t="shared" si="1"/>
        <v>32478912.330000006</v>
      </c>
      <c r="M14" s="131">
        <f t="shared" si="1"/>
        <v>27168348.009999994</v>
      </c>
      <c r="N14" s="131">
        <f t="shared" si="1"/>
        <v>29541724.149999995</v>
      </c>
      <c r="O14" s="131">
        <f t="shared" si="1"/>
        <v>28042092.719999999</v>
      </c>
      <c r="P14" s="131">
        <f t="shared" si="1"/>
        <v>27448068.29999999</v>
      </c>
      <c r="Q14" s="131">
        <f t="shared" si="1"/>
        <v>377872824.75999993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5" right="0.75" top="1" bottom="1" header="0" footer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Ene.2011</v>
      </c>
      <c r="F5" s="113" t="str">
        <f>"Feb."&amp;Q6</f>
        <v>Feb.2011</v>
      </c>
      <c r="G5" s="112" t="str">
        <f>"Mar."&amp;Q6</f>
        <v>Mar.2011</v>
      </c>
      <c r="H5" s="112" t="str">
        <f>"Abr."&amp;Q6</f>
        <v>Abr.2011</v>
      </c>
      <c r="I5" s="112" t="str">
        <f>"May."&amp;Q6</f>
        <v>May.2011</v>
      </c>
      <c r="J5" s="112" t="str">
        <f>"Jun."&amp;Q6</f>
        <v>Jun.2011</v>
      </c>
      <c r="K5" s="112" t="str">
        <f>"Jul."&amp;Q6</f>
        <v>Jul.2011</v>
      </c>
      <c r="L5" s="112" t="str">
        <f>"Ago."&amp;Q6</f>
        <v>Ago.2011</v>
      </c>
      <c r="M5" s="112" t="str">
        <f>"Sep."&amp;Q6</f>
        <v>Sep.2011</v>
      </c>
      <c r="N5" s="112" t="str">
        <f>"Oct."&amp;Q6</f>
        <v>Oct.2011</v>
      </c>
      <c r="O5" s="112" t="str">
        <f>"Nov."&amp;Q6</f>
        <v>Nov.2011</v>
      </c>
      <c r="P5" s="112" t="str">
        <f>"Dic."&amp;Q6</f>
        <v>Dic.2011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40591</v>
      </c>
      <c r="F6" s="117">
        <v>40619</v>
      </c>
      <c r="G6" s="116">
        <v>40652</v>
      </c>
      <c r="H6" s="116">
        <v>40681</v>
      </c>
      <c r="I6" s="140">
        <v>40711</v>
      </c>
      <c r="J6" s="116">
        <v>40743</v>
      </c>
      <c r="K6" s="116">
        <v>40772</v>
      </c>
      <c r="L6" s="116">
        <v>40805</v>
      </c>
      <c r="M6" s="116">
        <v>40835</v>
      </c>
      <c r="N6" s="116">
        <v>40865</v>
      </c>
      <c r="O6" s="116">
        <v>40897</v>
      </c>
      <c r="P6" s="116">
        <v>40926</v>
      </c>
      <c r="Q6" s="119">
        <v>2011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6543374.8300000001</v>
      </c>
      <c r="F8" s="126">
        <v>6543374.8300000001</v>
      </c>
      <c r="G8" s="123">
        <v>6543374.8300000001</v>
      </c>
      <c r="H8" s="123">
        <v>6543374.8300000001</v>
      </c>
      <c r="I8" s="123">
        <v>6543374.8300000001</v>
      </c>
      <c r="J8" s="123">
        <v>6543374.8300000001</v>
      </c>
      <c r="K8" s="123">
        <v>6543374.8300000001</v>
      </c>
      <c r="L8" s="123">
        <v>6543374.8300000001</v>
      </c>
      <c r="M8" s="123">
        <v>6543374.8300000001</v>
      </c>
      <c r="N8" s="123">
        <v>6543374.8300000001</v>
      </c>
      <c r="O8" s="123">
        <v>6543374.8300000001</v>
      </c>
      <c r="P8" s="123">
        <v>6543374.8700000048</v>
      </c>
      <c r="Q8" s="123">
        <f t="shared" ref="Q8:Q13" si="0">SUM(E8:P8)</f>
        <v>78520498</v>
      </c>
    </row>
    <row r="9" spans="1:17" x14ac:dyDescent="0.2">
      <c r="A9" s="104" t="s">
        <v>85</v>
      </c>
      <c r="B9" s="120"/>
      <c r="C9" s="120"/>
      <c r="D9" s="125"/>
      <c r="E9" s="126">
        <v>56386.75</v>
      </c>
      <c r="F9" s="126">
        <v>56386.75</v>
      </c>
      <c r="G9" s="123">
        <v>56386.75</v>
      </c>
      <c r="H9" s="123">
        <v>56386.75</v>
      </c>
      <c r="I9" s="123">
        <v>56386.75</v>
      </c>
      <c r="J9" s="123">
        <v>56386.75</v>
      </c>
      <c r="K9" s="123">
        <v>56386.75</v>
      </c>
      <c r="L9" s="123">
        <v>56386.75</v>
      </c>
      <c r="M9" s="123">
        <v>56386.75</v>
      </c>
      <c r="N9" s="123">
        <v>56386.75</v>
      </c>
      <c r="O9" s="123">
        <v>56386.75</v>
      </c>
      <c r="P9" s="123">
        <v>56386.75</v>
      </c>
      <c r="Q9" s="123">
        <f t="shared" si="0"/>
        <v>676641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7393123.2400000002</v>
      </c>
      <c r="F10" s="123">
        <v>6570490.0700000003</v>
      </c>
      <c r="G10" s="123">
        <v>10545953.310000001</v>
      </c>
      <c r="H10" s="123">
        <v>10008411.68</v>
      </c>
      <c r="I10" s="123">
        <v>9696982.7599999998</v>
      </c>
      <c r="J10" s="123">
        <v>9248163.4800000004</v>
      </c>
      <c r="K10" s="123">
        <v>10093436.859999999</v>
      </c>
      <c r="L10" s="123">
        <v>7453534.3300000001</v>
      </c>
      <c r="M10" s="123">
        <v>8181365.6100000003</v>
      </c>
      <c r="N10" s="123">
        <v>9286607.5299999993</v>
      </c>
      <c r="O10" s="123">
        <v>8197013.9800000004</v>
      </c>
      <c r="P10" s="123">
        <v>8297951.4799999995</v>
      </c>
      <c r="Q10" s="123">
        <f t="shared" si="0"/>
        <v>104973034.33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710877.23</v>
      </c>
      <c r="F11" s="123">
        <v>631777.89</v>
      </c>
      <c r="G11" s="123">
        <v>1014033.97</v>
      </c>
      <c r="H11" s="123">
        <v>962347.28</v>
      </c>
      <c r="I11" s="123">
        <v>932402.19</v>
      </c>
      <c r="J11" s="123">
        <v>889246.49</v>
      </c>
      <c r="K11" s="123">
        <v>970522.78</v>
      </c>
      <c r="L11" s="123">
        <v>716685.99</v>
      </c>
      <c r="M11" s="123">
        <v>786669.77</v>
      </c>
      <c r="N11" s="123">
        <v>892943.03</v>
      </c>
      <c r="O11" s="123">
        <v>788174.42</v>
      </c>
      <c r="P11" s="123">
        <v>797879.95000000007</v>
      </c>
      <c r="Q11" s="123">
        <f t="shared" si="0"/>
        <v>10093560.99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426526.34</v>
      </c>
      <c r="F12" s="123">
        <v>379066.73</v>
      </c>
      <c r="G12" s="123">
        <v>608420.38</v>
      </c>
      <c r="H12" s="123">
        <v>577408.37</v>
      </c>
      <c r="I12" s="123">
        <v>559441.31000000006</v>
      </c>
      <c r="J12" s="123">
        <v>533547.89</v>
      </c>
      <c r="K12" s="123">
        <v>582313.67000000004</v>
      </c>
      <c r="L12" s="123">
        <v>430011.6</v>
      </c>
      <c r="M12" s="123">
        <v>472001.86</v>
      </c>
      <c r="N12" s="123">
        <v>535765.81999999995</v>
      </c>
      <c r="O12" s="123">
        <v>472904.65</v>
      </c>
      <c r="P12" s="123">
        <v>478727.97000000003</v>
      </c>
      <c r="Q12" s="123">
        <f t="shared" si="0"/>
        <v>6056136.5900000008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5687017.8800000027</v>
      </c>
      <c r="F13" s="128">
        <v>5054223.1300000083</v>
      </c>
      <c r="G13" s="128">
        <v>8112271.7900000103</v>
      </c>
      <c r="H13" s="128">
        <v>7698778.2099999897</v>
      </c>
      <c r="I13" s="128">
        <v>7459217.5000000075</v>
      </c>
      <c r="J13" s="128">
        <v>7113971.8999999985</v>
      </c>
      <c r="K13" s="128">
        <v>7764182.1899999976</v>
      </c>
      <c r="L13" s="128">
        <v>5733487.9499999844</v>
      </c>
      <c r="M13" s="128">
        <v>6293358.1600000039</v>
      </c>
      <c r="N13" s="128">
        <v>7143544.2599999942</v>
      </c>
      <c r="O13" s="128">
        <v>6305395.3799999896</v>
      </c>
      <c r="P13" s="128">
        <v>6383039.6100000003</v>
      </c>
      <c r="Q13" s="129">
        <f t="shared" si="0"/>
        <v>80748487.959999993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20817306.270000003</v>
      </c>
      <c r="F14" s="131">
        <f t="shared" si="1"/>
        <v>19235319.40000001</v>
      </c>
      <c r="G14" s="131">
        <f t="shared" si="1"/>
        <v>26880441.030000009</v>
      </c>
      <c r="H14" s="131">
        <f t="shared" si="1"/>
        <v>25846707.11999999</v>
      </c>
      <c r="I14" s="131">
        <f t="shared" si="1"/>
        <v>25247805.340000007</v>
      </c>
      <c r="J14" s="131">
        <f t="shared" si="1"/>
        <v>24384691.34</v>
      </c>
      <c r="K14" s="131">
        <f t="shared" si="1"/>
        <v>26010217.079999998</v>
      </c>
      <c r="L14" s="131">
        <f t="shared" si="1"/>
        <v>20933481.449999984</v>
      </c>
      <c r="M14" s="131">
        <f t="shared" si="1"/>
        <v>22333156.980000004</v>
      </c>
      <c r="N14" s="131">
        <f t="shared" si="1"/>
        <v>24458622.219999995</v>
      </c>
      <c r="O14" s="131">
        <f t="shared" si="1"/>
        <v>22363250.00999999</v>
      </c>
      <c r="P14" s="131">
        <f t="shared" si="1"/>
        <v>22557360.630000006</v>
      </c>
      <c r="Q14" s="131">
        <f t="shared" si="1"/>
        <v>281068358.87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ageMargins left="0.75" right="0.75" top="1" bottom="1" header="0" footer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7"/>
  <sheetViews>
    <sheetView zoomScale="80" zoomScaleNormal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Ene.2010</v>
      </c>
      <c r="F5" s="113" t="str">
        <f>"Feb."&amp;Q6</f>
        <v>Feb.2010</v>
      </c>
      <c r="G5" s="112" t="str">
        <f>"Mar."&amp;Q6</f>
        <v>Mar.2010</v>
      </c>
      <c r="H5" s="112" t="str">
        <f>"Abr."&amp;Q6</f>
        <v>Abr.2010</v>
      </c>
      <c r="I5" s="112" t="str">
        <f>"May."&amp;Q6</f>
        <v>May.2010</v>
      </c>
      <c r="J5" s="112" t="str">
        <f>"Jun."&amp;Q6</f>
        <v>Jun.2010</v>
      </c>
      <c r="K5" s="112" t="str">
        <f>"Jul."&amp;Q6</f>
        <v>Jul.2010</v>
      </c>
      <c r="L5" s="112" t="str">
        <f>"Ago."&amp;Q6</f>
        <v>Ago.2010</v>
      </c>
      <c r="M5" s="112" t="str">
        <f>"Sep."&amp;Q6</f>
        <v>Sep.2010</v>
      </c>
      <c r="N5" s="112" t="str">
        <f>"Oct."&amp;Q6</f>
        <v>Oct.2010</v>
      </c>
      <c r="O5" s="112" t="str">
        <f>"Nov."&amp;Q6</f>
        <v>Nov.2010</v>
      </c>
      <c r="P5" s="112" t="str">
        <f>"Dic."&amp;Q6</f>
        <v>Dic.2010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40226</v>
      </c>
      <c r="F6" s="117">
        <v>40254</v>
      </c>
      <c r="G6" s="116">
        <v>40289</v>
      </c>
      <c r="H6" s="116">
        <v>40317</v>
      </c>
      <c r="I6" s="140">
        <v>40346</v>
      </c>
      <c r="J6" s="116">
        <v>40378</v>
      </c>
      <c r="K6" s="116">
        <v>40408</v>
      </c>
      <c r="L6" s="116">
        <v>40438</v>
      </c>
      <c r="M6" s="116">
        <v>40471</v>
      </c>
      <c r="N6" s="116">
        <v>40500</v>
      </c>
      <c r="O6" s="116">
        <v>40532</v>
      </c>
      <c r="P6" s="116">
        <v>40562</v>
      </c>
      <c r="Q6" s="119">
        <v>2010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3">
        <v>7759580.7300000004</v>
      </c>
      <c r="G8" s="123">
        <v>7759580.7300000004</v>
      </c>
      <c r="H8" s="123">
        <v>7759580.7300000004</v>
      </c>
      <c r="I8" s="123">
        <v>7759580.7300000004</v>
      </c>
      <c r="J8" s="123">
        <v>7759580.7300000004</v>
      </c>
      <c r="K8" s="123">
        <v>7759580.7300000004</v>
      </c>
      <c r="L8" s="123">
        <v>7759580.7300000004</v>
      </c>
      <c r="M8" s="123">
        <v>7759580.7300000004</v>
      </c>
      <c r="N8" s="123">
        <v>7759580.7300000004</v>
      </c>
      <c r="O8" s="123">
        <v>7759580.7300000004</v>
      </c>
      <c r="P8" s="123">
        <v>7759580.7000000002</v>
      </c>
      <c r="Q8" s="123">
        <f t="shared" ref="Q8:Q13" si="0">SUM(E8:P8)</f>
        <v>85355388.00000003</v>
      </c>
    </row>
    <row r="9" spans="1:17" x14ac:dyDescent="0.2">
      <c r="A9" s="104" t="s">
        <v>85</v>
      </c>
      <c r="B9" s="120"/>
      <c r="C9" s="120"/>
      <c r="D9" s="125"/>
      <c r="E9" s="126">
        <v>0</v>
      </c>
      <c r="F9" s="123">
        <v>44918.18</v>
      </c>
      <c r="G9" s="123">
        <v>44918.18</v>
      </c>
      <c r="H9" s="123">
        <v>44918.18</v>
      </c>
      <c r="I9" s="123">
        <v>44918.18</v>
      </c>
      <c r="J9" s="123">
        <v>44918.18</v>
      </c>
      <c r="K9" s="123">
        <v>44918.18</v>
      </c>
      <c r="L9" s="123">
        <v>44918.18</v>
      </c>
      <c r="M9" s="123">
        <v>44918.18</v>
      </c>
      <c r="N9" s="123">
        <v>44918.18</v>
      </c>
      <c r="O9" s="123">
        <v>44918.18</v>
      </c>
      <c r="P9" s="123">
        <v>44918.2</v>
      </c>
      <c r="Q9" s="123">
        <f t="shared" si="0"/>
        <v>494100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10187118.58</v>
      </c>
      <c r="F10" s="123">
        <v>4733574.92</v>
      </c>
      <c r="G10" s="123">
        <v>5407378.96</v>
      </c>
      <c r="H10" s="123">
        <v>6063955.1100000003</v>
      </c>
      <c r="I10" s="123">
        <v>5493611.4000000004</v>
      </c>
      <c r="J10" s="123">
        <v>5337000.92</v>
      </c>
      <c r="K10" s="123">
        <v>5549486.4199999999</v>
      </c>
      <c r="L10" s="123">
        <v>5470447.6500000004</v>
      </c>
      <c r="M10" s="123">
        <v>4931285.92</v>
      </c>
      <c r="N10" s="123">
        <v>5977415.7400000002</v>
      </c>
      <c r="O10" s="123">
        <v>5640576.3799999999</v>
      </c>
      <c r="P10" s="123">
        <v>6594300.5</v>
      </c>
      <c r="Q10" s="123">
        <f t="shared" si="0"/>
        <v>71386152.5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979530.63</v>
      </c>
      <c r="F11" s="123">
        <v>455151.43</v>
      </c>
      <c r="G11" s="123">
        <v>519940.29</v>
      </c>
      <c r="H11" s="123">
        <v>583072.61</v>
      </c>
      <c r="I11" s="123">
        <v>528231.87</v>
      </c>
      <c r="J11" s="123">
        <v>513173.17</v>
      </c>
      <c r="K11" s="123">
        <v>533604.46</v>
      </c>
      <c r="L11" s="123">
        <v>526004.57999999996</v>
      </c>
      <c r="M11" s="123">
        <v>474162.11</v>
      </c>
      <c r="N11" s="123">
        <v>574751.51</v>
      </c>
      <c r="O11" s="123">
        <v>542363.11</v>
      </c>
      <c r="P11" s="123">
        <v>634067.36</v>
      </c>
      <c r="Q11" s="123">
        <f t="shared" si="0"/>
        <v>6864053.1300000008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587718.38</v>
      </c>
      <c r="F12" s="123">
        <v>273090.86</v>
      </c>
      <c r="G12" s="123">
        <v>311964.17</v>
      </c>
      <c r="H12" s="123">
        <v>349843.56</v>
      </c>
      <c r="I12" s="123">
        <v>316939.12</v>
      </c>
      <c r="J12" s="123">
        <v>307903.90000000002</v>
      </c>
      <c r="K12" s="123">
        <v>320162.68</v>
      </c>
      <c r="L12" s="123">
        <v>315602.75</v>
      </c>
      <c r="M12" s="123">
        <v>284497.26</v>
      </c>
      <c r="N12" s="123">
        <v>344850.91</v>
      </c>
      <c r="O12" s="123">
        <v>325417.87</v>
      </c>
      <c r="P12" s="123">
        <v>380440.41</v>
      </c>
      <c r="Q12" s="123">
        <f t="shared" si="0"/>
        <v>4118431.87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7836245.0699999947</v>
      </c>
      <c r="F13" s="128">
        <v>3641211.48</v>
      </c>
      <c r="G13" s="128">
        <v>4159522.2799999919</v>
      </c>
      <c r="H13" s="128">
        <v>4664580.8499999996</v>
      </c>
      <c r="I13" s="128">
        <v>4225854.92</v>
      </c>
      <c r="J13" s="128">
        <v>4105385.3199999947</v>
      </c>
      <c r="K13" s="128">
        <v>4268835.71</v>
      </c>
      <c r="L13" s="128">
        <v>4208036.66</v>
      </c>
      <c r="M13" s="128">
        <v>3793296.8600000106</v>
      </c>
      <c r="N13" s="128">
        <v>4598012.1100000003</v>
      </c>
      <c r="O13" s="128">
        <v>4338904.910000002</v>
      </c>
      <c r="P13" s="128">
        <v>5072538.8499999978</v>
      </c>
      <c r="Q13" s="129">
        <f t="shared" si="0"/>
        <v>54912425.019999996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19590612.659999996</v>
      </c>
      <c r="F14" s="131">
        <f t="shared" si="1"/>
        <v>16907527.599999998</v>
      </c>
      <c r="G14" s="131">
        <f t="shared" si="1"/>
        <v>18203304.609999992</v>
      </c>
      <c r="H14" s="131">
        <f t="shared" si="1"/>
        <v>19465951.039999999</v>
      </c>
      <c r="I14" s="131">
        <f t="shared" si="1"/>
        <v>18369136.219999999</v>
      </c>
      <c r="J14" s="131">
        <f t="shared" si="1"/>
        <v>18067962.219999995</v>
      </c>
      <c r="K14" s="131">
        <f t="shared" si="1"/>
        <v>18476588.18</v>
      </c>
      <c r="L14" s="131">
        <f t="shared" si="1"/>
        <v>18324590.550000001</v>
      </c>
      <c r="M14" s="131">
        <f t="shared" si="1"/>
        <v>17287741.06000001</v>
      </c>
      <c r="N14" s="131">
        <f t="shared" si="1"/>
        <v>19299529.18</v>
      </c>
      <c r="O14" s="131">
        <f t="shared" si="1"/>
        <v>18651761.18</v>
      </c>
      <c r="P14" s="131">
        <f t="shared" si="1"/>
        <v>20485846.019999996</v>
      </c>
      <c r="Q14" s="131">
        <f t="shared" si="1"/>
        <v>223130550.52000004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honeticPr fontId="0" type="noConversion"/>
  <pageMargins left="0.75" right="0.75" top="1" bottom="1" header="0" footer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7"/>
  <sheetViews>
    <sheetView view="pageBreakPreview" zoomScale="80" zoomScaleNormal="100" zoomScaleSheetLayoutView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Ene.2009</v>
      </c>
      <c r="F5" s="113" t="str">
        <f>"Feb."&amp;Q6</f>
        <v>Feb.2009</v>
      </c>
      <c r="G5" s="112" t="str">
        <f>"Mar."&amp;Q6</f>
        <v>Mar.2009</v>
      </c>
      <c r="H5" s="112" t="str">
        <f>"Abr."&amp;Q6</f>
        <v>Abr.2009</v>
      </c>
      <c r="I5" s="112" t="str">
        <f>"May."&amp;Q6</f>
        <v>May.2009</v>
      </c>
      <c r="J5" s="112" t="str">
        <f>"Jun."&amp;Q6</f>
        <v>Jun.2009</v>
      </c>
      <c r="K5" s="112" t="str">
        <f>"Jul."&amp;Q6</f>
        <v>Jul.2009</v>
      </c>
      <c r="L5" s="112" t="str">
        <f>"Ago."&amp;Q6</f>
        <v>Ago.2009</v>
      </c>
      <c r="M5" s="112" t="str">
        <f>"Sep."&amp;Q6</f>
        <v>Sep.2009</v>
      </c>
      <c r="N5" s="112" t="str">
        <f>"Oct."&amp;Q6</f>
        <v>Oct.2009</v>
      </c>
      <c r="O5" s="112" t="str">
        <f>"Nov."&amp;Q6</f>
        <v>Nov.2009</v>
      </c>
      <c r="P5" s="112" t="str">
        <f>"Dic."&amp;Q6</f>
        <v>Dic.2009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39864</v>
      </c>
      <c r="F6" s="117">
        <v>39892</v>
      </c>
      <c r="G6" s="116">
        <v>39926</v>
      </c>
      <c r="H6" s="116">
        <v>39955</v>
      </c>
      <c r="I6" s="140">
        <v>39983</v>
      </c>
      <c r="J6" s="116">
        <v>40015</v>
      </c>
      <c r="K6" s="116">
        <v>40046</v>
      </c>
      <c r="L6" s="116">
        <v>40077</v>
      </c>
      <c r="M6" s="116">
        <v>40107</v>
      </c>
      <c r="N6" s="116">
        <v>40137</v>
      </c>
      <c r="O6" s="116">
        <v>40165</v>
      </c>
      <c r="P6" s="116">
        <v>40198</v>
      </c>
      <c r="Q6" s="119">
        <v>2009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84</v>
      </c>
      <c r="B8" s="120"/>
      <c r="C8" s="120"/>
      <c r="D8" s="125"/>
      <c r="E8" s="126">
        <v>0</v>
      </c>
      <c r="F8" s="123">
        <v>0</v>
      </c>
      <c r="G8" s="123">
        <v>0</v>
      </c>
      <c r="H8" s="123">
        <v>4629690.8899999997</v>
      </c>
      <c r="I8" s="123">
        <v>4629690.8899999997</v>
      </c>
      <c r="J8" s="123">
        <v>4629690.8899999997</v>
      </c>
      <c r="K8" s="123">
        <v>4629690.8899999997</v>
      </c>
      <c r="L8" s="123">
        <v>4629690.8899999997</v>
      </c>
      <c r="M8" s="123">
        <v>4629690.8899999997</v>
      </c>
      <c r="N8" s="123">
        <v>4629690.8899999997</v>
      </c>
      <c r="O8" s="123">
        <v>4629690.8899999997</v>
      </c>
      <c r="P8" s="123">
        <v>4629690.88</v>
      </c>
      <c r="Q8" s="123">
        <f t="shared" ref="Q8:Q13" si="0">SUM(E8:P8)</f>
        <v>41667218</v>
      </c>
    </row>
    <row r="9" spans="1:17" x14ac:dyDescent="0.2">
      <c r="A9" s="104" t="s">
        <v>85</v>
      </c>
      <c r="B9" s="120"/>
      <c r="C9" s="120"/>
      <c r="D9" s="125"/>
      <c r="E9" s="126">
        <v>0</v>
      </c>
      <c r="F9" s="123">
        <v>0</v>
      </c>
      <c r="G9" s="123">
        <v>0</v>
      </c>
      <c r="H9" s="123">
        <v>32435.11</v>
      </c>
      <c r="I9" s="123">
        <v>32435.11</v>
      </c>
      <c r="J9" s="123">
        <v>32435.11</v>
      </c>
      <c r="K9" s="123">
        <v>32435.11</v>
      </c>
      <c r="L9" s="123">
        <v>32435.11</v>
      </c>
      <c r="M9" s="123">
        <v>32435.11</v>
      </c>
      <c r="N9" s="123">
        <v>32435.11</v>
      </c>
      <c r="O9" s="123">
        <v>32435.11</v>
      </c>
      <c r="P9" s="123">
        <v>32435.120000000054</v>
      </c>
      <c r="Q9" s="123">
        <f t="shared" si="0"/>
        <v>291916</v>
      </c>
    </row>
    <row r="10" spans="1:17" x14ac:dyDescent="0.2">
      <c r="A10" s="104" t="s">
        <v>83</v>
      </c>
      <c r="B10" s="120"/>
      <c r="C10" s="120"/>
      <c r="D10" s="125" t="s">
        <v>61</v>
      </c>
      <c r="E10" s="126">
        <v>6025056.7400000002</v>
      </c>
      <c r="F10" s="123">
        <v>5187544.63</v>
      </c>
      <c r="G10" s="123">
        <v>6189182.9000000004</v>
      </c>
      <c r="H10" s="123">
        <v>3686695.1</v>
      </c>
      <c r="I10" s="123">
        <v>3388967.29</v>
      </c>
      <c r="J10" s="123">
        <v>4587824.4000000004</v>
      </c>
      <c r="K10" s="123">
        <v>6438471.1799999997</v>
      </c>
      <c r="L10" s="123">
        <v>6962927.9900000002</v>
      </c>
      <c r="M10" s="123">
        <v>6343883.8700000001</v>
      </c>
      <c r="N10" s="123">
        <v>7303249.2599999998</v>
      </c>
      <c r="O10" s="123">
        <v>6922240</v>
      </c>
      <c r="P10" s="123">
        <v>7481092.8099999996</v>
      </c>
      <c r="Q10" s="123">
        <f t="shared" si="0"/>
        <v>70517136.170000002</v>
      </c>
    </row>
    <row r="11" spans="1:17" x14ac:dyDescent="0.2">
      <c r="A11" s="104" t="s">
        <v>1</v>
      </c>
      <c r="B11" s="120"/>
      <c r="C11" s="120"/>
      <c r="D11" s="125" t="s">
        <v>62</v>
      </c>
      <c r="E11" s="126">
        <v>579332.38</v>
      </c>
      <c r="F11" s="123">
        <v>498802.37</v>
      </c>
      <c r="G11" s="123">
        <v>595113.74</v>
      </c>
      <c r="H11" s="123">
        <v>401639.7</v>
      </c>
      <c r="I11" s="123">
        <v>325862.24</v>
      </c>
      <c r="J11" s="123">
        <v>441136.96</v>
      </c>
      <c r="K11" s="123">
        <v>619083.77</v>
      </c>
      <c r="L11" s="123">
        <v>669512.31000000006</v>
      </c>
      <c r="M11" s="123">
        <v>609988.82999999996</v>
      </c>
      <c r="N11" s="123">
        <v>702235.51</v>
      </c>
      <c r="O11" s="123">
        <v>665600</v>
      </c>
      <c r="P11" s="123">
        <v>719335.85</v>
      </c>
      <c r="Q11" s="123">
        <f t="shared" si="0"/>
        <v>6827643.6599999992</v>
      </c>
    </row>
    <row r="12" spans="1:17" x14ac:dyDescent="0.2">
      <c r="A12" s="104" t="s">
        <v>2</v>
      </c>
      <c r="B12" s="120"/>
      <c r="C12" s="120"/>
      <c r="D12" s="125" t="s">
        <v>63</v>
      </c>
      <c r="E12" s="126">
        <v>347599.43</v>
      </c>
      <c r="F12" s="123">
        <v>299281.42</v>
      </c>
      <c r="G12" s="123">
        <v>357068.24</v>
      </c>
      <c r="H12" s="123">
        <v>229907.68</v>
      </c>
      <c r="I12" s="123">
        <v>195517.34</v>
      </c>
      <c r="J12" s="123">
        <v>264682.18</v>
      </c>
      <c r="K12" s="123">
        <v>371450.26</v>
      </c>
      <c r="L12" s="123">
        <v>401707.38</v>
      </c>
      <c r="M12" s="123">
        <v>365993.3</v>
      </c>
      <c r="N12" s="123">
        <v>421341.3</v>
      </c>
      <c r="O12" s="123">
        <v>399360</v>
      </c>
      <c r="P12" s="123">
        <v>431601.51</v>
      </c>
      <c r="Q12" s="123">
        <f t="shared" si="0"/>
        <v>4085510.04</v>
      </c>
    </row>
    <row r="13" spans="1:17" ht="15" thickBot="1" x14ac:dyDescent="0.25">
      <c r="A13" s="104" t="s">
        <v>3</v>
      </c>
      <c r="B13" s="120"/>
      <c r="C13" s="120"/>
      <c r="D13" s="125" t="s">
        <v>64</v>
      </c>
      <c r="E13" s="127">
        <v>4634659.03</v>
      </c>
      <c r="F13" s="128">
        <v>3990418.94</v>
      </c>
      <c r="G13" s="128">
        <v>4760909.92</v>
      </c>
      <c r="H13" s="128">
        <v>2771555.78</v>
      </c>
      <c r="I13" s="128">
        <v>2606897.92</v>
      </c>
      <c r="J13" s="128">
        <v>3529095.69</v>
      </c>
      <c r="K13" s="128">
        <v>4952670.13</v>
      </c>
      <c r="L13" s="128">
        <v>5356098.46</v>
      </c>
      <c r="M13" s="128">
        <v>4879910.67</v>
      </c>
      <c r="N13" s="128">
        <v>5617884.0500000007</v>
      </c>
      <c r="O13" s="128">
        <v>5324800</v>
      </c>
      <c r="P13" s="128">
        <v>5754686.7699999958</v>
      </c>
      <c r="Q13" s="129">
        <f t="shared" si="0"/>
        <v>54179587.359999999</v>
      </c>
    </row>
    <row r="14" spans="1:17" ht="15" x14ac:dyDescent="0.25">
      <c r="A14" s="104"/>
      <c r="B14" s="120"/>
      <c r="D14" s="130" t="s">
        <v>68</v>
      </c>
      <c r="E14" s="131">
        <f t="shared" ref="E14:Q14" si="1">SUM(E8:E13)</f>
        <v>11586647.58</v>
      </c>
      <c r="F14" s="131">
        <f t="shared" si="1"/>
        <v>9976047.3599999994</v>
      </c>
      <c r="G14" s="131">
        <f t="shared" si="1"/>
        <v>11902274.800000001</v>
      </c>
      <c r="H14" s="131">
        <f t="shared" si="1"/>
        <v>11751924.259999998</v>
      </c>
      <c r="I14" s="131">
        <f t="shared" si="1"/>
        <v>11179370.790000001</v>
      </c>
      <c r="J14" s="131">
        <f t="shared" si="1"/>
        <v>13484865.23</v>
      </c>
      <c r="K14" s="131">
        <f t="shared" si="1"/>
        <v>17043801.34</v>
      </c>
      <c r="L14" s="131">
        <f t="shared" si="1"/>
        <v>18052372.140000001</v>
      </c>
      <c r="M14" s="131">
        <f t="shared" si="1"/>
        <v>16861902.670000002</v>
      </c>
      <c r="N14" s="131">
        <f t="shared" si="1"/>
        <v>18706836.120000001</v>
      </c>
      <c r="O14" s="131">
        <f t="shared" si="1"/>
        <v>17974126</v>
      </c>
      <c r="P14" s="131">
        <f t="shared" si="1"/>
        <v>19048842.939999994</v>
      </c>
      <c r="Q14" s="131">
        <f t="shared" si="1"/>
        <v>177569011.23000002</v>
      </c>
    </row>
    <row r="15" spans="1:17" x14ac:dyDescent="0.2">
      <c r="A15" s="104"/>
      <c r="B15" s="120"/>
      <c r="C15" s="120"/>
      <c r="D15" s="12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">
      <c r="A16" s="139" t="s">
        <v>82</v>
      </c>
      <c r="B16" s="120"/>
      <c r="C16" s="120"/>
      <c r="D16" s="120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26"/>
    </row>
    <row r="17" spans="1:17" x14ac:dyDescent="0.2">
      <c r="A17" s="134"/>
      <c r="B17" s="135"/>
      <c r="C17" s="135"/>
      <c r="D17" s="135"/>
      <c r="E17" s="136"/>
      <c r="F17" s="136"/>
      <c r="G17" s="136"/>
      <c r="H17" s="136"/>
      <c r="I17" s="136"/>
      <c r="J17" s="137"/>
      <c r="K17" s="137"/>
      <c r="L17" s="137"/>
      <c r="M17" s="137"/>
      <c r="N17" s="137"/>
      <c r="O17" s="137"/>
      <c r="P17" s="137"/>
      <c r="Q17" s="138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15"/>
  <sheetViews>
    <sheetView view="pageBreakPreview" zoomScale="80" zoomScaleNormal="100" zoomScaleSheetLayoutView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Ene.2008</v>
      </c>
      <c r="F5" s="113" t="str">
        <f>"Feb."&amp;Q6</f>
        <v>Feb.2008</v>
      </c>
      <c r="G5" s="112" t="str">
        <f>"Mar."&amp;Q6</f>
        <v>Mar.2008</v>
      </c>
      <c r="H5" s="112" t="str">
        <f>"Abr."&amp;Q6</f>
        <v>Abr.2008</v>
      </c>
      <c r="I5" s="112" t="str">
        <f>"May."&amp;Q6</f>
        <v>May.2008</v>
      </c>
      <c r="J5" s="112" t="str">
        <f>"Jun."&amp;Q6</f>
        <v>Jun.2008</v>
      </c>
      <c r="K5" s="112" t="str">
        <f>"Jul."&amp;Q6</f>
        <v>Jul.2008</v>
      </c>
      <c r="L5" s="112" t="str">
        <f>"Ago."&amp;Q6</f>
        <v>Ago.2008</v>
      </c>
      <c r="M5" s="112" t="str">
        <f>"Sep."&amp;Q6</f>
        <v>Sep.2008</v>
      </c>
      <c r="N5" s="112" t="str">
        <f>"Oct."&amp;Q6</f>
        <v>Oct.2008</v>
      </c>
      <c r="O5" s="112" t="str">
        <f>"Nov."&amp;Q6</f>
        <v>Nov.2008</v>
      </c>
      <c r="P5" s="112" t="str">
        <f>"Dic."&amp;Q6</f>
        <v>Dic.2008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39499</v>
      </c>
      <c r="F6" s="117">
        <v>39532</v>
      </c>
      <c r="G6" s="116">
        <v>39559</v>
      </c>
      <c r="H6" s="116">
        <v>39590</v>
      </c>
      <c r="I6" s="118">
        <v>39619</v>
      </c>
      <c r="J6" s="116">
        <v>39650</v>
      </c>
      <c r="K6" s="116">
        <v>39681</v>
      </c>
      <c r="L6" s="116">
        <v>39710</v>
      </c>
      <c r="M6" s="116">
        <v>39743</v>
      </c>
      <c r="N6" s="116">
        <v>39771</v>
      </c>
      <c r="O6" s="116">
        <v>39804</v>
      </c>
      <c r="P6" s="116">
        <v>39835</v>
      </c>
      <c r="Q6" s="119">
        <v>2008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83</v>
      </c>
      <c r="B8" s="120"/>
      <c r="C8" s="120"/>
      <c r="D8" s="125" t="s">
        <v>61</v>
      </c>
      <c r="E8" s="126">
        <v>14488901.25</v>
      </c>
      <c r="F8" s="123">
        <v>13585510.5</v>
      </c>
      <c r="G8" s="123">
        <v>12411979.550000001</v>
      </c>
      <c r="H8" s="123">
        <v>16256340.859999999</v>
      </c>
      <c r="I8" s="123">
        <v>18839408.760000002</v>
      </c>
      <c r="J8" s="123">
        <v>19287267.949999999</v>
      </c>
      <c r="K8" s="123">
        <v>21018511.59</v>
      </c>
      <c r="L8" s="123">
        <v>18229051.289999999</v>
      </c>
      <c r="M8" s="123">
        <v>16100883.130000001</v>
      </c>
      <c r="N8" s="123">
        <v>10610375.66</v>
      </c>
      <c r="O8" s="123">
        <v>7215458.1900000004</v>
      </c>
      <c r="P8" s="123">
        <v>6078874.7400000002</v>
      </c>
      <c r="Q8" s="123">
        <f>SUM(E8:P8)</f>
        <v>174122563.47</v>
      </c>
    </row>
    <row r="9" spans="1:17" x14ac:dyDescent="0.2">
      <c r="A9" s="104" t="s">
        <v>1</v>
      </c>
      <c r="B9" s="120"/>
      <c r="C9" s="120"/>
      <c r="D9" s="125" t="s">
        <v>62</v>
      </c>
      <c r="E9" s="126">
        <v>1393163.58</v>
      </c>
      <c r="F9" s="123">
        <v>1306299.0900000001</v>
      </c>
      <c r="G9" s="123">
        <v>1193459.57</v>
      </c>
      <c r="H9" s="123">
        <v>1563109.7</v>
      </c>
      <c r="I9" s="123">
        <v>1811481.61</v>
      </c>
      <c r="J9" s="123">
        <v>1854545</v>
      </c>
      <c r="K9" s="123">
        <v>2021010.73</v>
      </c>
      <c r="L9" s="123">
        <v>1752793.39</v>
      </c>
      <c r="M9" s="123">
        <v>1548161.84</v>
      </c>
      <c r="N9" s="123">
        <v>1020228.43</v>
      </c>
      <c r="O9" s="123">
        <v>693794.06</v>
      </c>
      <c r="P9" s="123">
        <v>584507.18999999994</v>
      </c>
      <c r="Q9" s="123">
        <f>SUM(E9:P9)</f>
        <v>16742554.190000001</v>
      </c>
    </row>
    <row r="10" spans="1:17" x14ac:dyDescent="0.2">
      <c r="A10" s="104" t="s">
        <v>2</v>
      </c>
      <c r="B10" s="120"/>
      <c r="C10" s="120"/>
      <c r="D10" s="125" t="s">
        <v>63</v>
      </c>
      <c r="E10" s="126">
        <v>835898.15</v>
      </c>
      <c r="F10" s="123">
        <v>783779.45</v>
      </c>
      <c r="G10" s="123">
        <v>716075.74</v>
      </c>
      <c r="H10" s="123">
        <v>937865.82</v>
      </c>
      <c r="I10" s="123">
        <v>1086888.97</v>
      </c>
      <c r="J10" s="123">
        <v>1112727</v>
      </c>
      <c r="K10" s="123">
        <v>1212606.44</v>
      </c>
      <c r="L10" s="123">
        <v>1051676.04</v>
      </c>
      <c r="M10" s="123">
        <v>928897.1</v>
      </c>
      <c r="N10" s="123">
        <v>612137.06000000006</v>
      </c>
      <c r="O10" s="123">
        <v>416276.43</v>
      </c>
      <c r="P10" s="123">
        <v>350704.31</v>
      </c>
      <c r="Q10" s="123">
        <f>SUM(E10:P10)</f>
        <v>10045532.510000002</v>
      </c>
    </row>
    <row r="11" spans="1:17" ht="15" thickBot="1" x14ac:dyDescent="0.25">
      <c r="A11" s="104" t="s">
        <v>3</v>
      </c>
      <c r="B11" s="120"/>
      <c r="C11" s="120"/>
      <c r="D11" s="125" t="s">
        <v>64</v>
      </c>
      <c r="E11" s="127">
        <v>11145308.640000001</v>
      </c>
      <c r="F11" s="128">
        <v>10450392.710000001</v>
      </c>
      <c r="G11" s="128">
        <v>9547676.5699999984</v>
      </c>
      <c r="H11" s="128">
        <v>12504877.570000002</v>
      </c>
      <c r="I11" s="128">
        <v>14491852.9</v>
      </c>
      <c r="J11" s="128">
        <v>14836359.950000001</v>
      </c>
      <c r="K11" s="128">
        <v>16168085.84</v>
      </c>
      <c r="L11" s="128">
        <v>14022347.140000001</v>
      </c>
      <c r="M11" s="128">
        <v>12385294.699999999</v>
      </c>
      <c r="N11" s="128">
        <v>8161827.4299999997</v>
      </c>
      <c r="O11" s="128">
        <v>5550352.46</v>
      </c>
      <c r="P11" s="128">
        <v>4676057.49</v>
      </c>
      <c r="Q11" s="129">
        <f>SUM(E11:P11)</f>
        <v>133940433.40000001</v>
      </c>
    </row>
    <row r="12" spans="1:17" ht="15" x14ac:dyDescent="0.25">
      <c r="A12" s="104"/>
      <c r="B12" s="120"/>
      <c r="D12" s="130" t="s">
        <v>68</v>
      </c>
      <c r="E12" s="131">
        <f t="shared" ref="E12:Q12" si="0">SUM(E8:E11)</f>
        <v>27863271.620000001</v>
      </c>
      <c r="F12" s="131">
        <f t="shared" si="0"/>
        <v>26125981.75</v>
      </c>
      <c r="G12" s="131">
        <f t="shared" si="0"/>
        <v>23869191.43</v>
      </c>
      <c r="H12" s="131">
        <f t="shared" si="0"/>
        <v>31262193.950000003</v>
      </c>
      <c r="I12" s="131">
        <f t="shared" si="0"/>
        <v>36229632.240000002</v>
      </c>
      <c r="J12" s="131">
        <f t="shared" si="0"/>
        <v>37090899.899999999</v>
      </c>
      <c r="K12" s="131">
        <f t="shared" si="0"/>
        <v>40420214.600000001</v>
      </c>
      <c r="L12" s="131">
        <f t="shared" si="0"/>
        <v>35055867.859999999</v>
      </c>
      <c r="M12" s="131">
        <f t="shared" si="0"/>
        <v>30963236.770000003</v>
      </c>
      <c r="N12" s="131">
        <f t="shared" si="0"/>
        <v>20404568.579999998</v>
      </c>
      <c r="O12" s="131">
        <f t="shared" si="0"/>
        <v>13875881.140000001</v>
      </c>
      <c r="P12" s="131">
        <f t="shared" si="0"/>
        <v>11690143.73</v>
      </c>
      <c r="Q12" s="131">
        <f t="shared" si="0"/>
        <v>334851083.56999999</v>
      </c>
    </row>
    <row r="13" spans="1:17" x14ac:dyDescent="0.2">
      <c r="A13" s="104"/>
      <c r="B13" s="120"/>
      <c r="C13" s="120"/>
      <c r="D13" s="12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</row>
    <row r="14" spans="1:17" x14ac:dyDescent="0.2">
      <c r="A14" s="139" t="s">
        <v>82</v>
      </c>
      <c r="B14" s="120"/>
      <c r="C14" s="120"/>
      <c r="D14" s="120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26"/>
    </row>
    <row r="15" spans="1:17" x14ac:dyDescent="0.2">
      <c r="A15" s="134"/>
      <c r="B15" s="135"/>
      <c r="C15" s="135"/>
      <c r="D15" s="135"/>
      <c r="E15" s="136"/>
      <c r="F15" s="136"/>
      <c r="G15" s="136"/>
      <c r="H15" s="136"/>
      <c r="I15" s="136"/>
      <c r="J15" s="137"/>
      <c r="K15" s="137"/>
      <c r="L15" s="137"/>
      <c r="M15" s="137"/>
      <c r="N15" s="137"/>
      <c r="O15" s="137"/>
      <c r="P15" s="137"/>
      <c r="Q15" s="138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5"/>
  <sheetViews>
    <sheetView view="pageBreakPreview" zoomScale="80" zoomScaleNormal="100" zoomScaleSheetLayoutView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8" width="12.5703125" style="106"/>
    <col min="19" max="19" width="13.42578125" style="106" customWidth="1"/>
    <col min="20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Ene.2007</v>
      </c>
      <c r="F5" s="113" t="str">
        <f>"Feb."&amp;Q6</f>
        <v>Feb.2007</v>
      </c>
      <c r="G5" s="112" t="str">
        <f>"Mar."&amp;Q6</f>
        <v>Mar.2007</v>
      </c>
      <c r="H5" s="112" t="str">
        <f>"Abr."&amp;Q6</f>
        <v>Abr.2007</v>
      </c>
      <c r="I5" s="112" t="str">
        <f>"May."&amp;Q6</f>
        <v>May.2007</v>
      </c>
      <c r="J5" s="112" t="str">
        <f>"Jun."&amp;Q6</f>
        <v>Jun.2007</v>
      </c>
      <c r="K5" s="112" t="str">
        <f>"Jul."&amp;Q6</f>
        <v>Jul.2007</v>
      </c>
      <c r="L5" s="112" t="str">
        <f>"Ago."&amp;Q6</f>
        <v>Ago.2007</v>
      </c>
      <c r="M5" s="112" t="str">
        <f>"Sep."&amp;Q6</f>
        <v>Sep.2007</v>
      </c>
      <c r="N5" s="112" t="str">
        <f>"Oct."&amp;Q6</f>
        <v>Oct.2007</v>
      </c>
      <c r="O5" s="112" t="str">
        <f>"Nov."&amp;Q6</f>
        <v>Nov.2007</v>
      </c>
      <c r="P5" s="112" t="str">
        <f>"Dic."&amp;Q6</f>
        <v>Dic.2007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39134</v>
      </c>
      <c r="F6" s="117">
        <v>39162</v>
      </c>
      <c r="G6" s="116">
        <v>39196</v>
      </c>
      <c r="H6" s="116">
        <v>39224</v>
      </c>
      <c r="I6" s="118">
        <v>39254</v>
      </c>
      <c r="J6" s="116">
        <v>39283</v>
      </c>
      <c r="K6" s="116">
        <v>39315</v>
      </c>
      <c r="L6" s="116">
        <v>39346</v>
      </c>
      <c r="M6" s="116">
        <v>39377</v>
      </c>
      <c r="N6" s="116">
        <v>39408</v>
      </c>
      <c r="O6" s="116">
        <v>39437</v>
      </c>
      <c r="P6" s="116">
        <v>39469</v>
      </c>
      <c r="Q6" s="119">
        <v>2007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83</v>
      </c>
      <c r="B8" s="120"/>
      <c r="C8" s="120"/>
      <c r="D8" s="125" t="s">
        <v>61</v>
      </c>
      <c r="E8" s="126">
        <v>10019790.109999999</v>
      </c>
      <c r="F8" s="123">
        <v>9961534.1600000001</v>
      </c>
      <c r="G8" s="123">
        <v>11479065.41</v>
      </c>
      <c r="H8" s="123">
        <v>12612511.92</v>
      </c>
      <c r="I8" s="123">
        <v>12831067.02</v>
      </c>
      <c r="J8" s="123">
        <v>12852033.300000001</v>
      </c>
      <c r="K8" s="123">
        <v>14327074.779999999</v>
      </c>
      <c r="L8" s="123">
        <v>13602774.9</v>
      </c>
      <c r="M8" s="123">
        <v>12498135.630000001</v>
      </c>
      <c r="N8" s="123">
        <v>13794225.539999999</v>
      </c>
      <c r="O8" s="123">
        <v>14568269.73</v>
      </c>
      <c r="P8" s="123">
        <v>14872800.91</v>
      </c>
      <c r="Q8" s="123">
        <f>SUM(E8:P8)</f>
        <v>153419283.41</v>
      </c>
    </row>
    <row r="9" spans="1:17" x14ac:dyDescent="0.2">
      <c r="A9" s="104" t="s">
        <v>1</v>
      </c>
      <c r="B9" s="120"/>
      <c r="C9" s="120"/>
      <c r="D9" s="125" t="s">
        <v>62</v>
      </c>
      <c r="E9" s="126">
        <v>963441.36</v>
      </c>
      <c r="F9" s="123">
        <v>957839.82</v>
      </c>
      <c r="G9" s="123">
        <v>1103756.29</v>
      </c>
      <c r="H9" s="123">
        <v>1212741.53</v>
      </c>
      <c r="I9" s="123">
        <v>1233756.44</v>
      </c>
      <c r="J9" s="123">
        <v>1235772.43</v>
      </c>
      <c r="K9" s="123">
        <v>1377603.34</v>
      </c>
      <c r="L9" s="123">
        <v>1307959.1299999999</v>
      </c>
      <c r="M9" s="123">
        <v>1201743.81</v>
      </c>
      <c r="N9" s="123">
        <v>1326367.8400000001</v>
      </c>
      <c r="O9" s="123">
        <v>1400795.17</v>
      </c>
      <c r="P9" s="123">
        <v>1430077.01</v>
      </c>
      <c r="Q9" s="123">
        <f>SUM(E9:P9)</f>
        <v>14751854.17</v>
      </c>
    </row>
    <row r="10" spans="1:17" x14ac:dyDescent="0.2">
      <c r="A10" s="104" t="s">
        <v>2</v>
      </c>
      <c r="B10" s="120"/>
      <c r="C10" s="120"/>
      <c r="D10" s="125" t="s">
        <v>63</v>
      </c>
      <c r="E10" s="126">
        <v>578064.81000000006</v>
      </c>
      <c r="F10" s="123">
        <v>574703.89</v>
      </c>
      <c r="G10" s="123">
        <v>662253.77</v>
      </c>
      <c r="H10" s="123">
        <v>727644.92</v>
      </c>
      <c r="I10" s="123">
        <v>740253.87</v>
      </c>
      <c r="J10" s="123">
        <v>741463.46</v>
      </c>
      <c r="K10" s="123">
        <v>826562.01</v>
      </c>
      <c r="L10" s="123">
        <v>784775.48</v>
      </c>
      <c r="M10" s="123">
        <v>721046.29</v>
      </c>
      <c r="N10" s="123">
        <v>795820.7</v>
      </c>
      <c r="O10" s="123">
        <v>840477.1</v>
      </c>
      <c r="P10" s="123">
        <v>858046.21</v>
      </c>
      <c r="Q10" s="123">
        <f>SUM(E10:P10)</f>
        <v>8851112.5100000016</v>
      </c>
    </row>
    <row r="11" spans="1:17" ht="15" thickBot="1" x14ac:dyDescent="0.25">
      <c r="A11" s="104" t="s">
        <v>3</v>
      </c>
      <c r="B11" s="120"/>
      <c r="C11" s="120"/>
      <c r="D11" s="125" t="s">
        <v>64</v>
      </c>
      <c r="E11" s="127">
        <v>7707530.8499999996</v>
      </c>
      <c r="F11" s="128">
        <v>7662718.5700000003</v>
      </c>
      <c r="G11" s="128">
        <v>8830050.3099999987</v>
      </c>
      <c r="H11" s="128">
        <v>9701932.2599999998</v>
      </c>
      <c r="I11" s="128">
        <v>9870051.5599999987</v>
      </c>
      <c r="J11" s="128">
        <v>9886179.459999999</v>
      </c>
      <c r="K11" s="128">
        <v>11020826.74</v>
      </c>
      <c r="L11" s="128">
        <v>10463673.000000002</v>
      </c>
      <c r="M11" s="128">
        <v>9613950.5</v>
      </c>
      <c r="N11" s="128">
        <v>10610942.73</v>
      </c>
      <c r="O11" s="128">
        <v>11206361.330000002</v>
      </c>
      <c r="P11" s="128">
        <v>11440616.070000002</v>
      </c>
      <c r="Q11" s="129">
        <f>SUM(E11:P11)</f>
        <v>118014833.38000001</v>
      </c>
    </row>
    <row r="12" spans="1:17" ht="15" x14ac:dyDescent="0.25">
      <c r="A12" s="104"/>
      <c r="B12" s="120"/>
      <c r="D12" s="130" t="s">
        <v>68</v>
      </c>
      <c r="E12" s="131">
        <f t="shared" ref="E12:Q12" si="0">SUM(E8:E11)</f>
        <v>19268827.129999999</v>
      </c>
      <c r="F12" s="131">
        <f t="shared" si="0"/>
        <v>19156796.440000001</v>
      </c>
      <c r="G12" s="131">
        <f t="shared" si="0"/>
        <v>22075125.779999997</v>
      </c>
      <c r="H12" s="131">
        <f t="shared" si="0"/>
        <v>24254830.629999999</v>
      </c>
      <c r="I12" s="131">
        <f t="shared" si="0"/>
        <v>24675128.889999997</v>
      </c>
      <c r="J12" s="131">
        <f t="shared" si="0"/>
        <v>24715448.649999999</v>
      </c>
      <c r="K12" s="131">
        <f t="shared" si="0"/>
        <v>27552066.869999997</v>
      </c>
      <c r="L12" s="131">
        <f t="shared" si="0"/>
        <v>26159182.510000005</v>
      </c>
      <c r="M12" s="131">
        <f t="shared" si="0"/>
        <v>24034876.23</v>
      </c>
      <c r="N12" s="131">
        <f t="shared" si="0"/>
        <v>26527356.809999999</v>
      </c>
      <c r="O12" s="131">
        <f t="shared" si="0"/>
        <v>28015903.330000002</v>
      </c>
      <c r="P12" s="131">
        <f t="shared" si="0"/>
        <v>28601540.200000003</v>
      </c>
      <c r="Q12" s="131">
        <f t="shared" si="0"/>
        <v>295037083.46999997</v>
      </c>
    </row>
    <row r="13" spans="1:17" x14ac:dyDescent="0.2">
      <c r="A13" s="104"/>
      <c r="B13" s="120"/>
      <c r="C13" s="120"/>
      <c r="D13" s="12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</row>
    <row r="14" spans="1:17" x14ac:dyDescent="0.2">
      <c r="A14" s="139" t="s">
        <v>82</v>
      </c>
      <c r="B14" s="120"/>
      <c r="C14" s="120"/>
      <c r="D14" s="120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26"/>
    </row>
    <row r="15" spans="1:17" x14ac:dyDescent="0.2">
      <c r="A15" s="134"/>
      <c r="B15" s="135"/>
      <c r="C15" s="135"/>
      <c r="D15" s="135"/>
      <c r="E15" s="136"/>
      <c r="F15" s="136"/>
      <c r="G15" s="136"/>
      <c r="H15" s="136"/>
      <c r="I15" s="136"/>
      <c r="J15" s="137"/>
      <c r="K15" s="137"/>
      <c r="L15" s="137"/>
      <c r="M15" s="137"/>
      <c r="N15" s="137"/>
      <c r="O15" s="137"/>
      <c r="P15" s="137"/>
      <c r="Q15" s="138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15"/>
  <sheetViews>
    <sheetView view="pageBreakPreview" zoomScale="80" zoomScaleNormal="100" zoomScaleSheetLayoutView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8" width="12.5703125" style="106"/>
    <col min="19" max="19" width="13.42578125" style="106" customWidth="1"/>
    <col min="20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Ene.2006</v>
      </c>
      <c r="F5" s="113" t="str">
        <f>"Feb."&amp;Q6</f>
        <v>Feb.2006</v>
      </c>
      <c r="G5" s="112" t="str">
        <f>"Mar."&amp;Q6</f>
        <v>Mar.2006</v>
      </c>
      <c r="H5" s="112" t="str">
        <f>"Abr."&amp;Q6</f>
        <v>Abr.2006</v>
      </c>
      <c r="I5" s="112" t="str">
        <f>"May."&amp;Q6</f>
        <v>May.2006</v>
      </c>
      <c r="J5" s="112" t="str">
        <f>"Jun."&amp;Q6</f>
        <v>Jun.2006</v>
      </c>
      <c r="K5" s="112" t="str">
        <f>"Jul."&amp;Q6</f>
        <v>Jul.2006</v>
      </c>
      <c r="L5" s="112" t="str">
        <f>"Ago."&amp;Q6</f>
        <v>Ago.2006</v>
      </c>
      <c r="M5" s="112" t="str">
        <f>"Sep."&amp;Q6</f>
        <v>Sep.2006</v>
      </c>
      <c r="N5" s="112" t="str">
        <f>"Oct."&amp;Q6</f>
        <v>Oct.2006</v>
      </c>
      <c r="O5" s="112" t="str">
        <f>"Nov."&amp;Q6</f>
        <v>Nov.2006</v>
      </c>
      <c r="P5" s="112" t="str">
        <f>"Dic."&amp;Q6</f>
        <v>Dic.2006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38769</v>
      </c>
      <c r="F6" s="117">
        <v>38797</v>
      </c>
      <c r="G6" s="116">
        <v>38832</v>
      </c>
      <c r="H6" s="116">
        <v>38859</v>
      </c>
      <c r="I6" s="118">
        <v>38889</v>
      </c>
      <c r="J6" s="116">
        <v>38919</v>
      </c>
      <c r="K6" s="116">
        <v>38950</v>
      </c>
      <c r="L6" s="116">
        <v>38980</v>
      </c>
      <c r="M6" s="116">
        <v>39011</v>
      </c>
      <c r="N6" s="116">
        <v>39043</v>
      </c>
      <c r="O6" s="116">
        <v>39073</v>
      </c>
      <c r="P6" s="116">
        <v>38739</v>
      </c>
      <c r="Q6" s="119">
        <v>2006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83</v>
      </c>
      <c r="B8" s="120"/>
      <c r="C8" s="120"/>
      <c r="D8" s="125" t="s">
        <v>61</v>
      </c>
      <c r="E8" s="126">
        <v>12129507.49</v>
      </c>
      <c r="F8" s="123">
        <v>10847597.810000001</v>
      </c>
      <c r="G8" s="123">
        <v>12935643.119999999</v>
      </c>
      <c r="H8" s="123">
        <v>13661187.890000001</v>
      </c>
      <c r="I8" s="123">
        <v>14250893.050000001</v>
      </c>
      <c r="J8" s="123">
        <v>13487394.939999999</v>
      </c>
      <c r="K8" s="123">
        <v>14721062.369999999</v>
      </c>
      <c r="L8" s="123">
        <v>14420932.189999999</v>
      </c>
      <c r="M8" s="123">
        <v>10687064.060000001</v>
      </c>
      <c r="N8" s="123">
        <v>8019466.6100000003</v>
      </c>
      <c r="O8" s="123">
        <v>10872759.039999999</v>
      </c>
      <c r="P8" s="123">
        <v>12061154.59</v>
      </c>
      <c r="Q8" s="123">
        <f>SUM(E8:P8)</f>
        <v>148094663.16</v>
      </c>
    </row>
    <row r="9" spans="1:17" x14ac:dyDescent="0.2">
      <c r="A9" s="104" t="s">
        <v>1</v>
      </c>
      <c r="B9" s="120"/>
      <c r="C9" s="120"/>
      <c r="D9" s="125" t="s">
        <v>62</v>
      </c>
      <c r="E9" s="126">
        <v>1166298.8</v>
      </c>
      <c r="F9" s="123">
        <v>1043038.25</v>
      </c>
      <c r="G9" s="123">
        <v>1243811.8400000001</v>
      </c>
      <c r="H9" s="123">
        <v>1313575.76</v>
      </c>
      <c r="I9" s="123">
        <v>1370278.18</v>
      </c>
      <c r="J9" s="123">
        <v>1296864.8999999999</v>
      </c>
      <c r="K9" s="123">
        <v>1415486.77</v>
      </c>
      <c r="L9" s="123">
        <v>1386628.1</v>
      </c>
      <c r="M9" s="123">
        <v>1027602.31</v>
      </c>
      <c r="N9" s="123">
        <v>771102.56</v>
      </c>
      <c r="O9" s="123">
        <v>1045457.6</v>
      </c>
      <c r="P9" s="123">
        <v>1159726.3999999999</v>
      </c>
      <c r="Q9" s="123">
        <f>SUM(E9:P9)</f>
        <v>14239871.469999999</v>
      </c>
    </row>
    <row r="10" spans="1:17" x14ac:dyDescent="0.2">
      <c r="A10" s="104" t="s">
        <v>2</v>
      </c>
      <c r="B10" s="120"/>
      <c r="C10" s="120"/>
      <c r="D10" s="125" t="s">
        <v>63</v>
      </c>
      <c r="E10" s="126">
        <v>699779.28</v>
      </c>
      <c r="F10" s="123">
        <v>625822.94999999995</v>
      </c>
      <c r="G10" s="123">
        <v>746287.1</v>
      </c>
      <c r="H10" s="123">
        <v>788145.46</v>
      </c>
      <c r="I10" s="123">
        <v>822166.91</v>
      </c>
      <c r="J10" s="123">
        <v>778118.94</v>
      </c>
      <c r="K10" s="123">
        <v>849292.06</v>
      </c>
      <c r="L10" s="123">
        <v>831976.86</v>
      </c>
      <c r="M10" s="123">
        <v>616561.39</v>
      </c>
      <c r="N10" s="123">
        <v>462661.54</v>
      </c>
      <c r="O10" s="123">
        <v>627274.56000000006</v>
      </c>
      <c r="P10" s="123">
        <v>695835.84</v>
      </c>
      <c r="Q10" s="123">
        <f>SUM(E10:P10)</f>
        <v>8543922.8900000006</v>
      </c>
    </row>
    <row r="11" spans="1:17" ht="15" thickBot="1" x14ac:dyDescent="0.25">
      <c r="A11" s="104" t="s">
        <v>3</v>
      </c>
      <c r="B11" s="120"/>
      <c r="C11" s="120"/>
      <c r="D11" s="125" t="s">
        <v>64</v>
      </c>
      <c r="E11" s="127">
        <v>9330390.370000001</v>
      </c>
      <c r="F11" s="128">
        <v>8344306.0099999998</v>
      </c>
      <c r="G11" s="128">
        <v>9950494.700000003</v>
      </c>
      <c r="H11" s="128">
        <v>10508606.07</v>
      </c>
      <c r="I11" s="128">
        <v>10962225.439999998</v>
      </c>
      <c r="J11" s="128">
        <v>10374919.189999999</v>
      </c>
      <c r="K11" s="128">
        <v>11323894.129999999</v>
      </c>
      <c r="L11" s="128">
        <v>11093024.750000002</v>
      </c>
      <c r="M11" s="128">
        <v>8220818.5099999979</v>
      </c>
      <c r="N11" s="128">
        <v>6168820.4700000007</v>
      </c>
      <c r="O11" s="128">
        <v>8363660.8000000007</v>
      </c>
      <c r="P11" s="128">
        <v>9277811.2100000009</v>
      </c>
      <c r="Q11" s="129">
        <f>SUM(E11:P11)</f>
        <v>113918971.64999998</v>
      </c>
    </row>
    <row r="12" spans="1:17" ht="15" x14ac:dyDescent="0.25">
      <c r="A12" s="104"/>
      <c r="B12" s="120"/>
      <c r="D12" s="130" t="s">
        <v>68</v>
      </c>
      <c r="E12" s="131">
        <f t="shared" ref="E12:Q12" si="0">SUM(E8:E11)</f>
        <v>23325975.940000001</v>
      </c>
      <c r="F12" s="131">
        <f t="shared" si="0"/>
        <v>20860765.02</v>
      </c>
      <c r="G12" s="131">
        <f t="shared" si="0"/>
        <v>24876236.760000002</v>
      </c>
      <c r="H12" s="131">
        <f t="shared" si="0"/>
        <v>26271515.18</v>
      </c>
      <c r="I12" s="131">
        <f t="shared" si="0"/>
        <v>27405563.579999998</v>
      </c>
      <c r="J12" s="131">
        <f t="shared" si="0"/>
        <v>25937297.969999999</v>
      </c>
      <c r="K12" s="131">
        <f t="shared" si="0"/>
        <v>28309735.329999998</v>
      </c>
      <c r="L12" s="131">
        <f t="shared" si="0"/>
        <v>27732561.899999999</v>
      </c>
      <c r="M12" s="131">
        <f t="shared" si="0"/>
        <v>20552046.27</v>
      </c>
      <c r="N12" s="131">
        <f t="shared" si="0"/>
        <v>15422051.18</v>
      </c>
      <c r="O12" s="131">
        <f t="shared" si="0"/>
        <v>20909152</v>
      </c>
      <c r="P12" s="131">
        <f t="shared" si="0"/>
        <v>23194528.039999999</v>
      </c>
      <c r="Q12" s="131">
        <f t="shared" si="0"/>
        <v>284797429.16999996</v>
      </c>
    </row>
    <row r="13" spans="1:17" x14ac:dyDescent="0.2">
      <c r="A13" s="104"/>
      <c r="B13" s="120"/>
      <c r="C13" s="120"/>
      <c r="D13" s="12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</row>
    <row r="14" spans="1:17" x14ac:dyDescent="0.2">
      <c r="A14" s="139" t="s">
        <v>82</v>
      </c>
      <c r="B14" s="120"/>
      <c r="C14" s="120"/>
      <c r="D14" s="120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26"/>
    </row>
    <row r="15" spans="1:17" x14ac:dyDescent="0.2">
      <c r="A15" s="134"/>
      <c r="B15" s="135"/>
      <c r="C15" s="135"/>
      <c r="D15" s="135"/>
      <c r="E15" s="136"/>
      <c r="F15" s="136"/>
      <c r="G15" s="136"/>
      <c r="H15" s="136"/>
      <c r="I15" s="136"/>
      <c r="J15" s="137"/>
      <c r="K15" s="137"/>
      <c r="L15" s="137"/>
      <c r="M15" s="137"/>
      <c r="N15" s="137"/>
      <c r="O15" s="137"/>
      <c r="P15" s="137"/>
      <c r="Q15" s="138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15"/>
  <sheetViews>
    <sheetView view="pageBreakPreview" zoomScale="80" zoomScaleNormal="100" zoomScaleSheetLayoutView="80" workbookViewId="0"/>
  </sheetViews>
  <sheetFormatPr baseColWidth="10" defaultColWidth="12.5703125" defaultRowHeight="14.25" x14ac:dyDescent="0.2"/>
  <cols>
    <col min="1" max="1" width="18.85546875" style="106" customWidth="1"/>
    <col min="2" max="2" width="5.5703125" style="106" customWidth="1"/>
    <col min="3" max="4" width="9.42578125" style="106" customWidth="1"/>
    <col min="5" max="12" width="19" style="106" customWidth="1"/>
    <col min="13" max="16" width="17.5703125" style="106" customWidth="1"/>
    <col min="17" max="17" width="21.5703125" style="106" customWidth="1"/>
    <col min="18" max="18" width="12.5703125" style="106"/>
    <col min="19" max="19" width="13.42578125" style="106" customWidth="1"/>
    <col min="20" max="16384" width="12.5703125" style="106"/>
  </cols>
  <sheetData>
    <row r="1" spans="1:17" ht="15" x14ac:dyDescent="0.25">
      <c r="A1" s="105" t="s">
        <v>74</v>
      </c>
    </row>
    <row r="2" spans="1:17" ht="15" x14ac:dyDescent="0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15" x14ac:dyDescent="0.25">
      <c r="A3" s="107" t="s">
        <v>59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ht="15" x14ac:dyDescent="0.25">
      <c r="A4" s="108" t="s">
        <v>60</v>
      </c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x14ac:dyDescent="0.2">
      <c r="A5" s="110" t="s">
        <v>72</v>
      </c>
      <c r="B5" s="111"/>
      <c r="C5" s="111"/>
      <c r="D5" s="111"/>
      <c r="E5" s="112" t="str">
        <f>"Ene."&amp;Q6</f>
        <v>Ene.2005</v>
      </c>
      <c r="F5" s="113" t="str">
        <f>"Feb."&amp;Q6</f>
        <v>Feb.2005</v>
      </c>
      <c r="G5" s="112" t="str">
        <f>"Mar."&amp;Q6</f>
        <v>Mar.2005</v>
      </c>
      <c r="H5" s="112" t="str">
        <f>"Abr."&amp;Q6</f>
        <v>Abr.2005</v>
      </c>
      <c r="I5" s="112" t="str">
        <f>"May."&amp;Q6</f>
        <v>May.2005</v>
      </c>
      <c r="J5" s="112" t="str">
        <f>"Jun."&amp;Q6</f>
        <v>Jun.2005</v>
      </c>
      <c r="K5" s="112" t="str">
        <f>"Jul."&amp;Q6</f>
        <v>Jul.2005</v>
      </c>
      <c r="L5" s="112" t="str">
        <f>"Ago."&amp;Q6</f>
        <v>Ago.2005</v>
      </c>
      <c r="M5" s="112" t="str">
        <f>"Sep."&amp;Q6</f>
        <v>Sep.2005</v>
      </c>
      <c r="N5" s="112" t="str">
        <f>"Oct."&amp;Q6</f>
        <v>Oct.2005</v>
      </c>
      <c r="O5" s="112" t="str">
        <f>"Nov."&amp;Q6</f>
        <v>Nov.2005</v>
      </c>
      <c r="P5" s="112" t="str">
        <f>"Dic."&amp;Q6</f>
        <v>Dic.2005</v>
      </c>
      <c r="Q5" s="112" t="s">
        <v>57</v>
      </c>
    </row>
    <row r="6" spans="1:17" x14ac:dyDescent="0.2">
      <c r="A6" s="114" t="s">
        <v>76</v>
      </c>
      <c r="B6" s="115"/>
      <c r="C6" s="115"/>
      <c r="D6" s="115"/>
      <c r="E6" s="116">
        <v>38404</v>
      </c>
      <c r="F6" s="117">
        <v>38432</v>
      </c>
      <c r="G6" s="116">
        <v>38463</v>
      </c>
      <c r="H6" s="116">
        <v>38492</v>
      </c>
      <c r="I6" s="118">
        <v>38524</v>
      </c>
      <c r="J6" s="116">
        <v>38554</v>
      </c>
      <c r="K6" s="116">
        <v>38583</v>
      </c>
      <c r="L6" s="116">
        <v>38616</v>
      </c>
      <c r="M6" s="116">
        <v>38646</v>
      </c>
      <c r="N6" s="116">
        <v>38678</v>
      </c>
      <c r="O6" s="116">
        <v>38708</v>
      </c>
      <c r="P6" s="116">
        <v>38737</v>
      </c>
      <c r="Q6" s="119">
        <v>2005</v>
      </c>
    </row>
    <row r="7" spans="1:17" x14ac:dyDescent="0.2">
      <c r="A7" s="104"/>
      <c r="B7" s="120"/>
      <c r="C7" s="120"/>
      <c r="D7" s="121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4"/>
    </row>
    <row r="8" spans="1:17" x14ac:dyDescent="0.2">
      <c r="A8" s="104" t="s">
        <v>83</v>
      </c>
      <c r="B8" s="120"/>
      <c r="C8" s="120"/>
      <c r="D8" s="125" t="s">
        <v>61</v>
      </c>
      <c r="E8" s="126">
        <v>8207193.75</v>
      </c>
      <c r="F8" s="123">
        <v>7683364.1500000004</v>
      </c>
      <c r="G8" s="123">
        <v>9826371.7200000007</v>
      </c>
      <c r="H8" s="123">
        <v>10425662.210000001</v>
      </c>
      <c r="I8" s="123">
        <v>9913867.9499999993</v>
      </c>
      <c r="J8" s="123">
        <v>10388355.529999999</v>
      </c>
      <c r="K8" s="123">
        <v>10925363.26</v>
      </c>
      <c r="L8" s="123">
        <v>12559923.560000001</v>
      </c>
      <c r="M8" s="123">
        <v>13658507.35</v>
      </c>
      <c r="N8" s="123">
        <v>12810309.449999999</v>
      </c>
      <c r="O8" s="123">
        <v>10776859.77</v>
      </c>
      <c r="P8" s="123">
        <v>11287323.119999999</v>
      </c>
      <c r="Q8" s="123">
        <f>SUM(E8:P8)</f>
        <v>128463101.82000001</v>
      </c>
    </row>
    <row r="9" spans="1:17" x14ac:dyDescent="0.2">
      <c r="A9" s="104" t="s">
        <v>1</v>
      </c>
      <c r="B9" s="120"/>
      <c r="C9" s="120"/>
      <c r="D9" s="125" t="s">
        <v>62</v>
      </c>
      <c r="E9" s="126">
        <v>789153.25</v>
      </c>
      <c r="F9" s="123">
        <v>738785.01</v>
      </c>
      <c r="G9" s="123">
        <v>944843.44</v>
      </c>
      <c r="H9" s="123">
        <v>1002467.52</v>
      </c>
      <c r="I9" s="123">
        <v>953256.53</v>
      </c>
      <c r="J9" s="123">
        <v>998880.34</v>
      </c>
      <c r="K9" s="123">
        <v>1050515.7</v>
      </c>
      <c r="L9" s="123">
        <v>1207684.96</v>
      </c>
      <c r="M9" s="123">
        <v>1313318.01</v>
      </c>
      <c r="N9" s="123">
        <v>1231760.52</v>
      </c>
      <c r="O9" s="123">
        <v>1036236.52</v>
      </c>
      <c r="P9" s="123">
        <v>1085319.53</v>
      </c>
      <c r="Q9" s="123">
        <f>SUM(E9:P9)</f>
        <v>12352221.329999998</v>
      </c>
    </row>
    <row r="10" spans="1:17" x14ac:dyDescent="0.2">
      <c r="A10" s="104" t="s">
        <v>2</v>
      </c>
      <c r="B10" s="120"/>
      <c r="C10" s="120"/>
      <c r="D10" s="125" t="s">
        <v>63</v>
      </c>
      <c r="E10" s="126">
        <v>473491.95</v>
      </c>
      <c r="F10" s="123">
        <v>443271.01</v>
      </c>
      <c r="G10" s="123">
        <v>566906.06000000006</v>
      </c>
      <c r="H10" s="123">
        <v>601480.51</v>
      </c>
      <c r="I10" s="123">
        <v>571953.92000000004</v>
      </c>
      <c r="J10" s="123">
        <v>599328.19999999995</v>
      </c>
      <c r="K10" s="123">
        <v>630309.42000000004</v>
      </c>
      <c r="L10" s="123">
        <v>724610.97</v>
      </c>
      <c r="M10" s="123">
        <v>787990.81</v>
      </c>
      <c r="N10" s="123">
        <v>739056.31</v>
      </c>
      <c r="O10" s="123">
        <v>621741.91</v>
      </c>
      <c r="P10" s="123">
        <v>651191.72</v>
      </c>
      <c r="Q10" s="123">
        <f>SUM(E10:P10)</f>
        <v>7411332.79</v>
      </c>
    </row>
    <row r="11" spans="1:17" ht="15" thickBot="1" x14ac:dyDescent="0.25">
      <c r="A11" s="104" t="s">
        <v>3</v>
      </c>
      <c r="B11" s="120"/>
      <c r="C11" s="120"/>
      <c r="D11" s="125" t="s">
        <v>64</v>
      </c>
      <c r="E11" s="127">
        <v>6313225.96</v>
      </c>
      <c r="F11" s="128">
        <v>5910280.1099999994</v>
      </c>
      <c r="G11" s="128">
        <v>7558747.4700000007</v>
      </c>
      <c r="H11" s="128">
        <v>8019740.1599999983</v>
      </c>
      <c r="I11" s="128">
        <v>7626052.2800000012</v>
      </c>
      <c r="J11" s="128">
        <v>7991042.7100000028</v>
      </c>
      <c r="K11" s="128">
        <v>8404125.5800000019</v>
      </c>
      <c r="L11" s="128">
        <v>9661479.6599999983</v>
      </c>
      <c r="M11" s="128">
        <v>10506544.110000001</v>
      </c>
      <c r="N11" s="128">
        <v>9854084.1900000013</v>
      </c>
      <c r="O11" s="128">
        <v>8289892.1300000027</v>
      </c>
      <c r="P11" s="128">
        <v>8682556.2499999981</v>
      </c>
      <c r="Q11" s="129">
        <f>SUM(E11:P11)</f>
        <v>98817770.609999985</v>
      </c>
    </row>
    <row r="12" spans="1:17" ht="15" x14ac:dyDescent="0.25">
      <c r="A12" s="104"/>
      <c r="B12" s="120"/>
      <c r="D12" s="130" t="s">
        <v>68</v>
      </c>
      <c r="E12" s="131">
        <f>SUM(E8:E11)</f>
        <v>15783064.91</v>
      </c>
      <c r="F12" s="131">
        <f t="shared" ref="F12:P12" si="0">SUM(F8:F11)</f>
        <v>14775700.279999999</v>
      </c>
      <c r="G12" s="131">
        <f t="shared" si="0"/>
        <v>18896868.690000001</v>
      </c>
      <c r="H12" s="131">
        <f t="shared" si="0"/>
        <v>20049350.399999999</v>
      </c>
      <c r="I12" s="131">
        <f t="shared" si="0"/>
        <v>19065130.68</v>
      </c>
      <c r="J12" s="131">
        <f t="shared" si="0"/>
        <v>19977606.780000001</v>
      </c>
      <c r="K12" s="131">
        <f t="shared" si="0"/>
        <v>21010313.960000001</v>
      </c>
      <c r="L12" s="131">
        <f t="shared" si="0"/>
        <v>24153699.149999999</v>
      </c>
      <c r="M12" s="131">
        <f t="shared" si="0"/>
        <v>26266360.280000001</v>
      </c>
      <c r="N12" s="131">
        <f t="shared" si="0"/>
        <v>24635210.469999999</v>
      </c>
      <c r="O12" s="131">
        <f t="shared" si="0"/>
        <v>20724730.330000002</v>
      </c>
      <c r="P12" s="131">
        <f t="shared" si="0"/>
        <v>21706390.619999997</v>
      </c>
      <c r="Q12" s="131">
        <f>SUM(Q8:Q11)</f>
        <v>247044426.54999998</v>
      </c>
    </row>
    <row r="13" spans="1:17" x14ac:dyDescent="0.2">
      <c r="A13" s="104"/>
      <c r="B13" s="120"/>
      <c r="C13" s="120"/>
      <c r="D13" s="12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</row>
    <row r="14" spans="1:17" x14ac:dyDescent="0.2">
      <c r="A14" s="139" t="s">
        <v>82</v>
      </c>
      <c r="B14" s="120"/>
      <c r="C14" s="120"/>
      <c r="D14" s="120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26"/>
    </row>
    <row r="15" spans="1:17" x14ac:dyDescent="0.2">
      <c r="A15" s="134"/>
      <c r="B15" s="135"/>
      <c r="C15" s="135"/>
      <c r="D15" s="135"/>
      <c r="E15" s="136"/>
      <c r="F15" s="136"/>
      <c r="G15" s="136"/>
      <c r="H15" s="136"/>
      <c r="I15" s="136"/>
      <c r="J15" s="137"/>
      <c r="K15" s="137"/>
      <c r="L15" s="137"/>
      <c r="M15" s="137"/>
      <c r="N15" s="137"/>
      <c r="O15" s="137"/>
      <c r="P15" s="137"/>
      <c r="Q15" s="138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15"/>
  <sheetViews>
    <sheetView zoomScale="80" zoomScaleNormal="80" workbookViewId="0"/>
  </sheetViews>
  <sheetFormatPr baseColWidth="10" defaultColWidth="12.5703125" defaultRowHeight="12.75" x14ac:dyDescent="0.2"/>
  <cols>
    <col min="1" max="1" width="18.85546875" style="48" customWidth="1"/>
    <col min="2" max="2" width="4.42578125" style="48" customWidth="1"/>
    <col min="3" max="3" width="8.42578125" style="48" customWidth="1"/>
    <col min="4" max="4" width="9.42578125" style="48" customWidth="1"/>
    <col min="5" max="12" width="19" style="48" customWidth="1"/>
    <col min="13" max="16" width="17.5703125" style="48" customWidth="1"/>
    <col min="17" max="17" width="21.5703125" style="48" customWidth="1"/>
    <col min="18" max="18" width="12.5703125" style="48"/>
    <col min="19" max="19" width="13.42578125" style="48" customWidth="1"/>
    <col min="20" max="16384" width="12.5703125" style="48"/>
  </cols>
  <sheetData>
    <row r="1" spans="1:17" x14ac:dyDescent="0.2">
      <c r="A1" s="47" t="s">
        <v>74</v>
      </c>
    </row>
    <row r="2" spans="1:17" x14ac:dyDescent="0.2">
      <c r="A2" s="49" t="s">
        <v>58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x14ac:dyDescent="0.2">
      <c r="A3" s="49" t="s">
        <v>59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x14ac:dyDescent="0.2">
      <c r="A4" s="50" t="s">
        <v>60</v>
      </c>
      <c r="B4" s="50"/>
      <c r="C4" s="50"/>
      <c r="D4" s="50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1:17" x14ac:dyDescent="0.2">
      <c r="A5" s="82" t="s">
        <v>72</v>
      </c>
      <c r="B5" s="83"/>
      <c r="C5" s="83"/>
      <c r="D5" s="83"/>
      <c r="E5" s="84" t="str">
        <f>"Ene."&amp;Q6</f>
        <v>Ene.2004</v>
      </c>
      <c r="F5" s="85" t="str">
        <f>"Feb."&amp;Q6</f>
        <v>Feb.2004</v>
      </c>
      <c r="G5" s="84" t="str">
        <f>"Mar."&amp;Q6</f>
        <v>Mar.2004</v>
      </c>
      <c r="H5" s="84" t="str">
        <f>"Abr."&amp;Q6</f>
        <v>Abr.2004</v>
      </c>
      <c r="I5" s="84" t="str">
        <f>"May."&amp;Q6</f>
        <v>May.2004</v>
      </c>
      <c r="J5" s="84" t="str">
        <f>"Jun."&amp;Q6</f>
        <v>Jun.2004</v>
      </c>
      <c r="K5" s="84" t="str">
        <f>"Jul."&amp;Q6</f>
        <v>Jul.2004</v>
      </c>
      <c r="L5" s="84" t="str">
        <f>"Ago."&amp;Q6</f>
        <v>Ago.2004</v>
      </c>
      <c r="M5" s="84" t="str">
        <f>"Sep."&amp;Q6</f>
        <v>Sep.2004</v>
      </c>
      <c r="N5" s="84" t="str">
        <f>"Oct."&amp;Q6</f>
        <v>Oct.2004</v>
      </c>
      <c r="O5" s="84" t="str">
        <f>"Nov."&amp;Q6</f>
        <v>Nov.2004</v>
      </c>
      <c r="P5" s="84" t="str">
        <f>"Dic."&amp;Q6</f>
        <v>Dic.2004</v>
      </c>
      <c r="Q5" s="84" t="s">
        <v>57</v>
      </c>
    </row>
    <row r="6" spans="1:17" x14ac:dyDescent="0.2">
      <c r="A6" s="86" t="s">
        <v>76</v>
      </c>
      <c r="B6" s="87"/>
      <c r="C6" s="87"/>
      <c r="D6" s="87"/>
      <c r="E6" s="88">
        <v>38037</v>
      </c>
      <c r="F6" s="89">
        <v>38065</v>
      </c>
      <c r="G6" s="88">
        <v>38100</v>
      </c>
      <c r="H6" s="88">
        <v>38128</v>
      </c>
      <c r="I6" s="100">
        <v>38159</v>
      </c>
      <c r="J6" s="88">
        <v>38189</v>
      </c>
      <c r="K6" s="88">
        <v>38219</v>
      </c>
      <c r="L6" s="88">
        <v>38251</v>
      </c>
      <c r="M6" s="88">
        <v>38282</v>
      </c>
      <c r="N6" s="88">
        <v>38313</v>
      </c>
      <c r="O6" s="88">
        <v>38343</v>
      </c>
      <c r="P6" s="88">
        <v>38373</v>
      </c>
      <c r="Q6" s="90">
        <v>2004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52" t="s">
        <v>0</v>
      </c>
      <c r="B8" s="53"/>
      <c r="C8" s="53"/>
      <c r="D8" s="56" t="s">
        <v>61</v>
      </c>
      <c r="E8" s="57">
        <f t="shared" ref="E8:P8" si="0">E12-SUM(E9:E11)</f>
        <v>7765078.2700000023</v>
      </c>
      <c r="F8" s="58">
        <f t="shared" si="0"/>
        <v>6861590.8499999996</v>
      </c>
      <c r="G8" s="58">
        <f t="shared" si="0"/>
        <v>7694917.6799999988</v>
      </c>
      <c r="H8" s="58">
        <f t="shared" si="0"/>
        <v>7833812.04</v>
      </c>
      <c r="I8" s="58">
        <f t="shared" si="0"/>
        <v>9098354.9600000028</v>
      </c>
      <c r="J8" s="58">
        <f t="shared" si="0"/>
        <v>7759029.3899999997</v>
      </c>
      <c r="K8" s="58">
        <f t="shared" si="0"/>
        <v>8403911.5500000007</v>
      </c>
      <c r="L8" s="58">
        <f t="shared" si="0"/>
        <v>9299944.0499999989</v>
      </c>
      <c r="M8" s="58">
        <f t="shared" si="0"/>
        <v>10729640.460000001</v>
      </c>
      <c r="N8" s="58">
        <f t="shared" si="0"/>
        <v>10028608.35</v>
      </c>
      <c r="O8" s="58">
        <f t="shared" si="0"/>
        <v>7000706.4800000004</v>
      </c>
      <c r="P8" s="58">
        <f t="shared" si="0"/>
        <v>7152434.3300000047</v>
      </c>
      <c r="Q8" s="58">
        <f>SUM(E8:P8)</f>
        <v>99628028.409999996</v>
      </c>
    </row>
    <row r="9" spans="1:17" x14ac:dyDescent="0.2">
      <c r="A9" s="52" t="s">
        <v>1</v>
      </c>
      <c r="B9" s="53"/>
      <c r="C9" s="53"/>
      <c r="D9" s="56" t="s">
        <v>62</v>
      </c>
      <c r="E9" s="57">
        <f t="shared" ref="E9:P9" si="1">ROUND(E12*0.05,2)</f>
        <v>746642.14</v>
      </c>
      <c r="F9" s="58">
        <f t="shared" si="1"/>
        <v>659768.35</v>
      </c>
      <c r="G9" s="58">
        <f t="shared" si="1"/>
        <v>739895.93</v>
      </c>
      <c r="H9" s="58">
        <f t="shared" si="1"/>
        <v>753251.16</v>
      </c>
      <c r="I9" s="58">
        <f t="shared" si="1"/>
        <v>874841.82</v>
      </c>
      <c r="J9" s="58">
        <f t="shared" si="1"/>
        <v>746060.52</v>
      </c>
      <c r="K9" s="58">
        <f t="shared" si="1"/>
        <v>808068.42</v>
      </c>
      <c r="L9" s="58">
        <f t="shared" si="1"/>
        <v>894225.39</v>
      </c>
      <c r="M9" s="58">
        <f t="shared" si="1"/>
        <v>1031696.2</v>
      </c>
      <c r="N9" s="58">
        <f t="shared" si="1"/>
        <v>964289.26</v>
      </c>
      <c r="O9" s="58">
        <f t="shared" si="1"/>
        <v>673144.85</v>
      </c>
      <c r="P9" s="58">
        <f t="shared" si="1"/>
        <v>687734.07</v>
      </c>
      <c r="Q9" s="58">
        <f>SUM(E9:P9)</f>
        <v>9579618.1099999994</v>
      </c>
    </row>
    <row r="10" spans="1:17" x14ac:dyDescent="0.2">
      <c r="A10" s="52" t="s">
        <v>2</v>
      </c>
      <c r="B10" s="53"/>
      <c r="C10" s="53"/>
      <c r="D10" s="56" t="s">
        <v>63</v>
      </c>
      <c r="E10" s="57">
        <f t="shared" ref="E10:P10" si="2">ROUND(E12*0.03,2)</f>
        <v>447985.28</v>
      </c>
      <c r="F10" s="58">
        <f t="shared" si="2"/>
        <v>395861.01</v>
      </c>
      <c r="G10" s="58">
        <f t="shared" si="2"/>
        <v>443937.56</v>
      </c>
      <c r="H10" s="58">
        <f t="shared" si="2"/>
        <v>451950.7</v>
      </c>
      <c r="I10" s="58">
        <f t="shared" si="2"/>
        <v>524905.09</v>
      </c>
      <c r="J10" s="58">
        <f t="shared" si="2"/>
        <v>447636.31</v>
      </c>
      <c r="K10" s="58">
        <f t="shared" si="2"/>
        <v>484841.05</v>
      </c>
      <c r="L10" s="58">
        <f t="shared" si="2"/>
        <v>536535.23</v>
      </c>
      <c r="M10" s="58">
        <f t="shared" si="2"/>
        <v>619017.72</v>
      </c>
      <c r="N10" s="58">
        <f t="shared" si="2"/>
        <v>578573.56000000006</v>
      </c>
      <c r="O10" s="58">
        <f t="shared" si="2"/>
        <v>403886.91</v>
      </c>
      <c r="P10" s="58">
        <f t="shared" si="2"/>
        <v>412640.44</v>
      </c>
      <c r="Q10" s="58">
        <f>SUM(E10:P10)</f>
        <v>5747770.8600000003</v>
      </c>
    </row>
    <row r="11" spans="1:17" ht="13.5" thickBot="1" x14ac:dyDescent="0.25">
      <c r="A11" s="52" t="s">
        <v>3</v>
      </c>
      <c r="B11" s="53"/>
      <c r="C11" s="53"/>
      <c r="D11" s="56" t="s">
        <v>64</v>
      </c>
      <c r="E11" s="59">
        <f t="shared" ref="E11:P11" si="3">ROUND(E12*0.4,2)</f>
        <v>5973137.1299999999</v>
      </c>
      <c r="F11" s="60">
        <f t="shared" si="3"/>
        <v>5278146.8099999996</v>
      </c>
      <c r="G11" s="60">
        <f t="shared" si="3"/>
        <v>5919167.4400000004</v>
      </c>
      <c r="H11" s="60">
        <f t="shared" si="3"/>
        <v>6026009.2699999996</v>
      </c>
      <c r="I11" s="60">
        <f t="shared" si="3"/>
        <v>6998734.5800000001</v>
      </c>
      <c r="J11" s="60">
        <f t="shared" si="3"/>
        <v>5968484.1399999997</v>
      </c>
      <c r="K11" s="60">
        <f t="shared" si="3"/>
        <v>6464547.3399999999</v>
      </c>
      <c r="L11" s="60">
        <f t="shared" si="3"/>
        <v>7153803.1200000001</v>
      </c>
      <c r="M11" s="60">
        <f t="shared" si="3"/>
        <v>8253569.5800000001</v>
      </c>
      <c r="N11" s="60">
        <f t="shared" si="3"/>
        <v>7714314.1200000001</v>
      </c>
      <c r="O11" s="60">
        <f t="shared" si="3"/>
        <v>5385158.8300000001</v>
      </c>
      <c r="P11" s="60">
        <f t="shared" si="3"/>
        <v>5501872.5599999996</v>
      </c>
      <c r="Q11" s="61">
        <f>SUM(E11:P11)</f>
        <v>76636944.919999987</v>
      </c>
    </row>
    <row r="12" spans="1:17" x14ac:dyDescent="0.2">
      <c r="A12" s="52"/>
      <c r="B12" s="53"/>
      <c r="D12" s="62" t="s">
        <v>68</v>
      </c>
      <c r="E12" s="64">
        <v>14932842.820000002</v>
      </c>
      <c r="F12" s="64">
        <v>13195367.02</v>
      </c>
      <c r="G12" s="64">
        <v>14797918.609999999</v>
      </c>
      <c r="H12" s="64">
        <v>15065023.17</v>
      </c>
      <c r="I12" s="64">
        <v>17496836.450000003</v>
      </c>
      <c r="J12" s="64">
        <v>14921210.359999999</v>
      </c>
      <c r="K12" s="64">
        <v>16161368.359999999</v>
      </c>
      <c r="L12" s="64">
        <v>17884507.789999999</v>
      </c>
      <c r="M12" s="64">
        <v>20633923.960000001</v>
      </c>
      <c r="N12" s="64">
        <v>19285785.289999999</v>
      </c>
      <c r="O12" s="64">
        <v>13462897.07</v>
      </c>
      <c r="P12" s="64">
        <v>13754681.400000004</v>
      </c>
      <c r="Q12" s="64">
        <f>SUM(Q8:Q11)</f>
        <v>191592362.29999998</v>
      </c>
    </row>
    <row r="13" spans="1:17" x14ac:dyDescent="0.2">
      <c r="A13" s="52"/>
      <c r="B13" s="53"/>
      <c r="C13" s="53"/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</row>
    <row r="14" spans="1:17" x14ac:dyDescent="0.2">
      <c r="A14" s="52" t="s">
        <v>82</v>
      </c>
      <c r="B14" s="53"/>
      <c r="C14" s="53"/>
      <c r="D14" s="53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57"/>
    </row>
    <row r="15" spans="1:17" x14ac:dyDescent="0.2">
      <c r="A15" s="95"/>
      <c r="B15" s="96"/>
      <c r="C15" s="96"/>
      <c r="D15" s="96"/>
      <c r="E15" s="102"/>
      <c r="F15" s="102"/>
      <c r="G15" s="102"/>
      <c r="H15" s="102"/>
      <c r="I15" s="102"/>
      <c r="J15" s="103"/>
      <c r="K15" s="103"/>
      <c r="L15" s="103"/>
      <c r="M15" s="103"/>
      <c r="N15" s="103"/>
      <c r="O15" s="103"/>
      <c r="P15" s="103"/>
      <c r="Q15" s="71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5"/>
  <sheetViews>
    <sheetView zoomScale="80" zoomScaleNormal="80" workbookViewId="0"/>
  </sheetViews>
  <sheetFormatPr baseColWidth="10" defaultColWidth="12.5703125" defaultRowHeight="12.75" x14ac:dyDescent="0.2"/>
  <cols>
    <col min="1" max="1" width="18.85546875" style="48" customWidth="1"/>
    <col min="2" max="2" width="4.42578125" style="48" customWidth="1"/>
    <col min="3" max="3" width="8.42578125" style="48" customWidth="1"/>
    <col min="4" max="4" width="9.42578125" style="48" customWidth="1"/>
    <col min="5" max="12" width="19" style="48" customWidth="1"/>
    <col min="13" max="16" width="17.5703125" style="48" customWidth="1"/>
    <col min="17" max="17" width="21.5703125" style="48" customWidth="1"/>
    <col min="18" max="18" width="12.5703125" style="48"/>
    <col min="19" max="19" width="13.42578125" style="48" customWidth="1"/>
    <col min="20" max="16384" width="12.5703125" style="48"/>
  </cols>
  <sheetData>
    <row r="1" spans="1:17" x14ac:dyDescent="0.2">
      <c r="A1" s="47" t="s">
        <v>74</v>
      </c>
    </row>
    <row r="2" spans="1:17" x14ac:dyDescent="0.2">
      <c r="A2" s="49" t="s">
        <v>58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x14ac:dyDescent="0.2">
      <c r="A3" s="49" t="s">
        <v>59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x14ac:dyDescent="0.2">
      <c r="A4" s="50" t="s">
        <v>60</v>
      </c>
      <c r="B4" s="50"/>
      <c r="C4" s="50"/>
      <c r="D4" s="50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1:17" x14ac:dyDescent="0.2">
      <c r="A5" s="82" t="s">
        <v>72</v>
      </c>
      <c r="B5" s="83"/>
      <c r="C5" s="83"/>
      <c r="D5" s="83"/>
      <c r="E5" s="84" t="str">
        <f>"Ene."&amp;Q6</f>
        <v>Ene.2003</v>
      </c>
      <c r="F5" s="85" t="str">
        <f>"Feb."&amp;Q6</f>
        <v>Feb.2003</v>
      </c>
      <c r="G5" s="84" t="str">
        <f>"Mar."&amp;Q6</f>
        <v>Mar.2003</v>
      </c>
      <c r="H5" s="84" t="str">
        <f>"Abr."&amp;Q6</f>
        <v>Abr.2003</v>
      </c>
      <c r="I5" s="84" t="str">
        <f>"May."&amp;Q6</f>
        <v>May.2003</v>
      </c>
      <c r="J5" s="84" t="str">
        <f>"Jun."&amp;Q6</f>
        <v>Jun.2003</v>
      </c>
      <c r="K5" s="84" t="str">
        <f>"Jul."&amp;Q6</f>
        <v>Jul.2003</v>
      </c>
      <c r="L5" s="84" t="str">
        <f>"Ago."&amp;Q6</f>
        <v>Ago.2003</v>
      </c>
      <c r="M5" s="84" t="str">
        <f>"Sep."&amp;Q6</f>
        <v>Sep.2003</v>
      </c>
      <c r="N5" s="84" t="str">
        <f>"Oct."&amp;Q6</f>
        <v>Oct.2003</v>
      </c>
      <c r="O5" s="84" t="str">
        <f>"Nov."&amp;Q6</f>
        <v>Nov.2003</v>
      </c>
      <c r="P5" s="84" t="str">
        <f>"Dic."&amp;Q6</f>
        <v>Dic.2003</v>
      </c>
      <c r="Q5" s="84" t="s">
        <v>57</v>
      </c>
    </row>
    <row r="6" spans="1:17" x14ac:dyDescent="0.2">
      <c r="A6" s="86" t="s">
        <v>76</v>
      </c>
      <c r="B6" s="87"/>
      <c r="C6" s="87"/>
      <c r="D6" s="87"/>
      <c r="E6" s="88">
        <v>37673</v>
      </c>
      <c r="F6" s="89">
        <v>37701</v>
      </c>
      <c r="G6" s="88">
        <v>37734</v>
      </c>
      <c r="H6" s="88">
        <v>37763</v>
      </c>
      <c r="I6" s="100">
        <v>37792</v>
      </c>
      <c r="J6" s="88">
        <v>37823</v>
      </c>
      <c r="K6" s="88">
        <v>37854</v>
      </c>
      <c r="L6" s="88">
        <v>37883</v>
      </c>
      <c r="M6" s="88">
        <v>37916</v>
      </c>
      <c r="N6" s="88">
        <v>37946</v>
      </c>
      <c r="O6" s="88">
        <v>37977</v>
      </c>
      <c r="P6" s="88">
        <v>38008</v>
      </c>
      <c r="Q6" s="90">
        <v>2003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52" t="s">
        <v>0</v>
      </c>
      <c r="B8" s="53"/>
      <c r="C8" s="53"/>
      <c r="D8" s="56" t="s">
        <v>61</v>
      </c>
      <c r="E8" s="57">
        <f t="shared" ref="E8:P8" si="0">E12-SUM(E9:E11)</f>
        <v>9703413.8599999994</v>
      </c>
      <c r="F8" s="58">
        <f t="shared" si="0"/>
        <v>8961962.2699999996</v>
      </c>
      <c r="G8" s="58">
        <f t="shared" si="0"/>
        <v>9247937.410000002</v>
      </c>
      <c r="H8" s="58">
        <f t="shared" si="0"/>
        <v>7660275.5700000003</v>
      </c>
      <c r="I8" s="58">
        <f t="shared" si="0"/>
        <v>7974959.9399999995</v>
      </c>
      <c r="J8" s="58">
        <f t="shared" si="0"/>
        <v>8001130.4800000004</v>
      </c>
      <c r="K8" s="58">
        <f t="shared" si="0"/>
        <v>8206130.1399999997</v>
      </c>
      <c r="L8" s="58">
        <f t="shared" si="0"/>
        <v>8438713.3299999982</v>
      </c>
      <c r="M8" s="58">
        <f t="shared" si="0"/>
        <v>6953437.0299999956</v>
      </c>
      <c r="N8" s="58">
        <f t="shared" si="0"/>
        <v>7824805.1299999999</v>
      </c>
      <c r="O8" s="58">
        <f t="shared" si="0"/>
        <v>7428199.5500000007</v>
      </c>
      <c r="P8" s="58">
        <f t="shared" si="0"/>
        <v>7843770.5100000007</v>
      </c>
      <c r="Q8" s="58">
        <f>SUM(E8:P8)</f>
        <v>98244735.219999999</v>
      </c>
    </row>
    <row r="9" spans="1:17" x14ac:dyDescent="0.2">
      <c r="A9" s="52" t="s">
        <v>1</v>
      </c>
      <c r="B9" s="53"/>
      <c r="C9" s="53"/>
      <c r="D9" s="56" t="s">
        <v>62</v>
      </c>
      <c r="E9" s="57">
        <f t="shared" ref="E9:P9" si="1">ROUND(E12*0.05,2)</f>
        <v>933020.56</v>
      </c>
      <c r="F9" s="58">
        <f t="shared" si="1"/>
        <v>861727.14</v>
      </c>
      <c r="G9" s="58">
        <f t="shared" si="1"/>
        <v>889224.75</v>
      </c>
      <c r="H9" s="58">
        <f t="shared" si="1"/>
        <v>736564.96</v>
      </c>
      <c r="I9" s="58">
        <f t="shared" si="1"/>
        <v>766823.07</v>
      </c>
      <c r="J9" s="58">
        <f t="shared" si="1"/>
        <v>769339.47</v>
      </c>
      <c r="K9" s="58">
        <f t="shared" si="1"/>
        <v>789050.98</v>
      </c>
      <c r="L9" s="58">
        <f t="shared" si="1"/>
        <v>811414.74</v>
      </c>
      <c r="M9" s="58">
        <f t="shared" si="1"/>
        <v>668599.72</v>
      </c>
      <c r="N9" s="58">
        <f t="shared" si="1"/>
        <v>752385.11</v>
      </c>
      <c r="O9" s="58">
        <f t="shared" si="1"/>
        <v>714249.96</v>
      </c>
      <c r="P9" s="58">
        <f t="shared" si="1"/>
        <v>754208.7</v>
      </c>
      <c r="Q9" s="58">
        <f>SUM(E9:P9)</f>
        <v>9446609.1600000001</v>
      </c>
    </row>
    <row r="10" spans="1:17" x14ac:dyDescent="0.2">
      <c r="A10" s="52" t="s">
        <v>2</v>
      </c>
      <c r="B10" s="53"/>
      <c r="C10" s="53"/>
      <c r="D10" s="56" t="s">
        <v>63</v>
      </c>
      <c r="E10" s="57">
        <f t="shared" ref="E10:P10" si="2">ROUND(E12*0.03,2)</f>
        <v>559812.34</v>
      </c>
      <c r="F10" s="58">
        <f t="shared" si="2"/>
        <v>517036.28</v>
      </c>
      <c r="G10" s="58">
        <f t="shared" si="2"/>
        <v>533534.85</v>
      </c>
      <c r="H10" s="58">
        <f t="shared" si="2"/>
        <v>441938.98</v>
      </c>
      <c r="I10" s="58">
        <f t="shared" si="2"/>
        <v>460093.84</v>
      </c>
      <c r="J10" s="58">
        <f t="shared" si="2"/>
        <v>461603.68</v>
      </c>
      <c r="K10" s="58">
        <f t="shared" si="2"/>
        <v>473430.59</v>
      </c>
      <c r="L10" s="58">
        <f t="shared" si="2"/>
        <v>486848.85</v>
      </c>
      <c r="M10" s="58">
        <f t="shared" si="2"/>
        <v>401159.83</v>
      </c>
      <c r="N10" s="58">
        <f t="shared" si="2"/>
        <v>451431.07</v>
      </c>
      <c r="O10" s="58">
        <f t="shared" si="2"/>
        <v>428549.97</v>
      </c>
      <c r="P10" s="58">
        <f t="shared" si="2"/>
        <v>452525.22</v>
      </c>
      <c r="Q10" s="58">
        <f>SUM(E10:P10)</f>
        <v>5667965.5</v>
      </c>
    </row>
    <row r="11" spans="1:17" ht="13.5" thickBot="1" x14ac:dyDescent="0.25">
      <c r="A11" s="52" t="s">
        <v>3</v>
      </c>
      <c r="B11" s="53"/>
      <c r="C11" s="53"/>
      <c r="D11" s="56" t="s">
        <v>64</v>
      </c>
      <c r="E11" s="59">
        <f t="shared" ref="E11:P11" si="3">ROUND(E12*0.4,2)</f>
        <v>7464164.5099999998</v>
      </c>
      <c r="F11" s="60">
        <f t="shared" si="3"/>
        <v>6893817.1200000001</v>
      </c>
      <c r="G11" s="60">
        <f t="shared" si="3"/>
        <v>7113798</v>
      </c>
      <c r="H11" s="60">
        <f t="shared" si="3"/>
        <v>5892519.6699999999</v>
      </c>
      <c r="I11" s="60">
        <f t="shared" si="3"/>
        <v>6134584.5700000003</v>
      </c>
      <c r="J11" s="60">
        <f t="shared" si="3"/>
        <v>6154715.75</v>
      </c>
      <c r="K11" s="60">
        <f t="shared" si="3"/>
        <v>6312407.8099999996</v>
      </c>
      <c r="L11" s="60">
        <f t="shared" si="3"/>
        <v>6491317.9400000004</v>
      </c>
      <c r="M11" s="60">
        <f t="shared" si="3"/>
        <v>5348797.72</v>
      </c>
      <c r="N11" s="60">
        <f t="shared" si="3"/>
        <v>6019080.8799999999</v>
      </c>
      <c r="O11" s="60">
        <f t="shared" si="3"/>
        <v>5713999.6500000004</v>
      </c>
      <c r="P11" s="60">
        <f t="shared" si="3"/>
        <v>6033669.6200000001</v>
      </c>
      <c r="Q11" s="61">
        <f>SUM(E11:P11)</f>
        <v>75572873.24000001</v>
      </c>
    </row>
    <row r="12" spans="1:17" x14ac:dyDescent="0.2">
      <c r="A12" s="52"/>
      <c r="B12" s="53"/>
      <c r="D12" s="62" t="s">
        <v>68</v>
      </c>
      <c r="E12" s="64">
        <v>18660411.27</v>
      </c>
      <c r="F12" s="64">
        <v>17234542.809999999</v>
      </c>
      <c r="G12" s="64">
        <v>17784495.010000002</v>
      </c>
      <c r="H12" s="64">
        <v>14731299.18</v>
      </c>
      <c r="I12" s="64">
        <v>15336461.42</v>
      </c>
      <c r="J12" s="64">
        <v>15386789.380000001</v>
      </c>
      <c r="K12" s="64">
        <v>15781019.52</v>
      </c>
      <c r="L12" s="64">
        <v>16228294.859999999</v>
      </c>
      <c r="M12" s="64">
        <v>13371994.299999995</v>
      </c>
      <c r="N12" s="64">
        <v>15047702.189999999</v>
      </c>
      <c r="O12" s="64">
        <v>14284999.130000001</v>
      </c>
      <c r="P12" s="64">
        <v>15084174.050000001</v>
      </c>
      <c r="Q12" s="64">
        <f>SUM(Q8:Q11)</f>
        <v>188932183.12</v>
      </c>
    </row>
    <row r="13" spans="1:17" x14ac:dyDescent="0.2">
      <c r="A13" s="52"/>
      <c r="B13" s="53"/>
      <c r="C13" s="53"/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</row>
    <row r="14" spans="1:17" x14ac:dyDescent="0.2">
      <c r="A14" s="52" t="s">
        <v>82</v>
      </c>
      <c r="B14" s="53"/>
      <c r="C14" s="53"/>
      <c r="D14" s="53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57"/>
    </row>
    <row r="15" spans="1:17" x14ac:dyDescent="0.2">
      <c r="A15" s="95"/>
      <c r="B15" s="96"/>
      <c r="C15" s="96"/>
      <c r="D15" s="96"/>
      <c r="E15" s="102"/>
      <c r="F15" s="102"/>
      <c r="G15" s="102"/>
      <c r="H15" s="102"/>
      <c r="I15" s="102"/>
      <c r="J15" s="103"/>
      <c r="K15" s="103"/>
      <c r="L15" s="103"/>
      <c r="M15" s="103"/>
      <c r="N15" s="103"/>
      <c r="O15" s="103"/>
      <c r="P15" s="103"/>
      <c r="Q15" s="71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S85"/>
  <sheetViews>
    <sheetView zoomScale="80" zoomScaleNormal="80" workbookViewId="0"/>
  </sheetViews>
  <sheetFormatPr baseColWidth="10" defaultColWidth="12.5703125" defaultRowHeight="12.75" x14ac:dyDescent="0.2"/>
  <cols>
    <col min="1" max="1" width="18.85546875" style="48" customWidth="1"/>
    <col min="2" max="2" width="4.42578125" style="48" customWidth="1"/>
    <col min="3" max="3" width="8.42578125" style="48" customWidth="1"/>
    <col min="4" max="4" width="9.42578125" style="48" customWidth="1"/>
    <col min="5" max="12" width="19" style="48" customWidth="1"/>
    <col min="13" max="16" width="17.5703125" style="48" customWidth="1"/>
    <col min="17" max="17" width="21.5703125" style="48" customWidth="1"/>
    <col min="18" max="18" width="12.5703125" style="48"/>
    <col min="19" max="19" width="13.42578125" style="48" customWidth="1"/>
    <col min="20" max="16384" width="12.5703125" style="48"/>
  </cols>
  <sheetData>
    <row r="1" spans="1:17" x14ac:dyDescent="0.2">
      <c r="A1" s="47" t="s">
        <v>74</v>
      </c>
    </row>
    <row r="2" spans="1:17" x14ac:dyDescent="0.2">
      <c r="A2" s="49" t="s">
        <v>58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x14ac:dyDescent="0.2">
      <c r="A3" s="49" t="s">
        <v>59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x14ac:dyDescent="0.2">
      <c r="A4" s="50" t="s">
        <v>60</v>
      </c>
      <c r="B4" s="50"/>
      <c r="C4" s="50"/>
      <c r="D4" s="50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1:17" x14ac:dyDescent="0.2">
      <c r="A5" s="82" t="s">
        <v>72</v>
      </c>
      <c r="B5" s="83"/>
      <c r="C5" s="83"/>
      <c r="D5" s="83"/>
      <c r="E5" s="84" t="s">
        <v>86</v>
      </c>
      <c r="F5" s="85" t="s">
        <v>87</v>
      </c>
      <c r="G5" s="84" t="s">
        <v>88</v>
      </c>
      <c r="H5" s="84" t="s">
        <v>89</v>
      </c>
      <c r="I5" s="84" t="s">
        <v>90</v>
      </c>
      <c r="J5" s="84" t="s">
        <v>91</v>
      </c>
      <c r="K5" s="84" t="s">
        <v>92</v>
      </c>
      <c r="L5" s="84" t="s">
        <v>93</v>
      </c>
      <c r="M5" s="84" t="s">
        <v>94</v>
      </c>
      <c r="N5" s="84" t="s">
        <v>95</v>
      </c>
      <c r="O5" s="84" t="s">
        <v>96</v>
      </c>
      <c r="P5" s="84" t="s">
        <v>97</v>
      </c>
      <c r="Q5" s="84" t="s">
        <v>57</v>
      </c>
    </row>
    <row r="6" spans="1:17" x14ac:dyDescent="0.2">
      <c r="A6" s="86" t="s">
        <v>76</v>
      </c>
      <c r="B6" s="87"/>
      <c r="C6" s="87"/>
      <c r="D6" s="87"/>
      <c r="E6" s="88">
        <v>37308</v>
      </c>
      <c r="F6" s="89">
        <v>37336</v>
      </c>
      <c r="G6" s="88">
        <v>37365</v>
      </c>
      <c r="H6" s="88">
        <v>37398</v>
      </c>
      <c r="I6" s="88">
        <v>37428</v>
      </c>
      <c r="J6" s="88">
        <v>37456</v>
      </c>
      <c r="K6" s="88">
        <v>37489</v>
      </c>
      <c r="L6" s="88">
        <v>37519</v>
      </c>
      <c r="M6" s="88">
        <v>37551</v>
      </c>
      <c r="N6" s="88">
        <v>37582</v>
      </c>
      <c r="O6" s="88">
        <v>37610</v>
      </c>
      <c r="P6" s="88">
        <v>37643</v>
      </c>
      <c r="Q6" s="90">
        <v>2002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52" t="s">
        <v>0</v>
      </c>
      <c r="B8" s="53"/>
      <c r="C8" s="53"/>
      <c r="D8" s="56" t="s">
        <v>61</v>
      </c>
      <c r="E8" s="57">
        <v>5554565.5299999993</v>
      </c>
      <c r="F8" s="58">
        <v>5133945.53</v>
      </c>
      <c r="G8" s="58">
        <v>7242666</v>
      </c>
      <c r="H8" s="58">
        <v>7801276.7600000007</v>
      </c>
      <c r="I8" s="58">
        <v>7987505.4599999981</v>
      </c>
      <c r="J8" s="58">
        <v>7523683.5600000005</v>
      </c>
      <c r="K8" s="58">
        <v>8049986.7000000002</v>
      </c>
      <c r="L8" s="58">
        <v>8740298.4600000009</v>
      </c>
      <c r="M8" s="58">
        <v>8744210.5400000028</v>
      </c>
      <c r="N8" s="58">
        <v>9104238.8500000015</v>
      </c>
      <c r="O8" s="58">
        <v>7499628.9699999997</v>
      </c>
      <c r="P8" s="58">
        <v>9124602.7200000025</v>
      </c>
      <c r="Q8" s="58">
        <v>92506609.080000013</v>
      </c>
    </row>
    <row r="9" spans="1:17" x14ac:dyDescent="0.2">
      <c r="A9" s="52" t="s">
        <v>1</v>
      </c>
      <c r="B9" s="53"/>
      <c r="C9" s="53"/>
      <c r="D9" s="56" t="s">
        <v>62</v>
      </c>
      <c r="E9" s="57">
        <v>534092.84</v>
      </c>
      <c r="F9" s="58">
        <v>493648.61</v>
      </c>
      <c r="G9" s="58">
        <v>696410.19</v>
      </c>
      <c r="H9" s="58">
        <v>750122.77</v>
      </c>
      <c r="I9" s="58">
        <v>768029.37</v>
      </c>
      <c r="J9" s="58">
        <v>723431.11</v>
      </c>
      <c r="K9" s="58">
        <v>774037.18</v>
      </c>
      <c r="L9" s="58">
        <v>840413.31</v>
      </c>
      <c r="M9" s="58">
        <v>840789.48</v>
      </c>
      <c r="N9" s="58">
        <v>875407.58</v>
      </c>
      <c r="O9" s="58">
        <v>721118.17</v>
      </c>
      <c r="P9" s="58">
        <v>877365.65</v>
      </c>
      <c r="Q9" s="58">
        <v>8894866.2600000016</v>
      </c>
    </row>
    <row r="10" spans="1:17" x14ac:dyDescent="0.2">
      <c r="A10" s="52" t="s">
        <v>2</v>
      </c>
      <c r="B10" s="53"/>
      <c r="C10" s="53"/>
      <c r="D10" s="56" t="s">
        <v>63</v>
      </c>
      <c r="E10" s="57">
        <v>320455.7</v>
      </c>
      <c r="F10" s="58">
        <v>296189.15999999997</v>
      </c>
      <c r="G10" s="58">
        <v>417846.12</v>
      </c>
      <c r="H10" s="58">
        <v>450073.66</v>
      </c>
      <c r="I10" s="58">
        <v>460817.62</v>
      </c>
      <c r="J10" s="58">
        <v>434058.67</v>
      </c>
      <c r="K10" s="58">
        <v>464422.31</v>
      </c>
      <c r="L10" s="58">
        <v>504247.99</v>
      </c>
      <c r="M10" s="58">
        <v>504473.69</v>
      </c>
      <c r="N10" s="58">
        <v>525244.55000000005</v>
      </c>
      <c r="O10" s="58">
        <v>432670.9</v>
      </c>
      <c r="P10" s="58">
        <v>526419.39</v>
      </c>
      <c r="Q10" s="58">
        <v>5336919.76</v>
      </c>
    </row>
    <row r="11" spans="1:17" ht="13.5" thickBot="1" x14ac:dyDescent="0.25">
      <c r="A11" s="52" t="s">
        <v>3</v>
      </c>
      <c r="B11" s="53"/>
      <c r="C11" s="53"/>
      <c r="D11" s="56" t="s">
        <v>64</v>
      </c>
      <c r="E11" s="59">
        <v>4272742.71</v>
      </c>
      <c r="F11" s="60">
        <v>3949188.86</v>
      </c>
      <c r="G11" s="60">
        <v>5571281.54</v>
      </c>
      <c r="H11" s="60">
        <v>6000982.1299999999</v>
      </c>
      <c r="I11" s="60">
        <v>6144234.9699999997</v>
      </c>
      <c r="J11" s="60">
        <v>5787448.8899999997</v>
      </c>
      <c r="K11" s="60">
        <v>6192297.46</v>
      </c>
      <c r="L11" s="60">
        <v>6723306.5</v>
      </c>
      <c r="M11" s="60">
        <v>6726315.7999999998</v>
      </c>
      <c r="N11" s="60">
        <v>7003260.6600000001</v>
      </c>
      <c r="O11" s="60">
        <v>5768945.3600000003</v>
      </c>
      <c r="P11" s="60">
        <v>7018925.1799999997</v>
      </c>
      <c r="Q11" s="61">
        <v>71158930.060000002</v>
      </c>
    </row>
    <row r="12" spans="1:17" x14ac:dyDescent="0.2">
      <c r="A12" s="52"/>
      <c r="B12" s="53"/>
      <c r="D12" s="62" t="s">
        <v>68</v>
      </c>
      <c r="E12" s="63">
        <v>10681856.779999999</v>
      </c>
      <c r="F12" s="64">
        <v>9872972.1600000001</v>
      </c>
      <c r="G12" s="64">
        <v>13928203.85</v>
      </c>
      <c r="H12" s="64">
        <v>15002455.32</v>
      </c>
      <c r="I12" s="64">
        <v>15360587.419999998</v>
      </c>
      <c r="J12" s="64">
        <v>14468622.23</v>
      </c>
      <c r="K12" s="64">
        <v>15480743.65</v>
      </c>
      <c r="L12" s="64">
        <v>16808266.260000002</v>
      </c>
      <c r="M12" s="64">
        <v>16815789.510000002</v>
      </c>
      <c r="N12" s="64">
        <v>17508151.640000001</v>
      </c>
      <c r="O12" s="64">
        <v>14422363.4</v>
      </c>
      <c r="P12" s="64">
        <v>17547312.940000001</v>
      </c>
      <c r="Q12" s="64">
        <v>177897325.16000003</v>
      </c>
    </row>
    <row r="13" spans="1:17" x14ac:dyDescent="0.2">
      <c r="A13" s="52"/>
      <c r="B13" s="53"/>
      <c r="C13" s="53"/>
      <c r="D13" s="54"/>
      <c r="E13" s="57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4" spans="1:17" x14ac:dyDescent="0.2">
      <c r="A14" s="52" t="s">
        <v>4</v>
      </c>
      <c r="B14" s="53"/>
      <c r="C14" s="53"/>
      <c r="D14" s="54"/>
      <c r="E14" s="5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</row>
    <row r="15" spans="1:17" x14ac:dyDescent="0.2">
      <c r="A15" s="52"/>
      <c r="B15" s="53"/>
      <c r="C15" s="53"/>
      <c r="D15" s="54"/>
      <c r="E15" s="92"/>
      <c r="F15" s="92"/>
      <c r="G15" s="92"/>
      <c r="H15" s="92"/>
      <c r="I15" s="92"/>
      <c r="J15" s="58"/>
      <c r="K15" s="58"/>
      <c r="L15" s="58"/>
      <c r="M15" s="58"/>
      <c r="N15" s="58"/>
      <c r="O15" s="58"/>
      <c r="P15" s="58"/>
      <c r="Q15" s="58"/>
    </row>
    <row r="16" spans="1:17" ht="13.5" thickBot="1" x14ac:dyDescent="0.25">
      <c r="A16" s="65" t="s">
        <v>5</v>
      </c>
      <c r="B16" s="66"/>
      <c r="C16" s="53"/>
      <c r="D16" s="54"/>
      <c r="E16" s="67"/>
      <c r="F16" s="68"/>
      <c r="G16" s="68"/>
      <c r="H16" s="93"/>
      <c r="I16" s="93"/>
      <c r="J16" s="68"/>
      <c r="K16" s="68"/>
      <c r="L16" s="68"/>
      <c r="M16" s="68"/>
      <c r="N16" s="68"/>
      <c r="O16" s="68"/>
      <c r="P16" s="68"/>
      <c r="Q16" s="68"/>
    </row>
    <row r="17" spans="1:19" x14ac:dyDescent="0.2">
      <c r="A17" s="52" t="s">
        <v>6</v>
      </c>
      <c r="B17" s="53"/>
      <c r="C17" s="91"/>
      <c r="D17" s="69"/>
      <c r="E17" s="57">
        <v>813068.75000000012</v>
      </c>
      <c r="F17" s="58">
        <v>300406.8899999999</v>
      </c>
      <c r="G17" s="58">
        <v>423787.33000000007</v>
      </c>
      <c r="H17" s="58">
        <v>570597.40000000014</v>
      </c>
      <c r="I17" s="58">
        <v>353251.54999999981</v>
      </c>
      <c r="J17" s="58">
        <v>440230.40000000014</v>
      </c>
      <c r="K17" s="58">
        <v>471025.79999999981</v>
      </c>
      <c r="L17" s="58">
        <v>511417.71999999974</v>
      </c>
      <c r="M17" s="58">
        <v>625048.64000000013</v>
      </c>
      <c r="N17" s="58">
        <v>665891.04</v>
      </c>
      <c r="O17" s="58">
        <v>548528.63000000035</v>
      </c>
      <c r="P17" s="58">
        <v>667380.45000000019</v>
      </c>
      <c r="Q17" s="58">
        <v>6390634.6000000006</v>
      </c>
      <c r="S17" s="70"/>
    </row>
    <row r="18" spans="1:19" x14ac:dyDescent="0.2">
      <c r="A18" s="52" t="s">
        <v>7</v>
      </c>
      <c r="B18" s="53"/>
      <c r="C18" s="53"/>
      <c r="D18" s="69"/>
      <c r="E18" s="57">
        <v>53430.65</v>
      </c>
      <c r="F18" s="58">
        <v>49384.61</v>
      </c>
      <c r="G18" s="58">
        <v>69668.88</v>
      </c>
      <c r="H18" s="58">
        <v>75042.28</v>
      </c>
      <c r="I18" s="58">
        <v>76833.66</v>
      </c>
      <c r="J18" s="58">
        <v>72372.05</v>
      </c>
      <c r="K18" s="58">
        <v>77434.679999999993</v>
      </c>
      <c r="L18" s="58">
        <v>84074.95</v>
      </c>
      <c r="M18" s="58">
        <v>84112.58</v>
      </c>
      <c r="N18" s="58">
        <v>87575.77</v>
      </c>
      <c r="O18" s="58">
        <v>72140.66</v>
      </c>
      <c r="P18" s="58">
        <v>87771.66</v>
      </c>
      <c r="Q18" s="58">
        <v>889842.43</v>
      </c>
    </row>
    <row r="19" spans="1:19" x14ac:dyDescent="0.2">
      <c r="A19" s="52" t="s">
        <v>8</v>
      </c>
      <c r="B19" s="53"/>
      <c r="C19" s="53"/>
      <c r="D19" s="69"/>
      <c r="E19" s="57">
        <v>81241.929999999993</v>
      </c>
      <c r="F19" s="58">
        <v>75089.88</v>
      </c>
      <c r="G19" s="58">
        <v>105932.35</v>
      </c>
      <c r="H19" s="58">
        <v>114102.67</v>
      </c>
      <c r="I19" s="58">
        <v>116826.48</v>
      </c>
      <c r="J19" s="58">
        <v>110042.55</v>
      </c>
      <c r="K19" s="58">
        <v>117740.34</v>
      </c>
      <c r="L19" s="58">
        <v>127836.95</v>
      </c>
      <c r="M19" s="58">
        <v>127894.17</v>
      </c>
      <c r="N19" s="58">
        <v>133160</v>
      </c>
      <c r="O19" s="58">
        <v>109690.73</v>
      </c>
      <c r="P19" s="58">
        <v>133457.84</v>
      </c>
      <c r="Q19" s="58">
        <v>1353015.89</v>
      </c>
    </row>
    <row r="20" spans="1:19" x14ac:dyDescent="0.2">
      <c r="A20" s="52" t="s">
        <v>9</v>
      </c>
      <c r="B20" s="53"/>
      <c r="C20" s="53"/>
      <c r="D20" s="69"/>
      <c r="E20" s="57">
        <v>76371</v>
      </c>
      <c r="F20" s="58">
        <v>70587.8</v>
      </c>
      <c r="G20" s="58">
        <v>99581.09</v>
      </c>
      <c r="H20" s="58">
        <v>107261.55</v>
      </c>
      <c r="I20" s="58">
        <v>109822.06</v>
      </c>
      <c r="J20" s="58">
        <v>103444.86</v>
      </c>
      <c r="K20" s="58">
        <v>110681.12</v>
      </c>
      <c r="L20" s="58">
        <v>120172.38</v>
      </c>
      <c r="M20" s="58">
        <v>120226.17</v>
      </c>
      <c r="N20" s="58">
        <v>125176.28</v>
      </c>
      <c r="O20" s="58">
        <v>103114.13</v>
      </c>
      <c r="P20" s="58">
        <v>125456.27</v>
      </c>
      <c r="Q20" s="58">
        <v>1271894.71</v>
      </c>
    </row>
    <row r="21" spans="1:19" x14ac:dyDescent="0.2">
      <c r="A21" s="52" t="s">
        <v>10</v>
      </c>
      <c r="B21" s="53"/>
      <c r="C21" s="53"/>
      <c r="D21" s="69"/>
      <c r="E21" s="57">
        <v>71606.899999999994</v>
      </c>
      <c r="F21" s="58">
        <v>66184.460000000006</v>
      </c>
      <c r="G21" s="58">
        <v>93369.11</v>
      </c>
      <c r="H21" s="58">
        <v>100570.46</v>
      </c>
      <c r="I21" s="58">
        <v>102971.23</v>
      </c>
      <c r="J21" s="58">
        <v>96991.86</v>
      </c>
      <c r="K21" s="58">
        <v>103776.71</v>
      </c>
      <c r="L21" s="58">
        <v>112675.89</v>
      </c>
      <c r="M21" s="58">
        <v>112726.33</v>
      </c>
      <c r="N21" s="58">
        <v>117367.65</v>
      </c>
      <c r="O21" s="58">
        <v>96681.76</v>
      </c>
      <c r="P21" s="58">
        <v>117630.17</v>
      </c>
      <c r="Q21" s="58">
        <v>1192552.5299999998</v>
      </c>
    </row>
    <row r="22" spans="1:19" x14ac:dyDescent="0.2">
      <c r="A22" s="52" t="s">
        <v>11</v>
      </c>
      <c r="B22" s="53"/>
      <c r="C22" s="53"/>
      <c r="D22" s="69"/>
      <c r="E22" s="57">
        <v>68662.98</v>
      </c>
      <c r="F22" s="58">
        <v>63463.46</v>
      </c>
      <c r="G22" s="58">
        <v>89530.49</v>
      </c>
      <c r="H22" s="58">
        <v>96435.78</v>
      </c>
      <c r="I22" s="58">
        <v>98737.86</v>
      </c>
      <c r="J22" s="58">
        <v>93004.3</v>
      </c>
      <c r="K22" s="58">
        <v>99510.22</v>
      </c>
      <c r="L22" s="58">
        <v>108043.54</v>
      </c>
      <c r="M22" s="58">
        <v>108091.89</v>
      </c>
      <c r="N22" s="58">
        <v>112542.39999999999</v>
      </c>
      <c r="O22" s="58">
        <v>92706.95</v>
      </c>
      <c r="P22" s="58">
        <v>112794.13</v>
      </c>
      <c r="Q22" s="58">
        <v>1143524</v>
      </c>
    </row>
    <row r="23" spans="1:19" x14ac:dyDescent="0.2">
      <c r="A23" s="52" t="s">
        <v>12</v>
      </c>
      <c r="B23" s="53"/>
      <c r="C23" s="53"/>
      <c r="D23" s="69"/>
      <c r="E23" s="57">
        <v>71683.8</v>
      </c>
      <c r="F23" s="58">
        <v>66255.539999999994</v>
      </c>
      <c r="G23" s="58">
        <v>93469.39</v>
      </c>
      <c r="H23" s="58">
        <v>100678.48</v>
      </c>
      <c r="I23" s="58">
        <v>103081.83</v>
      </c>
      <c r="J23" s="58">
        <v>97096.03</v>
      </c>
      <c r="K23" s="58">
        <v>103888.17</v>
      </c>
      <c r="L23" s="58">
        <v>112796.91</v>
      </c>
      <c r="M23" s="58">
        <v>112847.4</v>
      </c>
      <c r="N23" s="58">
        <v>117493.7</v>
      </c>
      <c r="O23" s="58">
        <v>96785.600000000006</v>
      </c>
      <c r="P23" s="58">
        <v>117756.51</v>
      </c>
      <c r="Q23" s="58">
        <v>1193833.3600000001</v>
      </c>
    </row>
    <row r="24" spans="1:19" x14ac:dyDescent="0.2">
      <c r="A24" s="52" t="s">
        <v>13</v>
      </c>
      <c r="B24" s="53"/>
      <c r="C24" s="53"/>
      <c r="D24" s="69"/>
      <c r="E24" s="57">
        <v>58327.21</v>
      </c>
      <c r="F24" s="58">
        <v>53910.38</v>
      </c>
      <c r="G24" s="58">
        <v>76053.56</v>
      </c>
      <c r="H24" s="58">
        <v>81919.41</v>
      </c>
      <c r="I24" s="58">
        <v>83874.95</v>
      </c>
      <c r="J24" s="58">
        <v>79004.460000000006</v>
      </c>
      <c r="K24" s="58">
        <v>84531.05</v>
      </c>
      <c r="L24" s="58">
        <v>91779.86</v>
      </c>
      <c r="M24" s="58">
        <v>91820.94</v>
      </c>
      <c r="N24" s="58">
        <v>95601.51</v>
      </c>
      <c r="O24" s="58">
        <v>78751.87</v>
      </c>
      <c r="P24" s="58">
        <v>95815.35</v>
      </c>
      <c r="Q24" s="58">
        <v>971390.55</v>
      </c>
    </row>
    <row r="25" spans="1:19" x14ac:dyDescent="0.2">
      <c r="A25" s="52" t="s">
        <v>14</v>
      </c>
      <c r="B25" s="53"/>
      <c r="C25" s="53"/>
      <c r="D25" s="69"/>
      <c r="E25" s="57">
        <v>58083.66</v>
      </c>
      <c r="F25" s="58">
        <v>53685.27</v>
      </c>
      <c r="G25" s="58">
        <v>75736</v>
      </c>
      <c r="H25" s="58">
        <v>81577.350000000006</v>
      </c>
      <c r="I25" s="58">
        <v>83524.73</v>
      </c>
      <c r="J25" s="58">
        <v>78674.58</v>
      </c>
      <c r="K25" s="58">
        <v>84178.09</v>
      </c>
      <c r="L25" s="58">
        <v>91396.63</v>
      </c>
      <c r="M25" s="58">
        <v>91437.54</v>
      </c>
      <c r="N25" s="58">
        <v>95202.33</v>
      </c>
      <c r="O25" s="58">
        <v>78423.039999999994</v>
      </c>
      <c r="P25" s="58">
        <v>95415.27</v>
      </c>
      <c r="Q25" s="58">
        <v>967334.49000000011</v>
      </c>
    </row>
    <row r="26" spans="1:19" x14ac:dyDescent="0.2">
      <c r="A26" s="52" t="s">
        <v>15</v>
      </c>
      <c r="B26" s="53"/>
      <c r="C26" s="53"/>
      <c r="D26" s="69"/>
      <c r="E26" s="57">
        <v>51738.64</v>
      </c>
      <c r="F26" s="58">
        <v>47820.73</v>
      </c>
      <c r="G26" s="58">
        <v>67462.649999999994</v>
      </c>
      <c r="H26" s="58">
        <v>72665.89</v>
      </c>
      <c r="I26" s="58">
        <v>74400.539999999994</v>
      </c>
      <c r="J26" s="58">
        <v>70080.22</v>
      </c>
      <c r="K26" s="58">
        <v>74982.53</v>
      </c>
      <c r="L26" s="58">
        <v>81412.52</v>
      </c>
      <c r="M26" s="58">
        <v>81448.960000000006</v>
      </c>
      <c r="N26" s="58">
        <v>84802.48</v>
      </c>
      <c r="O26" s="58">
        <v>69856.160000000003</v>
      </c>
      <c r="P26" s="58">
        <v>84992.17</v>
      </c>
      <c r="Q26" s="58">
        <v>861663.49</v>
      </c>
    </row>
    <row r="27" spans="1:19" x14ac:dyDescent="0.2">
      <c r="A27" s="52" t="s">
        <v>16</v>
      </c>
      <c r="B27" s="53"/>
      <c r="C27" s="53"/>
      <c r="D27" s="69"/>
      <c r="E27" s="57">
        <v>164735.6</v>
      </c>
      <c r="F27" s="58">
        <v>152260.98000000001</v>
      </c>
      <c r="G27" s="58">
        <v>214800.76</v>
      </c>
      <c r="H27" s="58">
        <v>231367.87</v>
      </c>
      <c r="I27" s="58">
        <v>236890.98</v>
      </c>
      <c r="J27" s="58">
        <v>223135.09</v>
      </c>
      <c r="K27" s="58">
        <v>238744.03</v>
      </c>
      <c r="L27" s="58">
        <v>259217.08</v>
      </c>
      <c r="M27" s="58">
        <v>259333.11</v>
      </c>
      <c r="N27" s="58">
        <v>270010.71000000002</v>
      </c>
      <c r="O27" s="58">
        <v>222421.69</v>
      </c>
      <c r="P27" s="58">
        <v>270614.65999999997</v>
      </c>
      <c r="Q27" s="58">
        <v>2743532.56</v>
      </c>
    </row>
    <row r="28" spans="1:19" x14ac:dyDescent="0.2">
      <c r="A28" s="52" t="s">
        <v>77</v>
      </c>
      <c r="B28" s="94" t="s">
        <v>79</v>
      </c>
      <c r="C28" s="91"/>
      <c r="D28" s="69"/>
      <c r="E28" s="57"/>
      <c r="F28" s="58">
        <v>172098.90000000002</v>
      </c>
      <c r="G28" s="58">
        <v>242785.65</v>
      </c>
      <c r="H28" s="58">
        <v>217973.67</v>
      </c>
      <c r="I28" s="58">
        <v>311291.36</v>
      </c>
      <c r="J28" s="58">
        <v>252205.81</v>
      </c>
      <c r="K28" s="58">
        <v>269848.32000000001</v>
      </c>
      <c r="L28" s="58">
        <v>292988.67</v>
      </c>
      <c r="M28" s="58">
        <v>249853.76</v>
      </c>
      <c r="N28" s="58">
        <v>254379.44</v>
      </c>
      <c r="O28" s="58">
        <v>209545.4</v>
      </c>
      <c r="P28" s="58">
        <v>254948.42</v>
      </c>
      <c r="Q28" s="58">
        <v>2727919.4</v>
      </c>
    </row>
    <row r="29" spans="1:19" x14ac:dyDescent="0.2">
      <c r="A29" s="52" t="s">
        <v>78</v>
      </c>
      <c r="B29" s="94" t="s">
        <v>79</v>
      </c>
      <c r="C29" s="91"/>
      <c r="D29" s="69"/>
      <c r="E29" s="71"/>
      <c r="F29" s="55">
        <v>278993.25</v>
      </c>
      <c r="G29" s="55">
        <v>393591.75</v>
      </c>
      <c r="H29" s="55">
        <v>353367.83</v>
      </c>
      <c r="I29" s="55">
        <v>504649.71000000008</v>
      </c>
      <c r="J29" s="55">
        <v>408863.23</v>
      </c>
      <c r="K29" s="55">
        <v>437464.38</v>
      </c>
      <c r="L29" s="55">
        <v>474978.32</v>
      </c>
      <c r="M29" s="55">
        <v>405054.95</v>
      </c>
      <c r="N29" s="55">
        <v>412387</v>
      </c>
      <c r="O29" s="55">
        <v>339704.35</v>
      </c>
      <c r="P29" s="55">
        <v>413309.41</v>
      </c>
      <c r="Q29" s="55">
        <v>4422364.18</v>
      </c>
    </row>
    <row r="30" spans="1:19" x14ac:dyDescent="0.2">
      <c r="A30" s="52"/>
      <c r="B30" s="53"/>
      <c r="C30" s="53"/>
      <c r="D30" s="69"/>
      <c r="E30" s="63">
        <v>1568951.12</v>
      </c>
      <c r="F30" s="64">
        <v>1450142.15</v>
      </c>
      <c r="G30" s="64">
        <v>2045769.01</v>
      </c>
      <c r="H30" s="64">
        <v>2203560.64</v>
      </c>
      <c r="I30" s="64">
        <v>2256156.94</v>
      </c>
      <c r="J30" s="64">
        <v>2125145.44</v>
      </c>
      <c r="K30" s="64">
        <v>2273805.44</v>
      </c>
      <c r="L30" s="64">
        <v>2468791.42</v>
      </c>
      <c r="M30" s="64">
        <v>2469896.44</v>
      </c>
      <c r="N30" s="64">
        <v>2571590.31</v>
      </c>
      <c r="O30" s="64">
        <v>2118350.9700000002</v>
      </c>
      <c r="P30" s="64">
        <v>2577342.31</v>
      </c>
      <c r="Q30" s="64">
        <v>26129502.189999994</v>
      </c>
      <c r="S30" s="70"/>
    </row>
    <row r="31" spans="1:19" x14ac:dyDescent="0.2">
      <c r="A31" s="52"/>
      <c r="B31" s="53"/>
      <c r="C31" s="53"/>
      <c r="D31" s="69"/>
      <c r="E31" s="54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</row>
    <row r="32" spans="1:19" ht="13.5" thickBot="1" x14ac:dyDescent="0.25">
      <c r="A32" s="65" t="s">
        <v>17</v>
      </c>
      <c r="B32" s="66"/>
      <c r="C32" s="53"/>
      <c r="D32" s="54"/>
      <c r="E32" s="67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spans="1:17" x14ac:dyDescent="0.2">
      <c r="A33" s="52" t="s">
        <v>18</v>
      </c>
      <c r="B33" s="53"/>
      <c r="C33" s="53"/>
      <c r="D33" s="69"/>
      <c r="E33" s="57">
        <v>192991.24999999994</v>
      </c>
      <c r="F33" s="58">
        <v>178376.97000000009</v>
      </c>
      <c r="G33" s="58">
        <v>251649.20999999996</v>
      </c>
      <c r="H33" s="58">
        <v>271052.36</v>
      </c>
      <c r="I33" s="58">
        <v>277528.94999999995</v>
      </c>
      <c r="J33" s="58">
        <v>261413.27999999991</v>
      </c>
      <c r="K33" s="58">
        <v>279699.89999999991</v>
      </c>
      <c r="L33" s="58">
        <v>303685.04000000004</v>
      </c>
      <c r="M33" s="58">
        <v>303820.96000000008</v>
      </c>
      <c r="N33" s="58">
        <v>316330.28000000003</v>
      </c>
      <c r="O33" s="58">
        <v>260577.47999999998</v>
      </c>
      <c r="P33" s="58">
        <v>317037.83000000007</v>
      </c>
      <c r="Q33" s="58">
        <v>3214163.5099999993</v>
      </c>
    </row>
    <row r="34" spans="1:17" x14ac:dyDescent="0.2">
      <c r="A34" s="52" t="s">
        <v>19</v>
      </c>
      <c r="B34" s="53"/>
      <c r="C34" s="53"/>
      <c r="D34" s="69"/>
      <c r="E34" s="57">
        <v>101178.55</v>
      </c>
      <c r="F34" s="58">
        <v>93516.79</v>
      </c>
      <c r="G34" s="58">
        <v>131927.95000000001</v>
      </c>
      <c r="H34" s="58">
        <v>142103.26</v>
      </c>
      <c r="I34" s="58">
        <v>145495.48000000001</v>
      </c>
      <c r="J34" s="58">
        <v>137046.79</v>
      </c>
      <c r="K34" s="58">
        <v>146633.60000000001</v>
      </c>
      <c r="L34" s="58">
        <v>159207.9</v>
      </c>
      <c r="M34" s="58">
        <v>159279.16</v>
      </c>
      <c r="N34" s="58">
        <v>165837.21</v>
      </c>
      <c r="O34" s="58">
        <v>136608.63</v>
      </c>
      <c r="P34" s="58">
        <v>166208.15</v>
      </c>
      <c r="Q34" s="58">
        <v>1685043.4699999997</v>
      </c>
    </row>
    <row r="35" spans="1:17" x14ac:dyDescent="0.2">
      <c r="A35" s="52" t="s">
        <v>20</v>
      </c>
      <c r="B35" s="53"/>
      <c r="C35" s="53"/>
      <c r="D35" s="69"/>
      <c r="E35" s="57">
        <v>99747.18</v>
      </c>
      <c r="F35" s="58">
        <v>92193.81</v>
      </c>
      <c r="G35" s="58">
        <v>130061.57</v>
      </c>
      <c r="H35" s="58">
        <v>140092.93</v>
      </c>
      <c r="I35" s="58">
        <v>143437.17000000001</v>
      </c>
      <c r="J35" s="58">
        <v>135107.99</v>
      </c>
      <c r="K35" s="58">
        <v>144559.18</v>
      </c>
      <c r="L35" s="58">
        <v>156955.59</v>
      </c>
      <c r="M35" s="58">
        <v>157025.84</v>
      </c>
      <c r="N35" s="58">
        <v>163491.12</v>
      </c>
      <c r="O35" s="58">
        <v>134676.03</v>
      </c>
      <c r="P35" s="58">
        <v>163856.81</v>
      </c>
      <c r="Q35" s="58">
        <v>1661205.22</v>
      </c>
    </row>
    <row r="36" spans="1:17" x14ac:dyDescent="0.2">
      <c r="A36" s="52" t="s">
        <v>21</v>
      </c>
      <c r="B36" s="53"/>
      <c r="C36" s="53"/>
      <c r="D36" s="69"/>
      <c r="E36" s="57">
        <v>103242.28</v>
      </c>
      <c r="F36" s="58">
        <v>95424.25</v>
      </c>
      <c r="G36" s="58">
        <v>134618.88</v>
      </c>
      <c r="H36" s="58">
        <v>145001.73000000001</v>
      </c>
      <c r="I36" s="58">
        <v>148463.15</v>
      </c>
      <c r="J36" s="58">
        <v>139842.13</v>
      </c>
      <c r="K36" s="58">
        <v>149624.48000000001</v>
      </c>
      <c r="L36" s="58">
        <v>162455.25</v>
      </c>
      <c r="M36" s="58">
        <v>162527.97</v>
      </c>
      <c r="N36" s="58">
        <v>169219.79</v>
      </c>
      <c r="O36" s="58">
        <v>139395.03</v>
      </c>
      <c r="P36" s="58">
        <v>169598.29</v>
      </c>
      <c r="Q36" s="58">
        <v>1719413.23</v>
      </c>
    </row>
    <row r="37" spans="1:17" x14ac:dyDescent="0.2">
      <c r="A37" s="52" t="s">
        <v>22</v>
      </c>
      <c r="B37" s="53"/>
      <c r="C37" s="53"/>
      <c r="D37" s="69"/>
      <c r="E37" s="71">
        <v>82651.929999999993</v>
      </c>
      <c r="F37" s="55">
        <v>76393.11</v>
      </c>
      <c r="G37" s="55">
        <v>107770.87</v>
      </c>
      <c r="H37" s="55">
        <v>116083</v>
      </c>
      <c r="I37" s="55">
        <v>118854.08</v>
      </c>
      <c r="J37" s="55">
        <v>111952.41</v>
      </c>
      <c r="K37" s="55">
        <v>119783.8</v>
      </c>
      <c r="L37" s="55">
        <v>130055.64</v>
      </c>
      <c r="M37" s="55">
        <v>130113.85</v>
      </c>
      <c r="N37" s="55">
        <v>135471.07</v>
      </c>
      <c r="O37" s="55">
        <v>111594.48</v>
      </c>
      <c r="P37" s="55">
        <v>135774.09</v>
      </c>
      <c r="Q37" s="55">
        <v>1376498.33</v>
      </c>
    </row>
    <row r="38" spans="1:17" x14ac:dyDescent="0.2">
      <c r="A38" s="52"/>
      <c r="B38" s="53"/>
      <c r="C38" s="53"/>
      <c r="D38" s="69"/>
      <c r="E38" s="63">
        <v>579811.18999999994</v>
      </c>
      <c r="F38" s="64">
        <v>535904.93000000005</v>
      </c>
      <c r="G38" s="64">
        <v>756028.48</v>
      </c>
      <c r="H38" s="64">
        <v>814333.28</v>
      </c>
      <c r="I38" s="64">
        <v>833778.83</v>
      </c>
      <c r="J38" s="64">
        <v>785362.6</v>
      </c>
      <c r="K38" s="64">
        <v>840300.96</v>
      </c>
      <c r="L38" s="64">
        <v>912359.42</v>
      </c>
      <c r="M38" s="64">
        <v>912767.78</v>
      </c>
      <c r="N38" s="64">
        <v>950349.47</v>
      </c>
      <c r="O38" s="64">
        <v>782851.65</v>
      </c>
      <c r="P38" s="64">
        <v>952475.17</v>
      </c>
      <c r="Q38" s="64">
        <v>9656323.7599999998</v>
      </c>
    </row>
    <row r="39" spans="1:17" x14ac:dyDescent="0.2">
      <c r="A39" s="73"/>
      <c r="B39" s="53"/>
      <c r="C39" s="53"/>
      <c r="D39" s="69"/>
      <c r="E39" s="54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</row>
    <row r="40" spans="1:17" ht="13.5" thickBot="1" x14ac:dyDescent="0.25">
      <c r="A40" s="65" t="s">
        <v>65</v>
      </c>
      <c r="B40" s="66"/>
      <c r="C40" s="53"/>
      <c r="D40" s="54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spans="1:17" x14ac:dyDescent="0.2">
      <c r="A41" s="52" t="s">
        <v>23</v>
      </c>
      <c r="B41" s="53"/>
      <c r="C41" s="53"/>
      <c r="D41" s="69"/>
      <c r="E41" s="57">
        <v>211936.56999999995</v>
      </c>
      <c r="F41" s="58">
        <v>195887.66999999998</v>
      </c>
      <c r="G41" s="58">
        <v>276341.13000000012</v>
      </c>
      <c r="H41" s="58">
        <v>297660.72000000009</v>
      </c>
      <c r="I41" s="58">
        <v>304760.20999999996</v>
      </c>
      <c r="J41" s="58">
        <v>287063.25</v>
      </c>
      <c r="K41" s="58">
        <v>307144.16000000003</v>
      </c>
      <c r="L41" s="58">
        <v>333482.71999999997</v>
      </c>
      <c r="M41" s="58">
        <v>333631.97999999986</v>
      </c>
      <c r="N41" s="58">
        <v>347368.72000000009</v>
      </c>
      <c r="O41" s="58">
        <v>286145.45999999996</v>
      </c>
      <c r="P41" s="58">
        <v>348145.70000000019</v>
      </c>
      <c r="Q41" s="58">
        <v>3529568.290000001</v>
      </c>
    </row>
    <row r="42" spans="1:17" x14ac:dyDescent="0.2">
      <c r="A42" s="52" t="s">
        <v>24</v>
      </c>
      <c r="B42" s="53"/>
      <c r="C42" s="53"/>
      <c r="D42" s="69"/>
      <c r="E42" s="57">
        <v>52204.37</v>
      </c>
      <c r="F42" s="58">
        <v>48251.19</v>
      </c>
      <c r="G42" s="58">
        <v>68069.919999999998</v>
      </c>
      <c r="H42" s="58">
        <v>73320</v>
      </c>
      <c r="I42" s="58">
        <v>75070.259999999995</v>
      </c>
      <c r="J42" s="58">
        <v>70711.05</v>
      </c>
      <c r="K42" s="58">
        <v>75657.490000000005</v>
      </c>
      <c r="L42" s="58">
        <v>82145.36</v>
      </c>
      <c r="M42" s="58">
        <v>82182.13</v>
      </c>
      <c r="N42" s="58">
        <v>85565.84</v>
      </c>
      <c r="O42" s="58">
        <v>70484.97</v>
      </c>
      <c r="P42" s="58">
        <v>85757.23</v>
      </c>
      <c r="Q42" s="58">
        <v>869419.80999999994</v>
      </c>
    </row>
    <row r="43" spans="1:17" x14ac:dyDescent="0.2">
      <c r="A43" s="52" t="s">
        <v>25</v>
      </c>
      <c r="B43" s="53"/>
      <c r="C43" s="53"/>
      <c r="D43" s="69"/>
      <c r="E43" s="57">
        <v>43278.61</v>
      </c>
      <c r="F43" s="58">
        <v>40001.33</v>
      </c>
      <c r="G43" s="58">
        <v>56431.51</v>
      </c>
      <c r="H43" s="58">
        <v>60783.95</v>
      </c>
      <c r="I43" s="58">
        <v>62234.96</v>
      </c>
      <c r="J43" s="58">
        <v>58621.07</v>
      </c>
      <c r="K43" s="58">
        <v>62721.78</v>
      </c>
      <c r="L43" s="58">
        <v>68100.37</v>
      </c>
      <c r="M43" s="58">
        <v>68130.850000000006</v>
      </c>
      <c r="N43" s="58">
        <v>70936.03</v>
      </c>
      <c r="O43" s="58">
        <v>58433.65</v>
      </c>
      <c r="P43" s="58">
        <v>71094.69</v>
      </c>
      <c r="Q43" s="58">
        <v>720768.8</v>
      </c>
    </row>
    <row r="44" spans="1:17" x14ac:dyDescent="0.2">
      <c r="A44" s="52" t="s">
        <v>26</v>
      </c>
      <c r="B44" s="53"/>
      <c r="C44" s="53"/>
      <c r="D44" s="69"/>
      <c r="E44" s="57">
        <v>46594.26</v>
      </c>
      <c r="F44" s="58">
        <v>43065.9</v>
      </c>
      <c r="G44" s="58">
        <v>60754.83</v>
      </c>
      <c r="H44" s="58">
        <v>65440.71</v>
      </c>
      <c r="I44" s="58">
        <v>67002.880000000005</v>
      </c>
      <c r="J44" s="58">
        <v>63112.13</v>
      </c>
      <c r="K44" s="58">
        <v>67527</v>
      </c>
      <c r="L44" s="58">
        <v>73317.66</v>
      </c>
      <c r="M44" s="58">
        <v>73350.47</v>
      </c>
      <c r="N44" s="58">
        <v>76370.559999999998</v>
      </c>
      <c r="O44" s="58">
        <v>62910.35</v>
      </c>
      <c r="P44" s="58">
        <v>76541.38</v>
      </c>
      <c r="Q44" s="58">
        <v>775988.12999999989</v>
      </c>
    </row>
    <row r="45" spans="1:17" x14ac:dyDescent="0.2">
      <c r="A45" s="52" t="s">
        <v>27</v>
      </c>
      <c r="B45" s="53"/>
      <c r="C45" s="53"/>
      <c r="D45" s="69"/>
      <c r="E45" s="57">
        <v>39877.51</v>
      </c>
      <c r="F45" s="58">
        <v>36857.78</v>
      </c>
      <c r="G45" s="58">
        <v>51996.77</v>
      </c>
      <c r="H45" s="58">
        <v>56007.17</v>
      </c>
      <c r="I45" s="58">
        <v>57344.14</v>
      </c>
      <c r="J45" s="58">
        <v>54014.26</v>
      </c>
      <c r="K45" s="58">
        <v>57792.71</v>
      </c>
      <c r="L45" s="58">
        <v>62748.62</v>
      </c>
      <c r="M45" s="58">
        <v>62776.71</v>
      </c>
      <c r="N45" s="58">
        <v>65361.43</v>
      </c>
      <c r="O45" s="58">
        <v>53841.57</v>
      </c>
      <c r="P45" s="58">
        <v>65507.63</v>
      </c>
      <c r="Q45" s="58">
        <v>664126.30000000005</v>
      </c>
    </row>
    <row r="46" spans="1:17" x14ac:dyDescent="0.2">
      <c r="A46" s="52" t="s">
        <v>28</v>
      </c>
      <c r="B46" s="53"/>
      <c r="C46" s="53"/>
      <c r="D46" s="69"/>
      <c r="E46" s="57">
        <v>55656.75</v>
      </c>
      <c r="F46" s="58">
        <v>51442.13</v>
      </c>
      <c r="G46" s="58">
        <v>72571.509999999995</v>
      </c>
      <c r="H46" s="58">
        <v>78168.789999999994</v>
      </c>
      <c r="I46" s="58">
        <v>80034.8</v>
      </c>
      <c r="J46" s="58">
        <v>75387.31</v>
      </c>
      <c r="K46" s="58">
        <v>80660.87</v>
      </c>
      <c r="L46" s="58">
        <v>87577.79</v>
      </c>
      <c r="M46" s="58">
        <v>87616.99</v>
      </c>
      <c r="N46" s="58">
        <v>91224.47</v>
      </c>
      <c r="O46" s="58">
        <v>75146.28</v>
      </c>
      <c r="P46" s="58">
        <v>91428.52</v>
      </c>
      <c r="Q46" s="58">
        <v>926916.21</v>
      </c>
    </row>
    <row r="47" spans="1:17" x14ac:dyDescent="0.2">
      <c r="A47" s="52" t="s">
        <v>29</v>
      </c>
      <c r="B47" s="53"/>
      <c r="C47" s="53"/>
      <c r="D47" s="69"/>
      <c r="E47" s="57">
        <v>44940.71</v>
      </c>
      <c r="F47" s="58">
        <v>41537.57</v>
      </c>
      <c r="G47" s="58">
        <v>58598.74</v>
      </c>
      <c r="H47" s="58">
        <v>63118.33</v>
      </c>
      <c r="I47" s="58">
        <v>64625.06</v>
      </c>
      <c r="J47" s="58">
        <v>60872.39</v>
      </c>
      <c r="K47" s="58">
        <v>65130.58</v>
      </c>
      <c r="L47" s="58">
        <v>70715.740000000005</v>
      </c>
      <c r="M47" s="58">
        <v>70747.39</v>
      </c>
      <c r="N47" s="58">
        <v>73660.3</v>
      </c>
      <c r="O47" s="58">
        <v>60677.77</v>
      </c>
      <c r="P47" s="58">
        <v>73825.06</v>
      </c>
      <c r="Q47" s="58">
        <v>748449.64000000013</v>
      </c>
    </row>
    <row r="48" spans="1:17" x14ac:dyDescent="0.2">
      <c r="A48" s="52" t="s">
        <v>30</v>
      </c>
      <c r="B48" s="53"/>
      <c r="C48" s="53"/>
      <c r="D48" s="69"/>
      <c r="E48" s="57">
        <v>39219.51</v>
      </c>
      <c r="F48" s="58">
        <v>36249.599999999999</v>
      </c>
      <c r="G48" s="58">
        <v>51138.79</v>
      </c>
      <c r="H48" s="58">
        <v>55083.01</v>
      </c>
      <c r="I48" s="58">
        <v>56397.93</v>
      </c>
      <c r="J48" s="58">
        <v>53122.99</v>
      </c>
      <c r="K48" s="58">
        <v>56839.1</v>
      </c>
      <c r="L48" s="58">
        <v>61713.23</v>
      </c>
      <c r="M48" s="58">
        <v>61740.85</v>
      </c>
      <c r="N48" s="58">
        <v>64282.93</v>
      </c>
      <c r="O48" s="58">
        <v>52953.15</v>
      </c>
      <c r="P48" s="58">
        <v>64426.71</v>
      </c>
      <c r="Q48" s="58">
        <v>653167.79999999993</v>
      </c>
    </row>
    <row r="49" spans="1:17" x14ac:dyDescent="0.2">
      <c r="A49" s="52" t="s">
        <v>31</v>
      </c>
      <c r="B49" s="53"/>
      <c r="C49" s="53"/>
      <c r="D49" s="69"/>
      <c r="E49" s="57">
        <v>56690.75</v>
      </c>
      <c r="F49" s="58">
        <v>52397.84</v>
      </c>
      <c r="G49" s="58">
        <v>73919.759999999995</v>
      </c>
      <c r="H49" s="58">
        <v>79621.03</v>
      </c>
      <c r="I49" s="58">
        <v>81521.710000000006</v>
      </c>
      <c r="J49" s="58">
        <v>76787.87</v>
      </c>
      <c r="K49" s="58">
        <v>82159.399999999994</v>
      </c>
      <c r="L49" s="58">
        <v>89204.83</v>
      </c>
      <c r="M49" s="58">
        <v>89244.76</v>
      </c>
      <c r="N49" s="58">
        <v>92919.26</v>
      </c>
      <c r="O49" s="58">
        <v>76542.37</v>
      </c>
      <c r="P49" s="58">
        <v>93127.1</v>
      </c>
      <c r="Q49" s="58">
        <v>944136.67999999993</v>
      </c>
    </row>
    <row r="50" spans="1:17" x14ac:dyDescent="0.2">
      <c r="A50" s="52" t="s">
        <v>32</v>
      </c>
      <c r="B50" s="53"/>
      <c r="C50" s="53"/>
      <c r="D50" s="69"/>
      <c r="E50" s="57">
        <v>37266.86</v>
      </c>
      <c r="F50" s="58">
        <v>34444.83</v>
      </c>
      <c r="G50" s="58">
        <v>48592.72</v>
      </c>
      <c r="H50" s="58">
        <v>52340.57</v>
      </c>
      <c r="I50" s="58">
        <v>53590.02</v>
      </c>
      <c r="J50" s="58">
        <v>50478.13</v>
      </c>
      <c r="K50" s="58">
        <v>54009.22</v>
      </c>
      <c r="L50" s="58">
        <v>58640.68</v>
      </c>
      <c r="M50" s="58">
        <v>58666.93</v>
      </c>
      <c r="N50" s="58">
        <v>61082.44</v>
      </c>
      <c r="O50" s="58">
        <v>50316.74</v>
      </c>
      <c r="P50" s="58">
        <v>61219.07</v>
      </c>
      <c r="Q50" s="58">
        <v>620648.21</v>
      </c>
    </row>
    <row r="51" spans="1:17" x14ac:dyDescent="0.2">
      <c r="A51" s="52" t="s">
        <v>33</v>
      </c>
      <c r="B51" s="53"/>
      <c r="C51" s="53"/>
      <c r="D51" s="69"/>
      <c r="E51" s="71">
        <v>42727.43</v>
      </c>
      <c r="F51" s="55">
        <v>39491.89</v>
      </c>
      <c r="G51" s="55">
        <v>55712.82</v>
      </c>
      <c r="H51" s="55">
        <v>60009.82</v>
      </c>
      <c r="I51" s="55">
        <v>61442.35</v>
      </c>
      <c r="J51" s="55">
        <v>57874.49</v>
      </c>
      <c r="K51" s="55">
        <v>61922.97</v>
      </c>
      <c r="L51" s="55">
        <v>67233.070000000007</v>
      </c>
      <c r="M51" s="55">
        <v>67263.16</v>
      </c>
      <c r="N51" s="55">
        <v>70032.61</v>
      </c>
      <c r="O51" s="55">
        <v>57689.45</v>
      </c>
      <c r="P51" s="55">
        <v>70189.25</v>
      </c>
      <c r="Q51" s="55">
        <v>711589.30999999994</v>
      </c>
    </row>
    <row r="52" spans="1:17" x14ac:dyDescent="0.2">
      <c r="A52" s="52"/>
      <c r="B52" s="53"/>
      <c r="C52" s="53"/>
      <c r="D52" s="69"/>
      <c r="E52" s="63">
        <v>670393.32999999996</v>
      </c>
      <c r="F52" s="64">
        <v>619627.73</v>
      </c>
      <c r="G52" s="64">
        <v>874128.5</v>
      </c>
      <c r="H52" s="64">
        <v>941554.1</v>
      </c>
      <c r="I52" s="64">
        <v>964024.31999999995</v>
      </c>
      <c r="J52" s="64">
        <v>908044.94</v>
      </c>
      <c r="K52" s="64">
        <v>971565.28</v>
      </c>
      <c r="L52" s="64">
        <v>1054880.07</v>
      </c>
      <c r="M52" s="64">
        <v>1055352.22</v>
      </c>
      <c r="N52" s="64">
        <v>1098804.5900000001</v>
      </c>
      <c r="O52" s="64">
        <v>905141.76000000001</v>
      </c>
      <c r="P52" s="64">
        <v>1101262.3400000001</v>
      </c>
      <c r="Q52" s="64">
        <v>11164779.18</v>
      </c>
    </row>
    <row r="53" spans="1:17" x14ac:dyDescent="0.2">
      <c r="A53" s="73"/>
      <c r="B53" s="53"/>
      <c r="C53" s="53"/>
      <c r="D53" s="69"/>
      <c r="E53" s="54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</row>
    <row r="54" spans="1:17" ht="13.5" thickBot="1" x14ac:dyDescent="0.25">
      <c r="A54" s="65" t="s">
        <v>66</v>
      </c>
      <c r="B54" s="66"/>
      <c r="C54" s="53"/>
      <c r="D54" s="54"/>
      <c r="E54" s="67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</row>
    <row r="55" spans="1:17" x14ac:dyDescent="0.2">
      <c r="A55" s="52" t="s">
        <v>34</v>
      </c>
      <c r="B55" s="53"/>
      <c r="C55" s="53"/>
      <c r="D55" s="69"/>
      <c r="E55" s="57">
        <v>181172.83000000002</v>
      </c>
      <c r="F55" s="58">
        <v>167453.50000000003</v>
      </c>
      <c r="G55" s="58">
        <v>236233.46999999997</v>
      </c>
      <c r="H55" s="58">
        <v>254453.64</v>
      </c>
      <c r="I55" s="58">
        <v>260527.83999999997</v>
      </c>
      <c r="J55" s="58">
        <v>245399.40000000002</v>
      </c>
      <c r="K55" s="58">
        <v>262565.79999999993</v>
      </c>
      <c r="L55" s="58">
        <v>285081.64000000007</v>
      </c>
      <c r="M55" s="58">
        <v>285209.24</v>
      </c>
      <c r="N55" s="58">
        <v>296952.25999999995</v>
      </c>
      <c r="O55" s="58">
        <v>244614.81999999995</v>
      </c>
      <c r="P55" s="58">
        <v>297616.46999999997</v>
      </c>
      <c r="Q55" s="58">
        <v>3017280.91</v>
      </c>
    </row>
    <row r="56" spans="1:17" x14ac:dyDescent="0.2">
      <c r="A56" s="52" t="s">
        <v>35</v>
      </c>
      <c r="B56" s="53"/>
      <c r="C56" s="53"/>
      <c r="D56" s="69"/>
      <c r="E56" s="57">
        <v>95171.07</v>
      </c>
      <c r="F56" s="58">
        <v>87964.23</v>
      </c>
      <c r="G56" s="58">
        <v>124094.73</v>
      </c>
      <c r="H56" s="58">
        <v>133665.88</v>
      </c>
      <c r="I56" s="58">
        <v>136856.69</v>
      </c>
      <c r="J56" s="58">
        <v>128909.64</v>
      </c>
      <c r="K56" s="58">
        <v>137927.23000000001</v>
      </c>
      <c r="L56" s="58">
        <v>149754.93</v>
      </c>
      <c r="M56" s="58">
        <v>149821.96</v>
      </c>
      <c r="N56" s="58">
        <v>155990.63</v>
      </c>
      <c r="O56" s="58">
        <v>128497.49</v>
      </c>
      <c r="P56" s="58">
        <v>156339.54</v>
      </c>
      <c r="Q56" s="58">
        <v>1584994.0199999998</v>
      </c>
    </row>
    <row r="57" spans="1:17" x14ac:dyDescent="0.2">
      <c r="A57" s="52" t="s">
        <v>36</v>
      </c>
      <c r="B57" s="53"/>
      <c r="C57" s="53"/>
      <c r="D57" s="69"/>
      <c r="E57" s="57">
        <v>100413.73</v>
      </c>
      <c r="F57" s="58">
        <v>92809.89</v>
      </c>
      <c r="G57" s="58">
        <v>130930.69</v>
      </c>
      <c r="H57" s="58">
        <v>141029.07999999999</v>
      </c>
      <c r="I57" s="58">
        <v>144395.67000000001</v>
      </c>
      <c r="J57" s="58">
        <v>136010.84</v>
      </c>
      <c r="K57" s="58">
        <v>145525.18</v>
      </c>
      <c r="L57" s="58">
        <v>158004.43</v>
      </c>
      <c r="M57" s="58">
        <v>158075.15</v>
      </c>
      <c r="N57" s="58">
        <v>164583.63</v>
      </c>
      <c r="O57" s="58">
        <v>135575.98000000001</v>
      </c>
      <c r="P57" s="58">
        <v>164951.76</v>
      </c>
      <c r="Q57" s="58">
        <v>1672306.03</v>
      </c>
    </row>
    <row r="58" spans="1:17" x14ac:dyDescent="0.2">
      <c r="A58" s="52" t="s">
        <v>55</v>
      </c>
      <c r="B58" s="53"/>
      <c r="C58" s="53"/>
      <c r="D58" s="69"/>
      <c r="E58" s="71">
        <v>74444</v>
      </c>
      <c r="F58" s="55">
        <v>68806.720000000001</v>
      </c>
      <c r="G58" s="55">
        <v>97068.44</v>
      </c>
      <c r="H58" s="55">
        <v>104555.11</v>
      </c>
      <c r="I58" s="55">
        <v>107051.01</v>
      </c>
      <c r="J58" s="55">
        <v>100834.72</v>
      </c>
      <c r="K58" s="55">
        <v>107888.4</v>
      </c>
      <c r="L58" s="55">
        <v>117140.17</v>
      </c>
      <c r="M58" s="55">
        <v>117192.6</v>
      </c>
      <c r="N58" s="55">
        <v>122017.81</v>
      </c>
      <c r="O58" s="55">
        <v>100512.34</v>
      </c>
      <c r="P58" s="55">
        <v>122290.73</v>
      </c>
      <c r="Q58" s="55">
        <v>1239802.05</v>
      </c>
    </row>
    <row r="59" spans="1:17" x14ac:dyDescent="0.2">
      <c r="A59" s="52"/>
      <c r="B59" s="53"/>
      <c r="C59" s="53"/>
      <c r="D59" s="69"/>
      <c r="E59" s="63">
        <v>451201.63</v>
      </c>
      <c r="F59" s="64">
        <v>417034.34</v>
      </c>
      <c r="G59" s="64">
        <v>588327.32999999996</v>
      </c>
      <c r="H59" s="64">
        <v>633703.71</v>
      </c>
      <c r="I59" s="64">
        <v>648831.21</v>
      </c>
      <c r="J59" s="64">
        <v>611154.6</v>
      </c>
      <c r="K59" s="64">
        <v>653906.61</v>
      </c>
      <c r="L59" s="64">
        <v>709981.17</v>
      </c>
      <c r="M59" s="64">
        <v>710298.95</v>
      </c>
      <c r="N59" s="64">
        <v>739544.33</v>
      </c>
      <c r="O59" s="64">
        <v>609200.63</v>
      </c>
      <c r="P59" s="64">
        <v>741198.5</v>
      </c>
      <c r="Q59" s="64">
        <v>7514383.0099999998</v>
      </c>
    </row>
    <row r="60" spans="1:17" x14ac:dyDescent="0.2">
      <c r="A60" s="52"/>
      <c r="B60" s="53"/>
      <c r="C60" s="53"/>
      <c r="D60" s="69"/>
      <c r="E60" s="57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</row>
    <row r="61" spans="1:17" ht="13.5" thickBot="1" x14ac:dyDescent="0.25">
      <c r="A61" s="65" t="s">
        <v>37</v>
      </c>
      <c r="B61" s="66"/>
      <c r="C61" s="53"/>
      <c r="D61" s="54"/>
      <c r="E61" s="67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</row>
    <row r="62" spans="1:17" x14ac:dyDescent="0.2">
      <c r="A62" s="52" t="s">
        <v>38</v>
      </c>
      <c r="B62" s="53"/>
      <c r="C62" s="53"/>
      <c r="D62" s="69"/>
      <c r="E62" s="57">
        <v>122448.27000000002</v>
      </c>
      <c r="F62" s="58">
        <v>113175.86000000004</v>
      </c>
      <c r="G62" s="58">
        <v>159661.77999999997</v>
      </c>
      <c r="H62" s="58">
        <v>171976.15999999992</v>
      </c>
      <c r="I62" s="58">
        <v>176081.47000000009</v>
      </c>
      <c r="J62" s="58">
        <v>165856.71000000002</v>
      </c>
      <c r="K62" s="58">
        <v>177458.87000000005</v>
      </c>
      <c r="L62" s="58">
        <v>192676.50999999995</v>
      </c>
      <c r="M62" s="58">
        <v>192762.77000000008</v>
      </c>
      <c r="N62" s="58">
        <v>200699.43000000005</v>
      </c>
      <c r="O62" s="58">
        <v>165326.43999999994</v>
      </c>
      <c r="P62" s="58">
        <v>201148.36</v>
      </c>
      <c r="Q62" s="58">
        <v>2039272.63</v>
      </c>
    </row>
    <row r="63" spans="1:17" x14ac:dyDescent="0.2">
      <c r="A63" s="52" t="s">
        <v>39</v>
      </c>
      <c r="B63" s="53"/>
      <c r="C63" s="53"/>
      <c r="D63" s="69"/>
      <c r="E63" s="57">
        <v>31823.39</v>
      </c>
      <c r="F63" s="58">
        <v>29413.56</v>
      </c>
      <c r="G63" s="58">
        <v>41494.9</v>
      </c>
      <c r="H63" s="58">
        <v>44695.31</v>
      </c>
      <c r="I63" s="58">
        <v>45762.26</v>
      </c>
      <c r="J63" s="58">
        <v>43104.92</v>
      </c>
      <c r="K63" s="58">
        <v>46120.23</v>
      </c>
      <c r="L63" s="58">
        <v>50075.19</v>
      </c>
      <c r="M63" s="58">
        <v>50097.599999999999</v>
      </c>
      <c r="N63" s="58">
        <v>52160.29</v>
      </c>
      <c r="O63" s="58">
        <v>42967.11</v>
      </c>
      <c r="P63" s="58">
        <v>52276.95</v>
      </c>
      <c r="Q63" s="58">
        <v>529991.71</v>
      </c>
    </row>
    <row r="64" spans="1:17" x14ac:dyDescent="0.2">
      <c r="A64" s="52" t="s">
        <v>40</v>
      </c>
      <c r="B64" s="53"/>
      <c r="C64" s="53"/>
      <c r="D64" s="69"/>
      <c r="E64" s="57">
        <v>32635.21</v>
      </c>
      <c r="F64" s="58">
        <v>30163.9</v>
      </c>
      <c r="G64" s="58">
        <v>42553.45</v>
      </c>
      <c r="H64" s="58">
        <v>45835.5</v>
      </c>
      <c r="I64" s="58">
        <v>46929.67</v>
      </c>
      <c r="J64" s="58">
        <v>44204.53</v>
      </c>
      <c r="K64" s="58">
        <v>47296.77</v>
      </c>
      <c r="L64" s="58">
        <v>51352.62</v>
      </c>
      <c r="M64" s="58">
        <v>51375.6</v>
      </c>
      <c r="N64" s="58">
        <v>53490.9</v>
      </c>
      <c r="O64" s="58">
        <v>44063.199999999997</v>
      </c>
      <c r="P64" s="58">
        <v>53610.55</v>
      </c>
      <c r="Q64" s="58">
        <v>543511.9</v>
      </c>
    </row>
    <row r="65" spans="1:18" x14ac:dyDescent="0.2">
      <c r="A65" s="52" t="s">
        <v>41</v>
      </c>
      <c r="B65" s="53"/>
      <c r="C65" s="53"/>
      <c r="D65" s="69"/>
      <c r="E65" s="57">
        <v>60745.58</v>
      </c>
      <c r="F65" s="58">
        <v>56145.62</v>
      </c>
      <c r="G65" s="58">
        <v>79206.91</v>
      </c>
      <c r="H65" s="58">
        <v>85315.96</v>
      </c>
      <c r="I65" s="58">
        <v>87352.59</v>
      </c>
      <c r="J65" s="58">
        <v>82280.160000000003</v>
      </c>
      <c r="K65" s="58">
        <v>88035.89</v>
      </c>
      <c r="L65" s="58">
        <v>95585.25</v>
      </c>
      <c r="M65" s="58">
        <v>95628.03</v>
      </c>
      <c r="N65" s="58">
        <v>99565.36</v>
      </c>
      <c r="O65" s="58">
        <v>82017.100000000006</v>
      </c>
      <c r="P65" s="58">
        <v>99788.06</v>
      </c>
      <c r="Q65" s="58">
        <v>1011666.51</v>
      </c>
    </row>
    <row r="66" spans="1:18" x14ac:dyDescent="0.2">
      <c r="A66" s="52" t="s">
        <v>42</v>
      </c>
      <c r="B66" s="53"/>
      <c r="C66" s="53"/>
      <c r="D66" s="69"/>
      <c r="E66" s="57">
        <v>49029.72</v>
      </c>
      <c r="F66" s="58">
        <v>45316.94</v>
      </c>
      <c r="G66" s="58">
        <v>63930.46</v>
      </c>
      <c r="H66" s="58">
        <v>68861.27</v>
      </c>
      <c r="I66" s="58">
        <v>70505.100000000006</v>
      </c>
      <c r="J66" s="58">
        <v>66410.98</v>
      </c>
      <c r="K66" s="58">
        <v>71056.61</v>
      </c>
      <c r="L66" s="58">
        <v>77149.94</v>
      </c>
      <c r="M66" s="58">
        <v>77184.47</v>
      </c>
      <c r="N66" s="58">
        <v>80362.42</v>
      </c>
      <c r="O66" s="58">
        <v>66198.649999999994</v>
      </c>
      <c r="P66" s="58">
        <v>80542.17</v>
      </c>
      <c r="Q66" s="58">
        <v>816548.7300000001</v>
      </c>
    </row>
    <row r="67" spans="1:18" x14ac:dyDescent="0.2">
      <c r="A67" s="52" t="s">
        <v>43</v>
      </c>
      <c r="B67" s="53"/>
      <c r="C67" s="53"/>
      <c r="D67" s="69"/>
      <c r="E67" s="57">
        <v>35450.949999999997</v>
      </c>
      <c r="F67" s="58">
        <v>32766.42</v>
      </c>
      <c r="G67" s="58">
        <v>46224.92</v>
      </c>
      <c r="H67" s="58">
        <v>49790.15</v>
      </c>
      <c r="I67" s="58">
        <v>50978.720000000001</v>
      </c>
      <c r="J67" s="58">
        <v>48018.46</v>
      </c>
      <c r="K67" s="58">
        <v>51377.49</v>
      </c>
      <c r="L67" s="58">
        <v>55783.27</v>
      </c>
      <c r="M67" s="58">
        <v>55808.24</v>
      </c>
      <c r="N67" s="58">
        <v>58106.05</v>
      </c>
      <c r="O67" s="58">
        <v>47864.94</v>
      </c>
      <c r="P67" s="58">
        <v>58236.02</v>
      </c>
      <c r="Q67" s="58">
        <v>590405.63</v>
      </c>
    </row>
    <row r="68" spans="1:18" x14ac:dyDescent="0.2">
      <c r="A68" s="52" t="s">
        <v>44</v>
      </c>
      <c r="B68" s="53"/>
      <c r="C68" s="53"/>
      <c r="D68" s="69"/>
      <c r="E68" s="57">
        <v>21859.35</v>
      </c>
      <c r="F68" s="58">
        <v>20204.05</v>
      </c>
      <c r="G68" s="58">
        <v>28502.68</v>
      </c>
      <c r="H68" s="58">
        <v>30701.02</v>
      </c>
      <c r="I68" s="58">
        <v>31433.91</v>
      </c>
      <c r="J68" s="58">
        <v>29608.59</v>
      </c>
      <c r="K68" s="58">
        <v>31679.79</v>
      </c>
      <c r="L68" s="58">
        <v>34396.44</v>
      </c>
      <c r="M68" s="58">
        <v>34411.83</v>
      </c>
      <c r="N68" s="58">
        <v>35828.68</v>
      </c>
      <c r="O68" s="58">
        <v>29513.919999999998</v>
      </c>
      <c r="P68" s="58">
        <v>35908.82</v>
      </c>
      <c r="Q68" s="58">
        <v>364049.07999999996</v>
      </c>
    </row>
    <row r="69" spans="1:18" x14ac:dyDescent="0.2">
      <c r="A69" s="52" t="s">
        <v>45</v>
      </c>
      <c r="B69" s="53"/>
      <c r="C69" s="53"/>
      <c r="D69" s="69"/>
      <c r="E69" s="57">
        <v>28994.83</v>
      </c>
      <c r="F69" s="58">
        <v>26799.200000000001</v>
      </c>
      <c r="G69" s="58">
        <v>37806.720000000001</v>
      </c>
      <c r="H69" s="58">
        <v>40722.660000000003</v>
      </c>
      <c r="I69" s="58">
        <v>41694.78</v>
      </c>
      <c r="J69" s="58">
        <v>39273.629999999997</v>
      </c>
      <c r="K69" s="58">
        <v>42020.93</v>
      </c>
      <c r="L69" s="58">
        <v>45624.36</v>
      </c>
      <c r="M69" s="58">
        <v>45644.78</v>
      </c>
      <c r="N69" s="58">
        <v>47524.13</v>
      </c>
      <c r="O69" s="58">
        <v>39148.06</v>
      </c>
      <c r="P69" s="58">
        <v>47630.43</v>
      </c>
      <c r="Q69" s="58">
        <v>482884.51</v>
      </c>
    </row>
    <row r="70" spans="1:18" x14ac:dyDescent="0.2">
      <c r="A70" s="52" t="s">
        <v>46</v>
      </c>
      <c r="B70" s="53"/>
      <c r="C70" s="53"/>
      <c r="D70" s="69"/>
      <c r="E70" s="57">
        <v>28802.560000000001</v>
      </c>
      <c r="F70" s="58">
        <v>26621.48</v>
      </c>
      <c r="G70" s="58">
        <v>37556.01</v>
      </c>
      <c r="H70" s="58">
        <v>40452.620000000003</v>
      </c>
      <c r="I70" s="58">
        <v>41418.29</v>
      </c>
      <c r="J70" s="58">
        <v>39013.19</v>
      </c>
      <c r="K70" s="58">
        <v>41742.28</v>
      </c>
      <c r="L70" s="58">
        <v>45321.81</v>
      </c>
      <c r="M70" s="58">
        <v>45342.09</v>
      </c>
      <c r="N70" s="58">
        <v>47208.98</v>
      </c>
      <c r="O70" s="58">
        <v>38888.46</v>
      </c>
      <c r="P70" s="58">
        <v>47314.57</v>
      </c>
      <c r="Q70" s="58">
        <v>479682.33999999997</v>
      </c>
    </row>
    <row r="71" spans="1:18" x14ac:dyDescent="0.2">
      <c r="A71" s="52" t="s">
        <v>56</v>
      </c>
      <c r="B71" s="53"/>
      <c r="C71" s="53"/>
      <c r="D71" s="69"/>
      <c r="E71" s="71">
        <v>33002.660000000003</v>
      </c>
      <c r="F71" s="55">
        <v>30503.53</v>
      </c>
      <c r="G71" s="55">
        <v>43032.58</v>
      </c>
      <c r="H71" s="55">
        <v>46351.59</v>
      </c>
      <c r="I71" s="55">
        <v>47458.07</v>
      </c>
      <c r="J71" s="55">
        <v>44702.26</v>
      </c>
      <c r="K71" s="55">
        <v>47829.31</v>
      </c>
      <c r="L71" s="55">
        <v>51930.82</v>
      </c>
      <c r="M71" s="55">
        <v>51954.06</v>
      </c>
      <c r="N71" s="55">
        <v>54093.19</v>
      </c>
      <c r="O71" s="55">
        <v>44559.33</v>
      </c>
      <c r="P71" s="55">
        <v>54214.18</v>
      </c>
      <c r="Q71" s="55">
        <v>549631.58000000007</v>
      </c>
    </row>
    <row r="72" spans="1:18" x14ac:dyDescent="0.2">
      <c r="A72" s="95"/>
      <c r="B72" s="96"/>
      <c r="C72" s="96"/>
      <c r="D72" s="97"/>
      <c r="E72" s="98">
        <v>444792.52</v>
      </c>
      <c r="F72" s="99">
        <v>411110.56</v>
      </c>
      <c r="G72" s="99">
        <v>579970.41</v>
      </c>
      <c r="H72" s="99">
        <v>624702.24</v>
      </c>
      <c r="I72" s="99">
        <v>639614.86</v>
      </c>
      <c r="J72" s="99">
        <v>602473.43000000005</v>
      </c>
      <c r="K72" s="99">
        <v>644618.17000000004</v>
      </c>
      <c r="L72" s="99">
        <v>699896.21</v>
      </c>
      <c r="M72" s="99">
        <v>700209.47</v>
      </c>
      <c r="N72" s="99">
        <v>729039.43</v>
      </c>
      <c r="O72" s="99">
        <v>600547.21</v>
      </c>
      <c r="P72" s="99">
        <v>730670.11</v>
      </c>
      <c r="Q72" s="99">
        <v>7407644.6200000001</v>
      </c>
    </row>
    <row r="73" spans="1:18" x14ac:dyDescent="0.2">
      <c r="A73" s="53"/>
      <c r="B73" s="53"/>
      <c r="C73" s="53"/>
      <c r="D73" s="91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</row>
    <row r="74" spans="1:18" ht="13.5" thickBot="1" x14ac:dyDescent="0.25">
      <c r="A74" s="65" t="s">
        <v>47</v>
      </c>
      <c r="B74" s="66"/>
      <c r="C74" s="53"/>
      <c r="D74" s="54"/>
      <c r="E74" s="67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</row>
    <row r="75" spans="1:18" x14ac:dyDescent="0.2">
      <c r="A75" s="52" t="s">
        <v>48</v>
      </c>
      <c r="B75" s="53"/>
      <c r="C75" s="53"/>
      <c r="D75" s="69"/>
      <c r="E75" s="57">
        <v>205523.18999999983</v>
      </c>
      <c r="F75" s="58">
        <v>189959.92999999976</v>
      </c>
      <c r="G75" s="58">
        <v>267989.79000000015</v>
      </c>
      <c r="H75" s="58">
        <v>288653.21999999991</v>
      </c>
      <c r="I75" s="58">
        <v>295549.99999999994</v>
      </c>
      <c r="J75" s="58">
        <v>278387.88999999955</v>
      </c>
      <c r="K75" s="58">
        <v>297861.8800000003</v>
      </c>
      <c r="L75" s="58">
        <v>323404.48</v>
      </c>
      <c r="M75" s="58">
        <v>323549.24999999942</v>
      </c>
      <c r="N75" s="58">
        <v>336870.85999999987</v>
      </c>
      <c r="O75" s="58">
        <v>277497.81000000011</v>
      </c>
      <c r="P75" s="58">
        <v>337624.32999999949</v>
      </c>
      <c r="Q75" s="58">
        <v>3422872.6299999985</v>
      </c>
    </row>
    <row r="76" spans="1:18" x14ac:dyDescent="0.2">
      <c r="A76" s="52" t="s">
        <v>49</v>
      </c>
      <c r="B76" s="53"/>
      <c r="C76" s="53"/>
      <c r="D76" s="69"/>
      <c r="E76" s="57">
        <v>50085.09</v>
      </c>
      <c r="F76" s="58">
        <v>46292.39</v>
      </c>
      <c r="G76" s="58">
        <v>65306.559999999998</v>
      </c>
      <c r="H76" s="58">
        <v>70343.509999999995</v>
      </c>
      <c r="I76" s="58">
        <v>72022.720000000001</v>
      </c>
      <c r="J76" s="58">
        <v>67840.479999999996</v>
      </c>
      <c r="K76" s="58">
        <v>72586.11</v>
      </c>
      <c r="L76" s="58">
        <v>78810.600000000006</v>
      </c>
      <c r="M76" s="58">
        <v>78845.87</v>
      </c>
      <c r="N76" s="58">
        <v>82092.22</v>
      </c>
      <c r="O76" s="58">
        <v>67623.58</v>
      </c>
      <c r="P76" s="58">
        <v>82275.839999999997</v>
      </c>
      <c r="Q76" s="58">
        <v>834124.96999999986</v>
      </c>
    </row>
    <row r="77" spans="1:18" x14ac:dyDescent="0.2">
      <c r="A77" s="52" t="s">
        <v>50</v>
      </c>
      <c r="B77" s="53"/>
      <c r="C77" s="53"/>
      <c r="D77" s="69"/>
      <c r="E77" s="57">
        <v>67154.7</v>
      </c>
      <c r="F77" s="58">
        <v>62069.4</v>
      </c>
      <c r="G77" s="58">
        <v>87563.83</v>
      </c>
      <c r="H77" s="58">
        <v>94317.440000000002</v>
      </c>
      <c r="I77" s="58">
        <v>96568.94</v>
      </c>
      <c r="J77" s="58">
        <v>90961.33</v>
      </c>
      <c r="K77" s="58">
        <v>97324.34</v>
      </c>
      <c r="L77" s="58">
        <v>105670.21</v>
      </c>
      <c r="M77" s="58">
        <v>105717.51</v>
      </c>
      <c r="N77" s="58">
        <v>110070.25</v>
      </c>
      <c r="O77" s="58">
        <v>90670.51</v>
      </c>
      <c r="P77" s="58">
        <v>110316.45</v>
      </c>
      <c r="Q77" s="58">
        <v>1118404.9099999999</v>
      </c>
    </row>
    <row r="78" spans="1:18" x14ac:dyDescent="0.2">
      <c r="A78" s="52" t="s">
        <v>51</v>
      </c>
      <c r="B78" s="53"/>
      <c r="C78" s="53"/>
      <c r="D78" s="69"/>
      <c r="E78" s="57">
        <v>57844.39</v>
      </c>
      <c r="F78" s="58">
        <v>53464.12</v>
      </c>
      <c r="G78" s="58">
        <v>75424.009999999995</v>
      </c>
      <c r="H78" s="58">
        <v>81241.3</v>
      </c>
      <c r="I78" s="58">
        <v>83180.649999999994</v>
      </c>
      <c r="J78" s="58">
        <v>78350.48</v>
      </c>
      <c r="K78" s="58">
        <v>83831.320000000007</v>
      </c>
      <c r="L78" s="58">
        <v>91020.12</v>
      </c>
      <c r="M78" s="58">
        <v>91060.86</v>
      </c>
      <c r="N78" s="58">
        <v>94810.14</v>
      </c>
      <c r="O78" s="58">
        <v>78099.98</v>
      </c>
      <c r="P78" s="58">
        <v>95022.21</v>
      </c>
      <c r="Q78" s="58">
        <v>963349.57999999984</v>
      </c>
    </row>
    <row r="79" spans="1:18" x14ac:dyDescent="0.2">
      <c r="A79" s="52" t="s">
        <v>52</v>
      </c>
      <c r="B79" s="53"/>
      <c r="C79" s="53"/>
      <c r="D79" s="69"/>
      <c r="E79" s="57">
        <v>108959.21</v>
      </c>
      <c r="F79" s="58">
        <v>100708.27</v>
      </c>
      <c r="G79" s="58">
        <v>142073.25</v>
      </c>
      <c r="H79" s="58">
        <v>153031.04999999999</v>
      </c>
      <c r="I79" s="58">
        <v>156684.14000000001</v>
      </c>
      <c r="J79" s="58">
        <v>147585.73000000001</v>
      </c>
      <c r="K79" s="58">
        <v>157909.78</v>
      </c>
      <c r="L79" s="58">
        <v>171451.04</v>
      </c>
      <c r="M79" s="58">
        <v>171527.78</v>
      </c>
      <c r="N79" s="58">
        <v>178590.15</v>
      </c>
      <c r="O79" s="58">
        <v>147113.88</v>
      </c>
      <c r="P79" s="58">
        <v>178989.61</v>
      </c>
      <c r="Q79" s="58">
        <v>1814623.8899999997</v>
      </c>
    </row>
    <row r="80" spans="1:18" x14ac:dyDescent="0.2">
      <c r="A80" s="52" t="s">
        <v>53</v>
      </c>
      <c r="B80" s="53"/>
      <c r="C80" s="53"/>
      <c r="D80" s="69"/>
      <c r="E80" s="57">
        <v>68026.34</v>
      </c>
      <c r="F80" s="58">
        <v>62875.040000000001</v>
      </c>
      <c r="G80" s="58">
        <v>88700.37</v>
      </c>
      <c r="H80" s="58">
        <v>95541.64</v>
      </c>
      <c r="I80" s="58">
        <v>97822.36</v>
      </c>
      <c r="J80" s="58">
        <v>92141.97</v>
      </c>
      <c r="K80" s="58">
        <v>98587.57</v>
      </c>
      <c r="L80" s="58">
        <v>107041.76</v>
      </c>
      <c r="M80" s="58">
        <v>107089.67</v>
      </c>
      <c r="N80" s="58">
        <v>111498.91</v>
      </c>
      <c r="O80" s="58">
        <v>91847.38</v>
      </c>
      <c r="P80" s="58">
        <v>111748.31</v>
      </c>
      <c r="Q80" s="55">
        <v>1132921.32</v>
      </c>
    </row>
    <row r="81" spans="1:17" ht="13.5" thickBot="1" x14ac:dyDescent="0.25">
      <c r="A81" s="74"/>
      <c r="B81" s="75"/>
      <c r="C81" s="75"/>
      <c r="D81" s="76"/>
      <c r="E81" s="77">
        <v>557592.91999999981</v>
      </c>
      <c r="F81" s="78">
        <v>515369.14999999973</v>
      </c>
      <c r="G81" s="78">
        <v>727057.81000000017</v>
      </c>
      <c r="H81" s="78">
        <v>783128.15999999992</v>
      </c>
      <c r="I81" s="78">
        <v>801828.80999999994</v>
      </c>
      <c r="J81" s="78">
        <v>755267.87999999954</v>
      </c>
      <c r="K81" s="78">
        <v>808101.00000000035</v>
      </c>
      <c r="L81" s="78">
        <v>877398.21</v>
      </c>
      <c r="M81" s="78">
        <v>877790.93999999948</v>
      </c>
      <c r="N81" s="78">
        <v>913932.52999999991</v>
      </c>
      <c r="O81" s="78">
        <v>752853.14000000013</v>
      </c>
      <c r="P81" s="78">
        <v>915976.74999999942</v>
      </c>
      <c r="Q81" s="78">
        <v>9286297.2999999989</v>
      </c>
    </row>
    <row r="82" spans="1:17" ht="13.5" thickTop="1" x14ac:dyDescent="0.2">
      <c r="B82" s="48" t="s">
        <v>67</v>
      </c>
      <c r="E82" s="79">
        <v>4272742.71</v>
      </c>
      <c r="F82" s="79">
        <v>3949188.86</v>
      </c>
      <c r="G82" s="79">
        <v>5571281.540000001</v>
      </c>
      <c r="H82" s="79">
        <v>6000982.1300000008</v>
      </c>
      <c r="I82" s="79">
        <v>6144234.9699999997</v>
      </c>
      <c r="J82" s="79">
        <v>5787448.8899999997</v>
      </c>
      <c r="K82" s="79">
        <v>6192297.46</v>
      </c>
      <c r="L82" s="79">
        <v>6723306.5</v>
      </c>
      <c r="M82" s="79">
        <v>6726315.7999999989</v>
      </c>
      <c r="N82" s="79">
        <v>7003260.6600000001</v>
      </c>
      <c r="O82" s="79">
        <v>5768945.3599999994</v>
      </c>
      <c r="P82" s="79">
        <v>7018925.1799999997</v>
      </c>
      <c r="Q82" s="79">
        <v>71158930.059999987</v>
      </c>
    </row>
    <row r="83" spans="1:17" x14ac:dyDescent="0.2">
      <c r="A83" s="94" t="s">
        <v>81</v>
      </c>
    </row>
    <row r="84" spans="1:17" x14ac:dyDescent="0.2">
      <c r="A84" s="48" t="s">
        <v>80</v>
      </c>
    </row>
    <row r="85" spans="1:17" x14ac:dyDescent="0.2">
      <c r="Q85" s="70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1" fitToHeight="0" orientation="landscape" horizontalDpi="4294967293" verticalDpi="4294967293" r:id="rId1"/>
  <headerFooter alignWithMargins="0">
    <oddFooter>Página &amp;P de &amp;N</oddFooter>
  </headerFooter>
  <rowBreaks count="1" manualBreakCount="1">
    <brk id="73" max="1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S83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21.5703125" style="1" customWidth="1"/>
    <col min="18" max="18" width="12.5703125" style="1"/>
    <col min="19" max="19" width="13.42578125" style="1" customWidth="1"/>
    <col min="20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0" t="s">
        <v>60</v>
      </c>
      <c r="B4" s="30"/>
      <c r="C4" s="30"/>
      <c r="D4" s="3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98</v>
      </c>
      <c r="F5" s="85" t="s">
        <v>99</v>
      </c>
      <c r="G5" s="84" t="s">
        <v>100</v>
      </c>
      <c r="H5" s="84" t="s">
        <v>101</v>
      </c>
      <c r="I5" s="84" t="s">
        <v>102</v>
      </c>
      <c r="J5" s="84" t="s">
        <v>103</v>
      </c>
      <c r="K5" s="84" t="s">
        <v>104</v>
      </c>
      <c r="L5" s="84" t="s">
        <v>105</v>
      </c>
      <c r="M5" s="84" t="s">
        <v>106</v>
      </c>
      <c r="N5" s="84" t="s">
        <v>107</v>
      </c>
      <c r="O5" s="84" t="s">
        <v>108</v>
      </c>
      <c r="P5" s="84" t="s">
        <v>109</v>
      </c>
      <c r="Q5" s="84" t="s">
        <v>57</v>
      </c>
    </row>
    <row r="6" spans="1:17" x14ac:dyDescent="0.2">
      <c r="A6" s="86" t="s">
        <v>76</v>
      </c>
      <c r="B6" s="87"/>
      <c r="C6" s="87"/>
      <c r="D6" s="87"/>
      <c r="E6" s="88">
        <v>36943</v>
      </c>
      <c r="F6" s="89">
        <v>36971</v>
      </c>
      <c r="G6" s="88">
        <v>37005</v>
      </c>
      <c r="H6" s="88">
        <v>37033</v>
      </c>
      <c r="I6" s="88">
        <v>37063</v>
      </c>
      <c r="J6" s="88">
        <v>37092</v>
      </c>
      <c r="K6" s="88">
        <v>37124</v>
      </c>
      <c r="L6" s="88">
        <v>37155</v>
      </c>
      <c r="M6" s="88">
        <v>37186</v>
      </c>
      <c r="N6" s="88">
        <v>37218</v>
      </c>
      <c r="O6" s="88">
        <v>37246</v>
      </c>
      <c r="P6" s="88">
        <v>37278</v>
      </c>
      <c r="Q6" s="90">
        <v>2001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7522941.4800000004</v>
      </c>
      <c r="F8" s="8">
        <v>6680125.6399999997</v>
      </c>
      <c r="G8" s="8">
        <v>6131828.1799999997</v>
      </c>
      <c r="H8" s="8">
        <v>6598854.3300000001</v>
      </c>
      <c r="I8" s="8">
        <v>6927009.4300000006</v>
      </c>
      <c r="J8" s="8">
        <v>9421987.5999999996</v>
      </c>
      <c r="K8" s="8">
        <v>6752938.2899999991</v>
      </c>
      <c r="L8" s="8">
        <v>7130635.1200000001</v>
      </c>
      <c r="M8" s="8">
        <v>6714185.5100000007</v>
      </c>
      <c r="N8" s="8">
        <v>5376997.5899999999</v>
      </c>
      <c r="O8" s="8">
        <v>4397182.2799999993</v>
      </c>
      <c r="P8" s="8">
        <v>5125613.4700000007</v>
      </c>
      <c r="Q8" s="8">
        <v>78780298.920000002</v>
      </c>
    </row>
    <row r="9" spans="1:17" x14ac:dyDescent="0.2">
      <c r="A9" s="4" t="s">
        <v>1</v>
      </c>
      <c r="B9" s="5"/>
      <c r="C9" s="5"/>
      <c r="D9" s="40" t="s">
        <v>62</v>
      </c>
      <c r="E9" s="7">
        <v>723359.76</v>
      </c>
      <c r="F9" s="8">
        <v>642319.77</v>
      </c>
      <c r="G9" s="8">
        <v>589598.86</v>
      </c>
      <c r="H9" s="8">
        <v>634505.23</v>
      </c>
      <c r="I9" s="8">
        <v>666058.6</v>
      </c>
      <c r="J9" s="8">
        <v>905960.35</v>
      </c>
      <c r="K9" s="8">
        <v>649320.99</v>
      </c>
      <c r="L9" s="8">
        <v>685637.99</v>
      </c>
      <c r="M9" s="8">
        <v>645594.76</v>
      </c>
      <c r="N9" s="8">
        <v>517019</v>
      </c>
      <c r="O9" s="8">
        <v>422805.99</v>
      </c>
      <c r="P9" s="8">
        <v>492847.45</v>
      </c>
      <c r="Q9" s="8">
        <v>7575028.7500000009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434015.85</v>
      </c>
      <c r="F10" s="8">
        <v>385391.86</v>
      </c>
      <c r="G10" s="8">
        <v>353759.32</v>
      </c>
      <c r="H10" s="8">
        <v>380703.14</v>
      </c>
      <c r="I10" s="8">
        <v>399635.16</v>
      </c>
      <c r="J10" s="8">
        <v>543576.21</v>
      </c>
      <c r="K10" s="8">
        <v>389592.59</v>
      </c>
      <c r="L10" s="8">
        <v>411382.79</v>
      </c>
      <c r="M10" s="8">
        <v>387356.86</v>
      </c>
      <c r="N10" s="8">
        <v>310211.40000000002</v>
      </c>
      <c r="O10" s="8">
        <v>253683.59</v>
      </c>
      <c r="P10" s="8">
        <v>295708.46999999997</v>
      </c>
      <c r="Q10" s="8">
        <v>4545017.2399999993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5786878.0599999996</v>
      </c>
      <c r="F11" s="10">
        <v>5138558.18</v>
      </c>
      <c r="G11" s="10">
        <v>4716790.91</v>
      </c>
      <c r="H11" s="10">
        <v>5076041.8</v>
      </c>
      <c r="I11" s="10">
        <v>5328468.8</v>
      </c>
      <c r="J11" s="10">
        <v>7247682.7699999996</v>
      </c>
      <c r="K11" s="10">
        <v>5194567.92</v>
      </c>
      <c r="L11" s="10">
        <v>5485103.9299999997</v>
      </c>
      <c r="M11" s="10">
        <v>5164758.08</v>
      </c>
      <c r="N11" s="10">
        <v>4136152</v>
      </c>
      <c r="O11" s="10">
        <v>3382447.91</v>
      </c>
      <c r="P11" s="10">
        <v>3942779.6</v>
      </c>
      <c r="Q11" s="11">
        <v>60600229.960000001</v>
      </c>
    </row>
    <row r="12" spans="1:17" x14ac:dyDescent="0.2">
      <c r="A12" s="4"/>
      <c r="B12" s="5"/>
      <c r="D12" s="12" t="s">
        <v>68</v>
      </c>
      <c r="E12" s="13">
        <v>14467195.15</v>
      </c>
      <c r="F12" s="14">
        <v>12846395.449999999</v>
      </c>
      <c r="G12" s="14">
        <v>11791977.27</v>
      </c>
      <c r="H12" s="14">
        <v>12690104.5</v>
      </c>
      <c r="I12" s="14">
        <v>13321171.99</v>
      </c>
      <c r="J12" s="14">
        <v>18119206.93</v>
      </c>
      <c r="K12" s="14">
        <v>12986419.789999999</v>
      </c>
      <c r="L12" s="14">
        <v>13712759.83</v>
      </c>
      <c r="M12" s="14">
        <v>12911895.210000001</v>
      </c>
      <c r="N12" s="14">
        <v>10340379.99</v>
      </c>
      <c r="O12" s="14">
        <v>8456119.7699999996</v>
      </c>
      <c r="P12" s="14">
        <v>9856948.9900000002</v>
      </c>
      <c r="Q12" s="14">
        <v>151500574.87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3.5" thickBot="1" x14ac:dyDescent="0.25">
      <c r="A16" s="15" t="s">
        <v>5</v>
      </c>
      <c r="B16" s="16"/>
      <c r="C16" s="5"/>
      <c r="D16" s="6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9" x14ac:dyDescent="0.2">
      <c r="A17" s="4" t="s">
        <v>6</v>
      </c>
      <c r="B17" s="5"/>
      <c r="C17" s="5"/>
      <c r="D17" s="39"/>
      <c r="E17" s="7">
        <v>1101196.6000000001</v>
      </c>
      <c r="F17" s="8">
        <v>977826.50000000012</v>
      </c>
      <c r="G17" s="8">
        <v>897567.58000000007</v>
      </c>
      <c r="H17" s="8">
        <v>965930.16</v>
      </c>
      <c r="I17" s="8">
        <v>1013964.99</v>
      </c>
      <c r="J17" s="8">
        <v>1379176.05</v>
      </c>
      <c r="K17" s="8">
        <v>988484.71</v>
      </c>
      <c r="L17" s="8">
        <v>1043771.3999999999</v>
      </c>
      <c r="M17" s="8">
        <v>982812.1399999999</v>
      </c>
      <c r="N17" s="8">
        <v>787076.65</v>
      </c>
      <c r="O17" s="8">
        <v>643652.78000000014</v>
      </c>
      <c r="P17" s="8">
        <v>750279.41999999993</v>
      </c>
      <c r="Q17" s="8">
        <v>11531738.98</v>
      </c>
      <c r="S17" s="20"/>
    </row>
    <row r="18" spans="1:19" x14ac:dyDescent="0.2">
      <c r="A18" s="4" t="s">
        <v>7</v>
      </c>
      <c r="B18" s="5"/>
      <c r="C18" s="5"/>
      <c r="D18" s="39"/>
      <c r="E18" s="7">
        <v>72364.91</v>
      </c>
      <c r="F18" s="8">
        <v>64257.67</v>
      </c>
      <c r="G18" s="8">
        <v>58983.47</v>
      </c>
      <c r="H18" s="8">
        <v>63475.9</v>
      </c>
      <c r="I18" s="8">
        <v>66632.5</v>
      </c>
      <c r="J18" s="8">
        <v>90632.27</v>
      </c>
      <c r="K18" s="8">
        <v>64958.07</v>
      </c>
      <c r="L18" s="8">
        <v>68591.22</v>
      </c>
      <c r="M18" s="8">
        <v>64585.3</v>
      </c>
      <c r="N18" s="8">
        <v>51722.58</v>
      </c>
      <c r="O18" s="8">
        <v>42297.51</v>
      </c>
      <c r="P18" s="8">
        <v>49304.46</v>
      </c>
      <c r="Q18" s="8">
        <v>757805.86</v>
      </c>
    </row>
    <row r="19" spans="1:19" x14ac:dyDescent="0.2">
      <c r="A19" s="4" t="s">
        <v>8</v>
      </c>
      <c r="B19" s="5"/>
      <c r="C19" s="5"/>
      <c r="D19" s="39"/>
      <c r="E19" s="7">
        <v>110031.7</v>
      </c>
      <c r="F19" s="8">
        <v>97704.55</v>
      </c>
      <c r="G19" s="8">
        <v>89685.06</v>
      </c>
      <c r="H19" s="8">
        <v>96515.86</v>
      </c>
      <c r="I19" s="8">
        <v>101315.51</v>
      </c>
      <c r="J19" s="8">
        <v>137807.44</v>
      </c>
      <c r="K19" s="8">
        <v>98769.51</v>
      </c>
      <c r="L19" s="8">
        <v>104293.77</v>
      </c>
      <c r="M19" s="8">
        <v>98202.71</v>
      </c>
      <c r="N19" s="8">
        <v>78644.789999999994</v>
      </c>
      <c r="O19" s="8">
        <v>64313.86</v>
      </c>
      <c r="P19" s="8">
        <v>74968.009999999995</v>
      </c>
      <c r="Q19" s="8">
        <v>1152252.77</v>
      </c>
    </row>
    <row r="20" spans="1:19" x14ac:dyDescent="0.2">
      <c r="A20" s="4" t="s">
        <v>9</v>
      </c>
      <c r="B20" s="5"/>
      <c r="C20" s="5"/>
      <c r="D20" s="39"/>
      <c r="E20" s="7">
        <v>103434.66</v>
      </c>
      <c r="F20" s="8">
        <v>91846.59</v>
      </c>
      <c r="G20" s="8">
        <v>84307.92</v>
      </c>
      <c r="H20" s="8">
        <v>90729.17</v>
      </c>
      <c r="I20" s="8">
        <v>95241.05</v>
      </c>
      <c r="J20" s="8">
        <v>129545.08</v>
      </c>
      <c r="K20" s="8">
        <v>92847.71</v>
      </c>
      <c r="L20" s="8">
        <v>98040.75</v>
      </c>
      <c r="M20" s="8">
        <v>92314.89</v>
      </c>
      <c r="N20" s="8">
        <v>73929.58</v>
      </c>
      <c r="O20" s="8">
        <v>60457.87</v>
      </c>
      <c r="P20" s="8">
        <v>70473.240000000005</v>
      </c>
      <c r="Q20" s="8">
        <v>1083168.51</v>
      </c>
    </row>
    <row r="21" spans="1:19" x14ac:dyDescent="0.2">
      <c r="A21" s="4" t="s">
        <v>10</v>
      </c>
      <c r="B21" s="5"/>
      <c r="C21" s="5"/>
      <c r="D21" s="39"/>
      <c r="E21" s="7">
        <v>96982.29</v>
      </c>
      <c r="F21" s="8">
        <v>86117.1</v>
      </c>
      <c r="G21" s="8">
        <v>79048.7</v>
      </c>
      <c r="H21" s="8">
        <v>85069.38</v>
      </c>
      <c r="I21" s="8">
        <v>89299.81</v>
      </c>
      <c r="J21" s="8">
        <v>121463.92</v>
      </c>
      <c r="K21" s="8">
        <v>87055.76</v>
      </c>
      <c r="L21" s="8">
        <v>91924.86</v>
      </c>
      <c r="M21" s="8">
        <v>86556.18</v>
      </c>
      <c r="N21" s="8">
        <v>69317.77</v>
      </c>
      <c r="O21" s="8">
        <v>56686.44</v>
      </c>
      <c r="P21" s="8">
        <v>66077.039999999994</v>
      </c>
      <c r="Q21" s="8">
        <v>1015599.25</v>
      </c>
    </row>
    <row r="22" spans="1:19" x14ac:dyDescent="0.2">
      <c r="A22" s="4" t="s">
        <v>11</v>
      </c>
      <c r="B22" s="5"/>
      <c r="C22" s="5"/>
      <c r="D22" s="39"/>
      <c r="E22" s="7">
        <v>92995.13</v>
      </c>
      <c r="F22" s="8">
        <v>82576.63</v>
      </c>
      <c r="G22" s="8">
        <v>75798.83</v>
      </c>
      <c r="H22" s="8">
        <v>81571.990000000005</v>
      </c>
      <c r="I22" s="8">
        <v>85628.49</v>
      </c>
      <c r="J22" s="8">
        <v>116470.26</v>
      </c>
      <c r="K22" s="8">
        <v>83476.710000000006</v>
      </c>
      <c r="L22" s="8">
        <v>88145.62</v>
      </c>
      <c r="M22" s="8">
        <v>82997.66</v>
      </c>
      <c r="N22" s="8">
        <v>66467.960000000006</v>
      </c>
      <c r="O22" s="8">
        <v>54355.94</v>
      </c>
      <c r="P22" s="8">
        <v>63360.47</v>
      </c>
      <c r="Q22" s="8">
        <v>973845.69</v>
      </c>
    </row>
    <row r="23" spans="1:19" x14ac:dyDescent="0.2">
      <c r="A23" s="4" t="s">
        <v>12</v>
      </c>
      <c r="B23" s="5"/>
      <c r="C23" s="5"/>
      <c r="D23" s="39"/>
      <c r="E23" s="7">
        <v>97086.45</v>
      </c>
      <c r="F23" s="8">
        <v>86209.59</v>
      </c>
      <c r="G23" s="8">
        <v>79133.600000000006</v>
      </c>
      <c r="H23" s="8">
        <v>85160.75</v>
      </c>
      <c r="I23" s="8">
        <v>89395.72</v>
      </c>
      <c r="J23" s="8">
        <v>121594.37</v>
      </c>
      <c r="K23" s="8">
        <v>87149.27</v>
      </c>
      <c r="L23" s="8">
        <v>92023.59</v>
      </c>
      <c r="M23" s="8">
        <v>86649.15</v>
      </c>
      <c r="N23" s="8">
        <v>69392.22</v>
      </c>
      <c r="O23" s="8">
        <v>56747.33</v>
      </c>
      <c r="P23" s="8">
        <v>66148.009999999995</v>
      </c>
      <c r="Q23" s="8">
        <v>1016690.0499999999</v>
      </c>
    </row>
    <row r="24" spans="1:19" x14ac:dyDescent="0.2">
      <c r="A24" s="4" t="s">
        <v>13</v>
      </c>
      <c r="B24" s="5"/>
      <c r="C24" s="5"/>
      <c r="D24" s="39"/>
      <c r="E24" s="7">
        <v>78996.67</v>
      </c>
      <c r="F24" s="8">
        <v>70146.460000000006</v>
      </c>
      <c r="G24" s="8">
        <v>64388.91</v>
      </c>
      <c r="H24" s="8">
        <v>69293.05</v>
      </c>
      <c r="I24" s="8">
        <v>72738.929999999993</v>
      </c>
      <c r="J24" s="8">
        <v>98938.12</v>
      </c>
      <c r="K24" s="8">
        <v>70911.05</v>
      </c>
      <c r="L24" s="8">
        <v>74877.149999999994</v>
      </c>
      <c r="M24" s="8">
        <v>70504.11</v>
      </c>
      <c r="N24" s="8">
        <v>56462.61</v>
      </c>
      <c r="O24" s="8">
        <v>46173.8</v>
      </c>
      <c r="P24" s="8">
        <v>53822.879999999997</v>
      </c>
      <c r="Q24" s="8">
        <v>827253.74000000011</v>
      </c>
    </row>
    <row r="25" spans="1:19" x14ac:dyDescent="0.2">
      <c r="A25" s="4" t="s">
        <v>14</v>
      </c>
      <c r="B25" s="5"/>
      <c r="C25" s="5"/>
      <c r="D25" s="39"/>
      <c r="E25" s="7">
        <v>78666.820000000007</v>
      </c>
      <c r="F25" s="8">
        <v>69853.56</v>
      </c>
      <c r="G25" s="8">
        <v>64120.06</v>
      </c>
      <c r="H25" s="8">
        <v>69003.710000000006</v>
      </c>
      <c r="I25" s="8">
        <v>72435.199999999997</v>
      </c>
      <c r="J25" s="8">
        <v>98525</v>
      </c>
      <c r="K25" s="8">
        <v>70614.960000000006</v>
      </c>
      <c r="L25" s="8">
        <v>74564.5</v>
      </c>
      <c r="M25" s="8">
        <v>70209.72</v>
      </c>
      <c r="N25" s="8">
        <v>56226.85</v>
      </c>
      <c r="O25" s="8">
        <v>45981</v>
      </c>
      <c r="P25" s="8">
        <v>53598.15</v>
      </c>
      <c r="Q25" s="8">
        <v>823799.53</v>
      </c>
    </row>
    <row r="26" spans="1:19" x14ac:dyDescent="0.2">
      <c r="A26" s="4" t="s">
        <v>15</v>
      </c>
      <c r="B26" s="5"/>
      <c r="C26" s="5"/>
      <c r="D26" s="39"/>
      <c r="E26" s="7">
        <v>70073.31</v>
      </c>
      <c r="F26" s="8">
        <v>62222.8</v>
      </c>
      <c r="G26" s="8">
        <v>57115.62</v>
      </c>
      <c r="H26" s="8">
        <v>61465.79</v>
      </c>
      <c r="I26" s="8">
        <v>64522.43</v>
      </c>
      <c r="J26" s="8">
        <v>87762.19</v>
      </c>
      <c r="K26" s="8">
        <v>62901.02</v>
      </c>
      <c r="L26" s="8">
        <v>66419.12</v>
      </c>
      <c r="M26" s="8">
        <v>62540.06</v>
      </c>
      <c r="N26" s="8">
        <v>50084.66</v>
      </c>
      <c r="O26" s="8">
        <v>40958.06</v>
      </c>
      <c r="P26" s="8">
        <v>47743.12</v>
      </c>
      <c r="Q26" s="8">
        <v>733808.18</v>
      </c>
    </row>
    <row r="27" spans="1:19" x14ac:dyDescent="0.2">
      <c r="A27" s="4" t="s">
        <v>16</v>
      </c>
      <c r="B27" s="5"/>
      <c r="C27" s="5"/>
      <c r="D27" s="39"/>
      <c r="E27" s="21">
        <v>223113.08</v>
      </c>
      <c r="F27" s="22">
        <v>198117.11</v>
      </c>
      <c r="G27" s="22">
        <v>181855.87</v>
      </c>
      <c r="H27" s="22">
        <v>195706.79</v>
      </c>
      <c r="I27" s="22">
        <v>205439.11</v>
      </c>
      <c r="J27" s="22">
        <v>279434.40999999997</v>
      </c>
      <c r="K27" s="22">
        <v>200276.57</v>
      </c>
      <c r="L27" s="22">
        <v>211478.18</v>
      </c>
      <c r="M27" s="22">
        <v>199127.25</v>
      </c>
      <c r="N27" s="22">
        <v>159469.34</v>
      </c>
      <c r="O27" s="22">
        <v>130410.28</v>
      </c>
      <c r="P27" s="22">
        <v>152013.87</v>
      </c>
      <c r="Q27" s="22">
        <v>2336441.86</v>
      </c>
    </row>
    <row r="28" spans="1:19" x14ac:dyDescent="0.2">
      <c r="A28" s="4"/>
      <c r="B28" s="5"/>
      <c r="C28" s="5"/>
      <c r="D28" s="39"/>
      <c r="E28" s="13">
        <v>2124941.62</v>
      </c>
      <c r="F28" s="14">
        <v>1886878.56</v>
      </c>
      <c r="G28" s="14">
        <v>1732005.62</v>
      </c>
      <c r="H28" s="14">
        <v>1863922.55</v>
      </c>
      <c r="I28" s="14">
        <v>1956613.74</v>
      </c>
      <c r="J28" s="14">
        <v>2661349.11</v>
      </c>
      <c r="K28" s="14">
        <v>1907445.34</v>
      </c>
      <c r="L28" s="14">
        <v>2014130.16</v>
      </c>
      <c r="M28" s="14">
        <v>1896499.17</v>
      </c>
      <c r="N28" s="14">
        <v>1518795.01</v>
      </c>
      <c r="O28" s="14">
        <v>1242034.8700000001</v>
      </c>
      <c r="P28" s="14">
        <v>1447788.67</v>
      </c>
      <c r="Q28" s="14">
        <v>22252404.420000002</v>
      </c>
      <c r="S28" s="20"/>
    </row>
    <row r="29" spans="1:19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9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9" x14ac:dyDescent="0.2">
      <c r="A31" s="4" t="s">
        <v>18</v>
      </c>
      <c r="B31" s="5"/>
      <c r="C31" s="5"/>
      <c r="D31" s="39"/>
      <c r="E31" s="7">
        <v>261381.70999999996</v>
      </c>
      <c r="F31" s="8">
        <v>232098.39999999997</v>
      </c>
      <c r="G31" s="8">
        <v>213048.02000000002</v>
      </c>
      <c r="H31" s="8">
        <v>229274.64999999997</v>
      </c>
      <c r="I31" s="8">
        <v>240676.29000000004</v>
      </c>
      <c r="J31" s="8">
        <v>327363.33000000007</v>
      </c>
      <c r="K31" s="8">
        <v>234628.25</v>
      </c>
      <c r="L31" s="8">
        <v>247751.16999999993</v>
      </c>
      <c r="M31" s="8">
        <v>233281.79000000004</v>
      </c>
      <c r="N31" s="8">
        <v>186821.71999999997</v>
      </c>
      <c r="O31" s="8">
        <v>152778.40000000002</v>
      </c>
      <c r="P31" s="8">
        <v>178087.46999999991</v>
      </c>
      <c r="Q31" s="8">
        <v>2737191.1999999997</v>
      </c>
    </row>
    <row r="32" spans="1:19" x14ac:dyDescent="0.2">
      <c r="A32" s="4" t="s">
        <v>19</v>
      </c>
      <c r="B32" s="5"/>
      <c r="C32" s="5"/>
      <c r="D32" s="39"/>
      <c r="E32" s="7">
        <v>137033.26999999999</v>
      </c>
      <c r="F32" s="8">
        <v>121681.06</v>
      </c>
      <c r="G32" s="8">
        <v>111693.61</v>
      </c>
      <c r="H32" s="8">
        <v>120200.67</v>
      </c>
      <c r="I32" s="8">
        <v>126178.14</v>
      </c>
      <c r="J32" s="8">
        <v>171625.13</v>
      </c>
      <c r="K32" s="8">
        <v>123007.37</v>
      </c>
      <c r="L32" s="8">
        <v>129887.26</v>
      </c>
      <c r="M32" s="8">
        <v>122301.47</v>
      </c>
      <c r="N32" s="8">
        <v>97944.08</v>
      </c>
      <c r="O32" s="8">
        <v>80096.37</v>
      </c>
      <c r="P32" s="8">
        <v>93365.02</v>
      </c>
      <c r="Q32" s="8">
        <v>1435013.4500000002</v>
      </c>
    </row>
    <row r="33" spans="1:17" x14ac:dyDescent="0.2">
      <c r="A33" s="4" t="s">
        <v>20</v>
      </c>
      <c r="B33" s="5"/>
      <c r="C33" s="5"/>
      <c r="D33" s="39"/>
      <c r="E33" s="7">
        <v>135094.67000000001</v>
      </c>
      <c r="F33" s="8">
        <v>119959.64</v>
      </c>
      <c r="G33" s="8">
        <v>110113.48</v>
      </c>
      <c r="H33" s="8">
        <v>118500.2</v>
      </c>
      <c r="I33" s="8">
        <v>124393.1</v>
      </c>
      <c r="J33" s="8">
        <v>169197.15</v>
      </c>
      <c r="K33" s="8">
        <v>121267.19</v>
      </c>
      <c r="L33" s="8">
        <v>128049.75</v>
      </c>
      <c r="M33" s="8">
        <v>120571.28</v>
      </c>
      <c r="N33" s="8">
        <v>96558.47</v>
      </c>
      <c r="O33" s="8">
        <v>78963.25</v>
      </c>
      <c r="P33" s="8">
        <v>92044.19</v>
      </c>
      <c r="Q33" s="8">
        <v>1414712.3699999999</v>
      </c>
    </row>
    <row r="34" spans="1:17" x14ac:dyDescent="0.2">
      <c r="A34" s="4" t="s">
        <v>21</v>
      </c>
      <c r="B34" s="5"/>
      <c r="C34" s="5"/>
      <c r="D34" s="39"/>
      <c r="E34" s="7">
        <v>139828.32999999999</v>
      </c>
      <c r="F34" s="8">
        <v>124162.98</v>
      </c>
      <c r="G34" s="8">
        <v>113971.82</v>
      </c>
      <c r="H34" s="8">
        <v>122652.4</v>
      </c>
      <c r="I34" s="8">
        <v>128751.79</v>
      </c>
      <c r="J34" s="8">
        <v>175125.76000000001</v>
      </c>
      <c r="K34" s="8">
        <v>125516.34</v>
      </c>
      <c r="L34" s="8">
        <v>132536.57</v>
      </c>
      <c r="M34" s="8">
        <v>124796.05</v>
      </c>
      <c r="N34" s="8">
        <v>99941.84</v>
      </c>
      <c r="O34" s="8">
        <v>81730.09</v>
      </c>
      <c r="P34" s="8">
        <v>95269.38</v>
      </c>
      <c r="Q34" s="8">
        <v>1464283.35</v>
      </c>
    </row>
    <row r="35" spans="1:17" x14ac:dyDescent="0.2">
      <c r="A35" s="4" t="s">
        <v>22</v>
      </c>
      <c r="B35" s="5"/>
      <c r="C35" s="5"/>
      <c r="D35" s="39"/>
      <c r="E35" s="21">
        <v>111941.37</v>
      </c>
      <c r="F35" s="22">
        <v>99400.27</v>
      </c>
      <c r="G35" s="22">
        <v>91241.600000000006</v>
      </c>
      <c r="H35" s="22">
        <v>98190.95</v>
      </c>
      <c r="I35" s="22">
        <v>103073.9</v>
      </c>
      <c r="J35" s="22">
        <v>140199.18</v>
      </c>
      <c r="K35" s="22">
        <v>100483.72</v>
      </c>
      <c r="L35" s="22">
        <v>106103.85</v>
      </c>
      <c r="M35" s="22">
        <v>99907.08</v>
      </c>
      <c r="N35" s="22">
        <v>80009.72</v>
      </c>
      <c r="O35" s="22">
        <v>65430.07</v>
      </c>
      <c r="P35" s="22">
        <v>76269.13</v>
      </c>
      <c r="Q35" s="22">
        <v>1172250.8399999999</v>
      </c>
    </row>
    <row r="36" spans="1:17" x14ac:dyDescent="0.2">
      <c r="A36" s="4"/>
      <c r="B36" s="5"/>
      <c r="C36" s="5"/>
      <c r="D36" s="39"/>
      <c r="E36" s="13">
        <v>785279.35</v>
      </c>
      <c r="F36" s="14">
        <v>697302.35</v>
      </c>
      <c r="G36" s="14">
        <v>640068.53</v>
      </c>
      <c r="H36" s="14">
        <v>688818.87</v>
      </c>
      <c r="I36" s="14">
        <v>723073.22</v>
      </c>
      <c r="J36" s="14">
        <v>983510.55</v>
      </c>
      <c r="K36" s="14">
        <v>704902.87</v>
      </c>
      <c r="L36" s="14">
        <v>744328.6</v>
      </c>
      <c r="M36" s="14">
        <v>700857.67</v>
      </c>
      <c r="N36" s="14">
        <v>561275.82999999996</v>
      </c>
      <c r="O36" s="14">
        <v>458998.18</v>
      </c>
      <c r="P36" s="14">
        <v>535035.18999999994</v>
      </c>
      <c r="Q36" s="14">
        <v>8223451.209999999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>
        <v>287040.7300000001</v>
      </c>
      <c r="F39" s="8">
        <v>254882.77000000002</v>
      </c>
      <c r="G39" s="8">
        <v>233962.26</v>
      </c>
      <c r="H39" s="8">
        <v>251781.80999999994</v>
      </c>
      <c r="I39" s="8">
        <v>264302.71999999997</v>
      </c>
      <c r="J39" s="8">
        <v>359499.55999999994</v>
      </c>
      <c r="K39" s="8">
        <v>257660.95999999996</v>
      </c>
      <c r="L39" s="8">
        <v>272072.13</v>
      </c>
      <c r="M39" s="8">
        <v>256182.33000000007</v>
      </c>
      <c r="N39" s="8">
        <v>205161.39999999997</v>
      </c>
      <c r="O39" s="8">
        <v>167776.18</v>
      </c>
      <c r="P39" s="8">
        <v>195569.76</v>
      </c>
      <c r="Q39" s="8">
        <v>3005892.6100000003</v>
      </c>
    </row>
    <row r="40" spans="1:17" x14ac:dyDescent="0.2">
      <c r="A40" s="4" t="s">
        <v>24</v>
      </c>
      <c r="B40" s="5"/>
      <c r="C40" s="5"/>
      <c r="D40" s="39"/>
      <c r="E40" s="7">
        <v>70704.08</v>
      </c>
      <c r="F40" s="8">
        <v>62782.9</v>
      </c>
      <c r="G40" s="8">
        <v>57629.75</v>
      </c>
      <c r="H40" s="8">
        <v>62019.08</v>
      </c>
      <c r="I40" s="8">
        <v>65103.23</v>
      </c>
      <c r="J40" s="8">
        <v>88552.19</v>
      </c>
      <c r="K40" s="8">
        <v>63467.23</v>
      </c>
      <c r="L40" s="8">
        <v>67017</v>
      </c>
      <c r="M40" s="8">
        <v>63103.01</v>
      </c>
      <c r="N40" s="8">
        <v>50535.51</v>
      </c>
      <c r="O40" s="8">
        <v>41326.75</v>
      </c>
      <c r="P40" s="8">
        <v>48172.88</v>
      </c>
      <c r="Q40" s="8">
        <v>740413.61</v>
      </c>
    </row>
    <row r="41" spans="1:17" x14ac:dyDescent="0.2">
      <c r="A41" s="4" t="s">
        <v>25</v>
      </c>
      <c r="B41" s="5"/>
      <c r="C41" s="5"/>
      <c r="D41" s="39"/>
      <c r="E41" s="7">
        <v>58615.29</v>
      </c>
      <c r="F41" s="8">
        <v>52048.46</v>
      </c>
      <c r="G41" s="8">
        <v>47776.38</v>
      </c>
      <c r="H41" s="8">
        <v>51415.23</v>
      </c>
      <c r="I41" s="8">
        <v>53972.06</v>
      </c>
      <c r="J41" s="8">
        <v>73411.78</v>
      </c>
      <c r="K41" s="8">
        <v>52615.78</v>
      </c>
      <c r="L41" s="8">
        <v>55558.62</v>
      </c>
      <c r="M41" s="8">
        <v>52313.83</v>
      </c>
      <c r="N41" s="8">
        <v>41895.08</v>
      </c>
      <c r="O41" s="8">
        <v>34260.81</v>
      </c>
      <c r="P41" s="8">
        <v>39936.410000000003</v>
      </c>
      <c r="Q41" s="8">
        <v>613819.7300000001</v>
      </c>
    </row>
    <row r="42" spans="1:17" x14ac:dyDescent="0.2">
      <c r="A42" s="4" t="s">
        <v>26</v>
      </c>
      <c r="B42" s="5"/>
      <c r="C42" s="5"/>
      <c r="D42" s="39"/>
      <c r="E42" s="7">
        <v>63105.91</v>
      </c>
      <c r="F42" s="8">
        <v>56035.98</v>
      </c>
      <c r="G42" s="8">
        <v>51436.6</v>
      </c>
      <c r="H42" s="8">
        <v>55354.239999999998</v>
      </c>
      <c r="I42" s="8">
        <v>58106.95</v>
      </c>
      <c r="J42" s="8">
        <v>79035.98</v>
      </c>
      <c r="K42" s="8">
        <v>56646.76</v>
      </c>
      <c r="L42" s="8">
        <v>59815.06</v>
      </c>
      <c r="M42" s="8">
        <v>56321.69</v>
      </c>
      <c r="N42" s="8">
        <v>45104.74</v>
      </c>
      <c r="O42" s="8">
        <v>36885.589999999997</v>
      </c>
      <c r="P42" s="8">
        <v>42996.01</v>
      </c>
      <c r="Q42" s="8">
        <v>660845.50999999989</v>
      </c>
    </row>
    <row r="43" spans="1:17" x14ac:dyDescent="0.2">
      <c r="A43" s="4" t="s">
        <v>27</v>
      </c>
      <c r="B43" s="5"/>
      <c r="C43" s="5"/>
      <c r="D43" s="39"/>
      <c r="E43" s="7">
        <v>54008.93</v>
      </c>
      <c r="F43" s="8">
        <v>47958.16</v>
      </c>
      <c r="G43" s="8">
        <v>44021.81</v>
      </c>
      <c r="H43" s="8">
        <v>47374.7</v>
      </c>
      <c r="I43" s="8">
        <v>49730.6</v>
      </c>
      <c r="J43" s="8">
        <v>67642.62</v>
      </c>
      <c r="K43" s="8">
        <v>48480.9</v>
      </c>
      <c r="L43" s="8">
        <v>51192.47</v>
      </c>
      <c r="M43" s="8">
        <v>48202.69</v>
      </c>
      <c r="N43" s="8">
        <v>38602.71</v>
      </c>
      <c r="O43" s="8">
        <v>31568.39</v>
      </c>
      <c r="P43" s="8">
        <v>36797.96</v>
      </c>
      <c r="Q43" s="8">
        <v>565581.93999999994</v>
      </c>
    </row>
    <row r="44" spans="1:17" x14ac:dyDescent="0.2">
      <c r="A44" s="4" t="s">
        <v>28</v>
      </c>
      <c r="B44" s="5"/>
      <c r="C44" s="5"/>
      <c r="D44" s="39"/>
      <c r="E44" s="7">
        <v>75379.87</v>
      </c>
      <c r="F44" s="8">
        <v>66934.86</v>
      </c>
      <c r="G44" s="8">
        <v>61440.92</v>
      </c>
      <c r="H44" s="8">
        <v>66120.52</v>
      </c>
      <c r="I44" s="8">
        <v>69408.63</v>
      </c>
      <c r="J44" s="8">
        <v>94408.320000000007</v>
      </c>
      <c r="K44" s="8">
        <v>67664.44</v>
      </c>
      <c r="L44" s="8">
        <v>71448.960000000006</v>
      </c>
      <c r="M44" s="8">
        <v>67276.14</v>
      </c>
      <c r="N44" s="8">
        <v>53877.52</v>
      </c>
      <c r="O44" s="8">
        <v>44059.77</v>
      </c>
      <c r="P44" s="8">
        <v>51358.65</v>
      </c>
      <c r="Q44" s="8">
        <v>789378.60000000009</v>
      </c>
    </row>
    <row r="45" spans="1:17" x14ac:dyDescent="0.2">
      <c r="A45" s="4" t="s">
        <v>29</v>
      </c>
      <c r="B45" s="5"/>
      <c r="C45" s="5"/>
      <c r="D45" s="39"/>
      <c r="E45" s="7">
        <v>60866.38</v>
      </c>
      <c r="F45" s="8">
        <v>54047.35</v>
      </c>
      <c r="G45" s="8">
        <v>49611.21</v>
      </c>
      <c r="H45" s="8">
        <v>53389.81</v>
      </c>
      <c r="I45" s="8">
        <v>56044.83</v>
      </c>
      <c r="J45" s="8">
        <v>76231.13</v>
      </c>
      <c r="K45" s="8">
        <v>54636.47</v>
      </c>
      <c r="L45" s="8">
        <v>57692.32</v>
      </c>
      <c r="M45" s="8">
        <v>54322.93</v>
      </c>
      <c r="N45" s="8">
        <v>43504.05</v>
      </c>
      <c r="O45" s="8">
        <v>35576.589999999997</v>
      </c>
      <c r="P45" s="8">
        <v>41470.160000000003</v>
      </c>
      <c r="Q45" s="8">
        <v>637393.2300000001</v>
      </c>
    </row>
    <row r="46" spans="1:17" x14ac:dyDescent="0.2">
      <c r="A46" s="4" t="s">
        <v>30</v>
      </c>
      <c r="B46" s="5"/>
      <c r="C46" s="5"/>
      <c r="D46" s="39"/>
      <c r="E46" s="7">
        <v>53117.75</v>
      </c>
      <c r="F46" s="8">
        <v>47166.83</v>
      </c>
      <c r="G46" s="8">
        <v>43295.42</v>
      </c>
      <c r="H46" s="8">
        <v>46592.99</v>
      </c>
      <c r="I46" s="8">
        <v>48910.02</v>
      </c>
      <c r="J46" s="8">
        <v>66526.48</v>
      </c>
      <c r="K46" s="8">
        <v>47680.94</v>
      </c>
      <c r="L46" s="8">
        <v>50347.77</v>
      </c>
      <c r="M46" s="8">
        <v>47407.31</v>
      </c>
      <c r="N46" s="8">
        <v>37965.74</v>
      </c>
      <c r="O46" s="8">
        <v>31047.49</v>
      </c>
      <c r="P46" s="8">
        <v>36190.769999999997</v>
      </c>
      <c r="Q46" s="8">
        <v>556249.51</v>
      </c>
    </row>
    <row r="47" spans="1:17" x14ac:dyDescent="0.2">
      <c r="A47" s="4" t="s">
        <v>31</v>
      </c>
      <c r="B47" s="5"/>
      <c r="C47" s="5"/>
      <c r="D47" s="39"/>
      <c r="E47" s="7">
        <v>76780.3</v>
      </c>
      <c r="F47" s="8">
        <v>68178.39</v>
      </c>
      <c r="G47" s="8">
        <v>62582.38</v>
      </c>
      <c r="H47" s="8">
        <v>67348.92</v>
      </c>
      <c r="I47" s="8">
        <v>70698.12</v>
      </c>
      <c r="J47" s="8">
        <v>96162.25</v>
      </c>
      <c r="K47" s="8">
        <v>68921.53</v>
      </c>
      <c r="L47" s="8">
        <v>72776.36</v>
      </c>
      <c r="M47" s="8">
        <v>68526.009999999995</v>
      </c>
      <c r="N47" s="8">
        <v>54878.46</v>
      </c>
      <c r="O47" s="8">
        <v>44878.32</v>
      </c>
      <c r="P47" s="8">
        <v>52312.800000000003</v>
      </c>
      <c r="Q47" s="8">
        <v>804043.84</v>
      </c>
    </row>
    <row r="48" spans="1:17" x14ac:dyDescent="0.2">
      <c r="A48" s="4" t="s">
        <v>32</v>
      </c>
      <c r="B48" s="5"/>
      <c r="C48" s="5"/>
      <c r="D48" s="39"/>
      <c r="E48" s="7">
        <v>50473.15</v>
      </c>
      <c r="F48" s="8">
        <v>44818.5</v>
      </c>
      <c r="G48" s="8">
        <v>41139.85</v>
      </c>
      <c r="H48" s="8">
        <v>44273.24</v>
      </c>
      <c r="I48" s="8">
        <v>46474.9</v>
      </c>
      <c r="J48" s="8">
        <v>63214.29</v>
      </c>
      <c r="K48" s="8">
        <v>45307.02</v>
      </c>
      <c r="L48" s="8">
        <v>47841.08</v>
      </c>
      <c r="M48" s="8">
        <v>45047.02</v>
      </c>
      <c r="N48" s="8">
        <v>36075.519999999997</v>
      </c>
      <c r="O48" s="8">
        <v>29501.71</v>
      </c>
      <c r="P48" s="8">
        <v>34388.92</v>
      </c>
      <c r="Q48" s="8">
        <v>528555.20000000007</v>
      </c>
    </row>
    <row r="49" spans="1:17" x14ac:dyDescent="0.2">
      <c r="A49" s="4" t="s">
        <v>33</v>
      </c>
      <c r="B49" s="5"/>
      <c r="C49" s="5"/>
      <c r="D49" s="39"/>
      <c r="E49" s="21">
        <v>57868.78</v>
      </c>
      <c r="F49" s="22">
        <v>51385.58</v>
      </c>
      <c r="G49" s="22">
        <v>47167.91</v>
      </c>
      <c r="H49" s="22">
        <v>50760.42</v>
      </c>
      <c r="I49" s="22">
        <v>53284.69</v>
      </c>
      <c r="J49" s="22">
        <v>72476.83</v>
      </c>
      <c r="K49" s="22">
        <v>51945.68</v>
      </c>
      <c r="L49" s="22">
        <v>54851.040000000001</v>
      </c>
      <c r="M49" s="22">
        <v>51647.58</v>
      </c>
      <c r="N49" s="22">
        <v>41361.519999999997</v>
      </c>
      <c r="O49" s="22">
        <v>33824.480000000003</v>
      </c>
      <c r="P49" s="22">
        <v>39427.800000000003</v>
      </c>
      <c r="Q49" s="22">
        <v>606002.31000000006</v>
      </c>
    </row>
    <row r="50" spans="1:17" x14ac:dyDescent="0.2">
      <c r="A50" s="4"/>
      <c r="B50" s="5"/>
      <c r="C50" s="5"/>
      <c r="D50" s="39"/>
      <c r="E50" s="13">
        <v>907961.17</v>
      </c>
      <c r="F50" s="14">
        <v>806239.78</v>
      </c>
      <c r="G50" s="14">
        <v>740064.49</v>
      </c>
      <c r="H50" s="14">
        <v>796430.96</v>
      </c>
      <c r="I50" s="14">
        <v>836036.75</v>
      </c>
      <c r="J50" s="14">
        <v>1137161.43</v>
      </c>
      <c r="K50" s="14">
        <v>815027.71</v>
      </c>
      <c r="L50" s="14">
        <v>860612.81</v>
      </c>
      <c r="M50" s="14">
        <v>810350.54</v>
      </c>
      <c r="N50" s="14">
        <v>648962.25</v>
      </c>
      <c r="O50" s="14">
        <v>530706.07999999996</v>
      </c>
      <c r="P50" s="14">
        <v>618622.12</v>
      </c>
      <c r="Q50" s="14">
        <v>9508176.089999998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66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>
        <v>245375.19999999995</v>
      </c>
      <c r="F53" s="8">
        <v>217885.14</v>
      </c>
      <c r="G53" s="8">
        <v>200001.37</v>
      </c>
      <c r="H53" s="8">
        <v>215234.31</v>
      </c>
      <c r="I53" s="8">
        <v>225937.74000000005</v>
      </c>
      <c r="J53" s="8">
        <v>307316.24</v>
      </c>
      <c r="K53" s="8">
        <v>220260.06</v>
      </c>
      <c r="L53" s="8">
        <v>232579.38</v>
      </c>
      <c r="M53" s="8">
        <v>218996.06999999995</v>
      </c>
      <c r="N53" s="8">
        <v>175381.11000000004</v>
      </c>
      <c r="O53" s="8">
        <v>143422.56</v>
      </c>
      <c r="P53" s="8">
        <v>167181.75000000006</v>
      </c>
      <c r="Q53" s="8">
        <v>2569570.9299999997</v>
      </c>
    </row>
    <row r="54" spans="1:17" x14ac:dyDescent="0.2">
      <c r="A54" s="4" t="s">
        <v>35</v>
      </c>
      <c r="B54" s="5"/>
      <c r="C54" s="5"/>
      <c r="D54" s="39"/>
      <c r="E54" s="7">
        <v>128896.92</v>
      </c>
      <c r="F54" s="8">
        <v>114456.24</v>
      </c>
      <c r="G54" s="8">
        <v>105061.8</v>
      </c>
      <c r="H54" s="8">
        <v>113063.76</v>
      </c>
      <c r="I54" s="8">
        <v>118686.31</v>
      </c>
      <c r="J54" s="8">
        <v>161434.89000000001</v>
      </c>
      <c r="K54" s="8">
        <v>115703.81</v>
      </c>
      <c r="L54" s="8">
        <v>122175.2</v>
      </c>
      <c r="M54" s="8">
        <v>115039.82</v>
      </c>
      <c r="N54" s="8">
        <v>92128.65</v>
      </c>
      <c r="O54" s="8">
        <v>75340.639999999999</v>
      </c>
      <c r="P54" s="8">
        <v>87821.47</v>
      </c>
      <c r="Q54" s="8">
        <v>1349809.5099999998</v>
      </c>
    </row>
    <row r="55" spans="1:17" x14ac:dyDescent="0.2">
      <c r="A55" s="4" t="s">
        <v>36</v>
      </c>
      <c r="B55" s="5"/>
      <c r="C55" s="5"/>
      <c r="D55" s="39"/>
      <c r="E55" s="7">
        <v>135997.42000000001</v>
      </c>
      <c r="F55" s="8">
        <v>120761.26</v>
      </c>
      <c r="G55" s="8">
        <v>110849.3</v>
      </c>
      <c r="H55" s="8">
        <v>119292.06</v>
      </c>
      <c r="I55" s="8">
        <v>125224.35</v>
      </c>
      <c r="J55" s="8">
        <v>170327.79</v>
      </c>
      <c r="K55" s="8">
        <v>122077.54</v>
      </c>
      <c r="L55" s="8">
        <v>128905.43</v>
      </c>
      <c r="M55" s="8">
        <v>121376.98</v>
      </c>
      <c r="N55" s="8">
        <v>97203.71</v>
      </c>
      <c r="O55" s="8">
        <v>79490.91</v>
      </c>
      <c r="P55" s="8">
        <v>92659.26</v>
      </c>
      <c r="Q55" s="8">
        <v>1424166.01</v>
      </c>
    </row>
    <row r="56" spans="1:17" x14ac:dyDescent="0.2">
      <c r="A56" s="4" t="s">
        <v>55</v>
      </c>
      <c r="B56" s="5"/>
      <c r="C56" s="5"/>
      <c r="D56" s="39"/>
      <c r="E56" s="21">
        <v>100824.78</v>
      </c>
      <c r="F56" s="22">
        <v>89529.1</v>
      </c>
      <c r="G56" s="22">
        <v>82180.649999999994</v>
      </c>
      <c r="H56" s="22">
        <v>88439.88</v>
      </c>
      <c r="I56" s="22">
        <v>92837.91</v>
      </c>
      <c r="J56" s="22">
        <v>126276.38</v>
      </c>
      <c r="K56" s="22">
        <v>90504.960000000006</v>
      </c>
      <c r="L56" s="22">
        <v>95566.97</v>
      </c>
      <c r="M56" s="22">
        <v>89985.58</v>
      </c>
      <c r="N56" s="22">
        <v>72064.179999999993</v>
      </c>
      <c r="O56" s="22">
        <v>58932.39</v>
      </c>
      <c r="P56" s="22">
        <v>68695.05</v>
      </c>
      <c r="Q56" s="22">
        <v>1055837.8299999998</v>
      </c>
    </row>
    <row r="57" spans="1:17" x14ac:dyDescent="0.2">
      <c r="A57" s="4"/>
      <c r="B57" s="5"/>
      <c r="C57" s="5"/>
      <c r="D57" s="39"/>
      <c r="E57" s="13">
        <v>611094.31999999995</v>
      </c>
      <c r="F57" s="14">
        <v>542631.74</v>
      </c>
      <c r="G57" s="14">
        <v>498093.12</v>
      </c>
      <c r="H57" s="14">
        <v>536030.01</v>
      </c>
      <c r="I57" s="14">
        <v>562686.31000000006</v>
      </c>
      <c r="J57" s="14">
        <v>765355.3</v>
      </c>
      <c r="K57" s="14">
        <v>548546.37</v>
      </c>
      <c r="L57" s="14">
        <v>579226.98</v>
      </c>
      <c r="M57" s="14">
        <v>545398.44999999995</v>
      </c>
      <c r="N57" s="14">
        <v>436777.65</v>
      </c>
      <c r="O57" s="14">
        <v>357186.5</v>
      </c>
      <c r="P57" s="14">
        <v>416357.53</v>
      </c>
      <c r="Q57" s="14">
        <v>6399384.2800000012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>
        <v>165840.34000000008</v>
      </c>
      <c r="F60" s="8">
        <v>147260.80000000005</v>
      </c>
      <c r="G60" s="8">
        <v>135173.78999999998</v>
      </c>
      <c r="H60" s="8">
        <v>145469.18999999994</v>
      </c>
      <c r="I60" s="8">
        <v>152703.25</v>
      </c>
      <c r="J60" s="8">
        <v>207704.08999999997</v>
      </c>
      <c r="K60" s="8">
        <v>148865.93000000005</v>
      </c>
      <c r="L60" s="8">
        <v>157192.11000000004</v>
      </c>
      <c r="M60" s="8">
        <v>148011.6399999999</v>
      </c>
      <c r="N60" s="8">
        <v>118533.84999999998</v>
      </c>
      <c r="O60" s="8">
        <v>96934.199999999983</v>
      </c>
      <c r="P60" s="8">
        <v>112992.17999999993</v>
      </c>
      <c r="Q60" s="8">
        <v>1736681.37</v>
      </c>
    </row>
    <row r="61" spans="1:17" x14ac:dyDescent="0.2">
      <c r="A61" s="4" t="s">
        <v>39</v>
      </c>
      <c r="B61" s="5"/>
      <c r="C61" s="5"/>
      <c r="D61" s="39"/>
      <c r="E61" s="7">
        <v>43100.67</v>
      </c>
      <c r="F61" s="8">
        <v>38271.980000000003</v>
      </c>
      <c r="G61" s="8">
        <v>35130.660000000003</v>
      </c>
      <c r="H61" s="8">
        <v>37806.36</v>
      </c>
      <c r="I61" s="8">
        <v>39686.44</v>
      </c>
      <c r="J61" s="8">
        <v>53980.74</v>
      </c>
      <c r="K61" s="8">
        <v>38689.14</v>
      </c>
      <c r="L61" s="8">
        <v>40853.050000000003</v>
      </c>
      <c r="M61" s="8">
        <v>38467.120000000003</v>
      </c>
      <c r="N61" s="8">
        <v>30806.06</v>
      </c>
      <c r="O61" s="8">
        <v>25192.47</v>
      </c>
      <c r="P61" s="8">
        <v>29365.82</v>
      </c>
      <c r="Q61" s="8">
        <v>451350.50999999995</v>
      </c>
    </row>
    <row r="62" spans="1:17" x14ac:dyDescent="0.2">
      <c r="A62" s="4" t="s">
        <v>40</v>
      </c>
      <c r="B62" s="5"/>
      <c r="C62" s="5"/>
      <c r="D62" s="39"/>
      <c r="E62" s="7">
        <v>44200.17</v>
      </c>
      <c r="F62" s="8">
        <v>39248.31</v>
      </c>
      <c r="G62" s="8">
        <v>36026.85</v>
      </c>
      <c r="H62" s="8">
        <v>38770.81</v>
      </c>
      <c r="I62" s="8">
        <v>40698.839999999997</v>
      </c>
      <c r="J62" s="8">
        <v>55357.8</v>
      </c>
      <c r="K62" s="8">
        <v>39676.11</v>
      </c>
      <c r="L62" s="8">
        <v>41895.22</v>
      </c>
      <c r="M62" s="8">
        <v>39448.42</v>
      </c>
      <c r="N62" s="8">
        <v>31591.93</v>
      </c>
      <c r="O62" s="8">
        <v>25835.14</v>
      </c>
      <c r="P62" s="8">
        <v>30114.95</v>
      </c>
      <c r="Q62" s="8">
        <v>462864.55</v>
      </c>
    </row>
    <row r="63" spans="1:17" x14ac:dyDescent="0.2">
      <c r="A63" s="4" t="s">
        <v>41</v>
      </c>
      <c r="B63" s="5"/>
      <c r="C63" s="5"/>
      <c r="D63" s="39"/>
      <c r="E63" s="7">
        <v>82272.05</v>
      </c>
      <c r="F63" s="8">
        <v>73054.880000000005</v>
      </c>
      <c r="G63" s="8">
        <v>67058.62</v>
      </c>
      <c r="H63" s="8">
        <v>72166.09</v>
      </c>
      <c r="I63" s="8">
        <v>75754.84</v>
      </c>
      <c r="J63" s="8">
        <v>103040.31</v>
      </c>
      <c r="K63" s="8">
        <v>73851.17</v>
      </c>
      <c r="L63" s="8">
        <v>77981.72</v>
      </c>
      <c r="M63" s="8">
        <v>73427.37</v>
      </c>
      <c r="N63" s="8">
        <v>58803.67</v>
      </c>
      <c r="O63" s="8">
        <v>48088.26</v>
      </c>
      <c r="P63" s="8">
        <v>56054.5</v>
      </c>
      <c r="Q63" s="8">
        <v>861553.48</v>
      </c>
    </row>
    <row r="64" spans="1:17" x14ac:dyDescent="0.2">
      <c r="A64" s="4" t="s">
        <v>42</v>
      </c>
      <c r="B64" s="5"/>
      <c r="C64" s="5"/>
      <c r="D64" s="39"/>
      <c r="E64" s="7">
        <v>66404.429999999993</v>
      </c>
      <c r="F64" s="8">
        <v>58964.959999999999</v>
      </c>
      <c r="G64" s="8">
        <v>54125.18</v>
      </c>
      <c r="H64" s="8">
        <v>58247.58</v>
      </c>
      <c r="I64" s="8">
        <v>61144.18</v>
      </c>
      <c r="J64" s="8">
        <v>83167.16</v>
      </c>
      <c r="K64" s="8">
        <v>59607.67</v>
      </c>
      <c r="L64" s="8">
        <v>62941.57</v>
      </c>
      <c r="M64" s="8">
        <v>59265.599999999999</v>
      </c>
      <c r="N64" s="8">
        <v>47462.34</v>
      </c>
      <c r="O64" s="8">
        <v>38813.589999999997</v>
      </c>
      <c r="P64" s="8">
        <v>45243.4</v>
      </c>
      <c r="Q64" s="8">
        <v>695387.65999999992</v>
      </c>
    </row>
    <row r="65" spans="1:17" x14ac:dyDescent="0.2">
      <c r="A65" s="4" t="s">
        <v>43</v>
      </c>
      <c r="B65" s="5"/>
      <c r="C65" s="5"/>
      <c r="D65" s="39"/>
      <c r="E65" s="7">
        <v>48013.73</v>
      </c>
      <c r="F65" s="8">
        <v>42634.62</v>
      </c>
      <c r="G65" s="8">
        <v>39135.21</v>
      </c>
      <c r="H65" s="8">
        <v>42115.92</v>
      </c>
      <c r="I65" s="8">
        <v>44210.31</v>
      </c>
      <c r="J65" s="8">
        <v>60134.02</v>
      </c>
      <c r="K65" s="8">
        <v>43099.33</v>
      </c>
      <c r="L65" s="8">
        <v>45509.91</v>
      </c>
      <c r="M65" s="8">
        <v>42852</v>
      </c>
      <c r="N65" s="8">
        <v>34317.65</v>
      </c>
      <c r="O65" s="8">
        <v>28064.17</v>
      </c>
      <c r="P65" s="8">
        <v>32713.24</v>
      </c>
      <c r="Q65" s="8">
        <v>502800.11000000004</v>
      </c>
    </row>
    <row r="66" spans="1:17" x14ac:dyDescent="0.2">
      <c r="A66" s="4" t="s">
        <v>44</v>
      </c>
      <c r="B66" s="5"/>
      <c r="C66" s="5"/>
      <c r="D66" s="39"/>
      <c r="E66" s="7">
        <v>29605.67</v>
      </c>
      <c r="F66" s="8">
        <v>26288.86</v>
      </c>
      <c r="G66" s="8">
        <v>24131.1</v>
      </c>
      <c r="H66" s="8">
        <v>25969.03</v>
      </c>
      <c r="I66" s="8">
        <v>27260.45</v>
      </c>
      <c r="J66" s="8">
        <v>37079.15</v>
      </c>
      <c r="K66" s="8">
        <v>26575.41</v>
      </c>
      <c r="L66" s="8">
        <v>28061.79</v>
      </c>
      <c r="M66" s="8">
        <v>26422.9</v>
      </c>
      <c r="N66" s="8">
        <v>21160.55</v>
      </c>
      <c r="O66" s="8">
        <v>17304.599999999999</v>
      </c>
      <c r="P66" s="8">
        <v>20171.259999999998</v>
      </c>
      <c r="Q66" s="8">
        <v>310030.77</v>
      </c>
    </row>
    <row r="67" spans="1:17" x14ac:dyDescent="0.2">
      <c r="A67" s="4" t="s">
        <v>45</v>
      </c>
      <c r="B67" s="5"/>
      <c r="C67" s="5"/>
      <c r="D67" s="39"/>
      <c r="E67" s="7">
        <v>39269.75</v>
      </c>
      <c r="F67" s="8">
        <v>34870.26</v>
      </c>
      <c r="G67" s="8">
        <v>32008.14</v>
      </c>
      <c r="H67" s="8">
        <v>34446.019999999997</v>
      </c>
      <c r="I67" s="8">
        <v>36158.99</v>
      </c>
      <c r="J67" s="8">
        <v>49182.78</v>
      </c>
      <c r="K67" s="8">
        <v>35250.339999999997</v>
      </c>
      <c r="L67" s="8">
        <v>37221.919999999998</v>
      </c>
      <c r="M67" s="8">
        <v>35048.050000000003</v>
      </c>
      <c r="N67" s="8">
        <v>28067.93</v>
      </c>
      <c r="O67" s="8">
        <v>22953.29</v>
      </c>
      <c r="P67" s="8">
        <v>26755.7</v>
      </c>
      <c r="Q67" s="8">
        <v>411233.17</v>
      </c>
    </row>
    <row r="68" spans="1:17" x14ac:dyDescent="0.2">
      <c r="A68" s="4" t="s">
        <v>46</v>
      </c>
      <c r="B68" s="5"/>
      <c r="C68" s="5"/>
      <c r="D68" s="39"/>
      <c r="E68" s="7">
        <v>39009.35</v>
      </c>
      <c r="F68" s="8">
        <v>34639.019999999997</v>
      </c>
      <c r="G68" s="8">
        <v>31795.89</v>
      </c>
      <c r="H68" s="8">
        <v>34217.599999999999</v>
      </c>
      <c r="I68" s="8">
        <v>35919.21</v>
      </c>
      <c r="J68" s="8">
        <v>48856.63</v>
      </c>
      <c r="K68" s="8">
        <v>35016.58</v>
      </c>
      <c r="L68" s="8">
        <v>36975.089999999997</v>
      </c>
      <c r="M68" s="8">
        <v>34815.629999999997</v>
      </c>
      <c r="N68" s="8">
        <v>27881.8</v>
      </c>
      <c r="O68" s="8">
        <v>22801.08</v>
      </c>
      <c r="P68" s="8">
        <v>26578.28</v>
      </c>
      <c r="Q68" s="8">
        <v>408506.16000000003</v>
      </c>
    </row>
    <row r="69" spans="1:17" x14ac:dyDescent="0.2">
      <c r="A69" s="4" t="s">
        <v>56</v>
      </c>
      <c r="B69" s="5"/>
      <c r="C69" s="5"/>
      <c r="D69" s="39"/>
      <c r="E69" s="21">
        <v>44697.85</v>
      </c>
      <c r="F69" s="22">
        <v>39690.22</v>
      </c>
      <c r="G69" s="22">
        <v>36432.49</v>
      </c>
      <c r="H69" s="22">
        <v>39207.35</v>
      </c>
      <c r="I69" s="22">
        <v>41157.089999999997</v>
      </c>
      <c r="J69" s="22">
        <v>55981.1</v>
      </c>
      <c r="K69" s="22">
        <v>40122.839999999997</v>
      </c>
      <c r="L69" s="22">
        <v>42366.94</v>
      </c>
      <c r="M69" s="22">
        <v>39892.589999999997</v>
      </c>
      <c r="N69" s="22">
        <v>31947.64</v>
      </c>
      <c r="O69" s="22">
        <v>26126.03</v>
      </c>
      <c r="P69" s="22">
        <v>30454.03</v>
      </c>
      <c r="Q69" s="22">
        <v>468076.17000000004</v>
      </c>
    </row>
    <row r="70" spans="1:17" x14ac:dyDescent="0.2">
      <c r="A70" s="4"/>
      <c r="B70" s="5"/>
      <c r="C70" s="5"/>
      <c r="D70" s="39"/>
      <c r="E70" s="13">
        <v>602414.01</v>
      </c>
      <c r="F70" s="14">
        <v>534923.91</v>
      </c>
      <c r="G70" s="14">
        <v>491017.93</v>
      </c>
      <c r="H70" s="14">
        <v>528415.94999999995</v>
      </c>
      <c r="I70" s="14">
        <v>554693.6</v>
      </c>
      <c r="J70" s="14">
        <v>754483.78</v>
      </c>
      <c r="K70" s="14">
        <v>540754.52</v>
      </c>
      <c r="L70" s="14">
        <v>570999.31999999995</v>
      </c>
      <c r="M70" s="14">
        <v>537651.31999999995</v>
      </c>
      <c r="N70" s="14">
        <v>430573.42</v>
      </c>
      <c r="O70" s="14">
        <v>352112.83</v>
      </c>
      <c r="P70" s="14">
        <v>410443.36</v>
      </c>
      <c r="Q70" s="14">
        <v>6308483.9500000002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>
        <v>278354.61999999959</v>
      </c>
      <c r="F73" s="8">
        <v>247169.78999999951</v>
      </c>
      <c r="G73" s="8">
        <v>226882.37</v>
      </c>
      <c r="H73" s="8">
        <v>244162.69999999995</v>
      </c>
      <c r="I73" s="8">
        <v>256304.68999999989</v>
      </c>
      <c r="J73" s="8">
        <v>348620.78000000061</v>
      </c>
      <c r="K73" s="8">
        <v>249863.89999999991</v>
      </c>
      <c r="L73" s="8">
        <v>263838.96999999951</v>
      </c>
      <c r="M73" s="8">
        <v>248430.04000000027</v>
      </c>
      <c r="N73" s="8">
        <v>198953.0500000001</v>
      </c>
      <c r="O73" s="8">
        <v>162699.14000000025</v>
      </c>
      <c r="P73" s="8">
        <v>189651.64000000007</v>
      </c>
      <c r="Q73" s="8">
        <v>2914931.69</v>
      </c>
    </row>
    <row r="74" spans="1:17" x14ac:dyDescent="0.2">
      <c r="A74" s="4" t="s">
        <v>49</v>
      </c>
      <c r="B74" s="5"/>
      <c r="C74" s="5"/>
      <c r="D74" s="39"/>
      <c r="E74" s="7">
        <v>67833.78</v>
      </c>
      <c r="F74" s="8">
        <v>60234.18</v>
      </c>
      <c r="G74" s="8">
        <v>55290.22</v>
      </c>
      <c r="H74" s="8">
        <v>59501.36</v>
      </c>
      <c r="I74" s="8">
        <v>62460.31</v>
      </c>
      <c r="J74" s="8">
        <v>84957.34</v>
      </c>
      <c r="K74" s="8">
        <v>60890.73</v>
      </c>
      <c r="L74" s="8">
        <v>64296.39</v>
      </c>
      <c r="M74" s="8">
        <v>60541.29</v>
      </c>
      <c r="N74" s="8">
        <v>48483.97</v>
      </c>
      <c r="O74" s="8">
        <v>39649.050000000003</v>
      </c>
      <c r="P74" s="8">
        <v>46217.26</v>
      </c>
      <c r="Q74" s="8">
        <v>710355.88</v>
      </c>
    </row>
    <row r="75" spans="1:17" x14ac:dyDescent="0.2">
      <c r="A75" s="4" t="s">
        <v>50</v>
      </c>
      <c r="B75" s="5"/>
      <c r="C75" s="5"/>
      <c r="D75" s="39"/>
      <c r="E75" s="7">
        <v>90952.36</v>
      </c>
      <c r="F75" s="8">
        <v>80762.720000000001</v>
      </c>
      <c r="G75" s="8">
        <v>74133.8</v>
      </c>
      <c r="H75" s="8">
        <v>79780.149999999994</v>
      </c>
      <c r="I75" s="8">
        <v>83747.539999999994</v>
      </c>
      <c r="J75" s="8">
        <v>113911.83</v>
      </c>
      <c r="K75" s="8">
        <v>81643.02</v>
      </c>
      <c r="L75" s="8">
        <v>86209.38</v>
      </c>
      <c r="M75" s="8">
        <v>81174.5</v>
      </c>
      <c r="N75" s="8">
        <v>65007.9</v>
      </c>
      <c r="O75" s="8">
        <v>53161.93</v>
      </c>
      <c r="P75" s="8">
        <v>61968.67</v>
      </c>
      <c r="Q75" s="8">
        <v>952453.80000000016</v>
      </c>
    </row>
    <row r="76" spans="1:17" x14ac:dyDescent="0.2">
      <c r="A76" s="4" t="s">
        <v>51</v>
      </c>
      <c r="B76" s="5"/>
      <c r="C76" s="5"/>
      <c r="D76" s="39"/>
      <c r="E76" s="7">
        <v>78342.759999999995</v>
      </c>
      <c r="F76" s="8">
        <v>69565.8</v>
      </c>
      <c r="G76" s="8">
        <v>63855.92</v>
      </c>
      <c r="H76" s="8">
        <v>68719.45</v>
      </c>
      <c r="I76" s="8">
        <v>72136.81</v>
      </c>
      <c r="J76" s="8">
        <v>98119.13</v>
      </c>
      <c r="K76" s="8">
        <v>70324.06</v>
      </c>
      <c r="L76" s="8">
        <v>74257.34</v>
      </c>
      <c r="M76" s="8">
        <v>69920.490000000005</v>
      </c>
      <c r="N76" s="8">
        <v>55995.23</v>
      </c>
      <c r="O76" s="8">
        <v>45791.58</v>
      </c>
      <c r="P76" s="8">
        <v>53377.35</v>
      </c>
      <c r="Q76" s="8">
        <v>820405.91999999993</v>
      </c>
    </row>
    <row r="77" spans="1:17" x14ac:dyDescent="0.2">
      <c r="A77" s="4" t="s">
        <v>52</v>
      </c>
      <c r="B77" s="5"/>
      <c r="C77" s="5"/>
      <c r="D77" s="39"/>
      <c r="E77" s="7">
        <v>147571.18</v>
      </c>
      <c r="F77" s="8">
        <v>131038.37</v>
      </c>
      <c r="G77" s="8">
        <v>120282.88</v>
      </c>
      <c r="H77" s="8">
        <v>129444.14</v>
      </c>
      <c r="I77" s="8">
        <v>135881.28</v>
      </c>
      <c r="J77" s="8">
        <v>184823.16</v>
      </c>
      <c r="K77" s="8">
        <v>132466.68</v>
      </c>
      <c r="L77" s="8">
        <v>139875.64000000001</v>
      </c>
      <c r="M77" s="8">
        <v>131706.5</v>
      </c>
      <c r="N77" s="8">
        <v>105476.01</v>
      </c>
      <c r="O77" s="8">
        <v>86255.8</v>
      </c>
      <c r="P77" s="8">
        <v>100544.82</v>
      </c>
      <c r="Q77" s="8">
        <v>1545366.4600000002</v>
      </c>
    </row>
    <row r="78" spans="1:17" x14ac:dyDescent="0.2">
      <c r="A78" s="4" t="s">
        <v>53</v>
      </c>
      <c r="B78" s="5"/>
      <c r="C78" s="5"/>
      <c r="D78" s="39"/>
      <c r="E78" s="7">
        <v>92132.89</v>
      </c>
      <c r="F78" s="8">
        <v>81810.98</v>
      </c>
      <c r="G78" s="8">
        <v>75096.03</v>
      </c>
      <c r="H78" s="8">
        <v>80815.66</v>
      </c>
      <c r="I78" s="8">
        <v>84834.55</v>
      </c>
      <c r="J78" s="8">
        <v>115390.36</v>
      </c>
      <c r="K78" s="8">
        <v>82702.720000000001</v>
      </c>
      <c r="L78" s="8">
        <v>87328.34</v>
      </c>
      <c r="M78" s="8">
        <v>82228.11</v>
      </c>
      <c r="N78" s="8">
        <v>65851.679999999993</v>
      </c>
      <c r="O78" s="8">
        <v>53851.95</v>
      </c>
      <c r="P78" s="8">
        <v>62772.99</v>
      </c>
      <c r="Q78" s="22">
        <v>964816.25999999978</v>
      </c>
    </row>
    <row r="79" spans="1:17" ht="13.5" thickBot="1" x14ac:dyDescent="0.25">
      <c r="A79" s="41"/>
      <c r="B79" s="42"/>
      <c r="C79" s="42"/>
      <c r="D79" s="43"/>
      <c r="E79" s="27">
        <v>755187.58999999962</v>
      </c>
      <c r="F79" s="28">
        <v>670581.8399999995</v>
      </c>
      <c r="G79" s="28">
        <v>615541.22</v>
      </c>
      <c r="H79" s="28">
        <v>662423.46</v>
      </c>
      <c r="I79" s="28">
        <v>695365.17999999982</v>
      </c>
      <c r="J79" s="28">
        <v>945822.60000000056</v>
      </c>
      <c r="K79" s="28">
        <v>677891.10999999987</v>
      </c>
      <c r="L79" s="28">
        <v>715806.05999999947</v>
      </c>
      <c r="M79" s="28">
        <v>674000.93000000028</v>
      </c>
      <c r="N79" s="28">
        <v>539767.84000000008</v>
      </c>
      <c r="O79" s="28">
        <v>441409.45000000024</v>
      </c>
      <c r="P79" s="28">
        <v>514532.7300000001</v>
      </c>
      <c r="Q79" s="28">
        <v>7908330.0100000007</v>
      </c>
    </row>
    <row r="80" spans="1:17" ht="13.5" thickTop="1" x14ac:dyDescent="0.2">
      <c r="B80" s="1" t="s">
        <v>67</v>
      </c>
      <c r="E80" s="29">
        <v>5786878.0599999996</v>
      </c>
      <c r="F80" s="29">
        <v>5138558.1800000006</v>
      </c>
      <c r="G80" s="29">
        <v>4716790.9100000011</v>
      </c>
      <c r="H80" s="29">
        <v>5076041.8</v>
      </c>
      <c r="I80" s="29">
        <v>5328468.8</v>
      </c>
      <c r="J80" s="29">
        <v>7247682.7700000005</v>
      </c>
      <c r="K80" s="29">
        <v>5194567.92</v>
      </c>
      <c r="L80" s="29">
        <v>5485103.9299999997</v>
      </c>
      <c r="M80" s="29">
        <v>5164758.080000001</v>
      </c>
      <c r="N80" s="29">
        <v>4136152</v>
      </c>
      <c r="O80" s="29">
        <v>3382447.91</v>
      </c>
      <c r="P80" s="29">
        <v>3942779.5999999996</v>
      </c>
      <c r="Q80" s="29">
        <v>60600229.960000001</v>
      </c>
    </row>
    <row r="83" spans="17:17" x14ac:dyDescent="0.2">
      <c r="Q83" s="20"/>
    </row>
  </sheetData>
  <phoneticPr fontId="0" type="noConversion"/>
  <printOptions horizontalCentered="1"/>
  <pageMargins left="0.19685039370078741" right="0.19685039370078741" top="0.98425196850393704" bottom="1" header="0" footer="0"/>
  <pageSetup paperSize="9" scale="52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S83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21.5703125" style="1" customWidth="1"/>
    <col min="18" max="18" width="12.5703125" style="1"/>
    <col min="19" max="19" width="13.42578125" style="1" customWidth="1"/>
    <col min="20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0" t="s">
        <v>60</v>
      </c>
      <c r="B4" s="30"/>
      <c r="C4" s="30"/>
      <c r="D4" s="3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110</v>
      </c>
      <c r="F5" s="85" t="s">
        <v>111</v>
      </c>
      <c r="G5" s="84" t="s">
        <v>112</v>
      </c>
      <c r="H5" s="84" t="s">
        <v>113</v>
      </c>
      <c r="I5" s="84" t="s">
        <v>114</v>
      </c>
      <c r="J5" s="84" t="s">
        <v>115</v>
      </c>
      <c r="K5" s="84" t="s">
        <v>116</v>
      </c>
      <c r="L5" s="84" t="s">
        <v>117</v>
      </c>
      <c r="M5" s="84" t="s">
        <v>118</v>
      </c>
      <c r="N5" s="84" t="s">
        <v>119</v>
      </c>
      <c r="O5" s="84" t="s">
        <v>120</v>
      </c>
      <c r="P5" s="84" t="s">
        <v>121</v>
      </c>
      <c r="Q5" s="84" t="s">
        <v>57</v>
      </c>
    </row>
    <row r="6" spans="1:17" x14ac:dyDescent="0.2">
      <c r="A6" s="86" t="s">
        <v>76</v>
      </c>
      <c r="B6" s="87"/>
      <c r="C6" s="87"/>
      <c r="D6" s="87"/>
      <c r="E6" s="88">
        <v>36577</v>
      </c>
      <c r="F6" s="89">
        <v>36606</v>
      </c>
      <c r="G6" s="88">
        <v>36641</v>
      </c>
      <c r="H6" s="88">
        <v>36668</v>
      </c>
      <c r="I6" s="88">
        <v>36698</v>
      </c>
      <c r="J6" s="88">
        <v>36728</v>
      </c>
      <c r="K6" s="88">
        <v>36759</v>
      </c>
      <c r="L6" s="88">
        <v>36790</v>
      </c>
      <c r="M6" s="88">
        <v>36819</v>
      </c>
      <c r="N6" s="88">
        <v>36852</v>
      </c>
      <c r="O6" s="88">
        <v>36882</v>
      </c>
      <c r="P6" s="88">
        <v>36913</v>
      </c>
      <c r="Q6" s="90">
        <v>2000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6088148.3099999996</v>
      </c>
      <c r="F8" s="8">
        <v>8623225.1199999992</v>
      </c>
      <c r="G8" s="8">
        <v>8910839.2300000004</v>
      </c>
      <c r="H8" s="8">
        <v>5417051.6800000006</v>
      </c>
      <c r="I8" s="8">
        <v>8309293.1099999994</v>
      </c>
      <c r="J8" s="8">
        <v>8080205.4399999985</v>
      </c>
      <c r="K8" s="8">
        <v>8627137.2799999993</v>
      </c>
      <c r="L8" s="8">
        <v>10383804.249999998</v>
      </c>
      <c r="M8" s="8">
        <v>8955663.0100000016</v>
      </c>
      <c r="N8" s="8">
        <v>8961295.9700000007</v>
      </c>
      <c r="O8" s="8">
        <v>8214423.8000000017</v>
      </c>
      <c r="P8" s="8">
        <v>7084999.0199999996</v>
      </c>
      <c r="Q8" s="8">
        <v>97656086.219999999</v>
      </c>
    </row>
    <row r="9" spans="1:17" x14ac:dyDescent="0.2">
      <c r="A9" s="4" t="s">
        <v>1</v>
      </c>
      <c r="B9" s="5"/>
      <c r="C9" s="5"/>
      <c r="D9" s="40" t="s">
        <v>62</v>
      </c>
      <c r="E9" s="7">
        <v>585398.88</v>
      </c>
      <c r="F9" s="8">
        <v>829156.26</v>
      </c>
      <c r="G9" s="8">
        <v>856811.47</v>
      </c>
      <c r="H9" s="8">
        <v>520870.35</v>
      </c>
      <c r="I9" s="8">
        <v>798970.49</v>
      </c>
      <c r="J9" s="8">
        <v>776942.83</v>
      </c>
      <c r="K9" s="8">
        <v>829532.43</v>
      </c>
      <c r="L9" s="8">
        <v>998442.72</v>
      </c>
      <c r="M9" s="8">
        <v>861121.44</v>
      </c>
      <c r="N9" s="8">
        <v>861663.07</v>
      </c>
      <c r="O9" s="8">
        <v>789848.44</v>
      </c>
      <c r="P9" s="8">
        <v>681249.91</v>
      </c>
      <c r="Q9" s="8">
        <v>9390008.2899999991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351239.33</v>
      </c>
      <c r="F10" s="8">
        <v>497493.76000000001</v>
      </c>
      <c r="G10" s="8">
        <v>514086.88</v>
      </c>
      <c r="H10" s="8">
        <v>312522.21000000002</v>
      </c>
      <c r="I10" s="8">
        <v>479382.3</v>
      </c>
      <c r="J10" s="8">
        <v>466165.7</v>
      </c>
      <c r="K10" s="8">
        <v>497719.46</v>
      </c>
      <c r="L10" s="8">
        <v>599065.63</v>
      </c>
      <c r="M10" s="8">
        <v>516672.87</v>
      </c>
      <c r="N10" s="8">
        <v>516997.84</v>
      </c>
      <c r="O10" s="8">
        <v>473909.06</v>
      </c>
      <c r="P10" s="8">
        <v>408749.94</v>
      </c>
      <c r="Q10" s="8">
        <v>5634004.9799999995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4683191.01</v>
      </c>
      <c r="F11" s="10">
        <v>6633250.0999999996</v>
      </c>
      <c r="G11" s="10">
        <v>6854491.7199999997</v>
      </c>
      <c r="H11" s="10">
        <v>4166962.82</v>
      </c>
      <c r="I11" s="10">
        <v>6391763.9400000004</v>
      </c>
      <c r="J11" s="10">
        <v>6215542.6500000004</v>
      </c>
      <c r="K11" s="10">
        <v>6636259.4500000002</v>
      </c>
      <c r="L11" s="10">
        <v>7987541.7300000004</v>
      </c>
      <c r="M11" s="10">
        <v>6888971.5499999998</v>
      </c>
      <c r="N11" s="10">
        <v>6893304.5800000001</v>
      </c>
      <c r="O11" s="10">
        <v>6318787.5300000003</v>
      </c>
      <c r="P11" s="10">
        <v>5449999.2400000002</v>
      </c>
      <c r="Q11" s="11">
        <v>75120066.319999993</v>
      </c>
    </row>
    <row r="12" spans="1:17" x14ac:dyDescent="0.2">
      <c r="A12" s="4"/>
      <c r="C12" s="44" t="s">
        <v>68</v>
      </c>
      <c r="D12" s="12"/>
      <c r="E12" s="13">
        <v>11707977.529999999</v>
      </c>
      <c r="F12" s="14">
        <v>16583125.239999998</v>
      </c>
      <c r="G12" s="14">
        <v>17136229.300000001</v>
      </c>
      <c r="H12" s="14">
        <v>10417407.060000001</v>
      </c>
      <c r="I12" s="14">
        <v>15979409.84</v>
      </c>
      <c r="J12" s="14">
        <v>15538856.619999999</v>
      </c>
      <c r="K12" s="14">
        <v>16590648.619999999</v>
      </c>
      <c r="L12" s="14">
        <v>19968854.329999998</v>
      </c>
      <c r="M12" s="14">
        <v>17222428.870000001</v>
      </c>
      <c r="N12" s="14">
        <v>17233261.460000001</v>
      </c>
      <c r="O12" s="14">
        <v>15796968.830000002</v>
      </c>
      <c r="P12" s="14">
        <v>13624998.109999999</v>
      </c>
      <c r="Q12" s="14">
        <v>187800165.81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3.5" thickBot="1" x14ac:dyDescent="0.25">
      <c r="A16" s="15" t="s">
        <v>5</v>
      </c>
      <c r="B16" s="16"/>
      <c r="C16" s="5"/>
      <c r="D16" s="6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9" x14ac:dyDescent="0.2">
      <c r="A17" s="4" t="s">
        <v>6</v>
      </c>
      <c r="B17" s="5"/>
      <c r="C17" s="5"/>
      <c r="D17" s="39"/>
      <c r="E17" s="7">
        <v>891173.78</v>
      </c>
      <c r="F17" s="8">
        <v>1262254.42</v>
      </c>
      <c r="G17" s="8">
        <v>1304354.9199999997</v>
      </c>
      <c r="H17" s="8">
        <v>792939.7</v>
      </c>
      <c r="I17" s="8">
        <v>1216301.5400000003</v>
      </c>
      <c r="J17" s="8">
        <v>1182768.0299999998</v>
      </c>
      <c r="K17" s="8">
        <v>1262827.0900000003</v>
      </c>
      <c r="L17" s="8">
        <v>1519965.2899999998</v>
      </c>
      <c r="M17" s="8">
        <v>1310916.1599999999</v>
      </c>
      <c r="N17" s="8">
        <v>1311740.72</v>
      </c>
      <c r="O17" s="8">
        <v>1202414.6999999997</v>
      </c>
      <c r="P17" s="8">
        <v>1037091.24</v>
      </c>
      <c r="Q17" s="8">
        <v>14294747.59</v>
      </c>
      <c r="S17" s="20"/>
    </row>
    <row r="18" spans="1:19" x14ac:dyDescent="0.2">
      <c r="A18" s="4" t="s">
        <v>7</v>
      </c>
      <c r="B18" s="5"/>
      <c r="C18" s="5"/>
      <c r="D18" s="39"/>
      <c r="E18" s="7">
        <v>58563.3</v>
      </c>
      <c r="F18" s="8">
        <v>82948.789999999994</v>
      </c>
      <c r="G18" s="8">
        <v>85715.42</v>
      </c>
      <c r="H18" s="8">
        <v>52107.87</v>
      </c>
      <c r="I18" s="8">
        <v>79929.009999999995</v>
      </c>
      <c r="J18" s="8">
        <v>77725.36</v>
      </c>
      <c r="K18" s="8">
        <v>82986.42</v>
      </c>
      <c r="L18" s="8">
        <v>99884.21</v>
      </c>
      <c r="M18" s="8">
        <v>86146.59</v>
      </c>
      <c r="N18" s="8">
        <v>86200.77</v>
      </c>
      <c r="O18" s="8">
        <v>79016.44</v>
      </c>
      <c r="P18" s="8">
        <v>68152.240000000005</v>
      </c>
      <c r="Q18" s="8">
        <v>939376.41999999993</v>
      </c>
    </row>
    <row r="19" spans="1:19" x14ac:dyDescent="0.2">
      <c r="A19" s="4" t="s">
        <v>8</v>
      </c>
      <c r="B19" s="5"/>
      <c r="C19" s="5"/>
      <c r="D19" s="39"/>
      <c r="E19" s="7">
        <v>89046.19</v>
      </c>
      <c r="F19" s="8">
        <v>126124.62</v>
      </c>
      <c r="G19" s="8">
        <v>130331.31</v>
      </c>
      <c r="H19" s="8">
        <v>79230.63</v>
      </c>
      <c r="I19" s="8">
        <v>121533</v>
      </c>
      <c r="J19" s="8">
        <v>118182.33</v>
      </c>
      <c r="K19" s="8">
        <v>126181.84</v>
      </c>
      <c r="L19" s="8">
        <v>151875.12</v>
      </c>
      <c r="M19" s="8">
        <v>130986.91</v>
      </c>
      <c r="N19" s="8">
        <v>131069.29</v>
      </c>
      <c r="O19" s="8">
        <v>120145.43</v>
      </c>
      <c r="P19" s="8">
        <v>103626.29</v>
      </c>
      <c r="Q19" s="8">
        <v>1428332.96</v>
      </c>
    </row>
    <row r="20" spans="1:19" x14ac:dyDescent="0.2">
      <c r="A20" s="4" t="s">
        <v>9</v>
      </c>
      <c r="B20" s="5"/>
      <c r="C20" s="5"/>
      <c r="D20" s="39"/>
      <c r="E20" s="7">
        <v>83707.360000000001</v>
      </c>
      <c r="F20" s="8">
        <v>118562.71</v>
      </c>
      <c r="G20" s="8">
        <v>122517.19</v>
      </c>
      <c r="H20" s="8">
        <v>74480.289999999994</v>
      </c>
      <c r="I20" s="8">
        <v>114246.39</v>
      </c>
      <c r="J20" s="8">
        <v>111096.61</v>
      </c>
      <c r="K20" s="8">
        <v>118616.5</v>
      </c>
      <c r="L20" s="8">
        <v>142769.32</v>
      </c>
      <c r="M20" s="8">
        <v>123133.48</v>
      </c>
      <c r="N20" s="8">
        <v>123210.93</v>
      </c>
      <c r="O20" s="8">
        <v>112942.01</v>
      </c>
      <c r="P20" s="8">
        <v>97413.29</v>
      </c>
      <c r="Q20" s="8">
        <v>1342696.08</v>
      </c>
    </row>
    <row r="21" spans="1:19" x14ac:dyDescent="0.2">
      <c r="A21" s="4" t="s">
        <v>10</v>
      </c>
      <c r="B21" s="5"/>
      <c r="C21" s="5"/>
      <c r="D21" s="39"/>
      <c r="E21" s="7">
        <v>78485.600000000006</v>
      </c>
      <c r="F21" s="8">
        <v>111166.64</v>
      </c>
      <c r="G21" s="8">
        <v>114874.43</v>
      </c>
      <c r="H21" s="8">
        <v>69834.13</v>
      </c>
      <c r="I21" s="8">
        <v>107119.57</v>
      </c>
      <c r="J21" s="8">
        <v>104166.28</v>
      </c>
      <c r="K21" s="8">
        <v>111217.07</v>
      </c>
      <c r="L21" s="8">
        <v>133863.21</v>
      </c>
      <c r="M21" s="8">
        <v>115452.27</v>
      </c>
      <c r="N21" s="8">
        <v>115524.89</v>
      </c>
      <c r="O21" s="8">
        <v>105896.56</v>
      </c>
      <c r="P21" s="8">
        <v>91336.54</v>
      </c>
      <c r="Q21" s="8">
        <v>1258937.19</v>
      </c>
    </row>
    <row r="22" spans="1:19" x14ac:dyDescent="0.2">
      <c r="A22" s="4" t="s">
        <v>11</v>
      </c>
      <c r="B22" s="5"/>
      <c r="C22" s="5"/>
      <c r="D22" s="39"/>
      <c r="E22" s="7">
        <v>75258.880000000005</v>
      </c>
      <c r="F22" s="8">
        <v>106596.33</v>
      </c>
      <c r="G22" s="8">
        <v>110151.67999999999</v>
      </c>
      <c r="H22" s="8">
        <v>66963.09</v>
      </c>
      <c r="I22" s="8">
        <v>102715.65</v>
      </c>
      <c r="J22" s="8">
        <v>99883.77</v>
      </c>
      <c r="K22" s="8">
        <v>106644.69</v>
      </c>
      <c r="L22" s="8">
        <v>128359.8</v>
      </c>
      <c r="M22" s="8">
        <v>110705.77</v>
      </c>
      <c r="N22" s="8">
        <v>110775.4</v>
      </c>
      <c r="O22" s="8">
        <v>101542.92</v>
      </c>
      <c r="P22" s="8">
        <v>87581.49</v>
      </c>
      <c r="Q22" s="8">
        <v>1207179.4700000002</v>
      </c>
    </row>
    <row r="23" spans="1:19" x14ac:dyDescent="0.2">
      <c r="A23" s="4" t="s">
        <v>12</v>
      </c>
      <c r="B23" s="5"/>
      <c r="C23" s="5"/>
      <c r="D23" s="39"/>
      <c r="E23" s="7">
        <v>78569.899999999994</v>
      </c>
      <c r="F23" s="8">
        <v>111286.04</v>
      </c>
      <c r="G23" s="8">
        <v>114997.81</v>
      </c>
      <c r="H23" s="8">
        <v>69909.14</v>
      </c>
      <c r="I23" s="8">
        <v>107234.62</v>
      </c>
      <c r="J23" s="8">
        <v>104278.16</v>
      </c>
      <c r="K23" s="8">
        <v>111336.52</v>
      </c>
      <c r="L23" s="8">
        <v>134006.99</v>
      </c>
      <c r="M23" s="8">
        <v>115576.28</v>
      </c>
      <c r="N23" s="8">
        <v>115648.97</v>
      </c>
      <c r="O23" s="8">
        <v>106010.3</v>
      </c>
      <c r="P23" s="8">
        <v>91434.64</v>
      </c>
      <c r="Q23" s="8">
        <v>1260289.3700000001</v>
      </c>
    </row>
    <row r="24" spans="1:19" x14ac:dyDescent="0.2">
      <c r="A24" s="4" t="s">
        <v>13</v>
      </c>
      <c r="B24" s="5"/>
      <c r="C24" s="5"/>
      <c r="D24" s="39"/>
      <c r="E24" s="7">
        <v>63930.239999999998</v>
      </c>
      <c r="F24" s="8">
        <v>90550.5</v>
      </c>
      <c r="G24" s="8">
        <v>93570.67</v>
      </c>
      <c r="H24" s="8">
        <v>56883.21</v>
      </c>
      <c r="I24" s="8">
        <v>87253.97</v>
      </c>
      <c r="J24" s="8">
        <v>84848.37</v>
      </c>
      <c r="K24" s="8">
        <v>90591.58</v>
      </c>
      <c r="L24" s="8">
        <v>109037.93</v>
      </c>
      <c r="M24" s="8">
        <v>94041.35</v>
      </c>
      <c r="N24" s="8">
        <v>94100.5</v>
      </c>
      <c r="O24" s="8">
        <v>86257.77</v>
      </c>
      <c r="P24" s="8">
        <v>74397.94</v>
      </c>
      <c r="Q24" s="8">
        <v>1025464.03</v>
      </c>
    </row>
    <row r="25" spans="1:19" x14ac:dyDescent="0.2">
      <c r="A25" s="4" t="s">
        <v>14</v>
      </c>
      <c r="B25" s="5"/>
      <c r="C25" s="5"/>
      <c r="D25" s="39"/>
      <c r="E25" s="7">
        <v>63663.3</v>
      </c>
      <c r="F25" s="8">
        <v>90172.4</v>
      </c>
      <c r="G25" s="8">
        <v>93179.96</v>
      </c>
      <c r="H25" s="8">
        <v>56645.69</v>
      </c>
      <c r="I25" s="8">
        <v>86889.64</v>
      </c>
      <c r="J25" s="8">
        <v>84494.09</v>
      </c>
      <c r="K25" s="8">
        <v>90213.31</v>
      </c>
      <c r="L25" s="8">
        <v>108582.64</v>
      </c>
      <c r="M25" s="8">
        <v>93648.68</v>
      </c>
      <c r="N25" s="8">
        <v>93707.58</v>
      </c>
      <c r="O25" s="8">
        <v>85897.600000000006</v>
      </c>
      <c r="P25" s="8">
        <v>74087.289999999994</v>
      </c>
      <c r="Q25" s="8">
        <v>1021182.1800000002</v>
      </c>
    </row>
    <row r="26" spans="1:19" x14ac:dyDescent="0.2">
      <c r="A26" s="4" t="s">
        <v>15</v>
      </c>
      <c r="B26" s="5"/>
      <c r="C26" s="5"/>
      <c r="D26" s="39"/>
      <c r="E26" s="7">
        <v>56708.76</v>
      </c>
      <c r="F26" s="8">
        <v>80322.03</v>
      </c>
      <c r="G26" s="8">
        <v>83001.039999999994</v>
      </c>
      <c r="H26" s="8">
        <v>50457.75</v>
      </c>
      <c r="I26" s="8">
        <v>77397.87</v>
      </c>
      <c r="J26" s="8">
        <v>75264.009999999995</v>
      </c>
      <c r="K26" s="8">
        <v>80358.47</v>
      </c>
      <c r="L26" s="8">
        <v>96721.14</v>
      </c>
      <c r="M26" s="8">
        <v>83418.559999999998</v>
      </c>
      <c r="N26" s="8">
        <v>83471.03</v>
      </c>
      <c r="O26" s="8">
        <v>76514.2</v>
      </c>
      <c r="P26" s="8">
        <v>65994.039999999994</v>
      </c>
      <c r="Q26" s="8">
        <v>909628.90000000014</v>
      </c>
    </row>
    <row r="27" spans="1:19" x14ac:dyDescent="0.2">
      <c r="A27" s="4" t="s">
        <v>16</v>
      </c>
      <c r="B27" s="5"/>
      <c r="C27" s="5"/>
      <c r="D27" s="39"/>
      <c r="E27" s="21">
        <v>180560.43</v>
      </c>
      <c r="F27" s="22">
        <v>255744.96</v>
      </c>
      <c r="G27" s="22">
        <v>264274.93</v>
      </c>
      <c r="H27" s="22">
        <v>160657.25</v>
      </c>
      <c r="I27" s="22">
        <v>246434.46</v>
      </c>
      <c r="J27" s="22">
        <v>239640.25</v>
      </c>
      <c r="K27" s="22">
        <v>255860.98</v>
      </c>
      <c r="L27" s="22">
        <v>307959.67</v>
      </c>
      <c r="M27" s="22">
        <v>265604.3</v>
      </c>
      <c r="N27" s="22">
        <v>265771.36</v>
      </c>
      <c r="O27" s="22">
        <v>243620.85</v>
      </c>
      <c r="P27" s="22">
        <v>210124.72</v>
      </c>
      <c r="Q27" s="22">
        <v>2896254.16</v>
      </c>
    </row>
    <row r="28" spans="1:19" x14ac:dyDescent="0.2">
      <c r="A28" s="4"/>
      <c r="B28" s="5"/>
      <c r="C28" s="5"/>
      <c r="D28" s="39"/>
      <c r="E28" s="13">
        <v>1719667.74</v>
      </c>
      <c r="F28" s="14">
        <v>2435729.44</v>
      </c>
      <c r="G28" s="14">
        <v>2516969.36</v>
      </c>
      <c r="H28" s="14">
        <v>1530108.75</v>
      </c>
      <c r="I28" s="14">
        <v>2347055.7200000002</v>
      </c>
      <c r="J28" s="14">
        <v>2282347.2599999998</v>
      </c>
      <c r="K28" s="14">
        <v>2436834.4700000002</v>
      </c>
      <c r="L28" s="14">
        <v>2933025.32</v>
      </c>
      <c r="M28" s="14">
        <v>2529630.35</v>
      </c>
      <c r="N28" s="14">
        <v>2531221.44</v>
      </c>
      <c r="O28" s="14">
        <v>2320258.7799999998</v>
      </c>
      <c r="P28" s="14">
        <v>2001239.72</v>
      </c>
      <c r="Q28" s="14">
        <v>27584088.350000001</v>
      </c>
      <c r="S28" s="20"/>
    </row>
    <row r="29" spans="1:19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9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9" x14ac:dyDescent="0.2">
      <c r="A31" s="4" t="s">
        <v>18</v>
      </c>
      <c r="B31" s="5"/>
      <c r="C31" s="5"/>
      <c r="D31" s="39"/>
      <c r="E31" s="7">
        <v>211530.38</v>
      </c>
      <c r="F31" s="8">
        <v>299610.65000000014</v>
      </c>
      <c r="G31" s="8">
        <v>309603.69000000006</v>
      </c>
      <c r="H31" s="8">
        <v>188213.37</v>
      </c>
      <c r="I31" s="8">
        <v>288703.19999999995</v>
      </c>
      <c r="J31" s="8">
        <v>280743.63</v>
      </c>
      <c r="K31" s="8">
        <v>299746.57000000007</v>
      </c>
      <c r="L31" s="8">
        <v>360781.27999999991</v>
      </c>
      <c r="M31" s="8">
        <v>311161.05999999994</v>
      </c>
      <c r="N31" s="8">
        <v>311356.78000000003</v>
      </c>
      <c r="O31" s="8">
        <v>285407</v>
      </c>
      <c r="P31" s="8">
        <v>246165.57000000007</v>
      </c>
      <c r="Q31" s="8">
        <v>3393023.1800000006</v>
      </c>
    </row>
    <row r="32" spans="1:19" x14ac:dyDescent="0.2">
      <c r="A32" s="4" t="s">
        <v>19</v>
      </c>
      <c r="B32" s="5"/>
      <c r="C32" s="5"/>
      <c r="D32" s="39"/>
      <c r="E32" s="7">
        <v>110897.96</v>
      </c>
      <c r="F32" s="8">
        <v>157075.35999999999</v>
      </c>
      <c r="G32" s="8">
        <v>162314.35999999999</v>
      </c>
      <c r="H32" s="8">
        <v>98673.68</v>
      </c>
      <c r="I32" s="8">
        <v>151356.97</v>
      </c>
      <c r="J32" s="8">
        <v>147184.04999999999</v>
      </c>
      <c r="K32" s="8">
        <v>157146.62</v>
      </c>
      <c r="L32" s="8">
        <v>189144.99</v>
      </c>
      <c r="M32" s="8">
        <v>163130.85</v>
      </c>
      <c r="N32" s="8">
        <v>163233.45000000001</v>
      </c>
      <c r="O32" s="8">
        <v>149628.89000000001</v>
      </c>
      <c r="P32" s="8">
        <v>129055.98</v>
      </c>
      <c r="Q32" s="8">
        <v>1778843.1599999997</v>
      </c>
    </row>
    <row r="33" spans="1:17" x14ac:dyDescent="0.2">
      <c r="A33" s="4" t="s">
        <v>20</v>
      </c>
      <c r="B33" s="5"/>
      <c r="C33" s="5"/>
      <c r="D33" s="39"/>
      <c r="E33" s="7">
        <v>109329.09</v>
      </c>
      <c r="F33" s="8">
        <v>154853.22</v>
      </c>
      <c r="G33" s="8">
        <v>160018.10999999999</v>
      </c>
      <c r="H33" s="8">
        <v>97277.75</v>
      </c>
      <c r="I33" s="8">
        <v>149215.73000000001</v>
      </c>
      <c r="J33" s="8">
        <v>145101.84</v>
      </c>
      <c r="K33" s="8">
        <v>154923.48000000001</v>
      </c>
      <c r="L33" s="8">
        <v>186469.16</v>
      </c>
      <c r="M33" s="8">
        <v>160823.04000000001</v>
      </c>
      <c r="N33" s="8">
        <v>160924.20000000001</v>
      </c>
      <c r="O33" s="8">
        <v>147512.09</v>
      </c>
      <c r="P33" s="8">
        <v>127230.23</v>
      </c>
      <c r="Q33" s="8">
        <v>1753677.94</v>
      </c>
    </row>
    <row r="34" spans="1:17" x14ac:dyDescent="0.2">
      <c r="A34" s="4" t="s">
        <v>21</v>
      </c>
      <c r="B34" s="5"/>
      <c r="C34" s="5"/>
      <c r="D34" s="39"/>
      <c r="E34" s="7">
        <v>113159.94</v>
      </c>
      <c r="F34" s="8">
        <v>160279.22</v>
      </c>
      <c r="G34" s="8">
        <v>165625.07999999999</v>
      </c>
      <c r="H34" s="8">
        <v>100686.32</v>
      </c>
      <c r="I34" s="8">
        <v>154444.19</v>
      </c>
      <c r="J34" s="8">
        <v>150186.16</v>
      </c>
      <c r="K34" s="8">
        <v>160351.94</v>
      </c>
      <c r="L34" s="8">
        <v>193002.97</v>
      </c>
      <c r="M34" s="8">
        <v>166458.22</v>
      </c>
      <c r="N34" s="8">
        <v>166562.92000000001</v>
      </c>
      <c r="O34" s="8">
        <v>152680.85999999999</v>
      </c>
      <c r="P34" s="8">
        <v>131688.32999999999</v>
      </c>
      <c r="Q34" s="8">
        <v>1815126.15</v>
      </c>
    </row>
    <row r="35" spans="1:17" x14ac:dyDescent="0.2">
      <c r="A35" s="4" t="s">
        <v>22</v>
      </c>
      <c r="B35" s="5"/>
      <c r="C35" s="5"/>
      <c r="D35" s="39"/>
      <c r="E35" s="21">
        <v>90591.65</v>
      </c>
      <c r="F35" s="22">
        <v>128313.59</v>
      </c>
      <c r="G35" s="22">
        <v>132593.29</v>
      </c>
      <c r="H35" s="22">
        <v>80605.73</v>
      </c>
      <c r="I35" s="22">
        <v>123642.28</v>
      </c>
      <c r="J35" s="22">
        <v>120233.46</v>
      </c>
      <c r="K35" s="22">
        <v>128371.8</v>
      </c>
      <c r="L35" s="22">
        <v>154511.01</v>
      </c>
      <c r="M35" s="22">
        <v>133260.26999999999</v>
      </c>
      <c r="N35" s="22">
        <v>133344.07999999999</v>
      </c>
      <c r="O35" s="22">
        <v>122230.63</v>
      </c>
      <c r="P35" s="22">
        <v>105424.79</v>
      </c>
      <c r="Q35" s="22">
        <v>1453122.58</v>
      </c>
    </row>
    <row r="36" spans="1:17" x14ac:dyDescent="0.2">
      <c r="A36" s="4"/>
      <c r="B36" s="5"/>
      <c r="C36" s="5"/>
      <c r="D36" s="39"/>
      <c r="E36" s="13">
        <v>635509.02</v>
      </c>
      <c r="F36" s="14">
        <v>900132.04</v>
      </c>
      <c r="G36" s="14">
        <v>930154.53</v>
      </c>
      <c r="H36" s="14">
        <v>565456.85</v>
      </c>
      <c r="I36" s="14">
        <v>867362.37</v>
      </c>
      <c r="J36" s="14">
        <v>843449.14</v>
      </c>
      <c r="K36" s="14">
        <v>900540.41</v>
      </c>
      <c r="L36" s="14">
        <v>1083909.4099999999</v>
      </c>
      <c r="M36" s="14">
        <v>934833.44</v>
      </c>
      <c r="N36" s="14">
        <v>935421.43</v>
      </c>
      <c r="O36" s="14">
        <v>857459.47</v>
      </c>
      <c r="P36" s="14">
        <v>739564.9</v>
      </c>
      <c r="Q36" s="14">
        <v>10193793.010000002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>
        <v>232295.64</v>
      </c>
      <c r="F39" s="8">
        <v>329022.48</v>
      </c>
      <c r="G39" s="8">
        <v>339996.49</v>
      </c>
      <c r="H39" s="8">
        <v>206689.69999999995</v>
      </c>
      <c r="I39" s="8">
        <v>317044.27</v>
      </c>
      <c r="J39" s="8">
        <v>308303.33999999985</v>
      </c>
      <c r="K39" s="8">
        <v>329171.74000000011</v>
      </c>
      <c r="L39" s="8">
        <v>396198.05000000016</v>
      </c>
      <c r="M39" s="8">
        <v>341706.78999999992</v>
      </c>
      <c r="N39" s="8">
        <v>341921.67999999993</v>
      </c>
      <c r="O39" s="8">
        <v>313424.49</v>
      </c>
      <c r="P39" s="8">
        <v>270330.88</v>
      </c>
      <c r="Q39" s="8">
        <v>3726105.5500000007</v>
      </c>
    </row>
    <row r="40" spans="1:17" x14ac:dyDescent="0.2">
      <c r="A40" s="4" t="s">
        <v>24</v>
      </c>
      <c r="B40" s="5"/>
      <c r="C40" s="5"/>
      <c r="D40" s="39"/>
      <c r="E40" s="7">
        <v>57219.23</v>
      </c>
      <c r="F40" s="8">
        <v>81045.05</v>
      </c>
      <c r="G40" s="8">
        <v>83748.179999999993</v>
      </c>
      <c r="H40" s="8">
        <v>50911.95</v>
      </c>
      <c r="I40" s="8">
        <v>78094.570000000007</v>
      </c>
      <c r="J40" s="8">
        <v>75941.5</v>
      </c>
      <c r="K40" s="8">
        <v>81081.820000000007</v>
      </c>
      <c r="L40" s="8">
        <v>97591.78</v>
      </c>
      <c r="M40" s="8">
        <v>84169.45</v>
      </c>
      <c r="N40" s="8">
        <v>84222.399999999994</v>
      </c>
      <c r="O40" s="8">
        <v>77202.95</v>
      </c>
      <c r="P40" s="8">
        <v>66588.09</v>
      </c>
      <c r="Q40" s="8">
        <v>917816.96999999986</v>
      </c>
    </row>
    <row r="41" spans="1:17" x14ac:dyDescent="0.2">
      <c r="A41" s="4" t="s">
        <v>25</v>
      </c>
      <c r="B41" s="5"/>
      <c r="C41" s="5"/>
      <c r="D41" s="39"/>
      <c r="E41" s="7">
        <v>47436.04</v>
      </c>
      <c r="F41" s="8">
        <v>67188.19</v>
      </c>
      <c r="G41" s="8">
        <v>69429.149999999994</v>
      </c>
      <c r="H41" s="8">
        <v>42207.17</v>
      </c>
      <c r="I41" s="8">
        <v>64742.18</v>
      </c>
      <c r="J41" s="8">
        <v>62957.23</v>
      </c>
      <c r="K41" s="8">
        <v>67218.67</v>
      </c>
      <c r="L41" s="8">
        <v>80905.81</v>
      </c>
      <c r="M41" s="8">
        <v>69778.39</v>
      </c>
      <c r="N41" s="8">
        <v>69822.28</v>
      </c>
      <c r="O41" s="8">
        <v>64003</v>
      </c>
      <c r="P41" s="8">
        <v>55203.040000000001</v>
      </c>
      <c r="Q41" s="8">
        <v>760891.15</v>
      </c>
    </row>
    <row r="42" spans="1:17" x14ac:dyDescent="0.2">
      <c r="A42" s="4" t="s">
        <v>26</v>
      </c>
      <c r="B42" s="5"/>
      <c r="C42" s="5"/>
      <c r="D42" s="39"/>
      <c r="E42" s="7">
        <v>51070.2</v>
      </c>
      <c r="F42" s="8">
        <v>72335.59</v>
      </c>
      <c r="G42" s="8">
        <v>74748.23</v>
      </c>
      <c r="H42" s="8">
        <v>45440.73</v>
      </c>
      <c r="I42" s="8">
        <v>69702.19</v>
      </c>
      <c r="J42" s="8">
        <v>67780.490000000005</v>
      </c>
      <c r="K42" s="8">
        <v>72368.41</v>
      </c>
      <c r="L42" s="8">
        <v>87104.14</v>
      </c>
      <c r="M42" s="8">
        <v>75124.23</v>
      </c>
      <c r="N42" s="8">
        <v>75171.490000000005</v>
      </c>
      <c r="O42" s="8">
        <v>68906.38</v>
      </c>
      <c r="P42" s="8">
        <v>59432.24</v>
      </c>
      <c r="Q42" s="8">
        <v>819184.32</v>
      </c>
    </row>
    <row r="43" spans="1:17" x14ac:dyDescent="0.2">
      <c r="A43" s="4" t="s">
        <v>27</v>
      </c>
      <c r="B43" s="5"/>
      <c r="C43" s="5"/>
      <c r="D43" s="39"/>
      <c r="E43" s="7">
        <v>43708.22</v>
      </c>
      <c r="F43" s="8">
        <v>61908.12</v>
      </c>
      <c r="G43" s="8">
        <v>63972.97</v>
      </c>
      <c r="H43" s="8">
        <v>38890.26</v>
      </c>
      <c r="I43" s="8">
        <v>59654.33</v>
      </c>
      <c r="J43" s="8">
        <v>58009.66</v>
      </c>
      <c r="K43" s="8">
        <v>61936.21</v>
      </c>
      <c r="L43" s="8">
        <v>74547.73</v>
      </c>
      <c r="M43" s="8">
        <v>64294.77</v>
      </c>
      <c r="N43" s="8">
        <v>64335.21</v>
      </c>
      <c r="O43" s="8">
        <v>58973.24</v>
      </c>
      <c r="P43" s="8">
        <v>50864.84</v>
      </c>
      <c r="Q43" s="8">
        <v>701095.55999999994</v>
      </c>
    </row>
    <row r="44" spans="1:17" x14ac:dyDescent="0.2">
      <c r="A44" s="4" t="s">
        <v>28</v>
      </c>
      <c r="B44" s="5"/>
      <c r="C44" s="5"/>
      <c r="D44" s="39"/>
      <c r="E44" s="7">
        <v>61003.25</v>
      </c>
      <c r="F44" s="8">
        <v>86404.72</v>
      </c>
      <c r="G44" s="8">
        <v>89286.61</v>
      </c>
      <c r="H44" s="8">
        <v>54278.86</v>
      </c>
      <c r="I44" s="8">
        <v>83259.12</v>
      </c>
      <c r="J44" s="8">
        <v>80963.66</v>
      </c>
      <c r="K44" s="8">
        <v>86443.92</v>
      </c>
      <c r="L44" s="8">
        <v>104045.72</v>
      </c>
      <c r="M44" s="8">
        <v>89735.74</v>
      </c>
      <c r="N44" s="8">
        <v>89792.19</v>
      </c>
      <c r="O44" s="8">
        <v>82308.53</v>
      </c>
      <c r="P44" s="8">
        <v>70991.69</v>
      </c>
      <c r="Q44" s="8">
        <v>978514.01</v>
      </c>
    </row>
    <row r="45" spans="1:17" x14ac:dyDescent="0.2">
      <c r="A45" s="4" t="s">
        <v>29</v>
      </c>
      <c r="B45" s="5"/>
      <c r="C45" s="5"/>
      <c r="D45" s="39"/>
      <c r="E45" s="7">
        <v>49257.8</v>
      </c>
      <c r="F45" s="8">
        <v>69768.52</v>
      </c>
      <c r="G45" s="8">
        <v>72095.539999999994</v>
      </c>
      <c r="H45" s="8">
        <v>43828.11</v>
      </c>
      <c r="I45" s="8">
        <v>67228.570000000007</v>
      </c>
      <c r="J45" s="8">
        <v>65375.08</v>
      </c>
      <c r="K45" s="8">
        <v>69800.179999999993</v>
      </c>
      <c r="L45" s="8">
        <v>84012.96</v>
      </c>
      <c r="M45" s="8">
        <v>72458.2</v>
      </c>
      <c r="N45" s="8">
        <v>72503.78</v>
      </c>
      <c r="O45" s="8">
        <v>66461.009999999995</v>
      </c>
      <c r="P45" s="8">
        <v>57323.09</v>
      </c>
      <c r="Q45" s="8">
        <v>790112.84</v>
      </c>
    </row>
    <row r="46" spans="1:17" x14ac:dyDescent="0.2">
      <c r="A46" s="4" t="s">
        <v>30</v>
      </c>
      <c r="B46" s="5"/>
      <c r="C46" s="5"/>
      <c r="D46" s="39"/>
      <c r="E46" s="7">
        <v>42987.01</v>
      </c>
      <c r="F46" s="8">
        <v>60886.6</v>
      </c>
      <c r="G46" s="8">
        <v>62917.38</v>
      </c>
      <c r="H46" s="8">
        <v>38248.550000000003</v>
      </c>
      <c r="I46" s="8">
        <v>58670</v>
      </c>
      <c r="J46" s="8">
        <v>57052.47</v>
      </c>
      <c r="K46" s="8">
        <v>60914.23</v>
      </c>
      <c r="L46" s="8">
        <v>73317.649999999994</v>
      </c>
      <c r="M46" s="8">
        <v>63233.87</v>
      </c>
      <c r="N46" s="8">
        <v>63273.64</v>
      </c>
      <c r="O46" s="8">
        <v>58000.15</v>
      </c>
      <c r="P46" s="8">
        <v>50025.54</v>
      </c>
      <c r="Q46" s="8">
        <v>689527.09000000008</v>
      </c>
    </row>
    <row r="47" spans="1:17" x14ac:dyDescent="0.2">
      <c r="A47" s="4" t="s">
        <v>31</v>
      </c>
      <c r="B47" s="5"/>
      <c r="C47" s="5"/>
      <c r="D47" s="39"/>
      <c r="E47" s="7">
        <v>62136.58</v>
      </c>
      <c r="F47" s="8">
        <v>88009.96</v>
      </c>
      <c r="G47" s="8">
        <v>90945.4</v>
      </c>
      <c r="H47" s="8">
        <v>55287.26</v>
      </c>
      <c r="I47" s="8">
        <v>84805.92</v>
      </c>
      <c r="J47" s="8">
        <v>82467.820000000007</v>
      </c>
      <c r="K47" s="8">
        <v>88049.89</v>
      </c>
      <c r="L47" s="8">
        <v>105978.7</v>
      </c>
      <c r="M47" s="8">
        <v>91402.87</v>
      </c>
      <c r="N47" s="8">
        <v>91460.37</v>
      </c>
      <c r="O47" s="8">
        <v>83837.67</v>
      </c>
      <c r="P47" s="8">
        <v>72310.59</v>
      </c>
      <c r="Q47" s="8">
        <v>996693.02999999991</v>
      </c>
    </row>
    <row r="48" spans="1:17" x14ac:dyDescent="0.2">
      <c r="A48" s="4" t="s">
        <v>32</v>
      </c>
      <c r="B48" s="5"/>
      <c r="C48" s="5"/>
      <c r="D48" s="39"/>
      <c r="E48" s="7">
        <v>40846.79</v>
      </c>
      <c r="F48" s="8">
        <v>57855.21</v>
      </c>
      <c r="G48" s="8">
        <v>59784.88</v>
      </c>
      <c r="H48" s="8">
        <v>36344.25</v>
      </c>
      <c r="I48" s="8">
        <v>55748.97</v>
      </c>
      <c r="J48" s="8">
        <v>54211.96</v>
      </c>
      <c r="K48" s="8">
        <v>57881.45</v>
      </c>
      <c r="L48" s="8">
        <v>69667.34</v>
      </c>
      <c r="M48" s="8">
        <v>60085.61</v>
      </c>
      <c r="N48" s="8">
        <v>60123.4</v>
      </c>
      <c r="O48" s="8">
        <v>55112.46</v>
      </c>
      <c r="P48" s="8">
        <v>47534.89</v>
      </c>
      <c r="Q48" s="8">
        <v>655197.21</v>
      </c>
    </row>
    <row r="49" spans="1:17" x14ac:dyDescent="0.2">
      <c r="A49" s="4" t="s">
        <v>33</v>
      </c>
      <c r="B49" s="5"/>
      <c r="C49" s="5"/>
      <c r="D49" s="39"/>
      <c r="E49" s="21">
        <v>46831.91</v>
      </c>
      <c r="F49" s="22">
        <v>66332.5</v>
      </c>
      <c r="G49" s="22">
        <v>68544.92</v>
      </c>
      <c r="H49" s="22">
        <v>41669.629999999997</v>
      </c>
      <c r="I49" s="22">
        <v>63917.64</v>
      </c>
      <c r="J49" s="22">
        <v>62155.43</v>
      </c>
      <c r="K49" s="22">
        <v>66362.59</v>
      </c>
      <c r="L49" s="22">
        <v>79875.42</v>
      </c>
      <c r="M49" s="22">
        <v>68889.72</v>
      </c>
      <c r="N49" s="22">
        <v>68933.05</v>
      </c>
      <c r="O49" s="22">
        <v>63187.88</v>
      </c>
      <c r="P49" s="22">
        <v>54499.99</v>
      </c>
      <c r="Q49" s="22">
        <v>751200.68</v>
      </c>
    </row>
    <row r="50" spans="1:17" x14ac:dyDescent="0.2">
      <c r="A50" s="4"/>
      <c r="B50" s="5"/>
      <c r="C50" s="5"/>
      <c r="D50" s="39"/>
      <c r="E50" s="13">
        <v>734792.67</v>
      </c>
      <c r="F50" s="14">
        <v>1040756.94</v>
      </c>
      <c r="G50" s="14">
        <v>1075469.75</v>
      </c>
      <c r="H50" s="14">
        <v>653796.47</v>
      </c>
      <c r="I50" s="14">
        <v>1002867.76</v>
      </c>
      <c r="J50" s="14">
        <v>975218.64</v>
      </c>
      <c r="K50" s="14">
        <v>1041229.11</v>
      </c>
      <c r="L50" s="14">
        <v>1253245.3</v>
      </c>
      <c r="M50" s="14">
        <v>1080879.6399999999</v>
      </c>
      <c r="N50" s="14">
        <v>1081559.49</v>
      </c>
      <c r="O50" s="14">
        <v>991417.76</v>
      </c>
      <c r="P50" s="14">
        <v>855104.88</v>
      </c>
      <c r="Q50" s="14">
        <v>11786338.41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66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>
        <v>198576.65999999997</v>
      </c>
      <c r="F53" s="8">
        <v>281263.06999999995</v>
      </c>
      <c r="G53" s="8">
        <v>290644.15999999997</v>
      </c>
      <c r="H53" s="8">
        <v>176687.56000000006</v>
      </c>
      <c r="I53" s="8">
        <v>271023.58</v>
      </c>
      <c r="J53" s="8">
        <v>263551.43000000005</v>
      </c>
      <c r="K53" s="8">
        <v>281390.68</v>
      </c>
      <c r="L53" s="8">
        <v>338687.75000000006</v>
      </c>
      <c r="M53" s="8">
        <v>292106.18</v>
      </c>
      <c r="N53" s="8">
        <v>292289.88999999996</v>
      </c>
      <c r="O53" s="8">
        <v>267929.21999999997</v>
      </c>
      <c r="P53" s="8">
        <v>231090.87000000005</v>
      </c>
      <c r="Q53" s="8">
        <v>3185241.0500000007</v>
      </c>
    </row>
    <row r="54" spans="1:17" x14ac:dyDescent="0.2">
      <c r="A54" s="4" t="s">
        <v>35</v>
      </c>
      <c r="B54" s="5"/>
      <c r="C54" s="5"/>
      <c r="D54" s="39"/>
      <c r="E54" s="7">
        <v>104313.4</v>
      </c>
      <c r="F54" s="8">
        <v>147749.01</v>
      </c>
      <c r="G54" s="8">
        <v>152676.95000000001</v>
      </c>
      <c r="H54" s="8">
        <v>92814.93</v>
      </c>
      <c r="I54" s="8">
        <v>142370.15</v>
      </c>
      <c r="J54" s="8">
        <v>138445</v>
      </c>
      <c r="K54" s="8">
        <v>147816.04</v>
      </c>
      <c r="L54" s="8">
        <v>177914.5</v>
      </c>
      <c r="M54" s="8">
        <v>153444.95000000001</v>
      </c>
      <c r="N54" s="8">
        <v>153541.47</v>
      </c>
      <c r="O54" s="8">
        <v>140744.67000000001</v>
      </c>
      <c r="P54" s="8">
        <v>121393.28</v>
      </c>
      <c r="Q54" s="8">
        <v>1673224.3499999999</v>
      </c>
    </row>
    <row r="55" spans="1:17" x14ac:dyDescent="0.2">
      <c r="A55" s="4" t="s">
        <v>36</v>
      </c>
      <c r="B55" s="5"/>
      <c r="C55" s="5"/>
      <c r="D55" s="39"/>
      <c r="E55" s="7">
        <v>110059.67</v>
      </c>
      <c r="F55" s="8">
        <v>155888.01</v>
      </c>
      <c r="G55" s="8">
        <v>161087.41</v>
      </c>
      <c r="H55" s="8">
        <v>97927.79</v>
      </c>
      <c r="I55" s="8">
        <v>150212.84</v>
      </c>
      <c r="J55" s="8">
        <v>146071.47</v>
      </c>
      <c r="K55" s="8">
        <v>155958.73000000001</v>
      </c>
      <c r="L55" s="8">
        <v>187715.22</v>
      </c>
      <c r="M55" s="8">
        <v>161897.72</v>
      </c>
      <c r="N55" s="8">
        <v>161999.54999999999</v>
      </c>
      <c r="O55" s="8">
        <v>148497.82999999999</v>
      </c>
      <c r="P55" s="8">
        <v>128080.43</v>
      </c>
      <c r="Q55" s="8">
        <v>1765396.67</v>
      </c>
    </row>
    <row r="56" spans="1:17" x14ac:dyDescent="0.2">
      <c r="A56" s="4" t="s">
        <v>55</v>
      </c>
      <c r="B56" s="5"/>
      <c r="C56" s="5"/>
      <c r="D56" s="39"/>
      <c r="E56" s="21">
        <v>81595.240000000005</v>
      </c>
      <c r="F56" s="22">
        <v>115571.12</v>
      </c>
      <c r="G56" s="22">
        <v>119425.81</v>
      </c>
      <c r="H56" s="22">
        <v>72600.990000000005</v>
      </c>
      <c r="I56" s="22">
        <v>111363.7</v>
      </c>
      <c r="J56" s="22">
        <v>108293.4</v>
      </c>
      <c r="K56" s="22">
        <v>115623.55</v>
      </c>
      <c r="L56" s="22">
        <v>139166.94</v>
      </c>
      <c r="M56" s="22">
        <v>120026.55</v>
      </c>
      <c r="N56" s="22">
        <v>120102.05</v>
      </c>
      <c r="O56" s="22">
        <v>110092.24</v>
      </c>
      <c r="P56" s="22">
        <v>94955.34</v>
      </c>
      <c r="Q56" s="22">
        <v>1308816.9300000002</v>
      </c>
    </row>
    <row r="57" spans="1:17" x14ac:dyDescent="0.2">
      <c r="A57" s="4"/>
      <c r="B57" s="5"/>
      <c r="C57" s="5"/>
      <c r="D57" s="39"/>
      <c r="E57" s="13">
        <v>494544.97</v>
      </c>
      <c r="F57" s="14">
        <v>700471.21</v>
      </c>
      <c r="G57" s="14">
        <v>723834.33</v>
      </c>
      <c r="H57" s="14">
        <v>440031.27</v>
      </c>
      <c r="I57" s="14">
        <v>674970.27</v>
      </c>
      <c r="J57" s="14">
        <v>656361.30000000005</v>
      </c>
      <c r="K57" s="14">
        <v>700789</v>
      </c>
      <c r="L57" s="14">
        <v>843484.41</v>
      </c>
      <c r="M57" s="14">
        <v>727475.4</v>
      </c>
      <c r="N57" s="14">
        <v>727932.96</v>
      </c>
      <c r="O57" s="14">
        <v>667263.96</v>
      </c>
      <c r="P57" s="14">
        <v>575519.92000000004</v>
      </c>
      <c r="Q57" s="14">
        <v>7932679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>
        <v>134210.87000000005</v>
      </c>
      <c r="F60" s="8">
        <v>190095.67999999993</v>
      </c>
      <c r="G60" s="8">
        <v>196436.03000000003</v>
      </c>
      <c r="H60" s="8">
        <v>119416.82</v>
      </c>
      <c r="I60" s="8">
        <v>183175.18000000005</v>
      </c>
      <c r="J60" s="8">
        <v>178125.03000000003</v>
      </c>
      <c r="K60" s="8">
        <v>190181.93000000005</v>
      </c>
      <c r="L60" s="8">
        <v>228906.97999999998</v>
      </c>
      <c r="M60" s="8">
        <v>197424.14</v>
      </c>
      <c r="N60" s="8">
        <v>197548.32999999996</v>
      </c>
      <c r="O60" s="8">
        <v>181083.81000000006</v>
      </c>
      <c r="P60" s="8">
        <v>156186.10000000003</v>
      </c>
      <c r="Q60" s="8">
        <v>2152790.9000000004</v>
      </c>
    </row>
    <row r="61" spans="1:17" x14ac:dyDescent="0.2">
      <c r="A61" s="4" t="s">
        <v>39</v>
      </c>
      <c r="B61" s="5"/>
      <c r="C61" s="5"/>
      <c r="D61" s="39"/>
      <c r="E61" s="7">
        <v>34880.410000000003</v>
      </c>
      <c r="F61" s="8">
        <v>49404.45</v>
      </c>
      <c r="G61" s="8">
        <v>51052.25</v>
      </c>
      <c r="H61" s="8">
        <v>31035.54</v>
      </c>
      <c r="I61" s="8">
        <v>47605.86</v>
      </c>
      <c r="J61" s="8">
        <v>46293.36</v>
      </c>
      <c r="K61" s="8">
        <v>49426.86</v>
      </c>
      <c r="L61" s="8">
        <v>59491.21</v>
      </c>
      <c r="M61" s="8">
        <v>51309.06</v>
      </c>
      <c r="N61" s="8">
        <v>51341.33</v>
      </c>
      <c r="O61" s="8">
        <v>47062.33</v>
      </c>
      <c r="P61" s="8">
        <v>40591.589999999997</v>
      </c>
      <c r="Q61" s="8">
        <v>559494.25</v>
      </c>
    </row>
    <row r="62" spans="1:17" x14ac:dyDescent="0.2">
      <c r="A62" s="4" t="s">
        <v>40</v>
      </c>
      <c r="B62" s="5"/>
      <c r="C62" s="5"/>
      <c r="D62" s="39"/>
      <c r="E62" s="7">
        <v>35770.21</v>
      </c>
      <c r="F62" s="8">
        <v>50664.76</v>
      </c>
      <c r="G62" s="8">
        <v>52354.61</v>
      </c>
      <c r="H62" s="8">
        <v>31827.26</v>
      </c>
      <c r="I62" s="8">
        <v>48820.29</v>
      </c>
      <c r="J62" s="8">
        <v>47474.31</v>
      </c>
      <c r="K62" s="8">
        <v>50687.75</v>
      </c>
      <c r="L62" s="8">
        <v>61008.84</v>
      </c>
      <c r="M62" s="8">
        <v>52617.96</v>
      </c>
      <c r="N62" s="8">
        <v>52651.06</v>
      </c>
      <c r="O62" s="8">
        <v>48262.9</v>
      </c>
      <c r="P62" s="8">
        <v>41627.089999999997</v>
      </c>
      <c r="Q62" s="8">
        <v>573767.04</v>
      </c>
    </row>
    <row r="63" spans="1:17" x14ac:dyDescent="0.2">
      <c r="A63" s="4" t="s">
        <v>41</v>
      </c>
      <c r="B63" s="5"/>
      <c r="C63" s="5"/>
      <c r="D63" s="39"/>
      <c r="E63" s="7">
        <v>66580.929999999993</v>
      </c>
      <c r="F63" s="8">
        <v>94304.92</v>
      </c>
      <c r="G63" s="8">
        <v>97450.31</v>
      </c>
      <c r="H63" s="8">
        <v>59241.71</v>
      </c>
      <c r="I63" s="8">
        <v>90871.71</v>
      </c>
      <c r="J63" s="8">
        <v>88366.37</v>
      </c>
      <c r="K63" s="8">
        <v>94347.7</v>
      </c>
      <c r="L63" s="8">
        <v>113558.88</v>
      </c>
      <c r="M63" s="8">
        <v>97940.51</v>
      </c>
      <c r="N63" s="8">
        <v>98002.11</v>
      </c>
      <c r="O63" s="8">
        <v>89834.2</v>
      </c>
      <c r="P63" s="8">
        <v>77482.64</v>
      </c>
      <c r="Q63" s="8">
        <v>1067981.99</v>
      </c>
    </row>
    <row r="64" spans="1:17" x14ac:dyDescent="0.2">
      <c r="A64" s="4" t="s">
        <v>42</v>
      </c>
      <c r="B64" s="5"/>
      <c r="C64" s="5"/>
      <c r="D64" s="39"/>
      <c r="E64" s="7">
        <v>53739.62</v>
      </c>
      <c r="F64" s="8">
        <v>76116.539999999994</v>
      </c>
      <c r="G64" s="8">
        <v>78655.289999999994</v>
      </c>
      <c r="H64" s="8">
        <v>47815.9</v>
      </c>
      <c r="I64" s="8">
        <v>73345.490000000005</v>
      </c>
      <c r="J64" s="8">
        <v>71323.350000000006</v>
      </c>
      <c r="K64" s="8">
        <v>76151.08</v>
      </c>
      <c r="L64" s="8">
        <v>91657.04</v>
      </c>
      <c r="M64" s="8">
        <v>79050.95</v>
      </c>
      <c r="N64" s="8">
        <v>79100.67</v>
      </c>
      <c r="O64" s="8">
        <v>72508.09</v>
      </c>
      <c r="P64" s="8">
        <v>62538.74</v>
      </c>
      <c r="Q64" s="8">
        <v>862002.76</v>
      </c>
    </row>
    <row r="65" spans="1:17" x14ac:dyDescent="0.2">
      <c r="A65" s="4" t="s">
        <v>43</v>
      </c>
      <c r="B65" s="5"/>
      <c r="C65" s="5"/>
      <c r="D65" s="39"/>
      <c r="E65" s="7">
        <v>38856.44</v>
      </c>
      <c r="F65" s="8">
        <v>55036.08</v>
      </c>
      <c r="G65" s="8">
        <v>56871.72</v>
      </c>
      <c r="H65" s="8">
        <v>34573.29</v>
      </c>
      <c r="I65" s="8">
        <v>53032.47</v>
      </c>
      <c r="J65" s="8">
        <v>51570.36</v>
      </c>
      <c r="K65" s="8">
        <v>55061.04</v>
      </c>
      <c r="L65" s="8">
        <v>66272.63</v>
      </c>
      <c r="M65" s="8">
        <v>57157.8</v>
      </c>
      <c r="N65" s="8">
        <v>57193.75</v>
      </c>
      <c r="O65" s="8">
        <v>52426.98</v>
      </c>
      <c r="P65" s="8">
        <v>45218.64</v>
      </c>
      <c r="Q65" s="8">
        <v>623271.19999999995</v>
      </c>
    </row>
    <row r="66" spans="1:17" x14ac:dyDescent="0.2">
      <c r="A66" s="4" t="s">
        <v>44</v>
      </c>
      <c r="B66" s="5"/>
      <c r="C66" s="5"/>
      <c r="D66" s="39"/>
      <c r="E66" s="7">
        <v>23959.21</v>
      </c>
      <c r="F66" s="8">
        <v>33935.71</v>
      </c>
      <c r="G66" s="8">
        <v>35067.58</v>
      </c>
      <c r="H66" s="8">
        <v>21318.18</v>
      </c>
      <c r="I66" s="8">
        <v>32700.26</v>
      </c>
      <c r="J66" s="8">
        <v>31798.720000000001</v>
      </c>
      <c r="K66" s="8">
        <v>33951.1</v>
      </c>
      <c r="L66" s="8">
        <v>40864.26</v>
      </c>
      <c r="M66" s="8">
        <v>35243.980000000003</v>
      </c>
      <c r="N66" s="8">
        <v>35266.15</v>
      </c>
      <c r="O66" s="8">
        <v>32326.92</v>
      </c>
      <c r="P66" s="8">
        <v>27882.2</v>
      </c>
      <c r="Q66" s="8">
        <v>384314.27</v>
      </c>
    </row>
    <row r="67" spans="1:17" x14ac:dyDescent="0.2">
      <c r="A67" s="4" t="s">
        <v>45</v>
      </c>
      <c r="B67" s="5"/>
      <c r="C67" s="5"/>
      <c r="D67" s="39"/>
      <c r="E67" s="7">
        <v>31780.13</v>
      </c>
      <c r="F67" s="8">
        <v>45013.24</v>
      </c>
      <c r="G67" s="8">
        <v>46514.58</v>
      </c>
      <c r="H67" s="8">
        <v>28277.01</v>
      </c>
      <c r="I67" s="8">
        <v>43374.51</v>
      </c>
      <c r="J67" s="8">
        <v>42178.67</v>
      </c>
      <c r="K67" s="8">
        <v>45033.66</v>
      </c>
      <c r="L67" s="8">
        <v>54203.46</v>
      </c>
      <c r="M67" s="8">
        <v>46748.56</v>
      </c>
      <c r="N67" s="8">
        <v>46777.96</v>
      </c>
      <c r="O67" s="8">
        <v>42879.29</v>
      </c>
      <c r="P67" s="8">
        <v>36983.69</v>
      </c>
      <c r="Q67" s="8">
        <v>509764.76000000007</v>
      </c>
    </row>
    <row r="68" spans="1:17" x14ac:dyDescent="0.2">
      <c r="A68" s="4" t="s">
        <v>46</v>
      </c>
      <c r="B68" s="5"/>
      <c r="C68" s="5"/>
      <c r="D68" s="39"/>
      <c r="E68" s="7">
        <v>31569.39</v>
      </c>
      <c r="F68" s="8">
        <v>44714.74</v>
      </c>
      <c r="G68" s="8">
        <v>46206.13</v>
      </c>
      <c r="H68" s="8">
        <v>28089.5</v>
      </c>
      <c r="I68" s="8">
        <v>43086.879999999997</v>
      </c>
      <c r="J68" s="8">
        <v>41898.97</v>
      </c>
      <c r="K68" s="8">
        <v>44735.02</v>
      </c>
      <c r="L68" s="8">
        <v>53844.02</v>
      </c>
      <c r="M68" s="8">
        <v>46438.559999999998</v>
      </c>
      <c r="N68" s="8">
        <v>46467.77</v>
      </c>
      <c r="O68" s="8">
        <v>42594.95</v>
      </c>
      <c r="P68" s="8">
        <v>36738.44</v>
      </c>
      <c r="Q68" s="8">
        <v>506384.37000000005</v>
      </c>
    </row>
    <row r="69" spans="1:17" x14ac:dyDescent="0.2">
      <c r="A69" s="4" t="s">
        <v>56</v>
      </c>
      <c r="B69" s="5"/>
      <c r="C69" s="5"/>
      <c r="D69" s="39"/>
      <c r="E69" s="21">
        <v>36172.97</v>
      </c>
      <c r="F69" s="22">
        <v>51235.22</v>
      </c>
      <c r="G69" s="22">
        <v>52944.09</v>
      </c>
      <c r="H69" s="22">
        <v>32185.62</v>
      </c>
      <c r="I69" s="22">
        <v>49369.98</v>
      </c>
      <c r="J69" s="22">
        <v>48008.85</v>
      </c>
      <c r="K69" s="22">
        <v>51258.47</v>
      </c>
      <c r="L69" s="22">
        <v>61695.77</v>
      </c>
      <c r="M69" s="22">
        <v>53210.42</v>
      </c>
      <c r="N69" s="22">
        <v>53243.88</v>
      </c>
      <c r="O69" s="22">
        <v>48806.31</v>
      </c>
      <c r="P69" s="22">
        <v>42095.79</v>
      </c>
      <c r="Q69" s="22">
        <v>580227.37</v>
      </c>
    </row>
    <row r="70" spans="1:17" x14ac:dyDescent="0.2">
      <c r="A70" s="4"/>
      <c r="B70" s="5"/>
      <c r="C70" s="5"/>
      <c r="D70" s="39"/>
      <c r="E70" s="13">
        <v>487520.18</v>
      </c>
      <c r="F70" s="14">
        <v>690521.34</v>
      </c>
      <c r="G70" s="14">
        <v>713552.59</v>
      </c>
      <c r="H70" s="14">
        <v>433780.83</v>
      </c>
      <c r="I70" s="14">
        <v>665382.63</v>
      </c>
      <c r="J70" s="14">
        <v>647037.99</v>
      </c>
      <c r="K70" s="14">
        <v>690834.61</v>
      </c>
      <c r="L70" s="14">
        <v>831503.09</v>
      </c>
      <c r="M70" s="14">
        <v>717141.94</v>
      </c>
      <c r="N70" s="14">
        <v>717593.01</v>
      </c>
      <c r="O70" s="14">
        <v>657785.78</v>
      </c>
      <c r="P70" s="14">
        <v>567344.92000000004</v>
      </c>
      <c r="Q70" s="14">
        <v>7819998.9099999992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>
        <v>225266.17999999964</v>
      </c>
      <c r="F73" s="8">
        <v>319065.9600000002</v>
      </c>
      <c r="G73" s="8">
        <v>329707.89999999909</v>
      </c>
      <c r="H73" s="8">
        <v>200435.07999999973</v>
      </c>
      <c r="I73" s="8">
        <v>307450.23999999987</v>
      </c>
      <c r="J73" s="8">
        <v>298973.83000000031</v>
      </c>
      <c r="K73" s="8">
        <v>319210.71000000043</v>
      </c>
      <c r="L73" s="8">
        <v>384208.76</v>
      </c>
      <c r="M73" s="8">
        <v>331366.40999999922</v>
      </c>
      <c r="N73" s="8">
        <v>331574.84000000067</v>
      </c>
      <c r="O73" s="8">
        <v>303940.00000000052</v>
      </c>
      <c r="P73" s="8">
        <v>262150.41000000073</v>
      </c>
      <c r="Q73" s="8">
        <v>3613350.3200000003</v>
      </c>
    </row>
    <row r="74" spans="1:17" x14ac:dyDescent="0.2">
      <c r="A74" s="4" t="s">
        <v>49</v>
      </c>
      <c r="B74" s="5"/>
      <c r="C74" s="5"/>
      <c r="D74" s="39"/>
      <c r="E74" s="7">
        <v>54896.37</v>
      </c>
      <c r="F74" s="8">
        <v>77754.960000000006</v>
      </c>
      <c r="G74" s="8">
        <v>80348.350000000006</v>
      </c>
      <c r="H74" s="8">
        <v>48845.14</v>
      </c>
      <c r="I74" s="8">
        <v>74924.259999999995</v>
      </c>
      <c r="J74" s="8">
        <v>72858.59</v>
      </c>
      <c r="K74" s="8">
        <v>77790.23</v>
      </c>
      <c r="L74" s="8">
        <v>93629.96</v>
      </c>
      <c r="M74" s="8">
        <v>80752.52</v>
      </c>
      <c r="N74" s="8">
        <v>80803.320000000007</v>
      </c>
      <c r="O74" s="8">
        <v>74068.83</v>
      </c>
      <c r="P74" s="8">
        <v>63884.89</v>
      </c>
      <c r="Q74" s="8">
        <v>880557.41999999993</v>
      </c>
    </row>
    <row r="75" spans="1:17" x14ac:dyDescent="0.2">
      <c r="A75" s="4" t="s">
        <v>50</v>
      </c>
      <c r="B75" s="5"/>
      <c r="C75" s="5"/>
      <c r="D75" s="39"/>
      <c r="E75" s="7">
        <v>73605.710000000006</v>
      </c>
      <c r="F75" s="8">
        <v>104254.79</v>
      </c>
      <c r="G75" s="8">
        <v>107732.05</v>
      </c>
      <c r="H75" s="8">
        <v>65492.15</v>
      </c>
      <c r="I75" s="8">
        <v>100459.35</v>
      </c>
      <c r="J75" s="8">
        <v>97689.68</v>
      </c>
      <c r="K75" s="8">
        <v>104302.09</v>
      </c>
      <c r="L75" s="8">
        <v>125540.19</v>
      </c>
      <c r="M75" s="8">
        <v>108273.97</v>
      </c>
      <c r="N75" s="8">
        <v>108342.07</v>
      </c>
      <c r="O75" s="8">
        <v>99312.38</v>
      </c>
      <c r="P75" s="8">
        <v>85657.64</v>
      </c>
      <c r="Q75" s="8">
        <v>1180662.07</v>
      </c>
    </row>
    <row r="76" spans="1:17" x14ac:dyDescent="0.2">
      <c r="A76" s="4" t="s">
        <v>51</v>
      </c>
      <c r="B76" s="5"/>
      <c r="C76" s="5"/>
      <c r="D76" s="39"/>
      <c r="E76" s="7">
        <v>63401.04</v>
      </c>
      <c r="F76" s="8">
        <v>89800.94</v>
      </c>
      <c r="G76" s="8">
        <v>92796.11</v>
      </c>
      <c r="H76" s="8">
        <v>56412.34</v>
      </c>
      <c r="I76" s="8">
        <v>86531.7</v>
      </c>
      <c r="J76" s="8">
        <v>84146.02</v>
      </c>
      <c r="K76" s="8">
        <v>89841.68</v>
      </c>
      <c r="L76" s="8">
        <v>108135.34</v>
      </c>
      <c r="M76" s="8">
        <v>93262.9</v>
      </c>
      <c r="N76" s="8">
        <v>93321.56</v>
      </c>
      <c r="O76" s="8">
        <v>85543.75</v>
      </c>
      <c r="P76" s="8">
        <v>73782.09</v>
      </c>
      <c r="Q76" s="8">
        <v>1016975.4700000001</v>
      </c>
    </row>
    <row r="77" spans="1:17" x14ac:dyDescent="0.2">
      <c r="A77" s="4" t="s">
        <v>52</v>
      </c>
      <c r="B77" s="5"/>
      <c r="C77" s="5"/>
      <c r="D77" s="39"/>
      <c r="E77" s="7">
        <v>119426.05</v>
      </c>
      <c r="F77" s="8">
        <v>169154.51</v>
      </c>
      <c r="G77" s="8">
        <v>174796.39</v>
      </c>
      <c r="H77" s="8">
        <v>106261.72</v>
      </c>
      <c r="I77" s="8">
        <v>162996.37</v>
      </c>
      <c r="J77" s="8">
        <v>158502.54999999999</v>
      </c>
      <c r="K77" s="8">
        <v>169231.25</v>
      </c>
      <c r="L77" s="8">
        <v>203690.3</v>
      </c>
      <c r="M77" s="8">
        <v>175675.66</v>
      </c>
      <c r="N77" s="8">
        <v>175786.16</v>
      </c>
      <c r="O77" s="8">
        <v>161135.4</v>
      </c>
      <c r="P77" s="8">
        <v>138980.43</v>
      </c>
      <c r="Q77" s="8">
        <v>1915636.7899999998</v>
      </c>
    </row>
    <row r="78" spans="1:17" x14ac:dyDescent="0.2">
      <c r="A78" s="4" t="s">
        <v>53</v>
      </c>
      <c r="B78" s="5"/>
      <c r="C78" s="5"/>
      <c r="D78" s="39"/>
      <c r="E78" s="7">
        <v>74561.08</v>
      </c>
      <c r="F78" s="8">
        <v>105607.97</v>
      </c>
      <c r="G78" s="8">
        <v>109130.36</v>
      </c>
      <c r="H78" s="8">
        <v>66342.22</v>
      </c>
      <c r="I78" s="8">
        <v>101763.27</v>
      </c>
      <c r="J78" s="8">
        <v>98957.65</v>
      </c>
      <c r="K78" s="8">
        <v>105655.89</v>
      </c>
      <c r="L78" s="8">
        <v>127169.65</v>
      </c>
      <c r="M78" s="8">
        <v>109679.32</v>
      </c>
      <c r="N78" s="8">
        <v>109748.3</v>
      </c>
      <c r="O78" s="8">
        <v>100601.42</v>
      </c>
      <c r="P78" s="8">
        <v>86769.44</v>
      </c>
      <c r="Q78" s="22">
        <v>1195986.57</v>
      </c>
    </row>
    <row r="79" spans="1:17" ht="13.5" thickBot="1" x14ac:dyDescent="0.25">
      <c r="A79" s="25"/>
      <c r="B79" s="26"/>
      <c r="C79" s="26"/>
      <c r="D79" s="43"/>
      <c r="E79" s="27">
        <v>611156.4299999997</v>
      </c>
      <c r="F79" s="28">
        <v>865639.13000000024</v>
      </c>
      <c r="G79" s="28">
        <v>894511.1599999991</v>
      </c>
      <c r="H79" s="28">
        <v>543788.64999999967</v>
      </c>
      <c r="I79" s="28">
        <v>834125.18999999983</v>
      </c>
      <c r="J79" s="28">
        <v>811128.3200000003</v>
      </c>
      <c r="K79" s="28">
        <v>866031.85000000044</v>
      </c>
      <c r="L79" s="28">
        <v>1042374.2000000001</v>
      </c>
      <c r="M79" s="28">
        <v>899010.77999999933</v>
      </c>
      <c r="N79" s="28">
        <v>899576.2500000007</v>
      </c>
      <c r="O79" s="28">
        <v>824601.78000000049</v>
      </c>
      <c r="P79" s="28">
        <v>711224.90000000072</v>
      </c>
      <c r="Q79" s="28">
        <v>9803168.6400000006</v>
      </c>
    </row>
    <row r="80" spans="1:17" ht="13.5" thickTop="1" x14ac:dyDescent="0.2">
      <c r="D80" s="31" t="s">
        <v>70</v>
      </c>
      <c r="E80" s="29">
        <v>4683191.01</v>
      </c>
      <c r="F80" s="29">
        <v>6633250.0999999996</v>
      </c>
      <c r="G80" s="29">
        <v>6854491.7199999988</v>
      </c>
      <c r="H80" s="29">
        <v>4166962.8200000003</v>
      </c>
      <c r="I80" s="29">
        <v>6391763.9400000004</v>
      </c>
      <c r="J80" s="29">
        <v>6215542.6500000004</v>
      </c>
      <c r="K80" s="29">
        <v>6636259.4500000011</v>
      </c>
      <c r="L80" s="29">
        <v>7987541.7299999995</v>
      </c>
      <c r="M80" s="29">
        <v>6888971.5499999989</v>
      </c>
      <c r="N80" s="29">
        <v>6893304.580000001</v>
      </c>
      <c r="O80" s="29">
        <v>6318787.5300000003</v>
      </c>
      <c r="P80" s="29">
        <v>5449999.2400000002</v>
      </c>
      <c r="Q80" s="29">
        <v>75120066.319999993</v>
      </c>
    </row>
    <row r="83" spans="17:17" x14ac:dyDescent="0.2">
      <c r="Q83" s="20"/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2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16.5703125" style="1" bestFit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122</v>
      </c>
      <c r="F5" s="85" t="s">
        <v>123</v>
      </c>
      <c r="G5" s="84" t="s">
        <v>124</v>
      </c>
      <c r="H5" s="84" t="s">
        <v>125</v>
      </c>
      <c r="I5" s="84" t="s">
        <v>126</v>
      </c>
      <c r="J5" s="84" t="s">
        <v>127</v>
      </c>
      <c r="K5" s="84" t="s">
        <v>128</v>
      </c>
      <c r="L5" s="84" t="s">
        <v>129</v>
      </c>
      <c r="M5" s="84" t="s">
        <v>130</v>
      </c>
      <c r="N5" s="84" t="s">
        <v>131</v>
      </c>
      <c r="O5" s="84" t="s">
        <v>132</v>
      </c>
      <c r="P5" s="84" t="s">
        <v>133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1999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2554459.7799999998</v>
      </c>
      <c r="F8" s="8">
        <v>1838428.35</v>
      </c>
      <c r="G8" s="8">
        <v>4071349.1</v>
      </c>
      <c r="H8" s="8">
        <v>3259592.43</v>
      </c>
      <c r="I8" s="8">
        <v>4468140.08</v>
      </c>
      <c r="J8" s="8">
        <v>3727099.61</v>
      </c>
      <c r="K8" s="8">
        <v>6244972.1800000006</v>
      </c>
      <c r="L8" s="8">
        <v>6028237.3900000015</v>
      </c>
      <c r="M8" s="8">
        <v>6980854.5300000003</v>
      </c>
      <c r="N8" s="8">
        <v>7064274.9900000012</v>
      </c>
      <c r="O8" s="8">
        <v>4996802.83</v>
      </c>
      <c r="P8" s="8">
        <v>9140775.0799999982</v>
      </c>
      <c r="Q8" s="8">
        <v>60374986.350000001</v>
      </c>
    </row>
    <row r="9" spans="1:17" x14ac:dyDescent="0.2">
      <c r="A9" s="4" t="s">
        <v>1</v>
      </c>
      <c r="B9" s="5"/>
      <c r="C9" s="5"/>
      <c r="D9" s="40" t="s">
        <v>62</v>
      </c>
      <c r="E9" s="7">
        <v>245621.13</v>
      </c>
      <c r="F9" s="8">
        <v>176771.96</v>
      </c>
      <c r="G9" s="8">
        <v>391475.88</v>
      </c>
      <c r="H9" s="8">
        <v>313422.34999999998</v>
      </c>
      <c r="I9" s="8">
        <v>429628.85</v>
      </c>
      <c r="J9" s="8">
        <v>358374.96</v>
      </c>
      <c r="K9" s="8">
        <v>600478.1</v>
      </c>
      <c r="L9" s="8">
        <v>579638.21</v>
      </c>
      <c r="M9" s="8">
        <v>671236.01</v>
      </c>
      <c r="N9" s="8">
        <v>679257.21</v>
      </c>
      <c r="O9" s="8">
        <v>480461.81</v>
      </c>
      <c r="P9" s="8">
        <v>878920.68</v>
      </c>
      <c r="Q9" s="8">
        <v>5805287.1499999994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147372.68</v>
      </c>
      <c r="F10" s="8">
        <v>106063.17</v>
      </c>
      <c r="G10" s="8">
        <v>234885.53</v>
      </c>
      <c r="H10" s="8">
        <v>188053.41</v>
      </c>
      <c r="I10" s="8">
        <v>257777.31</v>
      </c>
      <c r="J10" s="8">
        <v>215024.98</v>
      </c>
      <c r="K10" s="8">
        <v>360286.86</v>
      </c>
      <c r="L10" s="8">
        <v>347782.93</v>
      </c>
      <c r="M10" s="8">
        <v>402741.61</v>
      </c>
      <c r="N10" s="8">
        <v>407554.33</v>
      </c>
      <c r="O10" s="8">
        <v>288277.09000000003</v>
      </c>
      <c r="P10" s="8">
        <v>527352.41</v>
      </c>
      <c r="Q10" s="8">
        <v>3483172.31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1964969.06</v>
      </c>
      <c r="F11" s="10">
        <v>1414175.66</v>
      </c>
      <c r="G11" s="10">
        <v>3131807.01</v>
      </c>
      <c r="H11" s="10">
        <v>2507378.7999999998</v>
      </c>
      <c r="I11" s="10">
        <v>3437030.82</v>
      </c>
      <c r="J11" s="10">
        <v>2866999.7</v>
      </c>
      <c r="K11" s="10">
        <v>4803824.76</v>
      </c>
      <c r="L11" s="10">
        <v>4637105.68</v>
      </c>
      <c r="M11" s="10">
        <v>5369888.0999999996</v>
      </c>
      <c r="N11" s="10">
        <v>5434057.6799999997</v>
      </c>
      <c r="O11" s="10">
        <v>3843694.48</v>
      </c>
      <c r="P11" s="10">
        <v>7031365.4400000004</v>
      </c>
      <c r="Q11" s="11">
        <v>46442297.189999998</v>
      </c>
    </row>
    <row r="12" spans="1:17" x14ac:dyDescent="0.2">
      <c r="A12" s="4"/>
      <c r="B12" s="5"/>
      <c r="C12" s="32" t="s">
        <v>68</v>
      </c>
      <c r="D12" s="40"/>
      <c r="E12" s="13">
        <v>4912422.6500000004</v>
      </c>
      <c r="F12" s="14">
        <v>3535439.14</v>
      </c>
      <c r="G12" s="14">
        <v>7829517.5199999996</v>
      </c>
      <c r="H12" s="14">
        <v>6268446.9900000002</v>
      </c>
      <c r="I12" s="14">
        <v>8592577.0600000005</v>
      </c>
      <c r="J12" s="14">
        <v>7167499.25</v>
      </c>
      <c r="K12" s="14">
        <v>12009561.9</v>
      </c>
      <c r="L12" s="14">
        <v>11592764.210000001</v>
      </c>
      <c r="M12" s="14">
        <v>13424720.25</v>
      </c>
      <c r="N12" s="14">
        <v>13585144.210000001</v>
      </c>
      <c r="O12" s="14">
        <v>9609236.2100000009</v>
      </c>
      <c r="P12" s="14">
        <v>17578413.609999999</v>
      </c>
      <c r="Q12" s="14">
        <v>116105743.00000001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3.5" thickBot="1" x14ac:dyDescent="0.25">
      <c r="A16" s="15" t="s">
        <v>5</v>
      </c>
      <c r="B16" s="16"/>
      <c r="C16" s="32"/>
      <c r="D16" s="6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8" x14ac:dyDescent="0.2">
      <c r="A17" s="4" t="s">
        <v>6</v>
      </c>
      <c r="B17" s="5"/>
      <c r="C17" s="5"/>
      <c r="D17" s="39"/>
      <c r="E17" s="7">
        <v>373917.89</v>
      </c>
      <c r="F17" s="8">
        <v>269106.31</v>
      </c>
      <c r="G17" s="8">
        <v>595957.81000000006</v>
      </c>
      <c r="H17" s="8">
        <v>477134.13</v>
      </c>
      <c r="I17" s="8">
        <v>654039.46</v>
      </c>
      <c r="J17" s="8">
        <v>545567.12</v>
      </c>
      <c r="K17" s="8">
        <v>914129.44</v>
      </c>
      <c r="L17" s="8">
        <v>882404.12</v>
      </c>
      <c r="M17" s="8">
        <v>1021846.75</v>
      </c>
      <c r="N17" s="8">
        <v>1034057.71</v>
      </c>
      <c r="O17" s="8">
        <v>731424.3</v>
      </c>
      <c r="P17" s="8">
        <v>1338012.6100000001</v>
      </c>
      <c r="Q17" s="8">
        <v>8837597.6500000004</v>
      </c>
      <c r="R17" s="20"/>
    </row>
    <row r="18" spans="1:18" x14ac:dyDescent="0.2">
      <c r="A18" s="4" t="s">
        <v>7</v>
      </c>
      <c r="B18" s="5"/>
      <c r="C18" s="5"/>
      <c r="D18" s="39"/>
      <c r="E18" s="7">
        <v>24571.94</v>
      </c>
      <c r="F18" s="8">
        <v>17684.27</v>
      </c>
      <c r="G18" s="8">
        <v>39163.25</v>
      </c>
      <c r="H18" s="8">
        <v>31354.77</v>
      </c>
      <c r="I18" s="8">
        <v>42980.07</v>
      </c>
      <c r="J18" s="8">
        <v>35851.83</v>
      </c>
      <c r="K18" s="8">
        <v>60071.83</v>
      </c>
      <c r="L18" s="8">
        <v>57987.01</v>
      </c>
      <c r="M18" s="8">
        <v>67150.45</v>
      </c>
      <c r="N18" s="8">
        <v>67952.89</v>
      </c>
      <c r="O18" s="8">
        <v>48065.4</v>
      </c>
      <c r="P18" s="8">
        <v>87927.22</v>
      </c>
      <c r="Q18" s="8">
        <v>580760.93000000005</v>
      </c>
    </row>
    <row r="19" spans="1:18" x14ac:dyDescent="0.2">
      <c r="A19" s="4" t="s">
        <v>8</v>
      </c>
      <c r="B19" s="5"/>
      <c r="C19" s="5"/>
      <c r="D19" s="39"/>
      <c r="E19" s="7">
        <v>37361.919999999998</v>
      </c>
      <c r="F19" s="8">
        <v>26889.14</v>
      </c>
      <c r="G19" s="8">
        <v>59548.18</v>
      </c>
      <c r="H19" s="8">
        <v>47675.3</v>
      </c>
      <c r="I19" s="8">
        <v>65351.7</v>
      </c>
      <c r="J19" s="8">
        <v>54513.13</v>
      </c>
      <c r="K19" s="8">
        <v>91339.92</v>
      </c>
      <c r="L19" s="8">
        <v>88169.93</v>
      </c>
      <c r="M19" s="8">
        <v>102103.05</v>
      </c>
      <c r="N19" s="8">
        <v>103323.17</v>
      </c>
      <c r="O19" s="8">
        <v>73084.009999999995</v>
      </c>
      <c r="P19" s="8">
        <v>133694.38</v>
      </c>
      <c r="Q19" s="8">
        <v>883053.83000000007</v>
      </c>
    </row>
    <row r="20" spans="1:18" x14ac:dyDescent="0.2">
      <c r="A20" s="4" t="s">
        <v>9</v>
      </c>
      <c r="B20" s="5"/>
      <c r="C20" s="5"/>
      <c r="D20" s="39"/>
      <c r="E20" s="7">
        <v>35121.86</v>
      </c>
      <c r="F20" s="8">
        <v>25276.98</v>
      </c>
      <c r="G20" s="8">
        <v>55977.919999999998</v>
      </c>
      <c r="H20" s="8">
        <v>44816.89</v>
      </c>
      <c r="I20" s="8">
        <v>61433.49</v>
      </c>
      <c r="J20" s="8">
        <v>51244.75</v>
      </c>
      <c r="K20" s="8">
        <v>85863.56</v>
      </c>
      <c r="L20" s="8">
        <v>82883.63</v>
      </c>
      <c r="M20" s="8">
        <v>95981.38</v>
      </c>
      <c r="N20" s="8">
        <v>97128.35</v>
      </c>
      <c r="O20" s="8">
        <v>68702.2</v>
      </c>
      <c r="P20" s="8">
        <v>125678.63</v>
      </c>
      <c r="Q20" s="8">
        <v>830109.6399999999</v>
      </c>
    </row>
    <row r="21" spans="1:18" x14ac:dyDescent="0.2">
      <c r="A21" s="4" t="s">
        <v>10</v>
      </c>
      <c r="B21" s="5"/>
      <c r="C21" s="5"/>
      <c r="D21" s="39"/>
      <c r="E21" s="7">
        <v>32930.92</v>
      </c>
      <c r="F21" s="8">
        <v>23700.17</v>
      </c>
      <c r="G21" s="8">
        <v>52485.95</v>
      </c>
      <c r="H21" s="8">
        <v>42021.16</v>
      </c>
      <c r="I21" s="8">
        <v>57601.2</v>
      </c>
      <c r="J21" s="8">
        <v>48048.05</v>
      </c>
      <c r="K21" s="8">
        <v>80507.3</v>
      </c>
      <c r="L21" s="8">
        <v>77713.25</v>
      </c>
      <c r="M21" s="8">
        <v>89993.95</v>
      </c>
      <c r="N21" s="8">
        <v>91069.37</v>
      </c>
      <c r="O21" s="8">
        <v>64416.480000000003</v>
      </c>
      <c r="P21" s="8">
        <v>117838.65</v>
      </c>
      <c r="Q21" s="8">
        <v>778326.45000000007</v>
      </c>
    </row>
    <row r="22" spans="1:18" x14ac:dyDescent="0.2">
      <c r="A22" s="4" t="s">
        <v>11</v>
      </c>
      <c r="B22" s="5"/>
      <c r="C22" s="5"/>
      <c r="D22" s="39"/>
      <c r="E22" s="7">
        <v>31577.05</v>
      </c>
      <c r="F22" s="8">
        <v>22725.8</v>
      </c>
      <c r="G22" s="8">
        <v>50328.14</v>
      </c>
      <c r="H22" s="8">
        <v>40293.58</v>
      </c>
      <c r="I22" s="8">
        <v>55233.09</v>
      </c>
      <c r="J22" s="8">
        <v>46072.69</v>
      </c>
      <c r="K22" s="8">
        <v>77197.460000000006</v>
      </c>
      <c r="L22" s="8">
        <v>74518.289999999994</v>
      </c>
      <c r="M22" s="8">
        <v>86294.1</v>
      </c>
      <c r="N22" s="8">
        <v>87325.31</v>
      </c>
      <c r="O22" s="8">
        <v>61768.17</v>
      </c>
      <c r="P22" s="8">
        <v>112994.04</v>
      </c>
      <c r="Q22" s="8">
        <v>746327.72000000009</v>
      </c>
    </row>
    <row r="23" spans="1:18" x14ac:dyDescent="0.2">
      <c r="A23" s="4" t="s">
        <v>12</v>
      </c>
      <c r="B23" s="5"/>
      <c r="C23" s="5"/>
      <c r="D23" s="39"/>
      <c r="E23" s="7">
        <v>32966.29</v>
      </c>
      <c r="F23" s="8">
        <v>23725.63</v>
      </c>
      <c r="G23" s="8">
        <v>52542.33</v>
      </c>
      <c r="H23" s="8">
        <v>42066.29</v>
      </c>
      <c r="I23" s="8">
        <v>57663.07</v>
      </c>
      <c r="J23" s="8">
        <v>48099.65</v>
      </c>
      <c r="K23" s="8">
        <v>80593.77</v>
      </c>
      <c r="L23" s="8">
        <v>77796.72</v>
      </c>
      <c r="M23" s="8">
        <v>90090.61</v>
      </c>
      <c r="N23" s="8">
        <v>91167.19</v>
      </c>
      <c r="O23" s="8">
        <v>64485.66</v>
      </c>
      <c r="P23" s="8">
        <v>117965.22</v>
      </c>
      <c r="Q23" s="8">
        <v>779162.43</v>
      </c>
    </row>
    <row r="24" spans="1:18" x14ac:dyDescent="0.2">
      <c r="A24" s="4" t="s">
        <v>13</v>
      </c>
      <c r="B24" s="5"/>
      <c r="C24" s="5"/>
      <c r="D24" s="39"/>
      <c r="E24" s="7">
        <v>26823.79</v>
      </c>
      <c r="F24" s="8">
        <v>19304.91</v>
      </c>
      <c r="G24" s="8">
        <v>42752.3</v>
      </c>
      <c r="H24" s="8">
        <v>34228.230000000003</v>
      </c>
      <c r="I24" s="8">
        <v>46918.91</v>
      </c>
      <c r="J24" s="8">
        <v>39137.410000000003</v>
      </c>
      <c r="K24" s="8">
        <v>65577.009999999995</v>
      </c>
      <c r="L24" s="8">
        <v>63301.13</v>
      </c>
      <c r="M24" s="8">
        <v>73304.34</v>
      </c>
      <c r="N24" s="8">
        <v>74180.320000000007</v>
      </c>
      <c r="O24" s="8">
        <v>52470.27</v>
      </c>
      <c r="P24" s="8">
        <v>95985.17</v>
      </c>
      <c r="Q24" s="8">
        <v>633983.79</v>
      </c>
    </row>
    <row r="25" spans="1:18" x14ac:dyDescent="0.2">
      <c r="A25" s="4" t="s">
        <v>14</v>
      </c>
      <c r="B25" s="5"/>
      <c r="C25" s="5"/>
      <c r="D25" s="39"/>
      <c r="E25" s="7">
        <v>26711.79</v>
      </c>
      <c r="F25" s="8">
        <v>19224.3</v>
      </c>
      <c r="G25" s="8">
        <v>42573.78</v>
      </c>
      <c r="H25" s="8">
        <v>34085.31</v>
      </c>
      <c r="I25" s="8">
        <v>46723</v>
      </c>
      <c r="J25" s="8">
        <v>38973.99</v>
      </c>
      <c r="K25" s="8">
        <v>65303.19</v>
      </c>
      <c r="L25" s="8">
        <v>63036.81</v>
      </c>
      <c r="M25" s="8">
        <v>72998.259999999995</v>
      </c>
      <c r="N25" s="8">
        <v>73870.58</v>
      </c>
      <c r="O25" s="8">
        <v>52251.18</v>
      </c>
      <c r="P25" s="8">
        <v>95584.38</v>
      </c>
      <c r="Q25" s="8">
        <v>631336.57000000007</v>
      </c>
    </row>
    <row r="26" spans="1:18" x14ac:dyDescent="0.2">
      <c r="A26" s="4" t="s">
        <v>15</v>
      </c>
      <c r="B26" s="5"/>
      <c r="C26" s="5"/>
      <c r="D26" s="39"/>
      <c r="E26" s="7">
        <v>23793.81</v>
      </c>
      <c r="F26" s="8">
        <v>17124.25</v>
      </c>
      <c r="G26" s="8">
        <v>37923.050000000003</v>
      </c>
      <c r="H26" s="8">
        <v>30361.85</v>
      </c>
      <c r="I26" s="8">
        <v>41619.01</v>
      </c>
      <c r="J26" s="8">
        <v>34716.5</v>
      </c>
      <c r="K26" s="8">
        <v>58169.51</v>
      </c>
      <c r="L26" s="8">
        <v>56150.71</v>
      </c>
      <c r="M26" s="8">
        <v>65023.98</v>
      </c>
      <c r="N26" s="8">
        <v>65801</v>
      </c>
      <c r="O26" s="8">
        <v>46543.3</v>
      </c>
      <c r="P26" s="8">
        <v>85142.8</v>
      </c>
      <c r="Q26" s="8">
        <v>562369.77</v>
      </c>
    </row>
    <row r="27" spans="1:18" x14ac:dyDescent="0.2">
      <c r="A27" s="4" t="s">
        <v>16</v>
      </c>
      <c r="B27" s="5"/>
      <c r="C27" s="5"/>
      <c r="D27" s="39"/>
      <c r="E27" s="21">
        <v>75759.38</v>
      </c>
      <c r="F27" s="22">
        <v>54523.54</v>
      </c>
      <c r="G27" s="22">
        <v>120746.82</v>
      </c>
      <c r="H27" s="22">
        <v>96671.99</v>
      </c>
      <c r="I27" s="22">
        <v>132514.72</v>
      </c>
      <c r="J27" s="22">
        <v>110537.17</v>
      </c>
      <c r="K27" s="22">
        <v>185211.46</v>
      </c>
      <c r="L27" s="22">
        <v>178783.61</v>
      </c>
      <c r="M27" s="22">
        <v>207036.04</v>
      </c>
      <c r="N27" s="22">
        <v>209510.09</v>
      </c>
      <c r="O27" s="22">
        <v>148193.64000000001</v>
      </c>
      <c r="P27" s="22">
        <v>271094.28999999998</v>
      </c>
      <c r="Q27" s="22">
        <v>1790582.75</v>
      </c>
    </row>
    <row r="28" spans="1:18" x14ac:dyDescent="0.2">
      <c r="A28" s="4"/>
      <c r="B28" s="5"/>
      <c r="C28" s="5"/>
      <c r="D28" s="39"/>
      <c r="E28" s="13">
        <v>721536.64</v>
      </c>
      <c r="F28" s="14">
        <v>519285.3</v>
      </c>
      <c r="G28" s="14">
        <v>1149999.53</v>
      </c>
      <c r="H28" s="14">
        <v>920709.5</v>
      </c>
      <c r="I28" s="14">
        <v>1262077.72</v>
      </c>
      <c r="J28" s="14">
        <v>1052762.29</v>
      </c>
      <c r="K28" s="14">
        <v>1763964.45</v>
      </c>
      <c r="L28" s="14">
        <v>1702745.21</v>
      </c>
      <c r="M28" s="14">
        <v>1971822.91</v>
      </c>
      <c r="N28" s="14">
        <v>1995385.98</v>
      </c>
      <c r="O28" s="14">
        <v>1411404.61</v>
      </c>
      <c r="P28" s="14">
        <v>2581917.39</v>
      </c>
      <c r="Q28" s="14">
        <v>17053611.530000001</v>
      </c>
      <c r="R28" s="20"/>
    </row>
    <row r="29" spans="1:18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8"/>
    </row>
    <row r="30" spans="1:18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8"/>
    </row>
    <row r="31" spans="1:18" x14ac:dyDescent="0.2">
      <c r="A31" s="4" t="s">
        <v>18</v>
      </c>
      <c r="B31" s="5"/>
      <c r="C31" s="5"/>
      <c r="D31" s="39"/>
      <c r="E31" s="7">
        <v>88753.72</v>
      </c>
      <c r="F31" s="8">
        <v>63875.49</v>
      </c>
      <c r="G31" s="8">
        <v>141457.47</v>
      </c>
      <c r="H31" s="8">
        <v>113253.28</v>
      </c>
      <c r="I31" s="8">
        <v>155243.81</v>
      </c>
      <c r="J31" s="8">
        <v>129496.65</v>
      </c>
      <c r="K31" s="8">
        <v>216979.15</v>
      </c>
      <c r="L31" s="8">
        <v>209448.8</v>
      </c>
      <c r="M31" s="8">
        <v>242547.1</v>
      </c>
      <c r="N31" s="8">
        <v>245445.51</v>
      </c>
      <c r="O31" s="8">
        <v>173611.98</v>
      </c>
      <c r="P31" s="8">
        <v>317592.71999999997</v>
      </c>
      <c r="Q31" s="8">
        <v>2097705.6800000002</v>
      </c>
    </row>
    <row r="32" spans="1:18" x14ac:dyDescent="0.2">
      <c r="A32" s="4" t="s">
        <v>19</v>
      </c>
      <c r="B32" s="5"/>
      <c r="C32" s="5"/>
      <c r="D32" s="39"/>
      <c r="E32" s="7">
        <v>46530.47</v>
      </c>
      <c r="F32" s="8">
        <v>33487.68</v>
      </c>
      <c r="G32" s="8">
        <v>74161.19</v>
      </c>
      <c r="H32" s="8">
        <v>59374.73</v>
      </c>
      <c r="I32" s="8">
        <v>81388.89</v>
      </c>
      <c r="J32" s="8">
        <v>67890.55</v>
      </c>
      <c r="K32" s="8">
        <v>113754.57</v>
      </c>
      <c r="L32" s="8">
        <v>109806.66</v>
      </c>
      <c r="M32" s="8">
        <v>127158.95</v>
      </c>
      <c r="N32" s="8">
        <v>128678.49</v>
      </c>
      <c r="O32" s="8">
        <v>91018.69</v>
      </c>
      <c r="P32" s="8">
        <v>166502.73000000001</v>
      </c>
      <c r="Q32" s="8">
        <v>1099753.5999999999</v>
      </c>
    </row>
    <row r="33" spans="1:17" x14ac:dyDescent="0.2">
      <c r="A33" s="4" t="s">
        <v>20</v>
      </c>
      <c r="B33" s="5"/>
      <c r="C33" s="5"/>
      <c r="D33" s="39"/>
      <c r="E33" s="7">
        <v>45872.2</v>
      </c>
      <c r="F33" s="8">
        <v>33013.93</v>
      </c>
      <c r="G33" s="8">
        <v>73112.03</v>
      </c>
      <c r="H33" s="8">
        <v>58534.76</v>
      </c>
      <c r="I33" s="8">
        <v>80237.48</v>
      </c>
      <c r="J33" s="8">
        <v>66930.11</v>
      </c>
      <c r="K33" s="8">
        <v>112145.29</v>
      </c>
      <c r="L33" s="8">
        <v>108253.23</v>
      </c>
      <c r="M33" s="8">
        <v>125360.04</v>
      </c>
      <c r="N33" s="8">
        <v>126858.08</v>
      </c>
      <c r="O33" s="8">
        <v>89731.05</v>
      </c>
      <c r="P33" s="8">
        <v>164147.23000000001</v>
      </c>
      <c r="Q33" s="8">
        <v>1084195.4300000002</v>
      </c>
    </row>
    <row r="34" spans="1:17" x14ac:dyDescent="0.2">
      <c r="A34" s="4" t="s">
        <v>21</v>
      </c>
      <c r="B34" s="5"/>
      <c r="C34" s="5"/>
      <c r="D34" s="39"/>
      <c r="E34" s="7">
        <v>47479.55</v>
      </c>
      <c r="F34" s="8">
        <v>34170.730000000003</v>
      </c>
      <c r="G34" s="8">
        <v>75673.850000000006</v>
      </c>
      <c r="H34" s="8">
        <v>60585.79</v>
      </c>
      <c r="I34" s="8">
        <v>83048.98</v>
      </c>
      <c r="J34" s="8">
        <v>69275.31</v>
      </c>
      <c r="K34" s="8">
        <v>116074.82</v>
      </c>
      <c r="L34" s="8">
        <v>112046.38</v>
      </c>
      <c r="M34" s="8">
        <v>129752.61</v>
      </c>
      <c r="N34" s="8">
        <v>131303.14000000001</v>
      </c>
      <c r="O34" s="8">
        <v>92875.19</v>
      </c>
      <c r="P34" s="8">
        <v>169898.88</v>
      </c>
      <c r="Q34" s="8">
        <v>1122185.23</v>
      </c>
    </row>
    <row r="35" spans="1:17" x14ac:dyDescent="0.2">
      <c r="A35" s="4" t="s">
        <v>22</v>
      </c>
      <c r="B35" s="5"/>
      <c r="C35" s="5"/>
      <c r="D35" s="39"/>
      <c r="E35" s="21">
        <v>38010.36</v>
      </c>
      <c r="F35" s="22">
        <v>27355.81</v>
      </c>
      <c r="G35" s="22">
        <v>60581.67</v>
      </c>
      <c r="H35" s="22">
        <v>48502.74</v>
      </c>
      <c r="I35" s="22">
        <v>66485.919999999998</v>
      </c>
      <c r="J35" s="22">
        <v>55459.24</v>
      </c>
      <c r="K35" s="22">
        <v>92925.19</v>
      </c>
      <c r="L35" s="22">
        <v>89700.17</v>
      </c>
      <c r="M35" s="22">
        <v>103875.12</v>
      </c>
      <c r="N35" s="22">
        <v>105116.41</v>
      </c>
      <c r="O35" s="22">
        <v>74352.429999999993</v>
      </c>
      <c r="P35" s="22">
        <v>136014.73000000001</v>
      </c>
      <c r="Q35" s="22">
        <v>898379.79</v>
      </c>
    </row>
    <row r="36" spans="1:17" x14ac:dyDescent="0.2">
      <c r="A36" s="4"/>
      <c r="B36" s="5"/>
      <c r="C36" s="5"/>
      <c r="D36" s="39"/>
      <c r="E36" s="13">
        <v>266646.3</v>
      </c>
      <c r="F36" s="14">
        <v>191903.64</v>
      </c>
      <c r="G36" s="14">
        <v>424986.21</v>
      </c>
      <c r="H36" s="14">
        <v>340251.3</v>
      </c>
      <c r="I36" s="14">
        <v>466405.08</v>
      </c>
      <c r="J36" s="14">
        <v>389051.86</v>
      </c>
      <c r="K36" s="14">
        <v>651879.02</v>
      </c>
      <c r="L36" s="14">
        <v>629255.24</v>
      </c>
      <c r="M36" s="14">
        <v>728693.82</v>
      </c>
      <c r="N36" s="14">
        <v>737401.63</v>
      </c>
      <c r="O36" s="14">
        <v>521589.34</v>
      </c>
      <c r="P36" s="14">
        <v>954156.29</v>
      </c>
      <c r="Q36" s="14">
        <v>6302219.7300000004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8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8"/>
    </row>
    <row r="39" spans="1:17" x14ac:dyDescent="0.2">
      <c r="A39" s="4" t="s">
        <v>23</v>
      </c>
      <c r="B39" s="5"/>
      <c r="C39" s="5"/>
      <c r="D39" s="39"/>
      <c r="E39" s="7">
        <v>97466.4</v>
      </c>
      <c r="F39" s="8">
        <v>70145.929999999993</v>
      </c>
      <c r="G39" s="8">
        <v>155343.88</v>
      </c>
      <c r="H39" s="8">
        <v>124370.99</v>
      </c>
      <c r="I39" s="8">
        <v>170483.61</v>
      </c>
      <c r="J39" s="8">
        <v>142208.92000000001</v>
      </c>
      <c r="K39" s="8">
        <v>238279.3</v>
      </c>
      <c r="L39" s="8">
        <v>230009.7</v>
      </c>
      <c r="M39" s="8">
        <v>266357.19</v>
      </c>
      <c r="N39" s="8">
        <v>269540.11</v>
      </c>
      <c r="O39" s="8">
        <v>190654.94</v>
      </c>
      <c r="P39" s="8">
        <v>348769.8</v>
      </c>
      <c r="Q39" s="8">
        <v>2303630.7699999996</v>
      </c>
    </row>
    <row r="40" spans="1:17" x14ac:dyDescent="0.2">
      <c r="A40" s="4" t="s">
        <v>24</v>
      </c>
      <c r="B40" s="5"/>
      <c r="C40" s="5"/>
      <c r="D40" s="39"/>
      <c r="E40" s="7">
        <v>24007.99</v>
      </c>
      <c r="F40" s="8">
        <v>17278.400000000001</v>
      </c>
      <c r="G40" s="8">
        <v>38264.42</v>
      </c>
      <c r="H40" s="8">
        <v>30635.15</v>
      </c>
      <c r="I40" s="8">
        <v>41993.64</v>
      </c>
      <c r="J40" s="8">
        <v>35029</v>
      </c>
      <c r="K40" s="8">
        <v>58693.13</v>
      </c>
      <c r="L40" s="8">
        <v>56656.160000000003</v>
      </c>
      <c r="M40" s="8">
        <v>65609.289999999994</v>
      </c>
      <c r="N40" s="8">
        <v>66393.320000000007</v>
      </c>
      <c r="O40" s="8">
        <v>46962.26</v>
      </c>
      <c r="P40" s="8">
        <v>85909.22</v>
      </c>
      <c r="Q40" s="8">
        <v>567431.98</v>
      </c>
    </row>
    <row r="41" spans="1:17" x14ac:dyDescent="0.2">
      <c r="A41" s="4" t="s">
        <v>25</v>
      </c>
      <c r="B41" s="5"/>
      <c r="C41" s="5"/>
      <c r="D41" s="39"/>
      <c r="E41" s="7">
        <v>19903.169999999998</v>
      </c>
      <c r="F41" s="8">
        <v>14324.19</v>
      </c>
      <c r="G41" s="8">
        <v>31722.07</v>
      </c>
      <c r="H41" s="8">
        <v>25397.24</v>
      </c>
      <c r="I41" s="8">
        <v>34813.69</v>
      </c>
      <c r="J41" s="8">
        <v>29039.84</v>
      </c>
      <c r="K41" s="8">
        <v>48657.94</v>
      </c>
      <c r="L41" s="8">
        <v>46969.24</v>
      </c>
      <c r="M41" s="8">
        <v>54391.6</v>
      </c>
      <c r="N41" s="8">
        <v>55041.57</v>
      </c>
      <c r="O41" s="8">
        <v>38932.78</v>
      </c>
      <c r="P41" s="8">
        <v>71220.7</v>
      </c>
      <c r="Q41" s="8">
        <v>470414.02999999997</v>
      </c>
    </row>
    <row r="42" spans="1:17" x14ac:dyDescent="0.2">
      <c r="A42" s="4" t="s">
        <v>26</v>
      </c>
      <c r="B42" s="5"/>
      <c r="C42" s="5"/>
      <c r="D42" s="39"/>
      <c r="E42" s="7">
        <v>21427.99</v>
      </c>
      <c r="F42" s="8">
        <v>15421.59</v>
      </c>
      <c r="G42" s="8">
        <v>34152.36</v>
      </c>
      <c r="H42" s="8">
        <v>27342.97</v>
      </c>
      <c r="I42" s="8">
        <v>37480.82</v>
      </c>
      <c r="J42" s="8">
        <v>31264.63</v>
      </c>
      <c r="K42" s="8">
        <v>52385.71</v>
      </c>
      <c r="L42" s="8">
        <v>50567.64</v>
      </c>
      <c r="M42" s="8">
        <v>58558.63</v>
      </c>
      <c r="N42" s="8">
        <v>59258.400000000001</v>
      </c>
      <c r="O42" s="8">
        <v>41915.49</v>
      </c>
      <c r="P42" s="8">
        <v>76677.039999999994</v>
      </c>
      <c r="Q42" s="8">
        <v>506453.27</v>
      </c>
    </row>
    <row r="43" spans="1:17" x14ac:dyDescent="0.2">
      <c r="A43" s="4" t="s">
        <v>27</v>
      </c>
      <c r="B43" s="5"/>
      <c r="C43" s="5"/>
      <c r="D43" s="39"/>
      <c r="E43" s="7">
        <v>18339.060000000001</v>
      </c>
      <c r="F43" s="8">
        <v>13198.5</v>
      </c>
      <c r="G43" s="8">
        <v>29229.15</v>
      </c>
      <c r="H43" s="8">
        <v>23401.37</v>
      </c>
      <c r="I43" s="8">
        <v>32077.81</v>
      </c>
      <c r="J43" s="8">
        <v>26757.71</v>
      </c>
      <c r="K43" s="8">
        <v>44834.1</v>
      </c>
      <c r="L43" s="8">
        <v>43278.11</v>
      </c>
      <c r="M43" s="8">
        <v>50117.17</v>
      </c>
      <c r="N43" s="8">
        <v>50716.06</v>
      </c>
      <c r="O43" s="8">
        <v>35873.199999999997</v>
      </c>
      <c r="P43" s="8">
        <v>65623.73</v>
      </c>
      <c r="Q43" s="8">
        <v>433445.97</v>
      </c>
    </row>
    <row r="44" spans="1:17" x14ac:dyDescent="0.2">
      <c r="A44" s="4" t="s">
        <v>28</v>
      </c>
      <c r="B44" s="5"/>
      <c r="C44" s="5"/>
      <c r="D44" s="39"/>
      <c r="E44" s="7">
        <v>25595.69</v>
      </c>
      <c r="F44" s="8">
        <v>18421.05</v>
      </c>
      <c r="G44" s="8">
        <v>40794.92</v>
      </c>
      <c r="H44" s="8">
        <v>32661.119999999999</v>
      </c>
      <c r="I44" s="8">
        <v>44770.76</v>
      </c>
      <c r="J44" s="8">
        <v>37345.54</v>
      </c>
      <c r="K44" s="8">
        <v>62574.62</v>
      </c>
      <c r="L44" s="8">
        <v>60402.94</v>
      </c>
      <c r="M44" s="8">
        <v>69948.160000000003</v>
      </c>
      <c r="N44" s="8">
        <v>70784.039999999994</v>
      </c>
      <c r="O44" s="8">
        <v>50067.96</v>
      </c>
      <c r="P44" s="8">
        <v>91590.57</v>
      </c>
      <c r="Q44" s="8">
        <v>604957.37000000011</v>
      </c>
    </row>
    <row r="45" spans="1:17" x14ac:dyDescent="0.2">
      <c r="A45" s="4" t="s">
        <v>29</v>
      </c>
      <c r="B45" s="5"/>
      <c r="C45" s="5"/>
      <c r="D45" s="39"/>
      <c r="E45" s="7">
        <v>20667.54</v>
      </c>
      <c r="F45" s="8">
        <v>14874.3</v>
      </c>
      <c r="G45" s="8">
        <v>32940.35</v>
      </c>
      <c r="H45" s="8">
        <v>26372.61</v>
      </c>
      <c r="I45" s="8">
        <v>36150.69</v>
      </c>
      <c r="J45" s="8">
        <v>30155.1</v>
      </c>
      <c r="K45" s="8">
        <v>50526.63</v>
      </c>
      <c r="L45" s="8">
        <v>48773.08</v>
      </c>
      <c r="M45" s="8">
        <v>56480.480000000003</v>
      </c>
      <c r="N45" s="8">
        <v>57155.42</v>
      </c>
      <c r="O45" s="8">
        <v>40427.980000000003</v>
      </c>
      <c r="P45" s="8">
        <v>73955.899999999994</v>
      </c>
      <c r="Q45" s="8">
        <v>488480.07999999996</v>
      </c>
    </row>
    <row r="46" spans="1:17" x14ac:dyDescent="0.2">
      <c r="A46" s="4" t="s">
        <v>30</v>
      </c>
      <c r="B46" s="5"/>
      <c r="C46" s="5"/>
      <c r="D46" s="39"/>
      <c r="E46" s="7">
        <v>18036.45</v>
      </c>
      <c r="F46" s="8">
        <v>12980.72</v>
      </c>
      <c r="G46" s="8">
        <v>28746.86</v>
      </c>
      <c r="H46" s="8">
        <v>23015.23</v>
      </c>
      <c r="I46" s="8">
        <v>31548.51</v>
      </c>
      <c r="J46" s="8">
        <v>26316.19</v>
      </c>
      <c r="K46" s="8">
        <v>44094.31</v>
      </c>
      <c r="L46" s="8">
        <v>42563.99</v>
      </c>
      <c r="M46" s="8">
        <v>49290.2</v>
      </c>
      <c r="N46" s="8">
        <v>49879.22</v>
      </c>
      <c r="O46" s="8">
        <v>35281.269999999997</v>
      </c>
      <c r="P46" s="8">
        <v>64540.9</v>
      </c>
      <c r="Q46" s="8">
        <v>426293.85</v>
      </c>
    </row>
    <row r="47" spans="1:17" x14ac:dyDescent="0.2">
      <c r="A47" s="4" t="s">
        <v>31</v>
      </c>
      <c r="B47" s="5"/>
      <c r="C47" s="5"/>
      <c r="D47" s="39"/>
      <c r="E47" s="7">
        <v>26071.21</v>
      </c>
      <c r="F47" s="8">
        <v>18763.28</v>
      </c>
      <c r="G47" s="8">
        <v>41552.82</v>
      </c>
      <c r="H47" s="8">
        <v>33267.9</v>
      </c>
      <c r="I47" s="8">
        <v>45602.52</v>
      </c>
      <c r="J47" s="8">
        <v>38039.35</v>
      </c>
      <c r="K47" s="8">
        <v>63737.15</v>
      </c>
      <c r="L47" s="8">
        <v>61525.120000000003</v>
      </c>
      <c r="M47" s="8">
        <v>71247.679999999993</v>
      </c>
      <c r="N47" s="8">
        <v>72099.08</v>
      </c>
      <c r="O47" s="8">
        <v>50998.14</v>
      </c>
      <c r="P47" s="8">
        <v>93292.160000000003</v>
      </c>
      <c r="Q47" s="8">
        <v>616196.41</v>
      </c>
    </row>
    <row r="48" spans="1:17" x14ac:dyDescent="0.2">
      <c r="A48" s="4" t="s">
        <v>32</v>
      </c>
      <c r="B48" s="5"/>
      <c r="C48" s="5"/>
      <c r="D48" s="39"/>
      <c r="E48" s="7">
        <v>17138.46</v>
      </c>
      <c r="F48" s="8">
        <v>12334.44</v>
      </c>
      <c r="G48" s="8">
        <v>27315.62</v>
      </c>
      <c r="H48" s="8">
        <v>21869.360000000001</v>
      </c>
      <c r="I48" s="8">
        <v>29977.78</v>
      </c>
      <c r="J48" s="8">
        <v>25005.97</v>
      </c>
      <c r="K48" s="8">
        <v>41898.959999999999</v>
      </c>
      <c r="L48" s="8">
        <v>40444.839999999997</v>
      </c>
      <c r="M48" s="8">
        <v>46836.160000000003</v>
      </c>
      <c r="N48" s="8">
        <v>47395.85</v>
      </c>
      <c r="O48" s="8">
        <v>33524.699999999997</v>
      </c>
      <c r="P48" s="8">
        <v>61327.57</v>
      </c>
      <c r="Q48" s="8">
        <v>405069.70999999996</v>
      </c>
    </row>
    <row r="49" spans="1:17" x14ac:dyDescent="0.2">
      <c r="A49" s="4" t="s">
        <v>33</v>
      </c>
      <c r="B49" s="5"/>
      <c r="C49" s="5"/>
      <c r="D49" s="39"/>
      <c r="E49" s="21">
        <v>19649.689999999999</v>
      </c>
      <c r="F49" s="22">
        <v>14141.76</v>
      </c>
      <c r="G49" s="22">
        <v>31318.07</v>
      </c>
      <c r="H49" s="22">
        <v>25073.79</v>
      </c>
      <c r="I49" s="22">
        <v>34370.31</v>
      </c>
      <c r="J49" s="22">
        <v>28670</v>
      </c>
      <c r="K49" s="22">
        <v>48038.25</v>
      </c>
      <c r="L49" s="22">
        <v>46371.06</v>
      </c>
      <c r="M49" s="22">
        <v>53698.879999999997</v>
      </c>
      <c r="N49" s="22">
        <v>54340.58</v>
      </c>
      <c r="O49" s="22">
        <v>38436.94</v>
      </c>
      <c r="P49" s="22">
        <v>70313.649999999994</v>
      </c>
      <c r="Q49" s="22">
        <v>464422.98</v>
      </c>
    </row>
    <row r="50" spans="1:17" x14ac:dyDescent="0.2">
      <c r="A50" s="4"/>
      <c r="B50" s="5"/>
      <c r="C50" s="5"/>
      <c r="D50" s="39"/>
      <c r="E50" s="13">
        <v>308303.65000000002</v>
      </c>
      <c r="F50" s="14">
        <v>221884.16</v>
      </c>
      <c r="G50" s="14">
        <v>491380.52</v>
      </c>
      <c r="H50" s="14">
        <v>393407.73</v>
      </c>
      <c r="I50" s="14">
        <v>539270.14</v>
      </c>
      <c r="J50" s="14">
        <v>449832.25</v>
      </c>
      <c r="K50" s="14">
        <v>753720.1</v>
      </c>
      <c r="L50" s="14">
        <v>727561.88</v>
      </c>
      <c r="M50" s="14">
        <v>842535.44</v>
      </c>
      <c r="N50" s="14">
        <v>852603.65</v>
      </c>
      <c r="O50" s="14">
        <v>603075.66</v>
      </c>
      <c r="P50" s="14">
        <v>1103221.24</v>
      </c>
      <c r="Q50" s="14">
        <v>7286796.4200000009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8"/>
    </row>
    <row r="52" spans="1:17" ht="13.5" thickBot="1" x14ac:dyDescent="0.25">
      <c r="A52" s="15" t="s">
        <v>69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8"/>
    </row>
    <row r="53" spans="1:17" x14ac:dyDescent="0.2">
      <c r="A53" s="4" t="s">
        <v>34</v>
      </c>
      <c r="B53" s="5"/>
      <c r="C53" s="5"/>
      <c r="D53" s="39"/>
      <c r="E53" s="7">
        <v>83318.61</v>
      </c>
      <c r="F53" s="8">
        <v>59963.88</v>
      </c>
      <c r="G53" s="8">
        <v>132794.88</v>
      </c>
      <c r="H53" s="8">
        <v>106317.87</v>
      </c>
      <c r="I53" s="8">
        <v>145736.98000000001</v>
      </c>
      <c r="J53" s="8">
        <v>121566.52</v>
      </c>
      <c r="K53" s="8">
        <v>203691.77</v>
      </c>
      <c r="L53" s="8">
        <v>196622.56</v>
      </c>
      <c r="M53" s="8">
        <v>227693.99</v>
      </c>
      <c r="N53" s="8">
        <v>230414.91</v>
      </c>
      <c r="O53" s="8">
        <v>162980.34</v>
      </c>
      <c r="P53" s="8">
        <v>298143.96000000002</v>
      </c>
      <c r="Q53" s="8">
        <v>1969246.27</v>
      </c>
    </row>
    <row r="54" spans="1:17" x14ac:dyDescent="0.2">
      <c r="A54" s="4" t="s">
        <v>35</v>
      </c>
      <c r="B54" s="5"/>
      <c r="C54" s="5"/>
      <c r="D54" s="39"/>
      <c r="E54" s="7">
        <v>43767.72</v>
      </c>
      <c r="F54" s="8">
        <v>31499.35</v>
      </c>
      <c r="G54" s="8">
        <v>69757.87</v>
      </c>
      <c r="H54" s="8">
        <v>55849.36</v>
      </c>
      <c r="I54" s="8">
        <v>76556.42</v>
      </c>
      <c r="J54" s="8">
        <v>63859.55</v>
      </c>
      <c r="K54" s="8">
        <v>107000.39</v>
      </c>
      <c r="L54" s="8">
        <v>103286.89</v>
      </c>
      <c r="M54" s="8">
        <v>119608.89</v>
      </c>
      <c r="N54" s="8">
        <v>121038.2</v>
      </c>
      <c r="O54" s="8">
        <v>85614.45</v>
      </c>
      <c r="P54" s="8">
        <v>156616.63</v>
      </c>
      <c r="Q54" s="8">
        <v>1034455.7199999999</v>
      </c>
    </row>
    <row r="55" spans="1:17" x14ac:dyDescent="0.2">
      <c r="A55" s="4" t="s">
        <v>36</v>
      </c>
      <c r="B55" s="5"/>
      <c r="C55" s="5"/>
      <c r="D55" s="39"/>
      <c r="E55" s="7">
        <v>46178.74</v>
      </c>
      <c r="F55" s="8">
        <v>33234.54</v>
      </c>
      <c r="G55" s="8">
        <v>73600.600000000006</v>
      </c>
      <c r="H55" s="8">
        <v>58925.91</v>
      </c>
      <c r="I55" s="8">
        <v>80773.66</v>
      </c>
      <c r="J55" s="8">
        <v>67377.36</v>
      </c>
      <c r="K55" s="8">
        <v>112894.69</v>
      </c>
      <c r="L55" s="8">
        <v>108976.62</v>
      </c>
      <c r="M55" s="8">
        <v>126197.74</v>
      </c>
      <c r="N55" s="8">
        <v>127705.79</v>
      </c>
      <c r="O55" s="8">
        <v>90330.66</v>
      </c>
      <c r="P55" s="8">
        <v>165244.12</v>
      </c>
      <c r="Q55" s="8">
        <v>1091440.4300000002</v>
      </c>
    </row>
    <row r="56" spans="1:17" x14ac:dyDescent="0.2">
      <c r="A56" s="4" t="s">
        <v>55</v>
      </c>
      <c r="B56" s="5"/>
      <c r="C56" s="5"/>
      <c r="D56" s="39"/>
      <c r="E56" s="21">
        <v>34235.660000000003</v>
      </c>
      <c r="F56" s="22">
        <v>24639.18</v>
      </c>
      <c r="G56" s="22">
        <v>54565.47</v>
      </c>
      <c r="H56" s="22">
        <v>43686.06</v>
      </c>
      <c r="I56" s="22">
        <v>59883.39</v>
      </c>
      <c r="J56" s="22">
        <v>49951.74</v>
      </c>
      <c r="K56" s="22">
        <v>83697.039999999994</v>
      </c>
      <c r="L56" s="22">
        <v>80792.289999999994</v>
      </c>
      <c r="M56" s="22">
        <v>93559.56</v>
      </c>
      <c r="N56" s="22">
        <v>94677.59</v>
      </c>
      <c r="O56" s="22">
        <v>66968.69</v>
      </c>
      <c r="P56" s="22">
        <v>122507.48</v>
      </c>
      <c r="Q56" s="22">
        <v>809164.14999999991</v>
      </c>
    </row>
    <row r="57" spans="1:17" x14ac:dyDescent="0.2">
      <c r="A57" s="4"/>
      <c r="B57" s="5"/>
      <c r="C57" s="5"/>
      <c r="D57" s="39"/>
      <c r="E57" s="13">
        <v>207500.73</v>
      </c>
      <c r="F57" s="14">
        <v>149336.95000000001</v>
      </c>
      <c r="G57" s="14">
        <v>330718.82</v>
      </c>
      <c r="H57" s="14">
        <v>264779.2</v>
      </c>
      <c r="I57" s="14">
        <v>362950.45</v>
      </c>
      <c r="J57" s="14">
        <v>302755.17</v>
      </c>
      <c r="K57" s="14">
        <v>507283.89</v>
      </c>
      <c r="L57" s="14">
        <v>489678.36</v>
      </c>
      <c r="M57" s="14">
        <v>567060.18000000005</v>
      </c>
      <c r="N57" s="14">
        <v>573836.49</v>
      </c>
      <c r="O57" s="14">
        <v>405894.14</v>
      </c>
      <c r="P57" s="14">
        <v>742512.19</v>
      </c>
      <c r="Q57" s="14">
        <v>4904306.57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8"/>
    </row>
    <row r="60" spans="1:17" x14ac:dyDescent="0.2">
      <c r="A60" s="4" t="s">
        <v>38</v>
      </c>
      <c r="B60" s="5"/>
      <c r="C60" s="5"/>
      <c r="D60" s="39"/>
      <c r="E60" s="7">
        <v>56312.08</v>
      </c>
      <c r="F60" s="8">
        <v>40527.440000000002</v>
      </c>
      <c r="G60" s="8">
        <v>89751.33</v>
      </c>
      <c r="H60" s="8">
        <v>71856.47</v>
      </c>
      <c r="I60" s="8">
        <v>98498.43</v>
      </c>
      <c r="J60" s="8">
        <v>82162.490000000005</v>
      </c>
      <c r="K60" s="8">
        <v>137668.01999999999</v>
      </c>
      <c r="L60" s="8">
        <v>132890.18</v>
      </c>
      <c r="M60" s="8">
        <v>153890.23000000001</v>
      </c>
      <c r="N60" s="8">
        <v>155729.22</v>
      </c>
      <c r="O60" s="8">
        <v>110152.61</v>
      </c>
      <c r="P60" s="8">
        <v>201504.86</v>
      </c>
      <c r="Q60" s="8">
        <v>1330943.3599999999</v>
      </c>
    </row>
    <row r="61" spans="1:17" x14ac:dyDescent="0.2">
      <c r="A61" s="4" t="s">
        <v>39</v>
      </c>
      <c r="B61" s="5"/>
      <c r="C61" s="5"/>
      <c r="D61" s="39"/>
      <c r="E61" s="7">
        <v>14635.09</v>
      </c>
      <c r="F61" s="8">
        <v>10532.78</v>
      </c>
      <c r="G61" s="8">
        <v>23325.7</v>
      </c>
      <c r="H61" s="8">
        <v>18674.96</v>
      </c>
      <c r="I61" s="8">
        <v>25599.01</v>
      </c>
      <c r="J61" s="8">
        <v>21353.41</v>
      </c>
      <c r="K61" s="8">
        <v>35778.89</v>
      </c>
      <c r="L61" s="8">
        <v>34537.160000000003</v>
      </c>
      <c r="M61" s="8">
        <v>39994.93</v>
      </c>
      <c r="N61" s="8">
        <v>40472.86</v>
      </c>
      <c r="O61" s="8">
        <v>28627.84</v>
      </c>
      <c r="P61" s="8">
        <v>52369.61</v>
      </c>
      <c r="Q61" s="8">
        <v>345902.24</v>
      </c>
    </row>
    <row r="62" spans="1:17" x14ac:dyDescent="0.2">
      <c r="A62" s="4" t="s">
        <v>40</v>
      </c>
      <c r="B62" s="5"/>
      <c r="C62" s="5"/>
      <c r="D62" s="39"/>
      <c r="E62" s="7">
        <v>15008.43</v>
      </c>
      <c r="F62" s="8">
        <v>10801.47</v>
      </c>
      <c r="G62" s="8">
        <v>23920.74</v>
      </c>
      <c r="H62" s="8">
        <v>19151.36</v>
      </c>
      <c r="I62" s="8">
        <v>26252.04</v>
      </c>
      <c r="J62" s="8">
        <v>21898.14</v>
      </c>
      <c r="K62" s="8">
        <v>36691.61</v>
      </c>
      <c r="L62" s="8">
        <v>35418.21</v>
      </c>
      <c r="M62" s="8">
        <v>41015.21</v>
      </c>
      <c r="N62" s="8">
        <v>41505.33</v>
      </c>
      <c r="O62" s="8">
        <v>29358.14</v>
      </c>
      <c r="P62" s="8">
        <v>53705.57</v>
      </c>
      <c r="Q62" s="8">
        <v>354726.25</v>
      </c>
    </row>
    <row r="63" spans="1:17" x14ac:dyDescent="0.2">
      <c r="A63" s="4" t="s">
        <v>41</v>
      </c>
      <c r="B63" s="5"/>
      <c r="C63" s="5"/>
      <c r="D63" s="39"/>
      <c r="E63" s="7">
        <v>27935.97</v>
      </c>
      <c r="F63" s="8">
        <v>20105.34</v>
      </c>
      <c r="G63" s="8">
        <v>44524.9</v>
      </c>
      <c r="H63" s="8">
        <v>35647.4</v>
      </c>
      <c r="I63" s="8">
        <v>48864.27</v>
      </c>
      <c r="J63" s="8">
        <v>40760.129999999997</v>
      </c>
      <c r="K63" s="8">
        <v>68295.98</v>
      </c>
      <c r="L63" s="8">
        <v>65925.73</v>
      </c>
      <c r="M63" s="8">
        <v>76343.7</v>
      </c>
      <c r="N63" s="8">
        <v>77256</v>
      </c>
      <c r="O63" s="8">
        <v>54645.8</v>
      </c>
      <c r="P63" s="8">
        <v>99964.92</v>
      </c>
      <c r="Q63" s="8">
        <v>660270.14</v>
      </c>
    </row>
    <row r="64" spans="1:17" x14ac:dyDescent="0.2">
      <c r="A64" s="4" t="s">
        <v>42</v>
      </c>
      <c r="B64" s="5"/>
      <c r="C64" s="5"/>
      <c r="D64" s="39"/>
      <c r="E64" s="7">
        <v>22548.02</v>
      </c>
      <c r="F64" s="8">
        <v>16227.67</v>
      </c>
      <c r="G64" s="8">
        <v>35937.49</v>
      </c>
      <c r="H64" s="8">
        <v>28772.17</v>
      </c>
      <c r="I64" s="8">
        <v>39439.93</v>
      </c>
      <c r="J64" s="8">
        <v>32898.82</v>
      </c>
      <c r="K64" s="8">
        <v>55123.89</v>
      </c>
      <c r="L64" s="8">
        <v>53210.79</v>
      </c>
      <c r="M64" s="8">
        <v>61619.47</v>
      </c>
      <c r="N64" s="8">
        <v>62355.81</v>
      </c>
      <c r="O64" s="8">
        <v>44106.39</v>
      </c>
      <c r="P64" s="8">
        <v>80684.92</v>
      </c>
      <c r="Q64" s="8">
        <v>532925.37</v>
      </c>
    </row>
    <row r="65" spans="1:17" x14ac:dyDescent="0.2">
      <c r="A65" s="4" t="s">
        <v>43</v>
      </c>
      <c r="B65" s="5"/>
      <c r="C65" s="5"/>
      <c r="D65" s="39"/>
      <c r="E65" s="7">
        <v>16303.35</v>
      </c>
      <c r="F65" s="8">
        <v>11733.42</v>
      </c>
      <c r="G65" s="8">
        <v>25984.6</v>
      </c>
      <c r="H65" s="8">
        <v>20803.72</v>
      </c>
      <c r="I65" s="8">
        <v>28517.040000000001</v>
      </c>
      <c r="J65" s="8">
        <v>23787.5</v>
      </c>
      <c r="K65" s="8">
        <v>39857.33</v>
      </c>
      <c r="L65" s="8">
        <v>38474.07</v>
      </c>
      <c r="M65" s="8">
        <v>44553.96</v>
      </c>
      <c r="N65" s="8">
        <v>45086.38</v>
      </c>
      <c r="O65" s="8">
        <v>31891.13</v>
      </c>
      <c r="P65" s="8">
        <v>58339.24</v>
      </c>
      <c r="Q65" s="8">
        <v>385331.74</v>
      </c>
    </row>
    <row r="66" spans="1:17" x14ac:dyDescent="0.2">
      <c r="A66" s="4" t="s">
        <v>44</v>
      </c>
      <c r="B66" s="5"/>
      <c r="C66" s="5"/>
      <c r="D66" s="39"/>
      <c r="E66" s="7">
        <v>10052.780000000001</v>
      </c>
      <c r="F66" s="8">
        <v>7234.92</v>
      </c>
      <c r="G66" s="8">
        <v>16022.32</v>
      </c>
      <c r="H66" s="8">
        <v>12827.75</v>
      </c>
      <c r="I66" s="8">
        <v>17583.849999999999</v>
      </c>
      <c r="J66" s="8">
        <v>14667.57</v>
      </c>
      <c r="K66" s="8">
        <v>24576.37</v>
      </c>
      <c r="L66" s="8">
        <v>23723.43</v>
      </c>
      <c r="M66" s="8">
        <v>27472.35</v>
      </c>
      <c r="N66" s="8">
        <v>27800.639999999999</v>
      </c>
      <c r="O66" s="8">
        <v>19664.34</v>
      </c>
      <c r="P66" s="8">
        <v>35972.47</v>
      </c>
      <c r="Q66" s="8">
        <v>237598.78999999998</v>
      </c>
    </row>
    <row r="67" spans="1:17" x14ac:dyDescent="0.2">
      <c r="A67" s="4" t="s">
        <v>45</v>
      </c>
      <c r="B67" s="5"/>
      <c r="C67" s="5"/>
      <c r="D67" s="39"/>
      <c r="E67" s="7">
        <v>13334.28</v>
      </c>
      <c r="F67" s="8">
        <v>9596.6</v>
      </c>
      <c r="G67" s="8">
        <v>21252.44</v>
      </c>
      <c r="H67" s="8">
        <v>17015.07</v>
      </c>
      <c r="I67" s="8">
        <v>23323.69</v>
      </c>
      <c r="J67" s="8">
        <v>19455.46</v>
      </c>
      <c r="K67" s="8">
        <v>32598.75</v>
      </c>
      <c r="L67" s="8">
        <v>31467.4</v>
      </c>
      <c r="M67" s="8">
        <v>36440.06</v>
      </c>
      <c r="N67" s="8">
        <v>36875.519999999997</v>
      </c>
      <c r="O67" s="8">
        <v>26083.31</v>
      </c>
      <c r="P67" s="8">
        <v>47714.85</v>
      </c>
      <c r="Q67" s="8">
        <v>315157.43</v>
      </c>
    </row>
    <row r="68" spans="1:17" x14ac:dyDescent="0.2">
      <c r="A68" s="4" t="s">
        <v>46</v>
      </c>
      <c r="B68" s="5"/>
      <c r="C68" s="5"/>
      <c r="D68" s="39"/>
      <c r="E68" s="7">
        <v>13245.86</v>
      </c>
      <c r="F68" s="8">
        <v>9532.9599999999991</v>
      </c>
      <c r="G68" s="8">
        <v>21111.51</v>
      </c>
      <c r="H68" s="8">
        <v>16902.240000000002</v>
      </c>
      <c r="I68" s="8">
        <v>23169.02</v>
      </c>
      <c r="J68" s="8">
        <v>19326.439999999999</v>
      </c>
      <c r="K68" s="8">
        <v>32382.58</v>
      </c>
      <c r="L68" s="8">
        <v>31258.73</v>
      </c>
      <c r="M68" s="8">
        <v>36198.42</v>
      </c>
      <c r="N68" s="8">
        <v>36630.980000000003</v>
      </c>
      <c r="O68" s="8">
        <v>25910.34</v>
      </c>
      <c r="P68" s="8">
        <v>47398.43</v>
      </c>
      <c r="Q68" s="8">
        <v>313067.51</v>
      </c>
    </row>
    <row r="69" spans="1:17" x14ac:dyDescent="0.2">
      <c r="A69" s="4" t="s">
        <v>56</v>
      </c>
      <c r="B69" s="5"/>
      <c r="C69" s="5"/>
      <c r="D69" s="39"/>
      <c r="E69" s="21">
        <v>15177.42</v>
      </c>
      <c r="F69" s="22">
        <v>10923.09</v>
      </c>
      <c r="G69" s="22">
        <v>24190.080000000002</v>
      </c>
      <c r="H69" s="22">
        <v>19366.990000000002</v>
      </c>
      <c r="I69" s="22">
        <v>26547.63</v>
      </c>
      <c r="J69" s="22">
        <v>22144.71</v>
      </c>
      <c r="K69" s="22">
        <v>37104.74</v>
      </c>
      <c r="L69" s="22">
        <v>35817</v>
      </c>
      <c r="M69" s="22">
        <v>41477.019999999997</v>
      </c>
      <c r="N69" s="22">
        <v>41972.66</v>
      </c>
      <c r="O69" s="22">
        <v>29688.7</v>
      </c>
      <c r="P69" s="22">
        <v>54310.27</v>
      </c>
      <c r="Q69" s="22">
        <v>358720.31</v>
      </c>
    </row>
    <row r="70" spans="1:17" x14ac:dyDescent="0.2">
      <c r="A70" s="4"/>
      <c r="B70" s="5"/>
      <c r="C70" s="5"/>
      <c r="D70" s="39"/>
      <c r="E70" s="13">
        <v>204553.28</v>
      </c>
      <c r="F70" s="14">
        <v>147215.69</v>
      </c>
      <c r="G70" s="14">
        <v>326021.11</v>
      </c>
      <c r="H70" s="14">
        <v>261018.13</v>
      </c>
      <c r="I70" s="14">
        <v>357794.91</v>
      </c>
      <c r="J70" s="14">
        <v>298454.67</v>
      </c>
      <c r="K70" s="14">
        <v>500078.16</v>
      </c>
      <c r="L70" s="14">
        <v>482722.7</v>
      </c>
      <c r="M70" s="14">
        <v>559005.35</v>
      </c>
      <c r="N70" s="14">
        <v>565685.4</v>
      </c>
      <c r="O70" s="14">
        <v>400128.6</v>
      </c>
      <c r="P70" s="14">
        <v>731965.14</v>
      </c>
      <c r="Q70" s="14">
        <v>4834643.1399999997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8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8"/>
    </row>
    <row r="73" spans="1:17" x14ac:dyDescent="0.2">
      <c r="A73" s="4" t="s">
        <v>48</v>
      </c>
      <c r="B73" s="5"/>
      <c r="C73" s="5"/>
      <c r="D73" s="39"/>
      <c r="E73" s="7">
        <v>94516.97</v>
      </c>
      <c r="F73" s="8">
        <v>68023.259999999893</v>
      </c>
      <c r="G73" s="8">
        <v>150643.06</v>
      </c>
      <c r="H73" s="8">
        <v>120607.44</v>
      </c>
      <c r="I73" s="8">
        <v>165324.62</v>
      </c>
      <c r="J73" s="8">
        <v>137905.56</v>
      </c>
      <c r="K73" s="8">
        <v>231068.79</v>
      </c>
      <c r="L73" s="8">
        <v>223049.42</v>
      </c>
      <c r="M73" s="8">
        <v>258296.98</v>
      </c>
      <c r="N73" s="8">
        <v>261383.63</v>
      </c>
      <c r="O73" s="8">
        <v>184885.54</v>
      </c>
      <c r="P73" s="8">
        <v>338215.7</v>
      </c>
      <c r="Q73" s="8">
        <v>2233920.9700000002</v>
      </c>
    </row>
    <row r="74" spans="1:17" x14ac:dyDescent="0.2">
      <c r="A74" s="4" t="s">
        <v>49</v>
      </c>
      <c r="B74" s="5"/>
      <c r="C74" s="5"/>
      <c r="D74" s="39"/>
      <c r="E74" s="7">
        <v>23033.37</v>
      </c>
      <c r="F74" s="8">
        <v>16576.97</v>
      </c>
      <c r="G74" s="8">
        <v>36711.040000000001</v>
      </c>
      <c r="H74" s="8">
        <v>29391.49</v>
      </c>
      <c r="I74" s="8">
        <v>40288.879999999997</v>
      </c>
      <c r="J74" s="8">
        <v>33606.97</v>
      </c>
      <c r="K74" s="8">
        <v>56310.43</v>
      </c>
      <c r="L74" s="8">
        <v>54356.15</v>
      </c>
      <c r="M74" s="8">
        <v>62945.83</v>
      </c>
      <c r="N74" s="8">
        <v>63698.02</v>
      </c>
      <c r="O74" s="8">
        <v>45055.79</v>
      </c>
      <c r="P74" s="8">
        <v>82421.67</v>
      </c>
      <c r="Q74" s="8">
        <v>544396.61</v>
      </c>
    </row>
    <row r="75" spans="1:17" x14ac:dyDescent="0.2">
      <c r="A75" s="4" t="s">
        <v>50</v>
      </c>
      <c r="B75" s="5"/>
      <c r="C75" s="5"/>
      <c r="D75" s="39"/>
      <c r="E75" s="7">
        <v>30883.42</v>
      </c>
      <c r="F75" s="8">
        <v>22226.6</v>
      </c>
      <c r="G75" s="8">
        <v>49222.61</v>
      </c>
      <c r="H75" s="8">
        <v>39408.47</v>
      </c>
      <c r="I75" s="8">
        <v>54019.81</v>
      </c>
      <c r="J75" s="8">
        <v>45060.63</v>
      </c>
      <c r="K75" s="8">
        <v>75501.710000000006</v>
      </c>
      <c r="L75" s="8">
        <v>72881.39</v>
      </c>
      <c r="M75" s="8">
        <v>84398.53</v>
      </c>
      <c r="N75" s="8">
        <v>85407.08</v>
      </c>
      <c r="O75" s="8">
        <v>60411.35</v>
      </c>
      <c r="P75" s="8">
        <v>110511.97</v>
      </c>
      <c r="Q75" s="8">
        <v>729933.57</v>
      </c>
    </row>
    <row r="76" spans="1:17" x14ac:dyDescent="0.2">
      <c r="A76" s="4" t="s">
        <v>51</v>
      </c>
      <c r="B76" s="5"/>
      <c r="C76" s="5"/>
      <c r="D76" s="39"/>
      <c r="E76" s="7">
        <v>26601.75</v>
      </c>
      <c r="F76" s="8">
        <v>19145.11</v>
      </c>
      <c r="G76" s="8">
        <v>42398.400000000001</v>
      </c>
      <c r="H76" s="8">
        <v>33944.89</v>
      </c>
      <c r="I76" s="8">
        <v>46530.52</v>
      </c>
      <c r="J76" s="8">
        <v>38813.440000000002</v>
      </c>
      <c r="K76" s="8">
        <v>65034.18</v>
      </c>
      <c r="L76" s="8">
        <v>62777.14</v>
      </c>
      <c r="M76" s="8">
        <v>72697.55</v>
      </c>
      <c r="N76" s="8">
        <v>73566.27</v>
      </c>
      <c r="O76" s="8">
        <v>52035.94</v>
      </c>
      <c r="P76" s="8">
        <v>95190.63</v>
      </c>
      <c r="Q76" s="8">
        <v>628735.82000000007</v>
      </c>
    </row>
    <row r="77" spans="1:17" x14ac:dyDescent="0.2">
      <c r="A77" s="4" t="s">
        <v>52</v>
      </c>
      <c r="B77" s="5"/>
      <c r="C77" s="5"/>
      <c r="D77" s="39"/>
      <c r="E77" s="7">
        <v>50108.68</v>
      </c>
      <c r="F77" s="8">
        <v>36062.89</v>
      </c>
      <c r="G77" s="8">
        <v>79864.210000000006</v>
      </c>
      <c r="H77" s="8">
        <v>63940.67</v>
      </c>
      <c r="I77" s="8">
        <v>87647.72</v>
      </c>
      <c r="J77" s="8">
        <v>73111.360000000001</v>
      </c>
      <c r="K77" s="8">
        <v>122502.34</v>
      </c>
      <c r="L77" s="8">
        <v>118250.83</v>
      </c>
      <c r="M77" s="8">
        <v>136937.51999999999</v>
      </c>
      <c r="N77" s="8">
        <v>138573.9</v>
      </c>
      <c r="O77" s="8">
        <v>98018.05</v>
      </c>
      <c r="P77" s="8">
        <v>179306.85</v>
      </c>
      <c r="Q77" s="8">
        <v>1184325.02</v>
      </c>
    </row>
    <row r="78" spans="1:17" x14ac:dyDescent="0.2">
      <c r="A78" s="4" t="s">
        <v>53</v>
      </c>
      <c r="B78" s="5"/>
      <c r="C78" s="5"/>
      <c r="D78" s="39"/>
      <c r="E78" s="7">
        <v>31284.27</v>
      </c>
      <c r="F78" s="8">
        <v>22515.09</v>
      </c>
      <c r="G78" s="8">
        <v>49861.5</v>
      </c>
      <c r="H78" s="8">
        <v>39919.980000000003</v>
      </c>
      <c r="I78" s="8">
        <v>54720.97</v>
      </c>
      <c r="J78" s="8">
        <v>45645.5</v>
      </c>
      <c r="K78" s="8">
        <v>76481.69</v>
      </c>
      <c r="L78" s="8">
        <v>73827.360000000001</v>
      </c>
      <c r="M78" s="8">
        <v>85493.99</v>
      </c>
      <c r="N78" s="8">
        <v>86515.63</v>
      </c>
      <c r="O78" s="8">
        <v>61195.46</v>
      </c>
      <c r="P78" s="8">
        <v>111946.37</v>
      </c>
      <c r="Q78" s="8">
        <v>739407.80999999994</v>
      </c>
    </row>
    <row r="79" spans="1:17" ht="13.5" thickBot="1" x14ac:dyDescent="0.25">
      <c r="A79" s="25"/>
      <c r="B79" s="26"/>
      <c r="C79" s="26"/>
      <c r="D79" s="43"/>
      <c r="E79" s="27">
        <v>256428.46</v>
      </c>
      <c r="F79" s="28">
        <v>184549.92</v>
      </c>
      <c r="G79" s="28">
        <v>408700.82</v>
      </c>
      <c r="H79" s="28">
        <v>327212.94</v>
      </c>
      <c r="I79" s="28">
        <v>448532.52</v>
      </c>
      <c r="J79" s="28">
        <v>374143.46</v>
      </c>
      <c r="K79" s="28">
        <v>626899.14</v>
      </c>
      <c r="L79" s="28">
        <v>605142.29</v>
      </c>
      <c r="M79" s="28">
        <v>700770.4</v>
      </c>
      <c r="N79" s="28">
        <v>709144.53</v>
      </c>
      <c r="O79" s="28">
        <v>501602.13</v>
      </c>
      <c r="P79" s="28">
        <v>917593.19</v>
      </c>
      <c r="Q79" s="28">
        <v>6060719.7999999989</v>
      </c>
    </row>
    <row r="80" spans="1:17" ht="13.5" thickTop="1" x14ac:dyDescent="0.2">
      <c r="D80" s="31" t="s">
        <v>71</v>
      </c>
      <c r="E80" s="29">
        <v>1964969.06</v>
      </c>
      <c r="F80" s="29">
        <v>1414175.66</v>
      </c>
      <c r="G80" s="29">
        <v>3131807.01</v>
      </c>
      <c r="H80" s="29">
        <v>2507378.7999999998</v>
      </c>
      <c r="I80" s="29">
        <v>3437030.82</v>
      </c>
      <c r="J80" s="29">
        <v>2866999.7</v>
      </c>
      <c r="K80" s="29">
        <v>4803824.76</v>
      </c>
      <c r="L80" s="29">
        <v>4637105.68</v>
      </c>
      <c r="M80" s="29">
        <v>5369888.0999999996</v>
      </c>
      <c r="N80" s="29">
        <v>5434057.6799999997</v>
      </c>
      <c r="O80" s="29">
        <v>3843694.48</v>
      </c>
      <c r="P80" s="29">
        <v>7031365.4400000004</v>
      </c>
      <c r="Q80" s="34">
        <v>46442297.189999998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3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16.5703125" style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134</v>
      </c>
      <c r="F5" s="85" t="s">
        <v>135</v>
      </c>
      <c r="G5" s="84" t="s">
        <v>136</v>
      </c>
      <c r="H5" s="84" t="s">
        <v>137</v>
      </c>
      <c r="I5" s="84" t="s">
        <v>138</v>
      </c>
      <c r="J5" s="84" t="s">
        <v>139</v>
      </c>
      <c r="K5" s="84" t="s">
        <v>140</v>
      </c>
      <c r="L5" s="84" t="s">
        <v>141</v>
      </c>
      <c r="M5" s="84" t="s">
        <v>142</v>
      </c>
      <c r="N5" s="84" t="s">
        <v>143</v>
      </c>
      <c r="O5" s="84" t="s">
        <v>144</v>
      </c>
      <c r="P5" s="84" t="s">
        <v>145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1998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2909048.07</v>
      </c>
      <c r="F8" s="8">
        <v>2477227.08</v>
      </c>
      <c r="G8" s="8">
        <v>2460442.7599999998</v>
      </c>
      <c r="H8" s="8">
        <v>3316067.3</v>
      </c>
      <c r="I8" s="8">
        <v>3078344.93</v>
      </c>
      <c r="J8" s="8">
        <v>2217558.48</v>
      </c>
      <c r="K8" s="8">
        <v>2166029.6800000002</v>
      </c>
      <c r="L8" s="8">
        <v>2741144.87</v>
      </c>
      <c r="M8" s="8">
        <v>2431498.66</v>
      </c>
      <c r="N8" s="8">
        <v>3061405.65</v>
      </c>
      <c r="O8" s="8">
        <v>2206673.5699999998</v>
      </c>
      <c r="P8" s="8">
        <v>1842077.82</v>
      </c>
      <c r="Q8" s="8">
        <v>30907518.870000001</v>
      </c>
    </row>
    <row r="9" spans="1:17" x14ac:dyDescent="0.2">
      <c r="A9" s="4" t="s">
        <v>1</v>
      </c>
      <c r="B9" s="5"/>
      <c r="C9" s="5"/>
      <c r="D9" s="40" t="s">
        <v>62</v>
      </c>
      <c r="E9" s="7">
        <v>279716.15999999997</v>
      </c>
      <c r="F9" s="8">
        <v>238194.91</v>
      </c>
      <c r="G9" s="8">
        <v>236581.03</v>
      </c>
      <c r="H9" s="8">
        <v>318852.63</v>
      </c>
      <c r="I9" s="8">
        <v>295994.71000000002</v>
      </c>
      <c r="J9" s="8">
        <v>213226.78</v>
      </c>
      <c r="K9" s="8">
        <v>208272.08</v>
      </c>
      <c r="L9" s="8">
        <v>263571.62</v>
      </c>
      <c r="M9" s="8">
        <v>233797.95</v>
      </c>
      <c r="N9" s="8">
        <v>294365.93</v>
      </c>
      <c r="O9" s="8">
        <v>212180.15</v>
      </c>
      <c r="P9" s="8">
        <v>177122.87</v>
      </c>
      <c r="Q9" s="8">
        <v>2971876.8200000003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167829.7</v>
      </c>
      <c r="F10" s="8">
        <v>142916.95000000001</v>
      </c>
      <c r="G10" s="8">
        <v>141948.62</v>
      </c>
      <c r="H10" s="8">
        <v>191311.58</v>
      </c>
      <c r="I10" s="8">
        <v>177596.82</v>
      </c>
      <c r="J10" s="8">
        <v>127936.07</v>
      </c>
      <c r="K10" s="8">
        <v>124963.25</v>
      </c>
      <c r="L10" s="8">
        <v>158142.97</v>
      </c>
      <c r="M10" s="8">
        <v>140278.76999999999</v>
      </c>
      <c r="N10" s="8">
        <v>176619.56</v>
      </c>
      <c r="O10" s="8">
        <v>127308.09</v>
      </c>
      <c r="P10" s="8">
        <v>106273.72</v>
      </c>
      <c r="Q10" s="8">
        <v>1783126.1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2237729.2799999998</v>
      </c>
      <c r="F11" s="10">
        <v>1905559.29</v>
      </c>
      <c r="G11" s="10">
        <v>1892648.28</v>
      </c>
      <c r="H11" s="10">
        <v>2550821.0099999998</v>
      </c>
      <c r="I11" s="10">
        <v>2367957.64</v>
      </c>
      <c r="J11" s="10">
        <v>1705814.22</v>
      </c>
      <c r="K11" s="10">
        <v>1666176.67</v>
      </c>
      <c r="L11" s="10">
        <v>2108572.98</v>
      </c>
      <c r="M11" s="10">
        <v>1870383.58</v>
      </c>
      <c r="N11" s="10">
        <v>2354927.4300000002</v>
      </c>
      <c r="O11" s="10">
        <v>1697441.2</v>
      </c>
      <c r="P11" s="10">
        <v>1416982.94</v>
      </c>
      <c r="Q11" s="11">
        <v>23775014.520000003</v>
      </c>
    </row>
    <row r="12" spans="1:17" x14ac:dyDescent="0.2">
      <c r="A12" s="4"/>
      <c r="B12" s="5"/>
      <c r="C12" s="44" t="s">
        <v>68</v>
      </c>
      <c r="D12" s="12"/>
      <c r="E12" s="13">
        <v>5594323.21</v>
      </c>
      <c r="F12" s="14">
        <v>4763898.2300000004</v>
      </c>
      <c r="G12" s="14">
        <v>4731620.6900000004</v>
      </c>
      <c r="H12" s="14">
        <v>6377052.5199999996</v>
      </c>
      <c r="I12" s="14">
        <v>5919894.0999999996</v>
      </c>
      <c r="J12" s="14">
        <v>4264535.55</v>
      </c>
      <c r="K12" s="14">
        <v>4165441.68</v>
      </c>
      <c r="L12" s="14">
        <v>5271432.4400000004</v>
      </c>
      <c r="M12" s="14">
        <v>4675958.96</v>
      </c>
      <c r="N12" s="14">
        <v>5887318.5700000003</v>
      </c>
      <c r="O12" s="14">
        <v>4243603.01</v>
      </c>
      <c r="P12" s="14">
        <v>3542457.35</v>
      </c>
      <c r="Q12" s="14">
        <v>59437536.310000002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3.5" thickBot="1" x14ac:dyDescent="0.25">
      <c r="A16" s="15" t="s">
        <v>5</v>
      </c>
      <c r="B16" s="16"/>
      <c r="C16" s="32"/>
      <c r="D16" s="6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8" x14ac:dyDescent="0.2">
      <c r="A17" s="4" t="s">
        <v>6</v>
      </c>
      <c r="B17" s="5"/>
      <c r="C17" s="5"/>
      <c r="D17" s="39"/>
      <c r="E17" s="7">
        <v>425822</v>
      </c>
      <c r="F17" s="8">
        <v>362612.68</v>
      </c>
      <c r="G17" s="8">
        <v>360155.83</v>
      </c>
      <c r="H17" s="8">
        <v>485400.84</v>
      </c>
      <c r="I17" s="8">
        <v>450603.39</v>
      </c>
      <c r="J17" s="8">
        <v>324602.8</v>
      </c>
      <c r="K17" s="8">
        <v>317060.09000000003</v>
      </c>
      <c r="L17" s="8">
        <v>401244.57</v>
      </c>
      <c r="M17" s="8">
        <v>355919.03</v>
      </c>
      <c r="N17" s="8">
        <v>448123.85</v>
      </c>
      <c r="O17" s="8">
        <v>323009.46999999997</v>
      </c>
      <c r="P17" s="8">
        <v>269640.52</v>
      </c>
      <c r="Q17" s="8">
        <v>4524195.07</v>
      </c>
      <c r="R17" s="20"/>
    </row>
    <row r="18" spans="1:18" x14ac:dyDescent="0.2">
      <c r="A18" s="4" t="s">
        <v>7</v>
      </c>
      <c r="B18" s="5"/>
      <c r="C18" s="5"/>
      <c r="D18" s="39"/>
      <c r="E18" s="7">
        <v>27982.799999999999</v>
      </c>
      <c r="F18" s="8">
        <v>23829.02</v>
      </c>
      <c r="G18" s="8">
        <v>23667.57</v>
      </c>
      <c r="H18" s="8">
        <v>31898.02</v>
      </c>
      <c r="I18" s="8">
        <v>29611.31</v>
      </c>
      <c r="J18" s="8">
        <v>21331.21</v>
      </c>
      <c r="K18" s="8">
        <v>20835.54</v>
      </c>
      <c r="L18" s="8">
        <v>26367.71</v>
      </c>
      <c r="M18" s="8">
        <v>23389.15</v>
      </c>
      <c r="N18" s="8">
        <v>29448.37</v>
      </c>
      <c r="O18" s="8">
        <v>21226.5</v>
      </c>
      <c r="P18" s="8">
        <v>17719.37</v>
      </c>
      <c r="Q18" s="8">
        <v>297306.56999999995</v>
      </c>
    </row>
    <row r="19" spans="1:18" x14ac:dyDescent="0.2">
      <c r="A19" s="4" t="s">
        <v>8</v>
      </c>
      <c r="B19" s="5"/>
      <c r="C19" s="5"/>
      <c r="D19" s="39"/>
      <c r="E19" s="7">
        <v>42548.18</v>
      </c>
      <c r="F19" s="8">
        <v>36232.300000000003</v>
      </c>
      <c r="G19" s="8">
        <v>35986.81</v>
      </c>
      <c r="H19" s="8">
        <v>48501.31</v>
      </c>
      <c r="I19" s="8">
        <v>45024.35</v>
      </c>
      <c r="J19" s="8">
        <v>32434.35</v>
      </c>
      <c r="K19" s="8">
        <v>31680.68</v>
      </c>
      <c r="L19" s="8">
        <v>40092.410000000003</v>
      </c>
      <c r="M19" s="8">
        <v>35563.47</v>
      </c>
      <c r="N19" s="8">
        <v>44776.59</v>
      </c>
      <c r="O19" s="8">
        <v>32275.15</v>
      </c>
      <c r="P19" s="8">
        <v>26942.51</v>
      </c>
      <c r="Q19" s="8">
        <v>452058.11</v>
      </c>
    </row>
    <row r="20" spans="1:18" x14ac:dyDescent="0.2">
      <c r="A20" s="4" t="s">
        <v>9</v>
      </c>
      <c r="B20" s="5"/>
      <c r="C20" s="5"/>
      <c r="D20" s="39"/>
      <c r="E20" s="7">
        <v>39997.17</v>
      </c>
      <c r="F20" s="8">
        <v>34059.97</v>
      </c>
      <c r="G20" s="8">
        <v>33829.199999999997</v>
      </c>
      <c r="H20" s="8">
        <v>45593.37</v>
      </c>
      <c r="I20" s="8">
        <v>42324.87</v>
      </c>
      <c r="J20" s="8">
        <v>30489.72</v>
      </c>
      <c r="K20" s="8">
        <v>29781.24</v>
      </c>
      <c r="L20" s="8">
        <v>37688.629999999997</v>
      </c>
      <c r="M20" s="8">
        <v>33431.24</v>
      </c>
      <c r="N20" s="8">
        <v>42091.97</v>
      </c>
      <c r="O20" s="8">
        <v>30340.06</v>
      </c>
      <c r="P20" s="8">
        <v>25327.15</v>
      </c>
      <c r="Q20" s="8">
        <v>424954.59</v>
      </c>
    </row>
    <row r="21" spans="1:18" x14ac:dyDescent="0.2">
      <c r="A21" s="4" t="s">
        <v>10</v>
      </c>
      <c r="B21" s="5"/>
      <c r="C21" s="5"/>
      <c r="D21" s="39"/>
      <c r="E21" s="7">
        <v>37502.11</v>
      </c>
      <c r="F21" s="8">
        <v>31935.27</v>
      </c>
      <c r="G21" s="8">
        <v>31718.89</v>
      </c>
      <c r="H21" s="8">
        <v>42749.21</v>
      </c>
      <c r="I21" s="8">
        <v>39684.6</v>
      </c>
      <c r="J21" s="8">
        <v>28587.74</v>
      </c>
      <c r="K21" s="8">
        <v>27923.45</v>
      </c>
      <c r="L21" s="8">
        <v>35337.57</v>
      </c>
      <c r="M21" s="8">
        <v>31345.759999999998</v>
      </c>
      <c r="N21" s="8">
        <v>39466.230000000003</v>
      </c>
      <c r="O21" s="8">
        <v>28447.42</v>
      </c>
      <c r="P21" s="8">
        <v>23747.22</v>
      </c>
      <c r="Q21" s="8">
        <v>398445.47</v>
      </c>
    </row>
    <row r="22" spans="1:18" x14ac:dyDescent="0.2">
      <c r="A22" s="4" t="s">
        <v>11</v>
      </c>
      <c r="B22" s="5"/>
      <c r="C22" s="5"/>
      <c r="D22" s="39"/>
      <c r="E22" s="7">
        <v>35960.31</v>
      </c>
      <c r="F22" s="8">
        <v>30622.34</v>
      </c>
      <c r="G22" s="8">
        <v>30414.86</v>
      </c>
      <c r="H22" s="8">
        <v>40991.69</v>
      </c>
      <c r="I22" s="8">
        <v>38053.08</v>
      </c>
      <c r="J22" s="8">
        <v>27412.43</v>
      </c>
      <c r="K22" s="8">
        <v>26775.46</v>
      </c>
      <c r="L22" s="8">
        <v>33884.769999999997</v>
      </c>
      <c r="M22" s="8">
        <v>30057.06</v>
      </c>
      <c r="N22" s="8">
        <v>37843.68</v>
      </c>
      <c r="O22" s="8">
        <v>27277.88</v>
      </c>
      <c r="P22" s="8">
        <v>22770.92</v>
      </c>
      <c r="Q22" s="8">
        <v>382064.48</v>
      </c>
    </row>
    <row r="23" spans="1:18" x14ac:dyDescent="0.2">
      <c r="A23" s="4" t="s">
        <v>12</v>
      </c>
      <c r="B23" s="5"/>
      <c r="C23" s="5"/>
      <c r="D23" s="39"/>
      <c r="E23" s="7">
        <v>37542.379999999997</v>
      </c>
      <c r="F23" s="8">
        <v>31969.57</v>
      </c>
      <c r="G23" s="8">
        <v>31752.959999999999</v>
      </c>
      <c r="H23" s="8">
        <v>42795.12</v>
      </c>
      <c r="I23" s="8">
        <v>39727.230000000003</v>
      </c>
      <c r="J23" s="8">
        <v>28618.45</v>
      </c>
      <c r="K23" s="8">
        <v>27953.45</v>
      </c>
      <c r="L23" s="8">
        <v>35375.53</v>
      </c>
      <c r="M23" s="8">
        <v>31379.43</v>
      </c>
      <c r="N23" s="8">
        <v>39508.620000000003</v>
      </c>
      <c r="O23" s="8">
        <v>28477.97</v>
      </c>
      <c r="P23" s="8">
        <v>23772.720000000001</v>
      </c>
      <c r="Q23" s="8">
        <v>398873.43000000005</v>
      </c>
    </row>
    <row r="24" spans="1:18" x14ac:dyDescent="0.2">
      <c r="A24" s="4" t="s">
        <v>13</v>
      </c>
      <c r="B24" s="5"/>
      <c r="C24" s="5"/>
      <c r="D24" s="39"/>
      <c r="E24" s="7">
        <v>30547.24</v>
      </c>
      <c r="F24" s="8">
        <v>26012.79</v>
      </c>
      <c r="G24" s="8">
        <v>25836.54</v>
      </c>
      <c r="H24" s="8">
        <v>34821.26</v>
      </c>
      <c r="I24" s="8">
        <v>32324.99</v>
      </c>
      <c r="J24" s="8">
        <v>23286.07</v>
      </c>
      <c r="K24" s="8">
        <v>22744.98</v>
      </c>
      <c r="L24" s="8">
        <v>28784.13</v>
      </c>
      <c r="M24" s="8">
        <v>25532.61</v>
      </c>
      <c r="N24" s="8">
        <v>32147.11</v>
      </c>
      <c r="O24" s="8">
        <v>23171.77</v>
      </c>
      <c r="P24" s="8">
        <v>19343.23</v>
      </c>
      <c r="Q24" s="8">
        <v>324552.72000000003</v>
      </c>
    </row>
    <row r="25" spans="1:18" x14ac:dyDescent="0.2">
      <c r="A25" s="4" t="s">
        <v>14</v>
      </c>
      <c r="B25" s="5"/>
      <c r="C25" s="5"/>
      <c r="D25" s="39"/>
      <c r="E25" s="7">
        <v>30419.69</v>
      </c>
      <c r="F25" s="8">
        <v>25904.17</v>
      </c>
      <c r="G25" s="8">
        <v>25728.66</v>
      </c>
      <c r="H25" s="8">
        <v>34675.86</v>
      </c>
      <c r="I25" s="8">
        <v>32190.02</v>
      </c>
      <c r="J25" s="8">
        <v>23188.84</v>
      </c>
      <c r="K25" s="8">
        <v>22650.01</v>
      </c>
      <c r="L25" s="8">
        <v>28663.94</v>
      </c>
      <c r="M25" s="8">
        <v>25425.99</v>
      </c>
      <c r="N25" s="8">
        <v>32012.880000000001</v>
      </c>
      <c r="O25" s="8">
        <v>23075.02</v>
      </c>
      <c r="P25" s="8">
        <v>19262.47</v>
      </c>
      <c r="Q25" s="8">
        <v>323197.55000000005</v>
      </c>
    </row>
    <row r="26" spans="1:18" x14ac:dyDescent="0.2">
      <c r="A26" s="4" t="s">
        <v>15</v>
      </c>
      <c r="B26" s="5"/>
      <c r="C26" s="5"/>
      <c r="D26" s="39"/>
      <c r="E26" s="7">
        <v>27096.66</v>
      </c>
      <c r="F26" s="8">
        <v>23074.42</v>
      </c>
      <c r="G26" s="8">
        <v>22918.080000000002</v>
      </c>
      <c r="H26" s="8">
        <v>30887.89</v>
      </c>
      <c r="I26" s="8">
        <v>28673.599999999999</v>
      </c>
      <c r="J26" s="8">
        <v>20655.7</v>
      </c>
      <c r="K26" s="8">
        <v>20175.73</v>
      </c>
      <c r="L26" s="8">
        <v>25532.71</v>
      </c>
      <c r="M26" s="8">
        <v>22648.47</v>
      </c>
      <c r="N26" s="8">
        <v>28515.82</v>
      </c>
      <c r="O26" s="8">
        <v>20554.32</v>
      </c>
      <c r="P26" s="8">
        <v>17158.25</v>
      </c>
      <c r="Q26" s="8">
        <v>287891.65000000002</v>
      </c>
    </row>
    <row r="27" spans="1:18" x14ac:dyDescent="0.2">
      <c r="A27" s="4" t="s">
        <v>16</v>
      </c>
      <c r="B27" s="5"/>
      <c r="C27" s="5"/>
      <c r="D27" s="39"/>
      <c r="E27" s="21">
        <v>86275.65</v>
      </c>
      <c r="F27" s="22">
        <v>73468.84</v>
      </c>
      <c r="G27" s="22">
        <v>72971.05</v>
      </c>
      <c r="H27" s="22">
        <v>98346.9</v>
      </c>
      <c r="I27" s="22">
        <v>91296.61</v>
      </c>
      <c r="J27" s="22">
        <v>65767.67</v>
      </c>
      <c r="K27" s="22">
        <v>64239.44</v>
      </c>
      <c r="L27" s="22">
        <v>81296.03</v>
      </c>
      <c r="M27" s="22">
        <v>72112.639999999999</v>
      </c>
      <c r="N27" s="22">
        <v>90794.23</v>
      </c>
      <c r="O27" s="22">
        <v>65444.85</v>
      </c>
      <c r="P27" s="22">
        <v>54631.78</v>
      </c>
      <c r="Q27" s="22">
        <v>916645.69</v>
      </c>
    </row>
    <row r="28" spans="1:18" x14ac:dyDescent="0.2">
      <c r="A28" s="4"/>
      <c r="B28" s="5"/>
      <c r="C28" s="5"/>
      <c r="D28" s="39"/>
      <c r="E28" s="13">
        <v>821694.19</v>
      </c>
      <c r="F28" s="14">
        <v>699721.37</v>
      </c>
      <c r="G28" s="14">
        <v>694980.45</v>
      </c>
      <c r="H28" s="14">
        <v>936661.47</v>
      </c>
      <c r="I28" s="14">
        <v>869514.05</v>
      </c>
      <c r="J28" s="14">
        <v>626374.98</v>
      </c>
      <c r="K28" s="14">
        <v>611820.06999999995</v>
      </c>
      <c r="L28" s="14">
        <v>774268</v>
      </c>
      <c r="M28" s="14">
        <v>686804.85</v>
      </c>
      <c r="N28" s="14">
        <v>864729.35</v>
      </c>
      <c r="O28" s="14">
        <v>623300.41</v>
      </c>
      <c r="P28" s="14">
        <v>520316.14</v>
      </c>
      <c r="Q28" s="14">
        <v>8730185.3300000001</v>
      </c>
      <c r="R28" s="20"/>
    </row>
    <row r="29" spans="1:18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8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8" x14ac:dyDescent="0.2">
      <c r="A31" s="4" t="s">
        <v>18</v>
      </c>
      <c r="B31" s="5"/>
      <c r="C31" s="5"/>
      <c r="D31" s="39"/>
      <c r="E31" s="7">
        <v>101073.75</v>
      </c>
      <c r="F31" s="8">
        <v>86070.31</v>
      </c>
      <c r="G31" s="8">
        <v>85487.14</v>
      </c>
      <c r="H31" s="8">
        <v>115215.48</v>
      </c>
      <c r="I31" s="8">
        <v>106955.91</v>
      </c>
      <c r="J31" s="8">
        <v>77048.22</v>
      </c>
      <c r="K31" s="8">
        <v>75257.87</v>
      </c>
      <c r="L31" s="8">
        <v>95240.01</v>
      </c>
      <c r="M31" s="8">
        <v>84481.49</v>
      </c>
      <c r="N31" s="8">
        <v>106367.36</v>
      </c>
      <c r="O31" s="8">
        <v>76670.03</v>
      </c>
      <c r="P31" s="8">
        <v>64002.27</v>
      </c>
      <c r="Q31" s="8">
        <v>1073869.8399999999</v>
      </c>
    </row>
    <row r="32" spans="1:18" x14ac:dyDescent="0.2">
      <c r="A32" s="4" t="s">
        <v>19</v>
      </c>
      <c r="B32" s="5"/>
      <c r="C32" s="5"/>
      <c r="D32" s="39"/>
      <c r="E32" s="7">
        <v>52989.43</v>
      </c>
      <c r="F32" s="8">
        <v>45123.64</v>
      </c>
      <c r="G32" s="8">
        <v>44817.91</v>
      </c>
      <c r="H32" s="8">
        <v>60403.44</v>
      </c>
      <c r="I32" s="8">
        <v>56073.24</v>
      </c>
      <c r="J32" s="8">
        <v>40393.68</v>
      </c>
      <c r="K32" s="8">
        <v>39455.06</v>
      </c>
      <c r="L32" s="8">
        <v>49931.01</v>
      </c>
      <c r="M32" s="8">
        <v>44290.68</v>
      </c>
      <c r="N32" s="8">
        <v>55764.68</v>
      </c>
      <c r="O32" s="8">
        <v>40195.410000000003</v>
      </c>
      <c r="P32" s="8">
        <v>33554.160000000003</v>
      </c>
      <c r="Q32" s="8">
        <v>562992.34000000008</v>
      </c>
    </row>
    <row r="33" spans="1:17" x14ac:dyDescent="0.2">
      <c r="A33" s="4" t="s">
        <v>20</v>
      </c>
      <c r="B33" s="5"/>
      <c r="C33" s="5"/>
      <c r="D33" s="39"/>
      <c r="E33" s="7">
        <v>52239.79</v>
      </c>
      <c r="F33" s="8">
        <v>44485.279999999999</v>
      </c>
      <c r="G33" s="8">
        <v>44183.87</v>
      </c>
      <c r="H33" s="8">
        <v>59548.92</v>
      </c>
      <c r="I33" s="8">
        <v>55279.97</v>
      </c>
      <c r="J33" s="8">
        <v>39822.230000000003</v>
      </c>
      <c r="K33" s="8">
        <v>38896.89</v>
      </c>
      <c r="L33" s="8">
        <v>49224.639999999999</v>
      </c>
      <c r="M33" s="8">
        <v>43664.1</v>
      </c>
      <c r="N33" s="8">
        <v>54975.78</v>
      </c>
      <c r="O33" s="8">
        <v>39626.76</v>
      </c>
      <c r="P33" s="8">
        <v>33079.47</v>
      </c>
      <c r="Q33" s="8">
        <v>555027.69999999995</v>
      </c>
    </row>
    <row r="34" spans="1:17" x14ac:dyDescent="0.2">
      <c r="A34" s="4" t="s">
        <v>21</v>
      </c>
      <c r="B34" s="5"/>
      <c r="C34" s="5"/>
      <c r="D34" s="39"/>
      <c r="E34" s="7">
        <v>54070.25</v>
      </c>
      <c r="F34" s="8">
        <v>46044.03</v>
      </c>
      <c r="G34" s="8">
        <v>45732.06</v>
      </c>
      <c r="H34" s="8">
        <v>61635.49</v>
      </c>
      <c r="I34" s="8">
        <v>57216.959999999999</v>
      </c>
      <c r="J34" s="8">
        <v>41217.589999999997</v>
      </c>
      <c r="K34" s="8">
        <v>40259.83</v>
      </c>
      <c r="L34" s="8">
        <v>50949.45</v>
      </c>
      <c r="M34" s="8">
        <v>45194.080000000002</v>
      </c>
      <c r="N34" s="8">
        <v>56902.11</v>
      </c>
      <c r="O34" s="8">
        <v>41015.269999999997</v>
      </c>
      <c r="P34" s="8">
        <v>34238.559999999998</v>
      </c>
      <c r="Q34" s="8">
        <v>574475.67999999993</v>
      </c>
    </row>
    <row r="35" spans="1:17" x14ac:dyDescent="0.2">
      <c r="A35" s="4" t="s">
        <v>22</v>
      </c>
      <c r="B35" s="5"/>
      <c r="C35" s="5"/>
      <c r="D35" s="39"/>
      <c r="E35" s="21">
        <v>43286.64</v>
      </c>
      <c r="F35" s="22">
        <v>36861.14</v>
      </c>
      <c r="G35" s="22">
        <v>36611.39</v>
      </c>
      <c r="H35" s="22">
        <v>49343.08</v>
      </c>
      <c r="I35" s="22">
        <v>45805.77</v>
      </c>
      <c r="J35" s="22">
        <v>32997.269999999997</v>
      </c>
      <c r="K35" s="22">
        <v>32230.52</v>
      </c>
      <c r="L35" s="22">
        <v>40788.239999999998</v>
      </c>
      <c r="M35" s="22">
        <v>36180.699999999997</v>
      </c>
      <c r="N35" s="22">
        <v>45553.72</v>
      </c>
      <c r="O35" s="22">
        <v>32835.300000000003</v>
      </c>
      <c r="P35" s="22">
        <v>27410.12</v>
      </c>
      <c r="Q35" s="22">
        <v>459903.88999999996</v>
      </c>
    </row>
    <row r="36" spans="1:17" x14ac:dyDescent="0.2">
      <c r="A36" s="4"/>
      <c r="B36" s="5"/>
      <c r="C36" s="5"/>
      <c r="D36" s="39"/>
      <c r="E36" s="13">
        <v>303659.86</v>
      </c>
      <c r="F36" s="14">
        <v>258584.4</v>
      </c>
      <c r="G36" s="14">
        <v>256832.37</v>
      </c>
      <c r="H36" s="14">
        <v>346146.41</v>
      </c>
      <c r="I36" s="14">
        <v>321331.84999999998</v>
      </c>
      <c r="J36" s="14">
        <v>231478.99</v>
      </c>
      <c r="K36" s="14">
        <v>226100.17</v>
      </c>
      <c r="L36" s="14">
        <v>286133.34999999998</v>
      </c>
      <c r="M36" s="14">
        <v>253811.05</v>
      </c>
      <c r="N36" s="14">
        <v>319563.65000000002</v>
      </c>
      <c r="O36" s="14">
        <v>230342.77</v>
      </c>
      <c r="P36" s="14">
        <v>192284.58</v>
      </c>
      <c r="Q36" s="14">
        <v>3226269.4499999997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>
        <v>110995.84</v>
      </c>
      <c r="F39" s="8">
        <v>94519.56</v>
      </c>
      <c r="G39" s="8">
        <v>93879.14</v>
      </c>
      <c r="H39" s="8">
        <v>126525.83</v>
      </c>
      <c r="I39" s="8">
        <v>117455.42</v>
      </c>
      <c r="J39" s="8">
        <v>84611.81</v>
      </c>
      <c r="K39" s="8">
        <v>82645.679999999993</v>
      </c>
      <c r="L39" s="8">
        <v>104589.44</v>
      </c>
      <c r="M39" s="8">
        <v>92774.75</v>
      </c>
      <c r="N39" s="8">
        <v>116809.11</v>
      </c>
      <c r="O39" s="8">
        <v>84196.47</v>
      </c>
      <c r="P39" s="8">
        <v>70285.17</v>
      </c>
      <c r="Q39" s="8">
        <v>1179288.22</v>
      </c>
    </row>
    <row r="40" spans="1:17" x14ac:dyDescent="0.2">
      <c r="A40" s="4" t="s">
        <v>24</v>
      </c>
      <c r="B40" s="5"/>
      <c r="C40" s="5"/>
      <c r="D40" s="39"/>
      <c r="E40" s="7">
        <v>27340.58</v>
      </c>
      <c r="F40" s="8">
        <v>23282.12</v>
      </c>
      <c r="G40" s="8">
        <v>23124.38</v>
      </c>
      <c r="H40" s="8">
        <v>31165.93</v>
      </c>
      <c r="I40" s="8">
        <v>28931.71</v>
      </c>
      <c r="J40" s="8">
        <v>20841.64</v>
      </c>
      <c r="K40" s="8">
        <v>20357.349999999999</v>
      </c>
      <c r="L40" s="8">
        <v>25762.54</v>
      </c>
      <c r="M40" s="8">
        <v>22852.35</v>
      </c>
      <c r="N40" s="8">
        <v>28772.5</v>
      </c>
      <c r="O40" s="8">
        <v>20739.34</v>
      </c>
      <c r="P40" s="8">
        <v>17312.7</v>
      </c>
      <c r="Q40" s="8">
        <v>290483.14</v>
      </c>
    </row>
    <row r="41" spans="1:17" x14ac:dyDescent="0.2">
      <c r="A41" s="4" t="s">
        <v>25</v>
      </c>
      <c r="B41" s="5"/>
      <c r="C41" s="5"/>
      <c r="D41" s="39"/>
      <c r="E41" s="7">
        <v>22665.96</v>
      </c>
      <c r="F41" s="8">
        <v>19301.41</v>
      </c>
      <c r="G41" s="8">
        <v>19170.63</v>
      </c>
      <c r="H41" s="8">
        <v>25837.27</v>
      </c>
      <c r="I41" s="8">
        <v>23985.040000000001</v>
      </c>
      <c r="J41" s="8">
        <v>17278.189999999999</v>
      </c>
      <c r="K41" s="8">
        <v>16876.7</v>
      </c>
      <c r="L41" s="8">
        <v>21357.74</v>
      </c>
      <c r="M41" s="8">
        <v>18945.12</v>
      </c>
      <c r="N41" s="8">
        <v>23853.06</v>
      </c>
      <c r="O41" s="8">
        <v>17193.38</v>
      </c>
      <c r="P41" s="8">
        <v>14352.62</v>
      </c>
      <c r="Q41" s="8">
        <v>240817.12</v>
      </c>
    </row>
    <row r="42" spans="1:17" x14ac:dyDescent="0.2">
      <c r="A42" s="4" t="s">
        <v>26</v>
      </c>
      <c r="B42" s="5"/>
      <c r="C42" s="5"/>
      <c r="D42" s="39"/>
      <c r="E42" s="7">
        <v>24402.44</v>
      </c>
      <c r="F42" s="8">
        <v>20780.12</v>
      </c>
      <c r="G42" s="8">
        <v>20639.330000000002</v>
      </c>
      <c r="H42" s="8">
        <v>27816.7</v>
      </c>
      <c r="I42" s="8">
        <v>25822.58</v>
      </c>
      <c r="J42" s="8">
        <v>18601.900000000001</v>
      </c>
      <c r="K42" s="8">
        <v>18169.66</v>
      </c>
      <c r="L42" s="8">
        <v>22993.99</v>
      </c>
      <c r="M42" s="8">
        <v>20396.53</v>
      </c>
      <c r="N42" s="8">
        <v>25680.48</v>
      </c>
      <c r="O42" s="8">
        <v>18510.599999999999</v>
      </c>
      <c r="P42" s="8">
        <v>15452.2</v>
      </c>
      <c r="Q42" s="8">
        <v>259266.53000000003</v>
      </c>
    </row>
    <row r="43" spans="1:17" x14ac:dyDescent="0.2">
      <c r="A43" s="4" t="s">
        <v>27</v>
      </c>
      <c r="B43" s="5"/>
      <c r="C43" s="5"/>
      <c r="D43" s="39"/>
      <c r="E43" s="7">
        <v>20884.73</v>
      </c>
      <c r="F43" s="8">
        <v>17784.580000000002</v>
      </c>
      <c r="G43" s="8">
        <v>17664.09</v>
      </c>
      <c r="H43" s="8">
        <v>23806.81</v>
      </c>
      <c r="I43" s="8">
        <v>22100.15</v>
      </c>
      <c r="J43" s="8">
        <v>15920.36</v>
      </c>
      <c r="K43" s="8">
        <v>15550.43</v>
      </c>
      <c r="L43" s="8">
        <v>19679.310000000001</v>
      </c>
      <c r="M43" s="8">
        <v>17456.29</v>
      </c>
      <c r="N43" s="8">
        <v>21978.54</v>
      </c>
      <c r="O43" s="8">
        <v>15842.22</v>
      </c>
      <c r="P43" s="8">
        <v>13224.7</v>
      </c>
      <c r="Q43" s="8">
        <v>221892.21000000002</v>
      </c>
    </row>
    <row r="44" spans="1:17" x14ac:dyDescent="0.2">
      <c r="A44" s="4" t="s">
        <v>28</v>
      </c>
      <c r="B44" s="5"/>
      <c r="C44" s="5"/>
      <c r="D44" s="39"/>
      <c r="E44" s="7">
        <v>29148.66</v>
      </c>
      <c r="F44" s="8">
        <v>24821.82</v>
      </c>
      <c r="G44" s="8">
        <v>24653.64</v>
      </c>
      <c r="H44" s="8">
        <v>33226.99</v>
      </c>
      <c r="I44" s="8">
        <v>30845.02</v>
      </c>
      <c r="J44" s="8">
        <v>22219.94</v>
      </c>
      <c r="K44" s="8">
        <v>21703.62</v>
      </c>
      <c r="L44" s="8">
        <v>27466.27</v>
      </c>
      <c r="M44" s="8">
        <v>24363.62</v>
      </c>
      <c r="N44" s="8">
        <v>30675.279999999999</v>
      </c>
      <c r="O44" s="8">
        <v>22110.87</v>
      </c>
      <c r="P44" s="8">
        <v>18457.62</v>
      </c>
      <c r="Q44" s="8">
        <v>309693.34999999998</v>
      </c>
    </row>
    <row r="45" spans="1:17" x14ac:dyDescent="0.2">
      <c r="A45" s="4" t="s">
        <v>29</v>
      </c>
      <c r="B45" s="5"/>
      <c r="C45" s="5"/>
      <c r="D45" s="39"/>
      <c r="E45" s="7">
        <v>23536.44</v>
      </c>
      <c r="F45" s="8">
        <v>20042.669999999998</v>
      </c>
      <c r="G45" s="8">
        <v>19906.87</v>
      </c>
      <c r="H45" s="8">
        <v>26829.54</v>
      </c>
      <c r="I45" s="8">
        <v>24906.18</v>
      </c>
      <c r="J45" s="8">
        <v>17941.75</v>
      </c>
      <c r="K45" s="8">
        <v>17524.849999999999</v>
      </c>
      <c r="L45" s="8">
        <v>22177.97</v>
      </c>
      <c r="M45" s="8">
        <v>19672.689999999999</v>
      </c>
      <c r="N45" s="8">
        <v>24769.13</v>
      </c>
      <c r="O45" s="8">
        <v>17853.689999999999</v>
      </c>
      <c r="P45" s="8">
        <v>14903.83</v>
      </c>
      <c r="Q45" s="8">
        <v>250065.61</v>
      </c>
    </row>
    <row r="46" spans="1:17" x14ac:dyDescent="0.2">
      <c r="A46" s="4" t="s">
        <v>30</v>
      </c>
      <c r="B46" s="5"/>
      <c r="C46" s="5"/>
      <c r="D46" s="39"/>
      <c r="E46" s="7">
        <v>20540.12</v>
      </c>
      <c r="F46" s="8">
        <v>17491.13</v>
      </c>
      <c r="G46" s="8">
        <v>17372.62</v>
      </c>
      <c r="H46" s="8">
        <v>23413.99</v>
      </c>
      <c r="I46" s="8">
        <v>21735.48</v>
      </c>
      <c r="J46" s="8">
        <v>15657.67</v>
      </c>
      <c r="K46" s="8">
        <v>15293.84</v>
      </c>
      <c r="L46" s="8">
        <v>19354.59</v>
      </c>
      <c r="M46" s="8">
        <v>17168.25</v>
      </c>
      <c r="N46" s="8">
        <v>21615.88</v>
      </c>
      <c r="O46" s="8">
        <v>15580.81</v>
      </c>
      <c r="P46" s="8">
        <v>13006.49</v>
      </c>
      <c r="Q46" s="8">
        <v>218230.87</v>
      </c>
    </row>
    <row r="47" spans="1:17" x14ac:dyDescent="0.2">
      <c r="A47" s="4" t="s">
        <v>31</v>
      </c>
      <c r="B47" s="5"/>
      <c r="C47" s="5"/>
      <c r="D47" s="39"/>
      <c r="E47" s="7">
        <v>29690.19</v>
      </c>
      <c r="F47" s="8">
        <v>25282.959999999999</v>
      </c>
      <c r="G47" s="8">
        <v>25111.66</v>
      </c>
      <c r="H47" s="8">
        <v>33844.29</v>
      </c>
      <c r="I47" s="8">
        <v>31418.06</v>
      </c>
      <c r="J47" s="8">
        <v>22632.74</v>
      </c>
      <c r="K47" s="8">
        <v>22106.83</v>
      </c>
      <c r="L47" s="8">
        <v>27976.55</v>
      </c>
      <c r="M47" s="8">
        <v>24816.25</v>
      </c>
      <c r="N47" s="8">
        <v>31245.18</v>
      </c>
      <c r="O47" s="8">
        <v>22521.65</v>
      </c>
      <c r="P47" s="8">
        <v>18800.53</v>
      </c>
      <c r="Q47" s="8">
        <v>315446.89</v>
      </c>
    </row>
    <row r="48" spans="1:17" x14ac:dyDescent="0.2">
      <c r="A48" s="4" t="s">
        <v>32</v>
      </c>
      <c r="B48" s="5"/>
      <c r="C48" s="5"/>
      <c r="D48" s="39"/>
      <c r="E48" s="7">
        <v>19517.47</v>
      </c>
      <c r="F48" s="8">
        <v>16620.29</v>
      </c>
      <c r="G48" s="8">
        <v>16507.68</v>
      </c>
      <c r="H48" s="8">
        <v>22248.26</v>
      </c>
      <c r="I48" s="8">
        <v>20653.330000000002</v>
      </c>
      <c r="J48" s="8">
        <v>14878.11</v>
      </c>
      <c r="K48" s="8">
        <v>14532.39</v>
      </c>
      <c r="L48" s="8">
        <v>18390.97</v>
      </c>
      <c r="M48" s="8">
        <v>16313.49</v>
      </c>
      <c r="N48" s="8">
        <v>20539.68</v>
      </c>
      <c r="O48" s="8">
        <v>14805.08</v>
      </c>
      <c r="P48" s="8">
        <v>12358.93</v>
      </c>
      <c r="Q48" s="8">
        <v>207365.67999999996</v>
      </c>
    </row>
    <row r="49" spans="1:17" x14ac:dyDescent="0.2">
      <c r="A49" s="4" t="s">
        <v>33</v>
      </c>
      <c r="B49" s="5"/>
      <c r="C49" s="5"/>
      <c r="D49" s="39"/>
      <c r="E49" s="21">
        <v>22377.29</v>
      </c>
      <c r="F49" s="22">
        <v>19055.59</v>
      </c>
      <c r="G49" s="22">
        <v>18926.48</v>
      </c>
      <c r="H49" s="22">
        <v>25508.21</v>
      </c>
      <c r="I49" s="22">
        <v>23679.58</v>
      </c>
      <c r="J49" s="22">
        <v>17058.14</v>
      </c>
      <c r="K49" s="22">
        <v>16661.77</v>
      </c>
      <c r="L49" s="22">
        <v>21085.73</v>
      </c>
      <c r="M49" s="22">
        <v>18703.84</v>
      </c>
      <c r="N49" s="22">
        <v>23549.27</v>
      </c>
      <c r="O49" s="22">
        <v>16974.41</v>
      </c>
      <c r="P49" s="22">
        <v>14169.83</v>
      </c>
      <c r="Q49" s="22">
        <v>237750.13999999998</v>
      </c>
    </row>
    <row r="50" spans="1:17" x14ac:dyDescent="0.2">
      <c r="A50" s="4"/>
      <c r="B50" s="5"/>
      <c r="C50" s="5"/>
      <c r="D50" s="39"/>
      <c r="E50" s="13">
        <v>351099.72</v>
      </c>
      <c r="F50" s="14">
        <v>298982.25</v>
      </c>
      <c r="G50" s="14">
        <v>296956.52</v>
      </c>
      <c r="H50" s="14">
        <v>400223.82</v>
      </c>
      <c r="I50" s="14">
        <v>371532.55</v>
      </c>
      <c r="J50" s="14">
        <v>267642.25</v>
      </c>
      <c r="K50" s="14">
        <v>261423.12</v>
      </c>
      <c r="L50" s="14">
        <v>330835.09999999998</v>
      </c>
      <c r="M50" s="14">
        <v>293463.18</v>
      </c>
      <c r="N50" s="14">
        <v>369488.11</v>
      </c>
      <c r="O50" s="14">
        <v>266328.52</v>
      </c>
      <c r="P50" s="14">
        <v>222324.62</v>
      </c>
      <c r="Q50" s="14">
        <v>3730299.7600000002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69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>
        <v>94884.19</v>
      </c>
      <c r="F53" s="8">
        <v>80799.520000000004</v>
      </c>
      <c r="G53" s="8">
        <v>80252.070000000007</v>
      </c>
      <c r="H53" s="8">
        <v>108159.92</v>
      </c>
      <c r="I53" s="8">
        <v>100406.14</v>
      </c>
      <c r="J53" s="8">
        <v>72329.929999999993</v>
      </c>
      <c r="K53" s="8">
        <v>70649.22</v>
      </c>
      <c r="L53" s="8">
        <v>89407.72</v>
      </c>
      <c r="M53" s="8">
        <v>79308.02</v>
      </c>
      <c r="N53" s="8">
        <v>99853.64</v>
      </c>
      <c r="O53" s="8">
        <v>71974.89</v>
      </c>
      <c r="P53" s="8">
        <v>60082.91</v>
      </c>
      <c r="Q53" s="8">
        <v>1008108.17</v>
      </c>
    </row>
    <row r="54" spans="1:17" x14ac:dyDescent="0.2">
      <c r="A54" s="4" t="s">
        <v>35</v>
      </c>
      <c r="B54" s="5"/>
      <c r="C54" s="5"/>
      <c r="D54" s="39"/>
      <c r="E54" s="7">
        <v>49843.18</v>
      </c>
      <c r="F54" s="8">
        <v>42444.43</v>
      </c>
      <c r="G54" s="8">
        <v>42156.85</v>
      </c>
      <c r="H54" s="8">
        <v>56816.99</v>
      </c>
      <c r="I54" s="8">
        <v>52743.89</v>
      </c>
      <c r="J54" s="8">
        <v>37995.31</v>
      </c>
      <c r="K54" s="8">
        <v>37112.42</v>
      </c>
      <c r="L54" s="8">
        <v>46966.35</v>
      </c>
      <c r="M54" s="8">
        <v>41660.92</v>
      </c>
      <c r="N54" s="8">
        <v>52453.65</v>
      </c>
      <c r="O54" s="8">
        <v>37808.81</v>
      </c>
      <c r="P54" s="8">
        <v>31561.88</v>
      </c>
      <c r="Q54" s="8">
        <v>529564.67999999993</v>
      </c>
    </row>
    <row r="55" spans="1:17" x14ac:dyDescent="0.2">
      <c r="A55" s="4" t="s">
        <v>36</v>
      </c>
      <c r="B55" s="5"/>
      <c r="C55" s="5"/>
      <c r="D55" s="39"/>
      <c r="E55" s="7">
        <v>52588.88</v>
      </c>
      <c r="F55" s="8">
        <v>44782.55</v>
      </c>
      <c r="G55" s="8">
        <v>44479.13</v>
      </c>
      <c r="H55" s="8">
        <v>59946.84</v>
      </c>
      <c r="I55" s="8">
        <v>55649.37</v>
      </c>
      <c r="J55" s="8">
        <v>40088.339999999997</v>
      </c>
      <c r="K55" s="8">
        <v>39156.82</v>
      </c>
      <c r="L55" s="8">
        <v>49553.57</v>
      </c>
      <c r="M55" s="8">
        <v>43955.88</v>
      </c>
      <c r="N55" s="8">
        <v>55343.15</v>
      </c>
      <c r="O55" s="8">
        <v>39891.57</v>
      </c>
      <c r="P55" s="8">
        <v>33300.519999999997</v>
      </c>
      <c r="Q55" s="8">
        <v>558736.62</v>
      </c>
    </row>
    <row r="56" spans="1:17" x14ac:dyDescent="0.2">
      <c r="A56" s="4" t="s">
        <v>55</v>
      </c>
      <c r="B56" s="5"/>
      <c r="C56" s="5"/>
      <c r="D56" s="39"/>
      <c r="E56" s="21">
        <v>38987.96</v>
      </c>
      <c r="F56" s="22">
        <v>33200.559999999998</v>
      </c>
      <c r="G56" s="22">
        <v>32975.61</v>
      </c>
      <c r="H56" s="22">
        <v>44442.95</v>
      </c>
      <c r="I56" s="22">
        <v>41256.93</v>
      </c>
      <c r="J56" s="22">
        <v>29720.400000000001</v>
      </c>
      <c r="K56" s="22">
        <v>29029.8</v>
      </c>
      <c r="L56" s="22">
        <v>36737.67</v>
      </c>
      <c r="M56" s="22">
        <v>32587.69</v>
      </c>
      <c r="N56" s="22">
        <v>41029.9</v>
      </c>
      <c r="O56" s="22">
        <v>29574.52</v>
      </c>
      <c r="P56" s="22">
        <v>24688.09</v>
      </c>
      <c r="Q56" s="22">
        <v>414232.08</v>
      </c>
    </row>
    <row r="57" spans="1:17" x14ac:dyDescent="0.2">
      <c r="A57" s="4"/>
      <c r="B57" s="5"/>
      <c r="C57" s="5"/>
      <c r="D57" s="39"/>
      <c r="E57" s="13">
        <v>236304.21</v>
      </c>
      <c r="F57" s="14">
        <v>201227.06</v>
      </c>
      <c r="G57" s="14">
        <v>199863.66</v>
      </c>
      <c r="H57" s="14">
        <v>269366.7</v>
      </c>
      <c r="I57" s="14">
        <v>250056.33</v>
      </c>
      <c r="J57" s="14">
        <v>180133.98</v>
      </c>
      <c r="K57" s="14">
        <v>175948.26</v>
      </c>
      <c r="L57" s="14">
        <v>222665.31</v>
      </c>
      <c r="M57" s="14">
        <v>197512.51</v>
      </c>
      <c r="N57" s="14">
        <v>248680.34</v>
      </c>
      <c r="O57" s="14">
        <v>179249.79</v>
      </c>
      <c r="P57" s="14">
        <v>149633.4</v>
      </c>
      <c r="Q57" s="14">
        <v>2510641.5500000003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>
        <v>64128.85</v>
      </c>
      <c r="F60" s="8">
        <v>54609.5</v>
      </c>
      <c r="G60" s="8">
        <v>54239.519999999997</v>
      </c>
      <c r="H60" s="8">
        <v>73101.45</v>
      </c>
      <c r="I60" s="8">
        <v>67860.95</v>
      </c>
      <c r="J60" s="8">
        <v>48885.22</v>
      </c>
      <c r="K60" s="8">
        <v>47749.29</v>
      </c>
      <c r="L60" s="8">
        <v>60427.49</v>
      </c>
      <c r="M60" s="8">
        <v>53601.46</v>
      </c>
      <c r="N60" s="8">
        <v>67487.509999999995</v>
      </c>
      <c r="O60" s="8">
        <v>48645.26</v>
      </c>
      <c r="P60" s="8">
        <v>40607.879999999997</v>
      </c>
      <c r="Q60" s="8">
        <v>681344.38</v>
      </c>
    </row>
    <row r="61" spans="1:17" x14ac:dyDescent="0.2">
      <c r="A61" s="4" t="s">
        <v>39</v>
      </c>
      <c r="B61" s="5"/>
      <c r="C61" s="5"/>
      <c r="D61" s="39"/>
      <c r="E61" s="7">
        <v>16666.61</v>
      </c>
      <c r="F61" s="8">
        <v>14192.61</v>
      </c>
      <c r="G61" s="8">
        <v>14096.44</v>
      </c>
      <c r="H61" s="8">
        <v>18998.509999999998</v>
      </c>
      <c r="I61" s="8">
        <v>17636.55</v>
      </c>
      <c r="J61" s="8">
        <v>12704.9</v>
      </c>
      <c r="K61" s="8">
        <v>12409.68</v>
      </c>
      <c r="L61" s="8">
        <v>15704.65</v>
      </c>
      <c r="M61" s="8">
        <v>13930.62</v>
      </c>
      <c r="N61" s="8">
        <v>17539.5</v>
      </c>
      <c r="O61" s="8">
        <v>12642.54</v>
      </c>
      <c r="P61" s="8">
        <v>10553.69</v>
      </c>
      <c r="Q61" s="8">
        <v>177076.3</v>
      </c>
    </row>
    <row r="62" spans="1:17" x14ac:dyDescent="0.2">
      <c r="A62" s="4" t="s">
        <v>40</v>
      </c>
      <c r="B62" s="5"/>
      <c r="C62" s="5"/>
      <c r="D62" s="39"/>
      <c r="E62" s="7">
        <v>17091.78</v>
      </c>
      <c r="F62" s="8">
        <v>14554.66</v>
      </c>
      <c r="G62" s="8">
        <v>14456.05</v>
      </c>
      <c r="H62" s="8">
        <v>19483.169999999998</v>
      </c>
      <c r="I62" s="8">
        <v>18086.46</v>
      </c>
      <c r="J62" s="8">
        <v>13029.01</v>
      </c>
      <c r="K62" s="8">
        <v>12726.26</v>
      </c>
      <c r="L62" s="8">
        <v>16105.28</v>
      </c>
      <c r="M62" s="8">
        <v>14285.99</v>
      </c>
      <c r="N62" s="8">
        <v>17986.939999999999</v>
      </c>
      <c r="O62" s="8">
        <v>12965.06</v>
      </c>
      <c r="P62" s="8">
        <v>10822.92</v>
      </c>
      <c r="Q62" s="8">
        <v>181593.58</v>
      </c>
    </row>
    <row r="63" spans="1:17" x14ac:dyDescent="0.2">
      <c r="A63" s="4" t="s">
        <v>41</v>
      </c>
      <c r="B63" s="5"/>
      <c r="C63" s="5"/>
      <c r="D63" s="39"/>
      <c r="E63" s="7">
        <v>31813.8</v>
      </c>
      <c r="F63" s="8">
        <v>27091.34</v>
      </c>
      <c r="G63" s="8">
        <v>26907.78</v>
      </c>
      <c r="H63" s="8">
        <v>36265.019999999997</v>
      </c>
      <c r="I63" s="8">
        <v>33665.25</v>
      </c>
      <c r="J63" s="8">
        <v>24251.56</v>
      </c>
      <c r="K63" s="8">
        <v>23688.03</v>
      </c>
      <c r="L63" s="8">
        <v>29977.58</v>
      </c>
      <c r="M63" s="8">
        <v>26591.24</v>
      </c>
      <c r="N63" s="8">
        <v>33480</v>
      </c>
      <c r="O63" s="8">
        <v>24132.52</v>
      </c>
      <c r="P63" s="8">
        <v>20145.25</v>
      </c>
      <c r="Q63" s="8">
        <v>338009.37</v>
      </c>
    </row>
    <row r="64" spans="1:17" x14ac:dyDescent="0.2">
      <c r="A64" s="4" t="s">
        <v>42</v>
      </c>
      <c r="B64" s="5"/>
      <c r="C64" s="5"/>
      <c r="D64" s="39"/>
      <c r="E64" s="7">
        <v>25677.94</v>
      </c>
      <c r="F64" s="8">
        <v>21866.29</v>
      </c>
      <c r="G64" s="8">
        <v>21718.14</v>
      </c>
      <c r="H64" s="8">
        <v>29270.67</v>
      </c>
      <c r="I64" s="8">
        <v>27172.31</v>
      </c>
      <c r="J64" s="8">
        <v>19574.22</v>
      </c>
      <c r="K64" s="8">
        <v>19119.38</v>
      </c>
      <c r="L64" s="8">
        <v>24195.87</v>
      </c>
      <c r="M64" s="8">
        <v>21462.65</v>
      </c>
      <c r="N64" s="8">
        <v>27022.79</v>
      </c>
      <c r="O64" s="8">
        <v>19478.14</v>
      </c>
      <c r="P64" s="8">
        <v>16259.88</v>
      </c>
      <c r="Q64" s="8">
        <v>272818.28000000003</v>
      </c>
    </row>
    <row r="65" spans="1:17" x14ac:dyDescent="0.2">
      <c r="A65" s="4" t="s">
        <v>43</v>
      </c>
      <c r="B65" s="5"/>
      <c r="C65" s="5"/>
      <c r="D65" s="39"/>
      <c r="E65" s="7">
        <v>18566.439999999999</v>
      </c>
      <c r="F65" s="8">
        <v>15810.43</v>
      </c>
      <c r="G65" s="8">
        <v>15703.3</v>
      </c>
      <c r="H65" s="8">
        <v>21164.16</v>
      </c>
      <c r="I65" s="8">
        <v>19646.939999999999</v>
      </c>
      <c r="J65" s="8">
        <v>14153.14</v>
      </c>
      <c r="K65" s="8">
        <v>13824.27</v>
      </c>
      <c r="L65" s="8">
        <v>17494.830000000002</v>
      </c>
      <c r="M65" s="8">
        <v>15518.57</v>
      </c>
      <c r="N65" s="8">
        <v>19538.830000000002</v>
      </c>
      <c r="O65" s="8">
        <v>14083.67</v>
      </c>
      <c r="P65" s="8">
        <v>11756.71</v>
      </c>
      <c r="Q65" s="8">
        <v>197261.29000000004</v>
      </c>
    </row>
    <row r="66" spans="1:17" x14ac:dyDescent="0.2">
      <c r="A66" s="4" t="s">
        <v>44</v>
      </c>
      <c r="B66" s="5"/>
      <c r="C66" s="5"/>
      <c r="D66" s="39"/>
      <c r="E66" s="7">
        <v>11448.22</v>
      </c>
      <c r="F66" s="8">
        <v>9748.84</v>
      </c>
      <c r="G66" s="8">
        <v>9682.7900000000009</v>
      </c>
      <c r="H66" s="8">
        <v>13050</v>
      </c>
      <c r="I66" s="8">
        <v>12114.47</v>
      </c>
      <c r="J66" s="8">
        <v>8726.9500000000007</v>
      </c>
      <c r="K66" s="8">
        <v>8524.16</v>
      </c>
      <c r="L66" s="8">
        <v>10787.46</v>
      </c>
      <c r="M66" s="8">
        <v>9568.8799999999992</v>
      </c>
      <c r="N66" s="8">
        <v>12047.81</v>
      </c>
      <c r="O66" s="8">
        <v>8684.11</v>
      </c>
      <c r="P66" s="8">
        <v>7249.28</v>
      </c>
      <c r="Q66" s="8">
        <v>121632.97000000002</v>
      </c>
    </row>
    <row r="67" spans="1:17" x14ac:dyDescent="0.2">
      <c r="A67" s="4" t="s">
        <v>45</v>
      </c>
      <c r="B67" s="5"/>
      <c r="C67" s="5"/>
      <c r="D67" s="39"/>
      <c r="E67" s="7">
        <v>15185.23</v>
      </c>
      <c r="F67" s="8">
        <v>12931.13</v>
      </c>
      <c r="G67" s="8">
        <v>12843.51</v>
      </c>
      <c r="H67" s="8">
        <v>17309.87</v>
      </c>
      <c r="I67" s="8">
        <v>16068.96</v>
      </c>
      <c r="J67" s="8">
        <v>11575.66</v>
      </c>
      <c r="K67" s="8">
        <v>11306.67</v>
      </c>
      <c r="L67" s="8">
        <v>14308.78</v>
      </c>
      <c r="M67" s="8">
        <v>12692.42</v>
      </c>
      <c r="N67" s="8">
        <v>15980.54</v>
      </c>
      <c r="O67" s="8">
        <v>11518.84</v>
      </c>
      <c r="P67" s="8">
        <v>9615.65</v>
      </c>
      <c r="Q67" s="8">
        <v>161337.26</v>
      </c>
    </row>
    <row r="68" spans="1:17" x14ac:dyDescent="0.2">
      <c r="A68" s="4" t="s">
        <v>46</v>
      </c>
      <c r="B68" s="5"/>
      <c r="C68" s="5"/>
      <c r="D68" s="39"/>
      <c r="E68" s="7">
        <v>15084.53</v>
      </c>
      <c r="F68" s="8">
        <v>12845.38</v>
      </c>
      <c r="G68" s="8">
        <v>12758.34</v>
      </c>
      <c r="H68" s="8">
        <v>17195.080000000002</v>
      </c>
      <c r="I68" s="8">
        <v>15962.4</v>
      </c>
      <c r="J68" s="8">
        <v>11498.89</v>
      </c>
      <c r="K68" s="8">
        <v>11231.7</v>
      </c>
      <c r="L68" s="8">
        <v>14213.89</v>
      </c>
      <c r="M68" s="8">
        <v>12608.26</v>
      </c>
      <c r="N68" s="8">
        <v>15874.57</v>
      </c>
      <c r="O68" s="8">
        <v>11442.45</v>
      </c>
      <c r="P68" s="8">
        <v>9551.8799999999992</v>
      </c>
      <c r="Q68" s="8">
        <v>160267.37</v>
      </c>
    </row>
    <row r="69" spans="1:17" x14ac:dyDescent="0.2">
      <c r="A69" s="4" t="s">
        <v>56</v>
      </c>
      <c r="B69" s="5"/>
      <c r="C69" s="5"/>
      <c r="D69" s="39"/>
      <c r="E69" s="21">
        <v>17284.22</v>
      </c>
      <c r="F69" s="22">
        <v>14718.54</v>
      </c>
      <c r="G69" s="22">
        <v>14618.82</v>
      </c>
      <c r="H69" s="22">
        <v>19702.54</v>
      </c>
      <c r="I69" s="22">
        <v>18290.099999999999</v>
      </c>
      <c r="J69" s="22">
        <v>13175.71</v>
      </c>
      <c r="K69" s="22">
        <v>12869.55</v>
      </c>
      <c r="L69" s="22">
        <v>16286.62</v>
      </c>
      <c r="M69" s="22">
        <v>14446.84</v>
      </c>
      <c r="N69" s="22">
        <v>18189.46</v>
      </c>
      <c r="O69" s="22">
        <v>13111.04</v>
      </c>
      <c r="P69" s="22">
        <v>10944.78</v>
      </c>
      <c r="Q69" s="22">
        <v>183638.22</v>
      </c>
    </row>
    <row r="70" spans="1:17" x14ac:dyDescent="0.2">
      <c r="A70" s="4"/>
      <c r="B70" s="5"/>
      <c r="C70" s="5"/>
      <c r="D70" s="39"/>
      <c r="E70" s="13">
        <v>232947.62</v>
      </c>
      <c r="F70" s="14">
        <v>198368.72</v>
      </c>
      <c r="G70" s="14">
        <v>197024.69</v>
      </c>
      <c r="H70" s="14">
        <v>265540.46999999997</v>
      </c>
      <c r="I70" s="14">
        <v>246504.39</v>
      </c>
      <c r="J70" s="14">
        <v>177575.26</v>
      </c>
      <c r="K70" s="14">
        <v>173448.99</v>
      </c>
      <c r="L70" s="14">
        <v>219502.45</v>
      </c>
      <c r="M70" s="14">
        <v>194706.93</v>
      </c>
      <c r="N70" s="14">
        <v>245147.95</v>
      </c>
      <c r="O70" s="14">
        <v>176703.63</v>
      </c>
      <c r="P70" s="14">
        <v>147507.92000000001</v>
      </c>
      <c r="Q70" s="14">
        <v>2474979.02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>
        <v>107637.03</v>
      </c>
      <c r="F73" s="8">
        <v>91659.3</v>
      </c>
      <c r="G73" s="8">
        <v>91038.280000000057</v>
      </c>
      <c r="H73" s="8">
        <v>122697.05</v>
      </c>
      <c r="I73" s="8">
        <v>113901.13</v>
      </c>
      <c r="J73" s="8">
        <v>82051.38</v>
      </c>
      <c r="K73" s="8">
        <v>80144.77</v>
      </c>
      <c r="L73" s="8">
        <v>101424.47</v>
      </c>
      <c r="M73" s="8">
        <v>89967.320000000109</v>
      </c>
      <c r="N73" s="8">
        <v>113274.37</v>
      </c>
      <c r="O73" s="8">
        <v>81648.619999999908</v>
      </c>
      <c r="P73" s="8">
        <v>68158.29999999993</v>
      </c>
      <c r="Q73" s="8">
        <v>1143602.02</v>
      </c>
    </row>
    <row r="74" spans="1:17" x14ac:dyDescent="0.2">
      <c r="A74" s="4" t="s">
        <v>49</v>
      </c>
      <c r="B74" s="5"/>
      <c r="C74" s="5"/>
      <c r="D74" s="39"/>
      <c r="E74" s="7">
        <v>26230.66</v>
      </c>
      <c r="F74" s="8">
        <v>22336.97</v>
      </c>
      <c r="G74" s="8">
        <v>22185.62</v>
      </c>
      <c r="H74" s="8">
        <v>29900.720000000001</v>
      </c>
      <c r="I74" s="8">
        <v>27757.200000000001</v>
      </c>
      <c r="J74" s="8">
        <v>19995.55</v>
      </c>
      <c r="K74" s="8">
        <v>19530.919999999998</v>
      </c>
      <c r="L74" s="8">
        <v>24716.69</v>
      </c>
      <c r="M74" s="8">
        <v>21924.639999999999</v>
      </c>
      <c r="N74" s="8">
        <v>27604.46</v>
      </c>
      <c r="O74" s="8">
        <v>19897.41</v>
      </c>
      <c r="P74" s="8">
        <v>16609.87</v>
      </c>
      <c r="Q74" s="8">
        <v>278690.71000000002</v>
      </c>
    </row>
    <row r="75" spans="1:17" x14ac:dyDescent="0.2">
      <c r="A75" s="4" t="s">
        <v>50</v>
      </c>
      <c r="B75" s="5"/>
      <c r="C75" s="5"/>
      <c r="D75" s="39"/>
      <c r="E75" s="7">
        <v>35170.39</v>
      </c>
      <c r="F75" s="8">
        <v>29949.68</v>
      </c>
      <c r="G75" s="8">
        <v>29746.75</v>
      </c>
      <c r="H75" s="8">
        <v>40091.25</v>
      </c>
      <c r="I75" s="8">
        <v>37217.19</v>
      </c>
      <c r="J75" s="8">
        <v>26810.28</v>
      </c>
      <c r="K75" s="8">
        <v>26187.3</v>
      </c>
      <c r="L75" s="8">
        <v>33140.44</v>
      </c>
      <c r="M75" s="8">
        <v>29396.82</v>
      </c>
      <c r="N75" s="8">
        <v>37012.39</v>
      </c>
      <c r="O75" s="8">
        <v>26678.68</v>
      </c>
      <c r="P75" s="8">
        <v>22270.720000000001</v>
      </c>
      <c r="Q75" s="8">
        <v>373671.89</v>
      </c>
    </row>
    <row r="76" spans="1:17" x14ac:dyDescent="0.2">
      <c r="A76" s="4" t="s">
        <v>51</v>
      </c>
      <c r="B76" s="5"/>
      <c r="C76" s="5"/>
      <c r="D76" s="39"/>
      <c r="E76" s="7">
        <v>30294.38</v>
      </c>
      <c r="F76" s="8">
        <v>25797.46</v>
      </c>
      <c r="G76" s="8">
        <v>25622.67</v>
      </c>
      <c r="H76" s="8">
        <v>34533.01</v>
      </c>
      <c r="I76" s="8">
        <v>32057.41</v>
      </c>
      <c r="J76" s="8">
        <v>23093.31</v>
      </c>
      <c r="K76" s="8">
        <v>22556.7</v>
      </c>
      <c r="L76" s="8">
        <v>28545.86</v>
      </c>
      <c r="M76" s="8">
        <v>25321.25</v>
      </c>
      <c r="N76" s="8">
        <v>31881.01</v>
      </c>
      <c r="O76" s="8">
        <v>22979.96</v>
      </c>
      <c r="P76" s="8">
        <v>19183.12</v>
      </c>
      <c r="Q76" s="8">
        <v>321866.14</v>
      </c>
    </row>
    <row r="77" spans="1:17" x14ac:dyDescent="0.2">
      <c r="A77" s="4" t="s">
        <v>52</v>
      </c>
      <c r="B77" s="5"/>
      <c r="C77" s="5"/>
      <c r="D77" s="39"/>
      <c r="E77" s="7">
        <v>57064.33</v>
      </c>
      <c r="F77" s="8">
        <v>48593.67</v>
      </c>
      <c r="G77" s="8">
        <v>48264.42</v>
      </c>
      <c r="H77" s="8">
        <v>65048.49</v>
      </c>
      <c r="I77" s="8">
        <v>60385.29</v>
      </c>
      <c r="J77" s="8">
        <v>43499.97</v>
      </c>
      <c r="K77" s="8">
        <v>42489.17</v>
      </c>
      <c r="L77" s="8">
        <v>53770.720000000001</v>
      </c>
      <c r="M77" s="8">
        <v>47696.65</v>
      </c>
      <c r="N77" s="8">
        <v>60053</v>
      </c>
      <c r="O77" s="8">
        <v>43286.45</v>
      </c>
      <c r="P77" s="8">
        <v>36134.480000000003</v>
      </c>
      <c r="Q77" s="8">
        <v>606286.6399999999</v>
      </c>
    </row>
    <row r="78" spans="1:17" x14ac:dyDescent="0.2">
      <c r="A78" s="4" t="s">
        <v>53</v>
      </c>
      <c r="B78" s="5"/>
      <c r="C78" s="5"/>
      <c r="D78" s="39"/>
      <c r="E78" s="7">
        <v>35626.89</v>
      </c>
      <c r="F78" s="8">
        <v>30338.41</v>
      </c>
      <c r="G78" s="8">
        <v>30132.85</v>
      </c>
      <c r="H78" s="8">
        <v>40611.620000000003</v>
      </c>
      <c r="I78" s="8">
        <v>37700.25</v>
      </c>
      <c r="J78" s="8">
        <v>27158.27</v>
      </c>
      <c r="K78" s="8">
        <v>26527.200000000001</v>
      </c>
      <c r="L78" s="8">
        <v>33570.589999999997</v>
      </c>
      <c r="M78" s="8">
        <v>29778.38</v>
      </c>
      <c r="N78" s="8">
        <v>37492.800000000003</v>
      </c>
      <c r="O78" s="8">
        <v>27024.959999999999</v>
      </c>
      <c r="P78" s="8">
        <v>22559.79</v>
      </c>
      <c r="Q78" s="22">
        <v>378522.00999999995</v>
      </c>
    </row>
    <row r="79" spans="1:17" ht="13.5" thickBot="1" x14ac:dyDescent="0.25">
      <c r="A79" s="25"/>
      <c r="B79" s="26"/>
      <c r="C79" s="26"/>
      <c r="D79" s="43"/>
      <c r="E79" s="27">
        <v>292023.67999999999</v>
      </c>
      <c r="F79" s="28">
        <v>248675.49</v>
      </c>
      <c r="G79" s="28">
        <v>246990.59</v>
      </c>
      <c r="H79" s="28">
        <v>332882.14</v>
      </c>
      <c r="I79" s="28">
        <v>309018.46999999997</v>
      </c>
      <c r="J79" s="28">
        <v>222608.76</v>
      </c>
      <c r="K79" s="28">
        <v>217436.06</v>
      </c>
      <c r="L79" s="28">
        <v>275168.77</v>
      </c>
      <c r="M79" s="28">
        <v>244085.06</v>
      </c>
      <c r="N79" s="28">
        <v>307318.03000000003</v>
      </c>
      <c r="O79" s="28">
        <v>221516.08</v>
      </c>
      <c r="P79" s="28">
        <v>184916.28</v>
      </c>
      <c r="Q79" s="28">
        <v>3102639.4099999997</v>
      </c>
    </row>
    <row r="80" spans="1:17" ht="13.5" thickTop="1" x14ac:dyDescent="0.2">
      <c r="D80" s="31" t="s">
        <v>54</v>
      </c>
      <c r="E80" s="29">
        <v>2237729.2799999998</v>
      </c>
      <c r="F80" s="29">
        <v>1905559.29</v>
      </c>
      <c r="G80" s="29">
        <v>1892648.28</v>
      </c>
      <c r="H80" s="29">
        <v>2550821.0099999998</v>
      </c>
      <c r="I80" s="29">
        <v>2367957.64</v>
      </c>
      <c r="J80" s="29">
        <v>1705814.22</v>
      </c>
      <c r="K80" s="29">
        <v>1666176.67</v>
      </c>
      <c r="L80" s="29">
        <v>2108572.98</v>
      </c>
      <c r="M80" s="29">
        <v>1870383.58</v>
      </c>
      <c r="N80" s="29">
        <v>2354927.4300000002</v>
      </c>
      <c r="O80" s="29">
        <v>1697441.2</v>
      </c>
      <c r="P80" s="29">
        <v>1416982.94</v>
      </c>
      <c r="Q80" s="29">
        <v>23775014.520000003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3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16.5703125" style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146</v>
      </c>
      <c r="F5" s="85" t="s">
        <v>147</v>
      </c>
      <c r="G5" s="84" t="s">
        <v>148</v>
      </c>
      <c r="H5" s="84" t="s">
        <v>149</v>
      </c>
      <c r="I5" s="84" t="s">
        <v>150</v>
      </c>
      <c r="J5" s="84" t="s">
        <v>151</v>
      </c>
      <c r="K5" s="84" t="s">
        <v>152</v>
      </c>
      <c r="L5" s="84" t="s">
        <v>153</v>
      </c>
      <c r="M5" s="84" t="s">
        <v>154</v>
      </c>
      <c r="N5" s="84" t="s">
        <v>155</v>
      </c>
      <c r="O5" s="84" t="s">
        <v>156</v>
      </c>
      <c r="P5" s="84" t="s">
        <v>157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1997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5712783.3400000008</v>
      </c>
      <c r="F8" s="8">
        <v>4017775.91</v>
      </c>
      <c r="G8" s="8">
        <v>4445050.41</v>
      </c>
      <c r="H8" s="8">
        <v>4606716.7699999996</v>
      </c>
      <c r="I8" s="8">
        <v>5927035.8099999987</v>
      </c>
      <c r="J8" s="8">
        <v>3726503.53</v>
      </c>
      <c r="K8" s="8">
        <v>4555555.21</v>
      </c>
      <c r="L8" s="8">
        <v>3623992.73</v>
      </c>
      <c r="M8" s="8">
        <v>3217870.58</v>
      </c>
      <c r="N8" s="8">
        <v>5466203.0099999998</v>
      </c>
      <c r="O8" s="8">
        <v>3596355.69</v>
      </c>
      <c r="P8" s="8">
        <v>3228541.51</v>
      </c>
      <c r="Q8" s="8">
        <v>52124384.5</v>
      </c>
    </row>
    <row r="9" spans="1:17" x14ac:dyDescent="0.2">
      <c r="A9" s="4" t="s">
        <v>1</v>
      </c>
      <c r="B9" s="5"/>
      <c r="C9" s="5"/>
      <c r="D9" s="40" t="s">
        <v>62</v>
      </c>
      <c r="E9" s="7">
        <v>549306.09</v>
      </c>
      <c r="F9" s="8">
        <v>386324.61</v>
      </c>
      <c r="G9" s="8">
        <v>427408.69</v>
      </c>
      <c r="H9" s="8">
        <v>442953.54</v>
      </c>
      <c r="I9" s="8">
        <v>569907.29</v>
      </c>
      <c r="J9" s="8">
        <v>358317.65</v>
      </c>
      <c r="K9" s="8">
        <v>438034.15</v>
      </c>
      <c r="L9" s="8">
        <v>348460.84</v>
      </c>
      <c r="M9" s="8">
        <v>309410.63</v>
      </c>
      <c r="N9" s="8">
        <v>525596.43999999994</v>
      </c>
      <c r="O9" s="8">
        <v>345803.43</v>
      </c>
      <c r="P9" s="8">
        <v>310436.68</v>
      </c>
      <c r="Q9" s="8">
        <v>5011960.04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329583.65000000002</v>
      </c>
      <c r="F10" s="8">
        <v>231794.76</v>
      </c>
      <c r="G10" s="8">
        <v>256445.22</v>
      </c>
      <c r="H10" s="8">
        <v>265772.12</v>
      </c>
      <c r="I10" s="8">
        <v>341944.37</v>
      </c>
      <c r="J10" s="8">
        <v>214990.59</v>
      </c>
      <c r="K10" s="8">
        <v>262820.49</v>
      </c>
      <c r="L10" s="8">
        <v>209076.5</v>
      </c>
      <c r="M10" s="8">
        <v>185646.38</v>
      </c>
      <c r="N10" s="8">
        <v>315357.87</v>
      </c>
      <c r="O10" s="8">
        <v>207482.06</v>
      </c>
      <c r="P10" s="8">
        <v>186262.01</v>
      </c>
      <c r="Q10" s="8">
        <v>3007176.02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4394448.72</v>
      </c>
      <c r="F11" s="10">
        <v>3090596.86</v>
      </c>
      <c r="G11" s="10">
        <v>3419269.55</v>
      </c>
      <c r="H11" s="10">
        <v>3543628.28</v>
      </c>
      <c r="I11" s="10">
        <v>4559258.32</v>
      </c>
      <c r="J11" s="10">
        <v>2866541.18</v>
      </c>
      <c r="K11" s="10">
        <v>3504273.23</v>
      </c>
      <c r="L11" s="10">
        <v>2787686.72</v>
      </c>
      <c r="M11" s="10">
        <v>2475285.06</v>
      </c>
      <c r="N11" s="10">
        <v>4204771.55</v>
      </c>
      <c r="O11" s="10">
        <v>2766427.46</v>
      </c>
      <c r="P11" s="10">
        <v>2483493.4700000002</v>
      </c>
      <c r="Q11" s="11">
        <v>40095680.399999999</v>
      </c>
    </row>
    <row r="12" spans="1:17" x14ac:dyDescent="0.2">
      <c r="A12" s="4"/>
      <c r="B12" s="5"/>
      <c r="C12" s="44" t="s">
        <v>68</v>
      </c>
      <c r="D12" s="12"/>
      <c r="E12" s="13">
        <v>10986121.800000001</v>
      </c>
      <c r="F12" s="14">
        <v>7726492.1399999997</v>
      </c>
      <c r="G12" s="14">
        <v>8548173.8699999992</v>
      </c>
      <c r="H12" s="14">
        <v>8859070.7100000009</v>
      </c>
      <c r="I12" s="14">
        <v>11398145.789999999</v>
      </c>
      <c r="J12" s="14">
        <v>7166352.9500000002</v>
      </c>
      <c r="K12" s="14">
        <v>8760683.0800000001</v>
      </c>
      <c r="L12" s="14">
        <v>6969216.79</v>
      </c>
      <c r="M12" s="14">
        <v>6188212.6500000004</v>
      </c>
      <c r="N12" s="14">
        <v>10511928.869999999</v>
      </c>
      <c r="O12" s="14">
        <v>6916068.6399999997</v>
      </c>
      <c r="P12" s="14">
        <v>6208733.6699999999</v>
      </c>
      <c r="Q12" s="14">
        <v>100239200.95999999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3.5" thickBot="1" x14ac:dyDescent="0.25">
      <c r="A16" s="15" t="s">
        <v>5</v>
      </c>
      <c r="B16" s="16"/>
      <c r="C16" s="32"/>
      <c r="D16" s="6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8" x14ac:dyDescent="0.2">
      <c r="A17" s="4" t="s">
        <v>6</v>
      </c>
      <c r="B17" s="5"/>
      <c r="C17" s="5"/>
      <c r="D17" s="39"/>
      <c r="E17" s="7">
        <v>836228.42</v>
      </c>
      <c r="F17" s="8">
        <v>588115.87</v>
      </c>
      <c r="G17" s="8">
        <v>650659.64</v>
      </c>
      <c r="H17" s="8">
        <v>674324.11</v>
      </c>
      <c r="I17" s="8">
        <v>867590.38</v>
      </c>
      <c r="J17" s="8">
        <v>545479.85</v>
      </c>
      <c r="K17" s="8">
        <v>666835.17000000004</v>
      </c>
      <c r="L17" s="8">
        <v>530474.48</v>
      </c>
      <c r="M17" s="8">
        <v>471026.92</v>
      </c>
      <c r="N17" s="8">
        <v>800134.37</v>
      </c>
      <c r="O17" s="8">
        <v>526429.02</v>
      </c>
      <c r="P17" s="8">
        <v>472588.94</v>
      </c>
      <c r="Q17" s="8">
        <v>7629887.1699999999</v>
      </c>
      <c r="R17" s="20"/>
    </row>
    <row r="18" spans="1:18" x14ac:dyDescent="0.2">
      <c r="A18" s="4" t="s">
        <v>7</v>
      </c>
      <c r="B18" s="5"/>
      <c r="C18" s="5"/>
      <c r="D18" s="39"/>
      <c r="E18" s="7">
        <v>54952.58</v>
      </c>
      <c r="F18" s="8">
        <v>38647.910000000003</v>
      </c>
      <c r="G18" s="8">
        <v>42757.97</v>
      </c>
      <c r="H18" s="8">
        <v>44313.07</v>
      </c>
      <c r="I18" s="8">
        <v>57013.53</v>
      </c>
      <c r="J18" s="8">
        <v>35846.1</v>
      </c>
      <c r="K18" s="8">
        <v>43820.94</v>
      </c>
      <c r="L18" s="8">
        <v>34860.019999999997</v>
      </c>
      <c r="M18" s="8">
        <v>30953.439999999999</v>
      </c>
      <c r="N18" s="8">
        <v>52580.67</v>
      </c>
      <c r="O18" s="8">
        <v>34594.18</v>
      </c>
      <c r="P18" s="8">
        <v>31056.09</v>
      </c>
      <c r="Q18" s="8">
        <v>501396.5</v>
      </c>
    </row>
    <row r="19" spans="1:18" x14ac:dyDescent="0.2">
      <c r="A19" s="4" t="s">
        <v>8</v>
      </c>
      <c r="B19" s="5"/>
      <c r="C19" s="5"/>
      <c r="D19" s="39"/>
      <c r="E19" s="7">
        <v>83556.05</v>
      </c>
      <c r="F19" s="8">
        <v>58764.61</v>
      </c>
      <c r="G19" s="8">
        <v>65013.99</v>
      </c>
      <c r="H19" s="8">
        <v>67378.55</v>
      </c>
      <c r="I19" s="8">
        <v>86689.74</v>
      </c>
      <c r="J19" s="8">
        <v>54504.41</v>
      </c>
      <c r="K19" s="8">
        <v>66630.25</v>
      </c>
      <c r="L19" s="8">
        <v>53005.08</v>
      </c>
      <c r="M19" s="8">
        <v>47065.07</v>
      </c>
      <c r="N19" s="8">
        <v>79949.53</v>
      </c>
      <c r="O19" s="8">
        <v>52600.85</v>
      </c>
      <c r="P19" s="8">
        <v>47221.14</v>
      </c>
      <c r="Q19" s="8">
        <v>762379.27</v>
      </c>
    </row>
    <row r="20" spans="1:18" x14ac:dyDescent="0.2">
      <c r="A20" s="4" t="s">
        <v>9</v>
      </c>
      <c r="B20" s="5"/>
      <c r="C20" s="5"/>
      <c r="D20" s="39"/>
      <c r="E20" s="7">
        <v>78546.38</v>
      </c>
      <c r="F20" s="8">
        <v>55241.33</v>
      </c>
      <c r="G20" s="8">
        <v>61116.02</v>
      </c>
      <c r="H20" s="8">
        <v>63338.81</v>
      </c>
      <c r="I20" s="8">
        <v>81492.179999999993</v>
      </c>
      <c r="J20" s="8">
        <v>51236.56</v>
      </c>
      <c r="K20" s="8">
        <v>62635.38</v>
      </c>
      <c r="L20" s="8">
        <v>49827.11</v>
      </c>
      <c r="M20" s="8">
        <v>44243.25</v>
      </c>
      <c r="N20" s="8">
        <v>75156.09</v>
      </c>
      <c r="O20" s="8">
        <v>49447.12</v>
      </c>
      <c r="P20" s="8">
        <v>44389.96</v>
      </c>
      <c r="Q20" s="8">
        <v>716670.19</v>
      </c>
    </row>
    <row r="21" spans="1:18" x14ac:dyDescent="0.2">
      <c r="A21" s="4" t="s">
        <v>10</v>
      </c>
      <c r="B21" s="5"/>
      <c r="C21" s="5"/>
      <c r="D21" s="39"/>
      <c r="E21" s="7">
        <v>73646.570000000007</v>
      </c>
      <c r="F21" s="8">
        <v>51795.31</v>
      </c>
      <c r="G21" s="8">
        <v>57303.54</v>
      </c>
      <c r="H21" s="8">
        <v>59387.67</v>
      </c>
      <c r="I21" s="8">
        <v>76408.61</v>
      </c>
      <c r="J21" s="8">
        <v>48040.36</v>
      </c>
      <c r="K21" s="8">
        <v>58728.12</v>
      </c>
      <c r="L21" s="8">
        <v>46718.84</v>
      </c>
      <c r="M21" s="8">
        <v>41483.300000000003</v>
      </c>
      <c r="N21" s="8">
        <v>70467.77</v>
      </c>
      <c r="O21" s="8">
        <v>46362.559999999998</v>
      </c>
      <c r="P21" s="8">
        <v>41620.870000000003</v>
      </c>
      <c r="Q21" s="8">
        <v>671963.52</v>
      </c>
    </row>
    <row r="22" spans="1:18" x14ac:dyDescent="0.2">
      <c r="A22" s="4" t="s">
        <v>11</v>
      </c>
      <c r="B22" s="5"/>
      <c r="C22" s="5"/>
      <c r="D22" s="39"/>
      <c r="E22" s="7">
        <v>70618.789999999994</v>
      </c>
      <c r="F22" s="8">
        <v>49665.89</v>
      </c>
      <c r="G22" s="8">
        <v>54947.66</v>
      </c>
      <c r="H22" s="8">
        <v>56946.11</v>
      </c>
      <c r="I22" s="8">
        <v>73267.28</v>
      </c>
      <c r="J22" s="8">
        <v>46065.32</v>
      </c>
      <c r="K22" s="8">
        <v>56313.67</v>
      </c>
      <c r="L22" s="8">
        <v>44798.13</v>
      </c>
      <c r="M22" s="8">
        <v>39777.83</v>
      </c>
      <c r="N22" s="8">
        <v>67570.679999999993</v>
      </c>
      <c r="O22" s="8">
        <v>44456.49</v>
      </c>
      <c r="P22" s="8">
        <v>39909.74</v>
      </c>
      <c r="Q22" s="8">
        <v>644337.59</v>
      </c>
    </row>
    <row r="23" spans="1:18" x14ac:dyDescent="0.2">
      <c r="A23" s="4" t="s">
        <v>12</v>
      </c>
      <c r="B23" s="5"/>
      <c r="C23" s="5"/>
      <c r="D23" s="39"/>
      <c r="E23" s="7">
        <v>73725.67</v>
      </c>
      <c r="F23" s="8">
        <v>51850.94</v>
      </c>
      <c r="G23" s="8">
        <v>57365.09</v>
      </c>
      <c r="H23" s="8">
        <v>59451.45</v>
      </c>
      <c r="I23" s="8">
        <v>76490.679999999993</v>
      </c>
      <c r="J23" s="8">
        <v>48091.96</v>
      </c>
      <c r="K23" s="8">
        <v>58791.19</v>
      </c>
      <c r="L23" s="8">
        <v>46769.02</v>
      </c>
      <c r="M23" s="8">
        <v>41527.86</v>
      </c>
      <c r="N23" s="8">
        <v>70543.45</v>
      </c>
      <c r="O23" s="8">
        <v>46412.35</v>
      </c>
      <c r="P23" s="8">
        <v>41665.57</v>
      </c>
      <c r="Q23" s="8">
        <v>672685.23</v>
      </c>
    </row>
    <row r="24" spans="1:18" x14ac:dyDescent="0.2">
      <c r="A24" s="4" t="s">
        <v>13</v>
      </c>
      <c r="B24" s="5"/>
      <c r="C24" s="5"/>
      <c r="D24" s="39"/>
      <c r="E24" s="7">
        <v>59988.62</v>
      </c>
      <c r="F24" s="8">
        <v>42189.74</v>
      </c>
      <c r="G24" s="8">
        <v>46676.45</v>
      </c>
      <c r="H24" s="8">
        <v>48374.07</v>
      </c>
      <c r="I24" s="8">
        <v>62238.44</v>
      </c>
      <c r="J24" s="8">
        <v>39131.15</v>
      </c>
      <c r="K24" s="8">
        <v>47836.83</v>
      </c>
      <c r="L24" s="8">
        <v>38054.71</v>
      </c>
      <c r="M24" s="8">
        <v>33790.120000000003</v>
      </c>
      <c r="N24" s="8">
        <v>57399.34</v>
      </c>
      <c r="O24" s="8">
        <v>37764.5</v>
      </c>
      <c r="P24" s="8">
        <v>33902.17</v>
      </c>
      <c r="Q24" s="8">
        <v>547346.14</v>
      </c>
    </row>
    <row r="25" spans="1:18" x14ac:dyDescent="0.2">
      <c r="A25" s="4" t="s">
        <v>14</v>
      </c>
      <c r="B25" s="5"/>
      <c r="C25" s="5"/>
      <c r="D25" s="39"/>
      <c r="E25" s="7">
        <v>59738.14</v>
      </c>
      <c r="F25" s="8">
        <v>42013.57</v>
      </c>
      <c r="G25" s="8">
        <v>46481.55</v>
      </c>
      <c r="H25" s="8">
        <v>48172.08</v>
      </c>
      <c r="I25" s="8">
        <v>61978.559999999998</v>
      </c>
      <c r="J25" s="8">
        <v>38967.760000000002</v>
      </c>
      <c r="K25" s="8">
        <v>47637.09</v>
      </c>
      <c r="L25" s="8">
        <v>37895.81</v>
      </c>
      <c r="M25" s="8">
        <v>33649.03</v>
      </c>
      <c r="N25" s="8">
        <v>57159.66</v>
      </c>
      <c r="O25" s="8">
        <v>37606.81</v>
      </c>
      <c r="P25" s="8">
        <v>33760.61</v>
      </c>
      <c r="Q25" s="8">
        <v>545060.67000000004</v>
      </c>
    </row>
    <row r="26" spans="1:18" x14ac:dyDescent="0.2">
      <c r="A26" s="4" t="s">
        <v>15</v>
      </c>
      <c r="B26" s="5"/>
      <c r="C26" s="5"/>
      <c r="D26" s="39"/>
      <c r="E26" s="7">
        <v>53212.38</v>
      </c>
      <c r="F26" s="8">
        <v>37424.04</v>
      </c>
      <c r="G26" s="8">
        <v>41403.93</v>
      </c>
      <c r="H26" s="8">
        <v>42909.79</v>
      </c>
      <c r="I26" s="8">
        <v>55208.06</v>
      </c>
      <c r="J26" s="8">
        <v>34710.949999999997</v>
      </c>
      <c r="K26" s="8">
        <v>42433.24</v>
      </c>
      <c r="L26" s="8">
        <v>33756.1</v>
      </c>
      <c r="M26" s="8">
        <v>29973.23</v>
      </c>
      <c r="N26" s="8">
        <v>50915.58</v>
      </c>
      <c r="O26" s="8">
        <v>33498.67</v>
      </c>
      <c r="P26" s="8">
        <v>30072.62</v>
      </c>
      <c r="Q26" s="8">
        <v>485518.59</v>
      </c>
    </row>
    <row r="27" spans="1:18" x14ac:dyDescent="0.2">
      <c r="A27" s="4" t="s">
        <v>16</v>
      </c>
      <c r="B27" s="5"/>
      <c r="C27" s="5"/>
      <c r="D27" s="39"/>
      <c r="E27" s="21">
        <v>169427.97</v>
      </c>
      <c r="F27" s="22">
        <v>119157.96</v>
      </c>
      <c r="G27" s="22">
        <v>131829.94</v>
      </c>
      <c r="H27" s="22">
        <v>136624.59</v>
      </c>
      <c r="I27" s="22">
        <v>175782.2</v>
      </c>
      <c r="J27" s="22">
        <v>110519.5</v>
      </c>
      <c r="K27" s="22">
        <v>135107.25</v>
      </c>
      <c r="L27" s="22">
        <v>107479.26</v>
      </c>
      <c r="M27" s="22">
        <v>95434.62</v>
      </c>
      <c r="N27" s="22">
        <v>162114.97</v>
      </c>
      <c r="O27" s="22">
        <v>106659.61</v>
      </c>
      <c r="P27" s="22">
        <v>95751.09</v>
      </c>
      <c r="Q27" s="22">
        <v>1545888.96</v>
      </c>
    </row>
    <row r="28" spans="1:18" x14ac:dyDescent="0.2">
      <c r="A28" s="4"/>
      <c r="B28" s="5"/>
      <c r="C28" s="5"/>
      <c r="D28" s="39"/>
      <c r="E28" s="13">
        <v>1613641.57</v>
      </c>
      <c r="F28" s="14">
        <v>1134867.17</v>
      </c>
      <c r="G28" s="14">
        <v>1255555.78</v>
      </c>
      <c r="H28" s="14">
        <v>1301220.3</v>
      </c>
      <c r="I28" s="14">
        <v>1674159.66</v>
      </c>
      <c r="J28" s="14">
        <v>1052593.92</v>
      </c>
      <c r="K28" s="14">
        <v>1286769.1299999999</v>
      </c>
      <c r="L28" s="14">
        <v>1023638.56</v>
      </c>
      <c r="M28" s="14">
        <v>908924.67</v>
      </c>
      <c r="N28" s="14">
        <v>1543992.11</v>
      </c>
      <c r="O28" s="14">
        <v>1015832.16</v>
      </c>
      <c r="P28" s="14">
        <v>911938.8</v>
      </c>
      <c r="Q28" s="14">
        <v>14723133.83</v>
      </c>
      <c r="R28" s="20"/>
    </row>
    <row r="29" spans="1:18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8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8" x14ac:dyDescent="0.2">
      <c r="A31" s="4" t="s">
        <v>18</v>
      </c>
      <c r="B31" s="5"/>
      <c r="C31" s="5"/>
      <c r="D31" s="39"/>
      <c r="E31" s="7">
        <v>198488.45</v>
      </c>
      <c r="F31" s="8">
        <v>139596.07999999999</v>
      </c>
      <c r="G31" s="8">
        <v>154441.57</v>
      </c>
      <c r="H31" s="8">
        <v>160058.6</v>
      </c>
      <c r="I31" s="8">
        <v>205932.57</v>
      </c>
      <c r="J31" s="8">
        <v>129475.94</v>
      </c>
      <c r="K31" s="8">
        <v>158281.01999999999</v>
      </c>
      <c r="L31" s="8">
        <v>125914.24000000001</v>
      </c>
      <c r="M31" s="8">
        <v>111803.68</v>
      </c>
      <c r="N31" s="8">
        <v>189921.13</v>
      </c>
      <c r="O31" s="8">
        <v>124954</v>
      </c>
      <c r="P31" s="8">
        <v>112174.42</v>
      </c>
      <c r="Q31" s="8">
        <v>1811041.7</v>
      </c>
    </row>
    <row r="32" spans="1:18" x14ac:dyDescent="0.2">
      <c r="A32" s="4" t="s">
        <v>19</v>
      </c>
      <c r="B32" s="5"/>
      <c r="C32" s="5"/>
      <c r="D32" s="39"/>
      <c r="E32" s="7">
        <v>104060.55</v>
      </c>
      <c r="F32" s="8">
        <v>73185.33</v>
      </c>
      <c r="G32" s="8">
        <v>80968.3</v>
      </c>
      <c r="H32" s="8">
        <v>83913.12</v>
      </c>
      <c r="I32" s="8">
        <v>107963.24</v>
      </c>
      <c r="J32" s="8">
        <v>67879.7</v>
      </c>
      <c r="K32" s="8">
        <v>82981.19</v>
      </c>
      <c r="L32" s="8">
        <v>66012.42</v>
      </c>
      <c r="M32" s="8">
        <v>58614.75</v>
      </c>
      <c r="N32" s="8">
        <v>99568.99</v>
      </c>
      <c r="O32" s="8">
        <v>65509</v>
      </c>
      <c r="P32" s="8">
        <v>58809.13</v>
      </c>
      <c r="Q32" s="8">
        <v>949465.72</v>
      </c>
    </row>
    <row r="33" spans="1:17" x14ac:dyDescent="0.2">
      <c r="A33" s="4" t="s">
        <v>20</v>
      </c>
      <c r="B33" s="5"/>
      <c r="C33" s="5"/>
      <c r="D33" s="39"/>
      <c r="E33" s="7">
        <v>102588.41</v>
      </c>
      <c r="F33" s="8">
        <v>72149.98</v>
      </c>
      <c r="G33" s="8">
        <v>79822.850000000006</v>
      </c>
      <c r="H33" s="8">
        <v>82726</v>
      </c>
      <c r="I33" s="8">
        <v>106435.89</v>
      </c>
      <c r="J33" s="8">
        <v>66919.399999999994</v>
      </c>
      <c r="K33" s="8">
        <v>81807.259999999995</v>
      </c>
      <c r="L33" s="8">
        <v>65078.55</v>
      </c>
      <c r="M33" s="8">
        <v>57785.53</v>
      </c>
      <c r="N33" s="8">
        <v>98160.39</v>
      </c>
      <c r="O33" s="8">
        <v>64582.25</v>
      </c>
      <c r="P33" s="8">
        <v>57977.16</v>
      </c>
      <c r="Q33" s="8">
        <v>936033.67</v>
      </c>
    </row>
    <row r="34" spans="1:17" x14ac:dyDescent="0.2">
      <c r="A34" s="4" t="s">
        <v>21</v>
      </c>
      <c r="B34" s="5"/>
      <c r="C34" s="5"/>
      <c r="D34" s="39"/>
      <c r="E34" s="7">
        <v>106183.06</v>
      </c>
      <c r="F34" s="8">
        <v>74678.09</v>
      </c>
      <c r="G34" s="8">
        <v>82619.81</v>
      </c>
      <c r="H34" s="8">
        <v>85624.69</v>
      </c>
      <c r="I34" s="8">
        <v>110165.36</v>
      </c>
      <c r="J34" s="8">
        <v>69264.23</v>
      </c>
      <c r="K34" s="8">
        <v>84673.75</v>
      </c>
      <c r="L34" s="8">
        <v>67358.87</v>
      </c>
      <c r="M34" s="8">
        <v>59810.31</v>
      </c>
      <c r="N34" s="8">
        <v>101599.89</v>
      </c>
      <c r="O34" s="8">
        <v>66845.19</v>
      </c>
      <c r="P34" s="8">
        <v>60008.65</v>
      </c>
      <c r="Q34" s="8">
        <v>968831.9</v>
      </c>
    </row>
    <row r="35" spans="1:17" x14ac:dyDescent="0.2">
      <c r="A35" s="4" t="s">
        <v>22</v>
      </c>
      <c r="B35" s="5"/>
      <c r="C35" s="5"/>
      <c r="D35" s="39"/>
      <c r="E35" s="21">
        <v>85006.22</v>
      </c>
      <c r="F35" s="22">
        <v>59784.51</v>
      </c>
      <c r="G35" s="22">
        <v>66142.350000000006</v>
      </c>
      <c r="H35" s="22">
        <v>68547.95</v>
      </c>
      <c r="I35" s="22">
        <v>88194.29</v>
      </c>
      <c r="J35" s="22">
        <v>55450.37</v>
      </c>
      <c r="K35" s="22">
        <v>67786.66</v>
      </c>
      <c r="L35" s="22">
        <v>53925.01</v>
      </c>
      <c r="M35" s="22">
        <v>47881.91</v>
      </c>
      <c r="N35" s="22">
        <v>81337.100000000006</v>
      </c>
      <c r="O35" s="22">
        <v>53513.77</v>
      </c>
      <c r="P35" s="22">
        <v>48040.7</v>
      </c>
      <c r="Q35" s="22">
        <v>775610.84</v>
      </c>
    </row>
    <row r="36" spans="1:17" x14ac:dyDescent="0.2">
      <c r="A36" s="4"/>
      <c r="B36" s="5"/>
      <c r="C36" s="5"/>
      <c r="D36" s="39"/>
      <c r="E36" s="13">
        <v>596326.68999999994</v>
      </c>
      <c r="F36" s="14">
        <v>419393.99</v>
      </c>
      <c r="G36" s="14">
        <v>463994.88</v>
      </c>
      <c r="H36" s="14">
        <v>480870.36</v>
      </c>
      <c r="I36" s="14">
        <v>618691.35</v>
      </c>
      <c r="J36" s="14">
        <v>388989.64</v>
      </c>
      <c r="K36" s="14">
        <v>475529.88</v>
      </c>
      <c r="L36" s="14">
        <v>378289.09</v>
      </c>
      <c r="M36" s="14">
        <v>335896.18</v>
      </c>
      <c r="N36" s="14">
        <v>570587.5</v>
      </c>
      <c r="O36" s="14">
        <v>375404.21</v>
      </c>
      <c r="P36" s="14">
        <v>337010.06</v>
      </c>
      <c r="Q36" s="14">
        <v>5440983.8300000001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>
        <v>217973.45</v>
      </c>
      <c r="F39" s="8">
        <v>153299.78</v>
      </c>
      <c r="G39" s="8">
        <v>169602.59</v>
      </c>
      <c r="H39" s="8">
        <v>175771.06</v>
      </c>
      <c r="I39" s="8">
        <v>226148.33</v>
      </c>
      <c r="J39" s="8">
        <v>142186.17000000001</v>
      </c>
      <c r="K39" s="8">
        <v>173818.97</v>
      </c>
      <c r="L39" s="8">
        <v>138274.82999999999</v>
      </c>
      <c r="M39" s="8">
        <v>122779.1</v>
      </c>
      <c r="N39" s="8">
        <v>208565.08</v>
      </c>
      <c r="O39" s="8">
        <v>137220.35</v>
      </c>
      <c r="P39" s="8">
        <v>123186.25</v>
      </c>
      <c r="Q39" s="8">
        <v>1988825.96</v>
      </c>
    </row>
    <row r="40" spans="1:17" x14ac:dyDescent="0.2">
      <c r="A40" s="4" t="s">
        <v>24</v>
      </c>
      <c r="B40" s="5"/>
      <c r="C40" s="5"/>
      <c r="D40" s="39"/>
      <c r="E40" s="7">
        <v>53691.37</v>
      </c>
      <c r="F40" s="8">
        <v>37760.910000000003</v>
      </c>
      <c r="G40" s="8">
        <v>41776.639999999999</v>
      </c>
      <c r="H40" s="8">
        <v>43296.05</v>
      </c>
      <c r="I40" s="8">
        <v>55705.02</v>
      </c>
      <c r="J40" s="8">
        <v>35023.4</v>
      </c>
      <c r="K40" s="8">
        <v>42815.21</v>
      </c>
      <c r="L40" s="8">
        <v>34059.96</v>
      </c>
      <c r="M40" s="8">
        <v>30243.03</v>
      </c>
      <c r="N40" s="8">
        <v>51373.9</v>
      </c>
      <c r="O40" s="8">
        <v>33800.21</v>
      </c>
      <c r="P40" s="8">
        <v>30343.32</v>
      </c>
      <c r="Q40" s="8">
        <v>489889.02</v>
      </c>
    </row>
    <row r="41" spans="1:17" x14ac:dyDescent="0.2">
      <c r="A41" s="4" t="s">
        <v>25</v>
      </c>
      <c r="B41" s="5"/>
      <c r="C41" s="5"/>
      <c r="D41" s="39"/>
      <c r="E41" s="7">
        <v>44511.37</v>
      </c>
      <c r="F41" s="8">
        <v>31304.66</v>
      </c>
      <c r="G41" s="8">
        <v>34633.78</v>
      </c>
      <c r="H41" s="8">
        <v>35893.410000000003</v>
      </c>
      <c r="I41" s="8">
        <v>46180.73</v>
      </c>
      <c r="J41" s="8">
        <v>29035.200000000001</v>
      </c>
      <c r="K41" s="8">
        <v>35494.78</v>
      </c>
      <c r="L41" s="8">
        <v>28236.48</v>
      </c>
      <c r="M41" s="8">
        <v>25072.16</v>
      </c>
      <c r="N41" s="8">
        <v>42590.13</v>
      </c>
      <c r="O41" s="8">
        <v>28021.14</v>
      </c>
      <c r="P41" s="8">
        <v>25155.31</v>
      </c>
      <c r="Q41" s="8">
        <v>406129.15</v>
      </c>
    </row>
    <row r="42" spans="1:17" x14ac:dyDescent="0.2">
      <c r="A42" s="4" t="s">
        <v>26</v>
      </c>
      <c r="B42" s="5"/>
      <c r="C42" s="5"/>
      <c r="D42" s="39"/>
      <c r="E42" s="7">
        <v>47921.46</v>
      </c>
      <c r="F42" s="8">
        <v>33702.959999999999</v>
      </c>
      <c r="G42" s="8">
        <v>37287.129999999997</v>
      </c>
      <c r="H42" s="8">
        <v>38643.269999999997</v>
      </c>
      <c r="I42" s="8">
        <v>49718.71</v>
      </c>
      <c r="J42" s="8">
        <v>31259.63</v>
      </c>
      <c r="K42" s="8">
        <v>38214.1</v>
      </c>
      <c r="L42" s="8">
        <v>30399.72</v>
      </c>
      <c r="M42" s="8">
        <v>26992.98</v>
      </c>
      <c r="N42" s="8">
        <v>45853.03</v>
      </c>
      <c r="O42" s="8">
        <v>30167.89</v>
      </c>
      <c r="P42" s="8">
        <v>27082.5</v>
      </c>
      <c r="Q42" s="8">
        <v>437243.38</v>
      </c>
    </row>
    <row r="43" spans="1:17" x14ac:dyDescent="0.2">
      <c r="A43" s="4" t="s">
        <v>27</v>
      </c>
      <c r="B43" s="5"/>
      <c r="C43" s="5"/>
      <c r="D43" s="39"/>
      <c r="E43" s="7">
        <v>41013.39</v>
      </c>
      <c r="F43" s="8">
        <v>28844.54</v>
      </c>
      <c r="G43" s="8">
        <v>31912.04</v>
      </c>
      <c r="H43" s="8">
        <v>33072.68</v>
      </c>
      <c r="I43" s="8">
        <v>42551.56</v>
      </c>
      <c r="J43" s="8">
        <v>26753.43</v>
      </c>
      <c r="K43" s="8">
        <v>32705.38</v>
      </c>
      <c r="L43" s="8">
        <v>26017.48</v>
      </c>
      <c r="M43" s="8">
        <v>23101.84</v>
      </c>
      <c r="N43" s="8">
        <v>39243.129999999997</v>
      </c>
      <c r="O43" s="8">
        <v>25819.07</v>
      </c>
      <c r="P43" s="8">
        <v>23178.44</v>
      </c>
      <c r="Q43" s="8">
        <v>374212.98</v>
      </c>
    </row>
    <row r="44" spans="1:17" x14ac:dyDescent="0.2">
      <c r="A44" s="4" t="s">
        <v>28</v>
      </c>
      <c r="B44" s="5"/>
      <c r="C44" s="5"/>
      <c r="D44" s="39"/>
      <c r="E44" s="7">
        <v>57242.09</v>
      </c>
      <c r="F44" s="8">
        <v>40258.11</v>
      </c>
      <c r="G44" s="8">
        <v>44539.41</v>
      </c>
      <c r="H44" s="8">
        <v>46159.3</v>
      </c>
      <c r="I44" s="8">
        <v>59388.9</v>
      </c>
      <c r="J44" s="8">
        <v>37339.57</v>
      </c>
      <c r="K44" s="8">
        <v>45646.66</v>
      </c>
      <c r="L44" s="8">
        <v>36312.410000000003</v>
      </c>
      <c r="M44" s="8">
        <v>32243.06</v>
      </c>
      <c r="N44" s="8">
        <v>54771.35</v>
      </c>
      <c r="O44" s="8">
        <v>36035.480000000003</v>
      </c>
      <c r="P44" s="8">
        <v>32349.99</v>
      </c>
      <c r="Q44" s="8">
        <v>522286.33</v>
      </c>
    </row>
    <row r="45" spans="1:17" x14ac:dyDescent="0.2">
      <c r="A45" s="4" t="s">
        <v>29</v>
      </c>
      <c r="B45" s="5"/>
      <c r="C45" s="5"/>
      <c r="D45" s="39"/>
      <c r="E45" s="7">
        <v>46220.81</v>
      </c>
      <c r="F45" s="8">
        <v>32506.9</v>
      </c>
      <c r="G45" s="8">
        <v>35963.879999999997</v>
      </c>
      <c r="H45" s="8">
        <v>37271.879999999997</v>
      </c>
      <c r="I45" s="8">
        <v>47954.28</v>
      </c>
      <c r="J45" s="8">
        <v>30150.28</v>
      </c>
      <c r="K45" s="8">
        <v>36857.949999999997</v>
      </c>
      <c r="L45" s="8">
        <v>29320.89</v>
      </c>
      <c r="M45" s="8">
        <v>26035.05</v>
      </c>
      <c r="N45" s="8">
        <v>44225.79</v>
      </c>
      <c r="O45" s="8">
        <v>29097.279999999999</v>
      </c>
      <c r="P45" s="8">
        <v>26121.38</v>
      </c>
      <c r="Q45" s="8">
        <v>421726.37</v>
      </c>
    </row>
    <row r="46" spans="1:17" x14ac:dyDescent="0.2">
      <c r="A46" s="4" t="s">
        <v>30</v>
      </c>
      <c r="B46" s="5"/>
      <c r="C46" s="5"/>
      <c r="D46" s="39"/>
      <c r="E46" s="7">
        <v>40336.639999999999</v>
      </c>
      <c r="F46" s="8">
        <v>28368.59</v>
      </c>
      <c r="G46" s="8">
        <v>31385.48</v>
      </c>
      <c r="H46" s="8">
        <v>32526.959999999999</v>
      </c>
      <c r="I46" s="8">
        <v>41849.43</v>
      </c>
      <c r="J46" s="8">
        <v>26311.98</v>
      </c>
      <c r="K46" s="8">
        <v>32165.72</v>
      </c>
      <c r="L46" s="8">
        <v>25588.18</v>
      </c>
      <c r="M46" s="8">
        <v>22720.639999999999</v>
      </c>
      <c r="N46" s="8">
        <v>38595.599999999999</v>
      </c>
      <c r="O46" s="8">
        <v>25393.040000000001</v>
      </c>
      <c r="P46" s="8">
        <v>22795.99</v>
      </c>
      <c r="Q46" s="8">
        <v>368038.25</v>
      </c>
    </row>
    <row r="47" spans="1:17" x14ac:dyDescent="0.2">
      <c r="A47" s="4" t="s">
        <v>31</v>
      </c>
      <c r="B47" s="5"/>
      <c r="C47" s="5"/>
      <c r="D47" s="39"/>
      <c r="E47" s="7">
        <v>58305.55</v>
      </c>
      <c r="F47" s="8">
        <v>41006.04</v>
      </c>
      <c r="G47" s="8">
        <v>45366.87</v>
      </c>
      <c r="H47" s="8">
        <v>47016.86</v>
      </c>
      <c r="I47" s="8">
        <v>60492.24</v>
      </c>
      <c r="J47" s="8">
        <v>38033.269999999997</v>
      </c>
      <c r="K47" s="8">
        <v>46494.7</v>
      </c>
      <c r="L47" s="8">
        <v>36987.03</v>
      </c>
      <c r="M47" s="8">
        <v>32842.080000000002</v>
      </c>
      <c r="N47" s="8">
        <v>55788.91</v>
      </c>
      <c r="O47" s="8">
        <v>36704.959999999999</v>
      </c>
      <c r="P47" s="8">
        <v>32950.99</v>
      </c>
      <c r="Q47" s="8">
        <v>531989.5</v>
      </c>
    </row>
    <row r="48" spans="1:17" x14ac:dyDescent="0.2">
      <c r="A48" s="4" t="s">
        <v>32</v>
      </c>
      <c r="B48" s="5"/>
      <c r="C48" s="5"/>
      <c r="D48" s="39"/>
      <c r="E48" s="7">
        <v>38328.379999999997</v>
      </c>
      <c r="F48" s="8">
        <v>26956.19</v>
      </c>
      <c r="G48" s="8">
        <v>29822.87</v>
      </c>
      <c r="H48" s="8">
        <v>30907.53</v>
      </c>
      <c r="I48" s="8">
        <v>39765.85</v>
      </c>
      <c r="J48" s="8">
        <v>25001.97</v>
      </c>
      <c r="K48" s="8">
        <v>30564.27</v>
      </c>
      <c r="L48" s="8">
        <v>24314.2</v>
      </c>
      <c r="M48" s="8">
        <v>21589.439999999999</v>
      </c>
      <c r="N48" s="8">
        <v>36674.019999999997</v>
      </c>
      <c r="O48" s="8">
        <v>24128.78</v>
      </c>
      <c r="P48" s="8">
        <v>21661.03</v>
      </c>
      <c r="Q48" s="8">
        <v>349714.53</v>
      </c>
    </row>
    <row r="49" spans="1:17" x14ac:dyDescent="0.2">
      <c r="A49" s="4" t="s">
        <v>33</v>
      </c>
      <c r="B49" s="5"/>
      <c r="C49" s="5"/>
      <c r="D49" s="39"/>
      <c r="E49" s="21">
        <v>43944.49</v>
      </c>
      <c r="F49" s="22">
        <v>30905.97</v>
      </c>
      <c r="G49" s="22">
        <v>34192.699999999997</v>
      </c>
      <c r="H49" s="22">
        <v>35436.28</v>
      </c>
      <c r="I49" s="22">
        <v>45592.58</v>
      </c>
      <c r="J49" s="22">
        <v>28665.41</v>
      </c>
      <c r="K49" s="22">
        <v>35042.730000000003</v>
      </c>
      <c r="L49" s="22">
        <v>27876.87</v>
      </c>
      <c r="M49" s="22">
        <v>24752.85</v>
      </c>
      <c r="N49" s="22">
        <v>42047.72</v>
      </c>
      <c r="O49" s="22">
        <v>27664.27</v>
      </c>
      <c r="P49" s="22">
        <v>24834.93</v>
      </c>
      <c r="Q49" s="22">
        <v>400956.8</v>
      </c>
    </row>
    <row r="50" spans="1:17" x14ac:dyDescent="0.2">
      <c r="A50" s="4"/>
      <c r="B50" s="5"/>
      <c r="C50" s="5"/>
      <c r="D50" s="39"/>
      <c r="E50" s="13">
        <v>689489</v>
      </c>
      <c r="F50" s="14">
        <v>484914.65</v>
      </c>
      <c r="G50" s="14">
        <v>536483.39</v>
      </c>
      <c r="H50" s="14">
        <v>555995.28</v>
      </c>
      <c r="I50" s="14">
        <v>715347.63</v>
      </c>
      <c r="J50" s="14">
        <v>449760.31</v>
      </c>
      <c r="K50" s="14">
        <v>549820.47</v>
      </c>
      <c r="L50" s="14">
        <v>437388.05</v>
      </c>
      <c r="M50" s="14">
        <v>388372.23</v>
      </c>
      <c r="N50" s="14">
        <v>659728.66</v>
      </c>
      <c r="O50" s="14">
        <v>434052.47</v>
      </c>
      <c r="P50" s="14">
        <v>389660.13</v>
      </c>
      <c r="Q50" s="14">
        <v>6291012.2699999996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69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>
        <v>186333.41</v>
      </c>
      <c r="F53" s="8">
        <v>131047.49</v>
      </c>
      <c r="G53" s="8">
        <v>144983.87</v>
      </c>
      <c r="H53" s="8">
        <v>150256.92000000001</v>
      </c>
      <c r="I53" s="8">
        <v>193321.67</v>
      </c>
      <c r="J53" s="8">
        <v>121547.08</v>
      </c>
      <c r="K53" s="8">
        <v>148588.19</v>
      </c>
      <c r="L53" s="8">
        <v>118203.49</v>
      </c>
      <c r="M53" s="8">
        <v>104957.04</v>
      </c>
      <c r="N53" s="8">
        <v>178290.73</v>
      </c>
      <c r="O53" s="8">
        <v>117302.05</v>
      </c>
      <c r="P53" s="8">
        <v>105305.09</v>
      </c>
      <c r="Q53" s="8">
        <v>1700137.03</v>
      </c>
    </row>
    <row r="54" spans="1:17" x14ac:dyDescent="0.2">
      <c r="A54" s="4" t="s">
        <v>35</v>
      </c>
      <c r="B54" s="5"/>
      <c r="C54" s="5"/>
      <c r="D54" s="39"/>
      <c r="E54" s="7">
        <v>97881.95</v>
      </c>
      <c r="F54" s="8">
        <v>68839.95</v>
      </c>
      <c r="G54" s="8">
        <v>76160.81</v>
      </c>
      <c r="H54" s="8">
        <v>78930.78</v>
      </c>
      <c r="I54" s="8">
        <v>101552.92</v>
      </c>
      <c r="J54" s="8">
        <v>63849.34</v>
      </c>
      <c r="K54" s="8">
        <v>78054.179999999993</v>
      </c>
      <c r="L54" s="8">
        <v>62092.93</v>
      </c>
      <c r="M54" s="8">
        <v>55134.5</v>
      </c>
      <c r="N54" s="8">
        <v>93657.08</v>
      </c>
      <c r="O54" s="8">
        <v>61619.41</v>
      </c>
      <c r="P54" s="8">
        <v>55317.33</v>
      </c>
      <c r="Q54" s="8">
        <v>893091.18</v>
      </c>
    </row>
    <row r="55" spans="1:17" x14ac:dyDescent="0.2">
      <c r="A55" s="4" t="s">
        <v>36</v>
      </c>
      <c r="B55" s="5"/>
      <c r="C55" s="5"/>
      <c r="D55" s="39"/>
      <c r="E55" s="7">
        <v>103273.94</v>
      </c>
      <c r="F55" s="8">
        <v>72632.12</v>
      </c>
      <c r="G55" s="8">
        <v>80356.25</v>
      </c>
      <c r="H55" s="8">
        <v>83278.81</v>
      </c>
      <c r="I55" s="8">
        <v>107147.13</v>
      </c>
      <c r="J55" s="8">
        <v>67366.58</v>
      </c>
      <c r="K55" s="8">
        <v>82353.929999999993</v>
      </c>
      <c r="L55" s="8">
        <v>65513.43</v>
      </c>
      <c r="M55" s="8">
        <v>58171.67</v>
      </c>
      <c r="N55" s="8">
        <v>98816.34</v>
      </c>
      <c r="O55" s="8">
        <v>65013.81</v>
      </c>
      <c r="P55" s="8">
        <v>58364.58</v>
      </c>
      <c r="Q55" s="8">
        <v>942288.59</v>
      </c>
    </row>
    <row r="56" spans="1:17" x14ac:dyDescent="0.2">
      <c r="A56" s="4" t="s">
        <v>55</v>
      </c>
      <c r="B56" s="5"/>
      <c r="C56" s="5"/>
      <c r="D56" s="39"/>
      <c r="E56" s="21">
        <v>76564.479999999996</v>
      </c>
      <c r="F56" s="22">
        <v>53847.47</v>
      </c>
      <c r="G56" s="22">
        <v>59573.93</v>
      </c>
      <c r="H56" s="22">
        <v>61740.639999999999</v>
      </c>
      <c r="I56" s="22">
        <v>79435.960000000006</v>
      </c>
      <c r="J56" s="22">
        <v>49943.75</v>
      </c>
      <c r="K56" s="22">
        <v>61054.95</v>
      </c>
      <c r="L56" s="22">
        <v>48569.87</v>
      </c>
      <c r="M56" s="22">
        <v>43126.89</v>
      </c>
      <c r="N56" s="22">
        <v>73259.73</v>
      </c>
      <c r="O56" s="22">
        <v>48199.47</v>
      </c>
      <c r="P56" s="22">
        <v>43269.91</v>
      </c>
      <c r="Q56" s="22">
        <v>698587.05</v>
      </c>
    </row>
    <row r="57" spans="1:17" x14ac:dyDescent="0.2">
      <c r="A57" s="4"/>
      <c r="B57" s="5"/>
      <c r="C57" s="5"/>
      <c r="D57" s="39"/>
      <c r="E57" s="13">
        <v>464053.78</v>
      </c>
      <c r="F57" s="14">
        <v>326367.03000000003</v>
      </c>
      <c r="G57" s="14">
        <v>361074.86</v>
      </c>
      <c r="H57" s="14">
        <v>374207.15</v>
      </c>
      <c r="I57" s="14">
        <v>481457.68</v>
      </c>
      <c r="J57" s="14">
        <v>302706.75</v>
      </c>
      <c r="K57" s="14">
        <v>370051.25</v>
      </c>
      <c r="L57" s="14">
        <v>294379.71999999997</v>
      </c>
      <c r="M57" s="14">
        <v>261390.1</v>
      </c>
      <c r="N57" s="14">
        <v>444023.88</v>
      </c>
      <c r="O57" s="14">
        <v>292134.74</v>
      </c>
      <c r="P57" s="14">
        <v>262256.90999999997</v>
      </c>
      <c r="Q57" s="14">
        <v>4234103.8499999996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>
        <v>125936.11</v>
      </c>
      <c r="F60" s="8">
        <v>88570.32</v>
      </c>
      <c r="G60" s="8">
        <v>97989.42</v>
      </c>
      <c r="H60" s="8">
        <v>101553.32</v>
      </c>
      <c r="I60" s="8">
        <v>130659.2</v>
      </c>
      <c r="J60" s="8">
        <v>82149.350000000006</v>
      </c>
      <c r="K60" s="8">
        <v>100425.45</v>
      </c>
      <c r="L60" s="8">
        <v>79889.52</v>
      </c>
      <c r="M60" s="8">
        <v>70936.710000000006</v>
      </c>
      <c r="N60" s="8">
        <v>120500.33</v>
      </c>
      <c r="O60" s="8">
        <v>79280.27</v>
      </c>
      <c r="P60" s="8">
        <v>71171.95</v>
      </c>
      <c r="Q60" s="8">
        <v>1149061.95</v>
      </c>
    </row>
    <row r="61" spans="1:17" x14ac:dyDescent="0.2">
      <c r="A61" s="4" t="s">
        <v>39</v>
      </c>
      <c r="B61" s="5"/>
      <c r="C61" s="5"/>
      <c r="D61" s="39"/>
      <c r="E61" s="7">
        <v>32729.85</v>
      </c>
      <c r="F61" s="8">
        <v>23018.77</v>
      </c>
      <c r="G61" s="8">
        <v>25466.720000000001</v>
      </c>
      <c r="H61" s="8">
        <v>26392.94</v>
      </c>
      <c r="I61" s="8">
        <v>33957.360000000001</v>
      </c>
      <c r="J61" s="8">
        <v>21350</v>
      </c>
      <c r="K61" s="8">
        <v>26099.83</v>
      </c>
      <c r="L61" s="8">
        <v>20762.689999999999</v>
      </c>
      <c r="M61" s="8">
        <v>18435.919999999998</v>
      </c>
      <c r="N61" s="8">
        <v>31317.14</v>
      </c>
      <c r="O61" s="8">
        <v>20604.349999999999</v>
      </c>
      <c r="P61" s="8">
        <v>18497.060000000001</v>
      </c>
      <c r="Q61" s="8">
        <v>298632.63</v>
      </c>
    </row>
    <row r="62" spans="1:17" x14ac:dyDescent="0.2">
      <c r="A62" s="4" t="s">
        <v>40</v>
      </c>
      <c r="B62" s="5"/>
      <c r="C62" s="5"/>
      <c r="D62" s="39"/>
      <c r="E62" s="7">
        <v>33564.800000000003</v>
      </c>
      <c r="F62" s="8">
        <v>23605.98</v>
      </c>
      <c r="G62" s="8">
        <v>26116.38</v>
      </c>
      <c r="H62" s="8">
        <v>27066.23</v>
      </c>
      <c r="I62" s="8">
        <v>34823.620000000003</v>
      </c>
      <c r="J62" s="8">
        <v>21894.639999999999</v>
      </c>
      <c r="K62" s="8">
        <v>26765.64</v>
      </c>
      <c r="L62" s="8">
        <v>21292.35</v>
      </c>
      <c r="M62" s="8">
        <v>18906.23</v>
      </c>
      <c r="N62" s="8">
        <v>32116.05</v>
      </c>
      <c r="O62" s="8">
        <v>21129.97</v>
      </c>
      <c r="P62" s="8">
        <v>18968.919999999998</v>
      </c>
      <c r="Q62" s="8">
        <v>306250.81</v>
      </c>
    </row>
    <row r="63" spans="1:17" x14ac:dyDescent="0.2">
      <c r="A63" s="4" t="s">
        <v>41</v>
      </c>
      <c r="B63" s="5"/>
      <c r="C63" s="5"/>
      <c r="D63" s="39"/>
      <c r="E63" s="7">
        <v>62475.88</v>
      </c>
      <c r="F63" s="8">
        <v>43939.02</v>
      </c>
      <c r="G63" s="8">
        <v>48611.76</v>
      </c>
      <c r="H63" s="8">
        <v>50379.76</v>
      </c>
      <c r="I63" s="8">
        <v>64818.98</v>
      </c>
      <c r="J63" s="8">
        <v>40753.620000000003</v>
      </c>
      <c r="K63" s="8">
        <v>49820.25</v>
      </c>
      <c r="L63" s="8">
        <v>39632.54</v>
      </c>
      <c r="M63" s="8">
        <v>35191.129999999997</v>
      </c>
      <c r="N63" s="8">
        <v>59779.24</v>
      </c>
      <c r="O63" s="8">
        <v>39330.300000000003</v>
      </c>
      <c r="P63" s="8">
        <v>35307.83</v>
      </c>
      <c r="Q63" s="8">
        <v>570040.31000000006</v>
      </c>
    </row>
    <row r="64" spans="1:17" x14ac:dyDescent="0.2">
      <c r="A64" s="4" t="s">
        <v>42</v>
      </c>
      <c r="B64" s="5"/>
      <c r="C64" s="5"/>
      <c r="D64" s="39"/>
      <c r="E64" s="7">
        <v>50426.3</v>
      </c>
      <c r="F64" s="8">
        <v>35464.6</v>
      </c>
      <c r="G64" s="8">
        <v>39236.120000000003</v>
      </c>
      <c r="H64" s="8">
        <v>40663.129999999997</v>
      </c>
      <c r="I64" s="8">
        <v>52317.49</v>
      </c>
      <c r="J64" s="8">
        <v>32893.56</v>
      </c>
      <c r="K64" s="8">
        <v>40211.54</v>
      </c>
      <c r="L64" s="8">
        <v>31988.71</v>
      </c>
      <c r="M64" s="8">
        <v>28403.9</v>
      </c>
      <c r="N64" s="8">
        <v>48249.75</v>
      </c>
      <c r="O64" s="8">
        <v>31744.76</v>
      </c>
      <c r="P64" s="8">
        <v>28498.09</v>
      </c>
      <c r="Q64" s="8">
        <v>460097.95</v>
      </c>
    </row>
    <row r="65" spans="1:17" x14ac:dyDescent="0.2">
      <c r="A65" s="4" t="s">
        <v>43</v>
      </c>
      <c r="B65" s="5"/>
      <c r="C65" s="5"/>
      <c r="D65" s="39"/>
      <c r="E65" s="7">
        <v>36460.74</v>
      </c>
      <c r="F65" s="8">
        <v>25642.68</v>
      </c>
      <c r="G65" s="8">
        <v>28369.68</v>
      </c>
      <c r="H65" s="8">
        <v>29401.48</v>
      </c>
      <c r="I65" s="8">
        <v>37828.17</v>
      </c>
      <c r="J65" s="8">
        <v>23783.69</v>
      </c>
      <c r="K65" s="8">
        <v>29074.95</v>
      </c>
      <c r="L65" s="8">
        <v>23129.439999999999</v>
      </c>
      <c r="M65" s="8">
        <v>20537.439999999999</v>
      </c>
      <c r="N65" s="8">
        <v>34886.99</v>
      </c>
      <c r="O65" s="8">
        <v>22953.05</v>
      </c>
      <c r="P65" s="8">
        <v>20605.55</v>
      </c>
      <c r="Q65" s="8">
        <v>332673.86</v>
      </c>
    </row>
    <row r="66" spans="1:17" x14ac:dyDescent="0.2">
      <c r="A66" s="4" t="s">
        <v>44</v>
      </c>
      <c r="B66" s="5"/>
      <c r="C66" s="5"/>
      <c r="D66" s="39"/>
      <c r="E66" s="7">
        <v>22482</v>
      </c>
      <c r="F66" s="8">
        <v>15811.49</v>
      </c>
      <c r="G66" s="8">
        <v>17492.98</v>
      </c>
      <c r="H66" s="8">
        <v>18129.2</v>
      </c>
      <c r="I66" s="8">
        <v>23325.17</v>
      </c>
      <c r="J66" s="8">
        <v>14665.22</v>
      </c>
      <c r="K66" s="8">
        <v>17927.86</v>
      </c>
      <c r="L66" s="8">
        <v>14261.81</v>
      </c>
      <c r="M66" s="8">
        <v>12663.56</v>
      </c>
      <c r="N66" s="8">
        <v>21511.61</v>
      </c>
      <c r="O66" s="8">
        <v>14153.04</v>
      </c>
      <c r="P66" s="8">
        <v>12705.55</v>
      </c>
      <c r="Q66" s="8">
        <v>205129.49</v>
      </c>
    </row>
    <row r="67" spans="1:17" x14ac:dyDescent="0.2">
      <c r="A67" s="4" t="s">
        <v>45</v>
      </c>
      <c r="B67" s="5"/>
      <c r="C67" s="5"/>
      <c r="D67" s="39"/>
      <c r="E67" s="7">
        <v>29820.73</v>
      </c>
      <c r="F67" s="8">
        <v>20972.79</v>
      </c>
      <c r="G67" s="8">
        <v>23203.16</v>
      </c>
      <c r="H67" s="8">
        <v>24047.06</v>
      </c>
      <c r="I67" s="8">
        <v>30939.13</v>
      </c>
      <c r="J67" s="8">
        <v>19452.349999999999</v>
      </c>
      <c r="K67" s="8">
        <v>23780</v>
      </c>
      <c r="L67" s="8">
        <v>18917.240000000002</v>
      </c>
      <c r="M67" s="8">
        <v>16797.28</v>
      </c>
      <c r="N67" s="8">
        <v>28533.58</v>
      </c>
      <c r="O67" s="8">
        <v>18772.98</v>
      </c>
      <c r="P67" s="8">
        <v>16852.990000000002</v>
      </c>
      <c r="Q67" s="8">
        <v>272089.28999999998</v>
      </c>
    </row>
    <row r="68" spans="1:17" x14ac:dyDescent="0.2">
      <c r="A68" s="4" t="s">
        <v>46</v>
      </c>
      <c r="B68" s="5"/>
      <c r="C68" s="5"/>
      <c r="D68" s="39"/>
      <c r="E68" s="7">
        <v>29622.98</v>
      </c>
      <c r="F68" s="8">
        <v>20833.71</v>
      </c>
      <c r="G68" s="8">
        <v>23049.3</v>
      </c>
      <c r="H68" s="8">
        <v>23887.599999999999</v>
      </c>
      <c r="I68" s="8">
        <v>30733.96</v>
      </c>
      <c r="J68" s="8">
        <v>19323.349999999999</v>
      </c>
      <c r="K68" s="8">
        <v>23622.31</v>
      </c>
      <c r="L68" s="8">
        <v>18791.8</v>
      </c>
      <c r="M68" s="8">
        <v>16685.900000000001</v>
      </c>
      <c r="N68" s="8">
        <v>28344.37</v>
      </c>
      <c r="O68" s="8">
        <v>18648.490000000002</v>
      </c>
      <c r="P68" s="8">
        <v>16741.23</v>
      </c>
      <c r="Q68" s="8">
        <v>270285</v>
      </c>
    </row>
    <row r="69" spans="1:17" x14ac:dyDescent="0.2">
      <c r="A69" s="4" t="s">
        <v>56</v>
      </c>
      <c r="B69" s="5"/>
      <c r="C69" s="5"/>
      <c r="D69" s="39"/>
      <c r="E69" s="21">
        <v>33942.720000000001</v>
      </c>
      <c r="F69" s="22">
        <v>23871.77</v>
      </c>
      <c r="G69" s="22">
        <v>26410.44</v>
      </c>
      <c r="H69" s="22">
        <v>27370.98</v>
      </c>
      <c r="I69" s="22">
        <v>35215.71</v>
      </c>
      <c r="J69" s="22">
        <v>22141.16</v>
      </c>
      <c r="K69" s="22">
        <v>27067.01</v>
      </c>
      <c r="L69" s="22">
        <v>21532.09</v>
      </c>
      <c r="M69" s="22">
        <v>19119.099999999999</v>
      </c>
      <c r="N69" s="22">
        <v>32477.66</v>
      </c>
      <c r="O69" s="22">
        <v>21367.89</v>
      </c>
      <c r="P69" s="22">
        <v>19182.5</v>
      </c>
      <c r="Q69" s="22">
        <v>309699.03000000003</v>
      </c>
    </row>
    <row r="70" spans="1:17" x14ac:dyDescent="0.2">
      <c r="A70" s="4"/>
      <c r="B70" s="5"/>
      <c r="C70" s="5"/>
      <c r="D70" s="39"/>
      <c r="E70" s="13">
        <v>457462.11</v>
      </c>
      <c r="F70" s="14">
        <v>321731.13</v>
      </c>
      <c r="G70" s="14">
        <v>355945.96</v>
      </c>
      <c r="H70" s="14">
        <v>368891.7</v>
      </c>
      <c r="I70" s="14">
        <v>474618.79</v>
      </c>
      <c r="J70" s="14">
        <v>298406.94</v>
      </c>
      <c r="K70" s="14">
        <v>364794.84</v>
      </c>
      <c r="L70" s="14">
        <v>290198.19</v>
      </c>
      <c r="M70" s="14">
        <v>257677.17</v>
      </c>
      <c r="N70" s="14">
        <v>437716.72</v>
      </c>
      <c r="O70" s="14">
        <v>287985.09999999998</v>
      </c>
      <c r="P70" s="14">
        <v>258531.67</v>
      </c>
      <c r="Q70" s="14">
        <v>4173960.32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>
        <v>211377.38</v>
      </c>
      <c r="F73" s="8">
        <v>148660.79999999999</v>
      </c>
      <c r="G73" s="8">
        <v>164470.29</v>
      </c>
      <c r="H73" s="8">
        <v>170452.06</v>
      </c>
      <c r="I73" s="8">
        <v>219304.88</v>
      </c>
      <c r="J73" s="8">
        <v>137883.49</v>
      </c>
      <c r="K73" s="8">
        <v>168559.06</v>
      </c>
      <c r="L73" s="8">
        <v>134090.51999999999</v>
      </c>
      <c r="M73" s="8">
        <v>119063.7</v>
      </c>
      <c r="N73" s="8">
        <v>202253.71</v>
      </c>
      <c r="O73" s="8">
        <v>133067.93</v>
      </c>
      <c r="P73" s="8">
        <v>119458.52</v>
      </c>
      <c r="Q73" s="8">
        <v>1928642.34</v>
      </c>
    </row>
    <row r="74" spans="1:17" x14ac:dyDescent="0.2">
      <c r="A74" s="4" t="s">
        <v>49</v>
      </c>
      <c r="B74" s="5"/>
      <c r="C74" s="5"/>
      <c r="D74" s="39"/>
      <c r="E74" s="7">
        <v>51511.73</v>
      </c>
      <c r="F74" s="8">
        <v>36227.980000000003</v>
      </c>
      <c r="G74" s="8">
        <v>40080.68</v>
      </c>
      <c r="H74" s="8">
        <v>41538.410000000003</v>
      </c>
      <c r="I74" s="8">
        <v>53443.63</v>
      </c>
      <c r="J74" s="8">
        <v>33601.599999999999</v>
      </c>
      <c r="K74" s="8">
        <v>41077.089999999997</v>
      </c>
      <c r="L74" s="8">
        <v>32677.26</v>
      </c>
      <c r="M74" s="8">
        <v>29015.29</v>
      </c>
      <c r="N74" s="8">
        <v>49288.33</v>
      </c>
      <c r="O74" s="8">
        <v>32428.06</v>
      </c>
      <c r="P74" s="8">
        <v>29111.51</v>
      </c>
      <c r="Q74" s="8">
        <v>470001.57</v>
      </c>
    </row>
    <row r="75" spans="1:17" x14ac:dyDescent="0.2">
      <c r="A75" s="4" t="s">
        <v>50</v>
      </c>
      <c r="B75" s="5"/>
      <c r="C75" s="5"/>
      <c r="D75" s="39"/>
      <c r="E75" s="7">
        <v>69067.55</v>
      </c>
      <c r="F75" s="8">
        <v>48574.91</v>
      </c>
      <c r="G75" s="8">
        <v>53740.66</v>
      </c>
      <c r="H75" s="8">
        <v>55695.21</v>
      </c>
      <c r="I75" s="8">
        <v>71657.86</v>
      </c>
      <c r="J75" s="8">
        <v>45053.43</v>
      </c>
      <c r="K75" s="8">
        <v>55076.66</v>
      </c>
      <c r="L75" s="8">
        <v>43814.07</v>
      </c>
      <c r="M75" s="8">
        <v>38904.06</v>
      </c>
      <c r="N75" s="8">
        <v>66086.39</v>
      </c>
      <c r="O75" s="8">
        <v>43479.94</v>
      </c>
      <c r="P75" s="8">
        <v>39033.07</v>
      </c>
      <c r="Q75" s="8">
        <v>630183.81000000006</v>
      </c>
    </row>
    <row r="76" spans="1:17" x14ac:dyDescent="0.2">
      <c r="A76" s="4" t="s">
        <v>51</v>
      </c>
      <c r="B76" s="5"/>
      <c r="C76" s="5"/>
      <c r="D76" s="39"/>
      <c r="E76" s="7">
        <v>59492.05</v>
      </c>
      <c r="F76" s="8">
        <v>41840.5</v>
      </c>
      <c r="G76" s="8">
        <v>46290.07</v>
      </c>
      <c r="H76" s="8">
        <v>47973.64</v>
      </c>
      <c r="I76" s="8">
        <v>61723.24</v>
      </c>
      <c r="J76" s="8">
        <v>38807.230000000003</v>
      </c>
      <c r="K76" s="8">
        <v>47440.85</v>
      </c>
      <c r="L76" s="8">
        <v>37739.699999999997</v>
      </c>
      <c r="M76" s="8">
        <v>33510.410000000003</v>
      </c>
      <c r="N76" s="8">
        <v>56924.2</v>
      </c>
      <c r="O76" s="8">
        <v>37451.89</v>
      </c>
      <c r="P76" s="8">
        <v>33621.53</v>
      </c>
      <c r="Q76" s="8">
        <v>542815.31000000006</v>
      </c>
    </row>
    <row r="77" spans="1:17" x14ac:dyDescent="0.2">
      <c r="A77" s="4" t="s">
        <v>52</v>
      </c>
      <c r="B77" s="5"/>
      <c r="C77" s="5"/>
      <c r="D77" s="39"/>
      <c r="E77" s="7">
        <v>112062.84</v>
      </c>
      <c r="F77" s="8">
        <v>78813.31</v>
      </c>
      <c r="G77" s="8">
        <v>87194.79</v>
      </c>
      <c r="H77" s="8">
        <v>90366.06</v>
      </c>
      <c r="I77" s="8">
        <v>116265.65</v>
      </c>
      <c r="J77" s="8">
        <v>73099.67</v>
      </c>
      <c r="K77" s="8">
        <v>89362.47</v>
      </c>
      <c r="L77" s="8">
        <v>71088.800000000003</v>
      </c>
      <c r="M77" s="8">
        <v>63122.239999999998</v>
      </c>
      <c r="N77" s="8">
        <v>107225.88</v>
      </c>
      <c r="O77" s="8">
        <v>70546.67</v>
      </c>
      <c r="P77" s="8">
        <v>63331.57</v>
      </c>
      <c r="Q77" s="8">
        <v>1022479.95</v>
      </c>
    </row>
    <row r="78" spans="1:17" x14ac:dyDescent="0.2">
      <c r="A78" s="4" t="s">
        <v>53</v>
      </c>
      <c r="B78" s="5"/>
      <c r="C78" s="5"/>
      <c r="D78" s="39"/>
      <c r="E78" s="7">
        <v>69964.02</v>
      </c>
      <c r="F78" s="8">
        <v>49205.39</v>
      </c>
      <c r="G78" s="8">
        <v>54438.19</v>
      </c>
      <c r="H78" s="8">
        <v>56418.11</v>
      </c>
      <c r="I78" s="8">
        <v>72587.95</v>
      </c>
      <c r="J78" s="8">
        <v>45638.2</v>
      </c>
      <c r="K78" s="8">
        <v>55791.53</v>
      </c>
      <c r="L78" s="8">
        <v>44382.76</v>
      </c>
      <c r="M78" s="8">
        <v>39409.01</v>
      </c>
      <c r="N78" s="8">
        <v>66944.17</v>
      </c>
      <c r="O78" s="8">
        <v>44044.29</v>
      </c>
      <c r="P78" s="8">
        <v>39539.699999999997</v>
      </c>
      <c r="Q78" s="22">
        <v>638363.31999999995</v>
      </c>
    </row>
    <row r="79" spans="1:17" ht="13.5" thickBot="1" x14ac:dyDescent="0.25">
      <c r="A79" s="25"/>
      <c r="B79" s="26"/>
      <c r="C79" s="26"/>
      <c r="D79" s="43"/>
      <c r="E79" s="27">
        <v>573475.56999999995</v>
      </c>
      <c r="F79" s="28">
        <v>403322.89</v>
      </c>
      <c r="G79" s="28">
        <v>446214.68</v>
      </c>
      <c r="H79" s="28">
        <v>462443.49</v>
      </c>
      <c r="I79" s="28">
        <v>594983.21</v>
      </c>
      <c r="J79" s="28">
        <v>374083.62</v>
      </c>
      <c r="K79" s="28">
        <v>457307.66</v>
      </c>
      <c r="L79" s="28">
        <v>363793.11</v>
      </c>
      <c r="M79" s="28">
        <v>323024.71000000002</v>
      </c>
      <c r="N79" s="28">
        <v>548722.68000000005</v>
      </c>
      <c r="O79" s="28">
        <v>361018.78</v>
      </c>
      <c r="P79" s="28">
        <v>324095.90000000002</v>
      </c>
      <c r="Q79" s="28">
        <v>5232486.3</v>
      </c>
    </row>
    <row r="80" spans="1:17" ht="13.5" thickTop="1" x14ac:dyDescent="0.2">
      <c r="D80" s="31" t="s">
        <v>71</v>
      </c>
      <c r="E80" s="29">
        <v>4394448.72</v>
      </c>
      <c r="F80" s="29">
        <v>3090596.86</v>
      </c>
      <c r="G80" s="29">
        <v>3419269.55</v>
      </c>
      <c r="H80" s="29">
        <v>3543628.28</v>
      </c>
      <c r="I80" s="29">
        <v>4559258.32</v>
      </c>
      <c r="J80" s="29">
        <v>2866541.18</v>
      </c>
      <c r="K80" s="29">
        <v>3504273.23</v>
      </c>
      <c r="L80" s="29">
        <v>2787686.72</v>
      </c>
      <c r="M80" s="29">
        <v>2475285.06</v>
      </c>
      <c r="N80" s="29">
        <v>4204771.55</v>
      </c>
      <c r="O80" s="29">
        <v>2766427.46</v>
      </c>
      <c r="P80" s="29">
        <v>2483493.4700000002</v>
      </c>
      <c r="Q80" s="29">
        <v>40095680.399999999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3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16.5703125" style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158</v>
      </c>
      <c r="F5" s="85" t="s">
        <v>159</v>
      </c>
      <c r="G5" s="84" t="s">
        <v>160</v>
      </c>
      <c r="H5" s="84" t="s">
        <v>161</v>
      </c>
      <c r="I5" s="84" t="s">
        <v>162</v>
      </c>
      <c r="J5" s="84" t="s">
        <v>163</v>
      </c>
      <c r="K5" s="84" t="s">
        <v>164</v>
      </c>
      <c r="L5" s="84" t="s">
        <v>165</v>
      </c>
      <c r="M5" s="84" t="s">
        <v>166</v>
      </c>
      <c r="N5" s="84" t="s">
        <v>167</v>
      </c>
      <c r="O5" s="84" t="s">
        <v>168</v>
      </c>
      <c r="P5" s="84" t="s">
        <v>169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1996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4219615.29</v>
      </c>
      <c r="F8" s="8">
        <v>3711750.88</v>
      </c>
      <c r="G8" s="8">
        <v>4688765.4000000004</v>
      </c>
      <c r="H8" s="8">
        <v>4680879.0599999996</v>
      </c>
      <c r="I8" s="8">
        <v>4040607.04</v>
      </c>
      <c r="J8" s="8">
        <v>4792643.7699999996</v>
      </c>
      <c r="K8" s="8">
        <v>4597495.75</v>
      </c>
      <c r="L8" s="8">
        <v>5470603.5200000014</v>
      </c>
      <c r="M8" s="8">
        <v>4494997.01</v>
      </c>
      <c r="N8" s="8">
        <v>6964900.7199999988</v>
      </c>
      <c r="O8" s="8">
        <v>6209860.6299999999</v>
      </c>
      <c r="P8" s="8">
        <v>5091420.1300000008</v>
      </c>
      <c r="Q8" s="8">
        <v>58963539.200000003</v>
      </c>
    </row>
    <row r="9" spans="1:17" x14ac:dyDescent="0.2">
      <c r="A9" s="4" t="s">
        <v>1</v>
      </c>
      <c r="B9" s="5"/>
      <c r="C9" s="5"/>
      <c r="D9" s="40" t="s">
        <v>62</v>
      </c>
      <c r="E9" s="7">
        <v>405732.24</v>
      </c>
      <c r="F9" s="8">
        <v>356899.12</v>
      </c>
      <c r="G9" s="8">
        <v>450842.83</v>
      </c>
      <c r="H9" s="8">
        <v>450084.53</v>
      </c>
      <c r="I9" s="8">
        <v>388519.91</v>
      </c>
      <c r="J9" s="8">
        <v>460831.13</v>
      </c>
      <c r="K9" s="8">
        <v>442066.9</v>
      </c>
      <c r="L9" s="8">
        <v>526019.56999999995</v>
      </c>
      <c r="M9" s="8">
        <v>432211.25</v>
      </c>
      <c r="N9" s="8">
        <v>669701.99</v>
      </c>
      <c r="O9" s="8">
        <v>597101.98</v>
      </c>
      <c r="P9" s="8">
        <v>489559.63</v>
      </c>
      <c r="Q9" s="8">
        <v>5669571.0799999991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243439.34</v>
      </c>
      <c r="F10" s="8">
        <v>214139.47</v>
      </c>
      <c r="G10" s="8">
        <v>270505.7</v>
      </c>
      <c r="H10" s="8">
        <v>270050.71999999997</v>
      </c>
      <c r="I10" s="8">
        <v>233111.94</v>
      </c>
      <c r="J10" s="8">
        <v>276498.68</v>
      </c>
      <c r="K10" s="8">
        <v>265240.14</v>
      </c>
      <c r="L10" s="8">
        <v>315611.74</v>
      </c>
      <c r="M10" s="8">
        <v>259326.75</v>
      </c>
      <c r="N10" s="8">
        <v>401821.2</v>
      </c>
      <c r="O10" s="8">
        <v>358261.19</v>
      </c>
      <c r="P10" s="8">
        <v>293735.78000000003</v>
      </c>
      <c r="Q10" s="8">
        <v>3401742.6499999994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3245857.91</v>
      </c>
      <c r="F11" s="10">
        <v>2855192.98</v>
      </c>
      <c r="G11" s="10">
        <v>3606742.61</v>
      </c>
      <c r="H11" s="10">
        <v>3600676.21</v>
      </c>
      <c r="I11" s="10">
        <v>3108159.26</v>
      </c>
      <c r="J11" s="10">
        <v>3686649.05</v>
      </c>
      <c r="K11" s="10">
        <v>3536535.19</v>
      </c>
      <c r="L11" s="10">
        <v>4208156.55</v>
      </c>
      <c r="M11" s="10">
        <v>3457690.01</v>
      </c>
      <c r="N11" s="10">
        <v>5357615.9400000004</v>
      </c>
      <c r="O11" s="10">
        <v>4776815.8600000003</v>
      </c>
      <c r="P11" s="10">
        <v>3916477.02</v>
      </c>
      <c r="Q11" s="11">
        <v>45356568.590000004</v>
      </c>
    </row>
    <row r="12" spans="1:17" x14ac:dyDescent="0.2">
      <c r="A12" s="4"/>
      <c r="B12" s="5"/>
      <c r="C12" s="81" t="s">
        <v>68</v>
      </c>
      <c r="D12" s="12"/>
      <c r="E12" s="13">
        <v>8114644.7800000003</v>
      </c>
      <c r="F12" s="14">
        <v>7137982.4499999993</v>
      </c>
      <c r="G12" s="14">
        <v>9016856.540000001</v>
      </c>
      <c r="H12" s="14">
        <v>9001690.5199999996</v>
      </c>
      <c r="I12" s="14">
        <v>7770398.1500000004</v>
      </c>
      <c r="J12" s="14">
        <v>9216622.629999999</v>
      </c>
      <c r="K12" s="14">
        <v>8841337.9800000004</v>
      </c>
      <c r="L12" s="14">
        <v>10520391.380000001</v>
      </c>
      <c r="M12" s="14">
        <v>8644225.0199999996</v>
      </c>
      <c r="N12" s="14">
        <v>13394039.85</v>
      </c>
      <c r="O12" s="14">
        <v>11942039.66</v>
      </c>
      <c r="P12" s="14">
        <v>9791192.5600000005</v>
      </c>
      <c r="Q12" s="14">
        <v>113391421.52000001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35">
        <v>2350</v>
      </c>
      <c r="F15" s="36">
        <v>2354</v>
      </c>
      <c r="G15" s="36">
        <v>2363</v>
      </c>
      <c r="H15" s="36">
        <v>2419.5</v>
      </c>
      <c r="I15" s="36">
        <v>2445</v>
      </c>
      <c r="J15" s="36">
        <v>2435</v>
      </c>
      <c r="K15" s="36">
        <v>2463.9</v>
      </c>
      <c r="L15" s="36">
        <v>2490</v>
      </c>
      <c r="M15" s="36">
        <v>2556</v>
      </c>
      <c r="N15" s="36">
        <v>2576</v>
      </c>
      <c r="O15" s="36">
        <v>2585</v>
      </c>
      <c r="P15" s="36">
        <v>2623</v>
      </c>
      <c r="Q15" s="8"/>
    </row>
    <row r="16" spans="1:17" ht="13.5" thickBot="1" x14ac:dyDescent="0.25">
      <c r="A16" s="15" t="s">
        <v>5</v>
      </c>
      <c r="B16" s="16"/>
      <c r="C16" s="32"/>
      <c r="D16" s="6"/>
      <c r="E16" s="37">
        <v>1</v>
      </c>
      <c r="F16" s="38">
        <v>1</v>
      </c>
      <c r="G16" s="38">
        <v>1</v>
      </c>
      <c r="H16" s="38">
        <v>1</v>
      </c>
      <c r="I16" s="38">
        <v>1</v>
      </c>
      <c r="J16" s="38">
        <v>1</v>
      </c>
      <c r="K16" s="38">
        <v>1</v>
      </c>
      <c r="L16" s="38">
        <v>1</v>
      </c>
      <c r="M16" s="38">
        <v>1</v>
      </c>
      <c r="N16" s="38">
        <v>1</v>
      </c>
      <c r="O16" s="38">
        <v>1</v>
      </c>
      <c r="P16" s="38">
        <v>1</v>
      </c>
      <c r="Q16" s="19"/>
    </row>
    <row r="17" spans="1:18" x14ac:dyDescent="0.2">
      <c r="A17" s="4" t="s">
        <v>6</v>
      </c>
      <c r="B17" s="5"/>
      <c r="C17" s="5"/>
      <c r="D17" s="39"/>
      <c r="E17" s="7">
        <v>617660.79</v>
      </c>
      <c r="F17" s="8">
        <v>543320.38</v>
      </c>
      <c r="G17" s="8">
        <v>686334.26</v>
      </c>
      <c r="H17" s="8">
        <v>685179.87</v>
      </c>
      <c r="I17" s="8">
        <v>591457.84</v>
      </c>
      <c r="J17" s="8">
        <v>701539.8</v>
      </c>
      <c r="K17" s="8">
        <v>672974.37</v>
      </c>
      <c r="L17" s="8">
        <v>800778.51000000013</v>
      </c>
      <c r="M17" s="8">
        <v>657970.73</v>
      </c>
      <c r="N17" s="8">
        <v>1019511.4400000002</v>
      </c>
      <c r="O17" s="8">
        <v>908989.84</v>
      </c>
      <c r="P17" s="8">
        <v>745274.24000000011</v>
      </c>
      <c r="Q17" s="8">
        <v>8630992.0699999984</v>
      </c>
      <c r="R17" s="20"/>
    </row>
    <row r="18" spans="1:18" x14ac:dyDescent="0.2">
      <c r="A18" s="4" t="s">
        <v>7</v>
      </c>
      <c r="B18" s="5"/>
      <c r="C18" s="5"/>
      <c r="D18" s="39"/>
      <c r="E18" s="7">
        <v>40589.449999999997</v>
      </c>
      <c r="F18" s="8">
        <v>35704.19</v>
      </c>
      <c r="G18" s="8">
        <v>45102.32</v>
      </c>
      <c r="H18" s="8">
        <v>45026.46</v>
      </c>
      <c r="I18" s="8">
        <v>38867.53</v>
      </c>
      <c r="J18" s="8">
        <v>46101.55</v>
      </c>
      <c r="K18" s="8">
        <v>44224.37</v>
      </c>
      <c r="L18" s="8">
        <v>52623</v>
      </c>
      <c r="M18" s="8">
        <v>43238.41</v>
      </c>
      <c r="N18" s="8">
        <v>66996.990000000005</v>
      </c>
      <c r="O18" s="8">
        <v>59734.080000000002</v>
      </c>
      <c r="P18" s="8">
        <v>48975.55</v>
      </c>
      <c r="Q18" s="8">
        <v>567183.9</v>
      </c>
    </row>
    <row r="19" spans="1:18" x14ac:dyDescent="0.2">
      <c r="A19" s="4" t="s">
        <v>8</v>
      </c>
      <c r="B19" s="5"/>
      <c r="C19" s="5"/>
      <c r="D19" s="39"/>
      <c r="E19" s="7">
        <v>61716.74</v>
      </c>
      <c r="F19" s="8">
        <v>54288.639999999999</v>
      </c>
      <c r="G19" s="8">
        <v>68578.600000000006</v>
      </c>
      <c r="H19" s="8">
        <v>68463.259999999995</v>
      </c>
      <c r="I19" s="8">
        <v>59098.54</v>
      </c>
      <c r="J19" s="8">
        <v>70097.95</v>
      </c>
      <c r="K19" s="8">
        <v>67243.679999999993</v>
      </c>
      <c r="L19" s="8">
        <v>80013.89</v>
      </c>
      <c r="M19" s="8">
        <v>65744.52</v>
      </c>
      <c r="N19" s="8">
        <v>101869.71</v>
      </c>
      <c r="O19" s="8">
        <v>90826.38</v>
      </c>
      <c r="P19" s="8">
        <v>74467.89</v>
      </c>
      <c r="Q19" s="8">
        <v>862409.79999999993</v>
      </c>
    </row>
    <row r="20" spans="1:18" x14ac:dyDescent="0.2">
      <c r="A20" s="4" t="s">
        <v>9</v>
      </c>
      <c r="B20" s="5"/>
      <c r="C20" s="5"/>
      <c r="D20" s="39"/>
      <c r="E20" s="7">
        <v>58016.46</v>
      </c>
      <c r="F20" s="8">
        <v>51033.72</v>
      </c>
      <c r="G20" s="8">
        <v>64466.92</v>
      </c>
      <c r="H20" s="8">
        <v>64358.49</v>
      </c>
      <c r="I20" s="8">
        <v>55555.24</v>
      </c>
      <c r="J20" s="8">
        <v>65895.17</v>
      </c>
      <c r="K20" s="8">
        <v>63212.03</v>
      </c>
      <c r="L20" s="8">
        <v>75216.59</v>
      </c>
      <c r="M20" s="8">
        <v>61802.75</v>
      </c>
      <c r="N20" s="8">
        <v>95762.03</v>
      </c>
      <c r="O20" s="8">
        <v>85380.81</v>
      </c>
      <c r="P20" s="8">
        <v>70003.11</v>
      </c>
      <c r="Q20" s="8">
        <v>810703.32</v>
      </c>
    </row>
    <row r="21" spans="1:18" x14ac:dyDescent="0.2">
      <c r="A21" s="4" t="s">
        <v>10</v>
      </c>
      <c r="B21" s="5"/>
      <c r="C21" s="5"/>
      <c r="D21" s="39"/>
      <c r="E21" s="7">
        <v>54397.33</v>
      </c>
      <c r="F21" s="8">
        <v>47850.18</v>
      </c>
      <c r="G21" s="8">
        <v>60445.4</v>
      </c>
      <c r="H21" s="8">
        <v>60343.73</v>
      </c>
      <c r="I21" s="8">
        <v>52089.64</v>
      </c>
      <c r="J21" s="8">
        <v>61784.55</v>
      </c>
      <c r="K21" s="8">
        <v>59268.79</v>
      </c>
      <c r="L21" s="8">
        <v>70524.5</v>
      </c>
      <c r="M21" s="8">
        <v>57947.43</v>
      </c>
      <c r="N21" s="8">
        <v>89788.29</v>
      </c>
      <c r="O21" s="8">
        <v>80054.66</v>
      </c>
      <c r="P21" s="8">
        <v>65636.240000000005</v>
      </c>
      <c r="Q21" s="8">
        <v>760130.74000000011</v>
      </c>
    </row>
    <row r="22" spans="1:18" x14ac:dyDescent="0.2">
      <c r="A22" s="4" t="s">
        <v>11</v>
      </c>
      <c r="B22" s="5"/>
      <c r="C22" s="5"/>
      <c r="D22" s="39"/>
      <c r="E22" s="7">
        <v>52160.94</v>
      </c>
      <c r="F22" s="8">
        <v>45882.95</v>
      </c>
      <c r="G22" s="8">
        <v>57960.35</v>
      </c>
      <c r="H22" s="8">
        <v>57862.87</v>
      </c>
      <c r="I22" s="8">
        <v>49948.12</v>
      </c>
      <c r="J22" s="8">
        <v>59244.45</v>
      </c>
      <c r="K22" s="8">
        <v>56832.12</v>
      </c>
      <c r="L22" s="8">
        <v>67625.08</v>
      </c>
      <c r="M22" s="8">
        <v>55565.08</v>
      </c>
      <c r="N22" s="8">
        <v>86096.89</v>
      </c>
      <c r="O22" s="8">
        <v>76763.429999999993</v>
      </c>
      <c r="P22" s="8">
        <v>62937.79</v>
      </c>
      <c r="Q22" s="8">
        <v>728880.07000000007</v>
      </c>
    </row>
    <row r="23" spans="1:18" x14ac:dyDescent="0.2">
      <c r="A23" s="4" t="s">
        <v>12</v>
      </c>
      <c r="B23" s="5"/>
      <c r="C23" s="5"/>
      <c r="D23" s="39"/>
      <c r="E23" s="7">
        <v>54455.76</v>
      </c>
      <c r="F23" s="8">
        <v>47901.57</v>
      </c>
      <c r="G23" s="8">
        <v>60510.32</v>
      </c>
      <c r="H23" s="8">
        <v>60408.54</v>
      </c>
      <c r="I23" s="8">
        <v>52145.59</v>
      </c>
      <c r="J23" s="8">
        <v>61850.91</v>
      </c>
      <c r="K23" s="8">
        <v>59332.45</v>
      </c>
      <c r="L23" s="8">
        <v>70600.240000000005</v>
      </c>
      <c r="M23" s="8">
        <v>58009.67</v>
      </c>
      <c r="N23" s="8">
        <v>89884.72</v>
      </c>
      <c r="O23" s="8">
        <v>80140.639999999999</v>
      </c>
      <c r="P23" s="8">
        <v>65706.73</v>
      </c>
      <c r="Q23" s="8">
        <v>760947.14</v>
      </c>
    </row>
    <row r="24" spans="1:18" x14ac:dyDescent="0.2">
      <c r="A24" s="4" t="s">
        <v>13</v>
      </c>
      <c r="B24" s="5"/>
      <c r="C24" s="5"/>
      <c r="D24" s="39"/>
      <c r="E24" s="7">
        <v>44309.21</v>
      </c>
      <c r="F24" s="8">
        <v>38976.239999999998</v>
      </c>
      <c r="G24" s="8">
        <v>49235.64</v>
      </c>
      <c r="H24" s="8">
        <v>49152.83</v>
      </c>
      <c r="I24" s="8">
        <v>42429.48</v>
      </c>
      <c r="J24" s="8">
        <v>50326.45</v>
      </c>
      <c r="K24" s="8">
        <v>48277.24</v>
      </c>
      <c r="L24" s="8">
        <v>57445.55</v>
      </c>
      <c r="M24" s="8">
        <v>47200.93</v>
      </c>
      <c r="N24" s="8">
        <v>73136.820000000007</v>
      </c>
      <c r="O24" s="8">
        <v>65208.31</v>
      </c>
      <c r="P24" s="8">
        <v>53463.83</v>
      </c>
      <c r="Q24" s="8">
        <v>619162.52999999991</v>
      </c>
    </row>
    <row r="25" spans="1:18" x14ac:dyDescent="0.2">
      <c r="A25" s="4" t="s">
        <v>14</v>
      </c>
      <c r="B25" s="5"/>
      <c r="C25" s="5"/>
      <c r="D25" s="39"/>
      <c r="E25" s="7">
        <v>44124.19</v>
      </c>
      <c r="F25" s="8">
        <v>38813.49</v>
      </c>
      <c r="G25" s="8">
        <v>49030.06</v>
      </c>
      <c r="H25" s="8">
        <v>48947.59</v>
      </c>
      <c r="I25" s="8">
        <v>42252.32</v>
      </c>
      <c r="J25" s="8">
        <v>50116.31</v>
      </c>
      <c r="K25" s="8">
        <v>48075.66</v>
      </c>
      <c r="L25" s="8">
        <v>57205.68</v>
      </c>
      <c r="M25" s="8">
        <v>47003.839999999997</v>
      </c>
      <c r="N25" s="8">
        <v>72831.429999999993</v>
      </c>
      <c r="O25" s="8">
        <v>64936.03</v>
      </c>
      <c r="P25" s="8">
        <v>53240.59</v>
      </c>
      <c r="Q25" s="8">
        <v>616577.18999999994</v>
      </c>
    </row>
    <row r="26" spans="1:18" x14ac:dyDescent="0.2">
      <c r="A26" s="4" t="s">
        <v>15</v>
      </c>
      <c r="B26" s="5"/>
      <c r="C26" s="5"/>
      <c r="D26" s="39"/>
      <c r="E26" s="7">
        <v>39304.1</v>
      </c>
      <c r="F26" s="8">
        <v>34573.53</v>
      </c>
      <c r="G26" s="8">
        <v>43674.05</v>
      </c>
      <c r="H26" s="8">
        <v>43600.59</v>
      </c>
      <c r="I26" s="8">
        <v>37636.699999999997</v>
      </c>
      <c r="J26" s="8">
        <v>44641.63</v>
      </c>
      <c r="K26" s="8">
        <v>42823.9</v>
      </c>
      <c r="L26" s="8">
        <v>50956.57</v>
      </c>
      <c r="M26" s="8">
        <v>41869.17</v>
      </c>
      <c r="N26" s="8">
        <v>64875.37</v>
      </c>
      <c r="O26" s="8">
        <v>57842.46</v>
      </c>
      <c r="P26" s="8">
        <v>47424.62</v>
      </c>
      <c r="Q26" s="8">
        <v>549222.69000000006</v>
      </c>
    </row>
    <row r="27" spans="1:18" x14ac:dyDescent="0.2">
      <c r="A27" s="4" t="s">
        <v>16</v>
      </c>
      <c r="B27" s="5"/>
      <c r="C27" s="5"/>
      <c r="D27" s="39"/>
      <c r="E27" s="21">
        <v>125144.05</v>
      </c>
      <c r="F27" s="22">
        <v>110081.97</v>
      </c>
      <c r="G27" s="22">
        <v>139057.96</v>
      </c>
      <c r="H27" s="22">
        <v>138824.07</v>
      </c>
      <c r="I27" s="22">
        <v>119835.08</v>
      </c>
      <c r="J27" s="22">
        <v>142138.75</v>
      </c>
      <c r="K27" s="22">
        <v>136351.10999999999</v>
      </c>
      <c r="L27" s="22">
        <v>162245.48000000001</v>
      </c>
      <c r="M27" s="22">
        <v>133311.24</v>
      </c>
      <c r="N27" s="22">
        <v>206562.88</v>
      </c>
      <c r="O27" s="22">
        <v>184170.14</v>
      </c>
      <c r="P27" s="22">
        <v>150999.76999999999</v>
      </c>
      <c r="Q27" s="22">
        <v>1748722.5</v>
      </c>
    </row>
    <row r="28" spans="1:18" x14ac:dyDescent="0.2">
      <c r="A28" s="4"/>
      <c r="B28" s="5"/>
      <c r="C28" s="5"/>
      <c r="D28" s="39"/>
      <c r="E28" s="13">
        <v>1191879.02</v>
      </c>
      <c r="F28" s="14">
        <v>1048426.86</v>
      </c>
      <c r="G28" s="14">
        <v>1324395.8799999999</v>
      </c>
      <c r="H28" s="14">
        <v>1322168.3000000003</v>
      </c>
      <c r="I28" s="14">
        <v>1141316.0799999998</v>
      </c>
      <c r="J28" s="14">
        <v>1353737.52</v>
      </c>
      <c r="K28" s="14">
        <v>1298615.72</v>
      </c>
      <c r="L28" s="14">
        <v>1545235.09</v>
      </c>
      <c r="M28" s="14">
        <v>1269663.77</v>
      </c>
      <c r="N28" s="14">
        <v>1967316.57</v>
      </c>
      <c r="O28" s="14">
        <v>1754046.78</v>
      </c>
      <c r="P28" s="14">
        <v>1438130.36</v>
      </c>
      <c r="Q28" s="14">
        <v>16654931.949999999</v>
      </c>
      <c r="R28" s="20"/>
    </row>
    <row r="29" spans="1:18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8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8" x14ac:dyDescent="0.2">
      <c r="A31" s="4" t="s">
        <v>18</v>
      </c>
      <c r="B31" s="5"/>
      <c r="C31" s="5"/>
      <c r="D31" s="39"/>
      <c r="E31" s="7">
        <v>146608.91</v>
      </c>
      <c r="F31" s="8">
        <v>128963.36</v>
      </c>
      <c r="G31" s="8">
        <v>162909.34</v>
      </c>
      <c r="H31" s="8">
        <v>162635.34</v>
      </c>
      <c r="I31" s="8">
        <v>140389.34</v>
      </c>
      <c r="J31" s="8">
        <v>166518.56</v>
      </c>
      <c r="K31" s="8">
        <v>159738.23000000004</v>
      </c>
      <c r="L31" s="8">
        <v>190074.00999999995</v>
      </c>
      <c r="M31" s="8">
        <v>156176.94000000006</v>
      </c>
      <c r="N31" s="8">
        <v>241992.79999999993</v>
      </c>
      <c r="O31" s="8">
        <v>215759.21000000002</v>
      </c>
      <c r="P31" s="8">
        <v>176899.43000000005</v>
      </c>
      <c r="Q31" s="8">
        <v>2048665.4699999997</v>
      </c>
    </row>
    <row r="32" spans="1:18" x14ac:dyDescent="0.2">
      <c r="A32" s="4" t="s">
        <v>19</v>
      </c>
      <c r="B32" s="5"/>
      <c r="C32" s="5"/>
      <c r="D32" s="39"/>
      <c r="E32" s="7">
        <v>76861.919999999998</v>
      </c>
      <c r="F32" s="8">
        <v>67610.97</v>
      </c>
      <c r="G32" s="8">
        <v>85407.67</v>
      </c>
      <c r="H32" s="8">
        <v>85264.01</v>
      </c>
      <c r="I32" s="8">
        <v>73601.210000000006</v>
      </c>
      <c r="J32" s="8">
        <v>87299.85</v>
      </c>
      <c r="K32" s="8">
        <v>83745.149999999994</v>
      </c>
      <c r="L32" s="8">
        <v>99649.15</v>
      </c>
      <c r="M32" s="8">
        <v>81878.100000000006</v>
      </c>
      <c r="N32" s="8">
        <v>126868.35</v>
      </c>
      <c r="O32" s="8">
        <v>113115</v>
      </c>
      <c r="P32" s="8">
        <v>92742.18</v>
      </c>
      <c r="Q32" s="8">
        <v>1074043.56</v>
      </c>
    </row>
    <row r="33" spans="1:17" x14ac:dyDescent="0.2">
      <c r="A33" s="4" t="s">
        <v>20</v>
      </c>
      <c r="B33" s="5"/>
      <c r="C33" s="5"/>
      <c r="D33" s="39"/>
      <c r="E33" s="7">
        <v>75774.55</v>
      </c>
      <c r="F33" s="8">
        <v>66654.48</v>
      </c>
      <c r="G33" s="8">
        <v>84199.41</v>
      </c>
      <c r="H33" s="8">
        <v>84057.79</v>
      </c>
      <c r="I33" s="8">
        <v>72559.98</v>
      </c>
      <c r="J33" s="8">
        <v>86064.82</v>
      </c>
      <c r="K33" s="8">
        <v>82560.41</v>
      </c>
      <c r="L33" s="8">
        <v>98239.41</v>
      </c>
      <c r="M33" s="8">
        <v>80719.77</v>
      </c>
      <c r="N33" s="8">
        <v>125073.54</v>
      </c>
      <c r="O33" s="8">
        <v>111514.77</v>
      </c>
      <c r="P33" s="8">
        <v>91430.16</v>
      </c>
      <c r="Q33" s="8">
        <v>1058849.0900000001</v>
      </c>
    </row>
    <row r="34" spans="1:17" x14ac:dyDescent="0.2">
      <c r="A34" s="4" t="s">
        <v>21</v>
      </c>
      <c r="B34" s="5"/>
      <c r="C34" s="5"/>
      <c r="D34" s="39"/>
      <c r="E34" s="7">
        <v>78429.66</v>
      </c>
      <c r="F34" s="8">
        <v>68990.03</v>
      </c>
      <c r="G34" s="8">
        <v>87149.72</v>
      </c>
      <c r="H34" s="8">
        <v>87003.14</v>
      </c>
      <c r="I34" s="8">
        <v>75102.45</v>
      </c>
      <c r="J34" s="8">
        <v>89080.5</v>
      </c>
      <c r="K34" s="8">
        <v>85453.3</v>
      </c>
      <c r="L34" s="8">
        <v>101681.69</v>
      </c>
      <c r="M34" s="8">
        <v>83548.160000000003</v>
      </c>
      <c r="N34" s="8">
        <v>129456.07</v>
      </c>
      <c r="O34" s="8">
        <v>115422.2</v>
      </c>
      <c r="P34" s="8">
        <v>94633.83</v>
      </c>
      <c r="Q34" s="8">
        <v>1095950.75</v>
      </c>
    </row>
    <row r="35" spans="1:17" x14ac:dyDescent="0.2">
      <c r="A35" s="4" t="s">
        <v>22</v>
      </c>
      <c r="B35" s="5"/>
      <c r="C35" s="5"/>
      <c r="D35" s="39"/>
      <c r="E35" s="21">
        <v>62787.88</v>
      </c>
      <c r="F35" s="22">
        <v>55230.85</v>
      </c>
      <c r="G35" s="22">
        <v>69768.83</v>
      </c>
      <c r="H35" s="22">
        <v>69651.48</v>
      </c>
      <c r="I35" s="22">
        <v>60124.23</v>
      </c>
      <c r="J35" s="22">
        <v>71314.55</v>
      </c>
      <c r="K35" s="22">
        <v>68410.740000000005</v>
      </c>
      <c r="L35" s="22">
        <v>81402.58</v>
      </c>
      <c r="M35" s="22">
        <v>66885.56</v>
      </c>
      <c r="N35" s="22">
        <v>103637.72</v>
      </c>
      <c r="O35" s="22">
        <v>92402.73</v>
      </c>
      <c r="P35" s="22">
        <v>75760.33</v>
      </c>
      <c r="Q35" s="22">
        <v>877377.47999999986</v>
      </c>
    </row>
    <row r="36" spans="1:17" x14ac:dyDescent="0.2">
      <c r="A36" s="4"/>
      <c r="B36" s="5"/>
      <c r="C36" s="5"/>
      <c r="D36" s="39"/>
      <c r="E36" s="13">
        <v>440462.92000000004</v>
      </c>
      <c r="F36" s="14">
        <v>387449.68999999994</v>
      </c>
      <c r="G36" s="14">
        <v>489434.97000000003</v>
      </c>
      <c r="H36" s="14">
        <v>488611.75999999995</v>
      </c>
      <c r="I36" s="14">
        <v>421777.20999999996</v>
      </c>
      <c r="J36" s="14">
        <v>500278.27999999997</v>
      </c>
      <c r="K36" s="14">
        <v>479907.83</v>
      </c>
      <c r="L36" s="14">
        <v>571046.84</v>
      </c>
      <c r="M36" s="14">
        <v>469208.53</v>
      </c>
      <c r="N36" s="14">
        <v>727028.48</v>
      </c>
      <c r="O36" s="14">
        <v>648213.91</v>
      </c>
      <c r="P36" s="14">
        <v>531465.93000000005</v>
      </c>
      <c r="Q36" s="14">
        <v>6154886.3499999996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>
        <v>161001.04</v>
      </c>
      <c r="F39" s="8">
        <v>141623.28</v>
      </c>
      <c r="G39" s="8">
        <v>178901.65</v>
      </c>
      <c r="H39" s="8">
        <v>178600.74</v>
      </c>
      <c r="I39" s="8">
        <v>154170.91</v>
      </c>
      <c r="J39" s="8">
        <v>182865.17</v>
      </c>
      <c r="K39" s="8">
        <v>175419.21000000002</v>
      </c>
      <c r="L39" s="8">
        <v>208732.96000000002</v>
      </c>
      <c r="M39" s="8">
        <v>171508.33999999997</v>
      </c>
      <c r="N39" s="8">
        <v>265748.45999999985</v>
      </c>
      <c r="O39" s="8">
        <v>236939.62</v>
      </c>
      <c r="P39" s="8">
        <v>194265.07999999996</v>
      </c>
      <c r="Q39" s="8">
        <v>2249776.46</v>
      </c>
    </row>
    <row r="40" spans="1:17" x14ac:dyDescent="0.2">
      <c r="A40" s="4" t="s">
        <v>24</v>
      </c>
      <c r="B40" s="5"/>
      <c r="C40" s="5"/>
      <c r="D40" s="39"/>
      <c r="E40" s="7">
        <v>39657.89</v>
      </c>
      <c r="F40" s="8">
        <v>34884.75</v>
      </c>
      <c r="G40" s="8">
        <v>44067.18</v>
      </c>
      <c r="H40" s="8">
        <v>43993.06</v>
      </c>
      <c r="I40" s="8">
        <v>37975.49</v>
      </c>
      <c r="J40" s="8">
        <v>45043.48</v>
      </c>
      <c r="K40" s="8">
        <v>43209.39</v>
      </c>
      <c r="L40" s="8">
        <v>51415.26</v>
      </c>
      <c r="M40" s="8">
        <v>42246.06</v>
      </c>
      <c r="N40" s="8">
        <v>65459.35</v>
      </c>
      <c r="O40" s="8">
        <v>58363.14</v>
      </c>
      <c r="P40" s="8">
        <v>47851.519999999997</v>
      </c>
      <c r="Q40" s="8">
        <v>554166.56999999995</v>
      </c>
    </row>
    <row r="41" spans="1:17" x14ac:dyDescent="0.2">
      <c r="A41" s="4" t="s">
        <v>25</v>
      </c>
      <c r="B41" s="5"/>
      <c r="C41" s="5"/>
      <c r="D41" s="39"/>
      <c r="E41" s="7">
        <v>32877.29</v>
      </c>
      <c r="F41" s="8">
        <v>28920.25</v>
      </c>
      <c r="G41" s="8">
        <v>36532.699999999997</v>
      </c>
      <c r="H41" s="8">
        <v>36471.25</v>
      </c>
      <c r="I41" s="8">
        <v>31482.55</v>
      </c>
      <c r="J41" s="8">
        <v>37342.07</v>
      </c>
      <c r="K41" s="8">
        <v>35821.56</v>
      </c>
      <c r="L41" s="8">
        <v>42624.42</v>
      </c>
      <c r="M41" s="8">
        <v>35022.94</v>
      </c>
      <c r="N41" s="8">
        <v>54267.29</v>
      </c>
      <c r="O41" s="8">
        <v>48384.37</v>
      </c>
      <c r="P41" s="8">
        <v>39670</v>
      </c>
      <c r="Q41" s="8">
        <v>459416.68999999994</v>
      </c>
    </row>
    <row r="42" spans="1:17" x14ac:dyDescent="0.2">
      <c r="A42" s="4" t="s">
        <v>26</v>
      </c>
      <c r="B42" s="5"/>
      <c r="C42" s="5"/>
      <c r="D42" s="39"/>
      <c r="E42" s="7">
        <v>35396.080000000002</v>
      </c>
      <c r="F42" s="8">
        <v>31135.88</v>
      </c>
      <c r="G42" s="8">
        <v>39331.53</v>
      </c>
      <c r="H42" s="8">
        <v>39265.370000000003</v>
      </c>
      <c r="I42" s="8">
        <v>33894.480000000003</v>
      </c>
      <c r="J42" s="8">
        <v>40202.910000000003</v>
      </c>
      <c r="K42" s="8">
        <v>38565.919999999998</v>
      </c>
      <c r="L42" s="8">
        <v>45889.95</v>
      </c>
      <c r="M42" s="8">
        <v>37706.11</v>
      </c>
      <c r="N42" s="8">
        <v>58424.800000000003</v>
      </c>
      <c r="O42" s="8">
        <v>52091.18</v>
      </c>
      <c r="P42" s="8">
        <v>42709.18</v>
      </c>
      <c r="Q42" s="8">
        <v>494613.39</v>
      </c>
    </row>
    <row r="43" spans="1:17" x14ac:dyDescent="0.2">
      <c r="A43" s="4" t="s">
        <v>27</v>
      </c>
      <c r="B43" s="5"/>
      <c r="C43" s="5"/>
      <c r="D43" s="39"/>
      <c r="E43" s="7">
        <v>30293.59</v>
      </c>
      <c r="F43" s="8">
        <v>26647.52</v>
      </c>
      <c r="G43" s="8">
        <v>33661.730000000003</v>
      </c>
      <c r="H43" s="8">
        <v>33605.11</v>
      </c>
      <c r="I43" s="8">
        <v>29008.45</v>
      </c>
      <c r="J43" s="8">
        <v>34407.5</v>
      </c>
      <c r="K43" s="8">
        <v>33006.480000000003</v>
      </c>
      <c r="L43" s="8">
        <v>39274.730000000003</v>
      </c>
      <c r="M43" s="8">
        <v>32270.62</v>
      </c>
      <c r="N43" s="8">
        <v>50002.63</v>
      </c>
      <c r="O43" s="8">
        <v>44582.02</v>
      </c>
      <c r="P43" s="8">
        <v>36552.480000000003</v>
      </c>
      <c r="Q43" s="8">
        <v>423312.86000000004</v>
      </c>
    </row>
    <row r="44" spans="1:17" x14ac:dyDescent="0.2">
      <c r="A44" s="4" t="s">
        <v>28</v>
      </c>
      <c r="B44" s="5"/>
      <c r="C44" s="5"/>
      <c r="D44" s="39"/>
      <c r="E44" s="7">
        <v>42280.55</v>
      </c>
      <c r="F44" s="8">
        <v>37191.74</v>
      </c>
      <c r="G44" s="8">
        <v>46981.43</v>
      </c>
      <c r="H44" s="8">
        <v>46902.41</v>
      </c>
      <c r="I44" s="8">
        <v>40486.879999999997</v>
      </c>
      <c r="J44" s="8">
        <v>48022.29</v>
      </c>
      <c r="K44" s="8">
        <v>46066.91</v>
      </c>
      <c r="L44" s="8">
        <v>54815.45</v>
      </c>
      <c r="M44" s="8">
        <v>45039.87</v>
      </c>
      <c r="N44" s="8">
        <v>69788.31</v>
      </c>
      <c r="O44" s="8">
        <v>62222.8</v>
      </c>
      <c r="P44" s="8">
        <v>51016.03</v>
      </c>
      <c r="Q44" s="8">
        <v>590814.67000000004</v>
      </c>
    </row>
    <row r="45" spans="1:17" x14ac:dyDescent="0.2">
      <c r="A45" s="4" t="s">
        <v>29</v>
      </c>
      <c r="B45" s="5"/>
      <c r="C45" s="5"/>
      <c r="D45" s="39"/>
      <c r="E45" s="7">
        <v>34139.93</v>
      </c>
      <c r="F45" s="8">
        <v>30030.92</v>
      </c>
      <c r="G45" s="8">
        <v>37935.72</v>
      </c>
      <c r="H45" s="8">
        <v>37871.910000000003</v>
      </c>
      <c r="I45" s="8">
        <v>32691.62</v>
      </c>
      <c r="J45" s="8">
        <v>38776.17</v>
      </c>
      <c r="K45" s="8">
        <v>37197.279999999999</v>
      </c>
      <c r="L45" s="8">
        <v>44261.39</v>
      </c>
      <c r="M45" s="8">
        <v>36367.980000000003</v>
      </c>
      <c r="N45" s="8">
        <v>56351.4</v>
      </c>
      <c r="O45" s="8">
        <v>50242.55</v>
      </c>
      <c r="P45" s="8">
        <v>41193.51</v>
      </c>
      <c r="Q45" s="8">
        <v>477060.38</v>
      </c>
    </row>
    <row r="46" spans="1:17" x14ac:dyDescent="0.2">
      <c r="A46" s="4" t="s">
        <v>30</v>
      </c>
      <c r="B46" s="5"/>
      <c r="C46" s="5"/>
      <c r="D46" s="39"/>
      <c r="E46" s="7">
        <v>29793.73</v>
      </c>
      <c r="F46" s="8">
        <v>26207.82</v>
      </c>
      <c r="G46" s="8">
        <v>33106.29</v>
      </c>
      <c r="H46" s="8">
        <v>33050.61</v>
      </c>
      <c r="I46" s="8">
        <v>28529.79</v>
      </c>
      <c r="J46" s="8">
        <v>33839.75</v>
      </c>
      <c r="K46" s="8">
        <v>32461.86</v>
      </c>
      <c r="L46" s="8">
        <v>38626.67</v>
      </c>
      <c r="M46" s="8">
        <v>31738.14</v>
      </c>
      <c r="N46" s="8">
        <v>49177.56</v>
      </c>
      <c r="O46" s="8">
        <v>43846.39</v>
      </c>
      <c r="P46" s="8">
        <v>35949.339999999997</v>
      </c>
      <c r="Q46" s="8">
        <v>416327.94999999995</v>
      </c>
    </row>
    <row r="47" spans="1:17" x14ac:dyDescent="0.2">
      <c r="A47" s="4" t="s">
        <v>31</v>
      </c>
      <c r="B47" s="5"/>
      <c r="C47" s="5"/>
      <c r="D47" s="39"/>
      <c r="E47" s="7">
        <v>43066.04</v>
      </c>
      <c r="F47" s="8">
        <v>37882.699999999997</v>
      </c>
      <c r="G47" s="8">
        <v>47854.26</v>
      </c>
      <c r="H47" s="8">
        <v>47773.77</v>
      </c>
      <c r="I47" s="8">
        <v>41239.06</v>
      </c>
      <c r="J47" s="8">
        <v>48914.46</v>
      </c>
      <c r="K47" s="8">
        <v>46922.75</v>
      </c>
      <c r="L47" s="8">
        <v>55833.82</v>
      </c>
      <c r="M47" s="8">
        <v>45876.63</v>
      </c>
      <c r="N47" s="8">
        <v>71084.850000000006</v>
      </c>
      <c r="O47" s="8">
        <v>63378.79</v>
      </c>
      <c r="P47" s="8">
        <v>51963.82</v>
      </c>
      <c r="Q47" s="8">
        <v>601790.94999999995</v>
      </c>
    </row>
    <row r="48" spans="1:17" x14ac:dyDescent="0.2">
      <c r="A48" s="4" t="s">
        <v>32</v>
      </c>
      <c r="B48" s="5"/>
      <c r="C48" s="5"/>
      <c r="D48" s="39"/>
      <c r="E48" s="7">
        <v>28310.39</v>
      </c>
      <c r="F48" s="8">
        <v>24902.99</v>
      </c>
      <c r="G48" s="8">
        <v>31458.01</v>
      </c>
      <c r="H48" s="8">
        <v>31405.11</v>
      </c>
      <c r="I48" s="8">
        <v>27109.37</v>
      </c>
      <c r="J48" s="8">
        <v>32154.95</v>
      </c>
      <c r="K48" s="8">
        <v>30845.66</v>
      </c>
      <c r="L48" s="8">
        <v>36703.54</v>
      </c>
      <c r="M48" s="8">
        <v>30157.97</v>
      </c>
      <c r="N48" s="8">
        <v>46729.13</v>
      </c>
      <c r="O48" s="8">
        <v>41663.39</v>
      </c>
      <c r="P48" s="8">
        <v>34159.51</v>
      </c>
      <c r="Q48" s="8">
        <v>395600.02</v>
      </c>
    </row>
    <row r="49" spans="1:17" x14ac:dyDescent="0.2">
      <c r="A49" s="4" t="s">
        <v>33</v>
      </c>
      <c r="B49" s="5"/>
      <c r="C49" s="5"/>
      <c r="D49" s="39"/>
      <c r="E49" s="21">
        <v>32458.58</v>
      </c>
      <c r="F49" s="22">
        <v>28551.93</v>
      </c>
      <c r="G49" s="22">
        <v>36067.43</v>
      </c>
      <c r="H49" s="22">
        <v>36006.76</v>
      </c>
      <c r="I49" s="22">
        <v>31081.59</v>
      </c>
      <c r="J49" s="22">
        <v>36866.49</v>
      </c>
      <c r="K49" s="22">
        <v>35365.35</v>
      </c>
      <c r="L49" s="22">
        <v>42081.57</v>
      </c>
      <c r="M49" s="22">
        <v>34576.9</v>
      </c>
      <c r="N49" s="22">
        <v>53576.160000000003</v>
      </c>
      <c r="O49" s="22">
        <v>47768.160000000003</v>
      </c>
      <c r="P49" s="22">
        <v>39164.769999999997</v>
      </c>
      <c r="Q49" s="22">
        <v>453565.69000000006</v>
      </c>
    </row>
    <row r="50" spans="1:17" x14ac:dyDescent="0.2">
      <c r="A50" s="4"/>
      <c r="B50" s="5"/>
      <c r="C50" s="5"/>
      <c r="D50" s="39"/>
      <c r="E50" s="13">
        <v>509275.11</v>
      </c>
      <c r="F50" s="14">
        <v>447979.77999999997</v>
      </c>
      <c r="G50" s="14">
        <v>565897.92999999993</v>
      </c>
      <c r="H50" s="14">
        <v>564946.1</v>
      </c>
      <c r="I50" s="14">
        <v>487670.19</v>
      </c>
      <c r="J50" s="14">
        <v>578435.24</v>
      </c>
      <c r="K50" s="14">
        <v>554882.37</v>
      </c>
      <c r="L50" s="14">
        <v>660259.76</v>
      </c>
      <c r="M50" s="14">
        <v>542511.56000000006</v>
      </c>
      <c r="N50" s="14">
        <v>840609.94</v>
      </c>
      <c r="O50" s="14">
        <v>749482.41</v>
      </c>
      <c r="P50" s="14">
        <v>614495.24</v>
      </c>
      <c r="Q50" s="14">
        <v>7116445.629999999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69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>
        <v>137630.87</v>
      </c>
      <c r="F53" s="8">
        <v>121065.89</v>
      </c>
      <c r="G53" s="8">
        <v>152933.1</v>
      </c>
      <c r="H53" s="8">
        <v>152675.87</v>
      </c>
      <c r="I53" s="8">
        <v>131792.17000000001</v>
      </c>
      <c r="J53" s="8">
        <v>156321.29</v>
      </c>
      <c r="K53" s="8">
        <v>149956.18</v>
      </c>
      <c r="L53" s="8">
        <v>178434.25</v>
      </c>
      <c r="M53" s="8">
        <v>146612.97999999998</v>
      </c>
      <c r="N53" s="8">
        <v>227173.63</v>
      </c>
      <c r="O53" s="8">
        <v>202546.53999999998</v>
      </c>
      <c r="P53" s="8">
        <v>166066.44999999998</v>
      </c>
      <c r="Q53" s="8">
        <v>1923209.22</v>
      </c>
    </row>
    <row r="54" spans="1:17" x14ac:dyDescent="0.2">
      <c r="A54" s="4" t="s">
        <v>35</v>
      </c>
      <c r="B54" s="5"/>
      <c r="C54" s="5"/>
      <c r="D54" s="39"/>
      <c r="E54" s="7">
        <v>72298.240000000005</v>
      </c>
      <c r="F54" s="8">
        <v>63596.57</v>
      </c>
      <c r="G54" s="8">
        <v>80336.58</v>
      </c>
      <c r="H54" s="8">
        <v>80201.460000000006</v>
      </c>
      <c r="I54" s="8">
        <v>69231.14</v>
      </c>
      <c r="J54" s="8">
        <v>82116.42</v>
      </c>
      <c r="K54" s="8">
        <v>78772.78</v>
      </c>
      <c r="L54" s="8">
        <v>93732.479999999996</v>
      </c>
      <c r="M54" s="8">
        <v>77016.59</v>
      </c>
      <c r="N54" s="8">
        <v>119335.54</v>
      </c>
      <c r="O54" s="8">
        <v>106398.8</v>
      </c>
      <c r="P54" s="8">
        <v>87235.61</v>
      </c>
      <c r="Q54" s="8">
        <v>1010272.2100000001</v>
      </c>
    </row>
    <row r="55" spans="1:17" x14ac:dyDescent="0.2">
      <c r="A55" s="4" t="s">
        <v>36</v>
      </c>
      <c r="B55" s="5"/>
      <c r="C55" s="5"/>
      <c r="D55" s="39"/>
      <c r="E55" s="7">
        <v>76280.91</v>
      </c>
      <c r="F55" s="8">
        <v>67099.89</v>
      </c>
      <c r="G55" s="8">
        <v>84762.06</v>
      </c>
      <c r="H55" s="8">
        <v>84619.49</v>
      </c>
      <c r="I55" s="8">
        <v>73044.850000000006</v>
      </c>
      <c r="J55" s="8">
        <v>86639.94</v>
      </c>
      <c r="K55" s="8">
        <v>83112.11</v>
      </c>
      <c r="L55" s="8">
        <v>98895.89</v>
      </c>
      <c r="M55" s="8">
        <v>81259.17</v>
      </c>
      <c r="N55" s="8">
        <v>125909.33</v>
      </c>
      <c r="O55" s="8">
        <v>112259.95</v>
      </c>
      <c r="P55" s="8">
        <v>92041.13</v>
      </c>
      <c r="Q55" s="8">
        <v>1065924.72</v>
      </c>
    </row>
    <row r="56" spans="1:17" x14ac:dyDescent="0.2">
      <c r="A56" s="4" t="s">
        <v>55</v>
      </c>
      <c r="B56" s="5"/>
      <c r="C56" s="5"/>
      <c r="D56" s="39"/>
      <c r="E56" s="21">
        <v>56552.58</v>
      </c>
      <c r="F56" s="22">
        <v>49746.03</v>
      </c>
      <c r="G56" s="22">
        <v>62840.28</v>
      </c>
      <c r="H56" s="22">
        <v>62734.59</v>
      </c>
      <c r="I56" s="22">
        <v>54153.46</v>
      </c>
      <c r="J56" s="22">
        <v>64232.49</v>
      </c>
      <c r="K56" s="22">
        <v>61617.05</v>
      </c>
      <c r="L56" s="22">
        <v>73318.710000000006</v>
      </c>
      <c r="M56" s="22">
        <v>60243.33</v>
      </c>
      <c r="N56" s="22">
        <v>93345.74</v>
      </c>
      <c r="O56" s="22">
        <v>83226.460000000006</v>
      </c>
      <c r="P56" s="22">
        <v>68236.78</v>
      </c>
      <c r="Q56" s="22">
        <v>790247.5</v>
      </c>
    </row>
    <row r="57" spans="1:17" x14ac:dyDescent="0.2">
      <c r="A57" s="4"/>
      <c r="B57" s="5"/>
      <c r="C57" s="5"/>
      <c r="D57" s="39"/>
      <c r="E57" s="13">
        <v>342762.60000000003</v>
      </c>
      <c r="F57" s="14">
        <v>301508.38</v>
      </c>
      <c r="G57" s="14">
        <v>380872.02</v>
      </c>
      <c r="H57" s="14">
        <v>380231.41000000003</v>
      </c>
      <c r="I57" s="14">
        <v>328221.62000000005</v>
      </c>
      <c r="J57" s="14">
        <v>389310.14</v>
      </c>
      <c r="K57" s="14">
        <v>373458.12</v>
      </c>
      <c r="L57" s="14">
        <v>444381.33</v>
      </c>
      <c r="M57" s="14">
        <v>365132.07</v>
      </c>
      <c r="N57" s="14">
        <v>565764.24</v>
      </c>
      <c r="O57" s="14">
        <v>504431.75</v>
      </c>
      <c r="P57" s="14">
        <v>413579.97</v>
      </c>
      <c r="Q57" s="14">
        <v>4789653.6500000004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>
        <v>93019.8</v>
      </c>
      <c r="F60" s="8">
        <v>81824.11</v>
      </c>
      <c r="G60" s="8">
        <v>103362.03</v>
      </c>
      <c r="H60" s="8">
        <v>103188.18</v>
      </c>
      <c r="I60" s="8">
        <v>89073.63</v>
      </c>
      <c r="J60" s="8">
        <v>105651.98</v>
      </c>
      <c r="K60" s="8">
        <v>101350.03000000003</v>
      </c>
      <c r="L60" s="8">
        <v>120597.35999999999</v>
      </c>
      <c r="M60" s="8">
        <v>99090.479999999981</v>
      </c>
      <c r="N60" s="8">
        <v>153538.56</v>
      </c>
      <c r="O60" s="8">
        <v>136893.99</v>
      </c>
      <c r="P60" s="8">
        <v>112238.41000000003</v>
      </c>
      <c r="Q60" s="8">
        <v>1299828.56</v>
      </c>
    </row>
    <row r="61" spans="1:17" x14ac:dyDescent="0.2">
      <c r="A61" s="4" t="s">
        <v>39</v>
      </c>
      <c r="B61" s="5"/>
      <c r="C61" s="5"/>
      <c r="D61" s="39"/>
      <c r="E61" s="7">
        <v>24175.15</v>
      </c>
      <c r="F61" s="8">
        <v>21265.48</v>
      </c>
      <c r="G61" s="8">
        <v>26863.02</v>
      </c>
      <c r="H61" s="8">
        <v>26817.84</v>
      </c>
      <c r="I61" s="8">
        <v>23149.57</v>
      </c>
      <c r="J61" s="8">
        <v>27458.16</v>
      </c>
      <c r="K61" s="8">
        <v>26340.11</v>
      </c>
      <c r="L61" s="8">
        <v>31342.35</v>
      </c>
      <c r="M61" s="8">
        <v>25752.880000000001</v>
      </c>
      <c r="N61" s="8">
        <v>39903.519999999997</v>
      </c>
      <c r="O61" s="8">
        <v>35577.72</v>
      </c>
      <c r="P61" s="8">
        <v>29169.919999999998</v>
      </c>
      <c r="Q61" s="8">
        <v>337815.72000000003</v>
      </c>
    </row>
    <row r="62" spans="1:17" x14ac:dyDescent="0.2">
      <c r="A62" s="4" t="s">
        <v>40</v>
      </c>
      <c r="B62" s="5"/>
      <c r="C62" s="5"/>
      <c r="D62" s="39"/>
      <c r="E62" s="7">
        <v>24791.86</v>
      </c>
      <c r="F62" s="8">
        <v>21807.96</v>
      </c>
      <c r="G62" s="8">
        <v>27548.3</v>
      </c>
      <c r="H62" s="8">
        <v>27501.96</v>
      </c>
      <c r="I62" s="8">
        <v>23740.12</v>
      </c>
      <c r="J62" s="8">
        <v>28158.63</v>
      </c>
      <c r="K62" s="8">
        <v>27012.06</v>
      </c>
      <c r="L62" s="8">
        <v>32141.9</v>
      </c>
      <c r="M62" s="8">
        <v>26409.84</v>
      </c>
      <c r="N62" s="8">
        <v>40921.47</v>
      </c>
      <c r="O62" s="8">
        <v>36485.32</v>
      </c>
      <c r="P62" s="8">
        <v>29914.05</v>
      </c>
      <c r="Q62" s="8">
        <v>346433.47</v>
      </c>
    </row>
    <row r="63" spans="1:17" x14ac:dyDescent="0.2">
      <c r="A63" s="4" t="s">
        <v>41</v>
      </c>
      <c r="B63" s="5"/>
      <c r="C63" s="5"/>
      <c r="D63" s="39"/>
      <c r="E63" s="7">
        <v>46146.36</v>
      </c>
      <c r="F63" s="8">
        <v>40592.28</v>
      </c>
      <c r="G63" s="8">
        <v>51277.06</v>
      </c>
      <c r="H63" s="8">
        <v>51190.81</v>
      </c>
      <c r="I63" s="8">
        <v>44188.7</v>
      </c>
      <c r="J63" s="8">
        <v>52413.09</v>
      </c>
      <c r="K63" s="8">
        <v>50278.92</v>
      </c>
      <c r="L63" s="8">
        <v>59827.360000000001</v>
      </c>
      <c r="M63" s="8">
        <v>49157.98</v>
      </c>
      <c r="N63" s="8">
        <v>76169.23</v>
      </c>
      <c r="O63" s="8">
        <v>67911.990000000005</v>
      </c>
      <c r="P63" s="8">
        <v>55680.55</v>
      </c>
      <c r="Q63" s="8">
        <v>644834.33000000007</v>
      </c>
    </row>
    <row r="64" spans="1:17" x14ac:dyDescent="0.2">
      <c r="A64" s="4" t="s">
        <v>42</v>
      </c>
      <c r="B64" s="5"/>
      <c r="C64" s="5"/>
      <c r="D64" s="39"/>
      <c r="E64" s="7">
        <v>37246.22</v>
      </c>
      <c r="F64" s="8">
        <v>32763.34</v>
      </c>
      <c r="G64" s="8">
        <v>41387.370000000003</v>
      </c>
      <c r="H64" s="8">
        <v>41317.760000000002</v>
      </c>
      <c r="I64" s="8">
        <v>35666.129999999997</v>
      </c>
      <c r="J64" s="8">
        <v>42304.3</v>
      </c>
      <c r="K64" s="8">
        <v>40581.74</v>
      </c>
      <c r="L64" s="8">
        <v>48288.6</v>
      </c>
      <c r="M64" s="8">
        <v>39676.99</v>
      </c>
      <c r="N64" s="8">
        <v>61478.64</v>
      </c>
      <c r="O64" s="8">
        <v>54813.96</v>
      </c>
      <c r="P64" s="8">
        <v>44941.57</v>
      </c>
      <c r="Q64" s="8">
        <v>520466.62</v>
      </c>
    </row>
    <row r="65" spans="1:17" x14ac:dyDescent="0.2">
      <c r="A65" s="4" t="s">
        <v>43</v>
      </c>
      <c r="B65" s="5"/>
      <c r="C65" s="5"/>
      <c r="D65" s="39"/>
      <c r="E65" s="7">
        <v>26930.880000000001</v>
      </c>
      <c r="F65" s="8">
        <v>23689.54</v>
      </c>
      <c r="G65" s="8">
        <v>29925.14</v>
      </c>
      <c r="H65" s="8">
        <v>29874.81</v>
      </c>
      <c r="I65" s="8">
        <v>25788.400000000001</v>
      </c>
      <c r="J65" s="8">
        <v>30588.13</v>
      </c>
      <c r="K65" s="8">
        <v>29342.63</v>
      </c>
      <c r="L65" s="8">
        <v>34915.07</v>
      </c>
      <c r="M65" s="8">
        <v>28688.45</v>
      </c>
      <c r="N65" s="8">
        <v>44452.14</v>
      </c>
      <c r="O65" s="8">
        <v>39633.24</v>
      </c>
      <c r="P65" s="8">
        <v>32495.01</v>
      </c>
      <c r="Q65" s="8">
        <v>376323.44</v>
      </c>
    </row>
    <row r="66" spans="1:17" x14ac:dyDescent="0.2">
      <c r="A66" s="4" t="s">
        <v>44</v>
      </c>
      <c r="B66" s="5"/>
      <c r="C66" s="5"/>
      <c r="D66" s="39"/>
      <c r="E66" s="7">
        <v>16605.810000000001</v>
      </c>
      <c r="F66" s="8">
        <v>14607.17</v>
      </c>
      <c r="G66" s="8">
        <v>18452.099999999999</v>
      </c>
      <c r="H66" s="8">
        <v>18421.060000000001</v>
      </c>
      <c r="I66" s="8">
        <v>15901.34</v>
      </c>
      <c r="J66" s="8">
        <v>18860.900000000001</v>
      </c>
      <c r="K66" s="8">
        <v>18092.91</v>
      </c>
      <c r="L66" s="8">
        <v>21528.93</v>
      </c>
      <c r="M66" s="8">
        <v>17689.54</v>
      </c>
      <c r="N66" s="8">
        <v>27409.56</v>
      </c>
      <c r="O66" s="8">
        <v>24438.19</v>
      </c>
      <c r="P66" s="8">
        <v>20036.7</v>
      </c>
      <c r="Q66" s="8">
        <v>232044.21000000002</v>
      </c>
    </row>
    <row r="67" spans="1:17" x14ac:dyDescent="0.2">
      <c r="A67" s="4" t="s">
        <v>45</v>
      </c>
      <c r="B67" s="5"/>
      <c r="C67" s="5"/>
      <c r="D67" s="39"/>
      <c r="E67" s="7">
        <v>22026.39</v>
      </c>
      <c r="F67" s="8">
        <v>19375.34</v>
      </c>
      <c r="G67" s="8">
        <v>24475.360000000001</v>
      </c>
      <c r="H67" s="8">
        <v>24434.19</v>
      </c>
      <c r="I67" s="8">
        <v>21091.97</v>
      </c>
      <c r="J67" s="8">
        <v>25017.599999999999</v>
      </c>
      <c r="K67" s="8">
        <v>23998.93</v>
      </c>
      <c r="L67" s="8">
        <v>28556.55</v>
      </c>
      <c r="M67" s="8">
        <v>23463.88</v>
      </c>
      <c r="N67" s="8">
        <v>36356.78</v>
      </c>
      <c r="O67" s="8">
        <v>32415.47</v>
      </c>
      <c r="P67" s="8">
        <v>26577.21</v>
      </c>
      <c r="Q67" s="8">
        <v>307789.67</v>
      </c>
    </row>
    <row r="68" spans="1:17" x14ac:dyDescent="0.2">
      <c r="A68" s="4" t="s">
        <v>46</v>
      </c>
      <c r="B68" s="5"/>
      <c r="C68" s="5"/>
      <c r="D68" s="39"/>
      <c r="E68" s="7">
        <v>21880.33</v>
      </c>
      <c r="F68" s="8">
        <v>19246.86</v>
      </c>
      <c r="G68" s="8">
        <v>24313.05</v>
      </c>
      <c r="H68" s="8">
        <v>24272.16</v>
      </c>
      <c r="I68" s="8">
        <v>20952.099999999999</v>
      </c>
      <c r="J68" s="8">
        <v>24851.7</v>
      </c>
      <c r="K68" s="8">
        <v>23839.78</v>
      </c>
      <c r="L68" s="8">
        <v>28367.18</v>
      </c>
      <c r="M68" s="8">
        <v>23308.29</v>
      </c>
      <c r="N68" s="8">
        <v>36115.69</v>
      </c>
      <c r="O68" s="8">
        <v>32200.52</v>
      </c>
      <c r="P68" s="8">
        <v>26400.97</v>
      </c>
      <c r="Q68" s="8">
        <v>305748.63</v>
      </c>
    </row>
    <row r="69" spans="1:17" x14ac:dyDescent="0.2">
      <c r="A69" s="4" t="s">
        <v>56</v>
      </c>
      <c r="B69" s="5"/>
      <c r="C69" s="5"/>
      <c r="D69" s="39"/>
      <c r="E69" s="21">
        <v>25071.01</v>
      </c>
      <c r="F69" s="22">
        <v>22053.51</v>
      </c>
      <c r="G69" s="22">
        <v>27858.48</v>
      </c>
      <c r="H69" s="22">
        <v>27811.62</v>
      </c>
      <c r="I69" s="22">
        <v>24007.42</v>
      </c>
      <c r="J69" s="22">
        <v>28475.68</v>
      </c>
      <c r="K69" s="22">
        <v>27316.2</v>
      </c>
      <c r="L69" s="22">
        <v>32503.8</v>
      </c>
      <c r="M69" s="22">
        <v>26707.200000000001</v>
      </c>
      <c r="N69" s="22">
        <v>41382.230000000003</v>
      </c>
      <c r="O69" s="22">
        <v>36896.129999999997</v>
      </c>
      <c r="P69" s="22">
        <v>30250.87</v>
      </c>
      <c r="Q69" s="22">
        <v>350334.15</v>
      </c>
    </row>
    <row r="70" spans="1:17" x14ac:dyDescent="0.2">
      <c r="A70" s="4"/>
      <c r="B70" s="5"/>
      <c r="C70" s="5"/>
      <c r="D70" s="39"/>
      <c r="E70" s="13">
        <v>337893.81000000006</v>
      </c>
      <c r="F70" s="14">
        <v>297225.59000000003</v>
      </c>
      <c r="G70" s="14">
        <v>375461.90999999992</v>
      </c>
      <c r="H70" s="14">
        <v>374830.38999999996</v>
      </c>
      <c r="I70" s="14">
        <v>323559.37999999995</v>
      </c>
      <c r="J70" s="14">
        <v>383780.17</v>
      </c>
      <c r="K70" s="14">
        <v>368153.31</v>
      </c>
      <c r="L70" s="14">
        <v>438069.1</v>
      </c>
      <c r="M70" s="14">
        <v>359945.53</v>
      </c>
      <c r="N70" s="14">
        <v>557727.81999999995</v>
      </c>
      <c r="O70" s="14">
        <v>497266.53</v>
      </c>
      <c r="P70" s="14">
        <v>407705.26</v>
      </c>
      <c r="Q70" s="14">
        <v>4721618.7999999989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>
        <v>156129.01</v>
      </c>
      <c r="F73" s="8">
        <v>137337.63</v>
      </c>
      <c r="G73" s="8">
        <v>173487.92</v>
      </c>
      <c r="H73" s="8">
        <v>173196.13</v>
      </c>
      <c r="I73" s="8">
        <v>149505.57</v>
      </c>
      <c r="J73" s="8">
        <v>177331.51</v>
      </c>
      <c r="K73" s="8">
        <v>170110.87999999989</v>
      </c>
      <c r="L73" s="8">
        <v>202416.53999999922</v>
      </c>
      <c r="M73" s="8">
        <v>166318.35999999981</v>
      </c>
      <c r="N73" s="8">
        <v>257706.71000000066</v>
      </c>
      <c r="O73" s="8">
        <v>229769.63000000041</v>
      </c>
      <c r="P73" s="8">
        <v>188386.47000000026</v>
      </c>
      <c r="Q73" s="8">
        <v>2181696.3600000003</v>
      </c>
    </row>
    <row r="74" spans="1:17" x14ac:dyDescent="0.2">
      <c r="A74" s="4" t="s">
        <v>49</v>
      </c>
      <c r="B74" s="5"/>
      <c r="C74" s="5"/>
      <c r="D74" s="39"/>
      <c r="E74" s="7">
        <v>38047.949999999997</v>
      </c>
      <c r="F74" s="8">
        <v>33468.57</v>
      </c>
      <c r="G74" s="8">
        <v>42278.239999999998</v>
      </c>
      <c r="H74" s="8">
        <v>42207.13</v>
      </c>
      <c r="I74" s="8">
        <v>36433.839999999997</v>
      </c>
      <c r="J74" s="8">
        <v>43214.9</v>
      </c>
      <c r="K74" s="8">
        <v>41455.269999999997</v>
      </c>
      <c r="L74" s="8">
        <v>49328.01</v>
      </c>
      <c r="M74" s="8">
        <v>40531.040000000001</v>
      </c>
      <c r="N74" s="8">
        <v>62801.97</v>
      </c>
      <c r="O74" s="8">
        <v>55993.84</v>
      </c>
      <c r="P74" s="8">
        <v>45908.94</v>
      </c>
      <c r="Q74" s="8">
        <v>531669.69999999995</v>
      </c>
    </row>
    <row r="75" spans="1:17" x14ac:dyDescent="0.2">
      <c r="A75" s="4" t="s">
        <v>50</v>
      </c>
      <c r="B75" s="5"/>
      <c r="C75" s="5"/>
      <c r="D75" s="39"/>
      <c r="E75" s="7">
        <v>51015.15</v>
      </c>
      <c r="F75" s="8">
        <v>44875.07</v>
      </c>
      <c r="G75" s="8">
        <v>56687.17</v>
      </c>
      <c r="H75" s="8">
        <v>56591.83</v>
      </c>
      <c r="I75" s="8">
        <v>48850.94</v>
      </c>
      <c r="J75" s="8">
        <v>57943.06</v>
      </c>
      <c r="K75" s="8">
        <v>55583.72</v>
      </c>
      <c r="L75" s="8">
        <v>66139.600000000006</v>
      </c>
      <c r="M75" s="8">
        <v>54344.51</v>
      </c>
      <c r="N75" s="8">
        <v>84205.65</v>
      </c>
      <c r="O75" s="8">
        <v>75077.210000000006</v>
      </c>
      <c r="P75" s="8">
        <v>61555.27</v>
      </c>
      <c r="Q75" s="8">
        <v>712869.18</v>
      </c>
    </row>
    <row r="76" spans="1:17" x14ac:dyDescent="0.2">
      <c r="A76" s="4" t="s">
        <v>51</v>
      </c>
      <c r="B76" s="5"/>
      <c r="C76" s="5"/>
      <c r="D76" s="39"/>
      <c r="E76" s="7">
        <v>43942.42</v>
      </c>
      <c r="F76" s="8">
        <v>38653.599999999999</v>
      </c>
      <c r="G76" s="8">
        <v>48828.08</v>
      </c>
      <c r="H76" s="8">
        <v>48745.95</v>
      </c>
      <c r="I76" s="8">
        <v>42078.26</v>
      </c>
      <c r="J76" s="8">
        <v>49909.85</v>
      </c>
      <c r="K76" s="8">
        <v>47877.61</v>
      </c>
      <c r="L76" s="8">
        <v>56970.02</v>
      </c>
      <c r="M76" s="8">
        <v>46810.21</v>
      </c>
      <c r="N76" s="8">
        <v>72531.399999999994</v>
      </c>
      <c r="O76" s="8">
        <v>64668.53</v>
      </c>
      <c r="P76" s="8">
        <v>53021.27</v>
      </c>
      <c r="Q76" s="8">
        <v>614037.20000000007</v>
      </c>
    </row>
    <row r="77" spans="1:17" x14ac:dyDescent="0.2">
      <c r="A77" s="4" t="s">
        <v>52</v>
      </c>
      <c r="B77" s="5"/>
      <c r="C77" s="5"/>
      <c r="D77" s="39"/>
      <c r="E77" s="7">
        <v>82772.62</v>
      </c>
      <c r="F77" s="8">
        <v>72810.28</v>
      </c>
      <c r="G77" s="8">
        <v>91975.54</v>
      </c>
      <c r="H77" s="8">
        <v>91820.84</v>
      </c>
      <c r="I77" s="8">
        <v>79261.17</v>
      </c>
      <c r="J77" s="8">
        <v>94013.24</v>
      </c>
      <c r="K77" s="8">
        <v>90185.18</v>
      </c>
      <c r="L77" s="8">
        <v>107312.2</v>
      </c>
      <c r="M77" s="8">
        <v>88174.55</v>
      </c>
      <c r="N77" s="8">
        <v>136624.56</v>
      </c>
      <c r="O77" s="8">
        <v>121813.58</v>
      </c>
      <c r="P77" s="8">
        <v>99874.08</v>
      </c>
      <c r="Q77" s="8">
        <v>1156637.8400000001</v>
      </c>
    </row>
    <row r="78" spans="1:17" x14ac:dyDescent="0.2">
      <c r="A78" s="4" t="s">
        <v>53</v>
      </c>
      <c r="B78" s="5"/>
      <c r="C78" s="5"/>
      <c r="D78" s="39"/>
      <c r="E78" s="7">
        <v>51677.3</v>
      </c>
      <c r="F78" s="8">
        <v>45457.53</v>
      </c>
      <c r="G78" s="8">
        <v>57422.95</v>
      </c>
      <c r="H78" s="8">
        <v>57326.37</v>
      </c>
      <c r="I78" s="8">
        <v>49485</v>
      </c>
      <c r="J78" s="8">
        <v>58695.14</v>
      </c>
      <c r="K78" s="8">
        <v>56305.18</v>
      </c>
      <c r="L78" s="8">
        <v>66998.06</v>
      </c>
      <c r="M78" s="8">
        <v>55049.88</v>
      </c>
      <c r="N78" s="8">
        <v>85298.6</v>
      </c>
      <c r="O78" s="8">
        <v>76051.69</v>
      </c>
      <c r="P78" s="8">
        <v>62354.23</v>
      </c>
      <c r="Q78" s="22">
        <v>722121.92999999993</v>
      </c>
    </row>
    <row r="79" spans="1:17" ht="13.5" thickBot="1" x14ac:dyDescent="0.25">
      <c r="A79" s="25"/>
      <c r="B79" s="26"/>
      <c r="C79" s="26"/>
      <c r="D79" s="43"/>
      <c r="E79" s="27">
        <v>423584.45</v>
      </c>
      <c r="F79" s="28">
        <v>372602.68000000005</v>
      </c>
      <c r="G79" s="28">
        <v>470679.9</v>
      </c>
      <c r="H79" s="28">
        <v>469888.25</v>
      </c>
      <c r="I79" s="28">
        <v>405614.77999999997</v>
      </c>
      <c r="J79" s="28">
        <v>481107.69999999995</v>
      </c>
      <c r="K79" s="28">
        <v>461517.83999999985</v>
      </c>
      <c r="L79" s="28">
        <v>549164.42999999924</v>
      </c>
      <c r="M79" s="28">
        <v>451228.54999999981</v>
      </c>
      <c r="N79" s="28">
        <v>699168.8900000006</v>
      </c>
      <c r="O79" s="28">
        <v>623374.48000000045</v>
      </c>
      <c r="P79" s="28">
        <v>511100.26000000024</v>
      </c>
      <c r="Q79" s="28">
        <v>5919032.209999999</v>
      </c>
    </row>
    <row r="80" spans="1:17" ht="13.5" thickTop="1" x14ac:dyDescent="0.2">
      <c r="D80" s="31" t="s">
        <v>73</v>
      </c>
      <c r="E80" s="29">
        <v>3245857.91</v>
      </c>
      <c r="F80" s="29">
        <v>2855192.98</v>
      </c>
      <c r="G80" s="29">
        <v>3606742.61</v>
      </c>
      <c r="H80" s="29">
        <v>3600676.2100000004</v>
      </c>
      <c r="I80" s="29">
        <v>3108159.2599999993</v>
      </c>
      <c r="J80" s="29">
        <v>3686649.05</v>
      </c>
      <c r="K80" s="29">
        <v>3536535.19</v>
      </c>
      <c r="L80" s="29">
        <v>4208156.55</v>
      </c>
      <c r="M80" s="29">
        <v>3457690.01</v>
      </c>
      <c r="N80" s="29">
        <v>5357615.9400000004</v>
      </c>
      <c r="O80" s="29">
        <v>4776815.8600000003</v>
      </c>
      <c r="P80" s="29">
        <v>3916477.02</v>
      </c>
      <c r="Q80" s="29">
        <v>45356568.590000004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3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4" width="9.42578125" style="1" customWidth="1"/>
    <col min="5" max="12" width="19" style="1" customWidth="1"/>
    <col min="13" max="16" width="17.5703125" style="1" customWidth="1"/>
    <col min="17" max="17" width="16.5703125" style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170</v>
      </c>
      <c r="F5" s="85" t="s">
        <v>171</v>
      </c>
      <c r="G5" s="84" t="s">
        <v>172</v>
      </c>
      <c r="H5" s="84" t="s">
        <v>173</v>
      </c>
      <c r="I5" s="84" t="s">
        <v>174</v>
      </c>
      <c r="J5" s="84" t="s">
        <v>175</v>
      </c>
      <c r="K5" s="84" t="s">
        <v>176</v>
      </c>
      <c r="L5" s="84" t="s">
        <v>177</v>
      </c>
      <c r="M5" s="84" t="s">
        <v>178</v>
      </c>
      <c r="N5" s="84" t="s">
        <v>179</v>
      </c>
      <c r="O5" s="84" t="s">
        <v>180</v>
      </c>
      <c r="P5" s="84" t="s">
        <v>181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1995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3477192.26</v>
      </c>
      <c r="F8" s="8">
        <v>3365216.56</v>
      </c>
      <c r="G8" s="8">
        <v>3803025.11</v>
      </c>
      <c r="H8" s="8">
        <v>2432162.92</v>
      </c>
      <c r="I8" s="8">
        <v>4338472.8</v>
      </c>
      <c r="J8" s="8">
        <v>3332671.16</v>
      </c>
      <c r="K8" s="8">
        <v>3636400.89</v>
      </c>
      <c r="L8" s="8">
        <v>3420952.51</v>
      </c>
      <c r="M8" s="8">
        <v>3487838.6</v>
      </c>
      <c r="N8" s="8">
        <v>3661968.35</v>
      </c>
      <c r="O8" s="8">
        <v>2911893.52</v>
      </c>
      <c r="P8" s="8">
        <v>3780506.81</v>
      </c>
      <c r="Q8" s="8">
        <v>41648301.49000001</v>
      </c>
    </row>
    <row r="9" spans="1:17" x14ac:dyDescent="0.2">
      <c r="A9" s="4" t="s">
        <v>1</v>
      </c>
      <c r="B9" s="5"/>
      <c r="C9" s="5"/>
      <c r="D9" s="40" t="s">
        <v>62</v>
      </c>
      <c r="E9" s="7">
        <v>334345.40999999997</v>
      </c>
      <c r="F9" s="8">
        <v>323578.52</v>
      </c>
      <c r="G9" s="8">
        <v>365675.49</v>
      </c>
      <c r="H9" s="8">
        <v>233861.82</v>
      </c>
      <c r="I9" s="8">
        <v>417160.85</v>
      </c>
      <c r="J9" s="8">
        <v>320449.15000000002</v>
      </c>
      <c r="K9" s="8">
        <v>349653.93</v>
      </c>
      <c r="L9" s="8">
        <v>328937.74</v>
      </c>
      <c r="M9" s="8">
        <v>335369.09999999998</v>
      </c>
      <c r="N9" s="8">
        <v>352112.34</v>
      </c>
      <c r="O9" s="8">
        <v>279989.76000000001</v>
      </c>
      <c r="P9" s="8">
        <v>363510.27</v>
      </c>
      <c r="Q9" s="8">
        <v>4004644.3800000004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200607.25</v>
      </c>
      <c r="F10" s="8">
        <v>194147.11</v>
      </c>
      <c r="G10" s="8">
        <v>219405.29</v>
      </c>
      <c r="H10" s="8">
        <v>140317.09</v>
      </c>
      <c r="I10" s="8">
        <v>250296.51</v>
      </c>
      <c r="J10" s="8">
        <v>192269.49</v>
      </c>
      <c r="K10" s="8">
        <v>209792.36</v>
      </c>
      <c r="L10" s="8">
        <v>197362.65</v>
      </c>
      <c r="M10" s="8">
        <v>201221.46</v>
      </c>
      <c r="N10" s="8">
        <v>211267.4</v>
      </c>
      <c r="O10" s="8">
        <v>167993.86</v>
      </c>
      <c r="P10" s="8">
        <v>218106.16</v>
      </c>
      <c r="Q10" s="8">
        <v>2402786.63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2674763.2799999998</v>
      </c>
      <c r="F11" s="10">
        <v>2588628.13</v>
      </c>
      <c r="G11" s="10">
        <v>2925403.93</v>
      </c>
      <c r="H11" s="10">
        <v>1870894.55</v>
      </c>
      <c r="I11" s="10">
        <v>3337286.78</v>
      </c>
      <c r="J11" s="10">
        <v>2563593.2000000002</v>
      </c>
      <c r="K11" s="10">
        <v>2797231.45</v>
      </c>
      <c r="L11" s="10">
        <v>2631501.94</v>
      </c>
      <c r="M11" s="10">
        <v>2682952.77</v>
      </c>
      <c r="N11" s="10">
        <v>2816898.73</v>
      </c>
      <c r="O11" s="10">
        <v>2239918.1</v>
      </c>
      <c r="P11" s="10">
        <v>2908082.16</v>
      </c>
      <c r="Q11" s="11">
        <v>32037155.020000003</v>
      </c>
    </row>
    <row r="12" spans="1:17" x14ac:dyDescent="0.2">
      <c r="A12" s="4"/>
      <c r="B12" s="5"/>
      <c r="D12" s="12" t="s">
        <v>68</v>
      </c>
      <c r="E12" s="13">
        <v>6686908.1999999993</v>
      </c>
      <c r="F12" s="14">
        <v>6471570.3200000003</v>
      </c>
      <c r="G12" s="14">
        <v>7313509.8200000003</v>
      </c>
      <c r="H12" s="14">
        <v>4677236.38</v>
      </c>
      <c r="I12" s="14">
        <v>8343216.9399999995</v>
      </c>
      <c r="J12" s="14">
        <v>6408983</v>
      </c>
      <c r="K12" s="14">
        <v>6993078.6300000008</v>
      </c>
      <c r="L12" s="14">
        <v>6578754.8399999999</v>
      </c>
      <c r="M12" s="14">
        <v>6707381.9299999997</v>
      </c>
      <c r="N12" s="14">
        <v>7042246.8200000003</v>
      </c>
      <c r="O12" s="14">
        <v>5599795.2400000002</v>
      </c>
      <c r="P12" s="14">
        <v>7270205.4000000004</v>
      </c>
      <c r="Q12" s="14">
        <v>80092887.520000011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75</v>
      </c>
      <c r="B14" s="5"/>
      <c r="C14" s="45"/>
      <c r="D14" s="39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45"/>
      <c r="D15" s="39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8"/>
    </row>
    <row r="16" spans="1:17" ht="13.5" thickBot="1" x14ac:dyDescent="0.25">
      <c r="A16" s="15" t="s">
        <v>5</v>
      </c>
      <c r="B16" s="16"/>
      <c r="C16" s="5"/>
      <c r="D16" s="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9"/>
    </row>
    <row r="17" spans="1:18" x14ac:dyDescent="0.2">
      <c r="A17" s="4" t="s">
        <v>6</v>
      </c>
      <c r="B17" s="5"/>
      <c r="C17" s="45"/>
      <c r="D17" s="39"/>
      <c r="E17" s="7">
        <v>508986.05</v>
      </c>
      <c r="F17" s="8">
        <v>492595.22</v>
      </c>
      <c r="G17" s="8">
        <v>556680.95999999996</v>
      </c>
      <c r="H17" s="8">
        <v>356016.27</v>
      </c>
      <c r="I17" s="8">
        <v>635058.98</v>
      </c>
      <c r="J17" s="8">
        <v>487831.28</v>
      </c>
      <c r="K17" s="8">
        <v>532290.77</v>
      </c>
      <c r="L17" s="8">
        <v>500753.77</v>
      </c>
      <c r="M17" s="8">
        <v>510544.45</v>
      </c>
      <c r="N17" s="8">
        <v>536033.29</v>
      </c>
      <c r="O17" s="8">
        <v>426238.49</v>
      </c>
      <c r="P17" s="8">
        <v>553384.77</v>
      </c>
      <c r="Q17" s="8">
        <v>6096414.3000000007</v>
      </c>
      <c r="R17" s="20"/>
    </row>
    <row r="18" spans="1:18" x14ac:dyDescent="0.2">
      <c r="A18" s="4" t="s">
        <v>7</v>
      </c>
      <c r="B18" s="5"/>
      <c r="C18" s="45"/>
      <c r="D18" s="39"/>
      <c r="E18" s="7">
        <v>33447.910000000003</v>
      </c>
      <c r="F18" s="8">
        <v>32370.79</v>
      </c>
      <c r="G18" s="8">
        <v>36582.18</v>
      </c>
      <c r="H18" s="8">
        <v>23395.54</v>
      </c>
      <c r="I18" s="8">
        <v>41732.769999999997</v>
      </c>
      <c r="J18" s="8">
        <v>32057.73</v>
      </c>
      <c r="K18" s="8">
        <v>34979.379999999997</v>
      </c>
      <c r="L18" s="8">
        <v>32906.93</v>
      </c>
      <c r="M18" s="8">
        <v>33550.32</v>
      </c>
      <c r="N18" s="8">
        <v>35225.32</v>
      </c>
      <c r="O18" s="8">
        <v>28010.18</v>
      </c>
      <c r="P18" s="8">
        <v>36365.57</v>
      </c>
      <c r="Q18" s="8">
        <v>400624.62000000005</v>
      </c>
    </row>
    <row r="19" spans="1:18" x14ac:dyDescent="0.2">
      <c r="A19" s="4" t="s">
        <v>8</v>
      </c>
      <c r="B19" s="5"/>
      <c r="C19" s="45"/>
      <c r="D19" s="39"/>
      <c r="E19" s="7">
        <v>50857.95</v>
      </c>
      <c r="F19" s="8">
        <v>49220.18</v>
      </c>
      <c r="G19" s="8">
        <v>55623.63</v>
      </c>
      <c r="H19" s="8">
        <v>35573.19</v>
      </c>
      <c r="I19" s="8">
        <v>63455.17</v>
      </c>
      <c r="J19" s="8">
        <v>48744.160000000003</v>
      </c>
      <c r="K19" s="8">
        <v>53186.559999999998</v>
      </c>
      <c r="L19" s="8">
        <v>50035.38</v>
      </c>
      <c r="M19" s="8">
        <v>51013.66</v>
      </c>
      <c r="N19" s="8">
        <v>53560.51</v>
      </c>
      <c r="O19" s="8">
        <v>42589.8</v>
      </c>
      <c r="P19" s="8">
        <v>55294.27</v>
      </c>
      <c r="Q19" s="8">
        <v>609154.46000000008</v>
      </c>
    </row>
    <row r="20" spans="1:18" x14ac:dyDescent="0.2">
      <c r="A20" s="4" t="s">
        <v>9</v>
      </c>
      <c r="B20" s="5"/>
      <c r="C20" s="45"/>
      <c r="D20" s="39"/>
      <c r="E20" s="7">
        <v>47808.72</v>
      </c>
      <c r="F20" s="8">
        <v>46269.14</v>
      </c>
      <c r="G20" s="8">
        <v>52288.67</v>
      </c>
      <c r="H20" s="8">
        <v>33440.370000000003</v>
      </c>
      <c r="I20" s="8">
        <v>59650.66</v>
      </c>
      <c r="J20" s="8">
        <v>45821.66</v>
      </c>
      <c r="K20" s="8">
        <v>49997.71</v>
      </c>
      <c r="L20" s="8">
        <v>47035.47</v>
      </c>
      <c r="M20" s="8">
        <v>47955.1</v>
      </c>
      <c r="N20" s="8">
        <v>50349.25</v>
      </c>
      <c r="O20" s="8">
        <v>40036.300000000003</v>
      </c>
      <c r="P20" s="8">
        <v>51979.06</v>
      </c>
      <c r="Q20" s="8">
        <v>572632.11</v>
      </c>
    </row>
    <row r="21" spans="1:18" x14ac:dyDescent="0.2">
      <c r="A21" s="4" t="s">
        <v>10</v>
      </c>
      <c r="B21" s="5"/>
      <c r="C21" s="45"/>
      <c r="D21" s="39"/>
      <c r="E21" s="7">
        <v>44826.36</v>
      </c>
      <c r="F21" s="8">
        <v>43382.82</v>
      </c>
      <c r="G21" s="8">
        <v>49026.84</v>
      </c>
      <c r="H21" s="8">
        <v>31354.32</v>
      </c>
      <c r="I21" s="8">
        <v>55929.59</v>
      </c>
      <c r="J21" s="8">
        <v>42963.26</v>
      </c>
      <c r="K21" s="8">
        <v>46878.8</v>
      </c>
      <c r="L21" s="8">
        <v>44101.34</v>
      </c>
      <c r="M21" s="8">
        <v>44963.61</v>
      </c>
      <c r="N21" s="8">
        <v>47208.41</v>
      </c>
      <c r="O21" s="8">
        <v>37538.79</v>
      </c>
      <c r="P21" s="8">
        <v>48736.55</v>
      </c>
      <c r="Q21" s="8">
        <v>536910.68999999994</v>
      </c>
    </row>
    <row r="22" spans="1:18" x14ac:dyDescent="0.2">
      <c r="A22" s="4" t="s">
        <v>11</v>
      </c>
      <c r="B22" s="5"/>
      <c r="C22" s="45"/>
      <c r="D22" s="39"/>
      <c r="E22" s="7">
        <v>42983.45</v>
      </c>
      <c r="F22" s="8">
        <v>41599.25</v>
      </c>
      <c r="G22" s="8">
        <v>47011.24</v>
      </c>
      <c r="H22" s="8">
        <v>30065.279999999999</v>
      </c>
      <c r="I22" s="8">
        <v>53630.2</v>
      </c>
      <c r="J22" s="8">
        <v>41196.94</v>
      </c>
      <c r="K22" s="8">
        <v>44951.51</v>
      </c>
      <c r="L22" s="8">
        <v>42288.24</v>
      </c>
      <c r="M22" s="8">
        <v>43115.05</v>
      </c>
      <c r="N22" s="8">
        <v>45267.56</v>
      </c>
      <c r="O22" s="8">
        <v>35995.480000000003</v>
      </c>
      <c r="P22" s="8">
        <v>46732.88</v>
      </c>
      <c r="Q22" s="8">
        <v>514837.07999999996</v>
      </c>
    </row>
    <row r="23" spans="1:18" x14ac:dyDescent="0.2">
      <c r="A23" s="4" t="s">
        <v>12</v>
      </c>
      <c r="B23" s="5"/>
      <c r="C23" s="45"/>
      <c r="D23" s="39"/>
      <c r="E23" s="7">
        <v>44874.5</v>
      </c>
      <c r="F23" s="8">
        <v>43429.41</v>
      </c>
      <c r="G23" s="8">
        <v>49079.5</v>
      </c>
      <c r="H23" s="8">
        <v>31388</v>
      </c>
      <c r="I23" s="8">
        <v>55989.66</v>
      </c>
      <c r="J23" s="8">
        <v>43009.4</v>
      </c>
      <c r="K23" s="8">
        <v>46929.15</v>
      </c>
      <c r="L23" s="8">
        <v>44148.71</v>
      </c>
      <c r="M23" s="8">
        <v>45011.9</v>
      </c>
      <c r="N23" s="8">
        <v>47259.11</v>
      </c>
      <c r="O23" s="8">
        <v>37579.11</v>
      </c>
      <c r="P23" s="8">
        <v>48788.89</v>
      </c>
      <c r="Q23" s="8">
        <v>537487.34000000008</v>
      </c>
    </row>
    <row r="24" spans="1:18" x14ac:dyDescent="0.2">
      <c r="A24" s="4" t="s">
        <v>13</v>
      </c>
      <c r="B24" s="5"/>
      <c r="C24" s="45"/>
      <c r="D24" s="39"/>
      <c r="E24" s="7">
        <v>36513.19</v>
      </c>
      <c r="F24" s="8">
        <v>35337.360000000001</v>
      </c>
      <c r="G24" s="8">
        <v>39934.69</v>
      </c>
      <c r="H24" s="8">
        <v>25539.58</v>
      </c>
      <c r="I24" s="8">
        <v>45557.3</v>
      </c>
      <c r="J24" s="8">
        <v>34995.61</v>
      </c>
      <c r="K24" s="8">
        <v>38185.01</v>
      </c>
      <c r="L24" s="8">
        <v>35922.629999999997</v>
      </c>
      <c r="M24" s="8">
        <v>36624.99</v>
      </c>
      <c r="N24" s="8">
        <v>38453.480000000003</v>
      </c>
      <c r="O24" s="8">
        <v>30577.119999999999</v>
      </c>
      <c r="P24" s="8">
        <v>39698.230000000003</v>
      </c>
      <c r="Q24" s="8">
        <v>437339.18999999994</v>
      </c>
    </row>
    <row r="25" spans="1:18" x14ac:dyDescent="0.2">
      <c r="A25" s="4" t="s">
        <v>14</v>
      </c>
      <c r="B25" s="5"/>
      <c r="C25" s="45"/>
      <c r="D25" s="39"/>
      <c r="E25" s="7">
        <v>36360.730000000003</v>
      </c>
      <c r="F25" s="8">
        <v>35189.81</v>
      </c>
      <c r="G25" s="8">
        <v>39767.94</v>
      </c>
      <c r="H25" s="8">
        <v>25432.94</v>
      </c>
      <c r="I25" s="8">
        <v>45367.08</v>
      </c>
      <c r="J25" s="8">
        <v>34849.49</v>
      </c>
      <c r="K25" s="8">
        <v>38025.56</v>
      </c>
      <c r="L25" s="8">
        <v>35772.639999999999</v>
      </c>
      <c r="M25" s="8">
        <v>36472.06</v>
      </c>
      <c r="N25" s="8">
        <v>38292.92</v>
      </c>
      <c r="O25" s="8">
        <v>30449.45</v>
      </c>
      <c r="P25" s="8">
        <v>39532.47</v>
      </c>
      <c r="Q25" s="8">
        <v>435513.08999999997</v>
      </c>
    </row>
    <row r="26" spans="1:18" x14ac:dyDescent="0.2">
      <c r="A26" s="4" t="s">
        <v>15</v>
      </c>
      <c r="B26" s="5"/>
      <c r="C26" s="45"/>
      <c r="D26" s="39"/>
      <c r="E26" s="7">
        <v>32388.71</v>
      </c>
      <c r="F26" s="8">
        <v>31345.71</v>
      </c>
      <c r="G26" s="8">
        <v>35423.72</v>
      </c>
      <c r="H26" s="8">
        <v>22654.66</v>
      </c>
      <c r="I26" s="8">
        <v>40411.21</v>
      </c>
      <c r="J26" s="8">
        <v>31042.55</v>
      </c>
      <c r="K26" s="8">
        <v>33871.68</v>
      </c>
      <c r="L26" s="8">
        <v>31864.86</v>
      </c>
      <c r="M26" s="8">
        <v>32487.88</v>
      </c>
      <c r="N26" s="8">
        <v>34109.83</v>
      </c>
      <c r="O26" s="8">
        <v>27123.17</v>
      </c>
      <c r="P26" s="8">
        <v>35213.97</v>
      </c>
      <c r="Q26" s="8">
        <v>387937.94999999995</v>
      </c>
    </row>
    <row r="27" spans="1:18" x14ac:dyDescent="0.2">
      <c r="A27" s="4" t="s">
        <v>16</v>
      </c>
      <c r="B27" s="5"/>
      <c r="C27" s="45"/>
      <c r="D27" s="39"/>
      <c r="E27" s="21">
        <v>103125.5</v>
      </c>
      <c r="F27" s="22">
        <v>99804.56</v>
      </c>
      <c r="G27" s="22">
        <v>112788.95</v>
      </c>
      <c r="H27" s="22">
        <v>72132.34</v>
      </c>
      <c r="I27" s="22">
        <v>128669.09</v>
      </c>
      <c r="J27" s="22">
        <v>98839.34</v>
      </c>
      <c r="K27" s="22">
        <v>107847.26</v>
      </c>
      <c r="L27" s="22">
        <v>101457.56</v>
      </c>
      <c r="M27" s="22">
        <v>103441.24</v>
      </c>
      <c r="N27" s="22">
        <v>108605.53</v>
      </c>
      <c r="O27" s="22">
        <v>86360.04</v>
      </c>
      <c r="P27" s="22">
        <v>112121.11</v>
      </c>
      <c r="Q27" s="22">
        <v>1235192.52</v>
      </c>
    </row>
    <row r="28" spans="1:18" x14ac:dyDescent="0.2">
      <c r="A28" s="4"/>
      <c r="B28" s="5"/>
      <c r="C28" s="45"/>
      <c r="D28" s="39"/>
      <c r="E28" s="13">
        <v>982173.06999999983</v>
      </c>
      <c r="F28" s="14">
        <v>950544.25</v>
      </c>
      <c r="G28" s="14">
        <v>1074208.3199999998</v>
      </c>
      <c r="H28" s="14">
        <v>686992.48999999987</v>
      </c>
      <c r="I28" s="14">
        <v>1225451.7100000002</v>
      </c>
      <c r="J28" s="14">
        <v>941351.42</v>
      </c>
      <c r="K28" s="14">
        <v>1027143.39</v>
      </c>
      <c r="L28" s="14">
        <v>966287.53</v>
      </c>
      <c r="M28" s="14">
        <v>985180.26000000013</v>
      </c>
      <c r="N28" s="14">
        <v>1034365.2100000001</v>
      </c>
      <c r="O28" s="14">
        <v>822497.93</v>
      </c>
      <c r="P28" s="14">
        <v>1067847.77</v>
      </c>
      <c r="Q28" s="14">
        <v>11764043.35</v>
      </c>
      <c r="R28" s="20"/>
    </row>
    <row r="29" spans="1:18" x14ac:dyDescent="0.2">
      <c r="A29" s="4"/>
      <c r="B29" s="5"/>
      <c r="C29" s="5"/>
      <c r="D29" s="39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8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8" x14ac:dyDescent="0.2">
      <c r="A31" s="4" t="s">
        <v>18</v>
      </c>
      <c r="B31" s="5"/>
      <c r="C31" s="45"/>
      <c r="D31" s="39"/>
      <c r="E31" s="7">
        <v>120813.71</v>
      </c>
      <c r="F31" s="8">
        <v>116923.16</v>
      </c>
      <c r="G31" s="8">
        <v>132134.64000000001</v>
      </c>
      <c r="H31" s="8">
        <v>84504.57</v>
      </c>
      <c r="I31" s="8">
        <v>150738.57</v>
      </c>
      <c r="J31" s="8">
        <v>115792.38</v>
      </c>
      <c r="K31" s="8">
        <v>126345.35</v>
      </c>
      <c r="L31" s="8">
        <v>118859.68</v>
      </c>
      <c r="M31" s="8">
        <v>121183.61</v>
      </c>
      <c r="N31" s="8">
        <v>127233.68</v>
      </c>
      <c r="O31" s="8">
        <v>101172.62</v>
      </c>
      <c r="P31" s="8">
        <v>131352.25</v>
      </c>
      <c r="Q31" s="8">
        <v>1447054.2200000002</v>
      </c>
    </row>
    <row r="32" spans="1:18" x14ac:dyDescent="0.2">
      <c r="A32" s="4" t="s">
        <v>19</v>
      </c>
      <c r="B32" s="5"/>
      <c r="C32" s="45"/>
      <c r="D32" s="39"/>
      <c r="E32" s="7">
        <v>63338.39</v>
      </c>
      <c r="F32" s="8">
        <v>61298.71</v>
      </c>
      <c r="G32" s="8">
        <v>69273.570000000007</v>
      </c>
      <c r="H32" s="8">
        <v>44302.78</v>
      </c>
      <c r="I32" s="8">
        <v>79026.95</v>
      </c>
      <c r="J32" s="8">
        <v>60705.89</v>
      </c>
      <c r="K32" s="8">
        <v>66238.44</v>
      </c>
      <c r="L32" s="8">
        <v>62313.97</v>
      </c>
      <c r="M32" s="8">
        <v>63532.32</v>
      </c>
      <c r="N32" s="8">
        <v>66704.160000000003</v>
      </c>
      <c r="O32" s="8">
        <v>53041.26</v>
      </c>
      <c r="P32" s="8">
        <v>68863.39</v>
      </c>
      <c r="Q32" s="8">
        <v>758639.83000000007</v>
      </c>
    </row>
    <row r="33" spans="1:17" x14ac:dyDescent="0.2">
      <c r="A33" s="4" t="s">
        <v>20</v>
      </c>
      <c r="B33" s="5"/>
      <c r="C33" s="45"/>
      <c r="D33" s="39"/>
      <c r="E33" s="7">
        <v>62442.35</v>
      </c>
      <c r="F33" s="8">
        <v>60431.519999999997</v>
      </c>
      <c r="G33" s="8">
        <v>68293.55</v>
      </c>
      <c r="H33" s="8">
        <v>43676.03</v>
      </c>
      <c r="I33" s="8">
        <v>77908.960000000006</v>
      </c>
      <c r="J33" s="8">
        <v>59847.08</v>
      </c>
      <c r="K33" s="8">
        <v>65301.37</v>
      </c>
      <c r="L33" s="8">
        <v>61432.41</v>
      </c>
      <c r="M33" s="8">
        <v>62633.53</v>
      </c>
      <c r="N33" s="8">
        <v>65760.5</v>
      </c>
      <c r="O33" s="8">
        <v>52290.89</v>
      </c>
      <c r="P33" s="8">
        <v>67889.179999999993</v>
      </c>
      <c r="Q33" s="8">
        <v>747907.37000000011</v>
      </c>
    </row>
    <row r="34" spans="1:17" x14ac:dyDescent="0.2">
      <c r="A34" s="4" t="s">
        <v>21</v>
      </c>
      <c r="B34" s="5"/>
      <c r="C34" s="45"/>
      <c r="D34" s="39"/>
      <c r="E34" s="7">
        <v>64630.31</v>
      </c>
      <c r="F34" s="8">
        <v>62549.02</v>
      </c>
      <c r="G34" s="8">
        <v>70686.539999999994</v>
      </c>
      <c r="H34" s="8">
        <v>45206.43</v>
      </c>
      <c r="I34" s="8">
        <v>80638.86</v>
      </c>
      <c r="J34" s="8">
        <v>61944.1</v>
      </c>
      <c r="K34" s="8">
        <v>67589.5</v>
      </c>
      <c r="L34" s="8">
        <v>63584.98</v>
      </c>
      <c r="M34" s="8">
        <v>64828.19</v>
      </c>
      <c r="N34" s="8">
        <v>68064.72</v>
      </c>
      <c r="O34" s="8">
        <v>54123.14</v>
      </c>
      <c r="P34" s="8">
        <v>70267.990000000005</v>
      </c>
      <c r="Q34" s="8">
        <v>774113.77999999991</v>
      </c>
    </row>
    <row r="35" spans="1:17" x14ac:dyDescent="0.2">
      <c r="A35" s="4" t="s">
        <v>22</v>
      </c>
      <c r="B35" s="5"/>
      <c r="C35" s="45"/>
      <c r="D35" s="39"/>
      <c r="E35" s="21">
        <v>51740.62</v>
      </c>
      <c r="F35" s="22">
        <v>50074.43</v>
      </c>
      <c r="G35" s="22">
        <v>56589.01</v>
      </c>
      <c r="H35" s="22">
        <v>36190.58</v>
      </c>
      <c r="I35" s="22">
        <v>64556.480000000003</v>
      </c>
      <c r="J35" s="22">
        <v>49590.15</v>
      </c>
      <c r="K35" s="22">
        <v>54109.65</v>
      </c>
      <c r="L35" s="22">
        <v>50903.77</v>
      </c>
      <c r="M35" s="22">
        <v>51899.040000000001</v>
      </c>
      <c r="N35" s="22">
        <v>54490.1</v>
      </c>
      <c r="O35" s="22">
        <v>43328.98</v>
      </c>
      <c r="P35" s="22">
        <v>56253.94</v>
      </c>
      <c r="Q35" s="22">
        <v>619726.75</v>
      </c>
    </row>
    <row r="36" spans="1:17" x14ac:dyDescent="0.2">
      <c r="A36" s="4"/>
      <c r="B36" s="5"/>
      <c r="C36" s="45"/>
      <c r="D36" s="39"/>
      <c r="E36" s="13">
        <v>362965.38</v>
      </c>
      <c r="F36" s="14">
        <v>351276.83999999997</v>
      </c>
      <c r="G36" s="14">
        <v>396977.31</v>
      </c>
      <c r="H36" s="14">
        <v>253880.39</v>
      </c>
      <c r="I36" s="14">
        <v>452869.82</v>
      </c>
      <c r="J36" s="14">
        <v>347879.60000000003</v>
      </c>
      <c r="K36" s="14">
        <v>379584.31000000006</v>
      </c>
      <c r="L36" s="14">
        <v>357094.81</v>
      </c>
      <c r="M36" s="14">
        <v>364076.69</v>
      </c>
      <c r="N36" s="14">
        <v>382253.16</v>
      </c>
      <c r="O36" s="14">
        <v>303956.89</v>
      </c>
      <c r="P36" s="14">
        <v>394626.75</v>
      </c>
      <c r="Q36" s="14">
        <v>4347441.95</v>
      </c>
    </row>
    <row r="37" spans="1:17" x14ac:dyDescent="0.2">
      <c r="A37" s="24"/>
      <c r="B37" s="5"/>
      <c r="C37" s="5"/>
      <c r="D37" s="39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45"/>
      <c r="D39" s="39"/>
      <c r="E39" s="7">
        <v>132673.60000000001</v>
      </c>
      <c r="F39" s="8">
        <v>128401.13</v>
      </c>
      <c r="G39" s="8">
        <v>145105.89000000001</v>
      </c>
      <c r="H39" s="8">
        <v>92800.1</v>
      </c>
      <c r="I39" s="8">
        <v>165536.09</v>
      </c>
      <c r="J39" s="8">
        <v>127159.35</v>
      </c>
      <c r="K39" s="8">
        <v>138748.26999999999</v>
      </c>
      <c r="L39" s="8">
        <v>130527.75</v>
      </c>
      <c r="M39" s="8">
        <v>133079.82</v>
      </c>
      <c r="N39" s="8">
        <v>139723.81</v>
      </c>
      <c r="O39" s="8">
        <v>111104.41</v>
      </c>
      <c r="P39" s="8">
        <v>144246.69</v>
      </c>
      <c r="Q39" s="8">
        <v>1589106.91</v>
      </c>
    </row>
    <row r="40" spans="1:17" x14ac:dyDescent="0.2">
      <c r="A40" s="4" t="s">
        <v>24</v>
      </c>
      <c r="B40" s="5"/>
      <c r="C40" s="45"/>
      <c r="D40" s="39"/>
      <c r="E40" s="7">
        <v>32680.26</v>
      </c>
      <c r="F40" s="8">
        <v>31627.86</v>
      </c>
      <c r="G40" s="8">
        <v>35742.589999999997</v>
      </c>
      <c r="H40" s="8">
        <v>22858.59</v>
      </c>
      <c r="I40" s="8">
        <v>40774.97</v>
      </c>
      <c r="J40" s="8">
        <v>31321.98</v>
      </c>
      <c r="K40" s="8">
        <v>34176.57</v>
      </c>
      <c r="L40" s="8">
        <v>32151.69</v>
      </c>
      <c r="M40" s="8">
        <v>32780.32</v>
      </c>
      <c r="N40" s="8">
        <v>34416.870000000003</v>
      </c>
      <c r="O40" s="8">
        <v>27367.32</v>
      </c>
      <c r="P40" s="8">
        <v>35530.949999999997</v>
      </c>
      <c r="Q40" s="8">
        <v>391429.97000000003</v>
      </c>
    </row>
    <row r="41" spans="1:17" x14ac:dyDescent="0.2">
      <c r="A41" s="4" t="s">
        <v>25</v>
      </c>
      <c r="B41" s="5"/>
      <c r="C41" s="45"/>
      <c r="D41" s="39"/>
      <c r="E41" s="7">
        <v>27092.68</v>
      </c>
      <c r="F41" s="8">
        <v>26220.21</v>
      </c>
      <c r="G41" s="8">
        <v>29631.42</v>
      </c>
      <c r="H41" s="8">
        <v>18950.29</v>
      </c>
      <c r="I41" s="8">
        <v>33803.379999999997</v>
      </c>
      <c r="J41" s="8">
        <v>25966.639999999999</v>
      </c>
      <c r="K41" s="8">
        <v>28333.16</v>
      </c>
      <c r="L41" s="8">
        <v>26654.48</v>
      </c>
      <c r="M41" s="8">
        <v>27175.63</v>
      </c>
      <c r="N41" s="8">
        <v>28532.37</v>
      </c>
      <c r="O41" s="8">
        <v>22688.13</v>
      </c>
      <c r="P41" s="8">
        <v>29455.96</v>
      </c>
      <c r="Q41" s="8">
        <v>324504.35000000003</v>
      </c>
    </row>
    <row r="42" spans="1:17" x14ac:dyDescent="0.2">
      <c r="A42" s="4" t="s">
        <v>26</v>
      </c>
      <c r="B42" s="5"/>
      <c r="C42" s="45"/>
      <c r="D42" s="39"/>
      <c r="E42" s="7">
        <v>29168.29</v>
      </c>
      <c r="F42" s="8">
        <v>28228.99</v>
      </c>
      <c r="G42" s="8">
        <v>31901.53</v>
      </c>
      <c r="H42" s="8">
        <v>20402.11</v>
      </c>
      <c r="I42" s="8">
        <v>36393.11</v>
      </c>
      <c r="J42" s="8">
        <v>27955.98</v>
      </c>
      <c r="K42" s="8">
        <v>30503.81</v>
      </c>
      <c r="L42" s="8">
        <v>28696.53</v>
      </c>
      <c r="M42" s="8">
        <v>29257.599999999999</v>
      </c>
      <c r="N42" s="8">
        <v>30718.28</v>
      </c>
      <c r="O42" s="8">
        <v>24426.31</v>
      </c>
      <c r="P42" s="8">
        <v>31712.639999999999</v>
      </c>
      <c r="Q42" s="8">
        <v>349365.18</v>
      </c>
    </row>
    <row r="43" spans="1:17" x14ac:dyDescent="0.2">
      <c r="A43" s="4" t="s">
        <v>27</v>
      </c>
      <c r="B43" s="5"/>
      <c r="C43" s="45"/>
      <c r="D43" s="39"/>
      <c r="E43" s="7">
        <v>24963.57</v>
      </c>
      <c r="F43" s="8">
        <v>24159.67</v>
      </c>
      <c r="G43" s="8">
        <v>27302.79</v>
      </c>
      <c r="H43" s="8">
        <v>17461.060000000001</v>
      </c>
      <c r="I43" s="8">
        <v>31146.9</v>
      </c>
      <c r="J43" s="8">
        <v>23926.02</v>
      </c>
      <c r="K43" s="8">
        <v>26106.560000000001</v>
      </c>
      <c r="L43" s="8">
        <v>24559.81</v>
      </c>
      <c r="M43" s="8">
        <v>25040</v>
      </c>
      <c r="N43" s="8">
        <v>26290.12</v>
      </c>
      <c r="O43" s="8">
        <v>20905.16</v>
      </c>
      <c r="P43" s="8">
        <v>27141.13</v>
      </c>
      <c r="Q43" s="8">
        <v>299002.78999999998</v>
      </c>
    </row>
    <row r="44" spans="1:17" x14ac:dyDescent="0.2">
      <c r="A44" s="4" t="s">
        <v>28</v>
      </c>
      <c r="B44" s="5"/>
      <c r="C44" s="45"/>
      <c r="D44" s="39"/>
      <c r="E44" s="7">
        <v>34841.47</v>
      </c>
      <c r="F44" s="8">
        <v>33719.47</v>
      </c>
      <c r="G44" s="8">
        <v>38106.31</v>
      </c>
      <c r="H44" s="8">
        <v>24370.27</v>
      </c>
      <c r="I44" s="8">
        <v>43471.5</v>
      </c>
      <c r="J44" s="8">
        <v>33393.370000000003</v>
      </c>
      <c r="K44" s="8">
        <v>36436.74</v>
      </c>
      <c r="L44" s="8">
        <v>34277.94</v>
      </c>
      <c r="M44" s="8">
        <v>34948.14</v>
      </c>
      <c r="N44" s="8">
        <v>36692.92</v>
      </c>
      <c r="O44" s="8">
        <v>29177.17</v>
      </c>
      <c r="P44" s="8">
        <v>37880.68</v>
      </c>
      <c r="Q44" s="8">
        <v>417315.98</v>
      </c>
    </row>
    <row r="45" spans="1:17" x14ac:dyDescent="0.2">
      <c r="A45" s="4" t="s">
        <v>29</v>
      </c>
      <c r="B45" s="5"/>
      <c r="C45" s="45"/>
      <c r="D45" s="39"/>
      <c r="E45" s="7">
        <v>28133.16</v>
      </c>
      <c r="F45" s="8">
        <v>27227.19</v>
      </c>
      <c r="G45" s="8">
        <v>30769.4</v>
      </c>
      <c r="H45" s="8">
        <v>19678.07</v>
      </c>
      <c r="I45" s="8">
        <v>35101.58</v>
      </c>
      <c r="J45" s="8">
        <v>26963.87</v>
      </c>
      <c r="K45" s="8">
        <v>29421.279999999999</v>
      </c>
      <c r="L45" s="8">
        <v>27678.14</v>
      </c>
      <c r="M45" s="8">
        <v>28219.3</v>
      </c>
      <c r="N45" s="8">
        <v>29628.14</v>
      </c>
      <c r="O45" s="8">
        <v>23559.46</v>
      </c>
      <c r="P45" s="8">
        <v>30587.21</v>
      </c>
      <c r="Q45" s="8">
        <v>336966.80000000005</v>
      </c>
    </row>
    <row r="46" spans="1:17" x14ac:dyDescent="0.2">
      <c r="A46" s="4" t="s">
        <v>30</v>
      </c>
      <c r="B46" s="5"/>
      <c r="C46" s="45"/>
      <c r="D46" s="39"/>
      <c r="E46" s="7">
        <v>24551.65</v>
      </c>
      <c r="F46" s="8">
        <v>23761.02</v>
      </c>
      <c r="G46" s="8">
        <v>26852.28</v>
      </c>
      <c r="H46" s="8">
        <v>17172.939999999999</v>
      </c>
      <c r="I46" s="8">
        <v>30632.959999999999</v>
      </c>
      <c r="J46" s="8">
        <v>23531.22</v>
      </c>
      <c r="K46" s="8">
        <v>25675.79</v>
      </c>
      <c r="L46" s="8">
        <v>24154.560000000001</v>
      </c>
      <c r="M46" s="8">
        <v>24626.82</v>
      </c>
      <c r="N46" s="8">
        <v>25856.31</v>
      </c>
      <c r="O46" s="8">
        <v>20560.21</v>
      </c>
      <c r="P46" s="8">
        <v>26693.29</v>
      </c>
      <c r="Q46" s="8">
        <v>294069.05</v>
      </c>
    </row>
    <row r="47" spans="1:17" x14ac:dyDescent="0.2">
      <c r="A47" s="4" t="s">
        <v>31</v>
      </c>
      <c r="B47" s="5"/>
      <c r="C47" s="45"/>
      <c r="D47" s="39"/>
      <c r="E47" s="7">
        <v>35488.76</v>
      </c>
      <c r="F47" s="8">
        <v>34345.919999999998</v>
      </c>
      <c r="G47" s="8">
        <v>38814.26</v>
      </c>
      <c r="H47" s="8">
        <v>24823.03</v>
      </c>
      <c r="I47" s="8">
        <v>44279.12</v>
      </c>
      <c r="J47" s="8">
        <v>34013.75</v>
      </c>
      <c r="K47" s="8">
        <v>37113.67</v>
      </c>
      <c r="L47" s="8">
        <v>34914.769999999997</v>
      </c>
      <c r="M47" s="8">
        <v>35597.42</v>
      </c>
      <c r="N47" s="8">
        <v>37374.61</v>
      </c>
      <c r="O47" s="8">
        <v>29719.23</v>
      </c>
      <c r="P47" s="8">
        <v>38584.43</v>
      </c>
      <c r="Q47" s="8">
        <v>425068.97</v>
      </c>
    </row>
    <row r="48" spans="1:17" x14ac:dyDescent="0.2">
      <c r="A48" s="4" t="s">
        <v>32</v>
      </c>
      <c r="B48" s="5"/>
      <c r="C48" s="45"/>
      <c r="D48" s="39"/>
      <c r="E48" s="7">
        <v>23329.29</v>
      </c>
      <c r="F48" s="8">
        <v>22578.01</v>
      </c>
      <c r="G48" s="8">
        <v>25515.37</v>
      </c>
      <c r="H48" s="8">
        <v>16317.94</v>
      </c>
      <c r="I48" s="8">
        <v>29107.82</v>
      </c>
      <c r="J48" s="8">
        <v>22359.66</v>
      </c>
      <c r="K48" s="8">
        <v>24397.45</v>
      </c>
      <c r="L48" s="8">
        <v>22951.96</v>
      </c>
      <c r="M48" s="8">
        <v>23400.71</v>
      </c>
      <c r="N48" s="8">
        <v>24568.99</v>
      </c>
      <c r="O48" s="8">
        <v>19536.57</v>
      </c>
      <c r="P48" s="8">
        <v>25364.29</v>
      </c>
      <c r="Q48" s="8">
        <v>279428.06</v>
      </c>
    </row>
    <row r="49" spans="1:17" x14ac:dyDescent="0.2">
      <c r="A49" s="4" t="s">
        <v>33</v>
      </c>
      <c r="B49" s="5"/>
      <c r="C49" s="45"/>
      <c r="D49" s="39"/>
      <c r="E49" s="21">
        <v>26747.63</v>
      </c>
      <c r="F49" s="22">
        <v>25886.28</v>
      </c>
      <c r="G49" s="22">
        <v>29254.04</v>
      </c>
      <c r="H49" s="22">
        <v>18708.95</v>
      </c>
      <c r="I49" s="22">
        <v>33372.870000000003</v>
      </c>
      <c r="J49" s="22">
        <v>25635.93</v>
      </c>
      <c r="K49" s="22">
        <v>27972.31</v>
      </c>
      <c r="L49" s="22">
        <v>26315.02</v>
      </c>
      <c r="M49" s="22">
        <v>26829.53</v>
      </c>
      <c r="N49" s="22">
        <v>28168.99</v>
      </c>
      <c r="O49" s="22">
        <v>22399.18</v>
      </c>
      <c r="P49" s="22">
        <v>29080.82</v>
      </c>
      <c r="Q49" s="22">
        <v>320371.55</v>
      </c>
    </row>
    <row r="50" spans="1:17" x14ac:dyDescent="0.2">
      <c r="A50" s="4"/>
      <c r="B50" s="5"/>
      <c r="C50" s="45"/>
      <c r="D50" s="39"/>
      <c r="E50" s="13">
        <v>419670.36</v>
      </c>
      <c r="F50" s="14">
        <v>406155.75</v>
      </c>
      <c r="G50" s="14">
        <v>458995.88000000006</v>
      </c>
      <c r="H50" s="14">
        <v>293543.35000000003</v>
      </c>
      <c r="I50" s="14">
        <v>523620.30000000005</v>
      </c>
      <c r="J50" s="14">
        <v>402227.77</v>
      </c>
      <c r="K50" s="14">
        <v>438885.61</v>
      </c>
      <c r="L50" s="14">
        <v>412882.65000000008</v>
      </c>
      <c r="M50" s="14">
        <v>420955.29000000004</v>
      </c>
      <c r="N50" s="14">
        <v>441971.41</v>
      </c>
      <c r="O50" s="14">
        <v>351443.14999999997</v>
      </c>
      <c r="P50" s="14">
        <v>456278.08999999997</v>
      </c>
      <c r="Q50" s="14">
        <v>5026629.6100000003</v>
      </c>
    </row>
    <row r="51" spans="1:17" x14ac:dyDescent="0.2">
      <c r="A51" s="24"/>
      <c r="B51" s="5"/>
      <c r="C51" s="5"/>
      <c r="D51" s="39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69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45"/>
      <c r="D53" s="39"/>
      <c r="E53" s="7">
        <v>141778.5</v>
      </c>
      <c r="F53" s="8">
        <v>137212.82</v>
      </c>
      <c r="G53" s="8">
        <v>155063.96</v>
      </c>
      <c r="H53" s="8">
        <v>99168.63</v>
      </c>
      <c r="I53" s="8">
        <v>176896.22</v>
      </c>
      <c r="J53" s="8">
        <v>135885.82</v>
      </c>
      <c r="K53" s="8">
        <v>148270.04999999999</v>
      </c>
      <c r="L53" s="8">
        <v>139485.38</v>
      </c>
      <c r="M53" s="8">
        <v>142212.59</v>
      </c>
      <c r="N53" s="8">
        <v>149312.53</v>
      </c>
      <c r="O53" s="8">
        <v>94977</v>
      </c>
      <c r="P53" s="8">
        <v>123308.5</v>
      </c>
      <c r="Q53" s="8">
        <v>1643572</v>
      </c>
    </row>
    <row r="54" spans="1:17" x14ac:dyDescent="0.2">
      <c r="A54" s="4" t="s">
        <v>35</v>
      </c>
      <c r="B54" s="5"/>
      <c r="C54" s="45"/>
      <c r="D54" s="39"/>
      <c r="E54" s="7">
        <v>77816.89</v>
      </c>
      <c r="F54" s="8">
        <v>75310.960000000006</v>
      </c>
      <c r="G54" s="8">
        <v>85108.78</v>
      </c>
      <c r="H54" s="8">
        <v>54429.94</v>
      </c>
      <c r="I54" s="8">
        <v>97091.68</v>
      </c>
      <c r="J54" s="8">
        <v>74582.62</v>
      </c>
      <c r="K54" s="8">
        <v>81379.850000000006</v>
      </c>
      <c r="L54" s="8">
        <v>76558.289999999994</v>
      </c>
      <c r="M54" s="8">
        <v>78055.14</v>
      </c>
      <c r="N54" s="8">
        <v>81952.03</v>
      </c>
      <c r="O54" s="8">
        <v>49891.94</v>
      </c>
      <c r="P54" s="8">
        <v>64774.62</v>
      </c>
      <c r="Q54" s="8">
        <v>896952.74000000011</v>
      </c>
    </row>
    <row r="55" spans="1:17" x14ac:dyDescent="0.2">
      <c r="A55" s="4" t="s">
        <v>36</v>
      </c>
      <c r="B55" s="5"/>
      <c r="C55" s="45"/>
      <c r="D55" s="39"/>
      <c r="E55" s="7">
        <v>62859.61</v>
      </c>
      <c r="F55" s="8">
        <v>60835.35</v>
      </c>
      <c r="G55" s="8">
        <v>68749.919999999998</v>
      </c>
      <c r="H55" s="8">
        <v>43967.89</v>
      </c>
      <c r="I55" s="8">
        <v>78429.58</v>
      </c>
      <c r="J55" s="8">
        <v>60247</v>
      </c>
      <c r="K55" s="8">
        <v>65737.740000000005</v>
      </c>
      <c r="L55" s="8">
        <v>61842.93</v>
      </c>
      <c r="M55" s="8">
        <v>63052.08</v>
      </c>
      <c r="N55" s="8">
        <v>66199.95</v>
      </c>
      <c r="O55" s="8">
        <v>52640.32</v>
      </c>
      <c r="P55" s="8">
        <v>68342.84</v>
      </c>
      <c r="Q55" s="8">
        <v>752905.20999999985</v>
      </c>
    </row>
    <row r="56" spans="1:17" x14ac:dyDescent="0.2">
      <c r="A56" s="4" t="s">
        <v>55</v>
      </c>
      <c r="B56" s="5"/>
      <c r="C56" s="45"/>
      <c r="D56" s="39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>
        <v>39026.089999999997</v>
      </c>
      <c r="P56" s="22">
        <v>50667.519999999997</v>
      </c>
      <c r="Q56" s="22">
        <v>89693.609999999986</v>
      </c>
    </row>
    <row r="57" spans="1:17" x14ac:dyDescent="0.2">
      <c r="A57" s="4"/>
      <c r="B57" s="5"/>
      <c r="C57" s="45"/>
      <c r="D57" s="39"/>
      <c r="E57" s="13">
        <v>282455</v>
      </c>
      <c r="F57" s="14">
        <v>273359.13</v>
      </c>
      <c r="G57" s="14">
        <v>308922.65999999997</v>
      </c>
      <c r="H57" s="14">
        <v>197566.46000000002</v>
      </c>
      <c r="I57" s="14">
        <v>352417.48000000004</v>
      </c>
      <c r="J57" s="14">
        <v>270715.44</v>
      </c>
      <c r="K57" s="14">
        <v>295387.64</v>
      </c>
      <c r="L57" s="14">
        <v>277886.59999999998</v>
      </c>
      <c r="M57" s="14">
        <v>283319.81</v>
      </c>
      <c r="N57" s="14">
        <v>297464.51</v>
      </c>
      <c r="O57" s="14">
        <v>236535.35</v>
      </c>
      <c r="P57" s="14">
        <v>307093.48</v>
      </c>
      <c r="Q57" s="14">
        <v>3383123.5600000005</v>
      </c>
    </row>
    <row r="58" spans="1:17" x14ac:dyDescent="0.2">
      <c r="A58" s="4"/>
      <c r="B58" s="5"/>
      <c r="C58" s="5"/>
      <c r="D58" s="39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45"/>
      <c r="D60" s="39"/>
      <c r="E60" s="7">
        <v>80478.28</v>
      </c>
      <c r="F60" s="8">
        <v>77886.64</v>
      </c>
      <c r="G60" s="8">
        <v>88019.54</v>
      </c>
      <c r="H60" s="8">
        <v>56291.48</v>
      </c>
      <c r="I60" s="8">
        <v>100412.27</v>
      </c>
      <c r="J60" s="8">
        <v>77133.39</v>
      </c>
      <c r="K60" s="8">
        <v>84163.1</v>
      </c>
      <c r="L60" s="8">
        <v>79176.63</v>
      </c>
      <c r="M60" s="8">
        <v>80724.679999999993</v>
      </c>
      <c r="N60" s="8">
        <v>84754.85</v>
      </c>
      <c r="O60" s="8">
        <v>64191.57</v>
      </c>
      <c r="P60" s="8">
        <v>83339.81</v>
      </c>
      <c r="Q60" s="8">
        <v>956572.24</v>
      </c>
    </row>
    <row r="61" spans="1:17" x14ac:dyDescent="0.2">
      <c r="A61" s="4" t="s">
        <v>39</v>
      </c>
      <c r="B61" s="5"/>
      <c r="C61" s="45"/>
      <c r="D61" s="39"/>
      <c r="E61" s="7">
        <v>19921.64</v>
      </c>
      <c r="F61" s="8">
        <v>19280.099999999999</v>
      </c>
      <c r="G61" s="8">
        <v>21788.41</v>
      </c>
      <c r="H61" s="8">
        <v>13934.42</v>
      </c>
      <c r="I61" s="8">
        <v>24856.11</v>
      </c>
      <c r="J61" s="8">
        <v>19093.64</v>
      </c>
      <c r="K61" s="8">
        <v>20833.78</v>
      </c>
      <c r="L61" s="8">
        <v>19599.43</v>
      </c>
      <c r="M61" s="8">
        <v>19982.63</v>
      </c>
      <c r="N61" s="8">
        <v>20980.26</v>
      </c>
      <c r="O61" s="8">
        <v>16682.91</v>
      </c>
      <c r="P61" s="8">
        <v>21659.4</v>
      </c>
      <c r="Q61" s="8">
        <v>238612.72999999998</v>
      </c>
    </row>
    <row r="62" spans="1:17" x14ac:dyDescent="0.2">
      <c r="A62" s="4" t="s">
        <v>40</v>
      </c>
      <c r="B62" s="5"/>
      <c r="C62" s="45"/>
      <c r="D62" s="39"/>
      <c r="E62" s="7">
        <v>20429.84</v>
      </c>
      <c r="F62" s="8">
        <v>19771.939999999999</v>
      </c>
      <c r="G62" s="8">
        <v>22344.240000000002</v>
      </c>
      <c r="H62" s="8">
        <v>14289.89</v>
      </c>
      <c r="I62" s="8">
        <v>25490.2</v>
      </c>
      <c r="J62" s="8">
        <v>19580.72</v>
      </c>
      <c r="K62" s="8">
        <v>21365.25</v>
      </c>
      <c r="L62" s="8">
        <v>20099.41</v>
      </c>
      <c r="M62" s="8">
        <v>20492.39</v>
      </c>
      <c r="N62" s="8">
        <v>21515.47</v>
      </c>
      <c r="O62" s="8">
        <v>17108.490000000002</v>
      </c>
      <c r="P62" s="8">
        <v>22211.93</v>
      </c>
      <c r="Q62" s="8">
        <v>244699.77</v>
      </c>
    </row>
    <row r="63" spans="1:17" x14ac:dyDescent="0.2">
      <c r="A63" s="4" t="s">
        <v>41</v>
      </c>
      <c r="B63" s="5"/>
      <c r="C63" s="45"/>
      <c r="D63" s="39"/>
      <c r="E63" s="7">
        <v>38027.11</v>
      </c>
      <c r="F63" s="8">
        <v>36802.53</v>
      </c>
      <c r="G63" s="8">
        <v>41590.47</v>
      </c>
      <c r="H63" s="8">
        <v>26598.51</v>
      </c>
      <c r="I63" s="8">
        <v>47446.21</v>
      </c>
      <c r="J63" s="8">
        <v>36446.6</v>
      </c>
      <c r="K63" s="8">
        <v>39768.239999999998</v>
      </c>
      <c r="L63" s="8">
        <v>37412.06</v>
      </c>
      <c r="M63" s="8">
        <v>38143.54</v>
      </c>
      <c r="N63" s="8">
        <v>40047.85</v>
      </c>
      <c r="O63" s="8">
        <v>31844.92</v>
      </c>
      <c r="P63" s="8">
        <v>41344.199999999997</v>
      </c>
      <c r="Q63" s="8">
        <v>455472.23999999993</v>
      </c>
    </row>
    <row r="64" spans="1:17" x14ac:dyDescent="0.2">
      <c r="A64" s="4" t="s">
        <v>42</v>
      </c>
      <c r="B64" s="5"/>
      <c r="C64" s="45"/>
      <c r="D64" s="39"/>
      <c r="E64" s="7">
        <v>30692.91</v>
      </c>
      <c r="F64" s="8">
        <v>29704.51</v>
      </c>
      <c r="G64" s="8">
        <v>33569.01</v>
      </c>
      <c r="H64" s="8">
        <v>21468.51</v>
      </c>
      <c r="I64" s="8">
        <v>38295.370000000003</v>
      </c>
      <c r="J64" s="8">
        <v>29417.23</v>
      </c>
      <c r="K64" s="8">
        <v>32098.23</v>
      </c>
      <c r="L64" s="8">
        <v>30196.48</v>
      </c>
      <c r="M64" s="8">
        <v>30786.880000000001</v>
      </c>
      <c r="N64" s="8">
        <v>32323.91</v>
      </c>
      <c r="O64" s="8">
        <v>25703.06</v>
      </c>
      <c r="P64" s="8">
        <v>33370.239999999998</v>
      </c>
      <c r="Q64" s="8">
        <v>367626.33999999997</v>
      </c>
    </row>
    <row r="65" spans="1:17" x14ac:dyDescent="0.2">
      <c r="A65" s="4" t="s">
        <v>43</v>
      </c>
      <c r="B65" s="5"/>
      <c r="C65" s="45"/>
      <c r="D65" s="39"/>
      <c r="E65" s="7">
        <v>22192.51</v>
      </c>
      <c r="F65" s="8">
        <v>21477.85</v>
      </c>
      <c r="G65" s="8">
        <v>24272.080000000002</v>
      </c>
      <c r="H65" s="8">
        <v>15522.81</v>
      </c>
      <c r="I65" s="8">
        <v>27689.47</v>
      </c>
      <c r="J65" s="8">
        <v>21270.13</v>
      </c>
      <c r="K65" s="8">
        <v>23208.63</v>
      </c>
      <c r="L65" s="8">
        <v>21833.57</v>
      </c>
      <c r="M65" s="8">
        <v>22260.46</v>
      </c>
      <c r="N65" s="8">
        <v>23371.81</v>
      </c>
      <c r="O65" s="8">
        <v>18584.599999999999</v>
      </c>
      <c r="P65" s="8">
        <v>24128.36</v>
      </c>
      <c r="Q65" s="8">
        <v>265812.28000000003</v>
      </c>
    </row>
    <row r="66" spans="1:17" x14ac:dyDescent="0.2">
      <c r="A66" s="4" t="s">
        <v>44</v>
      </c>
      <c r="B66" s="5"/>
      <c r="C66" s="45"/>
      <c r="D66" s="39"/>
      <c r="E66" s="7">
        <v>30519.05</v>
      </c>
      <c r="F66" s="8">
        <v>29536.25</v>
      </c>
      <c r="G66" s="8">
        <v>33378.86</v>
      </c>
      <c r="H66" s="8">
        <v>21346.91</v>
      </c>
      <c r="I66" s="8">
        <v>38078.44</v>
      </c>
      <c r="J66" s="8">
        <v>29250.6</v>
      </c>
      <c r="K66" s="8">
        <v>31916.41</v>
      </c>
      <c r="L66" s="8">
        <v>30025.439999999999</v>
      </c>
      <c r="M66" s="8">
        <v>30612.49</v>
      </c>
      <c r="N66" s="8">
        <v>32140.81</v>
      </c>
      <c r="O66" s="8">
        <v>11459.42</v>
      </c>
      <c r="P66" s="8">
        <v>14877.75</v>
      </c>
      <c r="Q66" s="8">
        <v>333142.43</v>
      </c>
    </row>
    <row r="67" spans="1:17" x14ac:dyDescent="0.2">
      <c r="A67" s="4" t="s">
        <v>45</v>
      </c>
      <c r="B67" s="5"/>
      <c r="C67" s="45"/>
      <c r="D67" s="39"/>
      <c r="E67" s="7">
        <v>18150.939999999999</v>
      </c>
      <c r="F67" s="8">
        <v>17566.43</v>
      </c>
      <c r="G67" s="8">
        <v>19851.79</v>
      </c>
      <c r="H67" s="8">
        <v>12695.89</v>
      </c>
      <c r="I67" s="8">
        <v>22646.83</v>
      </c>
      <c r="J67" s="8">
        <v>17396.54</v>
      </c>
      <c r="K67" s="8">
        <v>18982.009999999998</v>
      </c>
      <c r="L67" s="8">
        <v>17857.37</v>
      </c>
      <c r="M67" s="8">
        <v>18206.52</v>
      </c>
      <c r="N67" s="8">
        <v>19115.47</v>
      </c>
      <c r="O67" s="8">
        <v>15200.08</v>
      </c>
      <c r="P67" s="8">
        <v>19734.25</v>
      </c>
      <c r="Q67" s="8">
        <v>217404.11999999997</v>
      </c>
    </row>
    <row r="68" spans="1:17" x14ac:dyDescent="0.2">
      <c r="A68" s="4" t="s">
        <v>46</v>
      </c>
      <c r="B68" s="5"/>
      <c r="C68" s="45"/>
      <c r="D68" s="39"/>
      <c r="E68" s="7">
        <v>18030.580000000002</v>
      </c>
      <c r="F68" s="8">
        <v>17449.939999999999</v>
      </c>
      <c r="G68" s="8">
        <v>19720.150000000001</v>
      </c>
      <c r="H68" s="8">
        <v>12611.7</v>
      </c>
      <c r="I68" s="8">
        <v>22496.65</v>
      </c>
      <c r="J68" s="8">
        <v>17281.2</v>
      </c>
      <c r="K68" s="8">
        <v>18856.14</v>
      </c>
      <c r="L68" s="8">
        <v>17738.96</v>
      </c>
      <c r="M68" s="8">
        <v>18085.79</v>
      </c>
      <c r="N68" s="8">
        <v>18988.73</v>
      </c>
      <c r="O68" s="8">
        <v>15099.29</v>
      </c>
      <c r="P68" s="8">
        <v>19603.38</v>
      </c>
      <c r="Q68" s="8">
        <v>215962.51000000004</v>
      </c>
    </row>
    <row r="69" spans="1:17" x14ac:dyDescent="0.2">
      <c r="A69" s="4" t="s">
        <v>56</v>
      </c>
      <c r="B69" s="5"/>
      <c r="C69" s="45"/>
      <c r="D69" s="39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>
        <v>17301.13</v>
      </c>
      <c r="P69" s="22">
        <v>22462.03</v>
      </c>
      <c r="Q69" s="22">
        <v>39763.160000000003</v>
      </c>
    </row>
    <row r="70" spans="1:17" x14ac:dyDescent="0.2">
      <c r="A70" s="4"/>
      <c r="B70" s="5"/>
      <c r="C70" s="45"/>
      <c r="D70" s="39"/>
      <c r="E70" s="13">
        <v>278442.86</v>
      </c>
      <c r="F70" s="14">
        <v>269476.19</v>
      </c>
      <c r="G70" s="14">
        <v>304534.55</v>
      </c>
      <c r="H70" s="14">
        <v>194760.12</v>
      </c>
      <c r="I70" s="14">
        <v>347411.55000000005</v>
      </c>
      <c r="J70" s="14">
        <v>266870.05000000005</v>
      </c>
      <c r="K70" s="14">
        <v>291191.79000000004</v>
      </c>
      <c r="L70" s="14">
        <v>273939.35000000003</v>
      </c>
      <c r="M70" s="14">
        <v>279295.37999999995</v>
      </c>
      <c r="N70" s="14">
        <v>293239.15999999997</v>
      </c>
      <c r="O70" s="14">
        <v>233175.47000000003</v>
      </c>
      <c r="P70" s="14">
        <v>302731.34999999998</v>
      </c>
      <c r="Q70" s="14">
        <v>3335067.8200000003</v>
      </c>
    </row>
    <row r="71" spans="1:17" x14ac:dyDescent="0.2">
      <c r="A71" s="4"/>
      <c r="B71" s="5"/>
      <c r="C71" s="5"/>
      <c r="D71" s="39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45"/>
      <c r="D73" s="39"/>
      <c r="E73" s="7">
        <v>128658.78</v>
      </c>
      <c r="F73" s="8">
        <v>124515.59</v>
      </c>
      <c r="G73" s="8">
        <v>140714.85</v>
      </c>
      <c r="H73" s="8">
        <v>89991.9</v>
      </c>
      <c r="I73" s="8">
        <v>160526.82</v>
      </c>
      <c r="J73" s="8">
        <v>123311.4</v>
      </c>
      <c r="K73" s="8">
        <v>134549.63</v>
      </c>
      <c r="L73" s="8">
        <v>126577.87</v>
      </c>
      <c r="M73" s="8">
        <v>129052.71</v>
      </c>
      <c r="N73" s="8">
        <v>135495.64000000001</v>
      </c>
      <c r="O73" s="8">
        <v>107742.3</v>
      </c>
      <c r="P73" s="8">
        <v>139881.65</v>
      </c>
      <c r="Q73" s="8">
        <v>1541019.14</v>
      </c>
    </row>
    <row r="74" spans="1:17" x14ac:dyDescent="0.2">
      <c r="A74" s="4" t="s">
        <v>49</v>
      </c>
      <c r="B74" s="5"/>
      <c r="C74" s="45"/>
      <c r="D74" s="39"/>
      <c r="E74" s="7">
        <v>31353.58</v>
      </c>
      <c r="F74" s="8">
        <v>30343.9</v>
      </c>
      <c r="G74" s="8">
        <v>34291.58</v>
      </c>
      <c r="H74" s="8">
        <v>21930.63</v>
      </c>
      <c r="I74" s="8">
        <v>39119.68</v>
      </c>
      <c r="J74" s="8">
        <v>30050.45</v>
      </c>
      <c r="K74" s="8">
        <v>32789.15</v>
      </c>
      <c r="L74" s="8">
        <v>30846.47</v>
      </c>
      <c r="M74" s="8">
        <v>31449.58</v>
      </c>
      <c r="N74" s="8">
        <v>33019.69</v>
      </c>
      <c r="O74" s="8">
        <v>26256.32</v>
      </c>
      <c r="P74" s="8">
        <v>34088.54</v>
      </c>
      <c r="Q74" s="8">
        <v>375539.57</v>
      </c>
    </row>
    <row r="75" spans="1:17" x14ac:dyDescent="0.2">
      <c r="A75" s="4" t="s">
        <v>50</v>
      </c>
      <c r="B75" s="5"/>
      <c r="C75" s="45"/>
      <c r="D75" s="39"/>
      <c r="E75" s="7">
        <v>42039.25</v>
      </c>
      <c r="F75" s="8">
        <v>40685.47</v>
      </c>
      <c r="G75" s="8">
        <v>45978.57</v>
      </c>
      <c r="H75" s="8">
        <v>29404.85</v>
      </c>
      <c r="I75" s="8">
        <v>52452.14</v>
      </c>
      <c r="J75" s="8">
        <v>40291.99</v>
      </c>
      <c r="K75" s="8">
        <v>43964.09</v>
      </c>
      <c r="L75" s="8">
        <v>41359.32</v>
      </c>
      <c r="M75" s="8">
        <v>42167.97</v>
      </c>
      <c r="N75" s="8">
        <v>44273.2</v>
      </c>
      <c r="O75" s="8">
        <v>35204.79</v>
      </c>
      <c r="P75" s="8">
        <v>45706.33</v>
      </c>
      <c r="Q75" s="8">
        <v>503527.97000000003</v>
      </c>
    </row>
    <row r="76" spans="1:17" x14ac:dyDescent="0.2">
      <c r="A76" s="4" t="s">
        <v>51</v>
      </c>
      <c r="B76" s="5"/>
      <c r="C76" s="45"/>
      <c r="D76" s="39"/>
      <c r="E76" s="7">
        <v>36210.949999999997</v>
      </c>
      <c r="F76" s="8">
        <v>35044.85</v>
      </c>
      <c r="G76" s="8">
        <v>39604.120000000003</v>
      </c>
      <c r="H76" s="8">
        <v>25328.17</v>
      </c>
      <c r="I76" s="8">
        <v>45180.19</v>
      </c>
      <c r="J76" s="8">
        <v>34705.919999999998</v>
      </c>
      <c r="K76" s="8">
        <v>37868.92</v>
      </c>
      <c r="L76" s="8">
        <v>35625.269999999997</v>
      </c>
      <c r="M76" s="8">
        <v>36321.81</v>
      </c>
      <c r="N76" s="8">
        <v>38135.18</v>
      </c>
      <c r="O76" s="8">
        <v>30324.01</v>
      </c>
      <c r="P76" s="8">
        <v>39369.620000000003</v>
      </c>
      <c r="Q76" s="8">
        <v>433719.00999999995</v>
      </c>
    </row>
    <row r="77" spans="1:17" x14ac:dyDescent="0.2">
      <c r="A77" s="4" t="s">
        <v>52</v>
      </c>
      <c r="B77" s="5"/>
      <c r="C77" s="45"/>
      <c r="D77" s="39"/>
      <c r="E77" s="7">
        <v>68209.14</v>
      </c>
      <c r="F77" s="8">
        <v>66012.61</v>
      </c>
      <c r="G77" s="8">
        <v>74600.73</v>
      </c>
      <c r="H77" s="8">
        <v>47709.68</v>
      </c>
      <c r="I77" s="8">
        <v>85104.15</v>
      </c>
      <c r="J77" s="8">
        <v>65374.19</v>
      </c>
      <c r="K77" s="8">
        <v>71332.2</v>
      </c>
      <c r="L77" s="8">
        <v>67105.929999999993</v>
      </c>
      <c r="M77" s="8">
        <v>68417.98</v>
      </c>
      <c r="N77" s="8">
        <v>71833.73</v>
      </c>
      <c r="O77" s="8">
        <v>57120.15</v>
      </c>
      <c r="P77" s="8">
        <v>74159</v>
      </c>
      <c r="Q77" s="8">
        <v>816979.48999999987</v>
      </c>
    </row>
    <row r="78" spans="1:17" x14ac:dyDescent="0.2">
      <c r="A78" s="4" t="s">
        <v>53</v>
      </c>
      <c r="B78" s="5"/>
      <c r="C78" s="45"/>
      <c r="D78" s="39"/>
      <c r="E78" s="7">
        <v>42584.91</v>
      </c>
      <c r="F78" s="8">
        <v>41213.550000000003</v>
      </c>
      <c r="G78" s="8">
        <v>46575.360000000001</v>
      </c>
      <c r="H78" s="8">
        <v>29786.51</v>
      </c>
      <c r="I78" s="8">
        <v>53132.94</v>
      </c>
      <c r="J78" s="8">
        <v>40814.97</v>
      </c>
      <c r="K78" s="8">
        <v>44534.720000000001</v>
      </c>
      <c r="L78" s="8">
        <v>41896.14</v>
      </c>
      <c r="M78" s="8">
        <v>42715.29</v>
      </c>
      <c r="N78" s="8">
        <v>44847.839999999997</v>
      </c>
      <c r="O78" s="8">
        <v>35661.74</v>
      </c>
      <c r="P78" s="8">
        <v>46299.58</v>
      </c>
      <c r="Q78" s="22">
        <v>510063.55</v>
      </c>
    </row>
    <row r="79" spans="1:17" ht="13.5" thickBot="1" x14ac:dyDescent="0.25">
      <c r="A79" s="25"/>
      <c r="B79" s="26"/>
      <c r="C79" s="46"/>
      <c r="D79" s="43"/>
      <c r="E79" s="27">
        <v>349056.61</v>
      </c>
      <c r="F79" s="28">
        <v>337815.97</v>
      </c>
      <c r="G79" s="28">
        <v>381765.20999999996</v>
      </c>
      <c r="H79" s="28">
        <v>244151.74</v>
      </c>
      <c r="I79" s="28">
        <v>435515.92</v>
      </c>
      <c r="J79" s="28">
        <v>334548.92000000004</v>
      </c>
      <c r="K79" s="28">
        <v>365038.70999999996</v>
      </c>
      <c r="L79" s="28">
        <v>343411</v>
      </c>
      <c r="M79" s="28">
        <v>350125.33999999997</v>
      </c>
      <c r="N79" s="28">
        <v>367605.28</v>
      </c>
      <c r="O79" s="28">
        <v>292309.31</v>
      </c>
      <c r="P79" s="28">
        <v>379504.72000000003</v>
      </c>
      <c r="Q79" s="28">
        <v>4180848.7300000004</v>
      </c>
    </row>
    <row r="80" spans="1:17" ht="13.5" thickTop="1" x14ac:dyDescent="0.2">
      <c r="D80" s="31" t="s">
        <v>73</v>
      </c>
      <c r="E80" s="29">
        <v>2674763.2799999993</v>
      </c>
      <c r="F80" s="29">
        <v>2588628.13</v>
      </c>
      <c r="G80" s="29">
        <v>2925403.9299999997</v>
      </c>
      <c r="H80" s="29">
        <v>1870894.55</v>
      </c>
      <c r="I80" s="29">
        <v>3337286.7800000003</v>
      </c>
      <c r="J80" s="29">
        <v>2563593.2000000002</v>
      </c>
      <c r="K80" s="29">
        <v>2797231.45</v>
      </c>
      <c r="L80" s="29">
        <v>2631501.9400000004</v>
      </c>
      <c r="M80" s="29">
        <v>2682952.77</v>
      </c>
      <c r="N80" s="29">
        <v>2816898.7300000004</v>
      </c>
      <c r="O80" s="29">
        <v>2239918.1</v>
      </c>
      <c r="P80" s="29">
        <v>2908082.16</v>
      </c>
      <c r="Q80" s="29">
        <v>32037155.02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2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6.42578125" style="1" customWidth="1"/>
    <col min="4" max="4" width="9.42578125" style="1" customWidth="1"/>
    <col min="5" max="12" width="19" style="1" customWidth="1"/>
    <col min="13" max="16" width="17.5703125" style="1" customWidth="1"/>
    <col min="17" max="17" width="16.5703125" style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182</v>
      </c>
      <c r="F5" s="85" t="s">
        <v>183</v>
      </c>
      <c r="G5" s="84" t="s">
        <v>184</v>
      </c>
      <c r="H5" s="84" t="s">
        <v>185</v>
      </c>
      <c r="I5" s="84" t="s">
        <v>186</v>
      </c>
      <c r="J5" s="84" t="s">
        <v>187</v>
      </c>
      <c r="K5" s="84" t="s">
        <v>188</v>
      </c>
      <c r="L5" s="84" t="s">
        <v>189</v>
      </c>
      <c r="M5" s="84" t="s">
        <v>190</v>
      </c>
      <c r="N5" s="84" t="s">
        <v>191</v>
      </c>
      <c r="O5" s="84" t="s">
        <v>192</v>
      </c>
      <c r="P5" s="84" t="s">
        <v>193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1994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5"/>
      <c r="D8" s="40" t="s">
        <v>61</v>
      </c>
      <c r="E8" s="7">
        <v>2848420.78</v>
      </c>
      <c r="F8" s="8">
        <v>2737150.08</v>
      </c>
      <c r="G8" s="8">
        <v>3141835.45</v>
      </c>
      <c r="H8" s="8">
        <v>2698386.22</v>
      </c>
      <c r="I8" s="8">
        <v>3406293.27</v>
      </c>
      <c r="J8" s="8">
        <v>3441120.23</v>
      </c>
      <c r="K8" s="8">
        <v>4023616.3</v>
      </c>
      <c r="L8" s="8">
        <v>4119532.73</v>
      </c>
      <c r="M8" s="8">
        <v>3484951.98</v>
      </c>
      <c r="N8" s="8">
        <v>3094260.07</v>
      </c>
      <c r="O8" s="8">
        <v>3075891.37</v>
      </c>
      <c r="P8" s="8">
        <v>2981552.92</v>
      </c>
      <c r="Q8" s="8">
        <v>39053011.399999999</v>
      </c>
    </row>
    <row r="9" spans="1:17" x14ac:dyDescent="0.2">
      <c r="A9" s="4" t="s">
        <v>1</v>
      </c>
      <c r="B9" s="5"/>
      <c r="C9" s="5"/>
      <c r="D9" s="40" t="s">
        <v>62</v>
      </c>
      <c r="E9" s="7">
        <v>273886.61</v>
      </c>
      <c r="F9" s="8">
        <v>263187.51</v>
      </c>
      <c r="G9" s="8">
        <v>302099.56</v>
      </c>
      <c r="H9" s="8">
        <v>259460.21</v>
      </c>
      <c r="I9" s="8">
        <v>327528.2</v>
      </c>
      <c r="J9" s="8">
        <v>330876.95</v>
      </c>
      <c r="K9" s="8">
        <v>386886.18</v>
      </c>
      <c r="L9" s="8">
        <v>396108.92</v>
      </c>
      <c r="M9" s="8">
        <v>335091.53999999998</v>
      </c>
      <c r="N9" s="8">
        <v>297525.01</v>
      </c>
      <c r="O9" s="8">
        <v>295758.78999999998</v>
      </c>
      <c r="P9" s="8">
        <v>286687.78000000003</v>
      </c>
      <c r="Q9" s="8">
        <v>3755097.26</v>
      </c>
    </row>
    <row r="10" spans="1:17" x14ac:dyDescent="0.2">
      <c r="A10" s="4" t="s">
        <v>2</v>
      </c>
      <c r="B10" s="5"/>
      <c r="C10" s="5"/>
      <c r="D10" s="40" t="s">
        <v>63</v>
      </c>
      <c r="E10" s="7">
        <v>164331.97</v>
      </c>
      <c r="F10" s="8">
        <v>157912.51</v>
      </c>
      <c r="G10" s="8">
        <v>181259.74</v>
      </c>
      <c r="H10" s="8">
        <v>155676.13</v>
      </c>
      <c r="I10" s="8">
        <v>196516.92</v>
      </c>
      <c r="J10" s="8">
        <v>198526.17</v>
      </c>
      <c r="K10" s="8">
        <v>232131.72</v>
      </c>
      <c r="L10" s="8">
        <v>237665.35</v>
      </c>
      <c r="M10" s="8">
        <v>201054.92</v>
      </c>
      <c r="N10" s="8">
        <v>178515</v>
      </c>
      <c r="O10" s="8">
        <v>177455.27</v>
      </c>
      <c r="P10" s="8">
        <v>172012.67</v>
      </c>
      <c r="Q10" s="8">
        <v>2253058.37</v>
      </c>
    </row>
    <row r="11" spans="1:17" ht="13.5" thickBot="1" x14ac:dyDescent="0.25">
      <c r="A11" s="4" t="s">
        <v>3</v>
      </c>
      <c r="B11" s="5"/>
      <c r="C11" s="5"/>
      <c r="D11" s="40" t="s">
        <v>64</v>
      </c>
      <c r="E11" s="9">
        <v>2191092.9</v>
      </c>
      <c r="F11" s="10">
        <v>2105500.0699999998</v>
      </c>
      <c r="G11" s="10">
        <v>2416796.5</v>
      </c>
      <c r="H11" s="10">
        <v>2075681.7</v>
      </c>
      <c r="I11" s="10">
        <v>2620225.6</v>
      </c>
      <c r="J11" s="10">
        <v>2647015.5499999998</v>
      </c>
      <c r="K11" s="10">
        <v>3095089.46</v>
      </c>
      <c r="L11" s="10">
        <v>3168871.33</v>
      </c>
      <c r="M11" s="10">
        <v>2680732.29</v>
      </c>
      <c r="N11" s="10">
        <v>2380200.0499999998</v>
      </c>
      <c r="O11" s="10">
        <v>2366070.29</v>
      </c>
      <c r="P11" s="10">
        <v>2293502.25</v>
      </c>
      <c r="Q11" s="11">
        <v>30040777.989999998</v>
      </c>
    </row>
    <row r="12" spans="1:17" x14ac:dyDescent="0.2">
      <c r="A12" s="4"/>
      <c r="B12" s="5"/>
      <c r="D12" s="12" t="s">
        <v>68</v>
      </c>
      <c r="E12" s="13">
        <v>5477732.2599999998</v>
      </c>
      <c r="F12" s="14">
        <v>5263750.17</v>
      </c>
      <c r="G12" s="14">
        <v>6041991.25</v>
      </c>
      <c r="H12" s="14">
        <v>5189204.26</v>
      </c>
      <c r="I12" s="14">
        <v>6550563.9900000002</v>
      </c>
      <c r="J12" s="14">
        <v>6617538.9000000004</v>
      </c>
      <c r="K12" s="14">
        <v>7737723.6599999992</v>
      </c>
      <c r="L12" s="14">
        <v>7922178.3300000001</v>
      </c>
      <c r="M12" s="14">
        <v>6701830.7300000004</v>
      </c>
      <c r="N12" s="14">
        <v>5950500.1299999999</v>
      </c>
      <c r="O12" s="14">
        <v>5915175.7200000007</v>
      </c>
      <c r="P12" s="14">
        <v>5733755.6200000001</v>
      </c>
      <c r="Q12" s="14">
        <v>75101945.019999996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8"/>
    </row>
    <row r="16" spans="1:17" ht="13.5" thickBot="1" x14ac:dyDescent="0.25">
      <c r="A16" s="15" t="s">
        <v>5</v>
      </c>
      <c r="B16" s="16"/>
      <c r="C16" s="32"/>
      <c r="D16" s="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9"/>
    </row>
    <row r="17" spans="1:18" x14ac:dyDescent="0.2">
      <c r="A17" s="4" t="s">
        <v>6</v>
      </c>
      <c r="B17" s="5"/>
      <c r="C17" s="5"/>
      <c r="D17" s="39"/>
      <c r="E17" s="7">
        <v>416947.44</v>
      </c>
      <c r="F17" s="8">
        <v>400659.81</v>
      </c>
      <c r="G17" s="8">
        <v>459897.03</v>
      </c>
      <c r="H17" s="8">
        <v>394985.62</v>
      </c>
      <c r="I17" s="8">
        <v>498607.97</v>
      </c>
      <c r="J17" s="8">
        <v>503705.88</v>
      </c>
      <c r="K17" s="8">
        <v>588970.76</v>
      </c>
      <c r="L17" s="8">
        <v>603010.86</v>
      </c>
      <c r="M17" s="8">
        <v>510121.91</v>
      </c>
      <c r="N17" s="8">
        <v>452933.03</v>
      </c>
      <c r="O17" s="8">
        <v>450244.24</v>
      </c>
      <c r="P17" s="8">
        <v>436435.13</v>
      </c>
      <c r="Q17" s="8">
        <v>5716519.6799999997</v>
      </c>
      <c r="R17" s="20"/>
    </row>
    <row r="18" spans="1:18" x14ac:dyDescent="0.2">
      <c r="A18" s="4" t="s">
        <v>7</v>
      </c>
      <c r="B18" s="5"/>
      <c r="C18" s="5"/>
      <c r="D18" s="39"/>
      <c r="E18" s="7">
        <v>27399.62</v>
      </c>
      <c r="F18" s="8">
        <v>26329.279999999999</v>
      </c>
      <c r="G18" s="8">
        <v>30222.04</v>
      </c>
      <c r="H18" s="8">
        <v>25956.41</v>
      </c>
      <c r="I18" s="8">
        <v>32765.919999999998</v>
      </c>
      <c r="J18" s="8">
        <v>33100.93</v>
      </c>
      <c r="K18" s="8">
        <v>38704.089999999997</v>
      </c>
      <c r="L18" s="8">
        <v>39626.74</v>
      </c>
      <c r="M18" s="8">
        <v>33522.559999999998</v>
      </c>
      <c r="N18" s="8">
        <v>29764.400000000001</v>
      </c>
      <c r="O18" s="8">
        <v>29587.71</v>
      </c>
      <c r="P18" s="8">
        <v>28680.25</v>
      </c>
      <c r="Q18" s="8">
        <v>375659.95</v>
      </c>
    </row>
    <row r="19" spans="1:18" x14ac:dyDescent="0.2">
      <c r="A19" s="4" t="s">
        <v>8</v>
      </c>
      <c r="B19" s="5"/>
      <c r="C19" s="5"/>
      <c r="D19" s="39"/>
      <c r="E19" s="7">
        <v>41661.440000000002</v>
      </c>
      <c r="F19" s="8">
        <v>40033.980000000003</v>
      </c>
      <c r="G19" s="8">
        <v>45952.97</v>
      </c>
      <c r="H19" s="8">
        <v>39467.01</v>
      </c>
      <c r="I19" s="8">
        <v>49820.97</v>
      </c>
      <c r="J19" s="8">
        <v>50330.35</v>
      </c>
      <c r="K19" s="8">
        <v>58850.03</v>
      </c>
      <c r="L19" s="8">
        <v>60252.92</v>
      </c>
      <c r="M19" s="8">
        <v>50971.44</v>
      </c>
      <c r="N19" s="8">
        <v>45257.120000000003</v>
      </c>
      <c r="O19" s="8">
        <v>44988.46</v>
      </c>
      <c r="P19" s="8">
        <v>43608.65</v>
      </c>
      <c r="Q19" s="8">
        <v>571195.34</v>
      </c>
    </row>
    <row r="20" spans="1:18" x14ac:dyDescent="0.2">
      <c r="A20" s="4" t="s">
        <v>9</v>
      </c>
      <c r="B20" s="5"/>
      <c r="C20" s="5"/>
      <c r="D20" s="39"/>
      <c r="E20" s="7">
        <v>39163.589999999997</v>
      </c>
      <c r="F20" s="8">
        <v>37633.71</v>
      </c>
      <c r="G20" s="8">
        <v>43197.82</v>
      </c>
      <c r="H20" s="8">
        <v>37100.730000000003</v>
      </c>
      <c r="I20" s="8">
        <v>46833.91</v>
      </c>
      <c r="J20" s="8">
        <v>47312.76</v>
      </c>
      <c r="K20" s="8">
        <v>55321.63</v>
      </c>
      <c r="L20" s="8">
        <v>56640.41</v>
      </c>
      <c r="M20" s="8">
        <v>47915.41</v>
      </c>
      <c r="N20" s="8">
        <v>42543.7</v>
      </c>
      <c r="O20" s="8">
        <v>42291.14</v>
      </c>
      <c r="P20" s="8">
        <v>40994.06</v>
      </c>
      <c r="Q20" s="8">
        <v>536948.87000000011</v>
      </c>
    </row>
    <row r="21" spans="1:18" x14ac:dyDescent="0.2">
      <c r="A21" s="4" t="s">
        <v>10</v>
      </c>
      <c r="B21" s="5"/>
      <c r="C21" s="5"/>
      <c r="D21" s="39"/>
      <c r="E21" s="7">
        <v>36720.53</v>
      </c>
      <c r="F21" s="8">
        <v>35286.080000000002</v>
      </c>
      <c r="G21" s="8">
        <v>40503.089999999997</v>
      </c>
      <c r="H21" s="8">
        <v>34786.35</v>
      </c>
      <c r="I21" s="8">
        <v>43912.36</v>
      </c>
      <c r="J21" s="8">
        <v>44361.33</v>
      </c>
      <c r="K21" s="8">
        <v>51870.6</v>
      </c>
      <c r="L21" s="8">
        <v>53107.11</v>
      </c>
      <c r="M21" s="8">
        <v>44926.39</v>
      </c>
      <c r="N21" s="8">
        <v>39889.769999999997</v>
      </c>
      <c r="O21" s="8">
        <v>39652.97</v>
      </c>
      <c r="P21" s="8">
        <v>38436.800000000003</v>
      </c>
      <c r="Q21" s="8">
        <v>503453.37999999995</v>
      </c>
    </row>
    <row r="22" spans="1:18" x14ac:dyDescent="0.2">
      <c r="A22" s="4" t="s">
        <v>11</v>
      </c>
      <c r="B22" s="5"/>
      <c r="C22" s="5"/>
      <c r="D22" s="39"/>
      <c r="E22" s="7">
        <v>35210.86</v>
      </c>
      <c r="F22" s="8">
        <v>33835.39</v>
      </c>
      <c r="G22" s="8">
        <v>38837.919999999998</v>
      </c>
      <c r="H22" s="8">
        <v>33356.199999999997</v>
      </c>
      <c r="I22" s="8">
        <v>42107.03</v>
      </c>
      <c r="J22" s="8">
        <v>42537.54</v>
      </c>
      <c r="K22" s="8">
        <v>49738.09</v>
      </c>
      <c r="L22" s="8">
        <v>50923.76</v>
      </c>
      <c r="M22" s="8">
        <v>43079.37</v>
      </c>
      <c r="N22" s="8">
        <v>38249.81</v>
      </c>
      <c r="O22" s="8">
        <v>38022.75</v>
      </c>
      <c r="P22" s="8">
        <v>36856.58</v>
      </c>
      <c r="Q22" s="8">
        <v>482755.30000000005</v>
      </c>
    </row>
    <row r="23" spans="1:18" x14ac:dyDescent="0.2">
      <c r="A23" s="4" t="s">
        <v>12</v>
      </c>
      <c r="B23" s="5"/>
      <c r="C23" s="5"/>
      <c r="D23" s="39"/>
      <c r="E23" s="7">
        <v>36759.97</v>
      </c>
      <c r="F23" s="8">
        <v>35323.97</v>
      </c>
      <c r="G23" s="8">
        <v>40546.589999999997</v>
      </c>
      <c r="H23" s="8">
        <v>34823.71</v>
      </c>
      <c r="I23" s="8">
        <v>43959.519999999997</v>
      </c>
      <c r="J23" s="8">
        <v>44408.98</v>
      </c>
      <c r="K23" s="8">
        <v>51926.32</v>
      </c>
      <c r="L23" s="8">
        <v>53164.15</v>
      </c>
      <c r="M23" s="8">
        <v>44974.65</v>
      </c>
      <c r="N23" s="8">
        <v>39932.620000000003</v>
      </c>
      <c r="O23" s="8">
        <v>39695.56</v>
      </c>
      <c r="P23" s="8">
        <v>38478.089999999997</v>
      </c>
      <c r="Q23" s="8">
        <v>503994.13</v>
      </c>
    </row>
    <row r="24" spans="1:18" x14ac:dyDescent="0.2">
      <c r="A24" s="4" t="s">
        <v>13</v>
      </c>
      <c r="B24" s="5"/>
      <c r="C24" s="5"/>
      <c r="D24" s="39"/>
      <c r="E24" s="7">
        <v>29910.61</v>
      </c>
      <c r="F24" s="8">
        <v>28742.18</v>
      </c>
      <c r="G24" s="8">
        <v>32991.69</v>
      </c>
      <c r="H24" s="8">
        <v>28335.13</v>
      </c>
      <c r="I24" s="8">
        <v>35768.699999999997</v>
      </c>
      <c r="J24" s="8">
        <v>36134.410000000003</v>
      </c>
      <c r="K24" s="8">
        <v>42251.07</v>
      </c>
      <c r="L24" s="8">
        <v>43258.26</v>
      </c>
      <c r="M24" s="8">
        <v>36594.68</v>
      </c>
      <c r="N24" s="8">
        <v>32492.11</v>
      </c>
      <c r="O24" s="8">
        <v>32299.23</v>
      </c>
      <c r="P24" s="8">
        <v>31308.6</v>
      </c>
      <c r="Q24" s="8">
        <v>410086.66999999993</v>
      </c>
    </row>
    <row r="25" spans="1:18" x14ac:dyDescent="0.2">
      <c r="A25" s="4" t="s">
        <v>14</v>
      </c>
      <c r="B25" s="5"/>
      <c r="C25" s="5"/>
      <c r="D25" s="39"/>
      <c r="E25" s="7">
        <v>29785.72</v>
      </c>
      <c r="F25" s="8">
        <v>28622.17</v>
      </c>
      <c r="G25" s="8">
        <v>32853.93</v>
      </c>
      <c r="H25" s="8">
        <v>28216.82</v>
      </c>
      <c r="I25" s="8">
        <v>35619.35</v>
      </c>
      <c r="J25" s="8">
        <v>35983.53</v>
      </c>
      <c r="K25" s="8">
        <v>42074.65</v>
      </c>
      <c r="L25" s="8">
        <v>43077.64</v>
      </c>
      <c r="M25" s="8">
        <v>36441.870000000003</v>
      </c>
      <c r="N25" s="8">
        <v>32356.44</v>
      </c>
      <c r="O25" s="8">
        <v>32164.36</v>
      </c>
      <c r="P25" s="8">
        <v>31177.87</v>
      </c>
      <c r="Q25" s="8">
        <v>408374.35</v>
      </c>
    </row>
    <row r="26" spans="1:18" x14ac:dyDescent="0.2">
      <c r="A26" s="4" t="s">
        <v>15</v>
      </c>
      <c r="B26" s="5"/>
      <c r="C26" s="5"/>
      <c r="D26" s="39"/>
      <c r="E26" s="7">
        <v>26531.94</v>
      </c>
      <c r="F26" s="8">
        <v>25495.5</v>
      </c>
      <c r="G26" s="8">
        <v>29264.99</v>
      </c>
      <c r="H26" s="8">
        <v>25134.43</v>
      </c>
      <c r="I26" s="8">
        <v>31728.31</v>
      </c>
      <c r="J26" s="8">
        <v>32052.720000000001</v>
      </c>
      <c r="K26" s="8">
        <v>37478.44</v>
      </c>
      <c r="L26" s="8">
        <v>38371.870000000003</v>
      </c>
      <c r="M26" s="8">
        <v>32460.99</v>
      </c>
      <c r="N26" s="8">
        <v>28821.85</v>
      </c>
      <c r="O26" s="8">
        <v>28650.75</v>
      </c>
      <c r="P26" s="8">
        <v>27772.02</v>
      </c>
      <c r="Q26" s="8">
        <v>363763.81</v>
      </c>
    </row>
    <row r="27" spans="1:18" x14ac:dyDescent="0.2">
      <c r="A27" s="4" t="s">
        <v>16</v>
      </c>
      <c r="B27" s="5"/>
      <c r="C27" s="5"/>
      <c r="D27" s="39"/>
      <c r="E27" s="21">
        <v>84477.59</v>
      </c>
      <c r="F27" s="22">
        <v>81177.56</v>
      </c>
      <c r="G27" s="22">
        <v>93179.6</v>
      </c>
      <c r="H27" s="22">
        <v>80027.91</v>
      </c>
      <c r="I27" s="22">
        <v>101022.8</v>
      </c>
      <c r="J27" s="22">
        <v>102055.67999999999</v>
      </c>
      <c r="K27" s="22">
        <v>119331.17</v>
      </c>
      <c r="L27" s="22">
        <v>122175.83</v>
      </c>
      <c r="M27" s="22">
        <v>103355.63</v>
      </c>
      <c r="N27" s="22">
        <v>91768.61</v>
      </c>
      <c r="O27" s="22">
        <v>91223.84</v>
      </c>
      <c r="P27" s="22">
        <v>88425.98</v>
      </c>
      <c r="Q27" s="22">
        <v>1158222.2</v>
      </c>
    </row>
    <row r="28" spans="1:18" x14ac:dyDescent="0.2">
      <c r="A28" s="4"/>
      <c r="B28" s="5"/>
      <c r="C28" s="5"/>
      <c r="D28" s="39"/>
      <c r="E28" s="13">
        <v>804569.30999999982</v>
      </c>
      <c r="F28" s="14">
        <v>773139.63000000012</v>
      </c>
      <c r="G28" s="14">
        <v>887447.66999999993</v>
      </c>
      <c r="H28" s="14">
        <v>762190.32</v>
      </c>
      <c r="I28" s="14">
        <v>962146.84000000008</v>
      </c>
      <c r="J28" s="14">
        <v>971984.1100000001</v>
      </c>
      <c r="K28" s="14">
        <v>1136516.8499999999</v>
      </c>
      <c r="L28" s="14">
        <v>1163609.55</v>
      </c>
      <c r="M28" s="14">
        <v>984364.9</v>
      </c>
      <c r="N28" s="14">
        <v>874009.46</v>
      </c>
      <c r="O28" s="14">
        <v>868821.01</v>
      </c>
      <c r="P28" s="14">
        <v>842174.03</v>
      </c>
      <c r="Q28" s="14">
        <v>11030973.68</v>
      </c>
      <c r="R28" s="20"/>
    </row>
    <row r="29" spans="1:18" x14ac:dyDescent="0.2">
      <c r="A29" s="4"/>
      <c r="B29" s="5"/>
      <c r="C29" s="5"/>
      <c r="D29" s="6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8" ht="13.5" thickBot="1" x14ac:dyDescent="0.25">
      <c r="A30" s="15" t="s">
        <v>17</v>
      </c>
      <c r="B30" s="16"/>
      <c r="C30" s="5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8" x14ac:dyDescent="0.2">
      <c r="A31" s="4" t="s">
        <v>18</v>
      </c>
      <c r="B31" s="5"/>
      <c r="C31" s="5"/>
      <c r="D31" s="39"/>
      <c r="E31" s="7">
        <v>98967.28</v>
      </c>
      <c r="F31" s="8">
        <v>95101.23</v>
      </c>
      <c r="G31" s="8">
        <v>109161.86</v>
      </c>
      <c r="H31" s="8">
        <v>93754.39</v>
      </c>
      <c r="I31" s="8">
        <v>118350.35</v>
      </c>
      <c r="J31" s="8">
        <v>119560.39</v>
      </c>
      <c r="K31" s="8">
        <v>139799</v>
      </c>
      <c r="L31" s="8">
        <v>143131.57999999999</v>
      </c>
      <c r="M31" s="8">
        <v>121083.31</v>
      </c>
      <c r="N31" s="8">
        <v>107508.88</v>
      </c>
      <c r="O31" s="8">
        <v>106870.66</v>
      </c>
      <c r="P31" s="8">
        <v>103592.91</v>
      </c>
      <c r="Q31" s="8">
        <v>1356881.8399999999</v>
      </c>
    </row>
    <row r="32" spans="1:18" x14ac:dyDescent="0.2">
      <c r="A32" s="4" t="s">
        <v>19</v>
      </c>
      <c r="B32" s="5"/>
      <c r="C32" s="5"/>
      <c r="D32" s="39"/>
      <c r="E32" s="7">
        <v>51885.08</v>
      </c>
      <c r="F32" s="8">
        <v>49858.239999999998</v>
      </c>
      <c r="G32" s="8">
        <v>57229.74</v>
      </c>
      <c r="H32" s="8">
        <v>49152.14</v>
      </c>
      <c r="I32" s="8">
        <v>62046.94</v>
      </c>
      <c r="J32" s="8">
        <v>62681.33</v>
      </c>
      <c r="K32" s="8">
        <v>73291.72</v>
      </c>
      <c r="L32" s="8">
        <v>75038.87</v>
      </c>
      <c r="M32" s="8">
        <v>63479.74</v>
      </c>
      <c r="N32" s="8">
        <v>56363.14</v>
      </c>
      <c r="O32" s="8">
        <v>56028.54</v>
      </c>
      <c r="P32" s="8">
        <v>54310.13</v>
      </c>
      <c r="Q32" s="8">
        <v>711365.6100000001</v>
      </c>
    </row>
    <row r="33" spans="1:17" x14ac:dyDescent="0.2">
      <c r="A33" s="4" t="s">
        <v>20</v>
      </c>
      <c r="B33" s="5"/>
      <c r="C33" s="5"/>
      <c r="D33" s="39"/>
      <c r="E33" s="7">
        <v>51151.06</v>
      </c>
      <c r="F33" s="8">
        <v>49152.9</v>
      </c>
      <c r="G33" s="8">
        <v>56420.12</v>
      </c>
      <c r="H33" s="8">
        <v>48456.79</v>
      </c>
      <c r="I33" s="8">
        <v>61169.17</v>
      </c>
      <c r="J33" s="8">
        <v>61794.58</v>
      </c>
      <c r="K33" s="8">
        <v>72254.86</v>
      </c>
      <c r="L33" s="8">
        <v>73977.3</v>
      </c>
      <c r="M33" s="8">
        <v>62581.7</v>
      </c>
      <c r="N33" s="8">
        <v>55565.77</v>
      </c>
      <c r="O33" s="8">
        <v>55235.91</v>
      </c>
      <c r="P33" s="8">
        <v>53541.81</v>
      </c>
      <c r="Q33" s="8">
        <v>701301.97</v>
      </c>
    </row>
    <row r="34" spans="1:17" x14ac:dyDescent="0.2">
      <c r="A34" s="4" t="s">
        <v>21</v>
      </c>
      <c r="B34" s="5"/>
      <c r="C34" s="5"/>
      <c r="D34" s="39"/>
      <c r="E34" s="7">
        <v>52943.38</v>
      </c>
      <c r="F34" s="8">
        <v>50875.199999999997</v>
      </c>
      <c r="G34" s="8">
        <v>58397.05</v>
      </c>
      <c r="H34" s="8">
        <v>50154.7</v>
      </c>
      <c r="I34" s="8">
        <v>63312.51</v>
      </c>
      <c r="J34" s="8">
        <v>63959.839999999997</v>
      </c>
      <c r="K34" s="8">
        <v>74786.649999999994</v>
      </c>
      <c r="L34" s="8">
        <v>76569.440000000002</v>
      </c>
      <c r="M34" s="8">
        <v>64774.53</v>
      </c>
      <c r="N34" s="8">
        <v>57512.77</v>
      </c>
      <c r="O34" s="8">
        <v>57171.360000000001</v>
      </c>
      <c r="P34" s="8">
        <v>55417.89</v>
      </c>
      <c r="Q34" s="8">
        <v>725875.32000000007</v>
      </c>
    </row>
    <row r="35" spans="1:17" x14ac:dyDescent="0.2">
      <c r="A35" s="4" t="s">
        <v>22</v>
      </c>
      <c r="B35" s="5"/>
      <c r="C35" s="5"/>
      <c r="D35" s="39"/>
      <c r="E35" s="21">
        <v>42384.5</v>
      </c>
      <c r="F35" s="22">
        <v>40728.79</v>
      </c>
      <c r="G35" s="22">
        <v>46750.52</v>
      </c>
      <c r="H35" s="22">
        <v>40151.99</v>
      </c>
      <c r="I35" s="22">
        <v>50685.64</v>
      </c>
      <c r="J35" s="22">
        <v>51203.87</v>
      </c>
      <c r="K35" s="22">
        <v>59871.41</v>
      </c>
      <c r="L35" s="22">
        <v>61298.65</v>
      </c>
      <c r="M35" s="22">
        <v>51856.09</v>
      </c>
      <c r="N35" s="22">
        <v>46042.59</v>
      </c>
      <c r="O35" s="22">
        <v>45769.27</v>
      </c>
      <c r="P35" s="22">
        <v>44365.52</v>
      </c>
      <c r="Q35" s="22">
        <v>581108.84</v>
      </c>
    </row>
    <row r="36" spans="1:17" x14ac:dyDescent="0.2">
      <c r="A36" s="4"/>
      <c r="B36" s="5"/>
      <c r="C36" s="5"/>
      <c r="D36" s="39"/>
      <c r="E36" s="13">
        <v>297331.3</v>
      </c>
      <c r="F36" s="14">
        <v>285716.36</v>
      </c>
      <c r="G36" s="14">
        <v>327959.29000000004</v>
      </c>
      <c r="H36" s="14">
        <v>281670.01</v>
      </c>
      <c r="I36" s="14">
        <v>355564.61000000004</v>
      </c>
      <c r="J36" s="14">
        <v>359200.01</v>
      </c>
      <c r="K36" s="14">
        <v>420003.64</v>
      </c>
      <c r="L36" s="14">
        <v>430015.84</v>
      </c>
      <c r="M36" s="14">
        <v>363775.37</v>
      </c>
      <c r="N36" s="14">
        <v>322993.15000000002</v>
      </c>
      <c r="O36" s="14">
        <v>321075.74000000005</v>
      </c>
      <c r="P36" s="14">
        <v>311228.26</v>
      </c>
      <c r="Q36" s="14">
        <v>4076533.58</v>
      </c>
    </row>
    <row r="37" spans="1:17" x14ac:dyDescent="0.2">
      <c r="A37" s="24"/>
      <c r="B37" s="5"/>
      <c r="C37" s="5"/>
      <c r="D37" s="6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5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>
        <v>108682.59</v>
      </c>
      <c r="F39" s="8">
        <v>104437.01</v>
      </c>
      <c r="G39" s="8">
        <v>119877.93</v>
      </c>
      <c r="H39" s="8">
        <v>102957.96</v>
      </c>
      <c r="I39" s="8">
        <v>129968.43</v>
      </c>
      <c r="J39" s="8">
        <v>131297.26</v>
      </c>
      <c r="K39" s="8">
        <v>153522.63</v>
      </c>
      <c r="L39" s="8">
        <v>157182.35</v>
      </c>
      <c r="M39" s="8">
        <v>132969.68</v>
      </c>
      <c r="N39" s="8">
        <v>118062.68</v>
      </c>
      <c r="O39" s="8">
        <v>117361.81</v>
      </c>
      <c r="P39" s="8">
        <v>113762.29</v>
      </c>
      <c r="Q39" s="8">
        <v>1490082.6199999999</v>
      </c>
    </row>
    <row r="40" spans="1:17" x14ac:dyDescent="0.2">
      <c r="A40" s="4" t="s">
        <v>24</v>
      </c>
      <c r="B40" s="5"/>
      <c r="C40" s="5"/>
      <c r="D40" s="39"/>
      <c r="E40" s="7">
        <v>26770.77</v>
      </c>
      <c r="F40" s="8">
        <v>25725</v>
      </c>
      <c r="G40" s="8">
        <v>29528.42</v>
      </c>
      <c r="H40" s="8">
        <v>25360.68</v>
      </c>
      <c r="I40" s="8">
        <v>32013.919999999998</v>
      </c>
      <c r="J40" s="8">
        <v>32341.24</v>
      </c>
      <c r="K40" s="8">
        <v>37815.800000000003</v>
      </c>
      <c r="L40" s="8">
        <v>38717.269999999997</v>
      </c>
      <c r="M40" s="8">
        <v>32753.19</v>
      </c>
      <c r="N40" s="8">
        <v>29081.279999999999</v>
      </c>
      <c r="O40" s="8">
        <v>28908.65</v>
      </c>
      <c r="P40" s="8">
        <v>28022.01</v>
      </c>
      <c r="Q40" s="8">
        <v>367038.23</v>
      </c>
    </row>
    <row r="41" spans="1:17" x14ac:dyDescent="0.2">
      <c r="A41" s="4" t="s">
        <v>25</v>
      </c>
      <c r="B41" s="5"/>
      <c r="C41" s="5"/>
      <c r="D41" s="39"/>
      <c r="E41" s="7">
        <v>22193.58</v>
      </c>
      <c r="F41" s="8">
        <v>21326.61</v>
      </c>
      <c r="G41" s="8">
        <v>24479.73</v>
      </c>
      <c r="H41" s="8">
        <v>21024.58</v>
      </c>
      <c r="I41" s="8">
        <v>26540.27</v>
      </c>
      <c r="J41" s="8">
        <v>26811.62</v>
      </c>
      <c r="K41" s="8">
        <v>31350.16</v>
      </c>
      <c r="L41" s="8">
        <v>32097.5</v>
      </c>
      <c r="M41" s="8">
        <v>27153.14</v>
      </c>
      <c r="N41" s="8">
        <v>24109.05</v>
      </c>
      <c r="O41" s="8">
        <v>23965.93</v>
      </c>
      <c r="P41" s="8">
        <v>23230.880000000001</v>
      </c>
      <c r="Q41" s="8">
        <v>304283.05</v>
      </c>
    </row>
    <row r="42" spans="1:17" x14ac:dyDescent="0.2">
      <c r="A42" s="4" t="s">
        <v>26</v>
      </c>
      <c r="B42" s="5"/>
      <c r="C42" s="5"/>
      <c r="D42" s="39"/>
      <c r="E42" s="7">
        <v>23893.87</v>
      </c>
      <c r="F42" s="8">
        <v>22960.48</v>
      </c>
      <c r="G42" s="8">
        <v>26355.17</v>
      </c>
      <c r="H42" s="8">
        <v>22635.31</v>
      </c>
      <c r="I42" s="8">
        <v>28573.56</v>
      </c>
      <c r="J42" s="8">
        <v>28865.7</v>
      </c>
      <c r="K42" s="8">
        <v>33751.949999999997</v>
      </c>
      <c r="L42" s="8">
        <v>34556.54</v>
      </c>
      <c r="M42" s="8">
        <v>29233.39</v>
      </c>
      <c r="N42" s="8">
        <v>25956.080000000002</v>
      </c>
      <c r="O42" s="8">
        <v>25802</v>
      </c>
      <c r="P42" s="8">
        <v>25010.639999999999</v>
      </c>
      <c r="Q42" s="8">
        <v>327594.69</v>
      </c>
    </row>
    <row r="43" spans="1:17" x14ac:dyDescent="0.2">
      <c r="A43" s="4" t="s">
        <v>27</v>
      </c>
      <c r="B43" s="5"/>
      <c r="C43" s="5"/>
      <c r="D43" s="39"/>
      <c r="E43" s="7">
        <v>20449.47</v>
      </c>
      <c r="F43" s="8">
        <v>19650.63</v>
      </c>
      <c r="G43" s="8">
        <v>22555.96</v>
      </c>
      <c r="H43" s="8">
        <v>19372.34</v>
      </c>
      <c r="I43" s="8">
        <v>24454.57</v>
      </c>
      <c r="J43" s="8">
        <v>24704.6</v>
      </c>
      <c r="K43" s="8">
        <v>28886.47</v>
      </c>
      <c r="L43" s="8">
        <v>29575.08</v>
      </c>
      <c r="M43" s="8">
        <v>25019.27</v>
      </c>
      <c r="N43" s="8">
        <v>22214.41</v>
      </c>
      <c r="O43" s="8">
        <v>22082.53</v>
      </c>
      <c r="P43" s="8">
        <v>21405.26</v>
      </c>
      <c r="Q43" s="8">
        <v>280370.58999999997</v>
      </c>
    </row>
    <row r="44" spans="1:17" x14ac:dyDescent="0.2">
      <c r="A44" s="4" t="s">
        <v>28</v>
      </c>
      <c r="B44" s="5"/>
      <c r="C44" s="5"/>
      <c r="D44" s="39"/>
      <c r="E44" s="7">
        <v>28541.18</v>
      </c>
      <c r="F44" s="8">
        <v>27426.240000000002</v>
      </c>
      <c r="G44" s="8">
        <v>31481.19</v>
      </c>
      <c r="H44" s="8">
        <v>27037.83</v>
      </c>
      <c r="I44" s="8">
        <v>34131.06</v>
      </c>
      <c r="J44" s="8">
        <v>34480.019999999997</v>
      </c>
      <c r="K44" s="8">
        <v>40316.639999999999</v>
      </c>
      <c r="L44" s="8">
        <v>41277.72</v>
      </c>
      <c r="M44" s="8">
        <v>34919.22</v>
      </c>
      <c r="N44" s="8">
        <v>31004.49</v>
      </c>
      <c r="O44" s="8">
        <v>30820.43</v>
      </c>
      <c r="P44" s="8">
        <v>29875.16</v>
      </c>
      <c r="Q44" s="8">
        <v>391311.17999999993</v>
      </c>
    </row>
    <row r="45" spans="1:17" x14ac:dyDescent="0.2">
      <c r="A45" s="4" t="s">
        <v>29</v>
      </c>
      <c r="B45" s="5"/>
      <c r="C45" s="5"/>
      <c r="D45" s="39"/>
      <c r="E45" s="7">
        <v>23045.919999999998</v>
      </c>
      <c r="F45" s="8">
        <v>22145.65</v>
      </c>
      <c r="G45" s="8">
        <v>25419.87</v>
      </c>
      <c r="H45" s="8">
        <v>21832.02</v>
      </c>
      <c r="I45" s="8">
        <v>27559.53</v>
      </c>
      <c r="J45" s="8">
        <v>27841.31</v>
      </c>
      <c r="K45" s="8">
        <v>32554.15</v>
      </c>
      <c r="L45" s="8">
        <v>33330.19</v>
      </c>
      <c r="M45" s="8">
        <v>28195.94</v>
      </c>
      <c r="N45" s="8">
        <v>25034.94</v>
      </c>
      <c r="O45" s="8">
        <v>24886.33</v>
      </c>
      <c r="P45" s="8">
        <v>24123.06</v>
      </c>
      <c r="Q45" s="8">
        <v>315968.91000000003</v>
      </c>
    </row>
    <row r="46" spans="1:17" x14ac:dyDescent="0.2">
      <c r="A46" s="4" t="s">
        <v>30</v>
      </c>
      <c r="B46" s="5"/>
      <c r="C46" s="5"/>
      <c r="D46" s="39"/>
      <c r="E46" s="7">
        <v>20112.04</v>
      </c>
      <c r="F46" s="8">
        <v>19326.39</v>
      </c>
      <c r="G46" s="8">
        <v>22183.78</v>
      </c>
      <c r="H46" s="8">
        <v>19052.68</v>
      </c>
      <c r="I46" s="8">
        <v>24051.05</v>
      </c>
      <c r="J46" s="8">
        <v>24296.959999999999</v>
      </c>
      <c r="K46" s="8">
        <v>28409.83</v>
      </c>
      <c r="L46" s="8">
        <v>29087.07</v>
      </c>
      <c r="M46" s="8">
        <v>24606.44</v>
      </c>
      <c r="N46" s="8">
        <v>21847.86</v>
      </c>
      <c r="O46" s="8">
        <v>21718.16</v>
      </c>
      <c r="P46" s="8">
        <v>21052.06</v>
      </c>
      <c r="Q46" s="8">
        <v>275744.32</v>
      </c>
    </row>
    <row r="47" spans="1:17" x14ac:dyDescent="0.2">
      <c r="A47" s="4" t="s">
        <v>31</v>
      </c>
      <c r="B47" s="5"/>
      <c r="C47" s="5"/>
      <c r="D47" s="39"/>
      <c r="E47" s="7">
        <v>29071.42</v>
      </c>
      <c r="F47" s="8">
        <v>27935.77</v>
      </c>
      <c r="G47" s="8">
        <v>32066.05</v>
      </c>
      <c r="H47" s="8">
        <v>27540.14</v>
      </c>
      <c r="I47" s="8">
        <v>34765.15</v>
      </c>
      <c r="J47" s="8">
        <v>35120.6</v>
      </c>
      <c r="K47" s="8">
        <v>41065.65</v>
      </c>
      <c r="L47" s="8">
        <v>42044.58</v>
      </c>
      <c r="M47" s="8">
        <v>35567.96</v>
      </c>
      <c r="N47" s="8">
        <v>31580.49</v>
      </c>
      <c r="O47" s="8">
        <v>31393.02</v>
      </c>
      <c r="P47" s="8">
        <v>30430.19</v>
      </c>
      <c r="Q47" s="8">
        <v>398581.02</v>
      </c>
    </row>
    <row r="48" spans="1:17" x14ac:dyDescent="0.2">
      <c r="A48" s="4" t="s">
        <v>32</v>
      </c>
      <c r="B48" s="5"/>
      <c r="C48" s="5"/>
      <c r="D48" s="39"/>
      <c r="E48" s="7">
        <v>19110.71</v>
      </c>
      <c r="F48" s="8">
        <v>18364.169999999998</v>
      </c>
      <c r="G48" s="8">
        <v>21079.3</v>
      </c>
      <c r="H48" s="8">
        <v>18104.099999999999</v>
      </c>
      <c r="I48" s="8">
        <v>22853.61</v>
      </c>
      <c r="J48" s="8">
        <v>23087.27</v>
      </c>
      <c r="K48" s="8">
        <v>26995.37</v>
      </c>
      <c r="L48" s="8">
        <v>27638.9</v>
      </c>
      <c r="M48" s="8">
        <v>23381.35</v>
      </c>
      <c r="N48" s="8">
        <v>20760.11</v>
      </c>
      <c r="O48" s="8">
        <v>20636.87</v>
      </c>
      <c r="P48" s="8">
        <v>20003.93</v>
      </c>
      <c r="Q48" s="8">
        <v>262015.69</v>
      </c>
    </row>
    <row r="49" spans="1:17" x14ac:dyDescent="0.2">
      <c r="A49" s="4" t="s">
        <v>33</v>
      </c>
      <c r="B49" s="5"/>
      <c r="C49" s="5"/>
      <c r="D49" s="39"/>
      <c r="E49" s="21">
        <v>21910.93</v>
      </c>
      <c r="F49" s="22">
        <v>21055</v>
      </c>
      <c r="G49" s="22">
        <v>24167.97</v>
      </c>
      <c r="H49" s="22">
        <v>20756.82</v>
      </c>
      <c r="I49" s="22">
        <v>26202.26</v>
      </c>
      <c r="J49" s="22">
        <v>26470.16</v>
      </c>
      <c r="K49" s="22">
        <v>30950.89</v>
      </c>
      <c r="L49" s="22">
        <v>31688.71</v>
      </c>
      <c r="M49" s="22">
        <v>26807.32</v>
      </c>
      <c r="N49" s="22">
        <v>23802</v>
      </c>
      <c r="O49" s="22">
        <v>23660.7</v>
      </c>
      <c r="P49" s="22">
        <v>22935.02</v>
      </c>
      <c r="Q49" s="22">
        <v>300407.77999999997</v>
      </c>
    </row>
    <row r="50" spans="1:17" x14ac:dyDescent="0.2">
      <c r="A50" s="4"/>
      <c r="B50" s="5"/>
      <c r="C50" s="5"/>
      <c r="D50" s="39"/>
      <c r="E50" s="13">
        <v>343782.48</v>
      </c>
      <c r="F50" s="14">
        <v>330352.95</v>
      </c>
      <c r="G50" s="14">
        <v>379195.37</v>
      </c>
      <c r="H50" s="14">
        <v>325674.45999999996</v>
      </c>
      <c r="I50" s="14">
        <v>411113.41</v>
      </c>
      <c r="J50" s="14">
        <v>415316.74</v>
      </c>
      <c r="K50" s="14">
        <v>485619.5400000001</v>
      </c>
      <c r="L50" s="14">
        <v>497195.91000000003</v>
      </c>
      <c r="M50" s="14">
        <v>420606.9</v>
      </c>
      <c r="N50" s="14">
        <v>373453.3899999999</v>
      </c>
      <c r="O50" s="14">
        <v>371236.43</v>
      </c>
      <c r="P50" s="14">
        <v>359850.50000000006</v>
      </c>
      <c r="Q50" s="14">
        <v>4713398.0799999991</v>
      </c>
    </row>
    <row r="51" spans="1:17" x14ac:dyDescent="0.2">
      <c r="A51" s="24"/>
      <c r="B51" s="5"/>
      <c r="C51" s="5"/>
      <c r="D51" s="6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69</v>
      </c>
      <c r="B52" s="16"/>
      <c r="C52" s="5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>
        <v>116141.07</v>
      </c>
      <c r="F53" s="8">
        <v>111604.14</v>
      </c>
      <c r="G53" s="8">
        <v>128104.72</v>
      </c>
      <c r="H53" s="8">
        <v>110023.58</v>
      </c>
      <c r="I53" s="8">
        <v>138887.67999999999</v>
      </c>
      <c r="J53" s="8">
        <v>140307.71</v>
      </c>
      <c r="K53" s="8">
        <v>164058.31</v>
      </c>
      <c r="L53" s="8">
        <v>167969.19</v>
      </c>
      <c r="M53" s="8">
        <v>142094.9</v>
      </c>
      <c r="N53" s="8">
        <v>126164.88</v>
      </c>
      <c r="O53" s="8">
        <v>125415.92</v>
      </c>
      <c r="P53" s="8">
        <v>121569.38</v>
      </c>
      <c r="Q53" s="8">
        <v>1592341.4799999995</v>
      </c>
    </row>
    <row r="54" spans="1:17" x14ac:dyDescent="0.2">
      <c r="A54" s="4" t="s">
        <v>35</v>
      </c>
      <c r="B54" s="5"/>
      <c r="C54" s="5"/>
      <c r="D54" s="39"/>
      <c r="E54" s="7">
        <v>63745.47</v>
      </c>
      <c r="F54" s="8">
        <v>61255.31</v>
      </c>
      <c r="G54" s="8">
        <v>70311.86</v>
      </c>
      <c r="H54" s="8">
        <v>60387.81</v>
      </c>
      <c r="I54" s="8">
        <v>76230.22</v>
      </c>
      <c r="J54" s="8">
        <v>77009.62</v>
      </c>
      <c r="K54" s="8">
        <v>90045.440000000002</v>
      </c>
      <c r="L54" s="8">
        <v>92191.97</v>
      </c>
      <c r="M54" s="8">
        <v>77990.539999999994</v>
      </c>
      <c r="N54" s="8">
        <v>69247.16</v>
      </c>
      <c r="O54" s="8">
        <v>68836.08</v>
      </c>
      <c r="P54" s="8">
        <v>66724.86</v>
      </c>
      <c r="Q54" s="8">
        <v>873976.34000000008</v>
      </c>
    </row>
    <row r="55" spans="1:17" x14ac:dyDescent="0.2">
      <c r="A55" s="4" t="s">
        <v>36</v>
      </c>
      <c r="B55" s="5"/>
      <c r="C55" s="5"/>
      <c r="D55" s="39"/>
      <c r="E55" s="7">
        <v>51492.87</v>
      </c>
      <c r="F55" s="8">
        <v>49481.36</v>
      </c>
      <c r="G55" s="8">
        <v>56797.13</v>
      </c>
      <c r="H55" s="8">
        <v>48780.6</v>
      </c>
      <c r="I55" s="8">
        <v>61577.919999999998</v>
      </c>
      <c r="J55" s="8">
        <v>62207.51</v>
      </c>
      <c r="K55" s="8">
        <v>72737.7</v>
      </c>
      <c r="L55" s="8">
        <v>74471.649999999994</v>
      </c>
      <c r="M55" s="8">
        <v>62999.89</v>
      </c>
      <c r="N55" s="8">
        <v>55937.09</v>
      </c>
      <c r="O55" s="8">
        <v>55605.02</v>
      </c>
      <c r="P55" s="8">
        <v>53899.6</v>
      </c>
      <c r="Q55" s="8">
        <v>705988.34</v>
      </c>
    </row>
    <row r="56" spans="1:17" x14ac:dyDescent="0.2">
      <c r="A56" s="4"/>
      <c r="B56" s="5"/>
      <c r="C56" s="5"/>
      <c r="D56" s="39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x14ac:dyDescent="0.2">
      <c r="A57" s="4"/>
      <c r="B57" s="5"/>
      <c r="C57" s="5"/>
      <c r="D57" s="39"/>
      <c r="E57" s="13">
        <v>231379.41</v>
      </c>
      <c r="F57" s="14">
        <v>222340.81</v>
      </c>
      <c r="G57" s="14">
        <v>255213.71000000002</v>
      </c>
      <c r="H57" s="14">
        <v>219191.99000000002</v>
      </c>
      <c r="I57" s="14">
        <v>276695.82</v>
      </c>
      <c r="J57" s="14">
        <v>279524.83999999997</v>
      </c>
      <c r="K57" s="14">
        <v>326841.45</v>
      </c>
      <c r="L57" s="14">
        <v>334632.81</v>
      </c>
      <c r="M57" s="14">
        <v>283085.33</v>
      </c>
      <c r="N57" s="14">
        <v>251349.13</v>
      </c>
      <c r="O57" s="14">
        <v>249857.02</v>
      </c>
      <c r="P57" s="14">
        <v>242193.84</v>
      </c>
      <c r="Q57" s="14">
        <v>3172306.1599999997</v>
      </c>
    </row>
    <row r="58" spans="1:17" x14ac:dyDescent="0.2">
      <c r="A58" s="4"/>
      <c r="B58" s="5"/>
      <c r="C58" s="5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5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>
        <v>65925.600000000006</v>
      </c>
      <c r="F60" s="8">
        <v>63350.29</v>
      </c>
      <c r="G60" s="8">
        <v>72716.570000000007</v>
      </c>
      <c r="H60" s="8">
        <v>62453.1</v>
      </c>
      <c r="I60" s="8">
        <v>78837.350000000006</v>
      </c>
      <c r="J60" s="8">
        <v>79643.399999999994</v>
      </c>
      <c r="K60" s="8">
        <v>93125.04</v>
      </c>
      <c r="L60" s="8">
        <v>95345</v>
      </c>
      <c r="M60" s="8">
        <v>80657.87</v>
      </c>
      <c r="N60" s="8">
        <v>71615.460000000006</v>
      </c>
      <c r="O60" s="8">
        <v>71190.320000000007</v>
      </c>
      <c r="P60" s="8">
        <v>69006.89</v>
      </c>
      <c r="Q60" s="8">
        <v>903866.89</v>
      </c>
    </row>
    <row r="61" spans="1:17" x14ac:dyDescent="0.2">
      <c r="A61" s="4" t="s">
        <v>39</v>
      </c>
      <c r="B61" s="5"/>
      <c r="C61" s="5"/>
      <c r="D61" s="39"/>
      <c r="E61" s="7">
        <v>16319.26</v>
      </c>
      <c r="F61" s="8">
        <v>15681.76</v>
      </c>
      <c r="G61" s="8">
        <v>18000.3</v>
      </c>
      <c r="H61" s="8">
        <v>15459.68</v>
      </c>
      <c r="I61" s="8">
        <v>19515.439999999999</v>
      </c>
      <c r="J61" s="8">
        <v>19714.97</v>
      </c>
      <c r="K61" s="8">
        <v>23052.23</v>
      </c>
      <c r="L61" s="8">
        <v>23601.75</v>
      </c>
      <c r="M61" s="8">
        <v>19966.09</v>
      </c>
      <c r="N61" s="8">
        <v>17727.73</v>
      </c>
      <c r="O61" s="8">
        <v>17622.490000000002</v>
      </c>
      <c r="P61" s="8">
        <v>17082</v>
      </c>
      <c r="Q61" s="8">
        <v>223743.7</v>
      </c>
    </row>
    <row r="62" spans="1:17" x14ac:dyDescent="0.2">
      <c r="A62" s="4" t="s">
        <v>40</v>
      </c>
      <c r="B62" s="5"/>
      <c r="C62" s="5"/>
      <c r="D62" s="39"/>
      <c r="E62" s="7">
        <v>16735.57</v>
      </c>
      <c r="F62" s="8">
        <v>16081.81</v>
      </c>
      <c r="G62" s="8">
        <v>18459.490000000002</v>
      </c>
      <c r="H62" s="8">
        <v>15854.06</v>
      </c>
      <c r="I62" s="8">
        <v>20013.28</v>
      </c>
      <c r="J62" s="8">
        <v>20217.900000000001</v>
      </c>
      <c r="K62" s="8">
        <v>23640.29</v>
      </c>
      <c r="L62" s="8">
        <v>24203.84</v>
      </c>
      <c r="M62" s="8">
        <v>20475.43</v>
      </c>
      <c r="N62" s="8">
        <v>18179.97</v>
      </c>
      <c r="O62" s="8">
        <v>18072.04</v>
      </c>
      <c r="P62" s="8">
        <v>17517.77</v>
      </c>
      <c r="Q62" s="8">
        <v>229451.44999999998</v>
      </c>
    </row>
    <row r="63" spans="1:17" x14ac:dyDescent="0.2">
      <c r="A63" s="4" t="s">
        <v>41</v>
      </c>
      <c r="B63" s="5"/>
      <c r="C63" s="5"/>
      <c r="D63" s="39"/>
      <c r="E63" s="7">
        <v>31150.77</v>
      </c>
      <c r="F63" s="8">
        <v>29933.89</v>
      </c>
      <c r="G63" s="8">
        <v>34359.599999999999</v>
      </c>
      <c r="H63" s="8">
        <v>29509.96</v>
      </c>
      <c r="I63" s="8">
        <v>37251.75</v>
      </c>
      <c r="J63" s="8">
        <v>37632.620000000003</v>
      </c>
      <c r="K63" s="8">
        <v>44002.89</v>
      </c>
      <c r="L63" s="8">
        <v>45051.839999999997</v>
      </c>
      <c r="M63" s="8">
        <v>38111.97</v>
      </c>
      <c r="N63" s="8">
        <v>33839.300000000003</v>
      </c>
      <c r="O63" s="8">
        <v>33638.42</v>
      </c>
      <c r="P63" s="8">
        <v>32606.720000000001</v>
      </c>
      <c r="Q63" s="8">
        <v>427089.72999999986</v>
      </c>
    </row>
    <row r="64" spans="1:17" x14ac:dyDescent="0.2">
      <c r="A64" s="4" t="s">
        <v>42</v>
      </c>
      <c r="B64" s="5"/>
      <c r="C64" s="5"/>
      <c r="D64" s="39"/>
      <c r="E64" s="7">
        <v>25142.79</v>
      </c>
      <c r="F64" s="8">
        <v>24160.61</v>
      </c>
      <c r="G64" s="8">
        <v>27732.74</v>
      </c>
      <c r="H64" s="8">
        <v>23818.45</v>
      </c>
      <c r="I64" s="8">
        <v>30067.09</v>
      </c>
      <c r="J64" s="8">
        <v>30374.5</v>
      </c>
      <c r="K64" s="8">
        <v>35516.15</v>
      </c>
      <c r="L64" s="8">
        <v>36362.800000000003</v>
      </c>
      <c r="M64" s="8">
        <v>30761.4</v>
      </c>
      <c r="N64" s="8">
        <v>27312.799999999999</v>
      </c>
      <c r="O64" s="8">
        <v>27150.66</v>
      </c>
      <c r="P64" s="8">
        <v>26317.94</v>
      </c>
      <c r="Q64" s="8">
        <v>344717.93</v>
      </c>
    </row>
    <row r="65" spans="1:17" x14ac:dyDescent="0.2">
      <c r="A65" s="4" t="s">
        <v>43</v>
      </c>
      <c r="B65" s="5"/>
      <c r="C65" s="5"/>
      <c r="D65" s="39"/>
      <c r="E65" s="7">
        <v>18179.5</v>
      </c>
      <c r="F65" s="8">
        <v>17469.330000000002</v>
      </c>
      <c r="G65" s="8">
        <v>20052.16</v>
      </c>
      <c r="H65" s="8">
        <v>17221.93</v>
      </c>
      <c r="I65" s="8">
        <v>21740.01</v>
      </c>
      <c r="J65" s="8">
        <v>21962.29</v>
      </c>
      <c r="K65" s="8">
        <v>25679.96</v>
      </c>
      <c r="L65" s="8">
        <v>26292.13</v>
      </c>
      <c r="M65" s="8">
        <v>22242.04</v>
      </c>
      <c r="N65" s="8">
        <v>19748.52</v>
      </c>
      <c r="O65" s="8">
        <v>19631.29</v>
      </c>
      <c r="P65" s="8">
        <v>19029.189999999999</v>
      </c>
      <c r="Q65" s="8">
        <v>249248.35</v>
      </c>
    </row>
    <row r="66" spans="1:17" x14ac:dyDescent="0.2">
      <c r="A66" s="4" t="s">
        <v>44</v>
      </c>
      <c r="B66" s="5"/>
      <c r="C66" s="5"/>
      <c r="D66" s="39"/>
      <c r="E66" s="7">
        <v>25000.37</v>
      </c>
      <c r="F66" s="8">
        <v>24023.759999999998</v>
      </c>
      <c r="G66" s="8">
        <v>27575.65</v>
      </c>
      <c r="H66" s="8">
        <v>23683.53</v>
      </c>
      <c r="I66" s="8">
        <v>29896.77</v>
      </c>
      <c r="J66" s="8">
        <v>30202.45</v>
      </c>
      <c r="K66" s="8">
        <v>35314.97</v>
      </c>
      <c r="L66" s="8">
        <v>36156.82</v>
      </c>
      <c r="M66" s="8">
        <v>30587.16</v>
      </c>
      <c r="N66" s="8">
        <v>27158.080000000002</v>
      </c>
      <c r="O66" s="8">
        <v>26996.86</v>
      </c>
      <c r="P66" s="8">
        <v>26168.86</v>
      </c>
      <c r="Q66" s="8">
        <v>342765.27999999997</v>
      </c>
    </row>
    <row r="67" spans="1:17" x14ac:dyDescent="0.2">
      <c r="A67" s="4" t="s">
        <v>45</v>
      </c>
      <c r="B67" s="5"/>
      <c r="C67" s="5"/>
      <c r="D67" s="39"/>
      <c r="E67" s="7">
        <v>14868.76</v>
      </c>
      <c r="F67" s="8">
        <v>14287.93</v>
      </c>
      <c r="G67" s="8">
        <v>16400.39</v>
      </c>
      <c r="H67" s="8">
        <v>14085.58</v>
      </c>
      <c r="I67" s="8">
        <v>17780.849999999999</v>
      </c>
      <c r="J67" s="8">
        <v>17962.650000000001</v>
      </c>
      <c r="K67" s="8">
        <v>21003.279999999999</v>
      </c>
      <c r="L67" s="8">
        <v>21503.96</v>
      </c>
      <c r="M67" s="8">
        <v>18191.45</v>
      </c>
      <c r="N67" s="8">
        <v>16152.04</v>
      </c>
      <c r="O67" s="8">
        <v>16056.15</v>
      </c>
      <c r="P67" s="8">
        <v>15563.71</v>
      </c>
      <c r="Q67" s="8">
        <v>203856.75</v>
      </c>
    </row>
    <row r="68" spans="1:17" x14ac:dyDescent="0.2">
      <c r="A68" s="4" t="s">
        <v>46</v>
      </c>
      <c r="B68" s="5"/>
      <c r="C68" s="5"/>
      <c r="D68" s="39"/>
      <c r="E68" s="7">
        <v>14770.16</v>
      </c>
      <c r="F68" s="8">
        <v>14193.18</v>
      </c>
      <c r="G68" s="8">
        <v>16291.62</v>
      </c>
      <c r="H68" s="8">
        <v>13992.17</v>
      </c>
      <c r="I68" s="8">
        <v>17662.939999999999</v>
      </c>
      <c r="J68" s="8">
        <v>17843.54</v>
      </c>
      <c r="K68" s="8">
        <v>20864</v>
      </c>
      <c r="L68" s="8">
        <v>21361.37</v>
      </c>
      <c r="M68" s="8">
        <v>18070.82</v>
      </c>
      <c r="N68" s="8">
        <v>16044.93</v>
      </c>
      <c r="O68" s="8">
        <v>15949.69</v>
      </c>
      <c r="P68" s="8">
        <v>15460.5</v>
      </c>
      <c r="Q68" s="8">
        <v>202504.91999999998</v>
      </c>
    </row>
    <row r="69" spans="1:17" x14ac:dyDescent="0.2">
      <c r="A69" s="4"/>
      <c r="B69" s="5"/>
      <c r="C69" s="5"/>
      <c r="D69" s="39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x14ac:dyDescent="0.2">
      <c r="A70" s="4"/>
      <c r="B70" s="5"/>
      <c r="C70" s="5"/>
      <c r="D70" s="39"/>
      <c r="E70" s="13">
        <v>228092.78</v>
      </c>
      <c r="F70" s="14">
        <v>219182.56</v>
      </c>
      <c r="G70" s="14">
        <v>251588.52000000002</v>
      </c>
      <c r="H70" s="14">
        <v>216078.46</v>
      </c>
      <c r="I70" s="14">
        <v>272765.48</v>
      </c>
      <c r="J70" s="14">
        <v>275554.32</v>
      </c>
      <c r="K70" s="14">
        <v>322198.81000000006</v>
      </c>
      <c r="L70" s="14">
        <v>329879.51</v>
      </c>
      <c r="M70" s="14">
        <v>279064.23</v>
      </c>
      <c r="N70" s="14">
        <v>247778.83</v>
      </c>
      <c r="O70" s="14">
        <v>246307.92</v>
      </c>
      <c r="P70" s="14">
        <v>238753.58</v>
      </c>
      <c r="Q70" s="14">
        <v>3127245</v>
      </c>
    </row>
    <row r="71" spans="1:17" x14ac:dyDescent="0.2">
      <c r="A71" s="4"/>
      <c r="B71" s="5"/>
      <c r="C71" s="5"/>
      <c r="D71" s="6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5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>
        <v>105393.75</v>
      </c>
      <c r="F73" s="8">
        <v>101276.66</v>
      </c>
      <c r="G73" s="8">
        <v>116250.32</v>
      </c>
      <c r="H73" s="8">
        <v>99842.36</v>
      </c>
      <c r="I73" s="8">
        <v>126035.47</v>
      </c>
      <c r="J73" s="8">
        <v>127324.09</v>
      </c>
      <c r="K73" s="8">
        <v>148876.89000000001</v>
      </c>
      <c r="L73" s="8">
        <v>152425.88</v>
      </c>
      <c r="M73" s="8">
        <v>128945.9</v>
      </c>
      <c r="N73" s="8">
        <v>114490</v>
      </c>
      <c r="O73" s="8">
        <v>113810.33</v>
      </c>
      <c r="P73" s="8">
        <v>110319.75</v>
      </c>
      <c r="Q73" s="8">
        <v>1444991.4</v>
      </c>
    </row>
    <row r="74" spans="1:17" x14ac:dyDescent="0.2">
      <c r="A74" s="4" t="s">
        <v>49</v>
      </c>
      <c r="B74" s="5"/>
      <c r="C74" s="5"/>
      <c r="D74" s="39"/>
      <c r="E74" s="7">
        <v>25683.99</v>
      </c>
      <c r="F74" s="8">
        <v>24680.67</v>
      </c>
      <c r="G74" s="8">
        <v>28329.69</v>
      </c>
      <c r="H74" s="8">
        <v>24331.14</v>
      </c>
      <c r="I74" s="8">
        <v>30714.29</v>
      </c>
      <c r="J74" s="8">
        <v>31028.33</v>
      </c>
      <c r="K74" s="8">
        <v>36280.639999999999</v>
      </c>
      <c r="L74" s="8">
        <v>37145.51</v>
      </c>
      <c r="M74" s="8">
        <v>31423.55</v>
      </c>
      <c r="N74" s="8">
        <v>27900.7</v>
      </c>
      <c r="O74" s="8">
        <v>27735.08</v>
      </c>
      <c r="P74" s="8">
        <v>26884.44</v>
      </c>
      <c r="Q74" s="8">
        <v>352138.03</v>
      </c>
    </row>
    <row r="75" spans="1:17" x14ac:dyDescent="0.2">
      <c r="A75" s="4" t="s">
        <v>50</v>
      </c>
      <c r="B75" s="5"/>
      <c r="C75" s="5"/>
      <c r="D75" s="39"/>
      <c r="E75" s="7">
        <v>34437.410000000003</v>
      </c>
      <c r="F75" s="8">
        <v>33092.14</v>
      </c>
      <c r="G75" s="8">
        <v>37984.79</v>
      </c>
      <c r="H75" s="8">
        <v>32623.49</v>
      </c>
      <c r="I75" s="8">
        <v>41182.089999999997</v>
      </c>
      <c r="J75" s="8">
        <v>41603.14</v>
      </c>
      <c r="K75" s="8">
        <v>48645.52</v>
      </c>
      <c r="L75" s="8">
        <v>49805.15</v>
      </c>
      <c r="M75" s="8">
        <v>42133.07</v>
      </c>
      <c r="N75" s="8">
        <v>37409.599999999999</v>
      </c>
      <c r="O75" s="8">
        <v>37187.53</v>
      </c>
      <c r="P75" s="8">
        <v>36046.97</v>
      </c>
      <c r="Q75" s="8">
        <v>472150.9</v>
      </c>
    </row>
    <row r="76" spans="1:17" x14ac:dyDescent="0.2">
      <c r="A76" s="4" t="s">
        <v>51</v>
      </c>
      <c r="B76" s="5"/>
      <c r="C76" s="5"/>
      <c r="D76" s="39"/>
      <c r="E76" s="7">
        <v>29663.02</v>
      </c>
      <c r="F76" s="8">
        <v>28504.26</v>
      </c>
      <c r="G76" s="8">
        <v>32718.59</v>
      </c>
      <c r="H76" s="8">
        <v>28100.58</v>
      </c>
      <c r="I76" s="8">
        <v>35472.61</v>
      </c>
      <c r="J76" s="8">
        <v>35835.300000000003</v>
      </c>
      <c r="K76" s="8">
        <v>41901.32</v>
      </c>
      <c r="L76" s="8">
        <v>42900.18</v>
      </c>
      <c r="M76" s="8">
        <v>36291.75</v>
      </c>
      <c r="N76" s="8">
        <v>32223.15</v>
      </c>
      <c r="O76" s="8">
        <v>32031.86</v>
      </c>
      <c r="P76" s="8">
        <v>31049.43</v>
      </c>
      <c r="Q76" s="8">
        <v>406692.05</v>
      </c>
    </row>
    <row r="77" spans="1:17" x14ac:dyDescent="0.2">
      <c r="A77" s="4" t="s">
        <v>52</v>
      </c>
      <c r="B77" s="5"/>
      <c r="C77" s="5"/>
      <c r="D77" s="39"/>
      <c r="E77" s="7">
        <v>55875.06</v>
      </c>
      <c r="F77" s="8">
        <v>53692.36</v>
      </c>
      <c r="G77" s="8">
        <v>61630.73</v>
      </c>
      <c r="H77" s="8">
        <v>52931.96</v>
      </c>
      <c r="I77" s="8">
        <v>66818.37</v>
      </c>
      <c r="J77" s="8">
        <v>67501.539999999994</v>
      </c>
      <c r="K77" s="8">
        <v>78927.88</v>
      </c>
      <c r="L77" s="8">
        <v>80809.39</v>
      </c>
      <c r="M77" s="8">
        <v>68361.350000000006</v>
      </c>
      <c r="N77" s="8">
        <v>60697.48</v>
      </c>
      <c r="O77" s="8">
        <v>60337.16</v>
      </c>
      <c r="P77" s="8">
        <v>58486.6</v>
      </c>
      <c r="Q77" s="8">
        <v>766069.88</v>
      </c>
    </row>
    <row r="78" spans="1:17" x14ac:dyDescent="0.2">
      <c r="A78" s="4" t="s">
        <v>53</v>
      </c>
      <c r="B78" s="5"/>
      <c r="C78" s="5"/>
      <c r="D78" s="39"/>
      <c r="E78" s="7">
        <v>34884.39</v>
      </c>
      <c r="F78" s="8">
        <v>33521.67</v>
      </c>
      <c r="G78" s="8">
        <v>38477.82</v>
      </c>
      <c r="H78" s="8">
        <v>33046.93</v>
      </c>
      <c r="I78" s="8">
        <v>41716.61</v>
      </c>
      <c r="J78" s="8">
        <v>42143.13</v>
      </c>
      <c r="K78" s="8">
        <v>49276.92</v>
      </c>
      <c r="L78" s="8">
        <v>50451.6</v>
      </c>
      <c r="M78" s="8">
        <v>42679.94</v>
      </c>
      <c r="N78" s="8">
        <v>37895.160000000003</v>
      </c>
      <c r="O78" s="8">
        <v>37670.21</v>
      </c>
      <c r="P78" s="8">
        <v>36514.85</v>
      </c>
      <c r="Q78" s="22">
        <v>478279.22999999992</v>
      </c>
    </row>
    <row r="79" spans="1:17" ht="13.5" thickBot="1" x14ac:dyDescent="0.25">
      <c r="A79" s="41"/>
      <c r="B79" s="42"/>
      <c r="C79" s="42"/>
      <c r="D79" s="43"/>
      <c r="E79" s="27">
        <v>285937.62</v>
      </c>
      <c r="F79" s="28">
        <v>274767.76</v>
      </c>
      <c r="G79" s="28">
        <v>315391.94</v>
      </c>
      <c r="H79" s="28">
        <v>270876.46000000002</v>
      </c>
      <c r="I79" s="28">
        <v>341939.44</v>
      </c>
      <c r="J79" s="28">
        <v>345435.52999999997</v>
      </c>
      <c r="K79" s="28">
        <v>403909.17</v>
      </c>
      <c r="L79" s="28">
        <v>413537.71</v>
      </c>
      <c r="M79" s="28">
        <v>349835.56</v>
      </c>
      <c r="N79" s="28">
        <v>310616.08999999997</v>
      </c>
      <c r="O79" s="28">
        <v>308772.17</v>
      </c>
      <c r="P79" s="28">
        <v>299302.03999999998</v>
      </c>
      <c r="Q79" s="28">
        <v>3920321.4899999998</v>
      </c>
    </row>
    <row r="80" spans="1:17" ht="13.5" thickTop="1" x14ac:dyDescent="0.2">
      <c r="D80" s="31" t="s">
        <v>73</v>
      </c>
      <c r="E80" s="29">
        <v>2191092.9</v>
      </c>
      <c r="F80" s="29">
        <v>2105500.0700000003</v>
      </c>
      <c r="G80" s="29">
        <v>2416796.5</v>
      </c>
      <c r="H80" s="29">
        <v>2075681.7</v>
      </c>
      <c r="I80" s="29">
        <v>2620225.6</v>
      </c>
      <c r="J80" s="29">
        <v>2647015.5499999998</v>
      </c>
      <c r="K80" s="29">
        <v>3095089.46</v>
      </c>
      <c r="L80" s="29">
        <v>3168871.33</v>
      </c>
      <c r="M80" s="29">
        <v>2680732.29</v>
      </c>
      <c r="N80" s="29">
        <v>2380200.0499999998</v>
      </c>
      <c r="O80" s="29">
        <v>2366070.29</v>
      </c>
      <c r="P80" s="29">
        <v>2293502.25</v>
      </c>
      <c r="Q80" s="29">
        <v>30040777.989999998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3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80"/>
  <sheetViews>
    <sheetView zoomScale="80" zoomScaleNormal="80" workbookViewId="0"/>
  </sheetViews>
  <sheetFormatPr baseColWidth="10" defaultColWidth="12.5703125" defaultRowHeight="12.75" x14ac:dyDescent="0.2"/>
  <cols>
    <col min="1" max="1" width="17.5703125" style="1" customWidth="1"/>
    <col min="2" max="2" width="4.42578125" style="1" customWidth="1"/>
    <col min="3" max="3" width="7.5703125" style="1" customWidth="1"/>
    <col min="4" max="4" width="9.42578125" style="1" customWidth="1"/>
    <col min="5" max="12" width="19" style="1" customWidth="1"/>
    <col min="13" max="16" width="17.5703125" style="1" customWidth="1"/>
    <col min="17" max="17" width="16.5703125" style="1" customWidth="1"/>
    <col min="18" max="18" width="13.42578125" style="1" customWidth="1"/>
    <col min="19" max="16384" width="12.5703125" style="1"/>
  </cols>
  <sheetData>
    <row r="1" spans="1:17" x14ac:dyDescent="0.2">
      <c r="A1" s="44" t="s">
        <v>74</v>
      </c>
    </row>
    <row r="2" spans="1:17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82" t="s">
        <v>72</v>
      </c>
      <c r="B5" s="83"/>
      <c r="C5" s="83"/>
      <c r="D5" s="83"/>
      <c r="E5" s="84" t="s">
        <v>194</v>
      </c>
      <c r="F5" s="85" t="s">
        <v>195</v>
      </c>
      <c r="G5" s="84" t="s">
        <v>196</v>
      </c>
      <c r="H5" s="84" t="s">
        <v>197</v>
      </c>
      <c r="I5" s="84" t="s">
        <v>198</v>
      </c>
      <c r="J5" s="84" t="s">
        <v>199</v>
      </c>
      <c r="K5" s="84" t="s">
        <v>200</v>
      </c>
      <c r="L5" s="84" t="s">
        <v>201</v>
      </c>
      <c r="M5" s="84" t="s">
        <v>202</v>
      </c>
      <c r="N5" s="84" t="s">
        <v>203</v>
      </c>
      <c r="O5" s="84" t="s">
        <v>204</v>
      </c>
      <c r="P5" s="84" t="s">
        <v>205</v>
      </c>
      <c r="Q5" s="84" t="s">
        <v>57</v>
      </c>
    </row>
    <row r="6" spans="1:17" x14ac:dyDescent="0.2">
      <c r="A6" s="86"/>
      <c r="B6" s="87"/>
      <c r="C6" s="87"/>
      <c r="D6" s="87"/>
      <c r="E6" s="88"/>
      <c r="F6" s="89"/>
      <c r="G6" s="88"/>
      <c r="H6" s="88"/>
      <c r="I6" s="88"/>
      <c r="J6" s="88"/>
      <c r="K6" s="88"/>
      <c r="L6" s="88"/>
      <c r="M6" s="88"/>
      <c r="N6" s="88"/>
      <c r="O6" s="88"/>
      <c r="P6" s="88"/>
      <c r="Q6" s="90">
        <v>1993</v>
      </c>
    </row>
    <row r="7" spans="1:17" x14ac:dyDescent="0.2">
      <c r="A7" s="52"/>
      <c r="B7" s="53"/>
      <c r="C7" s="53"/>
      <c r="D7" s="5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58"/>
      <c r="Q7" s="72"/>
    </row>
    <row r="8" spans="1:17" x14ac:dyDescent="0.2">
      <c r="A8" s="4" t="s">
        <v>0</v>
      </c>
      <c r="B8" s="5"/>
      <c r="C8" s="33"/>
      <c r="D8" s="40" t="s">
        <v>61</v>
      </c>
      <c r="E8" s="7"/>
      <c r="F8" s="8"/>
      <c r="G8" s="8"/>
      <c r="H8" s="8"/>
      <c r="I8" s="8"/>
      <c r="J8" s="8"/>
      <c r="K8" s="8"/>
      <c r="L8" s="8"/>
      <c r="M8" s="8"/>
      <c r="N8" s="8"/>
      <c r="O8" s="8">
        <v>1348074.09</v>
      </c>
      <c r="P8" s="8">
        <v>2898335.98</v>
      </c>
      <c r="Q8" s="8">
        <v>4246410.07</v>
      </c>
    </row>
    <row r="9" spans="1:17" x14ac:dyDescent="0.2">
      <c r="A9" s="4" t="s">
        <v>1</v>
      </c>
      <c r="B9" s="5"/>
      <c r="C9" s="33"/>
      <c r="D9" s="40" t="s">
        <v>62</v>
      </c>
      <c r="E9" s="7"/>
      <c r="F9" s="8"/>
      <c r="G9" s="8"/>
      <c r="H9" s="8"/>
      <c r="I9" s="8"/>
      <c r="J9" s="8"/>
      <c r="K9" s="8"/>
      <c r="L9" s="8"/>
      <c r="M9" s="8"/>
      <c r="N9" s="8"/>
      <c r="O9" s="8">
        <v>129622.51</v>
      </c>
      <c r="P9" s="8">
        <v>278686.15000000002</v>
      </c>
      <c r="Q9" s="8">
        <v>408308.66000000003</v>
      </c>
    </row>
    <row r="10" spans="1:17" x14ac:dyDescent="0.2">
      <c r="A10" s="4" t="s">
        <v>2</v>
      </c>
      <c r="B10" s="5"/>
      <c r="C10" s="33"/>
      <c r="D10" s="40" t="s">
        <v>63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>
        <v>77773.509999999995</v>
      </c>
      <c r="P10" s="8">
        <v>167211.69</v>
      </c>
      <c r="Q10" s="8">
        <v>244985.2</v>
      </c>
    </row>
    <row r="11" spans="1:17" ht="13.5" thickBot="1" x14ac:dyDescent="0.25">
      <c r="A11" s="4" t="s">
        <v>3</v>
      </c>
      <c r="B11" s="5"/>
      <c r="C11" s="33"/>
      <c r="D11" s="40" t="s">
        <v>64</v>
      </c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>
        <v>1036980.07</v>
      </c>
      <c r="P11" s="10">
        <v>2229489.2200000002</v>
      </c>
      <c r="Q11" s="11">
        <v>3266469.29</v>
      </c>
    </row>
    <row r="12" spans="1:17" x14ac:dyDescent="0.2">
      <c r="A12" s="4"/>
      <c r="B12" s="5"/>
      <c r="C12" s="5"/>
      <c r="D12" s="12" t="s">
        <v>68</v>
      </c>
      <c r="E12" s="13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2592450.1800000002</v>
      </c>
      <c r="P12" s="14">
        <v>5573723.04</v>
      </c>
      <c r="Q12" s="14">
        <v>8166173.2200000007</v>
      </c>
    </row>
    <row r="13" spans="1:17" x14ac:dyDescent="0.2">
      <c r="A13" s="4"/>
      <c r="B13" s="5"/>
      <c r="C13" s="5"/>
      <c r="D13" s="6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">
      <c r="A14" s="4" t="s">
        <v>4</v>
      </c>
      <c r="B14" s="5"/>
      <c r="C14" s="5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">
      <c r="A15" s="4"/>
      <c r="B15" s="5"/>
      <c r="C15" s="5"/>
      <c r="D15" s="6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8"/>
    </row>
    <row r="16" spans="1:17" ht="13.5" thickBot="1" x14ac:dyDescent="0.25">
      <c r="A16" s="15" t="s">
        <v>5</v>
      </c>
      <c r="B16" s="16"/>
      <c r="C16" s="17"/>
      <c r="D16" s="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9"/>
    </row>
    <row r="17" spans="1:18" x14ac:dyDescent="0.2">
      <c r="A17" s="4" t="s">
        <v>6</v>
      </c>
      <c r="B17" s="5"/>
      <c r="C17" s="5"/>
      <c r="D17" s="39"/>
      <c r="E17" s="7"/>
      <c r="F17" s="8"/>
      <c r="G17" s="8"/>
      <c r="H17" s="8"/>
      <c r="I17" s="8"/>
      <c r="J17" s="8"/>
      <c r="K17" s="8"/>
      <c r="L17" s="8"/>
      <c r="M17" s="8"/>
      <c r="N17" s="8"/>
      <c r="O17" s="8">
        <v>197329</v>
      </c>
      <c r="P17" s="8">
        <v>424253.96</v>
      </c>
      <c r="Q17" s="8">
        <v>621582.96</v>
      </c>
      <c r="R17" s="20"/>
    </row>
    <row r="18" spans="1:18" x14ac:dyDescent="0.2">
      <c r="A18" s="4" t="s">
        <v>7</v>
      </c>
      <c r="B18" s="5"/>
      <c r="C18" s="5"/>
      <c r="D18" s="39"/>
      <c r="E18" s="7"/>
      <c r="F18" s="8"/>
      <c r="G18" s="8"/>
      <c r="H18" s="8"/>
      <c r="I18" s="8"/>
      <c r="J18" s="8"/>
      <c r="K18" s="8"/>
      <c r="L18" s="8"/>
      <c r="M18" s="8"/>
      <c r="N18" s="8"/>
      <c r="O18" s="8">
        <v>12967.44</v>
      </c>
      <c r="P18" s="8">
        <v>27879.759999999998</v>
      </c>
      <c r="Q18" s="8">
        <v>40847.199999999997</v>
      </c>
    </row>
    <row r="19" spans="1:18" x14ac:dyDescent="0.2">
      <c r="A19" s="4" t="s">
        <v>8</v>
      </c>
      <c r="B19" s="5"/>
      <c r="C19" s="5"/>
      <c r="D19" s="39"/>
      <c r="E19" s="7"/>
      <c r="F19" s="8"/>
      <c r="G19" s="8"/>
      <c r="H19" s="8"/>
      <c r="I19" s="8"/>
      <c r="J19" s="8"/>
      <c r="K19" s="8"/>
      <c r="L19" s="8"/>
      <c r="M19" s="8"/>
      <c r="N19" s="8"/>
      <c r="O19" s="8">
        <v>19717.14</v>
      </c>
      <c r="P19" s="8">
        <v>42391.51</v>
      </c>
      <c r="Q19" s="8">
        <v>62108.65</v>
      </c>
    </row>
    <row r="20" spans="1:18" x14ac:dyDescent="0.2">
      <c r="A20" s="4" t="s">
        <v>9</v>
      </c>
      <c r="B20" s="5"/>
      <c r="C20" s="5"/>
      <c r="D20" s="39"/>
      <c r="E20" s="7"/>
      <c r="F20" s="8"/>
      <c r="G20" s="8"/>
      <c r="H20" s="8"/>
      <c r="I20" s="8"/>
      <c r="J20" s="8"/>
      <c r="K20" s="8"/>
      <c r="L20" s="8"/>
      <c r="M20" s="8"/>
      <c r="N20" s="8"/>
      <c r="O20" s="8">
        <v>18534.98</v>
      </c>
      <c r="P20" s="8">
        <v>39849.89</v>
      </c>
      <c r="Q20" s="8">
        <v>58384.869999999995</v>
      </c>
    </row>
    <row r="21" spans="1:18" x14ac:dyDescent="0.2">
      <c r="A21" s="4" t="s">
        <v>10</v>
      </c>
      <c r="B21" s="5"/>
      <c r="C21" s="5"/>
      <c r="D21" s="39"/>
      <c r="E21" s="7"/>
      <c r="F21" s="8"/>
      <c r="G21" s="8"/>
      <c r="H21" s="8"/>
      <c r="I21" s="8"/>
      <c r="J21" s="8"/>
      <c r="K21" s="8"/>
      <c r="L21" s="8"/>
      <c r="M21" s="8"/>
      <c r="N21" s="8"/>
      <c r="O21" s="8">
        <v>17378.75</v>
      </c>
      <c r="P21" s="8">
        <v>37364.01</v>
      </c>
      <c r="Q21" s="8">
        <v>54742.76</v>
      </c>
    </row>
    <row r="22" spans="1:18" x14ac:dyDescent="0.2">
      <c r="A22" s="4" t="s">
        <v>11</v>
      </c>
      <c r="B22" s="5"/>
      <c r="C22" s="5"/>
      <c r="D22" s="39"/>
      <c r="E22" s="7"/>
      <c r="F22" s="8"/>
      <c r="G22" s="8"/>
      <c r="H22" s="8"/>
      <c r="I22" s="8"/>
      <c r="J22" s="8"/>
      <c r="K22" s="8"/>
      <c r="L22" s="8"/>
      <c r="M22" s="8"/>
      <c r="N22" s="8"/>
      <c r="O22" s="8">
        <v>16664.27</v>
      </c>
      <c r="P22" s="8">
        <v>35827.89</v>
      </c>
      <c r="Q22" s="8">
        <v>52492.160000000003</v>
      </c>
    </row>
    <row r="23" spans="1:18" x14ac:dyDescent="0.2">
      <c r="A23" s="4" t="s">
        <v>12</v>
      </c>
      <c r="B23" s="5"/>
      <c r="C23" s="5"/>
      <c r="D23" s="39"/>
      <c r="E23" s="7"/>
      <c r="F23" s="8"/>
      <c r="G23" s="8"/>
      <c r="H23" s="8"/>
      <c r="I23" s="8"/>
      <c r="J23" s="8"/>
      <c r="K23" s="8"/>
      <c r="L23" s="8"/>
      <c r="M23" s="8"/>
      <c r="N23" s="8"/>
      <c r="O23" s="8">
        <v>17397.41</v>
      </c>
      <c r="P23" s="8">
        <v>37404.14</v>
      </c>
      <c r="Q23" s="8">
        <v>54801.55</v>
      </c>
    </row>
    <row r="24" spans="1:18" x14ac:dyDescent="0.2">
      <c r="A24" s="4" t="s">
        <v>13</v>
      </c>
      <c r="B24" s="5"/>
      <c r="C24" s="5"/>
      <c r="D24" s="39"/>
      <c r="E24" s="7"/>
      <c r="F24" s="8"/>
      <c r="G24" s="8"/>
      <c r="H24" s="8"/>
      <c r="I24" s="8"/>
      <c r="J24" s="8"/>
      <c r="K24" s="8"/>
      <c r="L24" s="8"/>
      <c r="M24" s="8"/>
      <c r="N24" s="8"/>
      <c r="O24" s="8">
        <v>14155.81</v>
      </c>
      <c r="P24" s="8">
        <v>30434.76</v>
      </c>
      <c r="Q24" s="8">
        <v>44590.57</v>
      </c>
    </row>
    <row r="25" spans="1:18" x14ac:dyDescent="0.2">
      <c r="A25" s="4" t="s">
        <v>14</v>
      </c>
      <c r="B25" s="5"/>
      <c r="C25" s="5"/>
      <c r="D25" s="39"/>
      <c r="E25" s="7"/>
      <c r="F25" s="8"/>
      <c r="G25" s="8"/>
      <c r="H25" s="8"/>
      <c r="I25" s="8"/>
      <c r="J25" s="8"/>
      <c r="K25" s="8"/>
      <c r="L25" s="8"/>
      <c r="M25" s="8"/>
      <c r="N25" s="8"/>
      <c r="O25" s="8">
        <v>14096.71</v>
      </c>
      <c r="P25" s="8">
        <v>30307.68</v>
      </c>
      <c r="Q25" s="8">
        <v>44404.39</v>
      </c>
    </row>
    <row r="26" spans="1:18" x14ac:dyDescent="0.2">
      <c r="A26" s="4" t="s">
        <v>15</v>
      </c>
      <c r="B26" s="5"/>
      <c r="C26" s="5"/>
      <c r="D26" s="39"/>
      <c r="E26" s="7"/>
      <c r="F26" s="8"/>
      <c r="G26" s="8"/>
      <c r="H26" s="8"/>
      <c r="I26" s="8"/>
      <c r="J26" s="8"/>
      <c r="K26" s="8"/>
      <c r="L26" s="8"/>
      <c r="M26" s="8"/>
      <c r="N26" s="8"/>
      <c r="O26" s="8">
        <v>12556.79</v>
      </c>
      <c r="P26" s="8">
        <v>26996.880000000001</v>
      </c>
      <c r="Q26" s="8">
        <v>39553.67</v>
      </c>
    </row>
    <row r="27" spans="1:18" x14ac:dyDescent="0.2">
      <c r="A27" s="4" t="s">
        <v>16</v>
      </c>
      <c r="B27" s="5"/>
      <c r="C27" s="5"/>
      <c r="D27" s="39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>
        <v>39980.769999999997</v>
      </c>
      <c r="P27" s="22">
        <v>85957.96</v>
      </c>
      <c r="Q27" s="22">
        <v>125938.73000000001</v>
      </c>
    </row>
    <row r="28" spans="1:18" x14ac:dyDescent="0.2">
      <c r="A28" s="4"/>
      <c r="B28" s="5"/>
      <c r="C28" s="5"/>
      <c r="D28" s="39"/>
      <c r="E28" s="13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380779.07000000007</v>
      </c>
      <c r="P28" s="14">
        <v>818668.44000000006</v>
      </c>
      <c r="Q28" s="14">
        <v>1199447.5100000002</v>
      </c>
      <c r="R28" s="20"/>
    </row>
    <row r="29" spans="1:18" x14ac:dyDescent="0.2">
      <c r="A29" s="4"/>
      <c r="B29" s="5"/>
      <c r="C29" s="5"/>
      <c r="D29" s="6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8" ht="13.5" thickBot="1" x14ac:dyDescent="0.25">
      <c r="A30" s="15" t="s">
        <v>17</v>
      </c>
      <c r="B30" s="16"/>
      <c r="C30" s="17"/>
      <c r="D30" s="6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8" x14ac:dyDescent="0.2">
      <c r="A31" s="4" t="s">
        <v>18</v>
      </c>
      <c r="B31" s="5"/>
      <c r="C31" s="5"/>
      <c r="D31" s="39"/>
      <c r="E31" s="7"/>
      <c r="F31" s="8"/>
      <c r="G31" s="8"/>
      <c r="H31" s="8"/>
      <c r="I31" s="8"/>
      <c r="J31" s="8"/>
      <c r="K31" s="8"/>
      <c r="L31" s="8"/>
      <c r="M31" s="8"/>
      <c r="N31" s="8"/>
      <c r="O31" s="8">
        <v>46838.32</v>
      </c>
      <c r="P31" s="8">
        <v>100701.57</v>
      </c>
      <c r="Q31" s="8">
        <v>147539.89000000001</v>
      </c>
    </row>
    <row r="32" spans="1:18" x14ac:dyDescent="0.2">
      <c r="A32" s="4" t="s">
        <v>19</v>
      </c>
      <c r="B32" s="5"/>
      <c r="C32" s="5"/>
      <c r="D32" s="39"/>
      <c r="E32" s="7"/>
      <c r="F32" s="8"/>
      <c r="G32" s="8"/>
      <c r="H32" s="8"/>
      <c r="I32" s="8"/>
      <c r="J32" s="8"/>
      <c r="K32" s="8"/>
      <c r="L32" s="8"/>
      <c r="M32" s="8"/>
      <c r="N32" s="8"/>
      <c r="O32" s="8">
        <v>24555.69</v>
      </c>
      <c r="P32" s="8">
        <v>52794.3</v>
      </c>
      <c r="Q32" s="8">
        <v>77349.990000000005</v>
      </c>
    </row>
    <row r="33" spans="1:17" x14ac:dyDescent="0.2">
      <c r="A33" s="4" t="s">
        <v>20</v>
      </c>
      <c r="B33" s="5"/>
      <c r="C33" s="5"/>
      <c r="D33" s="39"/>
      <c r="E33" s="7"/>
      <c r="F33" s="8"/>
      <c r="G33" s="8"/>
      <c r="H33" s="8"/>
      <c r="I33" s="8"/>
      <c r="J33" s="8"/>
      <c r="K33" s="8"/>
      <c r="L33" s="8"/>
      <c r="M33" s="8"/>
      <c r="N33" s="8"/>
      <c r="O33" s="8">
        <v>24208.3</v>
      </c>
      <c r="P33" s="8">
        <v>52047.43</v>
      </c>
      <c r="Q33" s="8">
        <v>76255.73</v>
      </c>
    </row>
    <row r="34" spans="1:17" x14ac:dyDescent="0.2">
      <c r="A34" s="4" t="s">
        <v>21</v>
      </c>
      <c r="B34" s="5"/>
      <c r="C34" s="5"/>
      <c r="D34" s="39"/>
      <c r="E34" s="7"/>
      <c r="F34" s="8"/>
      <c r="G34" s="8"/>
      <c r="H34" s="8"/>
      <c r="I34" s="8"/>
      <c r="J34" s="8"/>
      <c r="K34" s="8"/>
      <c r="L34" s="8"/>
      <c r="M34" s="8"/>
      <c r="N34" s="8"/>
      <c r="O34" s="8">
        <v>25056.55</v>
      </c>
      <c r="P34" s="8">
        <v>53871.15</v>
      </c>
      <c r="Q34" s="8">
        <v>78927.7</v>
      </c>
    </row>
    <row r="35" spans="1:17" x14ac:dyDescent="0.2">
      <c r="A35" s="4" t="s">
        <v>22</v>
      </c>
      <c r="B35" s="5"/>
      <c r="C35" s="5"/>
      <c r="D35" s="39"/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>
        <v>20059.34</v>
      </c>
      <c r="P35" s="22">
        <v>43127.24</v>
      </c>
      <c r="Q35" s="22">
        <v>63186.58</v>
      </c>
    </row>
    <row r="36" spans="1:17" x14ac:dyDescent="0.2">
      <c r="A36" s="4"/>
      <c r="B36" s="5"/>
      <c r="C36" s="5"/>
      <c r="D36" s="39"/>
      <c r="E36" s="13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140718.20000000001</v>
      </c>
      <c r="P36" s="14">
        <v>302541.69</v>
      </c>
      <c r="Q36" s="14">
        <v>443259.89</v>
      </c>
    </row>
    <row r="37" spans="1:17" x14ac:dyDescent="0.2">
      <c r="A37" s="24"/>
      <c r="B37" s="5"/>
      <c r="C37" s="5"/>
      <c r="D37" s="6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3.5" thickBot="1" x14ac:dyDescent="0.25">
      <c r="A38" s="15" t="s">
        <v>65</v>
      </c>
      <c r="B38" s="16"/>
      <c r="C38" s="17"/>
      <c r="D38" s="6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x14ac:dyDescent="0.2">
      <c r="A39" s="4" t="s">
        <v>23</v>
      </c>
      <c r="B39" s="5"/>
      <c r="C39" s="5"/>
      <c r="D39" s="39"/>
      <c r="E39" s="7"/>
      <c r="F39" s="8"/>
      <c r="G39" s="8"/>
      <c r="H39" s="8"/>
      <c r="I39" s="8"/>
      <c r="J39" s="8"/>
      <c r="K39" s="8"/>
      <c r="L39" s="8"/>
      <c r="M39" s="8"/>
      <c r="N39" s="8"/>
      <c r="O39" s="8">
        <v>51436.29</v>
      </c>
      <c r="P39" s="8">
        <v>110587.12</v>
      </c>
      <c r="Q39" s="8">
        <v>162023.41</v>
      </c>
    </row>
    <row r="40" spans="1:17" x14ac:dyDescent="0.2">
      <c r="A40" s="4" t="s">
        <v>24</v>
      </c>
      <c r="B40" s="5"/>
      <c r="C40" s="5"/>
      <c r="D40" s="39"/>
      <c r="E40" s="7"/>
      <c r="F40" s="8"/>
      <c r="G40" s="8"/>
      <c r="H40" s="8"/>
      <c r="I40" s="8"/>
      <c r="J40" s="8"/>
      <c r="K40" s="8"/>
      <c r="L40" s="8"/>
      <c r="M40" s="8"/>
      <c r="N40" s="8"/>
      <c r="O40" s="8">
        <v>12669.82</v>
      </c>
      <c r="P40" s="8">
        <v>27239.9</v>
      </c>
      <c r="Q40" s="8">
        <v>39909.72</v>
      </c>
    </row>
    <row r="41" spans="1:17" x14ac:dyDescent="0.2">
      <c r="A41" s="4" t="s">
        <v>25</v>
      </c>
      <c r="B41" s="5"/>
      <c r="C41" s="5"/>
      <c r="D41" s="39"/>
      <c r="E41" s="7"/>
      <c r="F41" s="8"/>
      <c r="G41" s="8"/>
      <c r="H41" s="8"/>
      <c r="I41" s="8"/>
      <c r="J41" s="8"/>
      <c r="K41" s="8"/>
      <c r="L41" s="8"/>
      <c r="M41" s="8"/>
      <c r="N41" s="8"/>
      <c r="O41" s="8">
        <v>10503.57</v>
      </c>
      <c r="P41" s="8">
        <v>22582.5</v>
      </c>
      <c r="Q41" s="8">
        <v>33086.07</v>
      </c>
    </row>
    <row r="42" spans="1:17" x14ac:dyDescent="0.2">
      <c r="A42" s="4" t="s">
        <v>26</v>
      </c>
      <c r="B42" s="5"/>
      <c r="C42" s="5"/>
      <c r="D42" s="39"/>
      <c r="E42" s="7"/>
      <c r="F42" s="8"/>
      <c r="G42" s="8"/>
      <c r="H42" s="8"/>
      <c r="I42" s="8"/>
      <c r="J42" s="8"/>
      <c r="K42" s="8"/>
      <c r="L42" s="8"/>
      <c r="M42" s="8"/>
      <c r="N42" s="8"/>
      <c r="O42" s="8">
        <v>11308.27</v>
      </c>
      <c r="P42" s="8">
        <v>24312.58</v>
      </c>
      <c r="Q42" s="8">
        <v>35620.850000000006</v>
      </c>
    </row>
    <row r="43" spans="1:17" x14ac:dyDescent="0.2">
      <c r="A43" s="4" t="s">
        <v>27</v>
      </c>
      <c r="B43" s="5"/>
      <c r="C43" s="5"/>
      <c r="D43" s="39"/>
      <c r="E43" s="7"/>
      <c r="F43" s="8"/>
      <c r="G43" s="8"/>
      <c r="H43" s="8"/>
      <c r="I43" s="8"/>
      <c r="J43" s="8"/>
      <c r="K43" s="8"/>
      <c r="L43" s="8"/>
      <c r="M43" s="8"/>
      <c r="N43" s="8"/>
      <c r="O43" s="8">
        <v>9678.1299999999992</v>
      </c>
      <c r="P43" s="8">
        <v>20807.82</v>
      </c>
      <c r="Q43" s="8">
        <v>30485.949999999997</v>
      </c>
    </row>
    <row r="44" spans="1:17" x14ac:dyDescent="0.2">
      <c r="A44" s="4" t="s">
        <v>28</v>
      </c>
      <c r="B44" s="5"/>
      <c r="C44" s="5"/>
      <c r="D44" s="39"/>
      <c r="E44" s="7"/>
      <c r="F44" s="8"/>
      <c r="G44" s="8"/>
      <c r="H44" s="8"/>
      <c r="I44" s="8"/>
      <c r="J44" s="8"/>
      <c r="K44" s="8"/>
      <c r="L44" s="8"/>
      <c r="M44" s="8"/>
      <c r="N44" s="8"/>
      <c r="O44" s="8">
        <v>13507.7</v>
      </c>
      <c r="P44" s="8">
        <v>29041.33</v>
      </c>
      <c r="Q44" s="8">
        <v>42549.03</v>
      </c>
    </row>
    <row r="45" spans="1:17" x14ac:dyDescent="0.2">
      <c r="A45" s="4" t="s">
        <v>29</v>
      </c>
      <c r="B45" s="5"/>
      <c r="C45" s="5"/>
      <c r="D45" s="39"/>
      <c r="E45" s="7"/>
      <c r="F45" s="8"/>
      <c r="G45" s="8"/>
      <c r="H45" s="8"/>
      <c r="I45" s="8"/>
      <c r="J45" s="8"/>
      <c r="K45" s="8"/>
      <c r="L45" s="8"/>
      <c r="M45" s="8"/>
      <c r="N45" s="8"/>
      <c r="O45" s="8">
        <v>10906.96</v>
      </c>
      <c r="P45" s="8">
        <v>23449.77</v>
      </c>
      <c r="Q45" s="8">
        <v>34356.729999999996</v>
      </c>
    </row>
    <row r="46" spans="1:17" x14ac:dyDescent="0.2">
      <c r="A46" s="4" t="s">
        <v>30</v>
      </c>
      <c r="B46" s="5"/>
      <c r="C46" s="5"/>
      <c r="D46" s="39"/>
      <c r="E46" s="7"/>
      <c r="F46" s="8"/>
      <c r="G46" s="8"/>
      <c r="H46" s="8"/>
      <c r="I46" s="8"/>
      <c r="J46" s="8"/>
      <c r="K46" s="8"/>
      <c r="L46" s="8"/>
      <c r="M46" s="8"/>
      <c r="N46" s="8"/>
      <c r="O46" s="8">
        <v>9518.44</v>
      </c>
      <c r="P46" s="8">
        <v>20464.48</v>
      </c>
      <c r="Q46" s="8">
        <v>29982.92</v>
      </c>
    </row>
    <row r="47" spans="1:17" x14ac:dyDescent="0.2">
      <c r="A47" s="4" t="s">
        <v>31</v>
      </c>
      <c r="B47" s="5"/>
      <c r="C47" s="5"/>
      <c r="D47" s="39"/>
      <c r="E47" s="7"/>
      <c r="F47" s="8"/>
      <c r="G47" s="8"/>
      <c r="H47" s="8"/>
      <c r="I47" s="8"/>
      <c r="J47" s="8"/>
      <c r="K47" s="8"/>
      <c r="L47" s="8"/>
      <c r="M47" s="8"/>
      <c r="N47" s="8"/>
      <c r="O47" s="8">
        <v>13758.65</v>
      </c>
      <c r="P47" s="8">
        <v>29580.86</v>
      </c>
      <c r="Q47" s="8">
        <v>43339.51</v>
      </c>
    </row>
    <row r="48" spans="1:17" x14ac:dyDescent="0.2">
      <c r="A48" s="4" t="s">
        <v>32</v>
      </c>
      <c r="B48" s="5"/>
      <c r="C48" s="5"/>
      <c r="D48" s="39"/>
      <c r="E48" s="7"/>
      <c r="F48" s="8"/>
      <c r="G48" s="8"/>
      <c r="H48" s="8"/>
      <c r="I48" s="8"/>
      <c r="J48" s="8"/>
      <c r="K48" s="8"/>
      <c r="L48" s="8"/>
      <c r="M48" s="8"/>
      <c r="N48" s="8"/>
      <c r="O48" s="8">
        <v>9044.5400000000009</v>
      </c>
      <c r="P48" s="8">
        <v>19445.599999999999</v>
      </c>
      <c r="Q48" s="8">
        <v>28490.14</v>
      </c>
    </row>
    <row r="49" spans="1:17" x14ac:dyDescent="0.2">
      <c r="A49" s="4" t="s">
        <v>33</v>
      </c>
      <c r="B49" s="5"/>
      <c r="C49" s="5"/>
      <c r="D49" s="39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>
        <v>10369.799999999999</v>
      </c>
      <c r="P49" s="22">
        <v>22294.89</v>
      </c>
      <c r="Q49" s="22">
        <v>32664.69</v>
      </c>
    </row>
    <row r="50" spans="1:17" x14ac:dyDescent="0.2">
      <c r="A50" s="4"/>
      <c r="B50" s="5"/>
      <c r="C50" s="5"/>
      <c r="D50" s="39"/>
      <c r="E50" s="13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162702.16999999998</v>
      </c>
      <c r="P50" s="14">
        <v>349806.85</v>
      </c>
      <c r="Q50" s="14">
        <v>512509.01999999996</v>
      </c>
    </row>
    <row r="51" spans="1:17" x14ac:dyDescent="0.2">
      <c r="A51" s="24"/>
      <c r="B51" s="5"/>
      <c r="C51" s="5"/>
      <c r="D51" s="6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3.5" thickBot="1" x14ac:dyDescent="0.25">
      <c r="A52" s="15" t="s">
        <v>69</v>
      </c>
      <c r="B52" s="16"/>
      <c r="C52" s="17"/>
      <c r="D52" s="6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x14ac:dyDescent="0.2">
      <c r="A53" s="4" t="s">
        <v>34</v>
      </c>
      <c r="B53" s="5"/>
      <c r="C53" s="5"/>
      <c r="D53" s="39"/>
      <c r="E53" s="7"/>
      <c r="F53" s="8"/>
      <c r="G53" s="8"/>
      <c r="H53" s="8"/>
      <c r="I53" s="8"/>
      <c r="J53" s="8"/>
      <c r="K53" s="8"/>
      <c r="L53" s="8"/>
      <c r="M53" s="8"/>
      <c r="N53" s="8"/>
      <c r="O53" s="8">
        <v>54966.17</v>
      </c>
      <c r="P53" s="8">
        <v>118176.31</v>
      </c>
      <c r="Q53" s="8">
        <v>173142.47999999998</v>
      </c>
    </row>
    <row r="54" spans="1:17" x14ac:dyDescent="0.2">
      <c r="A54" s="4" t="s">
        <v>35</v>
      </c>
      <c r="B54" s="5"/>
      <c r="C54" s="5"/>
      <c r="D54" s="39"/>
      <c r="E54" s="7"/>
      <c r="F54" s="8"/>
      <c r="G54" s="8"/>
      <c r="H54" s="8"/>
      <c r="I54" s="8"/>
      <c r="J54" s="8"/>
      <c r="K54" s="8"/>
      <c r="L54" s="8"/>
      <c r="M54" s="8"/>
      <c r="N54" s="8"/>
      <c r="O54" s="8">
        <v>30168.86</v>
      </c>
      <c r="P54" s="8">
        <v>64862.53</v>
      </c>
      <c r="Q54" s="8">
        <v>95031.39</v>
      </c>
    </row>
    <row r="55" spans="1:17" x14ac:dyDescent="0.2">
      <c r="A55" s="4" t="s">
        <v>36</v>
      </c>
      <c r="B55" s="5"/>
      <c r="C55" s="5"/>
      <c r="D55" s="39"/>
      <c r="E55" s="7"/>
      <c r="F55" s="8"/>
      <c r="G55" s="8"/>
      <c r="H55" s="8"/>
      <c r="I55" s="8"/>
      <c r="J55" s="8"/>
      <c r="K55" s="8"/>
      <c r="L55" s="8"/>
      <c r="M55" s="8"/>
      <c r="N55" s="8"/>
      <c r="O55" s="8">
        <v>24370.07</v>
      </c>
      <c r="P55" s="8">
        <v>52395.23</v>
      </c>
      <c r="Q55" s="8">
        <v>76765.3</v>
      </c>
    </row>
    <row r="56" spans="1:17" x14ac:dyDescent="0.2">
      <c r="A56" s="4"/>
      <c r="B56" s="5"/>
      <c r="C56" s="5"/>
      <c r="D56" s="39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x14ac:dyDescent="0.2">
      <c r="A57" s="4"/>
      <c r="B57" s="5"/>
      <c r="C57" s="5"/>
      <c r="D57" s="39"/>
      <c r="E57" s="13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109505.1</v>
      </c>
      <c r="P57" s="14">
        <v>235434.07</v>
      </c>
      <c r="Q57" s="14">
        <v>344939.17000000004</v>
      </c>
    </row>
    <row r="58" spans="1:17" x14ac:dyDescent="0.2">
      <c r="A58" s="4"/>
      <c r="B58" s="5"/>
      <c r="C58" s="5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3.5" thickBot="1" x14ac:dyDescent="0.25">
      <c r="A59" s="15" t="s">
        <v>37</v>
      </c>
      <c r="B59" s="16"/>
      <c r="C59" s="17"/>
      <c r="D59" s="6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x14ac:dyDescent="0.2">
      <c r="A60" s="4" t="s">
        <v>38</v>
      </c>
      <c r="B60" s="5"/>
      <c r="C60" s="5"/>
      <c r="D60" s="39"/>
      <c r="E60" s="7"/>
      <c r="F60" s="8"/>
      <c r="G60" s="8"/>
      <c r="H60" s="8"/>
      <c r="I60" s="8"/>
      <c r="J60" s="8"/>
      <c r="K60" s="8"/>
      <c r="L60" s="8"/>
      <c r="M60" s="8"/>
      <c r="N60" s="8"/>
      <c r="O60" s="8">
        <v>31200.66</v>
      </c>
      <c r="P60" s="8">
        <v>67080.87</v>
      </c>
      <c r="Q60" s="8">
        <v>98281.53</v>
      </c>
    </row>
    <row r="61" spans="1:17" x14ac:dyDescent="0.2">
      <c r="A61" s="4" t="s">
        <v>39</v>
      </c>
      <c r="B61" s="5"/>
      <c r="C61" s="5"/>
      <c r="D61" s="39"/>
      <c r="E61" s="7"/>
      <c r="F61" s="8"/>
      <c r="G61" s="8"/>
      <c r="H61" s="8"/>
      <c r="I61" s="8"/>
      <c r="J61" s="8"/>
      <c r="K61" s="8"/>
      <c r="L61" s="8"/>
      <c r="M61" s="8"/>
      <c r="N61" s="8"/>
      <c r="O61" s="8">
        <v>7723.43</v>
      </c>
      <c r="P61" s="8">
        <v>16605.240000000002</v>
      </c>
      <c r="Q61" s="8">
        <v>24328.670000000002</v>
      </c>
    </row>
    <row r="62" spans="1:17" x14ac:dyDescent="0.2">
      <c r="A62" s="4" t="s">
        <v>40</v>
      </c>
      <c r="B62" s="5"/>
      <c r="C62" s="5"/>
      <c r="D62" s="39"/>
      <c r="E62" s="7"/>
      <c r="F62" s="8"/>
      <c r="G62" s="8"/>
      <c r="H62" s="8"/>
      <c r="I62" s="8"/>
      <c r="J62" s="8"/>
      <c r="K62" s="8"/>
      <c r="L62" s="8"/>
      <c r="M62" s="8"/>
      <c r="N62" s="8"/>
      <c r="O62" s="8">
        <v>7920.45</v>
      </c>
      <c r="P62" s="8">
        <v>17028.84</v>
      </c>
      <c r="Q62" s="8">
        <v>24949.29</v>
      </c>
    </row>
    <row r="63" spans="1:17" x14ac:dyDescent="0.2">
      <c r="A63" s="4" t="s">
        <v>41</v>
      </c>
      <c r="B63" s="5"/>
      <c r="C63" s="5"/>
      <c r="D63" s="39"/>
      <c r="E63" s="7"/>
      <c r="F63" s="8"/>
      <c r="G63" s="8"/>
      <c r="H63" s="8"/>
      <c r="I63" s="8"/>
      <c r="J63" s="8"/>
      <c r="K63" s="8"/>
      <c r="L63" s="8"/>
      <c r="M63" s="8"/>
      <c r="N63" s="8"/>
      <c r="O63" s="8">
        <v>14742.75</v>
      </c>
      <c r="P63" s="8">
        <v>31696.65</v>
      </c>
      <c r="Q63" s="8">
        <v>46439.4</v>
      </c>
    </row>
    <row r="64" spans="1:17" x14ac:dyDescent="0.2">
      <c r="A64" s="4" t="s">
        <v>42</v>
      </c>
      <c r="B64" s="5"/>
      <c r="C64" s="5"/>
      <c r="D64" s="39"/>
      <c r="E64" s="7"/>
      <c r="F64" s="8"/>
      <c r="G64" s="8"/>
      <c r="H64" s="8"/>
      <c r="I64" s="8"/>
      <c r="J64" s="8"/>
      <c r="K64" s="8"/>
      <c r="L64" s="8"/>
      <c r="M64" s="8"/>
      <c r="N64" s="8"/>
      <c r="O64" s="8">
        <v>11899.35</v>
      </c>
      <c r="P64" s="8">
        <v>25583.39</v>
      </c>
      <c r="Q64" s="8">
        <v>37482.74</v>
      </c>
    </row>
    <row r="65" spans="1:17" x14ac:dyDescent="0.2">
      <c r="A65" s="4" t="s">
        <v>43</v>
      </c>
      <c r="B65" s="5"/>
      <c r="C65" s="5"/>
      <c r="D65" s="39"/>
      <c r="E65" s="7"/>
      <c r="F65" s="8"/>
      <c r="G65" s="8"/>
      <c r="H65" s="8"/>
      <c r="I65" s="8"/>
      <c r="J65" s="8"/>
      <c r="K65" s="8"/>
      <c r="L65" s="8"/>
      <c r="M65" s="8"/>
      <c r="N65" s="8"/>
      <c r="O65" s="8">
        <v>8603.82</v>
      </c>
      <c r="P65" s="8">
        <v>18498.07</v>
      </c>
      <c r="Q65" s="8">
        <v>27101.89</v>
      </c>
    </row>
    <row r="66" spans="1:17" x14ac:dyDescent="0.2">
      <c r="A66" s="4" t="s">
        <v>44</v>
      </c>
      <c r="B66" s="5"/>
      <c r="C66" s="5"/>
      <c r="D66" s="39"/>
      <c r="E66" s="7"/>
      <c r="F66" s="8"/>
      <c r="G66" s="8"/>
      <c r="H66" s="8"/>
      <c r="I66" s="8"/>
      <c r="J66" s="8"/>
      <c r="K66" s="8"/>
      <c r="L66" s="8"/>
      <c r="M66" s="8"/>
      <c r="N66" s="8"/>
      <c r="O66" s="8">
        <v>11831.94</v>
      </c>
      <c r="P66" s="8">
        <v>25438.47</v>
      </c>
      <c r="Q66" s="8">
        <v>37270.410000000003</v>
      </c>
    </row>
    <row r="67" spans="1:17" x14ac:dyDescent="0.2">
      <c r="A67" s="4" t="s">
        <v>45</v>
      </c>
      <c r="B67" s="5"/>
      <c r="C67" s="5"/>
      <c r="D67" s="39"/>
      <c r="E67" s="7"/>
      <c r="F67" s="8"/>
      <c r="G67" s="8"/>
      <c r="H67" s="8"/>
      <c r="I67" s="8"/>
      <c r="J67" s="8"/>
      <c r="K67" s="8"/>
      <c r="L67" s="8"/>
      <c r="M67" s="8"/>
      <c r="N67" s="8"/>
      <c r="O67" s="8">
        <v>7036.95</v>
      </c>
      <c r="P67" s="8">
        <v>15129.31</v>
      </c>
      <c r="Q67" s="8">
        <v>22166.26</v>
      </c>
    </row>
    <row r="68" spans="1:17" x14ac:dyDescent="0.2">
      <c r="A68" s="4" t="s">
        <v>46</v>
      </c>
      <c r="B68" s="5"/>
      <c r="C68" s="5"/>
      <c r="D68" s="39"/>
      <c r="E68" s="7"/>
      <c r="F68" s="8"/>
      <c r="G68" s="8"/>
      <c r="H68" s="8"/>
      <c r="I68" s="8"/>
      <c r="J68" s="8"/>
      <c r="K68" s="8"/>
      <c r="L68" s="8"/>
      <c r="M68" s="8"/>
      <c r="N68" s="8"/>
      <c r="O68" s="8">
        <v>6990.28</v>
      </c>
      <c r="P68" s="8">
        <v>15028.99</v>
      </c>
      <c r="Q68" s="8">
        <v>22019.27</v>
      </c>
    </row>
    <row r="69" spans="1:17" x14ac:dyDescent="0.2">
      <c r="A69" s="4"/>
      <c r="B69" s="5"/>
      <c r="C69" s="5"/>
      <c r="D69" s="39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x14ac:dyDescent="0.2">
      <c r="A70" s="4"/>
      <c r="B70" s="5"/>
      <c r="C70" s="5"/>
      <c r="D70" s="39"/>
      <c r="E70" s="13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107949.62999999999</v>
      </c>
      <c r="P70" s="14">
        <v>232089.83</v>
      </c>
      <c r="Q70" s="14">
        <v>340039.45999999996</v>
      </c>
    </row>
    <row r="71" spans="1:17" x14ac:dyDescent="0.2">
      <c r="A71" s="4"/>
      <c r="B71" s="5"/>
      <c r="C71" s="5"/>
      <c r="D71" s="6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3.5" thickBot="1" x14ac:dyDescent="0.25">
      <c r="A72" s="15" t="s">
        <v>47</v>
      </c>
      <c r="B72" s="16"/>
      <c r="C72" s="17"/>
      <c r="D72" s="6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 x14ac:dyDescent="0.2">
      <c r="A73" s="4" t="s">
        <v>48</v>
      </c>
      <c r="B73" s="5"/>
      <c r="C73" s="5"/>
      <c r="D73" s="39"/>
      <c r="E73" s="7"/>
      <c r="F73" s="8"/>
      <c r="G73" s="8"/>
      <c r="H73" s="8"/>
      <c r="I73" s="8"/>
      <c r="J73" s="8"/>
      <c r="K73" s="8"/>
      <c r="L73" s="8"/>
      <c r="M73" s="8"/>
      <c r="N73" s="8"/>
      <c r="O73" s="8">
        <v>49879.78</v>
      </c>
      <c r="P73" s="8">
        <v>107240.66</v>
      </c>
      <c r="Q73" s="8">
        <v>157120.44</v>
      </c>
    </row>
    <row r="74" spans="1:17" x14ac:dyDescent="0.2">
      <c r="A74" s="4" t="s">
        <v>49</v>
      </c>
      <c r="B74" s="5"/>
      <c r="C74" s="5"/>
      <c r="D74" s="39"/>
      <c r="E74" s="7"/>
      <c r="F74" s="8"/>
      <c r="G74" s="8"/>
      <c r="H74" s="8"/>
      <c r="I74" s="8"/>
      <c r="J74" s="8"/>
      <c r="K74" s="8"/>
      <c r="L74" s="8"/>
      <c r="M74" s="8"/>
      <c r="N74" s="8"/>
      <c r="O74" s="8">
        <v>12155.48</v>
      </c>
      <c r="P74" s="8">
        <v>26134.07</v>
      </c>
      <c r="Q74" s="8">
        <v>38289.550000000003</v>
      </c>
    </row>
    <row r="75" spans="1:17" x14ac:dyDescent="0.2">
      <c r="A75" s="4" t="s">
        <v>50</v>
      </c>
      <c r="B75" s="5"/>
      <c r="C75" s="5"/>
      <c r="D75" s="39"/>
      <c r="E75" s="7"/>
      <c r="F75" s="8"/>
      <c r="G75" s="8"/>
      <c r="H75" s="8"/>
      <c r="I75" s="8"/>
      <c r="J75" s="8"/>
      <c r="K75" s="8"/>
      <c r="L75" s="8"/>
      <c r="M75" s="8"/>
      <c r="N75" s="8"/>
      <c r="O75" s="8">
        <v>16298.22</v>
      </c>
      <c r="P75" s="8">
        <v>35040.879999999997</v>
      </c>
      <c r="Q75" s="8">
        <v>51339.1</v>
      </c>
    </row>
    <row r="76" spans="1:17" x14ac:dyDescent="0.2">
      <c r="A76" s="4" t="s">
        <v>51</v>
      </c>
      <c r="B76" s="5"/>
      <c r="C76" s="5"/>
      <c r="D76" s="39"/>
      <c r="E76" s="7"/>
      <c r="F76" s="8"/>
      <c r="G76" s="8"/>
      <c r="H76" s="8"/>
      <c r="I76" s="8"/>
      <c r="J76" s="8"/>
      <c r="K76" s="8"/>
      <c r="L76" s="8"/>
      <c r="M76" s="8"/>
      <c r="N76" s="8"/>
      <c r="O76" s="8">
        <v>14038.64</v>
      </c>
      <c r="P76" s="8">
        <v>30182.83</v>
      </c>
      <c r="Q76" s="8">
        <v>44221.47</v>
      </c>
    </row>
    <row r="77" spans="1:17" x14ac:dyDescent="0.2">
      <c r="A77" s="4" t="s">
        <v>52</v>
      </c>
      <c r="B77" s="5"/>
      <c r="C77" s="5"/>
      <c r="D77" s="39"/>
      <c r="E77" s="7"/>
      <c r="F77" s="8"/>
      <c r="G77" s="8"/>
      <c r="H77" s="8"/>
      <c r="I77" s="8"/>
      <c r="J77" s="8"/>
      <c r="K77" s="8"/>
      <c r="L77" s="8"/>
      <c r="M77" s="8"/>
      <c r="N77" s="8"/>
      <c r="O77" s="8">
        <v>26444.03</v>
      </c>
      <c r="P77" s="8">
        <v>56854.2</v>
      </c>
      <c r="Q77" s="8">
        <v>83298.23</v>
      </c>
    </row>
    <row r="78" spans="1:17" x14ac:dyDescent="0.2">
      <c r="A78" s="4" t="s">
        <v>53</v>
      </c>
      <c r="B78" s="5"/>
      <c r="C78" s="5"/>
      <c r="D78" s="39"/>
      <c r="E78" s="7"/>
      <c r="F78" s="8"/>
      <c r="G78" s="8"/>
      <c r="H78" s="8"/>
      <c r="I78" s="8"/>
      <c r="J78" s="8"/>
      <c r="K78" s="8"/>
      <c r="L78" s="8"/>
      <c r="M78" s="8"/>
      <c r="N78" s="8"/>
      <c r="O78" s="8">
        <v>16509.759999999998</v>
      </c>
      <c r="P78" s="8">
        <v>35495.699999999997</v>
      </c>
      <c r="Q78" s="22">
        <v>52005.459999999992</v>
      </c>
    </row>
    <row r="79" spans="1:17" ht="13.5" thickBot="1" x14ac:dyDescent="0.25">
      <c r="A79" s="25"/>
      <c r="B79" s="26"/>
      <c r="C79" s="26"/>
      <c r="D79" s="43"/>
      <c r="E79" s="27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135325.91</v>
      </c>
      <c r="P79" s="28">
        <v>290948.34000000003</v>
      </c>
      <c r="Q79" s="28">
        <v>426274.25</v>
      </c>
    </row>
    <row r="80" spans="1:17" ht="13.5" thickTop="1" x14ac:dyDescent="0.2">
      <c r="D80" s="31" t="s">
        <v>73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1036980.0800000001</v>
      </c>
      <c r="P80" s="29">
        <v>2229489.2200000002</v>
      </c>
      <c r="Q80" s="29">
        <v>3266469.3000000003</v>
      </c>
    </row>
  </sheetData>
  <phoneticPr fontId="0" type="noConversion"/>
  <printOptions horizontalCentered="1"/>
  <pageMargins left="0.19685039370078741" right="0.19685039370078741" top="0.98425196850393704" bottom="0.39370078740157483" header="0" footer="0"/>
  <pageSetup paperSize="9" scale="52" fitToHeight="0" orientation="landscape" horizontalDpi="4294967293" verticalDpi="4294967293" r:id="rId1"/>
  <headerFooter alignWithMargins="0">
    <oddFooter>Página &amp;P de &amp;N</oddFooter>
  </headerFooter>
  <rowBreaks count="1" manualBreakCount="1">
    <brk id="7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34</vt:i4>
      </vt:variant>
    </vt:vector>
  </HeadingPairs>
  <TitlesOfParts>
    <vt:vector size="6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99</vt:lpstr>
      <vt:lpstr>98</vt:lpstr>
      <vt:lpstr>97</vt:lpstr>
      <vt:lpstr>96</vt:lpstr>
      <vt:lpstr>95</vt:lpstr>
      <vt:lpstr>94</vt:lpstr>
      <vt:lpstr>93</vt:lpstr>
      <vt:lpstr>'2000'!Área_de_impresión</vt:lpstr>
      <vt:lpstr>'2001'!Área_de_impresión</vt:lpstr>
      <vt:lpstr>'2002'!Área_de_impresión</vt:lpstr>
      <vt:lpstr>'2003'!Área_de_impresión</vt:lpstr>
      <vt:lpstr>'2004'!Área_de_impresión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'93'!Área_de_impresión</vt:lpstr>
      <vt:lpstr>'94'!Área_de_impresión</vt:lpstr>
      <vt:lpstr>'95'!Área_de_impresión</vt:lpstr>
      <vt:lpstr>'96'!Área_de_impresión</vt:lpstr>
      <vt:lpstr>'97'!Área_de_impresión</vt:lpstr>
      <vt:lpstr>'98'!Área_de_impresión</vt:lpstr>
      <vt:lpstr>'99'!Área_de_impresión</vt:lpstr>
      <vt:lpstr>'2000'!Títulos_a_imprimir</vt:lpstr>
      <vt:lpstr>'2001'!Títulos_a_imprimir</vt:lpstr>
      <vt:lpstr>'2002'!Títulos_a_imprimir</vt:lpstr>
      <vt:lpstr>'2003'!Títulos_a_imprimir</vt:lpstr>
      <vt:lpstr>'2004'!Títulos_a_imprimir</vt:lpstr>
      <vt:lpstr>'2005'!Títulos_a_imprimir</vt:lpstr>
      <vt:lpstr>'2006'!Títulos_a_imprimir</vt:lpstr>
      <vt:lpstr>'2007'!Títulos_a_imprimir</vt:lpstr>
      <vt:lpstr>'2008'!Títulos_a_imprimir</vt:lpstr>
      <vt:lpstr>'2009'!Títulos_a_imprimir</vt:lpstr>
      <vt:lpstr>'93'!Títulos_a_imprimir</vt:lpstr>
      <vt:lpstr>'94'!Títulos_a_imprimir</vt:lpstr>
      <vt:lpstr>'95'!Títulos_a_imprimir</vt:lpstr>
      <vt:lpstr>'96'!Títulos_a_imprimir</vt:lpstr>
      <vt:lpstr>'97'!Títulos_a_imprimir</vt:lpstr>
      <vt:lpstr>'98'!Títulos_a_imprimir</vt:lpstr>
      <vt:lpstr>'99'!Títulos_a_imprimir</vt:lpstr>
    </vt:vector>
  </TitlesOfParts>
  <Company>PERUPETRO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Vasquez</dc:creator>
  <cp:lastModifiedBy>Jessica Gallo Cabrera</cp:lastModifiedBy>
  <cp:lastPrinted>2012-10-12T22:06:49Z</cp:lastPrinted>
  <dcterms:created xsi:type="dcterms:W3CDTF">2001-10-11T16:11:04Z</dcterms:created>
  <dcterms:modified xsi:type="dcterms:W3CDTF">2026-08-20T22:10:32Z</dcterms:modified>
</cp:coreProperties>
</file>